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CZ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28" i="8"/>
  <c r="X88" i="8"/>
  <c r="X87" i="8"/>
  <c r="X86" i="8"/>
  <c r="X84" i="8"/>
  <c r="Y12" i="3"/>
  <c r="X12" i="3"/>
  <c r="X17" i="9"/>
  <c r="X51" i="3" s="1"/>
  <c r="Y49" i="9"/>
  <c r="Y40" i="3"/>
  <c r="X5" i="9"/>
  <c r="Y57" i="10"/>
  <c r="X68" i="10"/>
  <c r="X15" i="10"/>
  <c r="Y32" i="10"/>
  <c r="X54" i="10"/>
  <c r="Y53" i="10"/>
  <c r="X53" i="10"/>
  <c r="Y41" i="10"/>
  <c r="Y70" i="3"/>
  <c r="X28" i="10"/>
  <c r="Y24" i="10"/>
  <c r="X24" i="10"/>
  <c r="Y58" i="11"/>
  <c r="X102" i="11"/>
  <c r="Y44" i="11"/>
  <c r="Y67" i="11"/>
  <c r="X101" i="11"/>
  <c r="Y18" i="11"/>
  <c r="X25" i="3"/>
  <c r="Y24" i="3"/>
  <c r="X24" i="3"/>
  <c r="Y23" i="3"/>
  <c r="X8" i="11"/>
  <c r="X16" i="3"/>
  <c r="X15" i="3"/>
  <c r="Y14" i="3"/>
  <c r="Y25" i="12"/>
  <c r="Y75" i="12" s="1"/>
  <c r="X35" i="12"/>
  <c r="Y54" i="3"/>
  <c r="X54" i="3"/>
  <c r="Y53" i="3"/>
  <c r="X4" i="12"/>
  <c r="X46" i="3"/>
  <c r="Y45" i="3"/>
  <c r="X45" i="3"/>
  <c r="Y39" i="12"/>
  <c r="X48" i="13"/>
  <c r="Y76" i="3"/>
  <c r="X76" i="3"/>
  <c r="Y24" i="13"/>
  <c r="X5" i="13"/>
  <c r="Y23" i="13"/>
  <c r="Y7" i="15"/>
  <c r="X28" i="3"/>
  <c r="Y27" i="3"/>
  <c r="X27" i="3"/>
  <c r="Y15" i="17"/>
  <c r="X88" i="3"/>
  <c r="Y14" i="17"/>
  <c r="X14" i="17"/>
  <c r="X31" i="3"/>
  <c r="Y3" i="18"/>
  <c r="Y17" i="18" s="1"/>
  <c r="X10" i="19"/>
  <c r="Y4" i="19"/>
  <c r="X3" i="20"/>
  <c r="Y90" i="3"/>
  <c r="X90" i="3"/>
  <c r="Y85" i="3"/>
  <c r="X85" i="3"/>
  <c r="X84" i="3"/>
  <c r="X83" i="3"/>
  <c r="Y75" i="3"/>
  <c r="Y44" i="3"/>
  <c r="X44" i="3"/>
  <c r="Y42" i="3"/>
  <c r="Y31" i="3"/>
  <c r="Y30" i="3"/>
  <c r="Y25" i="3"/>
  <c r="Y10" i="3"/>
  <c r="Y41" i="12" l="1"/>
  <c r="Y55" i="3"/>
  <c r="Y207" i="3" s="1"/>
  <c r="X90" i="8"/>
  <c r="X75" i="3"/>
  <c r="X227" i="3" s="1"/>
  <c r="X29" i="9"/>
  <c r="Y57" i="8"/>
  <c r="Y79" i="8" s="1"/>
  <c r="Y29" i="9"/>
  <c r="X91" i="8"/>
  <c r="Y91" i="8"/>
  <c r="X31" i="9"/>
  <c r="X25" i="9"/>
  <c r="Y53" i="9"/>
  <c r="X53" i="3"/>
  <c r="Y15" i="14"/>
  <c r="Y21" i="14" s="1"/>
  <c r="X27" i="9"/>
  <c r="X55" i="3"/>
  <c r="X207" i="3" s="1"/>
  <c r="Y43" i="9"/>
  <c r="Y44" i="12"/>
  <c r="X41" i="12"/>
  <c r="X19" i="12"/>
  <c r="X69" i="12" s="1"/>
  <c r="Y69" i="11"/>
  <c r="Y7" i="18"/>
  <c r="Y13" i="18" s="1"/>
  <c r="X240" i="3"/>
  <c r="X98" i="11"/>
  <c r="X43" i="8"/>
  <c r="X88" i="11"/>
  <c r="Y88" i="11"/>
  <c r="Y25" i="9"/>
  <c r="Y31" i="9"/>
  <c r="Y42" i="9"/>
  <c r="Y48" i="11"/>
  <c r="Y43" i="11" s="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6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243" i="3" s="1"/>
  <c r="Y39" i="13"/>
  <c r="Y79" i="11"/>
  <c r="X4" i="9"/>
  <c r="X57" i="8"/>
  <c r="X79" i="8" s="1"/>
  <c r="X7" i="15"/>
  <c r="X21" i="15" s="1"/>
  <c r="X13" i="14"/>
  <c r="X19" i="14" s="1"/>
  <c r="Y15" i="3"/>
  <c r="Y227" i="3" s="1"/>
  <c r="X23" i="3"/>
  <c r="X22" i="3" s="1"/>
  <c r="X14" i="20"/>
  <c r="Y15" i="18"/>
  <c r="Y29" i="13"/>
  <c r="X18" i="11"/>
  <c r="X120" i="11" s="1"/>
  <c r="X237" i="3"/>
  <c r="Y194" i="3"/>
  <c r="Y196" i="3"/>
  <c r="Y206" i="3"/>
  <c r="Y65" i="10"/>
  <c r="X46" i="10"/>
  <c r="X36" i="9"/>
  <c r="X47" i="9"/>
  <c r="X10" i="8"/>
  <c r="X21" i="3" s="1"/>
  <c r="X203" i="3" s="1"/>
  <c r="X26" i="8"/>
  <c r="X25" i="8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11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3" i="19" s="1"/>
  <c r="X29" i="19" s="1"/>
  <c r="Y10" i="19"/>
  <c r="Y3" i="19" s="1"/>
  <c r="Y28" i="19" s="1"/>
  <c r="X15" i="20"/>
  <c r="Y14" i="20"/>
  <c r="X14" i="3"/>
  <c r="X196" i="3" s="1"/>
  <c r="X206" i="3"/>
  <c r="Y74" i="3"/>
  <c r="Y73" i="3" s="1"/>
  <c r="Y6" i="13"/>
  <c r="Y25" i="13"/>
  <c r="X44" i="13"/>
  <c r="Y45" i="12"/>
  <c r="X31" i="12"/>
  <c r="Y14" i="11"/>
  <c r="Y116" i="11" s="1"/>
  <c r="Y24" i="11"/>
  <c r="Y96" i="11" s="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X24" i="13"/>
  <c r="Y35" i="13"/>
  <c r="X89" i="11"/>
  <c r="Y35" i="12"/>
  <c r="Y68" i="11"/>
  <c r="Y73" i="11"/>
  <c r="Y29" i="12"/>
  <c r="X14" i="11"/>
  <c r="X119" i="11" s="1"/>
  <c r="X92" i="11"/>
  <c r="X48" i="11"/>
  <c r="X236" i="3"/>
  <c r="Y47" i="13"/>
  <c r="Y27" i="13"/>
  <c r="Y83" i="3"/>
  <c r="Y235" i="3" s="1"/>
  <c r="Y10" i="13"/>
  <c r="Y37" i="13"/>
  <c r="X228" i="3"/>
  <c r="X55" i="10"/>
  <c r="X81" i="3"/>
  <c r="Y20" i="19"/>
  <c r="Y60" i="3"/>
  <c r="Y24" i="19"/>
  <c r="Y18" i="17"/>
  <c r="Y87" i="3"/>
  <c r="Y239" i="3" s="1"/>
  <c r="Y3" i="17"/>
  <c r="Y23" i="17" s="1"/>
  <c r="Y23" i="15"/>
  <c r="Y21" i="15"/>
  <c r="Y162" i="3"/>
  <c r="X43" i="13"/>
  <c r="X33" i="13"/>
  <c r="X23" i="13"/>
  <c r="X6" i="13"/>
  <c r="X4" i="13"/>
  <c r="X74" i="3"/>
  <c r="X10" i="20"/>
  <c r="X25" i="19"/>
  <c r="X21" i="19"/>
  <c r="X61" i="3"/>
  <c r="X22" i="15"/>
  <c r="X3" i="18"/>
  <c r="X18" i="18" s="1"/>
  <c r="X30" i="3"/>
  <c r="X14" i="18"/>
  <c r="X18" i="20"/>
  <c r="X21" i="20"/>
  <c r="X14" i="14"/>
  <c r="X20" i="14" s="1"/>
  <c r="X4" i="14"/>
  <c r="X43" i="3"/>
  <c r="X198" i="3"/>
  <c r="Y91" i="3"/>
  <c r="Y243" i="3" s="1"/>
  <c r="Y19" i="20"/>
  <c r="Y11" i="20"/>
  <c r="Y3" i="20"/>
  <c r="Y23" i="20" s="1"/>
  <c r="Y15" i="20"/>
  <c r="Y23" i="18"/>
  <c r="Y28" i="11"/>
  <c r="Y80" i="11" s="1"/>
  <c r="Y101" i="11"/>
  <c r="X4" i="10"/>
  <c r="X23" i="10"/>
  <c r="X7" i="18"/>
  <c r="X13" i="20" s="1"/>
  <c r="X110" i="11"/>
  <c r="X111" i="11"/>
  <c r="Y120" i="11"/>
  <c r="Y123" i="11"/>
  <c r="Y121" i="11"/>
  <c r="Y28" i="3"/>
  <c r="Y84" i="3"/>
  <c r="Y192" i="3"/>
  <c r="Y237" i="3"/>
  <c r="Y242" i="3"/>
  <c r="X23" i="20"/>
  <c r="Y19" i="18"/>
  <c r="X19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15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X82" i="3"/>
  <c r="Y205" i="3"/>
  <c r="Y18" i="20"/>
  <c r="Y14" i="18"/>
  <c r="Y15" i="15"/>
  <c r="X45" i="13"/>
  <c r="X35" i="13"/>
  <c r="X25" i="13"/>
  <c r="Y43" i="12"/>
  <c r="Y122" i="11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18" i="18"/>
  <c r="X3" i="15"/>
  <c r="X15" i="15"/>
  <c r="X37" i="13"/>
  <c r="X27" i="13"/>
  <c r="X10" i="13"/>
  <c r="X30" i="12"/>
  <c r="X20" i="12"/>
  <c r="X70" i="12" s="1"/>
  <c r="X5" i="12"/>
  <c r="X19" i="13" s="1"/>
  <c r="X40" i="12"/>
  <c r="X11" i="10"/>
  <c r="X9" i="10" s="1"/>
  <c r="X34" i="10"/>
  <c r="X45" i="10"/>
  <c r="X56" i="10"/>
  <c r="Y28" i="9"/>
  <c r="Y39" i="9"/>
  <c r="Y13" i="9"/>
  <c r="Y50" i="9"/>
  <c r="X22" i="20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X63" i="8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X25" i="14" l="1"/>
  <c r="Y25" i="19"/>
  <c r="X24" i="19"/>
  <c r="X86" i="3"/>
  <c r="X43" i="11"/>
  <c r="X20" i="19"/>
  <c r="Y20" i="16"/>
  <c r="X116" i="11"/>
  <c r="X23" i="15"/>
  <c r="X117" i="11"/>
  <c r="X60" i="3"/>
  <c r="X235" i="3"/>
  <c r="X48" i="9"/>
  <c r="X52" i="3"/>
  <c r="X204" i="3" s="1"/>
  <c r="X113" i="8"/>
  <c r="X41" i="9"/>
  <c r="Y21" i="18"/>
  <c r="Y3" i="16"/>
  <c r="Y29" i="16" s="1"/>
  <c r="Y57" i="3"/>
  <c r="Y209" i="3" s="1"/>
  <c r="X11" i="17"/>
  <c r="X3" i="16"/>
  <c r="X28" i="16" s="1"/>
  <c r="Y10" i="17"/>
  <c r="Y27" i="14"/>
  <c r="Y52" i="3"/>
  <c r="Y204" i="3" s="1"/>
  <c r="Y3" i="12"/>
  <c r="Y53" i="12" s="1"/>
  <c r="X80" i="11"/>
  <c r="X13" i="11"/>
  <c r="X122" i="11"/>
  <c r="Y20" i="14"/>
  <c r="X192" i="3"/>
  <c r="X96" i="8"/>
  <c r="X4" i="8"/>
  <c r="X108" i="8" s="1"/>
  <c r="Y25" i="14"/>
  <c r="Y22" i="13"/>
  <c r="Y197" i="3"/>
  <c r="X61" i="8"/>
  <c r="X118" i="11"/>
  <c r="X9" i="20"/>
  <c r="X89" i="3"/>
  <c r="X181" i="3" s="1"/>
  <c r="Y22" i="18"/>
  <c r="X112" i="8"/>
  <c r="Y36" i="8"/>
  <c r="X233" i="3"/>
  <c r="X22" i="17"/>
  <c r="X44" i="10"/>
  <c r="Y13" i="15"/>
  <c r="X205" i="3"/>
  <c r="X100" i="8"/>
  <c r="Y17" i="15"/>
  <c r="Y198" i="3"/>
  <c r="X111" i="8"/>
  <c r="X76" i="11"/>
  <c r="X41" i="3"/>
  <c r="X193" i="3" s="1"/>
  <c r="Y18" i="15"/>
  <c r="Y13" i="3"/>
  <c r="Y225" i="3" s="1"/>
  <c r="X22" i="10"/>
  <c r="X36" i="8"/>
  <c r="X224" i="3"/>
  <c r="Y111" i="11"/>
  <c r="Y42" i="13"/>
  <c r="Y12" i="14"/>
  <c r="Y18" i="14" s="1"/>
  <c r="X13" i="3"/>
  <c r="X195" i="3" s="1"/>
  <c r="X37" i="9"/>
  <c r="X3" i="12"/>
  <c r="X51" i="12" s="1"/>
  <c r="Y23" i="10"/>
  <c r="Y22" i="10"/>
  <c r="Y117" i="11"/>
  <c r="Y29" i="19"/>
  <c r="X121" i="11"/>
  <c r="Y119" i="11"/>
  <c r="Y118" i="11"/>
  <c r="X53" i="11"/>
  <c r="Y76" i="11"/>
  <c r="X21" i="16"/>
  <c r="X10" i="17"/>
  <c r="X123" i="11"/>
  <c r="Y112" i="11"/>
  <c r="X21" i="14"/>
  <c r="Y13" i="11"/>
  <c r="X25" i="16"/>
  <c r="X57" i="3"/>
  <c r="X209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X70" i="11"/>
  <c r="X100" i="11"/>
  <c r="Y19" i="13"/>
  <c r="Y28" i="16"/>
  <c r="X85" i="8"/>
  <c r="X15" i="8"/>
  <c r="X24" i="9" s="1"/>
  <c r="X49" i="10"/>
  <c r="X8" i="10"/>
  <c r="X60" i="10" s="1"/>
  <c r="Y44" i="10"/>
  <c r="Y55" i="10"/>
  <c r="Y33" i="10"/>
  <c r="Y81" i="3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Y240" i="3"/>
  <c r="Y122" i="3"/>
  <c r="Y32" i="12"/>
  <c r="Y22" i="12"/>
  <c r="Y72" i="12" s="1"/>
  <c r="Y42" i="12"/>
  <c r="Y41" i="9"/>
  <c r="Y30" i="9"/>
  <c r="Y52" i="9"/>
  <c r="Y51" i="3"/>
  <c r="X18" i="15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Y95" i="11" s="1"/>
  <c r="X213" i="3"/>
  <c r="X73" i="3"/>
  <c r="X226" i="3"/>
  <c r="X13" i="18"/>
  <c r="X17" i="18"/>
  <c r="X19" i="18"/>
  <c r="Y27" i="19"/>
  <c r="Y23" i="19"/>
  <c r="Y19" i="19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X74" i="8" s="1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38" i="3"/>
  <c r="X212" i="3"/>
  <c r="X59" i="3"/>
  <c r="X153" i="3" s="1"/>
  <c r="X26" i="9"/>
  <c r="Y36" i="13"/>
  <c r="Y26" i="13"/>
  <c r="Y46" i="13"/>
  <c r="Y18" i="13"/>
  <c r="Y3" i="13"/>
  <c r="Y56" i="13" s="1"/>
  <c r="X234" i="3"/>
  <c r="X32" i="12"/>
  <c r="X22" i="12"/>
  <c r="X72" i="12" s="1"/>
  <c r="X42" i="12"/>
  <c r="Y121" i="3"/>
  <c r="X96" i="11"/>
  <c r="X23" i="11"/>
  <c r="X95" i="11" s="1"/>
  <c r="Y21" i="16"/>
  <c r="Y11" i="17"/>
  <c r="Y25" i="16"/>
  <c r="Y58" i="3"/>
  <c r="Y21" i="20"/>
  <c r="Y13" i="20"/>
  <c r="Y17" i="20"/>
  <c r="Y9" i="20"/>
  <c r="Y22" i="20"/>
  <c r="Y13" i="17"/>
  <c r="Y21" i="17"/>
  <c r="Y17" i="17"/>
  <c r="X33" i="10"/>
  <c r="Y82" i="3"/>
  <c r="Y234" i="3" s="1"/>
  <c r="Y26" i="8"/>
  <c r="X56" i="8"/>
  <c r="X78" i="8" s="1"/>
  <c r="Y110" i="11"/>
  <c r="Y90" i="11"/>
  <c r="X21" i="18"/>
  <c r="X22" i="18"/>
  <c r="X23" i="19"/>
  <c r="X27" i="19"/>
  <c r="X19" i="19"/>
  <c r="Y86" i="3"/>
  <c r="X46" i="9"/>
  <c r="X10" i="9"/>
  <c r="X57" i="9" s="1"/>
  <c r="Y22" i="17"/>
  <c r="X23" i="18"/>
  <c r="X28" i="19"/>
  <c r="X49" i="12" l="1"/>
  <c r="X38" i="10"/>
  <c r="X105" i="8"/>
  <c r="Y9" i="17"/>
  <c r="Y24" i="14"/>
  <c r="Y56" i="3"/>
  <c r="Y208" i="3" s="1"/>
  <c r="Y48" i="12"/>
  <c r="X56" i="3"/>
  <c r="X208" i="3" s="1"/>
  <c r="Y54" i="12"/>
  <c r="Y47" i="12"/>
  <c r="Y55" i="12"/>
  <c r="X35" i="9"/>
  <c r="X19" i="16"/>
  <c r="Y52" i="12"/>
  <c r="Y51" i="12"/>
  <c r="X29" i="16"/>
  <c r="Y23" i="16"/>
  <c r="Y49" i="12"/>
  <c r="Y27" i="16"/>
  <c r="X9" i="17"/>
  <c r="Y50" i="12"/>
  <c r="X107" i="8"/>
  <c r="X110" i="8"/>
  <c r="Y19" i="16"/>
  <c r="X27" i="16"/>
  <c r="X106" i="8"/>
  <c r="X23" i="16"/>
  <c r="X94" i="8"/>
  <c r="Y17" i="12"/>
  <c r="Y67" i="12" s="1"/>
  <c r="X225" i="3"/>
  <c r="X62" i="10"/>
  <c r="X109" i="8"/>
  <c r="Y195" i="3"/>
  <c r="Y37" i="12"/>
  <c r="X182" i="3"/>
  <c r="X183" i="3"/>
  <c r="X39" i="3"/>
  <c r="X191" i="3" s="1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211" i="3"/>
  <c r="X151" i="3"/>
  <c r="X60" i="9"/>
  <c r="X64" i="9"/>
  <c r="X56" i="9"/>
  <c r="X62" i="9"/>
  <c r="X45" i="9"/>
  <c r="X58" i="9"/>
  <c r="X61" i="9"/>
  <c r="X63" i="9"/>
  <c r="X59" i="9"/>
  <c r="X65" i="9"/>
  <c r="X152" i="3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Y153" i="3" l="1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4" i="1"/>
  <c r="B25" i="1"/>
  <c r="B26" i="1"/>
  <c r="S242" i="3" l="1"/>
  <c r="C242" i="3"/>
  <c r="O14" i="18"/>
  <c r="I15" i="18"/>
  <c r="E3" i="18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E18" i="18"/>
  <c r="I21" i="18"/>
  <c r="N3" i="18"/>
  <c r="N17" i="18" s="1"/>
  <c r="U14" i="18"/>
  <c r="E21" i="20"/>
  <c r="F22" i="20"/>
  <c r="P14" i="18"/>
  <c r="J14" i="20"/>
  <c r="O3" i="20"/>
  <c r="O23" i="20" s="1"/>
  <c r="O3" i="18"/>
  <c r="O18" i="18" s="1"/>
  <c r="N3" i="20"/>
  <c r="F24" i="19"/>
  <c r="L20" i="19"/>
  <c r="L10" i="20"/>
  <c r="Q14" i="20"/>
  <c r="Q3" i="20"/>
  <c r="Q22" i="20" s="1"/>
  <c r="C19" i="20"/>
  <c r="E14" i="18"/>
  <c r="M14" i="18"/>
  <c r="E19" i="18"/>
  <c r="U19" i="18"/>
  <c r="I22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E13" i="18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M22" i="20"/>
  <c r="W23" i="20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R25" i="19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G18" i="18"/>
  <c r="E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J11" i="20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M23" i="20"/>
  <c r="R3" i="20"/>
  <c r="F20" i="19" l="1"/>
  <c r="W24" i="19"/>
  <c r="Q21" i="19"/>
  <c r="Q25" i="19"/>
  <c r="N29" i="3"/>
  <c r="P10" i="20"/>
  <c r="R21" i="19"/>
  <c r="H25" i="19"/>
  <c r="N13" i="20"/>
  <c r="K23" i="18"/>
  <c r="H20" i="19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1" i="3" s="1"/>
  <c r="M23" i="18"/>
  <c r="S23" i="18"/>
  <c r="S22" i="18"/>
  <c r="N241" i="3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19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F183" i="3"/>
  <c r="U122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U123" i="3"/>
  <c r="W122" i="3"/>
  <c r="M122" i="3"/>
  <c r="N123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N9" i="20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9" i="19"/>
  <c r="M25" i="19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9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N27" i="19" l="1"/>
  <c r="N19" i="19"/>
  <c r="E23" i="19"/>
  <c r="E27" i="19"/>
  <c r="W9" i="20"/>
  <c r="M9" i="20"/>
  <c r="M27" i="19"/>
  <c r="M23" i="19"/>
  <c r="H27" i="19"/>
  <c r="W29" i="19"/>
  <c r="Q23" i="19"/>
  <c r="H19" i="19"/>
  <c r="H23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52" i="12" l="1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36" i="8" l="1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K79" i="8"/>
  <c r="V77" i="8"/>
  <c r="S77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17" i="1"/>
  <c r="B7" i="1"/>
  <c r="B18" i="1"/>
  <c r="B12" i="1"/>
  <c r="B20" i="1"/>
  <c r="B21" i="1"/>
  <c r="B4" i="1"/>
  <c r="B16" i="1"/>
  <c r="B11" i="1"/>
  <c r="B13" i="1"/>
  <c r="B22" i="1"/>
  <c r="B9" i="1"/>
  <c r="B15" i="1"/>
  <c r="B8" i="1"/>
  <c r="B6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W4" i="7"/>
  <c r="T47" i="7"/>
  <c r="X58" i="4"/>
  <c r="X13" i="7"/>
  <c r="T6" i="7"/>
  <c r="T58" i="4"/>
  <c r="U34" i="7"/>
  <c r="U114" i="4"/>
  <c r="T31" i="7"/>
  <c r="Y6" i="7"/>
  <c r="W36" i="7"/>
  <c r="X44" i="7"/>
  <c r="V35" i="7"/>
  <c r="V42" i="7" l="1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/>
  <c r="P150" i="4"/>
  <c r="P8" i="3"/>
  <c r="O180" i="4"/>
  <c r="P208" i="4"/>
  <c r="P206" i="4"/>
  <c r="P102" i="5"/>
  <c r="P209" i="4"/>
  <c r="P96" i="6"/>
  <c r="O179" i="4" l="1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L13" i="4" s="1"/>
  <c r="K16" i="4"/>
  <c r="K14" i="4"/>
  <c r="L150" i="4" l="1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 s="1"/>
  <c r="I8" i="3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I204" i="4" l="1"/>
  <c r="G208" i="4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243" i="4" s="1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184" i="4"/>
  <c r="I265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J20" i="4" s="1"/>
  <c r="P7" i="4"/>
  <c r="H24" i="4"/>
  <c r="L11" i="4"/>
  <c r="I22" i="4"/>
  <c r="H47" i="4"/>
  <c r="L33" i="4"/>
  <c r="J19" i="4" l="1"/>
  <c r="J157" i="4"/>
  <c r="J211" i="4"/>
  <c r="J238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H270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G215" i="4" l="1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143" i="4"/>
  <c r="S224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 s="1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H226" i="4" s="1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31" i="4" l="1"/>
  <c r="U226" i="4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 s="1"/>
  <c r="X268" i="4" s="1"/>
  <c r="X187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X265" i="4" l="1"/>
  <c r="X184" i="4"/>
  <c r="D131" i="5"/>
  <c r="D77" i="5"/>
  <c r="D132" i="7" s="1"/>
  <c r="D49" i="3"/>
  <c r="D104" i="5"/>
  <c r="C187" i="3"/>
  <c r="C34" i="3"/>
  <c r="C127" i="3" s="1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I69" i="7"/>
  <c r="I60" i="7" s="1"/>
  <c r="X19" i="3" l="1"/>
  <c r="X19" i="4"/>
  <c r="X243" i="4" s="1"/>
  <c r="X211" i="4"/>
  <c r="X238" i="4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X242" i="4" l="1"/>
  <c r="X240" i="4"/>
  <c r="X241" i="4"/>
  <c r="N62" i="7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 s="1"/>
  <c r="G127" i="6"/>
  <c r="G73" i="6"/>
  <c r="G215" i="7" s="1"/>
  <c r="G100" i="6"/>
  <c r="G34" i="6"/>
  <c r="Y186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Y267" i="4" l="1"/>
  <c r="Y268" i="4"/>
  <c r="Y265" i="4"/>
  <c r="Y184" i="4"/>
  <c r="F70" i="6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 s="1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Y19" i="3" l="1"/>
  <c r="Y157" i="4"/>
  <c r="F170" i="3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 s="1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 s="1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 s="1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<sst xmlns="http://schemas.openxmlformats.org/spreadsheetml/2006/main" count="2657" uniqueCount="1169">
  <si>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</si>
  <si>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</si>
  <si>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</si>
  <si>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</si>
  <si>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</si>
  <si>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</si>
  <si>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</si>
  <si>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</si>
  <si>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</si>
  <si>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</si>
  <si>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</si>
  <si>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</si>
  <si>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</si>
  <si>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</si>
  <si>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</si>
  <si>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</si>
  <si>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</si>
  <si>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</si>
  <si>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</si>
  <si>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</si>
  <si>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</si>
  <si>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</si>
  <si>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</si>
  <si>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</si>
  <si>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</si>
  <si>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</si>
  <si>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</si>
  <si>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</si>
  <si>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</si>
  <si>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</si>
  <si>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</si>
  <si>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</si>
  <si>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</si>
  <si>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</si>
  <si>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</si>
  <si>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</si>
  <si>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</si>
  <si>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</si>
  <si>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</si>
  <si>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</si>
  <si>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</si>
  <si>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</si>
  <si>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</si>
  <si>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</si>
  <si>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</si>
  <si>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</si>
  <si>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</si>
  <si>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</si>
  <si>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</si>
  <si>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</si>
  <si>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</si>
  <si>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</si>
  <si>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</si>
  <si>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</si>
  <si>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</si>
  <si>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</si>
  <si>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</si>
  <si>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</si>
  <si>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</si>
  <si>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</si>
  <si>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</si>
  <si>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</si>
  <si>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</si>
  <si>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</si>
  <si>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</si>
  <si>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</si>
  <si>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</si>
  <si>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</si>
  <si>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</si>
  <si>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</si>
  <si>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</si>
  <si>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</si>
  <si>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</si>
  <si>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</si>
  <si>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</si>
  <si>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</si>
  <si>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</si>
  <si>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</si>
  <si>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</si>
  <si>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</si>
  <si>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</si>
  <si>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</si>
  <si>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</si>
  <si>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</si>
  <si>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</si>
  <si>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</si>
  <si>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</si>
  <si>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</si>
  <si>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</si>
  <si>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</si>
  <si>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</si>
  <si>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</si>
  <si>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</si>
  <si>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</si>
  <si>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</si>
  <si>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</si>
  <si>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</si>
  <si>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</si>
  <si>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</si>
  <si>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</si>
  <si>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</si>
  <si>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</si>
  <si>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</si>
  <si>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</si>
  <si>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</si>
  <si>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</si>
  <si>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</si>
  <si>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</si>
  <si>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</si>
  <si>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</si>
  <si>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</si>
  <si>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</si>
  <si>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</si>
  <si>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</si>
  <si>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</si>
  <si>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</si>
  <si>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</si>
  <si>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</si>
  <si>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</si>
  <si>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</si>
  <si>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</si>
  <si>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</si>
  <si>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</si>
  <si>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</si>
  <si>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</si>
  <si>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</si>
  <si>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</si>
  <si>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</si>
  <si>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</si>
  <si>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</si>
  <si>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</si>
  <si>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</si>
  <si>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</si>
  <si>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</si>
  <si>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</si>
  <si>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</si>
  <si>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</si>
  <si>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</si>
  <si>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</si>
  <si>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</si>
  <si>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</si>
  <si>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</si>
  <si>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</si>
  <si>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</si>
  <si>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</si>
  <si>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</si>
  <si>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</si>
  <si>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</si>
  <si>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</si>
  <si>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</si>
  <si>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</si>
  <si>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</si>
  <si>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</si>
  <si>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</si>
  <si>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</si>
  <si>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</si>
  <si>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</si>
  <si>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</si>
  <si>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</si>
  <si>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</si>
  <si>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</si>
  <si>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</si>
  <si>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</si>
  <si>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</si>
  <si>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</si>
  <si>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</si>
  <si>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</si>
  <si>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</si>
  <si>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</si>
  <si>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</si>
  <si>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</si>
  <si>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</si>
  <si>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</si>
  <si>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</si>
  <si>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</si>
  <si>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</si>
  <si>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</si>
  <si>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</si>
  <si>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</si>
  <si>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</si>
  <si>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</si>
  <si>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</si>
  <si>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</si>
  <si>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</si>
  <si>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</si>
  <si>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</si>
  <si>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</si>
  <si>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CZ</t>
  </si>
  <si>
    <t>Czechia</t>
  </si>
  <si>
    <t>Aviation - CZ - Czechia</t>
  </si>
  <si>
    <t>Activity.Mpkm.CZ.Tr.Avia.Passenger</t>
  </si>
  <si>
    <t>Activity.Mpkm.CZ.Tr.Avia.Passenger.Domestic</t>
  </si>
  <si>
    <t>Activity.Mpkm.CZ.Tr.Avia.Passenger.IntraEEAwCHUK</t>
  </si>
  <si>
    <t>Activity.Mpkm.CZ.Tr.Avia.Passenger.ExtraEEAwCHUK</t>
  </si>
  <si>
    <t>Activity.Mtkm.CZ.Tr.Avia.Freight</t>
  </si>
  <si>
    <t>Activity.Mtkm.CZ.Tr.Avia.Freight.Domestic</t>
  </si>
  <si>
    <t>Activity.Mtkm.CZ.Tr.Avia.Freight.IntraEEAwCHUK</t>
  </si>
  <si>
    <t>Activity.Mtkm.CZ.Tr.Avia.Freight.ExtraEEAwCHUK</t>
  </si>
  <si>
    <t>VehicleKm.Mkm.CZ.Tr.Avia</t>
  </si>
  <si>
    <t>VehicleKm.Mkm.CZ.Tr.Avia.Passenger</t>
  </si>
  <si>
    <t>VehicleKm.Mkm.CZ.Tr.Avia.Passenger.Domestic</t>
  </si>
  <si>
    <t>VehicleKm.Mkm.CZ.Tr.Avia.Passenger.IntraEEAwCHUK</t>
  </si>
  <si>
    <t>VehicleKm.Mkm.CZ.Tr.Avia.Passenger.ExtraEEAwCHUK</t>
  </si>
  <si>
    <t>VehicleKm.Mkm.CZ.Tr.Avia.Freight</t>
  </si>
  <si>
    <t>VehicleKm.Mkm.CZ.Tr.Avia.Freight.Domestic</t>
  </si>
  <si>
    <t>VehicleKm.Mkm.CZ.Tr.Avia.Freight.IntraEEAwCHUK</t>
  </si>
  <si>
    <t>VehicleKm.Mkm.CZ.Tr.Avia.Freight.ExtraEEAwCHUK</t>
  </si>
  <si>
    <t>Flights.number.CZ.Tr.Avia</t>
  </si>
  <si>
    <t>Flights.number.CZ.Tr.Avia.Passenger</t>
  </si>
  <si>
    <t>Flights.number.CZ.Tr.Avia.Passenger.Domestic</t>
  </si>
  <si>
    <t>Flights.number.CZ.Tr.Avia.Passenger.IntraEEAwCHUK</t>
  </si>
  <si>
    <t>Flights.number.CZ.Tr.Avia.Passenger.ExtraEEAwCHUK</t>
  </si>
  <si>
    <t>Flights.number.CZ.Tr.Avia.Freight</t>
  </si>
  <si>
    <t>Flights.number.CZ.Tr.Avia.Freight.Domestic</t>
  </si>
  <si>
    <t>Flights.number.CZ.Tr.Avia.Freight.IntraEEAwCHUK</t>
  </si>
  <si>
    <t>Flights.number.CZ.Tr.Avia.Freight.ExtraEEAwCHUK</t>
  </si>
  <si>
    <t>VolCarried.passenger.CZ.Tr.Avia.Passenger</t>
  </si>
  <si>
    <t>VolCarried.passenger.CZ.Tr.Avia.Passenger.Domestic</t>
  </si>
  <si>
    <t>VolCarried.passenger.CZ.Tr.Avia.Passenger.IntraEEAwCHUK</t>
  </si>
  <si>
    <t>VolCarried.passenger.CZ.Tr.Avia.Passenger.ExtraEEAwCHUK</t>
  </si>
  <si>
    <t>VolCarried.t.CZ.Tr.Avia.Freight</t>
  </si>
  <si>
    <t>VolCarried.t.CZ.Tr.Avia.Freight.Domestic</t>
  </si>
  <si>
    <t>VolCarried.t.CZ.Tr.Avia.Freight.IntraEEAwCHUK</t>
  </si>
  <si>
    <t>VolCarried.t.CZ.Tr.Avia.Freight.ExtraEEAwCHUK</t>
  </si>
  <si>
    <t>Stock.number.CZ.Tr.Avia</t>
  </si>
  <si>
    <t>Stock.number.CZ.Tr.Avia.Passenger</t>
  </si>
  <si>
    <t>Stock.number.CZ.Tr.Avia.Passenger.Domestic</t>
  </si>
  <si>
    <t>Stock.number.CZ.Tr.Avia.Passenger.IntraEEAwCHUK</t>
  </si>
  <si>
    <t>Stock.number.CZ.Tr.Avia.Passenger.ExtraEEAwCHUK</t>
  </si>
  <si>
    <t>Stock.number.CZ.Tr.Avia.Freight</t>
  </si>
  <si>
    <t>Stock.number.CZ.Tr.Avia.Freight.Domestic</t>
  </si>
  <si>
    <t>Stock.number.CZ.Tr.Avia.Freight.IntraEEAwCHUK</t>
  </si>
  <si>
    <t>Stock.number.CZ.Tr.Avia.Freight.ExtraEEAwCHUK</t>
  </si>
  <si>
    <t>StockNew.number.CZ.Tr.Avia</t>
  </si>
  <si>
    <t>StockNew.number.CZ.Tr.Avia.Passenger</t>
  </si>
  <si>
    <t>StockNew.number.CZ.Tr.Avia.Passenger.Domestic</t>
  </si>
  <si>
    <t>StockNew.number.CZ.Tr.Avia.Passenger.IntraEEAwCHUK</t>
  </si>
  <si>
    <t>StockNew.number.CZ.Tr.Avia.Passenger.ExtraEEAwCHUK</t>
  </si>
  <si>
    <t>StockNew.number.CZ.Tr.Avia.Freight</t>
  </si>
  <si>
    <t>StockNew.number.CZ.Tr.Avia.Freight.Domestic</t>
  </si>
  <si>
    <t>StockNew.number.CZ.Tr.Avia.Freight.IntraEEAwCHUK</t>
  </si>
  <si>
    <t>StockNew.number.CZ.Tr.Avia.Freight.ExtraEEAwCHUK</t>
  </si>
  <si>
    <t>Load.passenger_per_movement.CZ.Tr.Avia.Passenger</t>
  </si>
  <si>
    <t>Load.passenger_per_movement.CZ.Tr.Avia.Passenger.Domestic</t>
  </si>
  <si>
    <t>Load.passenger_per_movement.CZ.Tr.Avia.Passenger.IntraEEAwCHUK</t>
  </si>
  <si>
    <t>Load.passenger_per_movement.CZ.Tr.Avia.Passenger.ExtraEEAwCHUK</t>
  </si>
  <si>
    <t>Load.t_per_movement.CZ.Tr.Avia.Freight</t>
  </si>
  <si>
    <t>Load.t_per_movement.CZ.Tr.Avia.Freight.Domestic</t>
  </si>
  <si>
    <t>Load.t_per_movement.CZ.Tr.Avia.Freight.IntraEEAwCHUK</t>
  </si>
  <si>
    <t>Load.t_per_movement.CZ.Tr.Avia.Freight.ExtraEEAwCHUK</t>
  </si>
  <si>
    <t>VehicleKm_per_flight.km.CZ.Tr.Avia</t>
  </si>
  <si>
    <t>VehicleKm_per_flight.km.CZ.Tr.Avia.Passenger</t>
  </si>
  <si>
    <t>VehicleKm_per_flight.km.CZ.Tr.Avia.Passenger.Domestic</t>
  </si>
  <si>
    <t>VehicleKm_per_flight.km.CZ.Tr.Avia.Passenger.IntraEEAwCHUK</t>
  </si>
  <si>
    <t>VehicleKm_per_flight.km.CZ.Tr.Avia.Passenger.ExtraEEAwCHUK</t>
  </si>
  <si>
    <t>VehicleKm_per_flight.km.CZ.Tr.Avia.Freight</t>
  </si>
  <si>
    <t>VehicleKm_per_flight.km.CZ.Tr.Avia.Freight.Domestic</t>
  </si>
  <si>
    <t>VehicleKm_per_flight.km.CZ.Tr.Avia.Freight.IntraEEAwCHUK</t>
  </si>
  <si>
    <t>VehicleKm_per_flight.km.CZ.Tr.Avia.Freight.ExtraEEAwCHUK</t>
  </si>
  <si>
    <t>Activity_per_flight.pkm.CZ.Tr.Avia.Passenger</t>
  </si>
  <si>
    <t>Activity_per_flight.pkm.CZ.Tr.Avia.Passenger.Domestic</t>
  </si>
  <si>
    <t>Activity_per_flight.pkm.CZ.Tr.Avia.Passenger.IntraEEAwCHUK</t>
  </si>
  <si>
    <t>Activity_per_flight.pkm.CZ.Tr.Avia.Passenger.ExtraEEAwCHUK</t>
  </si>
  <si>
    <t>Activity_per_flight.tkm.CZ.Tr.Avia.Freight</t>
  </si>
  <si>
    <t>Activity_per_flight.tkm.CZ.Tr.Avia.Freight.Domestic</t>
  </si>
  <si>
    <t>Activity_per_flight.tkm.CZ.Tr.Avia.Freight.IntraEEAwCHUK</t>
  </si>
  <si>
    <t>Activity_per_flight.tkm.CZ.Tr.Avia.Freight.ExtraEEAwCHUK</t>
  </si>
  <si>
    <t>Flights_per_vehicle.number.CZ.Tr.Avia</t>
  </si>
  <si>
    <t>Flights_per_vehicle.number.CZ.Tr.Avia.Passenger</t>
  </si>
  <si>
    <t>Flights_per_vehicle.number.CZ.Tr.Avia.Passenger.Domestic</t>
  </si>
  <si>
    <t>Flights_per_vehicle.number.CZ.Tr.Avia.Passenger.IntraEEAwCHUK</t>
  </si>
  <si>
    <t>Flights_per_vehicle.number.CZ.Tr.Avia.Passenger.ExtraEEAwCHUK</t>
  </si>
  <si>
    <t>Flights_per_vehicle.number.CZ.Tr.Avia.Freight</t>
  </si>
  <si>
    <t>Flights_per_vehicle.number.CZ.Tr.Avia.Freight.Domestic</t>
  </si>
  <si>
    <t>Flights_per_vehicle.number.CZ.Tr.Avia.Freight.IntraEEAwCHUK</t>
  </si>
  <si>
    <t>Flights_per_vehicle.number.CZ.Tr.Avia.Freight.ExtraEEAwCHUK</t>
  </si>
  <si>
    <t>Aviation / energy consumption - CZ - Czechia</t>
  </si>
  <si>
    <t>FEC.ktoe.CZ.Tr.Avia</t>
  </si>
  <si>
    <t>FEC.ktoe.CZ.Tr.Avia.Domestic</t>
  </si>
  <si>
    <t>FEC.ktoe.CZ.Tr.Avia.International</t>
  </si>
  <si>
    <t>FEC.ktoe.CZ.Tr.Avia.Passenger</t>
  </si>
  <si>
    <t>FEC.ktoe.CZ.Tr.Avia.Passenger.Domestic</t>
  </si>
  <si>
    <t>FEC.ktoe.CZ.Tr.Avia.Passenger.IntraEEAwCHUK</t>
  </si>
  <si>
    <t>FEC.ktoe.CZ.Tr.Avia.Passenger.ExtraEEAwCHUK</t>
  </si>
  <si>
    <t>FEC.ktoe.CZ.Tr.Avia.Freight</t>
  </si>
  <si>
    <t>FEC.ktoe.CZ.Tr.Avia.Freight.Domestic</t>
  </si>
  <si>
    <t>FEC.ktoe.CZ.Tr.Avia.Freight.IntraEEAwCHUK</t>
  </si>
  <si>
    <t>FEC.ktoe.CZ.Tr.Avia.Freight.ExtraEEAwCHUK</t>
  </si>
  <si>
    <t>Eff.kgoe_per_100km.CZ.Tr.Avia</t>
  </si>
  <si>
    <t>Eff.kgoe_per_100km.CZ.Tr.Avia.Passenger</t>
  </si>
  <si>
    <t>Eff.kgoe_per_100km.CZ.Tr.Avia.Passenger.Domestic</t>
  </si>
  <si>
    <t>Eff.kgoe_per_100km.CZ.Tr.Avia.Passenger.IntraEEAwCHUK</t>
  </si>
  <si>
    <t>Eff.kgoe_per_100km.CZ.Tr.Avia.Passenger.ExtraEEAwCHUK</t>
  </si>
  <si>
    <t>Eff.kgoe_per_100km.CZ.Tr.Avia.Freight</t>
  </si>
  <si>
    <t>Eff.kgoe_per_100km.CZ.Tr.Avia.Freight.Domestic</t>
  </si>
  <si>
    <t>Eff.kgoe_per_100km.CZ.Tr.Avia.Freight.IntraEEAwCHUK</t>
  </si>
  <si>
    <t>Eff.kgoe_per_100km.CZ.Tr.Avia.Freight.ExtraEEAwCHUK</t>
  </si>
  <si>
    <t>Eff.kgoe_per_kpkm.CZ.Tr.Avia.Passenger</t>
  </si>
  <si>
    <t>Eff.kgoe_per_kpkm.CZ.Tr.Avia.Passenger.Domestic</t>
  </si>
  <si>
    <t>Eff.kgoe_per_kpkm.CZ.Tr.Avia.Passenger.IntraEEAwCHUK</t>
  </si>
  <si>
    <t>Eff.kgoe_per_kpkm.CZ.Tr.Avia.Passenger.ExtraEEAwCHUK</t>
  </si>
  <si>
    <t>Eff.kgoe_per_ktkm.CZ.Tr.Avia.Freight</t>
  </si>
  <si>
    <t>Eff.kgoe_per_ktkm.CZ.Tr.Avia.Freight.Domestic</t>
  </si>
  <si>
    <t>Eff.kgoe_per_ktkm.CZ.Tr.Avia.Freight.IntraEEAwCHUK</t>
  </si>
  <si>
    <t>Eff.kgoe_per_ktkm.CZ.Tr.Avia.Freight.ExtraEEAwCHUK</t>
  </si>
  <si>
    <t>FEC_per_flight.kgoe.CZ.Tr.Avia</t>
  </si>
  <si>
    <t>FEC_per_flight.kgoe.CZ.Tr.Avia.Passenger</t>
  </si>
  <si>
    <t>FEC_per_flight.kgoe.CZ.Tr.Avia.Passenger.Domestic</t>
  </si>
  <si>
    <t>FEC_per_flight.kgoe.CZ.Tr.Avia.Passenger.IntraEEAwCHUK</t>
  </si>
  <si>
    <t>FEC_per_flight.kgoe.CZ.Tr.Avia.Passenger.ExtraEEAwCHUK</t>
  </si>
  <si>
    <t>FEC_per_flight.kgoe.CZ.Tr.Avia.Freight</t>
  </si>
  <si>
    <t>FEC_per_flight.kgoe.CZ.Tr.Avia.Freight.Domestic</t>
  </si>
  <si>
    <t>FEC_per_flight.kgoe.CZ.Tr.Avia.Freight.IntraEEAwCHUK</t>
  </si>
  <si>
    <t>FEC_per_flight.kgoe.CZ.Tr.Avia.Freight.ExtraEEAwCHUK</t>
  </si>
  <si>
    <t>Eff_theor.kgoe_per_100km.CZ.Tr.Avia</t>
  </si>
  <si>
    <t>Eff_theor.kgoe_per_100km.CZ.Tr.Avia.Passenger</t>
  </si>
  <si>
    <t>Eff_theor.kgoe_per_100km.CZ.Tr.Avia.Passenger.Domestic</t>
  </si>
  <si>
    <t>Eff_theor.kgoe_per_100km.CZ.Tr.Avia.Passenger.IntraEEAwCHUK</t>
  </si>
  <si>
    <t>Eff_theor.kgoe_per_100km.CZ.Tr.Avia.Passenger.ExtraEEAwCHUK</t>
  </si>
  <si>
    <t>Eff_theor.kgoe_per_100km.CZ.Tr.Avia.Freight</t>
  </si>
  <si>
    <t>Eff_theor.kgoe_per_100km.CZ.Tr.Avia.Freight.Domestic</t>
  </si>
  <si>
    <t>Eff_theor.kgoe_per_100km.CZ.Tr.Avia.Freight.IntraEEAwCHUK</t>
  </si>
  <si>
    <t>Eff_theor.kgoe_per_100km.CZ.Tr.Avia.Freight.ExtraEEAwCHUK</t>
  </si>
  <si>
    <t>Aviation / CO2 emissions - CZ - Czechia</t>
  </si>
  <si>
    <t>EMI.ktCO2.CZ.Tr.Avia</t>
  </si>
  <si>
    <t>EMI.ktCO2.CZ.Tr.Avia.Domestic</t>
  </si>
  <si>
    <t>EMI.ktCO2.CZ.Tr.Avia.International</t>
  </si>
  <si>
    <t>EMI.ktCO2.CZ.Tr.Avia.Passenger</t>
  </si>
  <si>
    <t>EMI.ktCO2.CZ.Tr.Avia.Passenger.Domestic</t>
  </si>
  <si>
    <t>EMI.ktCO2.CZ.Tr.Avia.Passenger.IntraEEAwCHUK</t>
  </si>
  <si>
    <t>EMI.ktCO2.CZ.Tr.Avia.Passenger.ExtraEEAwCHUK</t>
  </si>
  <si>
    <t>EMI.ktCO2.CZ.Tr.Avia.Freight</t>
  </si>
  <si>
    <t>EMI.ktCO2.CZ.Tr.Avia.Freight.Domestic</t>
  </si>
  <si>
    <t>EMI.ktCO2.CZ.Tr.Avia.Freight.IntraEEAwCHUK</t>
  </si>
  <si>
    <t>EMI.ktCO2.CZ.Tr.Avia.Freight.ExtraEEAwCHUK</t>
  </si>
  <si>
    <t>EMIint.gCO2_per_km.CZ.Tr.Avia</t>
  </si>
  <si>
    <t>EMIint.gCO2_per_km.CZ.Tr.Avia.Passenger</t>
  </si>
  <si>
    <t>EMIint.gCO2_per_km.CZ.Tr.Avia.Passenger.Domestic</t>
  </si>
  <si>
    <t>EMIint.gCO2_per_km.CZ.Tr.Avia.Passenger.IntraEEAwCHUK</t>
  </si>
  <si>
    <t>EMIint.gCO2_per_km.CZ.Tr.Avia.Passenger.ExtraEEAwCHUK</t>
  </si>
  <si>
    <t>EMIint.gCO2_per_km.CZ.Tr.Avia.Freight</t>
  </si>
  <si>
    <t>EMIint.gCO2_per_km.CZ.Tr.Avia.Freight.Domestic</t>
  </si>
  <si>
    <t>EMIint.gCO2_per_km.CZ.Tr.Avia.Freight.IntraEEAwCHUK</t>
  </si>
  <si>
    <t>EMIint.gCO2_per_km.CZ.Tr.Avia.Freight.ExtraEEAwCHUK</t>
  </si>
  <si>
    <t>EMIint.gCO2_per_pkm.CZ.Tr.Avia.Passenger</t>
  </si>
  <si>
    <t>EMIint.gCO2_per_pkm.CZ.Tr.Avia.Passenger.Domestic</t>
  </si>
  <si>
    <t>EMIint.gCO2_per_pkm.CZ.Tr.Avia.Passenger.IntraEEAwCHUK</t>
  </si>
  <si>
    <t>EMIint.gCO2_per_pkm.CZ.Tr.Avia.Passenger.ExtraEEAwCHUK</t>
  </si>
  <si>
    <t>EMIint.gCO2_per_tkm.CZ.Tr.Avia.Freight</t>
  </si>
  <si>
    <t>EMIint.gCO2_per_tkm.CZ.Tr.Avia.Freight.Domestic</t>
  </si>
  <si>
    <t>EMIint.gCO2_per_tkm.CZ.Tr.Avia.Freight.IntraEEAwCHUK</t>
  </si>
  <si>
    <t>EMIint.gCO2_per_tkm.CZ.Tr.Avia.Freight.ExtraEEAwCHUK</t>
  </si>
  <si>
    <t>EMI_per_flight.kgCO2.CZ.Tr.Avia</t>
  </si>
  <si>
    <t>EMI_per_flight.kgCO2.CZ.Tr.Avia.Passenger</t>
  </si>
  <si>
    <t>EMI_per_flight.kgCO2.CZ.Tr.Avia.Passenger.Domestic</t>
  </si>
  <si>
    <t>EMI_per_flight.kgCO2.CZ.Tr.Avia.Passenger.IntraEEAwCHUK</t>
  </si>
  <si>
    <t>EMI_per_flight.kgCO2.CZ.Tr.Avia.Passenger.ExtraEEAwCHUK</t>
  </si>
  <si>
    <t>EMI_per_flight.kgCO2.CZ.Tr.Avia.Freight</t>
  </si>
  <si>
    <t>EMI_per_flight.kgCO2.CZ.Tr.Avia.Freight.Domestic</t>
  </si>
  <si>
    <t>EMI_per_flight.kgCO2.CZ.Tr.Avia.Freight.IntraEEAwCHUK</t>
  </si>
  <si>
    <t>EMI_per_flight.kgCO2.CZ.Tr.Avia.Freight.ExtraEEAwCHUK</t>
  </si>
  <si>
    <t>Aviation / passenger transport specific data - CZ - Czechia</t>
  </si>
  <si>
    <t>TrCap.seats.CZ.Tr.Avia.Passenger</t>
  </si>
  <si>
    <t>TrCap.seats.CZ.Tr.Avia.Passenger.Domestic</t>
  </si>
  <si>
    <t>TrCap.seats.CZ.Tr.Avia.Passenger.IntraEEAwCHUK</t>
  </si>
  <si>
    <t>TrCap.seats.CZ.Tr.Avia.Passenger.ExtraEEAwCHUK</t>
  </si>
  <si>
    <t>TrCap_per_flight.seats.CZ.Tr.Avia.Passenger</t>
  </si>
  <si>
    <t>TrCap_per_flight.seats.CZ.Tr.Avia.Passenger.Domestic</t>
  </si>
  <si>
    <t>TrCap_per_flight.seats.CZ.Tr.Avia.Passenger.IntraEEAwCHUK</t>
  </si>
  <si>
    <t>TrCap_per_flight.seats.CZ.Tr.Avia.Passenger.ExtraEEAwCHUK</t>
  </si>
  <si>
    <t>Transport overview - CZ - Czechia</t>
  </si>
  <si>
    <t>Activity.Mpkm.CZ.Tr</t>
  </si>
  <si>
    <t>Activity.Mpkm.CZ.Tr.Road.Passenger</t>
  </si>
  <si>
    <t>Activity.Mpkm.CZ.Tr.Road.Passenger.P2W</t>
  </si>
  <si>
    <t>Activity.Mpkm.CZ.Tr.Road.Passenger.Car</t>
  </si>
  <si>
    <t>Activity.Mpkm.CZ.Tr.Road.Passenger.Bus</t>
  </si>
  <si>
    <t>Activity.Mpkm.CZ.Tr.Rail.Passenger</t>
  </si>
  <si>
    <t>Activity.Mpkm.CZ.Tr.Rail.Passenger.MTU</t>
  </si>
  <si>
    <t>Activity.Mpkm.CZ.Tr.Rail.Passenger.CPT</t>
  </si>
  <si>
    <t>Activity.Mpkm.CZ.Tr.Rail.Passenger.HST</t>
  </si>
  <si>
    <t>Activity.Mtkm.CZ.Tr</t>
  </si>
  <si>
    <t>Activity.Mtkm.CZ.Tr.Road.Freight</t>
  </si>
  <si>
    <t>Activity.Mtkm.CZ.Tr.Road.Freight.LCV</t>
  </si>
  <si>
    <t>Activity.Mtkm.CZ.Tr.Road.Freight.HGV_All</t>
  </si>
  <si>
    <t>Activity.Mtkm.CZ.Tr.Rail.Freight</t>
  </si>
  <si>
    <t>Activity.Mtkm.CZ.Tr.DNavi.Freight</t>
  </si>
  <si>
    <t>Activity.Mtkm.CZ.Tr.DNavi.Freight.DCS</t>
  </si>
  <si>
    <t>Activity.Mtkm.CZ.Tr.DNavi.Freight.IWW</t>
  </si>
  <si>
    <t>Activity.Mtkm.CZ.MBunk.Freight</t>
  </si>
  <si>
    <t>Activity.Mtkm.CZ.MBunk.Freight.IntraEEA</t>
  </si>
  <si>
    <t>Activity.Mtkm.CZ.MBunk.Freight.ExtraEEA</t>
  </si>
  <si>
    <t>FEC.ktoe.CZ.Tr.Road.Passenger</t>
  </si>
  <si>
    <t>FEC.ktoe.CZ.Tr.Road.Passenger.P2W</t>
  </si>
  <si>
    <t>FEC.ktoe.CZ.Tr.Road.Passenger.Car</t>
  </si>
  <si>
    <t>FEC.ktoe.CZ.Tr.Road.Passenger.Bus</t>
  </si>
  <si>
    <t>FEC.ktoe.CZ.Tr.Rail.Passenger</t>
  </si>
  <si>
    <t>FEC.ktoe.CZ.Tr.Rail.Passenger.MTU</t>
  </si>
  <si>
    <t>FEC.ktoe.CZ.Tr.Rail.Passenger.CPT</t>
  </si>
  <si>
    <t>FEC.ktoe.CZ.Tr.Rail.Passenger.HST</t>
  </si>
  <si>
    <t>FEC.ktoe.CZ.Tr.Road.Freight</t>
  </si>
  <si>
    <t>FEC.ktoe.CZ.Tr.Road.Freight.LCV</t>
  </si>
  <si>
    <t>FEC.ktoe.CZ.Tr.Road.Freight.HGV_All</t>
  </si>
  <si>
    <t>FEC.ktoe.CZ.Tr.Rail.Freight</t>
  </si>
  <si>
    <t>EMI.ktCO2.CZ.Tr.Road.Passenger</t>
  </si>
  <si>
    <t>EMI.ktCO2.CZ.Tr.Road.Passenger.P2W</t>
  </si>
  <si>
    <t>EMI.ktCO2.CZ.Tr.Road.Passenger.Car</t>
  </si>
  <si>
    <t>EMI.ktCO2.CZ.Tr.Road.Passenger.Bus</t>
  </si>
  <si>
    <t>EMI.ktCO2.CZ.Tr.Rail.Passenger</t>
  </si>
  <si>
    <t>EMI.ktCO2.CZ.Tr.Rail.Passenger.MTU</t>
  </si>
  <si>
    <t>EMI.ktCO2.CZ.Tr.Rail.Passenger.CPT</t>
  </si>
  <si>
    <t>EMI.ktCO2.CZ.Tr.Rail.Passenger.HST</t>
  </si>
  <si>
    <t>EMI.ktCO2.CZ.Tr.Road.Freight</t>
  </si>
  <si>
    <t>EMI.ktCO2.CZ.Tr.Road.Freight.LCV</t>
  </si>
  <si>
    <t>EMI.ktCO2.CZ.Tr.Road.Freight.HGV_All</t>
  </si>
  <si>
    <t>EMI.ktCO2.CZ.Tr.Rail.Freight</t>
  </si>
  <si>
    <t>Eff.kgoe_per_kpkm.CZ.Tr</t>
  </si>
  <si>
    <t>Eff.kgoe_per_kpkm.CZ.Tr.Road.Passenger</t>
  </si>
  <si>
    <t>Eff.kgoe_per_kpkm.CZ.Tr.Road.Passenger.P2W</t>
  </si>
  <si>
    <t>Eff.kgoe_per_kpkm.CZ.Tr.Road.Passenger.Car</t>
  </si>
  <si>
    <t>Eff.kgoe_per_kpkm.CZ.Tr.Road.Passenger.Bus</t>
  </si>
  <si>
    <t>Eff.kgoe_per_kpkm.CZ.Tr.Rail.Passenger</t>
  </si>
  <si>
    <t>Eff.kgoe_per_kpkm.CZ.Tr.Rail.Passenger.MTU</t>
  </si>
  <si>
    <t>Eff.kgoe_per_kpkm.CZ.Tr.Rail.Passenger.CPT</t>
  </si>
  <si>
    <t>Eff.kgoe_per_kpkm.CZ.Tr.Rail.Passenger.HST</t>
  </si>
  <si>
    <t>Eff.kgoe_per_ktkm.CZ.Tr</t>
  </si>
  <si>
    <t>Eff.kgoe_per_ktkm.CZ.Tr.Road.Freight</t>
  </si>
  <si>
    <t>Eff.kgoe_per_ktkm.CZ.Tr.Road.Freight.LCV</t>
  </si>
  <si>
    <t>Eff.kgoe_per_ktkm.CZ.Tr.Road.Freight.HGV_All</t>
  </si>
  <si>
    <t>Eff.kgoe_per_ktkm.CZ.Tr.Rail.Freight</t>
  </si>
  <si>
    <t>Eff.kgoe_per_ktkm.CZ.Tr.DNavi.Freight</t>
  </si>
  <si>
    <t>Eff.kgoe_per_ktkm.CZ.Tr.DNavi.Freight.DCS</t>
  </si>
  <si>
    <t>Eff.kgoe_per_ktkm.CZ.Tr.DNavi.Freight.IWW</t>
  </si>
  <si>
    <t>Eff.kgoe_per_ktkm.CZ.MBunk.Freight</t>
  </si>
  <si>
    <t>Eff.kgoe_per_ktkm.CZ.MBunk.Freight.IntraEEA</t>
  </si>
  <si>
    <t>Eff.kgoe_per_ktkm.CZ.MBunk.Freight.ExtraEEA</t>
  </si>
  <si>
    <t>EMIint.gCO2_per_pkm.CZ.Tr</t>
  </si>
  <si>
    <t>EMIint.gCO2_per_pkm.CZ.Tr.Road.Passenger</t>
  </si>
  <si>
    <t>EMIint.gCO2_per_pkm.CZ.Tr.Road.Passenger.P2W</t>
  </si>
  <si>
    <t>EMIint.gCO2_per_pkm.CZ.Tr.Road.Passenger.Car</t>
  </si>
  <si>
    <t>EMIint.gCO2_per_pkm.CZ.Tr.Road.Passenger.Bus</t>
  </si>
  <si>
    <t>EMIint.gCO2_per_pkm.CZ.Tr.Rail.Passenger</t>
  </si>
  <si>
    <t>EMIint.gCO2_per_pkm.CZ.Tr.Rail.Passenger.MTU</t>
  </si>
  <si>
    <t>EMIint.gCO2_per_pkm.CZ.Tr.Rail.Passenger.CPT</t>
  </si>
  <si>
    <t>EMIint.gCO2_per_pkm.CZ.Tr.Rail.Passenger.HST</t>
  </si>
  <si>
    <t>EMIint.gCO2_per_tkm.CZ.Tr</t>
  </si>
  <si>
    <t>EMIint.gCO2_per_tkm.CZ.Tr.Road.Freight</t>
  </si>
  <si>
    <t>EMIint.gCO2_per_tkm.CZ.Tr.Road.Freight.LCV</t>
  </si>
  <si>
    <t>EMIint.gCO2_per_tkm.CZ.Tr.Road.Freight.HGV_All</t>
  </si>
  <si>
    <t>EMIint.gCO2_per_tkm.CZ.Tr.Rail.Freight</t>
  </si>
  <si>
    <t>EMIint.gCO2_per_tkm.CZ.Tr.DNavi.Freight</t>
  </si>
  <si>
    <t>EMIint.gCO2_per_tkm.CZ.Tr.DNavi.Freight.DCS</t>
  </si>
  <si>
    <t>EMIint.gCO2_per_tkm.CZ.Tr.DNavi.Freight.IWW</t>
  </si>
  <si>
    <t>EMIint.gCO2_per_tkm.CZ.MBunk.Freight</t>
  </si>
  <si>
    <t>EMIint.gCO2_per_tkm.CZ.MBunk.Freight.IntraEEA</t>
  </si>
  <si>
    <t>EMIint.gCO2_per_tkm.CZ.MBunk.Freight.ExtraEEA</t>
  </si>
  <si>
    <t>Road transport - CZ - Czechia</t>
  </si>
  <si>
    <t>Activity.Mpkm.CZ.Tr.Road.Passenger.Car.ICE.Gasoline</t>
  </si>
  <si>
    <t>Activity.Mpkm.CZ.Tr.Road.Passenger.Car.ICE.Diesel</t>
  </si>
  <si>
    <t>Activity.Mpkm.CZ.Tr.Road.Passenger.Car.ICE.LPG</t>
  </si>
  <si>
    <t>Activity.Mpkm.CZ.Tr.Road.Passenger.Car.ICE.NGas</t>
  </si>
  <si>
    <t>Activity.Mpkm.CZ.Tr.Road.Passenger.Car.PHEV.Gasoline</t>
  </si>
  <si>
    <t>Activity.Mpkm.CZ.Tr.Road.Passenger.Car.BEV</t>
  </si>
  <si>
    <t>Activity.Mpkm.CZ.Tr.Road.Passenger.Bus.ICE.Gasoline</t>
  </si>
  <si>
    <t>Activity.Mpkm.CZ.Tr.Road.Passenger.Bus.ICE.Diesel</t>
  </si>
  <si>
    <t>Activity.Mpkm.CZ.Tr.Road.Passenger.Bus.ICE.LPG</t>
  </si>
  <si>
    <t>Activity.Mpkm.CZ.Tr.Road.Passenger.Bus.ICE.NGas</t>
  </si>
  <si>
    <t>Activity.Mpkm.CZ.Tr.Road.Passenger.Bus.BEV</t>
  </si>
  <si>
    <t>Activity.Mtkm.CZ.Tr.Road.Freight.LCV.ICE.Gasoline</t>
  </si>
  <si>
    <t>Activity.Mtkm.CZ.Tr.Road.Freight.LCV.ICE.Diesel</t>
  </si>
  <si>
    <t>Activity.Mtkm.CZ.Tr.Road.Freight.LCV.ICE.LPG</t>
  </si>
  <si>
    <t>Activity.Mtkm.CZ.Tr.Road.Freight.LCV.ICE.NGas</t>
  </si>
  <si>
    <t>Activity.Mtkm.CZ.Tr.Road.Freight.LCV.BEV</t>
  </si>
  <si>
    <t>Activity.Mtkm.CZ.Tr.Road.Freight.HGV_Domestic</t>
  </si>
  <si>
    <t>Activity.Mtkm.CZ.Tr.Road.Freight.HGV_International</t>
  </si>
  <si>
    <t>VehicleKm.Mkm.CZ.Tr.Road</t>
  </si>
  <si>
    <t>VehicleKm.Mkm.CZ.Tr.Road.Passenger</t>
  </si>
  <si>
    <t>VehicleKm.Mkm.CZ.Tr.Road.Passenger.P2W</t>
  </si>
  <si>
    <t>VehicleKm.Mkm.CZ.Tr.Road.Passenger.Car</t>
  </si>
  <si>
    <t>VehicleKm.Mkm.CZ.Tr.Road.Passenger.Car.ICE.Gasoline</t>
  </si>
  <si>
    <t>VehicleKm.Mkm.CZ.Tr.Road.Passenger.Car.ICE.Diesel</t>
  </si>
  <si>
    <t>VehicleKm.Mkm.CZ.Tr.Road.Passenger.Car.ICE.LPG</t>
  </si>
  <si>
    <t>VehicleKm.Mkm.CZ.Tr.Road.Passenger.Car.ICE.NGas</t>
  </si>
  <si>
    <t>VehicleKm.Mkm.CZ.Tr.Road.Passenger.Car.PHEV.Gasoline</t>
  </si>
  <si>
    <t>VehicleKm.Mkm.CZ.Tr.Road.Passenger.Car.BEV</t>
  </si>
  <si>
    <t>VehicleKm.Mkm.CZ.Tr.Road.Passenger.Bus</t>
  </si>
  <si>
    <t>VehicleKm.Mkm.CZ.Tr.Road.Passenger.Bus.ICE.Gasoline</t>
  </si>
  <si>
    <t>VehicleKm.Mkm.CZ.Tr.Road.Passenger.Bus.ICE.Diesel</t>
  </si>
  <si>
    <t>VehicleKm.Mkm.CZ.Tr.Road.Passenger.Bus.ICE.LPG</t>
  </si>
  <si>
    <t>VehicleKm.Mkm.CZ.Tr.Road.Passenger.Bus.ICE.NGas</t>
  </si>
  <si>
    <t>VehicleKm.Mkm.CZ.Tr.Road.Passenger.Bus.BEV</t>
  </si>
  <si>
    <t>VehicleKm.Mkm.CZ.Tr.Road.Freight</t>
  </si>
  <si>
    <t>VehicleKm.Mkm.CZ.Tr.Road.Freight.LCV</t>
  </si>
  <si>
    <t>VehicleKm.Mkm.CZ.Tr.Road.Freight.LCV.ICE.Gasoline</t>
  </si>
  <si>
    <t>VehicleKm.Mkm.CZ.Tr.Road.Freight.LCV.ICE.Diesel</t>
  </si>
  <si>
    <t>VehicleKm.Mkm.CZ.Tr.Road.Freight.LCV.ICE.LPG</t>
  </si>
  <si>
    <t>VehicleKm.Mkm.CZ.Tr.Road.Freight.LCV.ICE.NGas</t>
  </si>
  <si>
    <t>VehicleKm.Mkm.CZ.Tr.Road.Freight.LCV.BEV</t>
  </si>
  <si>
    <t>VehicleKm.Mkm.CZ.Tr.Road.Freight.HGV_All</t>
  </si>
  <si>
    <t>VehicleKm.Mkm.CZ.Tr.Road.Freight.HGV_Domestic</t>
  </si>
  <si>
    <t>VehicleKm.Mkm.CZ.Tr.Road.Freight.HGV_International</t>
  </si>
  <si>
    <t>Stock.number.CZ.Tr.Road</t>
  </si>
  <si>
    <t>Stock.number.CZ.Tr.Road.Passenger</t>
  </si>
  <si>
    <t>Stock.number.CZ.Tr.Road.Passenger.P2W</t>
  </si>
  <si>
    <t>Stock.number.CZ.Tr.Road.Passenger.Car</t>
  </si>
  <si>
    <t>Stock.number.CZ.Tr.Road.Passenger.Car.ICE.Gasoline</t>
  </si>
  <si>
    <t>Stock.number.CZ.Tr.Road.Passenger.Car.ICE.Diesel</t>
  </si>
  <si>
    <t>Stock.number.CZ.Tr.Road.Passenger.Car.ICE.LPG</t>
  </si>
  <si>
    <t>Stock.number.CZ.Tr.Road.Passenger.Car.ICE.NGas</t>
  </si>
  <si>
    <t>Stock.number.CZ.Tr.Road.Passenger.Car.PHEV.Gasoline</t>
  </si>
  <si>
    <t>Stock.number.CZ.Tr.Road.Passenger.Car.BEV</t>
  </si>
  <si>
    <t>Stock.number.CZ.Tr.Road.Passenger.Bus</t>
  </si>
  <si>
    <t>Stock.number.CZ.Tr.Road.Passenger.Bus.ICE.Gasoline</t>
  </si>
  <si>
    <t>Stock.number.CZ.Tr.Road.Passenger.Bus.ICE.Diesel</t>
  </si>
  <si>
    <t>Stock.number.CZ.Tr.Road.Passenger.Bus.ICE.LPG</t>
  </si>
  <si>
    <t>Stock.number.CZ.Tr.Road.Passenger.Bus.ICE.NGas</t>
  </si>
  <si>
    <t>Stock.number.CZ.Tr.Road.Passenger.Bus.BEV</t>
  </si>
  <si>
    <t>Stock.number.CZ.Tr.Road.Freight</t>
  </si>
  <si>
    <t>Stock.number.CZ.Tr.Road.Freight.LCV</t>
  </si>
  <si>
    <t>Stock.number.CZ.Tr.Road.Freight.LCV.ICE.Gasoline</t>
  </si>
  <si>
    <t>Stock.number.CZ.Tr.Road.Freight.LCV.ICE.Diesel</t>
  </si>
  <si>
    <t>Stock.number.CZ.Tr.Road.Freight.LCV.ICE.LPG</t>
  </si>
  <si>
    <t>Stock.number.CZ.Tr.Road.Freight.LCV.ICE.NGas</t>
  </si>
  <si>
    <t>Stock.number.CZ.Tr.Road.Freight.LCV.BEV</t>
  </si>
  <si>
    <t>Stock.number.CZ.Tr.Road.Freight.HGV_All</t>
  </si>
  <si>
    <t>Stock.number.CZ.Tr.Road.Freight.HGV_Domestic</t>
  </si>
  <si>
    <t>Stock.number.CZ.Tr.Road.Freight.HGV_International</t>
  </si>
  <si>
    <t>StockNew.number.CZ.Tr.Road</t>
  </si>
  <si>
    <t>StockNew.number.CZ.Tr.Road.Passenger</t>
  </si>
  <si>
    <t>StockNew.number.CZ.Tr.Road.Passenger.P2W</t>
  </si>
  <si>
    <t>StockNew.number.CZ.Tr.Road.Passenger.Car</t>
  </si>
  <si>
    <t>StockNew.number.CZ.Tr.Road.Passenger.Car.ICE.Gasoline</t>
  </si>
  <si>
    <t>StockNew.number.CZ.Tr.Road.Passenger.Car.ICE.Diesel</t>
  </si>
  <si>
    <t>StockNew.number.CZ.Tr.Road.Passenger.Car.ICE.LPG</t>
  </si>
  <si>
    <t>StockNew.number.CZ.Tr.Road.Passenger.Car.ICE.NGas</t>
  </si>
  <si>
    <t>StockNew.number.CZ.Tr.Road.Passenger.Car.PHEV.Gasoline</t>
  </si>
  <si>
    <t>StockNew.number.CZ.Tr.Road.Passenger.Car.BEV</t>
  </si>
  <si>
    <t>StockNew.number.CZ.Tr.Road.Passenger.Bus</t>
  </si>
  <si>
    <t>StockNew.number.CZ.Tr.Road.Passenger.Bus.ICE.Gasoline</t>
  </si>
  <si>
    <t>StockNew.number.CZ.Tr.Road.Passenger.Bus.ICE.Diesel</t>
  </si>
  <si>
    <t>StockNew.number.CZ.Tr.Road.Passenger.Bus.ICE.LPG</t>
  </si>
  <si>
    <t>StockNew.number.CZ.Tr.Road.Passenger.Bus.ICE.NGas</t>
  </si>
  <si>
    <t>StockNew.number.CZ.Tr.Road.Passenger.Bus.BEV</t>
  </si>
  <si>
    <t>StockNew.number.CZ.Tr.Road.Freight</t>
  </si>
  <si>
    <t>StockNew.number.CZ.Tr.Road.Freight.LCV</t>
  </si>
  <si>
    <t>StockNew.number.CZ.Tr.Road.Freight.LCV.ICE.Gasoline</t>
  </si>
  <si>
    <t>StockNew.number.CZ.Tr.Road.Freight.LCV.ICE.Diesel</t>
  </si>
  <si>
    <t>StockNew.number.CZ.Tr.Road.Freight.LCV.ICE.LPG</t>
  </si>
  <si>
    <t>StockNew.number.CZ.Tr.Road.Freight.LCV.ICE.NGas</t>
  </si>
  <si>
    <t>StockNew.number.CZ.Tr.Road.Freight.LCV.BEV</t>
  </si>
  <si>
    <t>StockNew.number.CZ.Tr.Road.Freight.HGV_All</t>
  </si>
  <si>
    <t>StockNew.number.CZ.Tr.Road.Freight.HGV_Domestic</t>
  </si>
  <si>
    <t>StockNew.number.CZ.Tr.Road.Freight.HGV_International</t>
  </si>
  <si>
    <t>Load.passenger_per_movement.CZ.Tr.Road.Passenger</t>
  </si>
  <si>
    <t>Load.passenger_per_movement.CZ.Tr.Road.Passenger.P2W</t>
  </si>
  <si>
    <t>Load.passenger_per_movement.CZ.Tr.Road.Passenger.Car</t>
  </si>
  <si>
    <t>Load.passenger_per_movement.CZ.Tr.Road.Passenger.Car.ICE.Gasoline</t>
  </si>
  <si>
    <t>Load.passenger_per_movement.CZ.Tr.Road.Passenger.Car.ICE.Diesel</t>
  </si>
  <si>
    <t>Load.passenger_per_movement.CZ.Tr.Road.Passenger.Car.ICE.LPG</t>
  </si>
  <si>
    <t>Load.passenger_per_movement.CZ.Tr.Road.Passenger.Car.ICE.NGas</t>
  </si>
  <si>
    <t>Load.passenger_per_movement.CZ.Tr.Road.Passenger.Car.PHEV.Gasoline</t>
  </si>
  <si>
    <t>Load.passenger_per_movement.CZ.Tr.Road.Passenger.Car.BEV</t>
  </si>
  <si>
    <t>Load.passenger_per_movement.CZ.Tr.Road.Passenger.Bus</t>
  </si>
  <si>
    <t>Load.passenger_per_movement.CZ.Tr.Road.Passenger.Bus.ICE.Gasoline</t>
  </si>
  <si>
    <t>Load.passenger_per_movement.CZ.Tr.Road.Passenger.Bus.ICE.Diesel</t>
  </si>
  <si>
    <t>Load.passenger_per_movement.CZ.Tr.Road.Passenger.Bus.ICE.LPG</t>
  </si>
  <si>
    <t>Load.passenger_per_movement.CZ.Tr.Road.Passenger.Bus.ICE.NGas</t>
  </si>
  <si>
    <t>Load.passenger_per_movement.CZ.Tr.Road.Passenger.Bus.BEV</t>
  </si>
  <si>
    <t>Load.t_per_movement.CZ.Tr.Road.Freight</t>
  </si>
  <si>
    <t>Load.t_per_movement.CZ.Tr.Road.Freight.LCV</t>
  </si>
  <si>
    <t>Load.t_per_movement.CZ.Tr.Road.Freight.LCV.ICE.Gasoline</t>
  </si>
  <si>
    <t>Load.t_per_movement.CZ.Tr.Road.Freight.LCV.ICE.Diesel</t>
  </si>
  <si>
    <t>Load.t_per_movement.CZ.Tr.Road.Freight.LCV.ICE.LPG</t>
  </si>
  <si>
    <t>Load.t_per_movement.CZ.Tr.Road.Freight.LCV.ICE.NGas</t>
  </si>
  <si>
    <t>Load.t_per_movement.CZ.Tr.Road.Freight.LCV.BEV</t>
  </si>
  <si>
    <t>Load.t_per_movement.CZ.Tr.Road.Freight.HGV_All</t>
  </si>
  <si>
    <t>Load.t_per_movement.CZ.Tr.Road.Freight.HGV_Domestic</t>
  </si>
  <si>
    <t>Load.t_per_movement.CZ.Tr.Road.Freight.HGV_International</t>
  </si>
  <si>
    <t>VehicleKm_per_vehicle.km.CZ.Tr.Road</t>
  </si>
  <si>
    <t>VehicleKm_per_vehicle.km.CZ.Tr.Road.Passenger</t>
  </si>
  <si>
    <t>VehicleKm_per_vehicle.km.CZ.Tr.Road.Passenger.P2W</t>
  </si>
  <si>
    <t>VehicleKm_per_vehicle.km.CZ.Tr.Road.Passenger.Car</t>
  </si>
  <si>
    <t>VehicleKm_per_vehicle.km.CZ.Tr.Road.Passenger.Car.ICE.Gasoline</t>
  </si>
  <si>
    <t>VehicleKm_per_vehicle.km.CZ.Tr.Road.Passenger.Car.ICE.Diesel</t>
  </si>
  <si>
    <t>VehicleKm_per_vehicle.km.CZ.Tr.Road.Passenger.Car.ICE.LPG</t>
  </si>
  <si>
    <t>VehicleKm_per_vehicle.km.CZ.Tr.Road.Passenger.Car.ICE.NGas</t>
  </si>
  <si>
    <t>VehicleKm_per_vehicle.km.CZ.Tr.Road.Passenger.Car.PHEV.Gasoline</t>
  </si>
  <si>
    <t>VehicleKm_per_vehicle.km.CZ.Tr.Road.Passenger.Car.BEV</t>
  </si>
  <si>
    <t>VehicleKm_per_vehicle.km.CZ.Tr.Road.Passenger.Bus</t>
  </si>
  <si>
    <t>VehicleKm_per_vehicle.km.CZ.Tr.Road.Passenger.Bus.ICE.Gasoline</t>
  </si>
  <si>
    <t>VehicleKm_per_vehicle.km.CZ.Tr.Road.Passenger.Bus.ICE.Diesel</t>
  </si>
  <si>
    <t>VehicleKm_per_vehicle.km.CZ.Tr.Road.Passenger.Bus.ICE.LPG</t>
  </si>
  <si>
    <t>VehicleKm_per_vehicle.km.CZ.Tr.Road.Passenger.Bus.ICE.NGas</t>
  </si>
  <si>
    <t>VehicleKm_per_vehicle.km.CZ.Tr.Road.Passenger.Bus.BEV</t>
  </si>
  <si>
    <t>VehicleKm_per_vehicle.km.CZ.Tr.Road.Freight</t>
  </si>
  <si>
    <t>VehicleKm_per_vehicle.km.CZ.Tr.Road.Freight.LCV</t>
  </si>
  <si>
    <t>VehicleKm_per_vehicle.km.CZ.Tr.Road.Freight.LCV.ICE.Gasoline</t>
  </si>
  <si>
    <t>VehicleKm_per_vehicle.km.CZ.Tr.Road.Freight.LCV.ICE.Diesel</t>
  </si>
  <si>
    <t>VehicleKm_per_vehicle.km.CZ.Tr.Road.Freight.LCV.ICE.LPG</t>
  </si>
  <si>
    <t>VehicleKm_per_vehicle.km.CZ.Tr.Road.Freight.LCV.ICE.NGas</t>
  </si>
  <si>
    <t>VehicleKm_per_vehicle.km.CZ.Tr.Road.Freight.LCV.BEV</t>
  </si>
  <si>
    <t>VehicleKm_per_vehicle.km.CZ.Tr.Road.Freight.HGV_All</t>
  </si>
  <si>
    <t>VehicleKm_per_vehicle.km.CZ.Tr.Road.Freight.HGV_Domestic</t>
  </si>
  <si>
    <t>VehicleKm_per_vehicle.km.CZ.Tr.Road.Freight.HGV_International</t>
  </si>
  <si>
    <t>Activity_per_vehicle.pkm.CZ.Tr.Road.Passenger</t>
  </si>
  <si>
    <t>Activity_per_vehicle.pkm.CZ.Tr.Road.Passenger.P2W</t>
  </si>
  <si>
    <t>Activity_per_vehicle.pkm.CZ.Tr.Road.Passenger.Car</t>
  </si>
  <si>
    <t>Activity_per_vehicle.pkm.CZ.Tr.Road.Passenger.Car.ICE.Gasoline</t>
  </si>
  <si>
    <t>Activity_per_vehicle.pkm.CZ.Tr.Road.Passenger.Car.ICE.Diesel</t>
  </si>
  <si>
    <t>Activity_per_vehicle.pkm.CZ.Tr.Road.Passenger.Car.ICE.LPG</t>
  </si>
  <si>
    <t>Activity_per_vehicle.pkm.CZ.Tr.Road.Passenger.Car.ICE.NGas</t>
  </si>
  <si>
    <t>Activity_per_vehicle.pkm.CZ.Tr.Road.Passenger.Car.PHEV.Gasoline</t>
  </si>
  <si>
    <t>Activity_per_vehicle.pkm.CZ.Tr.Road.Passenger.Car.BEV</t>
  </si>
  <si>
    <t>Activity_per_vehicle.pkm.CZ.Tr.Road.Passenger.Bus</t>
  </si>
  <si>
    <t>Activity_per_vehicle.pkm.CZ.Tr.Road.Passenger.Bus.ICE.Gasoline</t>
  </si>
  <si>
    <t>Activity_per_vehicle.pkm.CZ.Tr.Road.Passenger.Bus.ICE.Diesel</t>
  </si>
  <si>
    <t>Activity_per_vehicle.pkm.CZ.Tr.Road.Passenger.Bus.ICE.LPG</t>
  </si>
  <si>
    <t>Activity_per_vehicle.pkm.CZ.Tr.Road.Passenger.Bus.ICE.NGas</t>
  </si>
  <si>
    <t>Activity_per_vehicle.pkm.CZ.Tr.Road.Passenger.Bus.BEV</t>
  </si>
  <si>
    <t>Activity_per_vehicle.tkm.CZ.Tr.Road.Freight</t>
  </si>
  <si>
    <t>Activity_per_vehicle.tkm.CZ.Tr.Road.Freight.LCV</t>
  </si>
  <si>
    <t>Activity_per_vehicle.tkm.CZ.Tr.Road.Freight.LCV.ICE.Gasoline</t>
  </si>
  <si>
    <t>Activity_per_vehicle.tkm.CZ.Tr.Road.Freight.LCV.ICE.Diesel</t>
  </si>
  <si>
    <t>Activity_per_vehicle.tkm.CZ.Tr.Road.Freight.LCV.ICE.LPG</t>
  </si>
  <si>
    <t>Activity_per_vehicle.tkm.CZ.Tr.Road.Freight.LCV.ICE.NGas</t>
  </si>
  <si>
    <t>Activity_per_vehicle.tkm.CZ.Tr.Road.Freight.LCV.BEV</t>
  </si>
  <si>
    <t>Activity_per_vehicle.tkm.CZ.Tr.Road.Freight.HGV_All</t>
  </si>
  <si>
    <t>Activity_per_vehicle.tkm.CZ.Tr.Road.Freight.HGV_Domestic</t>
  </si>
  <si>
    <t>Activity_per_vehicle.tkm.CZ.Tr.Road.Freight.HGV_International</t>
  </si>
  <si>
    <t>Road transport / energy consumption - CZ - Czechia</t>
  </si>
  <si>
    <t>FEC.ktoe.CZ.ES.Tr.Road</t>
  </si>
  <si>
    <t>FEC.ktoe.CZ.ES.Tr.Road.LPG</t>
  </si>
  <si>
    <t>FEC.ktoe.CZ.ES.Tr.Road.Gasoline</t>
  </si>
  <si>
    <t>FEC.ktoe.CZ.ES.Tr.Road.Diesel</t>
  </si>
  <si>
    <t>FEC.ktoe.CZ.ES.Tr.Road.NG</t>
  </si>
  <si>
    <t>FEC.ktoe.CZ.ES.Tr.Road.Biogas</t>
  </si>
  <si>
    <t>FEC.ktoe.CZ.ES.Tr.Road.Biogasoline</t>
  </si>
  <si>
    <t>FEC.ktoe.CZ.ES.Tr.Road.Biodiesel</t>
  </si>
  <si>
    <t>FEC.ktoe.CZ.ES.Tr.Road.OthLiqBio</t>
  </si>
  <si>
    <t>FEC.ktoe.CZ.ES.Tr.Road.Elec</t>
  </si>
  <si>
    <t>FEC.ktoe.CZ.Tr.Road</t>
  </si>
  <si>
    <t>FEC.ktoe.CZ.Tr.Road.Passenger.P2W.Total.Total.Biogasoline</t>
  </si>
  <si>
    <t>FEC.ktoe.CZ.Tr.Road.Passenger.Car.ICE.Gasoline</t>
  </si>
  <si>
    <t>FEC.ktoe.CZ.Tr.Road.Passenger.Car.ICE.Gasoline.Biogasoline</t>
  </si>
  <si>
    <t>FEC.ktoe.CZ.Tr.Road.Passenger.Car.ICE.Diesel</t>
  </si>
  <si>
    <t>FEC.ktoe.CZ.Tr.Road.Passenger.Car.ICE.Diesel.BioDiesel_OthLiqBio</t>
  </si>
  <si>
    <t>FEC.ktoe.CZ.Tr.Road.Passenger.Car.ICE.LPG</t>
  </si>
  <si>
    <t>FEC.ktoe.CZ.Tr.Road.Passenger.Car.ICE.NGas</t>
  </si>
  <si>
    <t>FEC.ktoe.CZ.Tr.Road.Passenger.Car.ICE.NGas.Biogas</t>
  </si>
  <si>
    <t>FEC.ktoe.CZ.Tr.Road.Passenger.Car.PHEV.Gasoline</t>
  </si>
  <si>
    <t>FEC.ktoe.CZ.Tr.Road.Passenger.Car.PHEV.Gasoline.Biogasoline</t>
  </si>
  <si>
    <t>FEC.ktoe.CZ.Tr.Road.Passenger.Car.PHEV.Gasoline.Elec</t>
  </si>
  <si>
    <t>FEC.ktoe.CZ.Tr.Road.Passenger.Car.BEV</t>
  </si>
  <si>
    <t>FEC.ktoe.CZ.Tr.Road.Passenger.Bus.ICE.Gasoline</t>
  </si>
  <si>
    <t>FEC.ktoe.CZ.Tr.Road.Passenger.Bus.ICE.Gasoline.Biogasoline</t>
  </si>
  <si>
    <t>FEC.ktoe.CZ.Tr.Road.Passenger.Bus.ICE.Diesel</t>
  </si>
  <si>
    <t>FEC.ktoe.CZ.Tr.Road.Passenger.Bus.ICE.Diesel.BioDiesel_OthLiqBio</t>
  </si>
  <si>
    <t>FEC.ktoe.CZ.Tr.Road.Passenger.Bus.ICE.LPG</t>
  </si>
  <si>
    <t>FEC.ktoe.CZ.Tr.Road.Passenger.Bus.ICE.NGas</t>
  </si>
  <si>
    <t>FEC.ktoe.CZ.Tr.Road.Passenger.Bus.ICE.NGas.Biogas</t>
  </si>
  <si>
    <t>FEC.ktoe.CZ.Tr.Road.Passenger.Bus.BEV</t>
  </si>
  <si>
    <t>FEC.ktoe.CZ.Tr.Road.Freight.LCV.ICE.Gasoline</t>
  </si>
  <si>
    <t>FEC.ktoe.CZ.Tr.Road.Freight.LCV.ICE.Gasoline.Biogasoline</t>
  </si>
  <si>
    <t>FEC.ktoe.CZ.Tr.Road.Freight.LCV.ICE.Diesel</t>
  </si>
  <si>
    <t>FEC.ktoe.CZ.Tr.Road.Freight.LCV.ICE.Diesel.BioDiesel_OthLiqBio</t>
  </si>
  <si>
    <t>FEC.ktoe.CZ.Tr.Road.Freight.LCV.ICE.LPG</t>
  </si>
  <si>
    <t>FEC.ktoe.CZ.Tr.Road.Freight.LCV.ICE.NGas</t>
  </si>
  <si>
    <t>FEC.ktoe.CZ.Tr.Road.Freight.LCV.ICE.NGas.Biogas</t>
  </si>
  <si>
    <t>FEC.ktoe.CZ.Tr.Road.Freight.LCV.BEV</t>
  </si>
  <si>
    <t>FEC.ktoe.CZ.Tr.Road.Freight.HGV_Domestic</t>
  </si>
  <si>
    <t>FEC.ktoe.CZ.Tr.Road.Freight.HGV_Domestic.Total.Total.BioDiesel_OthLiqBio</t>
  </si>
  <si>
    <t>FEC.ktoe.CZ.Tr.Road.Freight.HGV_International</t>
  </si>
  <si>
    <t>FEC.ktoe.CZ.Tr.Road.Freight.HGV_International.Total.Total.BioDiesel_OthLiqBio</t>
  </si>
  <si>
    <t>Eff.kgoe_per_100km.CZ.Tr.Road</t>
  </si>
  <si>
    <t>Eff.kgoe_per_100km.CZ.Tr.Road.Passenger</t>
  </si>
  <si>
    <t>Eff.kgoe_per_100km.CZ.Tr.Road.Passenger.P2W</t>
  </si>
  <si>
    <t>Eff.kgoe_per_100km.CZ.Tr.Road.Passenger.Car</t>
  </si>
  <si>
    <t>Eff.kgoe_per_100km.CZ.Tr.Road.Passenger.Car.ICE.Gasoline</t>
  </si>
  <si>
    <t>Eff.kgoe_per_100km.CZ.Tr.Road.Passenger.Car.ICE.Diesel</t>
  </si>
  <si>
    <t>Eff.kgoe_per_100km.CZ.Tr.Road.Passenger.Car.ICE.LPG</t>
  </si>
  <si>
    <t>Eff.kgoe_per_100km.CZ.Tr.Road.Passenger.Car.ICE.NGas</t>
  </si>
  <si>
    <t>Eff.kgoe_per_100km.CZ.Tr.Road.Passenger.Car.PHEV.Gasoline</t>
  </si>
  <si>
    <t>Eff.kgoe_per_100km.CZ.Tr.Road.Passenger.Car.BEV</t>
  </si>
  <si>
    <t>Eff.kgoe_per_100km.CZ.Tr.Road.Passenger.Bus</t>
  </si>
  <si>
    <t>Eff.kgoe_per_100km.CZ.Tr.Road.Passenger.Bus.ICE.Gasoline</t>
  </si>
  <si>
    <t>Eff.kgoe_per_100km.CZ.Tr.Road.Passenger.Bus.ICE.Diesel</t>
  </si>
  <si>
    <t>Eff.kgoe_per_100km.CZ.Tr.Road.Passenger.Bus.ICE.LPG</t>
  </si>
  <si>
    <t>Eff.kgoe_per_100km.CZ.Tr.Road.Passenger.Bus.ICE.NGas</t>
  </si>
  <si>
    <t>Eff.kgoe_per_100km.CZ.Tr.Road.Passenger.Bus.BEV</t>
  </si>
  <si>
    <t>Eff.kgoe_per_100km.CZ.Tr.Road.Freight</t>
  </si>
  <si>
    <t>Eff.kgoe_per_100km.CZ.Tr.Road.Freight.LCV</t>
  </si>
  <si>
    <t>Eff.kgoe_per_100km.CZ.Tr.Road.Freight.LCV.ICE.Gasoline</t>
  </si>
  <si>
    <t>Eff.kgoe_per_100km.CZ.Tr.Road.Freight.LCV.ICE.Diesel</t>
  </si>
  <si>
    <t>Eff.kgoe_per_100km.CZ.Tr.Road.Freight.LCV.ICE.LPG</t>
  </si>
  <si>
    <t>Eff.kgoe_per_100km.CZ.Tr.Road.Freight.LCV.ICE.NGas</t>
  </si>
  <si>
    <t>Eff.kgoe_per_100km.CZ.Tr.Road.Freight.LCV.BEV</t>
  </si>
  <si>
    <t>Eff.kgoe_per_100km.CZ.Tr.Road.Freight.HGV_All</t>
  </si>
  <si>
    <t>Eff.kgoe_per_100km.CZ.Tr.Road.Freight.HGV_Domestic</t>
  </si>
  <si>
    <t>Eff.kgoe_per_100km.CZ.Tr.Road.Freight.HGV_International</t>
  </si>
  <si>
    <t>Eff.kgoe_per_kpkm.CZ.Tr.Road.Passenger.Car.ICE.Gasoline</t>
  </si>
  <si>
    <t>Eff.kgoe_per_kpkm.CZ.Tr.Road.Passenger.Car.ICE.Diesel</t>
  </si>
  <si>
    <t>Eff.kgoe_per_kpkm.CZ.Tr.Road.Passenger.Car.ICE.LPG</t>
  </si>
  <si>
    <t>Eff.kgoe_per_kpkm.CZ.Tr.Road.Passenger.Car.ICE.NGas</t>
  </si>
  <si>
    <t>Eff.kgoe_per_kpkm.CZ.Tr.Road.Passenger.Car.PHEV.Gasoline</t>
  </si>
  <si>
    <t>Eff.kgoe_per_kpkm.CZ.Tr.Road.Passenger.Car.BEV</t>
  </si>
  <si>
    <t>Eff.kgoe_per_kpkm.CZ.Tr.Road.Passenger.Bus.ICE.Gasoline</t>
  </si>
  <si>
    <t>Eff.kgoe_per_kpkm.CZ.Tr.Road.Passenger.Bus.ICE.Diesel</t>
  </si>
  <si>
    <t>Eff.kgoe_per_kpkm.CZ.Tr.Road.Passenger.Bus.ICE.LPG</t>
  </si>
  <si>
    <t>Eff.kgoe_per_kpkm.CZ.Tr.Road.Passenger.Bus.ICE.NGas</t>
  </si>
  <si>
    <t>Eff.kgoe_per_kpkm.CZ.Tr.Road.Passenger.Bus.BEV</t>
  </si>
  <si>
    <t>Eff.kgoe_per_ktkm.CZ.Tr.Road.Freight.LCV.ICE.Gasoline</t>
  </si>
  <si>
    <t>Eff.kgoe_per_ktkm.CZ.Tr.Road.Freight.LCV.ICE.Diesel</t>
  </si>
  <si>
    <t>Eff.kgoe_per_ktkm.CZ.Tr.Road.Freight.LCV.ICE.LPG</t>
  </si>
  <si>
    <t>Eff.kgoe_per_ktkm.CZ.Tr.Road.Freight.LCV.ICE.NGas</t>
  </si>
  <si>
    <t>Eff.kgoe_per_ktkm.CZ.Tr.Road.Freight.LCV.BEV</t>
  </si>
  <si>
    <t>Eff.kgoe_per_ktkm.CZ.Tr.Road.Freight.HGV_Domestic</t>
  </si>
  <si>
    <t>Eff.kgoe_per_ktkm.CZ.Tr.Road.Freight.HGV_International</t>
  </si>
  <si>
    <t>FEC_per_vehicle.kgoe.CZ.Tr.Road.Passenger.P2W</t>
  </si>
  <si>
    <t>FEC_per_vehicle.kgoe.CZ.Tr.Road.Passenger.Car</t>
  </si>
  <si>
    <t>FEC_per_vehicle.kgoe.CZ.Tr.Road.Passenger.Car.ICE.Gasoline</t>
  </si>
  <si>
    <t>FEC_per_vehicle.kgoe.CZ.Tr.Road.Passenger.Car.ICE.Diesel</t>
  </si>
  <si>
    <t>FEC_per_vehicle.kgoe.CZ.Tr.Road.Passenger.Car.ICE.LPG</t>
  </si>
  <si>
    <t>FEC_per_vehicle.kgoe.CZ.Tr.Road.Passenger.Car.ICE.NGas</t>
  </si>
  <si>
    <t>FEC_per_vehicle.kgoe.CZ.Tr.Road.Passenger.Car.PHEV.Gasoline</t>
  </si>
  <si>
    <t>FEC_per_vehicle.kgoe.CZ.Tr.Road.Passenger.Car.BEV</t>
  </si>
  <si>
    <t>FEC_per_vehicle.kgoe.CZ.Tr.Road.Passenger.Bus</t>
  </si>
  <si>
    <t>FEC_per_vehicle.kgoe.CZ.Tr.Road.Passenger.Bus.ICE.Gasoline</t>
  </si>
  <si>
    <t>FEC_per_vehicle.kgoe.CZ.Tr.Road.Passenger.Bus.ICE.Diesel</t>
  </si>
  <si>
    <t>FEC_per_vehicle.kgoe.CZ.Tr.Road.Passenger.Bus.ICE.LPG</t>
  </si>
  <si>
    <t>FEC_per_vehicle.kgoe.CZ.Tr.Road.Passenger.Bus.ICE.NGas</t>
  </si>
  <si>
    <t>FEC_per_vehicle.kgoe.CZ.Tr.Road.Passenger.Bus.BEV</t>
  </si>
  <si>
    <t>FEC_per_vehicle.kgoe.CZ.Tr.Road.Freight.LCV</t>
  </si>
  <si>
    <t>FEC_per_vehicle.kgoe.CZ.Tr.Road.Freight.LCV.ICE.Gasoline</t>
  </si>
  <si>
    <t>FEC_per_vehicle.kgoe.CZ.Tr.Road.Freight.LCV.ICE.Diesel</t>
  </si>
  <si>
    <t>FEC_per_vehicle.kgoe.CZ.Tr.Road.Freight.LCV.ICE.LPG</t>
  </si>
  <si>
    <t>FEC_per_vehicle.kgoe.CZ.Tr.Road.Freight.LCV.ICE.NGas</t>
  </si>
  <si>
    <t>FEC_per_vehicle.kgoe.CZ.Tr.Road.Freight.LCV.BEV</t>
  </si>
  <si>
    <t>FEC_per_vehicle.kgoe.CZ.Tr.Road.Freight.HGV_All</t>
  </si>
  <si>
    <t>FEC_per_vehicle.kgoe.CZ.Tr.Road.Freight.HGV_Domestic</t>
  </si>
  <si>
    <t>FEC_per_vehicle.kgoe.CZ.Tr.Road.Freight.HGV_International</t>
  </si>
  <si>
    <t>Road transport / CO2 emissions - CZ - Czechia</t>
  </si>
  <si>
    <t>EMI.ktCO2.CZ.ES.Tr.Road</t>
  </si>
  <si>
    <t>EMI.ktCO2.CZ.ES.Tr.Road.LPG</t>
  </si>
  <si>
    <t>EMI.ktCO2.CZ.ES.Tr.Road.Gasoline</t>
  </si>
  <si>
    <t>EMI.ktCO2.CZ.ES.Tr.Road.Diesel</t>
  </si>
  <si>
    <t>EMI.ktCO2.CZ.ES.Tr.Road.NG</t>
  </si>
  <si>
    <t>EMI.ktCO2.CZ.ES.Tr.Road.Biogas</t>
  </si>
  <si>
    <t>EMI.ktCO2.CZ.ES.Tr.Road.Biogasoline</t>
  </si>
  <si>
    <t>EMI.ktCO2.CZ.ES.Tr.Road.Biodiesel</t>
  </si>
  <si>
    <t>EMI.ktCO2.CZ.ES.Tr.Road.OthLiqBio</t>
  </si>
  <si>
    <t>EMI.ktCO2.CZ.ES.Tr.Road.Elec</t>
  </si>
  <si>
    <t>EMI.ktCO2.CZ.Tr.Road</t>
  </si>
  <si>
    <t>EMI.ktCO2.CZ.Tr.Road.Passenger.Car.ICE.Gasoline</t>
  </si>
  <si>
    <t>EMI.ktCO2.CZ.Tr.Road.Passenger.Car.ICE.Diesel</t>
  </si>
  <si>
    <t>EMI.ktCO2.CZ.Tr.Road.Passenger.Car.ICE.LPG</t>
  </si>
  <si>
    <t>EMI.ktCO2.CZ.Tr.Road.Passenger.Car.ICE.NGas</t>
  </si>
  <si>
    <t>EMI.ktCO2.CZ.Tr.Road.Passenger.Car.PHEV.Gasoline</t>
  </si>
  <si>
    <t>EMI.ktCO2.CZ.Tr.Road.Passenger.Car.BEV</t>
  </si>
  <si>
    <t>EMI.ktCO2.CZ.Tr.Road.Passenger.Bus.ICE.Gasoline</t>
  </si>
  <si>
    <t>EMI.ktCO2.CZ.Tr.Road.Passenger.Bus.ICE.Diesel</t>
  </si>
  <si>
    <t>EMI.ktCO2.CZ.Tr.Road.Passenger.Bus.ICE.LPG</t>
  </si>
  <si>
    <t>EMI.ktCO2.CZ.Tr.Road.Passenger.Bus.ICE.NGas</t>
  </si>
  <si>
    <t>EMI.ktCO2.CZ.Tr.Road.Passenger.Bus.BEV</t>
  </si>
  <si>
    <t>EMI.ktCO2.CZ.Tr.Road.Freight.LCV.ICE.Gasoline</t>
  </si>
  <si>
    <t>EMI.ktCO2.CZ.Tr.Road.Freight.LCV.ICE.Diesel</t>
  </si>
  <si>
    <t>EMI.ktCO2.CZ.Tr.Road.Freight.LCV.ICE.LPG</t>
  </si>
  <si>
    <t>EMI.ktCO2.CZ.Tr.Road.Freight.LCV.ICE.NGas</t>
  </si>
  <si>
    <t>EMI.ktCO2.CZ.Tr.Road.Freight.LCV.BEV</t>
  </si>
  <si>
    <t>EMI.ktCO2.CZ.Tr.Road.Freight.HGV_Domestic</t>
  </si>
  <si>
    <t>EMI.ktCO2.CZ.Tr.Road.Freight.HGV_International</t>
  </si>
  <si>
    <t>EMIint.gCO2_per_km.CZ.Tr.Road</t>
  </si>
  <si>
    <t>EMIint.gCO2_per_km.CZ.Tr.Road.Passenger</t>
  </si>
  <si>
    <t>EMIint.gCO2_per_km.CZ.Tr.Road.Passenger.P2W</t>
  </si>
  <si>
    <t>EMIint.gCO2_per_km.CZ.Tr.Road.Passenger.Car</t>
  </si>
  <si>
    <t>EMIint.gCO2_per_km.CZ.Tr.Road.Passenger.Car.ICE.Gasoline</t>
  </si>
  <si>
    <t>EMIint.gCO2_per_km.CZ.Tr.Road.Passenger.Car.ICE.Diesel</t>
  </si>
  <si>
    <t>EMIint.gCO2_per_km.CZ.Tr.Road.Passenger.Car.ICE.LPG</t>
  </si>
  <si>
    <t>EMIint.gCO2_per_km.CZ.Tr.Road.Passenger.Car.ICE.NGas</t>
  </si>
  <si>
    <t>EMIint.gCO2_per_km.CZ.Tr.Road.Passenger.Car.PHEV.Gasoline</t>
  </si>
  <si>
    <t>EMIint.gCO2_per_km.CZ.Tr.Road.Passenger.Car.BEV</t>
  </si>
  <si>
    <t>EMIint.gCO2_per_km.CZ.Tr.Road.Passenger.Bus</t>
  </si>
  <si>
    <t>EMIint.gCO2_per_km.CZ.Tr.Road.Passenger.Bus.ICE.Gasoline</t>
  </si>
  <si>
    <t>EMIint.gCO2_per_km.CZ.Tr.Road.Passenger.Bus.ICE.Diesel</t>
  </si>
  <si>
    <t>EMIint.gCO2_per_km.CZ.Tr.Road.Passenger.Bus.ICE.LPG</t>
  </si>
  <si>
    <t>EMIint.gCO2_per_km.CZ.Tr.Road.Passenger.Bus.ICE.NGas</t>
  </si>
  <si>
    <t>EMIint.gCO2_per_km.CZ.Tr.Road.Passenger.Bus.BEV</t>
  </si>
  <si>
    <t>EMIint.gCO2_per_km.CZ.Tr.Road.Freight</t>
  </si>
  <si>
    <t>EMIint.gCO2_per_km.CZ.Tr.Road.Freight.LCV</t>
  </si>
  <si>
    <t>EMIint.gCO2_per_km.CZ.Tr.Road.Freight.LCV.ICE.Gasoline</t>
  </si>
  <si>
    <t>EMIint.gCO2_per_km.CZ.Tr.Road.Freight.LCV.ICE.Diesel</t>
  </si>
  <si>
    <t>EMIint.gCO2_per_km.CZ.Tr.Road.Freight.LCV.ICE.LPG</t>
  </si>
  <si>
    <t>EMIint.gCO2_per_km.CZ.Tr.Road.Freight.LCV.ICE.NGas</t>
  </si>
  <si>
    <t>EMIint.gCO2_per_km.CZ.Tr.Road.Freight.LCV.BEV</t>
  </si>
  <si>
    <t>EMIint.gCO2_per_km.CZ.Tr.Road.Freight.HGV_All</t>
  </si>
  <si>
    <t>EMIint.gCO2_per_km.CZ.Tr.Road.Freight.HGV_Domestic</t>
  </si>
  <si>
    <t>EMIint.gCO2_per_km.CZ.Tr.Road.Freight.HGV_International</t>
  </si>
  <si>
    <t>EMIint.gCO2_per_pkm.CZ.Tr.Road.Passenger.Car.ICE.Gasoline</t>
  </si>
  <si>
    <t>EMIint.gCO2_per_pkm.CZ.Tr.Road.Passenger.Car.ICE.Diesel</t>
  </si>
  <si>
    <t>EMIint.gCO2_per_pkm.CZ.Tr.Road.Passenger.Car.ICE.LPG</t>
  </si>
  <si>
    <t>EMIint.gCO2_per_pkm.CZ.Tr.Road.Passenger.Car.ICE.NGas</t>
  </si>
  <si>
    <t>EMIint.gCO2_per_pkm.CZ.Tr.Road.Passenger.Car.PHEV.Gasoline</t>
  </si>
  <si>
    <t>EMIint.gCO2_per_pkm.CZ.Tr.Road.Passenger.Car.BEV</t>
  </si>
  <si>
    <t>EMIint.gCO2_per_pkm.CZ.Tr.Road.Passenger.Bus.ICE.Gasoline</t>
  </si>
  <si>
    <t>EMIint.gCO2_per_pkm.CZ.Tr.Road.Passenger.Bus.ICE.Diesel</t>
  </si>
  <si>
    <t>EMIint.gCO2_per_pkm.CZ.Tr.Road.Passenger.Bus.ICE.LPG</t>
  </si>
  <si>
    <t>EMIint.gCO2_per_pkm.CZ.Tr.Road.Passenger.Bus.ICE.NGas</t>
  </si>
  <si>
    <t>EMIint.gCO2_per_pkm.CZ.Tr.Road.Passenger.Bus.BEV</t>
  </si>
  <si>
    <t>EMIint.gCO2_per_tkm.CZ.Tr.Road.Freight.LCV.ICE.Gasoline</t>
  </si>
  <si>
    <t>EMIint.gCO2_per_tkm.CZ.Tr.Road.Freight.LCV.ICE.Diesel</t>
  </si>
  <si>
    <t>EMIint.gCO2_per_tkm.CZ.Tr.Road.Freight.LCV.ICE.LPG</t>
  </si>
  <si>
    <t>EMIint.gCO2_per_tkm.CZ.Tr.Road.Freight.LCV.ICE.NGas</t>
  </si>
  <si>
    <t>EMIint.gCO2_per_tkm.CZ.Tr.Road.Freight.LCV.BEV</t>
  </si>
  <si>
    <t>EMIint.gCO2_per_tkm.CZ.Tr.Road.Freight.HGV_Domestic</t>
  </si>
  <si>
    <t>EMIint.gCO2_per_tkm.CZ.Tr.Road.Freight.HGV_International</t>
  </si>
  <si>
    <t>EMI_per_vehicle.kgCO2.CZ.Tr.Road.Passenger.P2W</t>
  </si>
  <si>
    <t>EMI_per_vehicle.kgCO2.CZ.Tr.Road.Passenger.Car</t>
  </si>
  <si>
    <t>EMI_per_vehicle.kgCO2.CZ.Tr.Road.Passenger.Car.ICE.Gasoline</t>
  </si>
  <si>
    <t>EMI_per_vehicle.kgCO2.CZ.Tr.Road.Passenger.Car.ICE.Diesel</t>
  </si>
  <si>
    <t>EMI_per_vehicle.kgCO2.CZ.Tr.Road.Passenger.Car.ICE.LPG</t>
  </si>
  <si>
    <t>EMI_per_vehicle.kgCO2.CZ.Tr.Road.Passenger.Car.ICE.NGas</t>
  </si>
  <si>
    <t>EMI_per_vehicle.kgCO2.CZ.Tr.Road.Passenger.Car.PHEV.Gasoline</t>
  </si>
  <si>
    <t>EMI_per_vehicle.kgCO2.CZ.Tr.Road.Passenger.Car.BEV</t>
  </si>
  <si>
    <t>EMI_per_vehicle.kgCO2.CZ.Tr.Road.Passenger.Bus</t>
  </si>
  <si>
    <t>EMI_per_vehicle.kgCO2.CZ.Tr.Road.Passenger.Bus.ICE.Gasoline</t>
  </si>
  <si>
    <t>EMI_per_vehicle.kgCO2.CZ.Tr.Road.Passenger.Bus.ICE.Diesel</t>
  </si>
  <si>
    <t>EMI_per_vehicle.kgCO2.CZ.Tr.Road.Passenger.Bus.ICE.LPG</t>
  </si>
  <si>
    <t>EMI_per_vehicle.kgCO2.CZ.Tr.Road.Passenger.Bus.ICE.NGas</t>
  </si>
  <si>
    <t>EMI_per_vehicle.kgCO2.CZ.Tr.Road.Passenger.Bus.BEV</t>
  </si>
  <si>
    <t>EMI_per_vehicle.kgCO2.CZ.Tr.Road.Freight.LCV</t>
  </si>
  <si>
    <t>EMI_per_vehicle.kgCO2.CZ.Tr.Road.Freight.LCV.ICE.Gasoline</t>
  </si>
  <si>
    <t>EMI_per_vehicle.kgCO2.CZ.Tr.Road.Freight.LCV.ICE.Diesel</t>
  </si>
  <si>
    <t>EMI_per_vehicle.kgCO2.CZ.Tr.Road.Freight.LCV.ICE.LPG</t>
  </si>
  <si>
    <t>EMI_per_vehicle.kgCO2.CZ.Tr.Road.Freight.LCV.ICE.NGas</t>
  </si>
  <si>
    <t>EMI_per_vehicle.kgCO2.CZ.Tr.Road.Freight.LCV.BEV</t>
  </si>
  <si>
    <t>EMI_per_vehicle.kgCO2.CZ.Tr.Road.Freight.HGV_All</t>
  </si>
  <si>
    <t>EMI_per_vehicle.kgCO2.CZ.Tr.Road.Freight.HGV_Domestic</t>
  </si>
  <si>
    <t>EMI_per_vehicle.kgCO2.CZ.Tr.Road.Freight.HGV_International</t>
  </si>
  <si>
    <t>Road transport / technologies - CZ - Czechia</t>
  </si>
  <si>
    <t>Stock.number.CZ.Tr.Road.Freight.HGV_all</t>
  </si>
  <si>
    <t>StockVin.number.CZ.Tr.Road</t>
  </si>
  <si>
    <t>StockVin.number.CZ.Tr.Road.Passenger</t>
  </si>
  <si>
    <t>StockVin.number.CZ.Tr.Road.Passenger.P2W</t>
  </si>
  <si>
    <t>StockVin.number.CZ.Tr.Road.Passenger.Car</t>
  </si>
  <si>
    <t>StockVin.number.CZ.Tr.Road.Passenger.Car.ICE.Gasoline</t>
  </si>
  <si>
    <t>StockVin.number.CZ.Tr.Road.Passenger.Car.ICE.Diesel</t>
  </si>
  <si>
    <t>StockVin.number.CZ.Tr.Road.Passenger.Car.ICE.LPG</t>
  </si>
  <si>
    <t>StockVin.number.CZ.Tr.Road.Passenger.Car.ICE.NGas</t>
  </si>
  <si>
    <t>StockVin.number.CZ.Tr.Road.Passenger.Car.PHEV.Gasoline</t>
  </si>
  <si>
    <t>StockVin.number.CZ.Tr.Road.Passenger.Car.BEV</t>
  </si>
  <si>
    <t>StockVin.number.CZ.Tr.Road.Passenger.Bus</t>
  </si>
  <si>
    <t>StockVin.number.CZ.Tr.Road.Passenger.Bus.ICE.Gasoline</t>
  </si>
  <si>
    <t>StockVin.number.CZ.Tr.Road.Passenger.Bus.ICE.Diesel</t>
  </si>
  <si>
    <t>StockVin.number.CZ.Tr.Road.Passenger.Bus.ICE.LPG</t>
  </si>
  <si>
    <t>StockVin.number.CZ.Tr.Road.Passenger.Bus.ICE.NGas</t>
  </si>
  <si>
    <t>StockVin.number.CZ.Tr.Road.Passenger.Bus.BEV</t>
  </si>
  <si>
    <t>StockVin.number.CZ.Tr.Road.Freight</t>
  </si>
  <si>
    <t>StockVin.number.CZ.Tr.Road.Freight.LCV</t>
  </si>
  <si>
    <t>StockVin.number.CZ.Tr.Road.Freight.LCV.ICE.Gasoline</t>
  </si>
  <si>
    <t>StockVin.number.CZ.Tr.Road.Freight.LCV.ICE.Diesel</t>
  </si>
  <si>
    <t>StockVin.number.CZ.Tr.Road.Freight.LCV.ICE.LPG</t>
  </si>
  <si>
    <t>StockVin.number.CZ.Tr.Road.Freight.LCV.ICE.NGas</t>
  </si>
  <si>
    <t>StockVin.number.CZ.Tr.Road.Freight.LCV.BEV</t>
  </si>
  <si>
    <t>StockVin.number.CZ.Tr.Road.Freight.HGV_All</t>
  </si>
  <si>
    <t>StockVin.number.CZ.Tr.Road.Freight.HGV_Domestic</t>
  </si>
  <si>
    <t>StockVin.number.CZ.Tr.Road.Freight.HGV_International</t>
  </si>
  <si>
    <t>Eff_test_stock.kgoe_per_100km.CZ.Tr.Road.Passenger.P2W</t>
  </si>
  <si>
    <t>Eff_test_stock.kgoe_per_100km.CZ.Tr.Road.Passenger.Car</t>
  </si>
  <si>
    <t>Eff_test_stock.kgoe_per_100km.CZ.Tr.Road.Passenger.Car.ICE.Gasoline</t>
  </si>
  <si>
    <t>Eff_test_stock.kgoe_per_100km.CZ.Tr.Road.Passenger.Car.ICE.Diesel</t>
  </si>
  <si>
    <t>Eff_test_stock.kgoe_per_100km.CZ.Tr.Road.Passenger.Car.ICE.LPG</t>
  </si>
  <si>
    <t>Eff_test_stock.kgoe_per_100km.CZ.Tr.Road.Passenger.Car.ICE.NGas</t>
  </si>
  <si>
    <t>Eff_test_stock.kgoe_per_100km.CZ.Tr.Road.Passenger.Car.PHEV.Gasoline</t>
  </si>
  <si>
    <t>Eff_test_stock.kgoe_per_100km.CZ.Tr.Road.Passenger.Car.BEV</t>
  </si>
  <si>
    <t>Eff_test_stock.kgoe_per_100km.CZ.Tr.Road.Passenger.Bus</t>
  </si>
  <si>
    <t>Eff_test_stock.kgoe_per_100km.CZ.Tr.Road.Passenger.Bus.ICE.Gasoline</t>
  </si>
  <si>
    <t>Eff_test_stock.kgoe_per_100km.CZ.Tr.Road.Passenger.Bus.ICE.Diesel</t>
  </si>
  <si>
    <t>Eff_test_stock.kgoe_per_100km.CZ.Tr.Road.Passenger.Bus.ICE.LPG</t>
  </si>
  <si>
    <t>Eff_test_stock.kgoe_per_100km.CZ.Tr.Road.Passenger.Bus.ICE.NGas</t>
  </si>
  <si>
    <t>Eff_test_stock.kgoe_per_100km.CZ.Tr.Road.Passenger.Bus.BEV</t>
  </si>
  <si>
    <t>Eff_test_stock.kgoe_per_100km.CZ.Tr.Road.Freight.LCV</t>
  </si>
  <si>
    <t>Eff_test_stock.kgoe_per_100km.CZ.Tr.Road.Freight.LCV.ICE.Gasoline</t>
  </si>
  <si>
    <t>Eff_test_stock.kgoe_per_100km.CZ.Tr.Road.Freight.LCV.ICE.Diesel</t>
  </si>
  <si>
    <t>Eff_test_stock.kgoe_per_100km.CZ.Tr.Road.Freight.LCV.ICE.LPG</t>
  </si>
  <si>
    <t>Eff_test_stock.kgoe_per_100km.CZ.Tr.Road.Freight.LCV.ICE.NGas</t>
  </si>
  <si>
    <t>Eff_test_stock.kgoe_per_100km.CZ.Tr.Road.Freight.LCV.BEV</t>
  </si>
  <si>
    <t>Eff_test_stock.kgoe_per_100km.CZ.Tr.Road.Freight.HGV_All</t>
  </si>
  <si>
    <t>Eff_test_stock.kgoe_per_100km.CZ.Tr.Road.Freight.HGV_Domestic</t>
  </si>
  <si>
    <t>Eff_test_stock.kgoe_per_100km.CZ.Tr.Road.Freight.HGV_International</t>
  </si>
  <si>
    <t>Eff_test_new.kgoe_per_100km.CZ.Tr.Road.Passenger.P2W</t>
  </si>
  <si>
    <t>Eff_test_new.kgoe_per_100km.CZ.Tr.Road.Passenger.Car</t>
  </si>
  <si>
    <t>Eff_test_new.kgoe_per_100km.CZ.Tr.Road.Passenger.Car.ICE.Gasoline</t>
  </si>
  <si>
    <t>Eff_test_new.kgoe_per_100km.CZ.Tr.Road.Passenger.Car.ICE.Diesel</t>
  </si>
  <si>
    <t>Eff_test_new.kgoe_per_100km.CZ.Tr.Road.Passenger.Car.ICE.LPG</t>
  </si>
  <si>
    <t>Eff_test_new.kgoe_per_100km.CZ.Tr.Road.Passenger.Car.ICE.NGas</t>
  </si>
  <si>
    <t>Eff_test_new.kgoe_per_100km.CZ.Tr.Road.Passenger.Car.PHEV.Gasoline</t>
  </si>
  <si>
    <t>Eff_test_new.kgoe_per_100km.CZ.Tr.Road.Passenger.Car.BEV</t>
  </si>
  <si>
    <t>Eff_test_new.kgoe_per_100km.CZ.Tr.Road.Passenger.Bus</t>
  </si>
  <si>
    <t>Eff_test_new.kgoe_per_100km.CZ.Tr.Road.Passenger.Bus.ICE.Gasoline</t>
  </si>
  <si>
    <t>Eff_test_new.kgoe_per_100km.CZ.Tr.Road.Passenger.Bus.ICE.Diesel</t>
  </si>
  <si>
    <t>Eff_test_new.kgoe_per_100km.CZ.Tr.Road.Passenger.Bus.ICE.LPG</t>
  </si>
  <si>
    <t>Eff_test_new.kgoe_per_100km.CZ.Tr.Road.Passenger.Bus.ICE.NGas</t>
  </si>
  <si>
    <t>Eff_test_new.kgoe_per_100km.CZ.Tr.Road.Passenger.Bus.BEV</t>
  </si>
  <si>
    <t>Eff_test_new.kgoe_per_100km.CZ.Tr.Road.Freight.LCV</t>
  </si>
  <si>
    <t>Eff_test_new.kgoe_per_100km.CZ.Tr.Road.Freight.LCV.ICE.Gasoline</t>
  </si>
  <si>
    <t>Eff_test_new.kgoe_per_100km.CZ.Tr.Road.Freight.LCV.ICE.Diesel</t>
  </si>
  <si>
    <t>Eff_test_new.kgoe_per_100km.CZ.Tr.Road.Freight.LCV.ICE.LPG</t>
  </si>
  <si>
    <t>Eff_test_new.kgoe_per_100km.CZ.Tr.Road.Freight.LCV.ICE.NGas</t>
  </si>
  <si>
    <t>Eff_test_new.kgoe_per_100km.CZ.Tr.Road.Freight.LCV.BEV</t>
  </si>
  <si>
    <t>Eff_test_new.kgoe_per_100km.CZ.Tr.Road.Freight.HGV_All</t>
  </si>
  <si>
    <t>Eff_test_new.kgoe_per_100km.CZ.Tr.Road.Freight.HGV_Domestic</t>
  </si>
  <si>
    <t>Eff_test_new.kgoe_per_100km.CZ.Tr.Road.Freight.HGV_International</t>
  </si>
  <si>
    <t>EMIint_test_stock.gCO2_per_km.CZ.Tr.Road.Passenger.P2W</t>
  </si>
  <si>
    <t>EMIint_test_stock.gCO2_per_km.CZ.Tr.Road.Passenger.Car</t>
  </si>
  <si>
    <t>EMIint_test_stock.gCO2_per_km.CZ.Tr.Road.Passenger.Car.ICE.Gasoline</t>
  </si>
  <si>
    <t>EMIint_test_stock.gCO2_per_km.CZ.Tr.Road.Passenger.Car.ICE.Diesel</t>
  </si>
  <si>
    <t>EMIint_test_stock.gCO2_per_km.CZ.Tr.Road.Passenger.Car.ICE.LPG</t>
  </si>
  <si>
    <t>EMIint_test_stock.gCO2_per_km.CZ.Tr.Road.Passenger.Car.ICE.NGas</t>
  </si>
  <si>
    <t>EMIint_test_stock.gCO2_per_km.CZ.Tr.Road.Passenger.Car.PHEV.Gasoline</t>
  </si>
  <si>
    <t>EMIint_test_stock.gCO2_per_km.CZ.Tr.Road.Passenger.Car.BEV</t>
  </si>
  <si>
    <t>EMIint_test_stock.gCO2_per_km.CZ.Tr.Road.Passenger.Bus</t>
  </si>
  <si>
    <t>EMIint_test_stock.gCO2_per_km.CZ.Tr.Road.Passenger.Bus.ICE.Gasoline</t>
  </si>
  <si>
    <t>EMIint_test_stock.gCO2_per_km.CZ.Tr.Road.Passenger.Bus.ICE.Diesel</t>
  </si>
  <si>
    <t>EMIint_test_stock.gCO2_per_km.CZ.Tr.Road.Passenger.Bus.ICE.LPG</t>
  </si>
  <si>
    <t>EMIint_test_stock.gCO2_per_km.CZ.Tr.Road.Passenger.Bus.ICE.NGas</t>
  </si>
  <si>
    <t>EMIint_test_stock.gCO2_per_km.CZ.Tr.Road.Passenger.Bus.BEV</t>
  </si>
  <si>
    <t>EMIint_test_stock.gCO2_per_km.CZ.Tr.Road.Freight.LCV</t>
  </si>
  <si>
    <t>EMIint_test_stock.gCO2_per_km.CZ.Tr.Road.Freight.LCV.ICE.Gasoline</t>
  </si>
  <si>
    <t>EMIint_test_stock.gCO2_per_km.CZ.Tr.Road.Freight.LCV.ICE.Diesel</t>
  </si>
  <si>
    <t>EMIint_test_stock.gCO2_per_km.CZ.Tr.Road.Freight.LCV.ICE.LPG</t>
  </si>
  <si>
    <t>EMIint_test_stock.gCO2_per_km.CZ.Tr.Road.Freight.LCV.ICE.NGas</t>
  </si>
  <si>
    <t>EMIint_test_stock.gCO2_per_km.CZ.Tr.Road.Freight.LCV.BEV</t>
  </si>
  <si>
    <t>EMIint_test_stock.gCO2_per_km.CZ.Tr.Road.Freight.HGV_All</t>
  </si>
  <si>
    <t>EMIint_test_stock.gCO2_per_km.CZ.Tr.Road.Freight.HGV_Domestic</t>
  </si>
  <si>
    <t>EMIint_test_stock.gCO2_per_km.CZ.Tr.Road.Freight.HGV_International</t>
  </si>
  <si>
    <t>EMIint_test_new.gCO2_per_km.CZ.Tr.Road.Passenger.P2W</t>
  </si>
  <si>
    <t>EMIint_test_new.gCO2_per_km.CZ.Tr.Road.Passenger.Car</t>
  </si>
  <si>
    <t>EMIint_test_new.gCO2_per_km.CZ.Tr.Road.Passenger.Car.ICE.Gasoline</t>
  </si>
  <si>
    <t>EMIint_test_new.gCO2_per_km.CZ.Tr.Road.Passenger.Car.ICE.Diesel</t>
  </si>
  <si>
    <t>EMIint_test_new.gCO2_per_km.CZ.Tr.Road.Passenger.Car.ICE.LPG</t>
  </si>
  <si>
    <t>EMIint_test_new.gCO2_per_km.CZ.Tr.Road.Passenger.Car.ICE.NGas</t>
  </si>
  <si>
    <t>EMIint_test_new.gCO2_per_km.CZ.Tr.Road.Passenger.Car.PHEV.Gasoline</t>
  </si>
  <si>
    <t>EMIint_test_new.gCO2_per_km.CZ.Tr.Road.Passenger.Car.BEV</t>
  </si>
  <si>
    <t>EMIint_test_new.gCO2_per_km.CZ.Tr.Road.Passenger.Bus</t>
  </si>
  <si>
    <t>EMIint_test_new.gCO2_per_km.CZ.Tr.Road.Passenger.Bus.ICE.Gasoline</t>
  </si>
  <si>
    <t>EMIint_test_new.gCO2_per_km.CZ.Tr.Road.Passenger.Bus.ICE.Diesel</t>
  </si>
  <si>
    <t>EMIint_test_new.gCO2_per_km.CZ.Tr.Road.Passenger.Bus.ICE.LPG</t>
  </si>
  <si>
    <t>EMIint_test_new.gCO2_per_km.CZ.Tr.Road.Passenger.Bus.ICE.NGas</t>
  </si>
  <si>
    <t>EMIint_test_new.gCO2_per_km.CZ.Tr.Road.Passenger.Bus.BEV</t>
  </si>
  <si>
    <t>EMIint_test_new.gCO2_per_km.CZ.Tr.Road.Freight.LCV</t>
  </si>
  <si>
    <t>EMIint_test_new.gCO2_per_km.CZ.Tr.Road.Freight.LCV.ICE.Gasoline</t>
  </si>
  <si>
    <t>EMIint_test_new.gCO2_per_km.CZ.Tr.Road.Freight.LCV.ICE.Diesel</t>
  </si>
  <si>
    <t>EMIint_test_new.gCO2_per_km.CZ.Tr.Road.Freight.LCV.ICE.LPG</t>
  </si>
  <si>
    <t>EMIint_test_new.gCO2_per_km.CZ.Tr.Road.Freight.LCV.ICE.NGas</t>
  </si>
  <si>
    <t>EMIint_test_new.gCO2_per_km.CZ.Tr.Road.Freight.LCV.BEV</t>
  </si>
  <si>
    <t>EMIint_test_new.gCO2_per_km.CZ.Tr.Road.Freight.HGV_All</t>
  </si>
  <si>
    <t>EMIint_test_new.gCO2_per_km.CZ.Tr.Road.Freight.HGV_Domestic</t>
  </si>
  <si>
    <t>EMIint_test_new.gCO2_per_km.CZ.Tr.Road.Freight.HGV_International</t>
  </si>
  <si>
    <t>FEC.ktoe.CZ.MBunk</t>
  </si>
  <si>
    <t>FEC.ktoe.CZ.MBunk.IntraEEA</t>
  </si>
  <si>
    <t>FEC.ktoe.CZ.MBunk.ExtraEEA</t>
  </si>
  <si>
    <t>EMI.ktCO2.CZ.MBunk</t>
  </si>
  <si>
    <t>EMI.ktCO2.CZ.MBunk.IntraEEA</t>
  </si>
  <si>
    <t>EMI.ktCO2.CZ.MBunk.ExtraEEA</t>
  </si>
  <si>
    <t>International maritime bunkers - CZ - Czechia</t>
  </si>
  <si>
    <t>VehicleKm.Mkm.CZ.MBunk.Freight</t>
  </si>
  <si>
    <t>VehicleKm.Mkm.CZ.MBunk.Freight.IntraEEA</t>
  </si>
  <si>
    <t>VehicleKm.Mkm.CZ.MBunk.Freight.ExtraEEA</t>
  </si>
  <si>
    <t>Load.t_per_movement.CZ.MBunk.Freight</t>
  </si>
  <si>
    <t>Load.t_per_movement.CZ.MBunk.Freight.IntraEEA</t>
  </si>
  <si>
    <t>Load.t_per_movement.CZ.MBunk.Freight.ExtraEEA</t>
  </si>
  <si>
    <t>International maritime bunkers / energy consumption - CZ - Czechia</t>
  </si>
  <si>
    <t>FEC.ktoe.CZ.ES.MBunk</t>
  </si>
  <si>
    <t>FEC.ktoe.CZ.ES.MBunk.IntraEEA</t>
  </si>
  <si>
    <t>FEC.ktoe.CZ.ES.MBunk.IntraEEA.Diesel</t>
  </si>
  <si>
    <t>FEC.ktoe.CZ.ES.MBunk.IntraEEA.RFO_Other</t>
  </si>
  <si>
    <t>FEC.ktoe.CZ.ES.MBunk.IntraEEA.LiqBio</t>
  </si>
  <si>
    <t>FEC.ktoe.CZ.ES.MBunk.IntraEEA.NG</t>
  </si>
  <si>
    <t>FEC.ktoe.CZ.ES.MBunk.IntraEEA.Biogas</t>
  </si>
  <si>
    <t>FEC.ktoe.CZ.ES.MBunk.ExtraEEA</t>
  </si>
  <si>
    <t>FEC.ktoe.CZ.ES.MBunk.ExtraEEA.Diesel</t>
  </si>
  <si>
    <t>FEC.ktoe.CZ.ES.MBunk.ExtraEEA.RFO_Other</t>
  </si>
  <si>
    <t>FEC.ktoe.CZ.ES.MBunk.ExtraEEA.LiqBio</t>
  </si>
  <si>
    <t>FEC.ktoe.CZ.ES.MBunk.ExtraEEA.NG</t>
  </si>
  <si>
    <t>FEC.ktoe.CZ.ES.MBunk.ExtraEEA.Biogas</t>
  </si>
  <si>
    <t>Eff.kgoe_per_100km.CZ.MBunk.Freight</t>
  </si>
  <si>
    <t>Eff.kgoe_per_100km.CZ.MBunk.Freight.IntraEEA</t>
  </si>
  <si>
    <t>Eff.kgoe_per_100km.CZ.MBunk.Freight.ExtraEEA</t>
  </si>
  <si>
    <t>International maritime bunkers / CO2 emissions - CZ - Czechia</t>
  </si>
  <si>
    <t>EMI.ktCO2.CZ.ES.MBunk</t>
  </si>
  <si>
    <t>EMI.ktCO2.CZ.ES.MBunk.IntraEEA</t>
  </si>
  <si>
    <t>EMI.ktCO2.CZ.ES.MBunk.ExtraEEA</t>
  </si>
  <si>
    <t>EMIint.gCO2_per_km.CZ.MBunk.Freight</t>
  </si>
  <si>
    <t>EMIint.gCO2_per_km.CZ.MBunk.Freight.IntraEEA</t>
  </si>
  <si>
    <t>EMIint.gCO2_per_km.CZ.MBunk.Freight.ExtraEEA</t>
  </si>
  <si>
    <t>FEC.ktoe.CZ.Tr.DNavi</t>
  </si>
  <si>
    <t>FEC.ktoe.CZ.Tr.Dnavi.DCS</t>
  </si>
  <si>
    <t>FEC.ktoe.CZ.Tr.Dnavi.IWW</t>
  </si>
  <si>
    <t>EMI.ktCO2.CZ.Tr.DNavi</t>
  </si>
  <si>
    <t>EMI.ktCO2.CZ.Tr.Dnavi.DCS</t>
  </si>
  <si>
    <t>EMI.ktCO2.CZ.Tr.Dnavi.IWW</t>
  </si>
  <si>
    <t>Domestic navigation - CZ - Czechia</t>
  </si>
  <si>
    <t>VehicleKm.Mkm.CZ.Tr.DNavi.Freight</t>
  </si>
  <si>
    <t>VehicleKm.Mkm.CZ.Tr.DNavi.Freight.DCS</t>
  </si>
  <si>
    <t>VehicleKm.Mkm.CZ.Tr.DNavi.Freight.IWW</t>
  </si>
  <si>
    <t>Load.t_per_movement.CZ.Tr.DNavi.Freight</t>
  </si>
  <si>
    <t>Load.t_per_movement.CZ.Tr.DNavi.Freight.DCS</t>
  </si>
  <si>
    <t>Load.t_per_movement.CZ.Tr.DNavi.Freight.IWW</t>
  </si>
  <si>
    <t>Domestic navigation / energy consumption - CZ - Czechia</t>
  </si>
  <si>
    <t>FEC.ktoe.CZ.ES.Tr.DNavi</t>
  </si>
  <si>
    <t>FEC.ktoe.CZ.ES.Tr.DNavi.DCS</t>
  </si>
  <si>
    <t>FEC.ktoe.CZ.ES.Tr.DNavi.DCS.Diesel</t>
  </si>
  <si>
    <t>FEC.ktoe.CZ.ES.Tr.DNavi.DCS.RFO_Other</t>
  </si>
  <si>
    <t>FEC.ktoe.CZ.ES.Tr.DNavi.DCS.LiqBio</t>
  </si>
  <si>
    <t>FEC.ktoe.CZ.ES.Tr.DNavi.DCS.NG</t>
  </si>
  <si>
    <t>FEC.ktoe.CZ.ES.Tr.DNavi.DCS.Biogas</t>
  </si>
  <si>
    <t>FEC.ktoe.CZ.ES.Tr.DNavi.IWW</t>
  </si>
  <si>
    <t>FEC.ktoe.CZ.ES.Tr.DNavi.IWW.Diesel</t>
  </si>
  <si>
    <t>FEC.ktoe.CZ.ES.Tr.DNavi.IWW.RFO_Other</t>
  </si>
  <si>
    <t>FEC.ktoe.CZ.ES.Tr.DNavi.IWW.LiqBio</t>
  </si>
  <si>
    <t>FEC.ktoe.CZ.ES.Tr.DNavi.IWW.NG</t>
  </si>
  <si>
    <t>FEC.ktoe.CZ.ES.Tr.DNavi.IWW.Biogas</t>
  </si>
  <si>
    <t>Eff.kgoe_per_100km.CZ.Tr.DNavi.Freight</t>
  </si>
  <si>
    <t>Eff.kgoe_per_100km.CZ.Tr.DNavi.Freight.DCS</t>
  </si>
  <si>
    <t>Eff.kgoe_per_100km.CZ.Tr.DNavi.Freight.IWW</t>
  </si>
  <si>
    <t>Domestic navigation / CO2 emissions - CZ - Czechia</t>
  </si>
  <si>
    <t>EMI.ktCO2.CZ.ES.Tr.DNavi</t>
  </si>
  <si>
    <t>EMI.ktCO2.CZ.ES.Tr.DNavi.DCS</t>
  </si>
  <si>
    <t>EMI.ktCO2.CZ.ES.Tr.DNavi.IWW</t>
  </si>
  <si>
    <t>EMIint.gCO2_per_km.CZ.Tr.DNavi.Freight</t>
  </si>
  <si>
    <t>EMIint.gCO2_per_km.CZ.Tr.DNavi.Freight.DCS</t>
  </si>
  <si>
    <t>EMIint.gCO2_per_km.CZ.Tr.DNavi.Freight.IWW</t>
  </si>
  <si>
    <t>Rail, metro and tram - CZ - Czechia</t>
  </si>
  <si>
    <t>Activity.Mpkm.CZ.Tr.Rail.Passenger.CPT.Diesel</t>
  </si>
  <si>
    <t>Activity.Mpkm.CZ.Tr.Rail.Passenger.CPT.Elc</t>
  </si>
  <si>
    <t>Activity.Mtkm.CZ.Tr.Rail.Freight.Diesel</t>
  </si>
  <si>
    <t>Activity.Mtkm.CZ.Tr.Rail.Freight.Elc</t>
  </si>
  <si>
    <t>VehicleKm.Mkm.CZ.Tr.Rail</t>
  </si>
  <si>
    <t>VehicleKm.Mkm.CZ.Tr.Rail.Passenger</t>
  </si>
  <si>
    <t>VehicleKm.Mkm.CZ.Tr.Rail.Passenger.MTU</t>
  </si>
  <si>
    <t>VehicleKm.Mkm.CZ.Tr.Rail.Passenger.CPT</t>
  </si>
  <si>
    <t>VehicleKm.Mkm.CZ.Tr.Rail.Passenger.CPT.Diesel</t>
  </si>
  <si>
    <t>VehicleKm.Mkm.CZ.Tr.Rail.Passenger.CPT.Elc</t>
  </si>
  <si>
    <t>VehicleKm.Mkm.CZ.Tr.Rail.Passenger.HST</t>
  </si>
  <si>
    <t>VehicleKm.Mkm.CZ.Tr.Rail.Freight</t>
  </si>
  <si>
    <t>VehicleKm.Mkm.CZ.Tr.Rail.Freight.Diesel</t>
  </si>
  <si>
    <t>VehicleKm.Mkm.CZ.Tr.Rail.Freight.Elc</t>
  </si>
  <si>
    <t>Stock.number.CZ.Tr.Rail</t>
  </si>
  <si>
    <t>Stock.number.CZ.Tr.Rail.Passenger</t>
  </si>
  <si>
    <t>Stock.number.CZ.Tr.Rail.Passenger.MTU</t>
  </si>
  <si>
    <t>Stock.number.CZ.Tr.Rail.Passenger.CPT</t>
  </si>
  <si>
    <t>Stock.number.CZ.Tr.Rail.Passenger.CPT.Diesel</t>
  </si>
  <si>
    <t>Stock.number.CZ.Tr.Rail.Passenger.CPT.Elc</t>
  </si>
  <si>
    <t>Stock.number.CZ.Tr.Rail.Passenger.HST</t>
  </si>
  <si>
    <t>Stock.number.CZ.Tr.Rail.Freight</t>
  </si>
  <si>
    <t>Stock.number.CZ.Tr.Rail.Freight.Diesel</t>
  </si>
  <si>
    <t>Stock.number.CZ.Tr.Rail.Freight.Elc</t>
  </si>
  <si>
    <t>StockNew.number.CZ.Tr.Rail</t>
  </si>
  <si>
    <t>StockNew.number.CZ.Tr.Rail.Passenger</t>
  </si>
  <si>
    <t>StockNew.number.CZ.Tr.Rail.Passenger.MTU</t>
  </si>
  <si>
    <t>StockNew.number.CZ.Tr.Rail.Passenger.CPT</t>
  </si>
  <si>
    <t>StockNew.number.CZ.Tr.Rail.Passenger.CPT.Diesel</t>
  </si>
  <si>
    <t>StockNew.number.CZ.Tr.Rail.Passenger.CPT.Elc</t>
  </si>
  <si>
    <t>StockNew.number.CZ.Tr.Rail.Passenger.HST</t>
  </si>
  <si>
    <t>StockNew.number.CZ.Tr.Rail.Freight</t>
  </si>
  <si>
    <t>StockNew.number.CZ.Tr.Rail.Freight.Diesel</t>
  </si>
  <si>
    <t>StockNew.number.CZ.Tr.Rail.Freight.Elc</t>
  </si>
  <si>
    <t>Load.passenger_per_movement.CZ.Tr.Rail.Passenger</t>
  </si>
  <si>
    <t>Load.passenger_per_movement.CZ.Tr.Rail.Passenger.MTU</t>
  </si>
  <si>
    <t>Load.passenger_per_movement.CZ.Tr.Rail.Passenger.CPT</t>
  </si>
  <si>
    <t>Load.passenger_per_movement.CZ.Tr.Rail.Passenger.CPT.Diesel</t>
  </si>
  <si>
    <t>Load.passenger_per_movement.CZ.Tr.Rail.Passenger.CPT.Elc</t>
  </si>
  <si>
    <t>Load.passenger_per_movement.CZ.Tr.Rail.Passenger.HST</t>
  </si>
  <si>
    <t>Load.t_per_movement.CZ.Tr.Rail.Freight</t>
  </si>
  <si>
    <t>Load.t_per_movement.CZ.Tr.Rail.Freight.Diesel</t>
  </si>
  <si>
    <t>Load.t_per_movement.CZ.Tr.Rail.Freight.Elc</t>
  </si>
  <si>
    <t>TrCap.seats.CZ.Tr.Rail.Passenger</t>
  </si>
  <si>
    <t>TrCap.seats.CZ.Tr.Rail.Passenger.MTU</t>
  </si>
  <si>
    <t>TrCap.seats.CZ.Tr.Rail.Passenger.CPT</t>
  </si>
  <si>
    <t>TrCap.seats.CZ.Tr.Rail.Passenger.CPT.Diesel</t>
  </si>
  <si>
    <t>TrCap.seats.CZ.Tr.Rail.Passenger.CPT.Elc</t>
  </si>
  <si>
    <t>TrCap.seats.CZ.Tr.Rail.Passenger.HST</t>
  </si>
  <si>
    <t>TrCap.t.CZ.Tr.Rail.Freight</t>
  </si>
  <si>
    <t>TrCap.t.CZ.Tr.Rail.Freight.Diesel</t>
  </si>
  <si>
    <t>TrCap.t.CZ.Tr.Rail.Freight.Elc</t>
  </si>
  <si>
    <t>VehicleKm_per_vehicle.km.CZ.Tr.Rail</t>
  </si>
  <si>
    <t>VehicleKm_per_vehicle.km.CZ.Tr.Rail.Passenger</t>
  </si>
  <si>
    <t>VehicleKm_per_vehicle.km.CZ.Tr.Rail.Passenger.MTU</t>
  </si>
  <si>
    <t>VehicleKm_per_vehicle.km.CZ.Tr.Rail.Passenger.CPT</t>
  </si>
  <si>
    <t>VehicleKm_per_vehicle.km.CZ.Tr.Rail.Passenger.CPT.Diesel</t>
  </si>
  <si>
    <t>VehicleKm_per_vehicle.km.CZ.Tr.Rail.Passenger.CPT.Elc</t>
  </si>
  <si>
    <t>VehicleKm_per_vehicle.km.CZ.Tr.Rail.Passenger.HST</t>
  </si>
  <si>
    <t>VehicleKm_per_vehicle.km.CZ.Tr.Rail.Freight</t>
  </si>
  <si>
    <t>VehicleKm_per_vehicle.km.CZ.Tr.Rail.Freight.Diesel</t>
  </si>
  <si>
    <t>VehicleKm_per_vehicle.km.CZ.Tr.Rail.Freight.Elc</t>
  </si>
  <si>
    <t>Activity_per_vehicle.pkm.CZ.Tr.Rail.Passenger</t>
  </si>
  <si>
    <t>Activity_per_vehicle.pkm.CZ.Tr.Rail.Passenger.MTU</t>
  </si>
  <si>
    <t>Activity_per_vehicle.pkm.CZ.Tr.Rail.Passenger.CPT</t>
  </si>
  <si>
    <t>Activity_per_vehicle.pkm.CZ.Tr.Rail.Passenger.CPT.Diesel</t>
  </si>
  <si>
    <t>Activity_per_vehicle.pkm.CZ.Tr.Rail.Passenger.CPT.Elc</t>
  </si>
  <si>
    <t>Activity_per_vehicle.pkm.CZ.Tr.Rail.Passenger.HST</t>
  </si>
  <si>
    <t>Activity_per_vehicle.tkm.CZ.Tr.Rail.Freight</t>
  </si>
  <si>
    <t>Activity_per_vehicle.tkm.CZ.Tr.Rail.Freight.Diesel</t>
  </si>
  <si>
    <t>Activity_per_vehicle.tkm.CZ.Tr.Rail.Freight.Elc</t>
  </si>
  <si>
    <t>Rail, metro and tram / energy consumption - CZ - Czechia</t>
  </si>
  <si>
    <t>FEC.ktoe.CZ.ES.Tr.Rail</t>
  </si>
  <si>
    <t>FEC.ktoe.CZ.ES.Tr.Rail.Diesel</t>
  </si>
  <si>
    <t>FEC.ktoe.CZ.ES.Tr.Rail.LiqBio</t>
  </si>
  <si>
    <t>FEC.ktoe.CZ.ES.Tr.Rail.Elec</t>
  </si>
  <si>
    <t>FEC.ktoe.CZ.Tr.Rail</t>
  </si>
  <si>
    <t>FEC.ktoe.CZ.Tr.Rail.Passenger.CPT.Diesel</t>
  </si>
  <si>
    <t>FEC.ktoe.CZ.Tr.Rail.Passenger.CPT.Elc</t>
  </si>
  <si>
    <t>FEC.ktoe.CZ.Tr.Rail.Freight.Diesel</t>
  </si>
  <si>
    <t>FEC.ktoe.CZ.Tr.Rail.Freight.Elc</t>
  </si>
  <si>
    <t>Eff.kgoe_per_100km.CZ.Tr.Rail</t>
  </si>
  <si>
    <t>Eff.kgoe_per_100km.CZ.Tr.Rail.Passenger</t>
  </si>
  <si>
    <t>Eff.kgoe_per_100km.CZ.Tr.Rail.Passenger.MTU</t>
  </si>
  <si>
    <t>Eff.kgoe_per_100km.CZ.Tr.Rail.Passenger.CPT</t>
  </si>
  <si>
    <t>Eff.kgoe_per_100km.CZ.Tr.Rail.Passenger.CPT.Diesel</t>
  </si>
  <si>
    <t>Eff.kgoe_per_100km.CZ.Tr.Rail.Passenger.CPT.Elc</t>
  </si>
  <si>
    <t>Eff.kgoe_per_100km.CZ.Tr.Rail.Passenger.HST</t>
  </si>
  <si>
    <t>Eff.kgoe_per_100km.CZ.Tr.Rail.Freight</t>
  </si>
  <si>
    <t>Eff.kgoe_per_100km.CZ.Tr.Rail.Freight.Diesel</t>
  </si>
  <si>
    <t>Eff.kgoe_per_100km.CZ.Tr.Rail.Freight.Elc</t>
  </si>
  <si>
    <t>Eff.kgoe_per_kpkm.CZ.Tr.Rail.Passenger.CPT.Diesel</t>
  </si>
  <si>
    <t>Eff.kgoe_per_kpkm.CZ.Tr.Rail.Passenger.CPT.Elc</t>
  </si>
  <si>
    <t>Eff.kgoe_per_ktkm.CZ.Tr.Rail.Freight.Diesel</t>
  </si>
  <si>
    <t>Eff.kgoe_per_ktkm.CZ.Tr.Rail.Freight.Elc</t>
  </si>
  <si>
    <t>FEC_per_vehicle.kgoe.CZ.Tr.Rail</t>
  </si>
  <si>
    <t>FEC_per_vehicle.kgoe.CZ.Tr.Rail.Passenger</t>
  </si>
  <si>
    <t>FEC_per_vehicle.kgoe.CZ.Tr.Rail.Passenger.MTU</t>
  </si>
  <si>
    <t>FEC_per_vehicle.kgoe.CZ.Tr.Rail.Passenger.CPT</t>
  </si>
  <si>
    <t>FEC_per_vehicle.kgoe.CZ.Tr.Rail.Passenger.CPT.Diesel</t>
  </si>
  <si>
    <t>FEC_per_vehicle.kgoe.CZ.Tr.Rail.Passenger.CPT.Elc</t>
  </si>
  <si>
    <t>FEC_per_vehicle.kgoe.CZ.Tr.Rail.Passenger.HST</t>
  </si>
  <si>
    <t>FEC_per_vehicle.kgoe.CZ.Tr.Rail.Freight</t>
  </si>
  <si>
    <t>FEC_per_vehicle.kgoe.CZ.Tr.Rail.Freight.Diesel</t>
  </si>
  <si>
    <t>FEC_per_vehicle.kgoe.CZ.Tr.Rail.Freight.Elc</t>
  </si>
  <si>
    <t>Rail, metro and tram / CO2 emissions - CZ - Czechia</t>
  </si>
  <si>
    <t>EMI.ktCO2.CZ.ES.Tr.Rail</t>
  </si>
  <si>
    <t>EMI.ktCO2.CZ.ES.Tr.Rail.Diesel</t>
  </si>
  <si>
    <t>EMI.ktCO2.CZ.ES.Tr.Rail.Elec</t>
  </si>
  <si>
    <t>EMI.ktCO2.CZ.Tr.Rail</t>
  </si>
  <si>
    <t>EMI.ktCO2.CZ.Tr.Rail.Passenger.CPT.Diesel</t>
  </si>
  <si>
    <t>EMI.ktCO2.CZ.Tr.Rail.Passenger.CPT.Elc</t>
  </si>
  <si>
    <t>EMI.ktCO2.CZ.Tr.Rail.Freight.Diesel</t>
  </si>
  <si>
    <t>EMI.ktCO2.CZ.Tr.Rail.Freight.Elc</t>
  </si>
  <si>
    <t>EMIint.gCO2_per_km.CZ.Tr.Rail</t>
  </si>
  <si>
    <t>EMIint.gCO2_per_km.CZ.Tr.Rail.Passenger</t>
  </si>
  <si>
    <t>EMIint.gCO2_per_km.CZ.Tr.Rail.Passenger.MTU</t>
  </si>
  <si>
    <t>EMIint.gCO2_per_km.CZ.Tr.Rail.Passenger.CPT</t>
  </si>
  <si>
    <t>EMIint.gCO2_per_km.CZ.Tr.Rail.Passenger.CPT.Diesel</t>
  </si>
  <si>
    <t>EMIint.gCO2_per_km.CZ.Tr.Rail.Passenger.CPT.Elc</t>
  </si>
  <si>
    <t>EMIint.gCO2_per_km.CZ.Tr.Rail.Passenger.HST</t>
  </si>
  <si>
    <t>EMIint.gCO2_per_km.CZ.Tr.Rail.Freight</t>
  </si>
  <si>
    <t>EMIint.gCO2_per_km.CZ.Tr.Rail.Freight.Diesel</t>
  </si>
  <si>
    <t>EMIint.gCO2_per_km.CZ.Tr.Rail.Freight.Elc</t>
  </si>
  <si>
    <t>EMIint.gCO2_per_pkm.CZ.Tr.Rail.Passenger.CPT.Diesel</t>
  </si>
  <si>
    <t>EMIint.gCO2_per_pkm.CZ.Tr.Rail.Passenger.CPT.Elc</t>
  </si>
  <si>
    <t>EMIint.gCO2_per_tkm.CZ.Tr.Rail.Freight.Diesel</t>
  </si>
  <si>
    <t>EMIint.gCO2_per_tkm.CZ.Tr.Rail.Freight.Elc</t>
  </si>
  <si>
    <t>EMI_per_vehicle.tCO2.CZ.Tr.Rail</t>
  </si>
  <si>
    <t>EMI_per_vehicle.tCO2.CZ.Tr.Rail.Passenger</t>
  </si>
  <si>
    <t>EMI_per_vehicle.tCO2.CZ.Tr.Rail.Passenger.MTU</t>
  </si>
  <si>
    <t>EMI_per_vehicle.tCO2.CZ.Tr.Rail.Passenger.CPT</t>
  </si>
  <si>
    <t>EMI_per_vehicle.tCO2.CZ.Tr.Rail.Passenger.CPT.Diesel</t>
  </si>
  <si>
    <t>EMI_per_vehicle.tCO2.CZ.Tr.Rail.Passenger.CPT.Elc</t>
  </si>
  <si>
    <t>EMI_per_vehicle.tCO2.CZ.Tr.Rail.Passenger.HST</t>
  </si>
  <si>
    <t>EMI_per_vehicle.tCO2.CZ.Tr.Rail.Freight</t>
  </si>
  <si>
    <t>EMI_per_vehicle.tCO2.CZ.Tr.Rail.Freight.Diesel</t>
  </si>
  <si>
    <t>EMI_per_vehicle.tCO2.CZ.Tr.Rail.Freight.Elc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</si>
</sst>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45967.472905092596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100106.60084394667</v>
      </c>
      <c r="C4" s="28">
        <f t="shared" si="0"/>
        <v>101108.14733798904</v>
      </c>
      <c r="D4" s="28">
        <f t="shared" si="0"/>
        <v>101385.00098468365</v>
      </c>
      <c r="E4" s="28">
        <f t="shared" si="0"/>
        <v>106488.69879025087</v>
      </c>
      <c r="F4" s="28">
        <f t="shared" si="0"/>
        <v>107381.72118843958</v>
      </c>
      <c r="G4" s="28">
        <f t="shared" si="0"/>
        <v>108706.45510305851</v>
      </c>
      <c r="H4" s="28">
        <f t="shared" si="0"/>
        <v>110596.39438707712</v>
      </c>
      <c r="I4" s="28">
        <f t="shared" si="0"/>
        <v>113155.66236713526</v>
      </c>
      <c r="J4" s="28">
        <f t="shared" si="0"/>
        <v>115516.27135566479</v>
      </c>
      <c r="K4" s="28">
        <f t="shared" si="0"/>
        <v>114266.05290529589</v>
      </c>
      <c r="L4" s="28">
        <f t="shared" si="0"/>
        <v>106635.27355347283</v>
      </c>
      <c r="M4" s="28">
        <f t="shared" si="0"/>
        <v>107793.01105966729</v>
      </c>
      <c r="N4" s="28">
        <f t="shared" si="0"/>
        <v>107101.61341849127</v>
      </c>
      <c r="O4" s="28">
        <f t="shared" si="0"/>
        <v>108006.76892819119</v>
      </c>
      <c r="P4" s="28">
        <f t="shared" si="0"/>
        <v>111044.22262473873</v>
      </c>
      <c r="Q4" s="28">
        <f t="shared" si="0"/>
        <v>113823.44746171638</v>
      </c>
      <c r="R4" s="28">
        <f t="shared" ref="R4:V4" si="1">R5+R9+R13</f>
        <v>118708.69389384637</v>
      </c>
      <c r="S4" s="28">
        <f t="shared" si="1"/>
        <v>124663.67335117137</v>
      </c>
      <c r="T4" s="28">
        <f t="shared" si="1"/>
        <v>131334.76786699655</v>
      </c>
      <c r="U4" s="28">
        <f t="shared" si="1"/>
        <v>136535.89710643853</v>
      </c>
      <c r="V4" s="28">
        <f t="shared" si="1"/>
        <v>92738.329932284993</v>
      </c>
      <c r="W4" s="28">
        <f t="shared" ref="W4:Y4" si="2">W5+W9+W13</f>
        <v>112687.44063037678</v>
      </c>
      <c r="X4" s="28">
        <f t="shared" si="2"/>
        <v>128325.29877589832</v>
      </c>
      <c r="Y4" s="28">
        <f t="shared" si="2"/>
        <v>130796.36284464865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81621.97102729851</v>
      </c>
      <c r="C5" s="137">
        <f t="shared" si="3"/>
        <v>82430.646545298427</v>
      </c>
      <c r="D5" s="137">
        <f t="shared" si="3"/>
        <v>83229.263808267002</v>
      </c>
      <c r="E5" s="137">
        <f t="shared" si="3"/>
        <v>85189.534608617396</v>
      </c>
      <c r="F5" s="137">
        <f t="shared" si="3"/>
        <v>84188.301271809149</v>
      </c>
      <c r="G5" s="137">
        <f t="shared" si="3"/>
        <v>85697.261521008157</v>
      </c>
      <c r="H5" s="137">
        <f t="shared" si="3"/>
        <v>87136.643477376303</v>
      </c>
      <c r="I5" s="137">
        <f t="shared" si="3"/>
        <v>89208.96661931464</v>
      </c>
      <c r="J5" s="137">
        <f t="shared" si="3"/>
        <v>90082.66249279576</v>
      </c>
      <c r="K5" s="137">
        <f t="shared" si="3"/>
        <v>89963.603229612709</v>
      </c>
      <c r="L5" s="137">
        <f t="shared" si="3"/>
        <v>82164.207928549629</v>
      </c>
      <c r="M5" s="137">
        <f t="shared" si="3"/>
        <v>82988.082769516594</v>
      </c>
      <c r="N5" s="137">
        <f t="shared" si="3"/>
        <v>81647.559006617594</v>
      </c>
      <c r="O5" s="137">
        <f t="shared" si="3"/>
        <v>82071.182186037477</v>
      </c>
      <c r="P5" s="137">
        <f t="shared" si="3"/>
        <v>85049.36610307009</v>
      </c>
      <c r="Q5" s="137">
        <f t="shared" si="3"/>
        <v>86632.049461222254</v>
      </c>
      <c r="R5" s="137">
        <f t="shared" ref="R5:V5" si="4">R6+R7+R8</f>
        <v>89108.296126536545</v>
      </c>
      <c r="S5" s="137">
        <f t="shared" si="4"/>
        <v>91795.085953877788</v>
      </c>
      <c r="T5" s="137">
        <f t="shared" si="4"/>
        <v>95856.886292151146</v>
      </c>
      <c r="U5" s="137">
        <f t="shared" si="4"/>
        <v>99087.849114049241</v>
      </c>
      <c r="V5" s="137">
        <f t="shared" si="4"/>
        <v>79352.604423097742</v>
      </c>
      <c r="W5" s="137">
        <f t="shared" ref="W5:Y5" si="5">W6+W7+W8</f>
        <v>98360.577346995939</v>
      </c>
      <c r="X5" s="137">
        <f t="shared" si="5"/>
        <v>104697.157515342</v>
      </c>
      <c r="Y5" s="137">
        <f t="shared" si="5"/>
        <v>102960.70072725757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1510.671027298521</v>
      </c>
      <c r="C6" s="102">
        <f>TrRoad_act!C$5</f>
        <v>1441.3465452984162</v>
      </c>
      <c r="D6" s="102">
        <f>TrRoad_act!D$5</f>
        <v>1408.7638082670003</v>
      </c>
      <c r="E6" s="102">
        <f>TrRoad_act!E$5</f>
        <v>1404.7346086174064</v>
      </c>
      <c r="F6" s="102">
        <f>TrRoad_act!F$5</f>
        <v>1400.3012718091427</v>
      </c>
      <c r="G6" s="102">
        <f>TrRoad_act!G$5</f>
        <v>1449.3615210081628</v>
      </c>
      <c r="H6" s="102">
        <f>TrRoad_act!H$5</f>
        <v>1491.5434773762938</v>
      </c>
      <c r="I6" s="102">
        <f>TrRoad_act!I$5</f>
        <v>1548.0666193146517</v>
      </c>
      <c r="J6" s="102">
        <f>TrRoad_act!J$5</f>
        <v>1595.7624927957695</v>
      </c>
      <c r="K6" s="102">
        <f>TrRoad_act!K$5</f>
        <v>1611.6032296126934</v>
      </c>
      <c r="L6" s="102">
        <f>TrRoad_act!L$5</f>
        <v>1638.6079285496335</v>
      </c>
      <c r="M6" s="102">
        <f>TrRoad_act!M$5</f>
        <v>1665.2827695165961</v>
      </c>
      <c r="N6" s="102">
        <f>TrRoad_act!N$5</f>
        <v>1700.7590066175762</v>
      </c>
      <c r="O6" s="102">
        <f>TrRoad_act!O$5</f>
        <v>1700.2821860374754</v>
      </c>
      <c r="P6" s="102">
        <f>TrRoad_act!P$5</f>
        <v>1734.0661030700803</v>
      </c>
      <c r="Q6" s="102">
        <f>TrRoad_act!Q$5</f>
        <v>1803.0494612222476</v>
      </c>
      <c r="R6" s="102">
        <f>TrRoad_act!R$5</f>
        <v>1851.2961265365489</v>
      </c>
      <c r="S6" s="102">
        <f>TrRoad_act!S$5</f>
        <v>1746.0859538777979</v>
      </c>
      <c r="T6" s="102">
        <f>TrRoad_act!T$5</f>
        <v>1663.8862921511641</v>
      </c>
      <c r="U6" s="102">
        <f>TrRoad_act!U$5</f>
        <v>1767.8491140492608</v>
      </c>
      <c r="V6" s="102">
        <f>TrRoad_act!V$5</f>
        <v>1581.604423097742</v>
      </c>
      <c r="W6" s="102">
        <f>TrRoad_act!W$5</f>
        <v>1638.5773469959474</v>
      </c>
      <c r="X6" s="102">
        <f>TrRoad_act!X$5</f>
        <v>1661.1575153420274</v>
      </c>
      <c r="Y6" s="102">
        <f>TrRoad_act!Y$5</f>
        <v>1795.7007272575659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63939.999999999993</v>
      </c>
      <c r="C7" s="102">
        <f>TrRoad_act!C$6</f>
        <v>63470</v>
      </c>
      <c r="D7" s="102">
        <f>TrRoad_act!D$6</f>
        <v>65290.000000000007</v>
      </c>
      <c r="E7" s="102">
        <f>TrRoad_act!E$6</f>
        <v>67359.999999999985</v>
      </c>
      <c r="F7" s="102">
        <f>TrRoad_act!F$6</f>
        <v>67570</v>
      </c>
      <c r="G7" s="102">
        <f>TrRoad_act!G$6</f>
        <v>68640</v>
      </c>
      <c r="H7" s="102">
        <f>TrRoad_act!H$6</f>
        <v>69630</v>
      </c>
      <c r="I7" s="102">
        <f>TrRoad_act!I$6</f>
        <v>71540</v>
      </c>
      <c r="J7" s="102">
        <f>TrRoad_act!J$6</f>
        <v>72380</v>
      </c>
      <c r="K7" s="102">
        <f>TrRoad_act!K$6</f>
        <v>72290.000000000015</v>
      </c>
      <c r="L7" s="102">
        <f>TrRoad_act!L$6</f>
        <v>63570</v>
      </c>
      <c r="M7" s="102">
        <f>TrRoad_act!M$6</f>
        <v>65489.999999999993</v>
      </c>
      <c r="N7" s="102">
        <f>TrRoad_act!N$6</f>
        <v>64620.000000000015</v>
      </c>
      <c r="O7" s="102">
        <f>TrRoad_act!O$6</f>
        <v>64650.000000000007</v>
      </c>
      <c r="P7" s="102">
        <f>TrRoad_act!P$6</f>
        <v>66260</v>
      </c>
      <c r="Q7" s="102">
        <f>TrRoad_act!Q$6</f>
        <v>69705</v>
      </c>
      <c r="R7" s="102">
        <f>TrRoad_act!R$6</f>
        <v>72255</v>
      </c>
      <c r="S7" s="102">
        <f>TrRoad_act!S$6</f>
        <v>74326.999999999985</v>
      </c>
      <c r="T7" s="102">
        <f>TrRoad_act!T$6</f>
        <v>77970.999999999985</v>
      </c>
      <c r="U7" s="102">
        <f>TrRoad_act!U$6</f>
        <v>81178.999999999985</v>
      </c>
      <c r="V7" s="102">
        <f>TrRoad_act!V$6</f>
        <v>68936</v>
      </c>
      <c r="W7" s="102">
        <f>TrRoad_act!W$6</f>
        <v>87932.999999999985</v>
      </c>
      <c r="X7" s="102">
        <f>TrRoad_act!X$6</f>
        <v>91244.999999999971</v>
      </c>
      <c r="Y7" s="102">
        <f>TrRoad_act!Y$6</f>
        <v>89500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16171.300000000003</v>
      </c>
      <c r="C8" s="102">
        <f>TrRoad_act!C$13</f>
        <v>17519.300000000007</v>
      </c>
      <c r="D8" s="102">
        <f>TrRoad_act!D$13</f>
        <v>16530.5</v>
      </c>
      <c r="E8" s="102">
        <f>TrRoad_act!E$13</f>
        <v>16424.800000000003</v>
      </c>
      <c r="F8" s="102">
        <f>TrRoad_act!F$13</f>
        <v>15218</v>
      </c>
      <c r="G8" s="102">
        <f>TrRoad_act!G$13</f>
        <v>15607.900000000001</v>
      </c>
      <c r="H8" s="102">
        <f>TrRoad_act!H$13</f>
        <v>16015.100000000002</v>
      </c>
      <c r="I8" s="102">
        <f>TrRoad_act!I$13</f>
        <v>16120.9</v>
      </c>
      <c r="J8" s="102">
        <f>TrRoad_act!J$13</f>
        <v>16106.899999999998</v>
      </c>
      <c r="K8" s="102">
        <f>TrRoad_act!K$13</f>
        <v>16062.000000000002</v>
      </c>
      <c r="L8" s="102">
        <f>TrRoad_act!L$13</f>
        <v>16955.599999999999</v>
      </c>
      <c r="M8" s="102">
        <f>TrRoad_act!M$13</f>
        <v>15832.8</v>
      </c>
      <c r="N8" s="102">
        <f>TrRoad_act!N$13</f>
        <v>15326.800000000001</v>
      </c>
      <c r="O8" s="102">
        <f>TrRoad_act!O$13</f>
        <v>15720.9</v>
      </c>
      <c r="P8" s="102">
        <f>TrRoad_act!P$13</f>
        <v>17055.3</v>
      </c>
      <c r="Q8" s="102">
        <f>TrRoad_act!Q$13</f>
        <v>15124</v>
      </c>
      <c r="R8" s="102">
        <f>TrRoad_act!R$13</f>
        <v>15002</v>
      </c>
      <c r="S8" s="102">
        <f>TrRoad_act!S$13</f>
        <v>15722.000000000002</v>
      </c>
      <c r="T8" s="102">
        <f>TrRoad_act!T$13</f>
        <v>16222.000000000002</v>
      </c>
      <c r="U8" s="102">
        <f>TrRoad_act!U$13</f>
        <v>16140.999999999996</v>
      </c>
      <c r="V8" s="102">
        <f>TrRoad_act!V$13</f>
        <v>8835</v>
      </c>
      <c r="W8" s="102">
        <f>TrRoad_act!W$13</f>
        <v>8788.9999999999982</v>
      </c>
      <c r="X8" s="102">
        <f>TrRoad_act!X$13</f>
        <v>11790.999999999998</v>
      </c>
      <c r="Y8" s="102">
        <f>TrRoad_act!Y$13</f>
        <v>11665.000000000002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15368</v>
      </c>
      <c r="C9" s="110">
        <f t="shared" si="6"/>
        <v>15526</v>
      </c>
      <c r="D9" s="110">
        <f t="shared" si="6"/>
        <v>14904</v>
      </c>
      <c r="E9" s="110">
        <f t="shared" si="6"/>
        <v>15081.4</v>
      </c>
      <c r="F9" s="110">
        <f t="shared" si="6"/>
        <v>15305.5</v>
      </c>
      <c r="G9" s="110">
        <f t="shared" si="6"/>
        <v>14601.2</v>
      </c>
      <c r="H9" s="110">
        <f t="shared" si="6"/>
        <v>14720.8</v>
      </c>
      <c r="I9" s="110">
        <f t="shared" si="6"/>
        <v>14648.4</v>
      </c>
      <c r="J9" s="110">
        <f t="shared" si="6"/>
        <v>15915.800000000001</v>
      </c>
      <c r="K9" s="110">
        <f t="shared" si="6"/>
        <v>15458.7</v>
      </c>
      <c r="L9" s="110">
        <f t="shared" si="6"/>
        <v>15556</v>
      </c>
      <c r="M9" s="110">
        <f t="shared" si="6"/>
        <v>15385.000000000002</v>
      </c>
      <c r="N9" s="110">
        <f t="shared" si="6"/>
        <v>16698</v>
      </c>
      <c r="O9" s="110">
        <f t="shared" si="6"/>
        <v>17092.900000000001</v>
      </c>
      <c r="P9" s="110">
        <f t="shared" si="6"/>
        <v>16868</v>
      </c>
      <c r="Q9" s="110">
        <f t="shared" si="6"/>
        <v>17550.699999999997</v>
      </c>
      <c r="R9" s="110">
        <f t="shared" ref="R9:V9" si="7">R10+R11+R12</f>
        <v>19105.400000000001</v>
      </c>
      <c r="S9" s="110">
        <f t="shared" si="7"/>
        <v>20146.2</v>
      </c>
      <c r="T9" s="110">
        <f t="shared" si="7"/>
        <v>20954.8</v>
      </c>
      <c r="U9" s="110">
        <f t="shared" si="7"/>
        <v>21954.799999999999</v>
      </c>
      <c r="V9" s="110">
        <f t="shared" si="7"/>
        <v>10377.5</v>
      </c>
      <c r="W9" s="110">
        <f t="shared" ref="W9:Y9" si="8">W10+W11+W12</f>
        <v>10365.900000000001</v>
      </c>
      <c r="X9" s="110">
        <f t="shared" si="8"/>
        <v>14167</v>
      </c>
      <c r="Y9" s="110">
        <f t="shared" si="8"/>
        <v>15194.6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8068</v>
      </c>
      <c r="C10" s="102">
        <f>TrRail_act!C$5</f>
        <v>8227</v>
      </c>
      <c r="D10" s="102">
        <f>TrRail_act!D$5</f>
        <v>8307</v>
      </c>
      <c r="E10" s="102">
        <f>TrRail_act!E$5</f>
        <v>8563.4</v>
      </c>
      <c r="F10" s="102">
        <f>TrRail_act!F$5</f>
        <v>8725.5</v>
      </c>
      <c r="G10" s="102">
        <f>TrRail_act!G$5</f>
        <v>7934.2000000000007</v>
      </c>
      <c r="H10" s="102">
        <f>TrRail_act!H$5</f>
        <v>7798.8</v>
      </c>
      <c r="I10" s="102">
        <f>TrRail_act!I$5</f>
        <v>7750.4</v>
      </c>
      <c r="J10" s="102">
        <f>TrRail_act!J$5</f>
        <v>9142.8000000000011</v>
      </c>
      <c r="K10" s="102">
        <f>TrRail_act!K$5</f>
        <v>8986.7000000000007</v>
      </c>
      <c r="L10" s="102">
        <f>TrRail_act!L$5</f>
        <v>8997</v>
      </c>
      <c r="M10" s="102">
        <f>TrRail_act!M$5</f>
        <v>8716.0000000000018</v>
      </c>
      <c r="N10" s="102">
        <f>TrRail_act!N$5</f>
        <v>9501.9999999999982</v>
      </c>
      <c r="O10" s="102">
        <f>TrRail_act!O$5</f>
        <v>9580.9000000000015</v>
      </c>
      <c r="P10" s="102">
        <f>TrRail_act!P$5</f>
        <v>9224</v>
      </c>
      <c r="Q10" s="102">
        <f>TrRail_act!Q$5</f>
        <v>9425.6999999999989</v>
      </c>
      <c r="R10" s="102">
        <f>TrRail_act!R$5</f>
        <v>10367.4</v>
      </c>
      <c r="S10" s="102">
        <f>TrRail_act!S$5</f>
        <v>10743.2</v>
      </c>
      <c r="T10" s="102">
        <f>TrRail_act!T$5</f>
        <v>10734.8</v>
      </c>
      <c r="U10" s="102">
        <f>TrRail_act!U$5</f>
        <v>11098.8</v>
      </c>
      <c r="V10" s="102">
        <f>TrRail_act!V$5</f>
        <v>3754.5</v>
      </c>
      <c r="W10" s="102">
        <f>TrRail_act!W$5</f>
        <v>3613.9</v>
      </c>
      <c r="X10" s="102">
        <f>TrRail_act!X$5</f>
        <v>4773</v>
      </c>
      <c r="Y10" s="102">
        <f>TrRail_act!Y$5</f>
        <v>5198.6000000000004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7300</v>
      </c>
      <c r="C11" s="102">
        <f>TrRail_act!C$6</f>
        <v>7299</v>
      </c>
      <c r="D11" s="102">
        <f>TrRail_act!D$6</f>
        <v>6597</v>
      </c>
      <c r="E11" s="102">
        <f>TrRail_act!E$6</f>
        <v>6518</v>
      </c>
      <c r="F11" s="102">
        <f>TrRail_act!F$6</f>
        <v>6579</v>
      </c>
      <c r="G11" s="102">
        <f>TrRail_act!G$6</f>
        <v>6661</v>
      </c>
      <c r="H11" s="102">
        <f>TrRail_act!H$6</f>
        <v>6774</v>
      </c>
      <c r="I11" s="102">
        <f>TrRail_act!I$6</f>
        <v>6569</v>
      </c>
      <c r="J11" s="102">
        <f>TrRail_act!J$6</f>
        <v>6520</v>
      </c>
      <c r="K11" s="102">
        <f>TrRail_act!K$6</f>
        <v>6237</v>
      </c>
      <c r="L11" s="102">
        <f>TrRail_act!L$6</f>
        <v>6288</v>
      </c>
      <c r="M11" s="102">
        <f>TrRail_act!M$6</f>
        <v>6384</v>
      </c>
      <c r="N11" s="102">
        <f>TrRail_act!N$6</f>
        <v>6925</v>
      </c>
      <c r="O11" s="102">
        <f>TrRail_act!O$6</f>
        <v>7266</v>
      </c>
      <c r="P11" s="102">
        <f>TrRail_act!P$6</f>
        <v>7398</v>
      </c>
      <c r="Q11" s="102">
        <f>TrRail_act!Q$6</f>
        <v>7558</v>
      </c>
      <c r="R11" s="102">
        <f>TrRail_act!R$6</f>
        <v>8040</v>
      </c>
      <c r="S11" s="102">
        <f>TrRail_act!S$6</f>
        <v>8634</v>
      </c>
      <c r="T11" s="102">
        <f>TrRail_act!T$6</f>
        <v>9426</v>
      </c>
      <c r="U11" s="102">
        <f>TrRail_act!U$6</f>
        <v>9975</v>
      </c>
      <c r="V11" s="102">
        <f>TrRail_act!V$6</f>
        <v>6085.5218312453944</v>
      </c>
      <c r="W11" s="102">
        <f>TrRail_act!W$6</f>
        <v>6204.0530582166548</v>
      </c>
      <c r="X11" s="102">
        <f>TrRail_act!X$6</f>
        <v>8810.9387236463353</v>
      </c>
      <c r="Y11" s="102">
        <f>TrRail_act!Y$6</f>
        <v>9375.5741411080235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1</v>
      </c>
      <c r="G12" s="102">
        <f>TrRail_act!G$9</f>
        <v>6</v>
      </c>
      <c r="H12" s="102">
        <f>TrRail_act!H$9</f>
        <v>148</v>
      </c>
      <c r="I12" s="102">
        <f>TrRail_act!I$9</f>
        <v>329</v>
      </c>
      <c r="J12" s="102">
        <f>TrRail_act!J$9</f>
        <v>253</v>
      </c>
      <c r="K12" s="102">
        <f>TrRail_act!K$9</f>
        <v>235</v>
      </c>
      <c r="L12" s="102">
        <f>TrRail_act!L$9</f>
        <v>271</v>
      </c>
      <c r="M12" s="102">
        <f>TrRail_act!M$9</f>
        <v>285</v>
      </c>
      <c r="N12" s="102">
        <f>TrRail_act!N$9</f>
        <v>271</v>
      </c>
      <c r="O12" s="102">
        <f>TrRail_act!O$9</f>
        <v>246</v>
      </c>
      <c r="P12" s="102">
        <f>TrRail_act!P$9</f>
        <v>246</v>
      </c>
      <c r="Q12" s="102">
        <f>TrRail_act!Q$9</f>
        <v>567</v>
      </c>
      <c r="R12" s="102">
        <f>TrRail_act!R$9</f>
        <v>698</v>
      </c>
      <c r="S12" s="102">
        <f>TrRail_act!S$9</f>
        <v>769</v>
      </c>
      <c r="T12" s="102">
        <f>TrRail_act!T$9</f>
        <v>794</v>
      </c>
      <c r="U12" s="102">
        <f>TrRail_act!U$9</f>
        <v>881</v>
      </c>
      <c r="V12" s="102">
        <f>TrRail_act!V$9</f>
        <v>537.47816875460569</v>
      </c>
      <c r="W12" s="102">
        <f>TrRail_act!W$9</f>
        <v>547.94694178334555</v>
      </c>
      <c r="X12" s="102">
        <f>TrRail_act!X$9</f>
        <v>583.0612763536642</v>
      </c>
      <c r="Y12" s="102">
        <f>TrRail_act!Y$9</f>
        <v>620.42585889197653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3116.629816648162</v>
      </c>
      <c r="C13" s="110">
        <f t="shared" ref="C13:V13" si="10">C14+C15+C16</f>
        <v>3151.500792690611</v>
      </c>
      <c r="D13" s="110">
        <f t="shared" si="10"/>
        <v>3251.7371764166483</v>
      </c>
      <c r="E13" s="110">
        <f t="shared" si="10"/>
        <v>6217.7641816334763</v>
      </c>
      <c r="F13" s="110">
        <f t="shared" si="10"/>
        <v>7887.9199166304243</v>
      </c>
      <c r="G13" s="110">
        <f t="shared" si="10"/>
        <v>8407.9935820503597</v>
      </c>
      <c r="H13" s="110">
        <f t="shared" si="10"/>
        <v>8738.9509097008176</v>
      </c>
      <c r="I13" s="110">
        <f t="shared" si="10"/>
        <v>9298.2957478206299</v>
      </c>
      <c r="J13" s="110">
        <f t="shared" si="10"/>
        <v>9517.8088628690384</v>
      </c>
      <c r="K13" s="110">
        <f t="shared" si="10"/>
        <v>8843.7496756831897</v>
      </c>
      <c r="L13" s="110">
        <f t="shared" si="10"/>
        <v>8915.0656249232015</v>
      </c>
      <c r="M13" s="110">
        <f t="shared" si="10"/>
        <v>9419.9282901506922</v>
      </c>
      <c r="N13" s="110">
        <f t="shared" si="10"/>
        <v>8756.054411873678</v>
      </c>
      <c r="O13" s="110">
        <f t="shared" si="10"/>
        <v>8842.6867421537099</v>
      </c>
      <c r="P13" s="110">
        <f t="shared" si="10"/>
        <v>9126.8565216686384</v>
      </c>
      <c r="Q13" s="110">
        <f t="shared" si="10"/>
        <v>9640.6980004941288</v>
      </c>
      <c r="R13" s="110">
        <f t="shared" si="10"/>
        <v>10494.997767309816</v>
      </c>
      <c r="S13" s="110">
        <f t="shared" si="10"/>
        <v>12722.387397293583</v>
      </c>
      <c r="T13" s="110">
        <f t="shared" si="10"/>
        <v>14523.081574845392</v>
      </c>
      <c r="U13" s="110">
        <f t="shared" si="10"/>
        <v>15493.247992389282</v>
      </c>
      <c r="V13" s="110">
        <f t="shared" si="10"/>
        <v>3008.2255091872512</v>
      </c>
      <c r="W13" s="110">
        <f t="shared" ref="W13:Y13" si="11">W14+W15+W16</f>
        <v>3960.96328338084</v>
      </c>
      <c r="X13" s="110">
        <f t="shared" si="11"/>
        <v>9461.141260556331</v>
      </c>
      <c r="Y13" s="110">
        <f t="shared" si="11"/>
        <v>12641.062117391084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18.381355763242688</v>
      </c>
      <c r="C14" s="102">
        <f>TrAvia_act!C$5</f>
        <v>23.786529025589669</v>
      </c>
      <c r="D14" s="102">
        <f>TrAvia_act!D$5</f>
        <v>17.18744447030296</v>
      </c>
      <c r="E14" s="102">
        <f>TrAvia_act!E$5</f>
        <v>30.436247522444024</v>
      </c>
      <c r="F14" s="102">
        <f>TrAvia_act!F$5</f>
        <v>31.966998024227102</v>
      </c>
      <c r="G14" s="102">
        <f>TrAvia_act!G$5</f>
        <v>47.232191295922291</v>
      </c>
      <c r="H14" s="102">
        <f>TrAvia_act!H$5</f>
        <v>53.025205084432088</v>
      </c>
      <c r="I14" s="102">
        <f>TrAvia_act!I$5</f>
        <v>54.952583011518144</v>
      </c>
      <c r="J14" s="102">
        <f>TrAvia_act!J$5</f>
        <v>62.746312159178366</v>
      </c>
      <c r="K14" s="102">
        <f>TrAvia_act!K$5</f>
        <v>56.881103923996008</v>
      </c>
      <c r="L14" s="102">
        <f>TrAvia_act!L$5</f>
        <v>47.288084621744652</v>
      </c>
      <c r="M14" s="102">
        <f>TrAvia_act!M$5</f>
        <v>32.095421837433626</v>
      </c>
      <c r="N14" s="102">
        <f>TrAvia_act!N$5</f>
        <v>31.188768136824287</v>
      </c>
      <c r="O14" s="102">
        <f>TrAvia_act!O$5</f>
        <v>22.267320513265126</v>
      </c>
      <c r="P14" s="102">
        <f>TrAvia_act!P$5</f>
        <v>24.440889925599645</v>
      </c>
      <c r="Q14" s="102">
        <f>TrAvia_act!Q$5</f>
        <v>24.089115349108102</v>
      </c>
      <c r="R14" s="102">
        <f>TrAvia_act!R$5</f>
        <v>18.901021290523556</v>
      </c>
      <c r="S14" s="102">
        <f>TrAvia_act!S$5</f>
        <v>14.110478008259889</v>
      </c>
      <c r="T14" s="102">
        <f>TrAvia_act!T$5</f>
        <v>15.57996615625362</v>
      </c>
      <c r="U14" s="102">
        <f>TrAvia_act!U$5</f>
        <v>6.9224926735842045</v>
      </c>
      <c r="V14" s="102">
        <f>TrAvia_act!V$5</f>
        <v>1.4154879915544472</v>
      </c>
      <c r="W14" s="102">
        <f>TrAvia_act!W$5</f>
        <v>4.7807516887492074</v>
      </c>
      <c r="X14" s="102">
        <f>TrAvia_act!X$5</f>
        <v>5.8116835171018808</v>
      </c>
      <c r="Y14" s="102">
        <f>TrAvia_act!Y$5</f>
        <v>6.1003045711847088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1825.0901064949228</v>
      </c>
      <c r="C15" s="102">
        <f>TrAvia_act!C$6</f>
        <v>1846.5733411636295</v>
      </c>
      <c r="D15" s="102">
        <f>TrAvia_act!D$6</f>
        <v>1906.3741735678179</v>
      </c>
      <c r="E15" s="102">
        <f>TrAvia_act!E$6</f>
        <v>3787.10698685029</v>
      </c>
      <c r="F15" s="102">
        <f>TrAvia_act!F$6</f>
        <v>4791.5735082591009</v>
      </c>
      <c r="G15" s="102">
        <f>TrAvia_act!G$6</f>
        <v>5262.0022172393838</v>
      </c>
      <c r="H15" s="102">
        <f>TrAvia_act!H$6</f>
        <v>5418.9837278572622</v>
      </c>
      <c r="I15" s="102">
        <f>TrAvia_act!I$6</f>
        <v>5565.4182678507859</v>
      </c>
      <c r="J15" s="102">
        <f>TrAvia_act!J$6</f>
        <v>5535.6693599724176</v>
      </c>
      <c r="K15" s="102">
        <f>TrAvia_act!K$6</f>
        <v>4922.5021109626105</v>
      </c>
      <c r="L15" s="102">
        <f>TrAvia_act!L$6</f>
        <v>4708.3324249063999</v>
      </c>
      <c r="M15" s="102">
        <f>TrAvia_act!M$6</f>
        <v>4879.1776289387872</v>
      </c>
      <c r="N15" s="102">
        <f>TrAvia_act!N$6</f>
        <v>4430.8344372195843</v>
      </c>
      <c r="O15" s="102">
        <f>TrAvia_act!O$6</f>
        <v>4336.8930949601427</v>
      </c>
      <c r="P15" s="102">
        <f>TrAvia_act!P$6</f>
        <v>4457.9653708339611</v>
      </c>
      <c r="Q15" s="102">
        <f>TrAvia_act!Q$6</f>
        <v>4816.7032258135541</v>
      </c>
      <c r="R15" s="102">
        <f>TrAvia_act!R$6</f>
        <v>5264.1105025043935</v>
      </c>
      <c r="S15" s="102">
        <f>TrAvia_act!S$6</f>
        <v>6217.3728826945389</v>
      </c>
      <c r="T15" s="102">
        <f>TrAvia_act!T$6</f>
        <v>6806.5939446776729</v>
      </c>
      <c r="U15" s="102">
        <f>TrAvia_act!U$6</f>
        <v>6996.3785547267235</v>
      </c>
      <c r="V15" s="102">
        <f>TrAvia_act!V$6</f>
        <v>1594.0075577929335</v>
      </c>
      <c r="W15" s="102">
        <f>TrAvia_act!W$6</f>
        <v>2106.8211291464154</v>
      </c>
      <c r="X15" s="102">
        <f>TrAvia_act!X$6</f>
        <v>4977.3232548506094</v>
      </c>
      <c r="Y15" s="102">
        <f>TrAvia_act!Y$6</f>
        <v>6470.8310304539273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1273.1583543899965</v>
      </c>
      <c r="C16" s="102">
        <f>TrAvia_act!C$7</f>
        <v>1281.1409225013915</v>
      </c>
      <c r="D16" s="102">
        <f>TrAvia_act!D$7</f>
        <v>1328.1755583785275</v>
      </c>
      <c r="E16" s="102">
        <f>TrAvia_act!E$7</f>
        <v>2400.2209472607424</v>
      </c>
      <c r="F16" s="102">
        <f>TrAvia_act!F$7</f>
        <v>3064.3794103470964</v>
      </c>
      <c r="G16" s="102">
        <f>TrAvia_act!G$7</f>
        <v>3098.759173515054</v>
      </c>
      <c r="H16" s="102">
        <f>TrAvia_act!H$7</f>
        <v>3266.9419767591235</v>
      </c>
      <c r="I16" s="102">
        <f>TrAvia_act!I$7</f>
        <v>3677.9248969583259</v>
      </c>
      <c r="J16" s="102">
        <f>TrAvia_act!J$7</f>
        <v>3919.3931907374422</v>
      </c>
      <c r="K16" s="102">
        <f>TrAvia_act!K$7</f>
        <v>3864.3664607965834</v>
      </c>
      <c r="L16" s="102">
        <f>TrAvia_act!L$7</f>
        <v>4159.4451153950567</v>
      </c>
      <c r="M16" s="102">
        <f>TrAvia_act!M$7</f>
        <v>4508.6552393744714</v>
      </c>
      <c r="N16" s="102">
        <f>TrAvia_act!N$7</f>
        <v>4294.0312065172693</v>
      </c>
      <c r="O16" s="102">
        <f>TrAvia_act!O$7</f>
        <v>4483.5263266803013</v>
      </c>
      <c r="P16" s="102">
        <f>TrAvia_act!P$7</f>
        <v>4644.4502609090778</v>
      </c>
      <c r="Q16" s="102">
        <f>TrAvia_act!Q$7</f>
        <v>4799.9056593314654</v>
      </c>
      <c r="R16" s="102">
        <f>TrAvia_act!R$7</f>
        <v>5211.9862435148998</v>
      </c>
      <c r="S16" s="102">
        <f>TrAvia_act!S$7</f>
        <v>6490.904036590784</v>
      </c>
      <c r="T16" s="102">
        <f>TrAvia_act!T$7</f>
        <v>7700.9076640114654</v>
      </c>
      <c r="U16" s="102">
        <f>TrAvia_act!U$7</f>
        <v>8489.9469449889748</v>
      </c>
      <c r="V16" s="102">
        <f>TrAvia_act!V$7</f>
        <v>1412.8024634027634</v>
      </c>
      <c r="W16" s="102">
        <f>TrAvia_act!W$7</f>
        <v>1849.3614025456752</v>
      </c>
      <c r="X16" s="102">
        <f>TrAvia_act!X$7</f>
        <v>4478.0063221886203</v>
      </c>
      <c r="Y16" s="102">
        <f>TrAvia_act!Y$7</f>
        <v>6164.1307823659727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44198.240944981488</v>
      </c>
      <c r="C17" s="28">
        <f t="shared" si="12"/>
        <v>45281.757847461326</v>
      </c>
      <c r="D17" s="28">
        <f t="shared" si="12"/>
        <v>46318.200433467806</v>
      </c>
      <c r="E17" s="28">
        <f t="shared" si="12"/>
        <v>47700.549776967193</v>
      </c>
      <c r="F17" s="28">
        <f t="shared" si="12"/>
        <v>47883.843793694919</v>
      </c>
      <c r="G17" s="28">
        <f t="shared" si="12"/>
        <v>47805.330947581642</v>
      </c>
      <c r="H17" s="28">
        <f t="shared" si="12"/>
        <v>50171.331636661002</v>
      </c>
      <c r="I17" s="28">
        <f t="shared" si="12"/>
        <v>51054.289608071267</v>
      </c>
      <c r="J17" s="28">
        <f t="shared" si="12"/>
        <v>48878.353826464139</v>
      </c>
      <c r="K17" s="28">
        <f t="shared" si="12"/>
        <v>42871.071577932446</v>
      </c>
      <c r="L17" s="28">
        <f t="shared" si="12"/>
        <v>46725.255708963996</v>
      </c>
      <c r="M17" s="28">
        <f t="shared" si="12"/>
        <v>48519.474216737057</v>
      </c>
      <c r="N17" s="28">
        <f t="shared" si="12"/>
        <v>47772.858640151579</v>
      </c>
      <c r="O17" s="28">
        <f t="shared" si="12"/>
        <v>50424.824286594761</v>
      </c>
      <c r="P17" s="28">
        <f t="shared" si="12"/>
        <v>52731.454215869737</v>
      </c>
      <c r="Q17" s="28">
        <f t="shared" si="12"/>
        <v>59185.309115720949</v>
      </c>
      <c r="R17" s="28">
        <f t="shared" ref="R17:V17" si="13">R18+R21+R22+R26</f>
        <v>60074.335092826921</v>
      </c>
      <c r="S17" s="28">
        <f t="shared" si="13"/>
        <v>60077.178082716375</v>
      </c>
      <c r="T17" s="28">
        <f t="shared" si="13"/>
        <v>61154.094929127314</v>
      </c>
      <c r="U17" s="28">
        <f t="shared" si="13"/>
        <v>63004.367657096096</v>
      </c>
      <c r="V17" s="28">
        <f t="shared" si="13"/>
        <v>67949.156203077524</v>
      </c>
      <c r="W17" s="28">
        <f t="shared" ref="W17:Y17" si="14">W18+W21+W22+W26</f>
        <v>72434.057094407312</v>
      </c>
      <c r="X17" s="28">
        <f t="shared" si="14"/>
        <v>74938.30434148018</v>
      </c>
      <c r="Y17" s="28">
        <f t="shared" si="14"/>
        <v>70422.005748223091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26523.962710189258</v>
      </c>
      <c r="C18" s="137">
        <f t="shared" si="15"/>
        <v>28212.217360084309</v>
      </c>
      <c r="D18" s="137">
        <f t="shared" si="15"/>
        <v>30331.685777136998</v>
      </c>
      <c r="E18" s="137">
        <f t="shared" si="15"/>
        <v>31648.018789538852</v>
      </c>
      <c r="F18" s="137">
        <f t="shared" si="15"/>
        <v>32634.725860045612</v>
      </c>
      <c r="G18" s="137">
        <f t="shared" si="15"/>
        <v>32767.883827294652</v>
      </c>
      <c r="H18" s="137">
        <f t="shared" si="15"/>
        <v>34256.500302225992</v>
      </c>
      <c r="I18" s="137">
        <f t="shared" si="15"/>
        <v>34627.324775917645</v>
      </c>
      <c r="J18" s="137">
        <f t="shared" si="15"/>
        <v>33323.391401651839</v>
      </c>
      <c r="K18" s="137">
        <f t="shared" si="15"/>
        <v>29941.424168892758</v>
      </c>
      <c r="L18" s="137">
        <f t="shared" si="15"/>
        <v>32803.417928507362</v>
      </c>
      <c r="M18" s="137">
        <f t="shared" si="15"/>
        <v>34000.317662959591</v>
      </c>
      <c r="N18" s="137">
        <f t="shared" si="15"/>
        <v>33312.073467696682</v>
      </c>
      <c r="O18" s="137">
        <f t="shared" si="15"/>
        <v>36286.057917432125</v>
      </c>
      <c r="P18" s="137">
        <f t="shared" si="15"/>
        <v>37971.86071616986</v>
      </c>
      <c r="Q18" s="137">
        <f t="shared" si="15"/>
        <v>43722.698346720077</v>
      </c>
      <c r="R18" s="137">
        <f t="shared" ref="R18:V18" si="16">R19+R20</f>
        <v>44195.951582639333</v>
      </c>
      <c r="S18" s="137">
        <f t="shared" si="16"/>
        <v>43973.524127716511</v>
      </c>
      <c r="T18" s="137">
        <f t="shared" si="16"/>
        <v>44358.134210183191</v>
      </c>
      <c r="U18" s="137">
        <f t="shared" si="16"/>
        <v>46563.193841631757</v>
      </c>
      <c r="V18" s="137">
        <f t="shared" si="16"/>
        <v>52604.211039049442</v>
      </c>
      <c r="W18" s="137">
        <f t="shared" ref="W18:Y18" si="17">W19+W20</f>
        <v>56024.51048993216</v>
      </c>
      <c r="X18" s="137">
        <f t="shared" si="17"/>
        <v>58486.202706229356</v>
      </c>
      <c r="Y18" s="137">
        <f t="shared" si="17"/>
        <v>55305.879958691075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206.73715044133394</v>
      </c>
      <c r="C19" s="102">
        <f>TrRoad_act!C$20</f>
        <v>240.16666215014288</v>
      </c>
      <c r="D19" s="102">
        <f>TrRoad_act!D$20</f>
        <v>284.11504992880538</v>
      </c>
      <c r="E19" s="102">
        <f>TrRoad_act!E$20</f>
        <v>335.3081592112095</v>
      </c>
      <c r="F19" s="102">
        <f>TrRoad_act!F$20</f>
        <v>396.29298925476411</v>
      </c>
      <c r="G19" s="102">
        <f>TrRoad_act!G$20</f>
        <v>479.13943640376834</v>
      </c>
      <c r="H19" s="102">
        <f>TrRoad_act!H$20</f>
        <v>559.03527910861658</v>
      </c>
      <c r="I19" s="102">
        <f>TrRoad_act!I$20</f>
        <v>642.73452502868861</v>
      </c>
      <c r="J19" s="102">
        <f>TrRoad_act!J$20</f>
        <v>765.04329187090184</v>
      </c>
      <c r="K19" s="102">
        <f>TrRoad_act!K$20</f>
        <v>782.18011397637724</v>
      </c>
      <c r="L19" s="102">
        <f>TrRoad_act!L$20</f>
        <v>823.76842491212676</v>
      </c>
      <c r="M19" s="102">
        <f>TrRoad_act!M$20</f>
        <v>838.11991628971145</v>
      </c>
      <c r="N19" s="102">
        <f>TrRoad_act!N$20</f>
        <v>849.65034273318975</v>
      </c>
      <c r="O19" s="102">
        <f>TrRoad_act!O$20</f>
        <v>877.3556261492073</v>
      </c>
      <c r="P19" s="102">
        <f>TrRoad_act!P$20</f>
        <v>965.40727780265763</v>
      </c>
      <c r="Q19" s="102">
        <f>TrRoad_act!Q$20</f>
        <v>1049.0945529087505</v>
      </c>
      <c r="R19" s="102">
        <f>TrRoad_act!R$20</f>
        <v>882.72158204362665</v>
      </c>
      <c r="S19" s="102">
        <f>TrRoad_act!S$20</f>
        <v>899.48005424162</v>
      </c>
      <c r="T19" s="102">
        <f>TrRoad_act!T$20</f>
        <v>909.13421018319082</v>
      </c>
      <c r="U19" s="102">
        <f>TrRoad_act!U$20</f>
        <v>914.19384163175584</v>
      </c>
      <c r="V19" s="102">
        <f>TrRoad_act!V$20</f>
        <v>894.21103904944266</v>
      </c>
      <c r="W19" s="102">
        <f>TrRoad_act!W$20</f>
        <v>909.51048993216261</v>
      </c>
      <c r="X19" s="102">
        <f>TrRoad_act!X$20</f>
        <v>918.2027062293572</v>
      </c>
      <c r="Y19" s="102">
        <f>TrRoad_act!Y$20</f>
        <v>941.87995869107408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26317.225559747923</v>
      </c>
      <c r="C20" s="102">
        <f>TrRoad_act!C$26</f>
        <v>27972.050697934166</v>
      </c>
      <c r="D20" s="102">
        <f>TrRoad_act!D$26</f>
        <v>30047.570727208193</v>
      </c>
      <c r="E20" s="102">
        <f>TrRoad_act!E$26</f>
        <v>31312.710630327641</v>
      </c>
      <c r="F20" s="102">
        <f>TrRoad_act!F$26</f>
        <v>32238.432870790846</v>
      </c>
      <c r="G20" s="102">
        <f>TrRoad_act!G$26</f>
        <v>32288.744390890883</v>
      </c>
      <c r="H20" s="102">
        <f>TrRoad_act!H$26</f>
        <v>33697.465023117373</v>
      </c>
      <c r="I20" s="102">
        <f>TrRoad_act!I$26</f>
        <v>33984.590250888956</v>
      </c>
      <c r="J20" s="102">
        <f>TrRoad_act!J$26</f>
        <v>32558.348109780938</v>
      </c>
      <c r="K20" s="102">
        <f>TrRoad_act!K$26</f>
        <v>29159.24405491638</v>
      </c>
      <c r="L20" s="102">
        <f>TrRoad_act!L$26</f>
        <v>31979.649503595232</v>
      </c>
      <c r="M20" s="102">
        <f>TrRoad_act!M$26</f>
        <v>33162.197746669881</v>
      </c>
      <c r="N20" s="102">
        <f>TrRoad_act!N$26</f>
        <v>32462.423124963494</v>
      </c>
      <c r="O20" s="102">
        <f>TrRoad_act!O$26</f>
        <v>35408.70229128292</v>
      </c>
      <c r="P20" s="102">
        <f>TrRoad_act!P$26</f>
        <v>37006.4534383672</v>
      </c>
      <c r="Q20" s="102">
        <f>TrRoad_act!Q$26</f>
        <v>42673.60379381133</v>
      </c>
      <c r="R20" s="102">
        <f>TrRoad_act!R$26</f>
        <v>43313.230000595708</v>
      </c>
      <c r="S20" s="102">
        <f>TrRoad_act!S$26</f>
        <v>43074.044073474892</v>
      </c>
      <c r="T20" s="102">
        <f>TrRoad_act!T$26</f>
        <v>43449</v>
      </c>
      <c r="U20" s="102">
        <f>TrRoad_act!U$26</f>
        <v>45649</v>
      </c>
      <c r="V20" s="102">
        <f>TrRoad_act!V$26</f>
        <v>51710</v>
      </c>
      <c r="W20" s="102">
        <f>TrRoad_act!W$26</f>
        <v>55115</v>
      </c>
      <c r="X20" s="102">
        <f>TrRoad_act!X$26</f>
        <v>57568</v>
      </c>
      <c r="Y20" s="102">
        <f>TrRoad_act!Y$26</f>
        <v>54364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17496</v>
      </c>
      <c r="C21" s="110">
        <f>TrRail_act!C$10</f>
        <v>16900</v>
      </c>
      <c r="D21" s="110">
        <f>TrRail_act!D$10</f>
        <v>15810</v>
      </c>
      <c r="E21" s="110">
        <f>TrRail_act!E$10</f>
        <v>15862</v>
      </c>
      <c r="F21" s="110">
        <f>TrRail_act!F$10</f>
        <v>15092</v>
      </c>
      <c r="G21" s="110">
        <f>TrRail_act!G$10</f>
        <v>14866</v>
      </c>
      <c r="H21" s="110">
        <f>TrRail_act!H$10</f>
        <v>15779</v>
      </c>
      <c r="I21" s="110">
        <f>TrRail_act!I$10</f>
        <v>16303.999999999998</v>
      </c>
      <c r="J21" s="110">
        <f>TrRail_act!J$10</f>
        <v>15437</v>
      </c>
      <c r="K21" s="110">
        <f>TrRail_act!K$10</f>
        <v>12791</v>
      </c>
      <c r="L21" s="110">
        <f>TrRail_act!L$10</f>
        <v>13770</v>
      </c>
      <c r="M21" s="110">
        <f>TrRail_act!M$10</f>
        <v>14316</v>
      </c>
      <c r="N21" s="110">
        <f>TrRail_act!N$10</f>
        <v>14267</v>
      </c>
      <c r="O21" s="110">
        <f>TrRail_act!O$10</f>
        <v>13965</v>
      </c>
      <c r="P21" s="110">
        <f>TrRail_act!P$10</f>
        <v>14575</v>
      </c>
      <c r="Q21" s="110">
        <f>TrRail_act!Q$10</f>
        <v>15261</v>
      </c>
      <c r="R21" s="110">
        <f>TrRail_act!R$10</f>
        <v>15619</v>
      </c>
      <c r="S21" s="110">
        <f>TrRail_act!S$10</f>
        <v>15843</v>
      </c>
      <c r="T21" s="110">
        <f>TrRail_act!T$10</f>
        <v>16564</v>
      </c>
      <c r="U21" s="110">
        <f>TrRail_act!U$10</f>
        <v>16180</v>
      </c>
      <c r="V21" s="110">
        <f>TrRail_act!V$10</f>
        <v>15251</v>
      </c>
      <c r="W21" s="110">
        <f>TrRail_act!W$10</f>
        <v>16326</v>
      </c>
      <c r="X21" s="110">
        <f>TrRail_act!X$10</f>
        <v>16367.999999999998</v>
      </c>
      <c r="Y21" s="110">
        <f>TrRail_act!Y$10</f>
        <v>15038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89.278234792229682</v>
      </c>
      <c r="C22" s="110">
        <f t="shared" ref="C22:V22" si="19">C23+C24+C25</f>
        <v>91.540487377017598</v>
      </c>
      <c r="D22" s="110">
        <f t="shared" si="19"/>
        <v>96.514656330806957</v>
      </c>
      <c r="E22" s="110">
        <f t="shared" si="19"/>
        <v>132.53098742834098</v>
      </c>
      <c r="F22" s="110">
        <f t="shared" si="19"/>
        <v>109.1179336493073</v>
      </c>
      <c r="G22" s="110">
        <f t="shared" si="19"/>
        <v>108.44712028699027</v>
      </c>
      <c r="H22" s="110">
        <f t="shared" si="19"/>
        <v>92.831334435007705</v>
      </c>
      <c r="I22" s="110">
        <f t="shared" si="19"/>
        <v>86.964832153619781</v>
      </c>
      <c r="J22" s="110">
        <f t="shared" si="19"/>
        <v>89.96242481230324</v>
      </c>
      <c r="K22" s="110">
        <f t="shared" si="19"/>
        <v>105.64740903968759</v>
      </c>
      <c r="L22" s="110">
        <f t="shared" si="19"/>
        <v>108.83778045663274</v>
      </c>
      <c r="M22" s="110">
        <f t="shared" si="19"/>
        <v>161.15655377746597</v>
      </c>
      <c r="N22" s="110">
        <f t="shared" si="19"/>
        <v>155.78517245489434</v>
      </c>
      <c r="O22" s="110">
        <f t="shared" si="19"/>
        <v>148.76636916263988</v>
      </c>
      <c r="P22" s="110">
        <f t="shared" si="19"/>
        <v>157.59349969987449</v>
      </c>
      <c r="Q22" s="110">
        <f t="shared" si="19"/>
        <v>168.6107690008719</v>
      </c>
      <c r="R22" s="110">
        <f t="shared" si="19"/>
        <v>223.38351018758496</v>
      </c>
      <c r="S22" s="110">
        <f t="shared" si="19"/>
        <v>235.6539549998603</v>
      </c>
      <c r="T22" s="110">
        <f t="shared" si="19"/>
        <v>208.96071894412307</v>
      </c>
      <c r="U22" s="110">
        <f t="shared" si="19"/>
        <v>229.17381546433927</v>
      </c>
      <c r="V22" s="110">
        <f t="shared" si="19"/>
        <v>75.94516402808685</v>
      </c>
      <c r="W22" s="110">
        <f t="shared" ref="W22:Y22" si="20">W23+W24+W25</f>
        <v>61.546604475158048</v>
      </c>
      <c r="X22" s="110">
        <f t="shared" si="20"/>
        <v>64.101635250827258</v>
      </c>
      <c r="Y22" s="110">
        <f t="shared" si="20"/>
        <v>60.125789532016867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8.4758807725573551E-2</v>
      </c>
      <c r="C23" s="102">
        <f>TrAvia_act!C$9</f>
        <v>8.0679255509984393E-2</v>
      </c>
      <c r="D23" s="102">
        <f>TrAvia_act!D$9</f>
        <v>9.532118951848996E-2</v>
      </c>
      <c r="E23" s="102">
        <f>TrAvia_act!E$9</f>
        <v>8.2616097680378517E-2</v>
      </c>
      <c r="F23" s="102">
        <f>TrAvia_act!F$9</f>
        <v>4.0665942480712008E-2</v>
      </c>
      <c r="G23" s="102">
        <f>TrAvia_act!G$9</f>
        <v>9.3226039003642458E-2</v>
      </c>
      <c r="H23" s="102">
        <f>TrAvia_act!H$9</f>
        <v>0.20243792124491669</v>
      </c>
      <c r="I23" s="102">
        <f>TrAvia_act!I$9</f>
        <v>0.33908179734814609</v>
      </c>
      <c r="J23" s="102">
        <f>TrAvia_act!J$9</f>
        <v>0.40359919227919883</v>
      </c>
      <c r="K23" s="102">
        <f>TrAvia_act!K$9</f>
        <v>0.48778467035990392</v>
      </c>
      <c r="L23" s="102">
        <f>TrAvia_act!L$9</f>
        <v>0.41748107938489742</v>
      </c>
      <c r="M23" s="102">
        <f>TrAvia_act!M$9</f>
        <v>0.39588369994023515</v>
      </c>
      <c r="N23" s="102">
        <f>TrAvia_act!N$9</f>
        <v>0.3204827271955884</v>
      </c>
      <c r="O23" s="102">
        <f>TrAvia_act!O$9</f>
        <v>0.20099683302086818</v>
      </c>
      <c r="P23" s="102">
        <f>TrAvia_act!P$9</f>
        <v>0.12621176596007666</v>
      </c>
      <c r="Q23" s="102">
        <f>TrAvia_act!Q$9</f>
        <v>0.12755000098236921</v>
      </c>
      <c r="R23" s="102">
        <f>TrAvia_act!R$9</f>
        <v>0.11608837388571835</v>
      </c>
      <c r="S23" s="102">
        <f>TrAvia_act!S$9</f>
        <v>0.11637210966184963</v>
      </c>
      <c r="T23" s="102">
        <f>TrAvia_act!T$9</f>
        <v>0.5979375132602559</v>
      </c>
      <c r="U23" s="102">
        <f>TrAvia_act!U$9</f>
        <v>0.49359674594374542</v>
      </c>
      <c r="V23" s="102">
        <f>TrAvia_act!V$9</f>
        <v>0.38540144899655249</v>
      </c>
      <c r="W23" s="102">
        <f>TrAvia_act!W$9</f>
        <v>0.51555224763530316</v>
      </c>
      <c r="X23" s="102">
        <f>TrAvia_act!X$9</f>
        <v>0.12684789719690312</v>
      </c>
      <c r="Y23" s="102">
        <f>TrAvia_act!Y$9</f>
        <v>3.0301033645357394E-3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15.137384166374622</v>
      </c>
      <c r="C24" s="102">
        <f>TrAvia_act!C$10</f>
        <v>14.97152327820849</v>
      </c>
      <c r="D24" s="102">
        <f>TrAvia_act!D$10</f>
        <v>16.820716006683728</v>
      </c>
      <c r="E24" s="102">
        <f>TrAvia_act!E$10</f>
        <v>18.930928689619606</v>
      </c>
      <c r="F24" s="102">
        <f>TrAvia_act!F$10</f>
        <v>20.74931711418947</v>
      </c>
      <c r="G24" s="102">
        <f>TrAvia_act!G$10</f>
        <v>21.78877753636629</v>
      </c>
      <c r="H24" s="102">
        <f>TrAvia_act!H$10</f>
        <v>20.918922054431885</v>
      </c>
      <c r="I24" s="102">
        <f>TrAvia_act!I$10</f>
        <v>20.533883665420085</v>
      </c>
      <c r="J24" s="102">
        <f>TrAvia_act!J$10</f>
        <v>16.81756001042428</v>
      </c>
      <c r="K24" s="102">
        <f>TrAvia_act!K$10</f>
        <v>13.991973108376774</v>
      </c>
      <c r="L24" s="102">
        <f>TrAvia_act!L$10</f>
        <v>16.881268987814529</v>
      </c>
      <c r="M24" s="102">
        <f>TrAvia_act!M$10</f>
        <v>14.277732185716289</v>
      </c>
      <c r="N24" s="102">
        <f>TrAvia_act!N$10</f>
        <v>11.36490926916413</v>
      </c>
      <c r="O24" s="102">
        <f>TrAvia_act!O$10</f>
        <v>11.138751111117712</v>
      </c>
      <c r="P24" s="102">
        <f>TrAvia_act!P$10</f>
        <v>13.573395075940176</v>
      </c>
      <c r="Q24" s="102">
        <f>TrAvia_act!Q$10</f>
        <v>14.317106392723401</v>
      </c>
      <c r="R24" s="102">
        <f>TrAvia_act!R$10</f>
        <v>16.958478508615009</v>
      </c>
      <c r="S24" s="102">
        <f>TrAvia_act!S$10</f>
        <v>19.52519179138546</v>
      </c>
      <c r="T24" s="102">
        <f>TrAvia_act!T$10</f>
        <v>22.506478866389408</v>
      </c>
      <c r="U24" s="102">
        <f>TrAvia_act!U$10</f>
        <v>18.812245813352046</v>
      </c>
      <c r="V24" s="102">
        <f>TrAvia_act!V$10</f>
        <v>16.202966970408603</v>
      </c>
      <c r="W24" s="102">
        <f>TrAvia_act!W$10</f>
        <v>19.467099888963297</v>
      </c>
      <c r="X24" s="102">
        <f>TrAvia_act!X$10</f>
        <v>20.003483823019849</v>
      </c>
      <c r="Y24" s="102">
        <f>TrAvia_act!Y$10</f>
        <v>19.409390900416934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74.056091818129488</v>
      </c>
      <c r="C25" s="102">
        <f>TrAvia_act!C$11</f>
        <v>76.488284843299127</v>
      </c>
      <c r="D25" s="102">
        <f>TrAvia_act!D$11</f>
        <v>79.598619134604732</v>
      </c>
      <c r="E25" s="102">
        <f>TrAvia_act!E$11</f>
        <v>113.51744264104099</v>
      </c>
      <c r="F25" s="102">
        <f>TrAvia_act!F$11</f>
        <v>88.327950592637123</v>
      </c>
      <c r="G25" s="102">
        <f>TrAvia_act!G$11</f>
        <v>86.565116711620334</v>
      </c>
      <c r="H25" s="102">
        <f>TrAvia_act!H$11</f>
        <v>71.709974459330894</v>
      </c>
      <c r="I25" s="102">
        <f>TrAvia_act!I$11</f>
        <v>66.091866690851546</v>
      </c>
      <c r="J25" s="102">
        <f>TrAvia_act!J$11</f>
        <v>72.741265609599765</v>
      </c>
      <c r="K25" s="102">
        <f>TrAvia_act!K$11</f>
        <v>91.167651260950905</v>
      </c>
      <c r="L25" s="102">
        <f>TrAvia_act!L$11</f>
        <v>91.539030389433321</v>
      </c>
      <c r="M25" s="102">
        <f>TrAvia_act!M$11</f>
        <v>146.48293789180946</v>
      </c>
      <c r="N25" s="102">
        <f>TrAvia_act!N$11</f>
        <v>144.09978045853461</v>
      </c>
      <c r="O25" s="102">
        <f>TrAvia_act!O$11</f>
        <v>137.42662121850131</v>
      </c>
      <c r="P25" s="102">
        <f>TrAvia_act!P$11</f>
        <v>143.89389285797424</v>
      </c>
      <c r="Q25" s="102">
        <f>TrAvia_act!Q$11</f>
        <v>154.16611260716613</v>
      </c>
      <c r="R25" s="102">
        <f>TrAvia_act!R$11</f>
        <v>206.30894330508423</v>
      </c>
      <c r="S25" s="102">
        <f>TrAvia_act!S$11</f>
        <v>216.012391098813</v>
      </c>
      <c r="T25" s="102">
        <f>TrAvia_act!T$11</f>
        <v>185.8563025644734</v>
      </c>
      <c r="U25" s="102">
        <f>TrAvia_act!U$11</f>
        <v>209.86797290504347</v>
      </c>
      <c r="V25" s="102">
        <f>TrAvia_act!V$11</f>
        <v>59.356795608681693</v>
      </c>
      <c r="W25" s="102">
        <f>TrAvia_act!W$11</f>
        <v>41.563952338559453</v>
      </c>
      <c r="X25" s="102">
        <f>TrAvia_act!X$11</f>
        <v>43.971303530610513</v>
      </c>
      <c r="Y25" s="102">
        <f>TrAvia_act!Y$11</f>
        <v>40.713368528235399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89</v>
      </c>
      <c r="C26" s="110">
        <f t="shared" si="21"/>
        <v>78</v>
      </c>
      <c r="D26" s="110">
        <f t="shared" si="21"/>
        <v>80</v>
      </c>
      <c r="E26" s="110">
        <f t="shared" si="21"/>
        <v>58</v>
      </c>
      <c r="F26" s="110">
        <f t="shared" si="21"/>
        <v>48</v>
      </c>
      <c r="G26" s="110">
        <f t="shared" si="21"/>
        <v>63</v>
      </c>
      <c r="H26" s="110">
        <f t="shared" si="21"/>
        <v>43</v>
      </c>
      <c r="I26" s="110">
        <f t="shared" si="21"/>
        <v>36</v>
      </c>
      <c r="J26" s="110">
        <f t="shared" si="21"/>
        <v>28</v>
      </c>
      <c r="K26" s="110">
        <f t="shared" si="21"/>
        <v>33</v>
      </c>
      <c r="L26" s="110">
        <f t="shared" si="21"/>
        <v>43</v>
      </c>
      <c r="M26" s="110">
        <f t="shared" si="21"/>
        <v>42</v>
      </c>
      <c r="N26" s="110">
        <f t="shared" si="21"/>
        <v>38</v>
      </c>
      <c r="O26" s="110">
        <f t="shared" si="21"/>
        <v>25</v>
      </c>
      <c r="P26" s="110">
        <f t="shared" si="21"/>
        <v>27</v>
      </c>
      <c r="Q26" s="110">
        <f t="shared" si="21"/>
        <v>33</v>
      </c>
      <c r="R26" s="110">
        <f t="shared" ref="R26:V26" si="22">R27+R28</f>
        <v>36</v>
      </c>
      <c r="S26" s="110">
        <f t="shared" si="22"/>
        <v>25</v>
      </c>
      <c r="T26" s="110">
        <f t="shared" si="22"/>
        <v>23</v>
      </c>
      <c r="U26" s="110">
        <f t="shared" si="22"/>
        <v>32</v>
      </c>
      <c r="V26" s="110">
        <f t="shared" si="22"/>
        <v>18</v>
      </c>
      <c r="W26" s="110">
        <f t="shared" ref="W26:Y26" si="23">W27+W28</f>
        <v>22</v>
      </c>
      <c r="X26" s="110">
        <f t="shared" si="23"/>
        <v>20</v>
      </c>
      <c r="Y26" s="110">
        <f t="shared" si="23"/>
        <v>18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X27" s="102">
        <f>TrNavi_act!X4</f>
        <v>0</v>
      </c>
      <c r="Y27" s="102">
        <f>TrNavi_act!Y4</f>
        <v>0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89</v>
      </c>
      <c r="C28" s="169">
        <f>TrNavi_act!C5</f>
        <v>78</v>
      </c>
      <c r="D28" s="169">
        <f>TrNavi_act!D5</f>
        <v>80</v>
      </c>
      <c r="E28" s="169">
        <f>TrNavi_act!E5</f>
        <v>58</v>
      </c>
      <c r="F28" s="169">
        <f>TrNavi_act!F5</f>
        <v>48</v>
      </c>
      <c r="G28" s="169">
        <f>TrNavi_act!G5</f>
        <v>63</v>
      </c>
      <c r="H28" s="169">
        <f>TrNavi_act!H5</f>
        <v>43</v>
      </c>
      <c r="I28" s="169">
        <f>TrNavi_act!I5</f>
        <v>36</v>
      </c>
      <c r="J28" s="169">
        <f>TrNavi_act!J5</f>
        <v>28</v>
      </c>
      <c r="K28" s="169">
        <f>TrNavi_act!K5</f>
        <v>33</v>
      </c>
      <c r="L28" s="169">
        <f>TrNavi_act!L5</f>
        <v>43</v>
      </c>
      <c r="M28" s="169">
        <f>TrNavi_act!M5</f>
        <v>42</v>
      </c>
      <c r="N28" s="169">
        <f>TrNavi_act!N5</f>
        <v>38</v>
      </c>
      <c r="O28" s="169">
        <f>TrNavi_act!O5</f>
        <v>25</v>
      </c>
      <c r="P28" s="169">
        <f>TrNavi_act!P5</f>
        <v>27</v>
      </c>
      <c r="Q28" s="169">
        <f>TrNavi_act!Q5</f>
        <v>33</v>
      </c>
      <c r="R28" s="169">
        <f>TrNavi_act!R5</f>
        <v>36</v>
      </c>
      <c r="S28" s="169">
        <f>TrNavi_act!S5</f>
        <v>25</v>
      </c>
      <c r="T28" s="169">
        <f>TrNavi_act!T5</f>
        <v>23</v>
      </c>
      <c r="U28" s="169">
        <f>TrNavi_act!U5</f>
        <v>32</v>
      </c>
      <c r="V28" s="169">
        <f>TrNavi_act!V5</f>
        <v>18</v>
      </c>
      <c r="W28" s="169">
        <f>TrNavi_act!W5</f>
        <v>22</v>
      </c>
      <c r="X28" s="169">
        <f>TrNavi_act!X5</f>
        <v>20</v>
      </c>
      <c r="Y28" s="169">
        <f>TrNavi_act!Y5</f>
        <v>18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0</v>
      </c>
      <c r="C29" s="28">
        <f t="shared" si="24"/>
        <v>0</v>
      </c>
      <c r="D29" s="28">
        <f t="shared" si="24"/>
        <v>0</v>
      </c>
      <c r="E29" s="28">
        <f t="shared" si="24"/>
        <v>0</v>
      </c>
      <c r="F29" s="28">
        <f t="shared" si="24"/>
        <v>0</v>
      </c>
      <c r="G29" s="28">
        <f t="shared" si="24"/>
        <v>0</v>
      </c>
      <c r="H29" s="28">
        <f t="shared" si="24"/>
        <v>0</v>
      </c>
      <c r="I29" s="28">
        <f t="shared" si="24"/>
        <v>0</v>
      </c>
      <c r="J29" s="28">
        <f t="shared" si="24"/>
        <v>0</v>
      </c>
      <c r="K29" s="28">
        <f t="shared" si="24"/>
        <v>0</v>
      </c>
      <c r="L29" s="28">
        <f t="shared" si="24"/>
        <v>0</v>
      </c>
      <c r="M29" s="28">
        <f t="shared" si="24"/>
        <v>0</v>
      </c>
      <c r="N29" s="28">
        <f t="shared" si="24"/>
        <v>0</v>
      </c>
      <c r="O29" s="28">
        <f t="shared" si="24"/>
        <v>0</v>
      </c>
      <c r="P29" s="28">
        <f t="shared" si="24"/>
        <v>0</v>
      </c>
      <c r="Q29" s="28">
        <f t="shared" si="24"/>
        <v>0</v>
      </c>
      <c r="R29" s="28">
        <f t="shared" si="24"/>
        <v>0</v>
      </c>
      <c r="S29" s="28">
        <f t="shared" si="24"/>
        <v>0</v>
      </c>
      <c r="T29" s="28">
        <f t="shared" si="24"/>
        <v>0</v>
      </c>
      <c r="U29" s="28">
        <f t="shared" si="24"/>
        <v>0</v>
      </c>
      <c r="V29" s="28">
        <f t="shared" si="24"/>
        <v>0</v>
      </c>
      <c r="W29" s="28">
        <f t="shared" si="24"/>
        <v>0</v>
      </c>
      <c r="X29" s="28">
        <f t="shared" ref="X29:Y29" si="25">X30+X31</f>
        <v>0</v>
      </c>
      <c r="Y29" s="28">
        <f t="shared" si="25"/>
        <v>0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0</v>
      </c>
      <c r="C30" s="102">
        <f>MBunk_act!C$4</f>
        <v>0</v>
      </c>
      <c r="D30" s="102">
        <f>MBunk_act!D$4</f>
        <v>0</v>
      </c>
      <c r="E30" s="102">
        <f>MBunk_act!E$4</f>
        <v>0</v>
      </c>
      <c r="F30" s="102">
        <f>MBunk_act!F$4</f>
        <v>0</v>
      </c>
      <c r="G30" s="102">
        <f>MBunk_act!G$4</f>
        <v>0</v>
      </c>
      <c r="H30" s="102">
        <f>MBunk_act!H$4</f>
        <v>0</v>
      </c>
      <c r="I30" s="102">
        <f>MBunk_act!I$4</f>
        <v>0</v>
      </c>
      <c r="J30" s="102">
        <f>MBunk_act!J$4</f>
        <v>0</v>
      </c>
      <c r="K30" s="102">
        <f>MBunk_act!K$4</f>
        <v>0</v>
      </c>
      <c r="L30" s="102">
        <f>MBunk_act!L$4</f>
        <v>0</v>
      </c>
      <c r="M30" s="102">
        <f>MBunk_act!M$4</f>
        <v>0</v>
      </c>
      <c r="N30" s="102">
        <f>MBunk_act!N$4</f>
        <v>0</v>
      </c>
      <c r="O30" s="102">
        <f>MBunk_act!O$4</f>
        <v>0</v>
      </c>
      <c r="P30" s="102">
        <f>MBunk_act!P$4</f>
        <v>0</v>
      </c>
      <c r="Q30" s="102">
        <f>MBunk_act!Q$4</f>
        <v>0</v>
      </c>
      <c r="R30" s="102">
        <f>MBunk_act!R$4</f>
        <v>0</v>
      </c>
      <c r="S30" s="102">
        <f>MBunk_act!S$4</f>
        <v>0</v>
      </c>
      <c r="T30" s="102">
        <f>MBunk_act!T$4</f>
        <v>0</v>
      </c>
      <c r="U30" s="102">
        <f>MBunk_act!U$4</f>
        <v>0</v>
      </c>
      <c r="V30" s="102">
        <f>MBunk_act!V$4</f>
        <v>0</v>
      </c>
      <c r="W30" s="102">
        <f>MBunk_act!W$4</f>
        <v>0</v>
      </c>
      <c r="X30" s="102">
        <f>MBunk_act!X$4</f>
        <v>0</v>
      </c>
      <c r="Y30" s="102">
        <f>MBunk_act!Y$4</f>
        <v>0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0</v>
      </c>
      <c r="C31" s="86">
        <f>MBunk_act!C$5</f>
        <v>0</v>
      </c>
      <c r="D31" s="86">
        <f>MBunk_act!D$5</f>
        <v>0</v>
      </c>
      <c r="E31" s="86">
        <f>MBunk_act!E$5</f>
        <v>0</v>
      </c>
      <c r="F31" s="86">
        <f>MBunk_act!F$5</f>
        <v>0</v>
      </c>
      <c r="G31" s="86">
        <f>MBunk_act!G$5</f>
        <v>0</v>
      </c>
      <c r="H31" s="86">
        <f>MBunk_act!H$5</f>
        <v>0</v>
      </c>
      <c r="I31" s="86">
        <f>MBunk_act!I$5</f>
        <v>0</v>
      </c>
      <c r="J31" s="86">
        <f>MBunk_act!J$5</f>
        <v>0</v>
      </c>
      <c r="K31" s="86">
        <f>MBunk_act!K$5</f>
        <v>0</v>
      </c>
      <c r="L31" s="86">
        <f>MBunk_act!L$5</f>
        <v>0</v>
      </c>
      <c r="M31" s="86">
        <f>MBunk_act!M$5</f>
        <v>0</v>
      </c>
      <c r="N31" s="86">
        <f>MBunk_act!N$5</f>
        <v>0</v>
      </c>
      <c r="O31" s="86">
        <f>MBunk_act!O$5</f>
        <v>0</v>
      </c>
      <c r="P31" s="86">
        <f>MBunk_act!P$5</f>
        <v>0</v>
      </c>
      <c r="Q31" s="86">
        <f>MBunk_act!Q$5</f>
        <v>0</v>
      </c>
      <c r="R31" s="86">
        <f>MBunk_act!R$5</f>
        <v>0</v>
      </c>
      <c r="S31" s="86">
        <f>MBunk_act!S$5</f>
        <v>0</v>
      </c>
      <c r="T31" s="86">
        <f>MBunk_act!T$5</f>
        <v>0</v>
      </c>
      <c r="U31" s="86">
        <f>MBunk_act!U$5</f>
        <v>0</v>
      </c>
      <c r="V31" s="86">
        <f>MBunk_act!V$5</f>
        <v>0</v>
      </c>
      <c r="W31" s="86">
        <f>MBunk_act!W$5</f>
        <v>0</v>
      </c>
      <c r="X31" s="86">
        <f>MBunk_act!X$5</f>
        <v>0</v>
      </c>
      <c r="Y31" s="86">
        <f>MBunk_act!Y$5</f>
        <v>0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3151.9245104234446</v>
      </c>
      <c r="C34" s="28">
        <f t="shared" si="26"/>
        <v>3291.2383607821312</v>
      </c>
      <c r="D34" s="28">
        <f t="shared" si="26"/>
        <v>3374.3372821079629</v>
      </c>
      <c r="E34" s="28">
        <f t="shared" si="26"/>
        <v>3761.0556056236819</v>
      </c>
      <c r="F34" s="28">
        <f t="shared" si="26"/>
        <v>3917.5055631426794</v>
      </c>
      <c r="G34" s="28">
        <f t="shared" si="26"/>
        <v>4044.7904741187349</v>
      </c>
      <c r="H34" s="28">
        <f t="shared" si="26"/>
        <v>4125.27786614449</v>
      </c>
      <c r="I34" s="28">
        <f t="shared" si="26"/>
        <v>4278.9783551115688</v>
      </c>
      <c r="J34" s="28">
        <f t="shared" si="26"/>
        <v>4321.9151328743801</v>
      </c>
      <c r="K34" s="28">
        <f t="shared" si="26"/>
        <v>4341.6942095869772</v>
      </c>
      <c r="L34" s="28">
        <f t="shared" si="26"/>
        <v>4115.9092663587544</v>
      </c>
      <c r="M34" s="28">
        <f t="shared" si="26"/>
        <v>4130.7157724450717</v>
      </c>
      <c r="N34" s="28">
        <f t="shared" si="26"/>
        <v>4029.2500477083195</v>
      </c>
      <c r="O34" s="28">
        <f t="shared" si="26"/>
        <v>4022.2344259157071</v>
      </c>
      <c r="P34" s="28">
        <f t="shared" si="26"/>
        <v>4094.660087025024</v>
      </c>
      <c r="Q34" s="28">
        <f t="shared" si="26"/>
        <v>4155.107486050937</v>
      </c>
      <c r="R34" s="28">
        <f t="shared" ref="R34:V34" si="27">R35+R39+R43</f>
        <v>4377.8048558347291</v>
      </c>
      <c r="S34" s="28">
        <f t="shared" si="27"/>
        <v>4545.5473963595177</v>
      </c>
      <c r="T34" s="28">
        <f t="shared" si="27"/>
        <v>4647.0333168146562</v>
      </c>
      <c r="U34" s="28">
        <f t="shared" si="27"/>
        <v>4764.581672708262</v>
      </c>
      <c r="V34" s="28">
        <f t="shared" si="27"/>
        <v>4157.8731568338226</v>
      </c>
      <c r="W34" s="28">
        <f t="shared" ref="W34:Y34" si="28">W35+W39+W43</f>
        <v>4339.6040919549223</v>
      </c>
      <c r="X34" s="28">
        <f t="shared" si="28"/>
        <v>4573.1636753222947</v>
      </c>
      <c r="Y34" s="28">
        <f t="shared" si="28"/>
        <v>4772.2079793716084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2823.1533350121504</v>
      </c>
      <c r="C35" s="137">
        <f t="shared" si="29"/>
        <v>2954.6710012402104</v>
      </c>
      <c r="D35" s="137">
        <f t="shared" si="29"/>
        <v>3050.854420120078</v>
      </c>
      <c r="E35" s="137">
        <f t="shared" si="29"/>
        <v>3375.7502159384467</v>
      </c>
      <c r="F35" s="137">
        <f t="shared" si="29"/>
        <v>3433.0514112590618</v>
      </c>
      <c r="G35" s="137">
        <f t="shared" si="29"/>
        <v>3545.6734425701275</v>
      </c>
      <c r="H35" s="137">
        <f t="shared" si="29"/>
        <v>3613.7860100654293</v>
      </c>
      <c r="I35" s="137">
        <f t="shared" si="29"/>
        <v>3743.5117807301144</v>
      </c>
      <c r="J35" s="137">
        <f t="shared" si="29"/>
        <v>3750.5858031958801</v>
      </c>
      <c r="K35" s="137">
        <f t="shared" si="29"/>
        <v>3806.3341243424775</v>
      </c>
      <c r="L35" s="137">
        <f t="shared" si="29"/>
        <v>3612.2576212698309</v>
      </c>
      <c r="M35" s="137">
        <f t="shared" si="29"/>
        <v>3625.582658303309</v>
      </c>
      <c r="N35" s="137">
        <f t="shared" si="29"/>
        <v>3557.1625191476692</v>
      </c>
      <c r="O35" s="137">
        <f t="shared" si="29"/>
        <v>3561.4850178951001</v>
      </c>
      <c r="P35" s="137">
        <f t="shared" si="29"/>
        <v>3632.0579245829877</v>
      </c>
      <c r="Q35" s="137">
        <f t="shared" si="29"/>
        <v>3671.239319886271</v>
      </c>
      <c r="R35" s="137">
        <f t="shared" ref="R35:V35" si="30">R36+R37+R38</f>
        <v>3866.6760052063892</v>
      </c>
      <c r="S35" s="137">
        <f t="shared" si="30"/>
        <v>3979.0410243909282</v>
      </c>
      <c r="T35" s="137">
        <f t="shared" si="30"/>
        <v>4041.416098898273</v>
      </c>
      <c r="U35" s="137">
        <f t="shared" si="30"/>
        <v>4146.8893848756661</v>
      </c>
      <c r="V35" s="137">
        <f t="shared" si="30"/>
        <v>3870.5874638451869</v>
      </c>
      <c r="W35" s="137">
        <f t="shared" ref="W35:Y35" si="31">W36+W37+W38</f>
        <v>4034.704811540732</v>
      </c>
      <c r="X35" s="137">
        <f t="shared" si="31"/>
        <v>4158.3753555820476</v>
      </c>
      <c r="Y35" s="137">
        <f t="shared" si="31"/>
        <v>4281.0216926575804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56.836059025221132</v>
      </c>
      <c r="C36" s="102">
        <f>TrRoad_ene!C$19</f>
        <v>54.014765340419551</v>
      </c>
      <c r="D36" s="102">
        <f>TrRoad_ene!D$19</f>
        <v>52.62194966164919</v>
      </c>
      <c r="E36" s="102">
        <f>TrRoad_ene!E$19</f>
        <v>52.403818311020153</v>
      </c>
      <c r="F36" s="102">
        <f>TrRoad_ene!F$19</f>
        <v>52.079062963649619</v>
      </c>
      <c r="G36" s="102">
        <f>TrRoad_ene!G$19</f>
        <v>53.587666717231563</v>
      </c>
      <c r="H36" s="102">
        <f>TrRoad_ene!H$19</f>
        <v>52.189397073097339</v>
      </c>
      <c r="I36" s="102">
        <f>TrRoad_ene!I$19</f>
        <v>53.808223949698188</v>
      </c>
      <c r="J36" s="102">
        <f>TrRoad_ene!J$19</f>
        <v>55.192968930049823</v>
      </c>
      <c r="K36" s="102">
        <f>TrRoad_ene!K$19</f>
        <v>55.533535178869961</v>
      </c>
      <c r="L36" s="102">
        <f>TrRoad_ene!L$19</f>
        <v>56.206357992300397</v>
      </c>
      <c r="M36" s="102">
        <f>TrRoad_ene!M$19</f>
        <v>56.813815495101657</v>
      </c>
      <c r="N36" s="102">
        <f>TrRoad_ene!N$19</f>
        <v>57.916867299575571</v>
      </c>
      <c r="O36" s="102">
        <f>TrRoad_ene!O$19</f>
        <v>57.699530132281794</v>
      </c>
      <c r="P36" s="102">
        <f>TrRoad_ene!P$19</f>
        <v>58.303685917025106</v>
      </c>
      <c r="Q36" s="102">
        <f>TrRoad_ene!Q$19</f>
        <v>59.793986953499683</v>
      </c>
      <c r="R36" s="102">
        <f>TrRoad_ene!R$19</f>
        <v>60.85399096467863</v>
      </c>
      <c r="S36" s="102">
        <f>TrRoad_ene!S$19</f>
        <v>57.111250883100034</v>
      </c>
      <c r="T36" s="102">
        <f>TrRoad_ene!T$19</f>
        <v>53.99301652850329</v>
      </c>
      <c r="U36" s="102">
        <f>TrRoad_ene!U$19</f>
        <v>56.871214081909258</v>
      </c>
      <c r="V36" s="102">
        <f>TrRoad_ene!V$19</f>
        <v>50.534384817043829</v>
      </c>
      <c r="W36" s="102">
        <f>TrRoad_ene!W$19</f>
        <v>52.168920862946713</v>
      </c>
      <c r="X36" s="102">
        <f>TrRoad_ene!X$19</f>
        <v>53.074685263049972</v>
      </c>
      <c r="Y36" s="102">
        <f>TrRoad_ene!Y$19</f>
        <v>56.142991368163138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2389.7274463059275</v>
      </c>
      <c r="C37" s="102">
        <f>TrRoad_ene!C$21</f>
        <v>2485.8160718055187</v>
      </c>
      <c r="D37" s="102">
        <f>TrRoad_ene!D$21</f>
        <v>2605.7154197239897</v>
      </c>
      <c r="E37" s="102">
        <f>TrRoad_ene!E$21</f>
        <v>2963.2200467361672</v>
      </c>
      <c r="F37" s="102">
        <f>TrRoad_ene!F$21</f>
        <v>3049.5255304208049</v>
      </c>
      <c r="G37" s="102">
        <f>TrRoad_ene!G$21</f>
        <v>3166.9296210378297</v>
      </c>
      <c r="H37" s="102">
        <f>TrRoad_ene!H$21</f>
        <v>3222.9987788784379</v>
      </c>
      <c r="I37" s="102">
        <f>TrRoad_ene!I$21</f>
        <v>3351.4987795341117</v>
      </c>
      <c r="J37" s="102">
        <f>TrRoad_ene!J$21</f>
        <v>3356.0233025722373</v>
      </c>
      <c r="K37" s="102">
        <f>TrRoad_ene!K$21</f>
        <v>3407.6923195838613</v>
      </c>
      <c r="L37" s="102">
        <f>TrRoad_ene!L$21</f>
        <v>3198.8981873531661</v>
      </c>
      <c r="M37" s="102">
        <f>TrRoad_ene!M$21</f>
        <v>3228.253850377354</v>
      </c>
      <c r="N37" s="102">
        <f>TrRoad_ene!N$21</f>
        <v>3167.5916229690274</v>
      </c>
      <c r="O37" s="102">
        <f>TrRoad_ene!O$21</f>
        <v>3162.6595203439738</v>
      </c>
      <c r="P37" s="102">
        <f>TrRoad_ene!P$21</f>
        <v>3222.9742124864911</v>
      </c>
      <c r="Q37" s="102">
        <f>TrRoad_ene!Q$21</f>
        <v>3269.895250144195</v>
      </c>
      <c r="R37" s="102">
        <f>TrRoad_ene!R$21</f>
        <v>3466.8496461246004</v>
      </c>
      <c r="S37" s="102">
        <f>TrRoad_ene!S$21</f>
        <v>3569.9903885274343</v>
      </c>
      <c r="T37" s="102">
        <f>TrRoad_ene!T$21</f>
        <v>3625.5483434523826</v>
      </c>
      <c r="U37" s="102">
        <f>TrRoad_ene!U$21</f>
        <v>3725.3745640302204</v>
      </c>
      <c r="V37" s="102">
        <f>TrRoad_ene!V$21</f>
        <v>3543.499295895972</v>
      </c>
      <c r="W37" s="102">
        <f>TrRoad_ene!W$21</f>
        <v>3713.9467511494186</v>
      </c>
      <c r="X37" s="102">
        <f>TrRoad_ene!X$21</f>
        <v>3806.4661245267152</v>
      </c>
      <c r="Y37" s="102">
        <f>TrRoad_ene!Y$21</f>
        <v>3928.8542903320194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376.58982968100173</v>
      </c>
      <c r="C38" s="102">
        <f>TrRoad_ene!C$33</f>
        <v>414.84016409427215</v>
      </c>
      <c r="D38" s="102">
        <f>TrRoad_ene!D$33</f>
        <v>392.51705073443907</v>
      </c>
      <c r="E38" s="102">
        <f>TrRoad_ene!E$33</f>
        <v>360.12635089125956</v>
      </c>
      <c r="F38" s="102">
        <f>TrRoad_ene!F$33</f>
        <v>331.44681787460735</v>
      </c>
      <c r="G38" s="102">
        <f>TrRoad_ene!G$33</f>
        <v>325.15615481506615</v>
      </c>
      <c r="H38" s="102">
        <f>TrRoad_ene!H$33</f>
        <v>338.59783411389395</v>
      </c>
      <c r="I38" s="102">
        <f>TrRoad_ene!I$33</f>
        <v>338.20477724630456</v>
      </c>
      <c r="J38" s="102">
        <f>TrRoad_ene!J$33</f>
        <v>339.36953169359282</v>
      </c>
      <c r="K38" s="102">
        <f>TrRoad_ene!K$33</f>
        <v>343.10826957974655</v>
      </c>
      <c r="L38" s="102">
        <f>TrRoad_ene!L$33</f>
        <v>357.15307592436415</v>
      </c>
      <c r="M38" s="102">
        <f>TrRoad_ene!M$33</f>
        <v>340.51499243085334</v>
      </c>
      <c r="N38" s="102">
        <f>TrRoad_ene!N$33</f>
        <v>331.65402887906606</v>
      </c>
      <c r="O38" s="102">
        <f>TrRoad_ene!O$33</f>
        <v>341.12596741884443</v>
      </c>
      <c r="P38" s="102">
        <f>TrRoad_ene!P$33</f>
        <v>350.78002617947141</v>
      </c>
      <c r="Q38" s="102">
        <f>TrRoad_ene!Q$33</f>
        <v>341.55008278857605</v>
      </c>
      <c r="R38" s="102">
        <f>TrRoad_ene!R$33</f>
        <v>338.97236811710985</v>
      </c>
      <c r="S38" s="102">
        <f>TrRoad_ene!S$33</f>
        <v>351.93938498039387</v>
      </c>
      <c r="T38" s="102">
        <f>TrRoad_ene!T$33</f>
        <v>361.87473891738716</v>
      </c>
      <c r="U38" s="102">
        <f>TrRoad_ene!U$33</f>
        <v>364.64360676353641</v>
      </c>
      <c r="V38" s="102">
        <f>TrRoad_ene!V$33</f>
        <v>276.55378313217108</v>
      </c>
      <c r="W38" s="102">
        <f>TrRoad_ene!W$33</f>
        <v>268.58913952836656</v>
      </c>
      <c r="X38" s="102">
        <f>TrRoad_ene!X$33</f>
        <v>298.83454579228237</v>
      </c>
      <c r="Y38" s="102">
        <f>TrRoad_ene!Y$33</f>
        <v>296.02441095739772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141.26334901698803</v>
      </c>
      <c r="C39" s="110">
        <f t="shared" si="32"/>
        <v>137.41338720651149</v>
      </c>
      <c r="D39" s="110">
        <f t="shared" si="32"/>
        <v>134.95026738978586</v>
      </c>
      <c r="E39" s="110">
        <f t="shared" si="32"/>
        <v>138.41694780461458</v>
      </c>
      <c r="F39" s="110">
        <f t="shared" si="32"/>
        <v>164.73160019107303</v>
      </c>
      <c r="G39" s="110">
        <f t="shared" si="32"/>
        <v>168.24932164095648</v>
      </c>
      <c r="H39" s="110">
        <f t="shared" si="32"/>
        <v>172.08669957260497</v>
      </c>
      <c r="I39" s="110">
        <f t="shared" si="32"/>
        <v>165.40196909497033</v>
      </c>
      <c r="J39" s="110">
        <f t="shared" si="32"/>
        <v>181.77999410090985</v>
      </c>
      <c r="K39" s="110">
        <f t="shared" si="32"/>
        <v>175.39396903706566</v>
      </c>
      <c r="L39" s="110">
        <f t="shared" si="32"/>
        <v>172.33289244794287</v>
      </c>
      <c r="M39" s="110">
        <f t="shared" si="32"/>
        <v>166.65476795934433</v>
      </c>
      <c r="N39" s="110">
        <f t="shared" si="32"/>
        <v>171.1841351116679</v>
      </c>
      <c r="O39" s="110">
        <f t="shared" si="32"/>
        <v>170.66269746752425</v>
      </c>
      <c r="P39" s="110">
        <f t="shared" si="32"/>
        <v>163.08159765623518</v>
      </c>
      <c r="Q39" s="110">
        <f t="shared" si="32"/>
        <v>163.6903181146192</v>
      </c>
      <c r="R39" s="110">
        <f t="shared" ref="R39:V39" si="33">R40+R41+R42</f>
        <v>166.63787259075352</v>
      </c>
      <c r="S39" s="110">
        <f t="shared" si="33"/>
        <v>174.69859983577285</v>
      </c>
      <c r="T39" s="110">
        <f t="shared" si="33"/>
        <v>178.35697917924273</v>
      </c>
      <c r="U39" s="110">
        <f t="shared" si="33"/>
        <v>174.06989055274701</v>
      </c>
      <c r="V39" s="110">
        <f t="shared" si="33"/>
        <v>151.38494381744707</v>
      </c>
      <c r="W39" s="110">
        <f t="shared" ref="W39:Y39" si="34">W40+W41+W42</f>
        <v>153.38973890545464</v>
      </c>
      <c r="X39" s="110">
        <f t="shared" si="34"/>
        <v>150.82122622866058</v>
      </c>
      <c r="Y39" s="110">
        <f t="shared" si="34"/>
        <v>149.84319076035476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44.643565152336329</v>
      </c>
      <c r="C40" s="102">
        <f>TrRail_ene!C$12</f>
        <v>45.18537656142319</v>
      </c>
      <c r="D40" s="102">
        <f>TrRail_ene!D$12</f>
        <v>46.02113410087496</v>
      </c>
      <c r="E40" s="102">
        <f>TrRail_ene!E$12</f>
        <v>48.03086478145341</v>
      </c>
      <c r="F40" s="102">
        <f>TrRail_ene!F$12</f>
        <v>50.343549614081248</v>
      </c>
      <c r="G40" s="102">
        <f>TrRail_ene!G$12</f>
        <v>46.918389002663304</v>
      </c>
      <c r="H40" s="102">
        <f>TrRail_ene!H$12</f>
        <v>45.912842769806147</v>
      </c>
      <c r="I40" s="102">
        <f>TrRail_ene!I$12</f>
        <v>45.86881156153553</v>
      </c>
      <c r="J40" s="102">
        <f>TrRail_ene!J$12</f>
        <v>53.209935748960646</v>
      </c>
      <c r="K40" s="102">
        <f>TrRail_ene!K$12</f>
        <v>52.791903480196119</v>
      </c>
      <c r="L40" s="102">
        <f>TrRail_ene!L$12</f>
        <v>51.707071897127292</v>
      </c>
      <c r="M40" s="102">
        <f>TrRail_ene!M$12</f>
        <v>48.814391453315757</v>
      </c>
      <c r="N40" s="102">
        <f>TrRail_ene!N$12</f>
        <v>51.75528454760417</v>
      </c>
      <c r="O40" s="102">
        <f>TrRail_ene!O$12</f>
        <v>50.630678920849746</v>
      </c>
      <c r="P40" s="102">
        <f>TrRail_ene!P$12</f>
        <v>46.100141056557057</v>
      </c>
      <c r="Q40" s="102">
        <f>TrRail_ene!Q$12</f>
        <v>44.173212115712182</v>
      </c>
      <c r="R40" s="102">
        <f>TrRail_ene!R$12</f>
        <v>46.274182707014219</v>
      </c>
      <c r="S40" s="102">
        <f>TrRail_ene!S$12</f>
        <v>46.153114514079689</v>
      </c>
      <c r="T40" s="102">
        <f>TrRail_ene!T$12</f>
        <v>44.511026411851738</v>
      </c>
      <c r="U40" s="102">
        <f>TrRail_ene!U$12</f>
        <v>44.679902773989483</v>
      </c>
      <c r="V40" s="102">
        <f>TrRail_ene!V$12</f>
        <v>37.903770890777679</v>
      </c>
      <c r="W40" s="102">
        <f>TrRail_ene!W$12</f>
        <v>37.763238973476646</v>
      </c>
      <c r="X40" s="102">
        <f>TrRail_ene!X$12</f>
        <v>28.253592423885578</v>
      </c>
      <c r="Y40" s="102">
        <f>TrRail_ene!Y$12</f>
        <v>22.789881793568863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96.619783864651708</v>
      </c>
      <c r="C41" s="102">
        <f>TrRail_ene!C$13</f>
        <v>92.228010645088304</v>
      </c>
      <c r="D41" s="102">
        <f>TrRail_ene!D$13</f>
        <v>88.929133288910904</v>
      </c>
      <c r="E41" s="102">
        <f>TrRail_ene!E$13</f>
        <v>90.386083023161163</v>
      </c>
      <c r="F41" s="102">
        <f>TrRail_ene!F$13</f>
        <v>114.3146742510806</v>
      </c>
      <c r="G41" s="102">
        <f>TrRail_ene!G$13</f>
        <v>120.89543903238703</v>
      </c>
      <c r="H41" s="102">
        <f>TrRail_ene!H$13</f>
        <v>121.91118994214503</v>
      </c>
      <c r="I41" s="102">
        <f>TrRail_ene!I$13</f>
        <v>113.61733084503139</v>
      </c>
      <c r="J41" s="102">
        <f>TrRail_ene!J$13</f>
        <v>124.15381059039854</v>
      </c>
      <c r="K41" s="102">
        <f>TrRail_ene!K$13</f>
        <v>118.57818296937293</v>
      </c>
      <c r="L41" s="102">
        <f>TrRail_ene!L$13</f>
        <v>116.14190682743545</v>
      </c>
      <c r="M41" s="102">
        <f>TrRail_ene!M$13</f>
        <v>113.21171186152816</v>
      </c>
      <c r="N41" s="102">
        <f>TrRail_ene!N$13</f>
        <v>115.17940323463958</v>
      </c>
      <c r="O41" s="102">
        <f>TrRail_ene!O$13</f>
        <v>116.27857574613463</v>
      </c>
      <c r="P41" s="102">
        <f>TrRail_ene!P$13</f>
        <v>113.50438224115788</v>
      </c>
      <c r="Q41" s="102">
        <f>TrRail_ene!Q$13</f>
        <v>112.17338770493498</v>
      </c>
      <c r="R41" s="102">
        <f>TrRail_ene!R$13</f>
        <v>112.04364709848731</v>
      </c>
      <c r="S41" s="102">
        <f>TrRail_ene!S$13</f>
        <v>119.48625127704378</v>
      </c>
      <c r="T41" s="102">
        <f>TrRail_ene!T$13</f>
        <v>124.57497410346893</v>
      </c>
      <c r="U41" s="102">
        <f>TrRail_ene!U$13</f>
        <v>119.17541827192036</v>
      </c>
      <c r="V41" s="102">
        <f>TrRail_ene!V$13</f>
        <v>105.57534977387431</v>
      </c>
      <c r="W41" s="102">
        <f>TrRail_ene!W$13</f>
        <v>107.50035081937529</v>
      </c>
      <c r="X41" s="102">
        <f>TrRail_ene!X$13</f>
        <v>114.38326890092191</v>
      </c>
      <c r="Y41" s="102">
        <f>TrRail_ene!Y$13</f>
        <v>118.58614301107512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7.3376325911176044E-2</v>
      </c>
      <c r="G42" s="102">
        <f>TrRail_ene!G$16</f>
        <v>0.43549360590615649</v>
      </c>
      <c r="H42" s="102">
        <f>TrRail_ene!H$16</f>
        <v>4.262666860653777</v>
      </c>
      <c r="I42" s="102">
        <f>TrRail_ene!I$16</f>
        <v>5.9158266884033903</v>
      </c>
      <c r="J42" s="102">
        <f>TrRail_ene!J$16</f>
        <v>4.4162477615506566</v>
      </c>
      <c r="K42" s="102">
        <f>TrRail_ene!K$16</f>
        <v>4.0238825874966162</v>
      </c>
      <c r="L42" s="102">
        <f>TrRail_ene!L$16</f>
        <v>4.4839137233801152</v>
      </c>
      <c r="M42" s="102">
        <f>TrRail_ene!M$16</f>
        <v>4.6286646445004065</v>
      </c>
      <c r="N42" s="102">
        <f>TrRail_ene!N$16</f>
        <v>4.249447329424159</v>
      </c>
      <c r="O42" s="102">
        <f>TrRail_ene!O$16</f>
        <v>3.7534428005398457</v>
      </c>
      <c r="P42" s="102">
        <f>TrRail_ene!P$16</f>
        <v>3.4770743585202331</v>
      </c>
      <c r="Q42" s="102">
        <f>TrRail_ene!Q$16</f>
        <v>7.3437182939720369</v>
      </c>
      <c r="R42" s="102">
        <f>TrRail_ene!R$16</f>
        <v>8.3200427852519798</v>
      </c>
      <c r="S42" s="102">
        <f>TrRail_ene!S$16</f>
        <v>9.059234044649406</v>
      </c>
      <c r="T42" s="102">
        <f>TrRail_ene!T$16</f>
        <v>9.2709786639220368</v>
      </c>
      <c r="U42" s="102">
        <f>TrRail_ene!U$16</f>
        <v>10.214569506837158</v>
      </c>
      <c r="V42" s="102">
        <f>TrRail_ene!V$16</f>
        <v>7.9058231527950698</v>
      </c>
      <c r="W42" s="102">
        <f>TrRail_ene!W$16</f>
        <v>8.126149112602727</v>
      </c>
      <c r="X42" s="102">
        <f>TrRail_ene!X$16</f>
        <v>8.1843649038530977</v>
      </c>
      <c r="Y42" s="102">
        <f>TrRail_ene!Y$16</f>
        <v>8.4671659557107795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187.50782639430665</v>
      </c>
      <c r="C43" s="110">
        <f t="shared" si="35"/>
        <v>199.15397233540966</v>
      </c>
      <c r="D43" s="110">
        <f t="shared" si="35"/>
        <v>188.532594598099</v>
      </c>
      <c r="E43" s="110">
        <f t="shared" si="35"/>
        <v>246.8884418806208</v>
      </c>
      <c r="F43" s="110">
        <f t="shared" si="35"/>
        <v>319.72255169254476</v>
      </c>
      <c r="G43" s="110">
        <f t="shared" si="35"/>
        <v>330.86770990765069</v>
      </c>
      <c r="H43" s="110">
        <f t="shared" si="35"/>
        <v>339.40515650645568</v>
      </c>
      <c r="I43" s="110">
        <f t="shared" si="35"/>
        <v>370.06460528648375</v>
      </c>
      <c r="J43" s="110">
        <f t="shared" si="35"/>
        <v>389.54933557759</v>
      </c>
      <c r="K43" s="110">
        <f t="shared" si="35"/>
        <v>359.96611620743425</v>
      </c>
      <c r="L43" s="110">
        <f t="shared" si="35"/>
        <v>331.31875264098056</v>
      </c>
      <c r="M43" s="110">
        <f t="shared" si="35"/>
        <v>338.47834618241814</v>
      </c>
      <c r="N43" s="110">
        <f t="shared" si="35"/>
        <v>300.90339344898268</v>
      </c>
      <c r="O43" s="110">
        <f t="shared" si="35"/>
        <v>290.08671055308264</v>
      </c>
      <c r="P43" s="110">
        <f t="shared" si="35"/>
        <v>299.52056478580113</v>
      </c>
      <c r="Q43" s="110">
        <f t="shared" si="35"/>
        <v>320.17784805004715</v>
      </c>
      <c r="R43" s="110">
        <f t="shared" ref="R43:V43" si="36">R44+R45+R46</f>
        <v>344.49097803758667</v>
      </c>
      <c r="S43" s="110">
        <f t="shared" si="36"/>
        <v>391.80777213281652</v>
      </c>
      <c r="T43" s="110">
        <f t="shared" si="36"/>
        <v>427.26023873714041</v>
      </c>
      <c r="U43" s="110">
        <f t="shared" si="36"/>
        <v>443.62239727984843</v>
      </c>
      <c r="V43" s="110">
        <f t="shared" si="36"/>
        <v>135.90074917118818</v>
      </c>
      <c r="W43" s="110">
        <f t="shared" ref="W43:Y43" si="37">W44+W45+W46</f>
        <v>151.5095415087352</v>
      </c>
      <c r="X43" s="110">
        <f t="shared" si="37"/>
        <v>263.9670935115862</v>
      </c>
      <c r="Y43" s="110">
        <f t="shared" si="37"/>
        <v>341.34309595367324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38.283933807423679</v>
      </c>
      <c r="C44" s="102">
        <f>TrAvia_ene!C$7</f>
        <v>49.404034280354658</v>
      </c>
      <c r="D44" s="102">
        <f>TrAvia_ene!D$7</f>
        <v>35.015183852077257</v>
      </c>
      <c r="E44" s="102">
        <f>TrAvia_ene!E$7</f>
        <v>57.693973196751593</v>
      </c>
      <c r="F44" s="102">
        <f>TrAvia_ene!F$7</f>
        <v>43.827335223116734</v>
      </c>
      <c r="G44" s="102">
        <f>TrAvia_ene!G$7</f>
        <v>29.369234751931899</v>
      </c>
      <c r="H44" s="102">
        <f>TrAvia_ene!H$7</f>
        <v>16.208676197677246</v>
      </c>
      <c r="I44" s="102">
        <f>TrAvia_ene!I$7</f>
        <v>36.02507696551266</v>
      </c>
      <c r="J44" s="102">
        <f>TrAvia_ene!J$7</f>
        <v>45.099020841072694</v>
      </c>
      <c r="K44" s="102">
        <f>TrAvia_ene!K$7</f>
        <v>31.148654251790568</v>
      </c>
      <c r="L44" s="102">
        <f>TrAvia_ene!L$7</f>
        <v>29.1427465003683</v>
      </c>
      <c r="M44" s="102">
        <f>TrAvia_ene!M$7</f>
        <v>42.735273470756745</v>
      </c>
      <c r="N44" s="102">
        <f>TrAvia_ene!N$7</f>
        <v>20.865914691065232</v>
      </c>
      <c r="O44" s="102">
        <f>TrAvia_ene!O$7</f>
        <v>18.976176594325523</v>
      </c>
      <c r="P44" s="102">
        <f>TrAvia_ene!P$7</f>
        <v>18.330629529886842</v>
      </c>
      <c r="Q44" s="102">
        <f>TrAvia_ene!Q$7</f>
        <v>37.698452184097498</v>
      </c>
      <c r="R44" s="102">
        <f>TrAvia_ene!R$7</f>
        <v>41.88821413346173</v>
      </c>
      <c r="S44" s="102">
        <f>TrAvia_ene!S$7</f>
        <v>51.702205471316006</v>
      </c>
      <c r="T44" s="102">
        <f>TrAvia_ene!T$7</f>
        <v>30.530391501918572</v>
      </c>
      <c r="U44" s="102">
        <f>TrAvia_ene!U$7</f>
        <v>37.327078959115823</v>
      </c>
      <c r="V44" s="102">
        <f>TrAvia_ene!V$7</f>
        <v>29.036289614982294</v>
      </c>
      <c r="W44" s="102">
        <f>TrAvia_ene!W$7</f>
        <v>4.5911269017480505</v>
      </c>
      <c r="X44" s="102">
        <f>TrAvia_ene!X$7</f>
        <v>5.6870127707337454</v>
      </c>
      <c r="Y44" s="102">
        <f>TrAvia_ene!Y$7</f>
        <v>6.2161256648319094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89.463576022667326</v>
      </c>
      <c r="C45" s="102">
        <f>TrAvia_ene!C$8</f>
        <v>89.774621062060376</v>
      </c>
      <c r="D45" s="102">
        <f>TrAvia_ene!D$8</f>
        <v>92.032614915506414</v>
      </c>
      <c r="E45" s="102">
        <f>TrAvia_ene!E$8</f>
        <v>118.10053267645932</v>
      </c>
      <c r="F45" s="102">
        <f>TrAvia_ene!F$8</f>
        <v>178.16712022158399</v>
      </c>
      <c r="G45" s="102">
        <f>TrAvia_ene!G$8</f>
        <v>198.78802434360961</v>
      </c>
      <c r="H45" s="102">
        <f>TrAvia_ene!H$8</f>
        <v>211.44596740909708</v>
      </c>
      <c r="I45" s="102">
        <f>TrAvia_ene!I$8</f>
        <v>219.80034228845949</v>
      </c>
      <c r="J45" s="102">
        <f>TrAvia_ene!J$8</f>
        <v>221.81545430823732</v>
      </c>
      <c r="K45" s="102">
        <f>TrAvia_ene!K$8</f>
        <v>205.19771404066705</v>
      </c>
      <c r="L45" s="102">
        <f>TrAvia_ene!L$8</f>
        <v>185.65110755721275</v>
      </c>
      <c r="M45" s="102">
        <f>TrAvia_ene!M$8</f>
        <v>180.09259445914114</v>
      </c>
      <c r="N45" s="102">
        <f>TrAvia_ene!N$8</f>
        <v>168.87403919833187</v>
      </c>
      <c r="O45" s="102">
        <f>TrAvia_ene!O$8</f>
        <v>163.28093356173693</v>
      </c>
      <c r="P45" s="102">
        <f>TrAvia_ene!P$8</f>
        <v>169.73609055290717</v>
      </c>
      <c r="Q45" s="102">
        <f>TrAvia_ene!Q$8</f>
        <v>171.84078245865607</v>
      </c>
      <c r="R45" s="102">
        <f>TrAvia_ene!R$8</f>
        <v>189.4060434979628</v>
      </c>
      <c r="S45" s="102">
        <f>TrAvia_ene!S$8</f>
        <v>216.48770075466462</v>
      </c>
      <c r="T45" s="102">
        <f>TrAvia_ene!T$8</f>
        <v>253.01990545109476</v>
      </c>
      <c r="U45" s="102">
        <f>TrAvia_ene!U$8</f>
        <v>254.87264174091831</v>
      </c>
      <c r="V45" s="102">
        <f>TrAvia_ene!V$8</f>
        <v>59.151479896560652</v>
      </c>
      <c r="W45" s="102">
        <f>TrAvia_ene!W$8</f>
        <v>85.964745765962604</v>
      </c>
      <c r="X45" s="102">
        <f>TrAvia_ene!X$8</f>
        <v>164.97627932244143</v>
      </c>
      <c r="Y45" s="102">
        <f>TrAvia_ene!Y$8</f>
        <v>212.62083041029459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59.760316564215643</v>
      </c>
      <c r="C46" s="102">
        <f>TrAvia_ene!C$9</f>
        <v>59.975316992994635</v>
      </c>
      <c r="D46" s="102">
        <f>TrAvia_ene!D$9</f>
        <v>61.484795830515317</v>
      </c>
      <c r="E46" s="102">
        <f>TrAvia_ene!E$9</f>
        <v>71.09393600740988</v>
      </c>
      <c r="F46" s="102">
        <f>TrAvia_ene!F$9</f>
        <v>97.728096247844036</v>
      </c>
      <c r="G46" s="102">
        <f>TrAvia_ene!G$9</f>
        <v>102.71045081210917</v>
      </c>
      <c r="H46" s="102">
        <f>TrAvia_ene!H$9</f>
        <v>111.75051289968135</v>
      </c>
      <c r="I46" s="102">
        <f>TrAvia_ene!I$9</f>
        <v>114.23918603251161</v>
      </c>
      <c r="J46" s="102">
        <f>TrAvia_ene!J$9</f>
        <v>122.63486042827999</v>
      </c>
      <c r="K46" s="102">
        <f>TrAvia_ene!K$9</f>
        <v>123.61974791497664</v>
      </c>
      <c r="L46" s="102">
        <f>TrAvia_ene!L$9</f>
        <v>116.52489858339952</v>
      </c>
      <c r="M46" s="102">
        <f>TrAvia_ene!M$9</f>
        <v>115.65047825252027</v>
      </c>
      <c r="N46" s="102">
        <f>TrAvia_ene!N$9</f>
        <v>111.16343955958556</v>
      </c>
      <c r="O46" s="102">
        <f>TrAvia_ene!O$9</f>
        <v>107.82960039702019</v>
      </c>
      <c r="P46" s="102">
        <f>TrAvia_ene!P$9</f>
        <v>111.45384470300714</v>
      </c>
      <c r="Q46" s="102">
        <f>TrAvia_ene!Q$9</f>
        <v>110.63861340729355</v>
      </c>
      <c r="R46" s="102">
        <f>TrAvia_ene!R$9</f>
        <v>113.19672040616216</v>
      </c>
      <c r="S46" s="102">
        <f>TrAvia_ene!S$9</f>
        <v>123.61786590683589</v>
      </c>
      <c r="T46" s="102">
        <f>TrAvia_ene!T$9</f>
        <v>143.70994178412704</v>
      </c>
      <c r="U46" s="102">
        <f>TrAvia_ene!U$9</f>
        <v>151.42267657981429</v>
      </c>
      <c r="V46" s="102">
        <f>TrAvia_ene!V$9</f>
        <v>47.712979659645235</v>
      </c>
      <c r="W46" s="102">
        <f>TrAvia_ene!W$9</f>
        <v>60.95366884102453</v>
      </c>
      <c r="X46" s="102">
        <f>TrAvia_ene!X$9</f>
        <v>93.303801418411027</v>
      </c>
      <c r="Y46" s="102">
        <f>TrAvia_ene!Y$9</f>
        <v>122.50613987854673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1103.3476404591506</v>
      </c>
      <c r="C47" s="28">
        <f t="shared" si="38"/>
        <v>1194.3731988880645</v>
      </c>
      <c r="D47" s="28">
        <f t="shared" si="38"/>
        <v>1302.0639856361749</v>
      </c>
      <c r="E47" s="28">
        <f t="shared" si="38"/>
        <v>1545.8618007174009</v>
      </c>
      <c r="F47" s="28">
        <f t="shared" si="38"/>
        <v>1718.66419800207</v>
      </c>
      <c r="G47" s="28">
        <f t="shared" si="38"/>
        <v>1987.5462359875073</v>
      </c>
      <c r="H47" s="28">
        <f t="shared" si="38"/>
        <v>2141.8685419916733</v>
      </c>
      <c r="I47" s="28">
        <f t="shared" si="38"/>
        <v>2305.4048263762261</v>
      </c>
      <c r="J47" s="28">
        <f t="shared" si="38"/>
        <v>2295.8609630947731</v>
      </c>
      <c r="K47" s="28">
        <f t="shared" si="38"/>
        <v>2155.3305795094489</v>
      </c>
      <c r="L47" s="28">
        <f t="shared" si="38"/>
        <v>2048.394894337825</v>
      </c>
      <c r="M47" s="28">
        <f t="shared" si="38"/>
        <v>2053.0224576466189</v>
      </c>
      <c r="N47" s="28">
        <f t="shared" si="38"/>
        <v>2015.3833647084973</v>
      </c>
      <c r="O47" s="28">
        <f t="shared" si="38"/>
        <v>1960.6459615457052</v>
      </c>
      <c r="P47" s="28">
        <f t="shared" si="38"/>
        <v>2111.4424465033426</v>
      </c>
      <c r="Q47" s="28">
        <f t="shared" si="38"/>
        <v>2304.8001812532775</v>
      </c>
      <c r="R47" s="28">
        <f t="shared" ref="R47:V47" si="39">R48+R51+R52+R56</f>
        <v>2351.9138540563299</v>
      </c>
      <c r="S47" s="28">
        <f t="shared" si="39"/>
        <v>2412.8335045129579</v>
      </c>
      <c r="T47" s="28">
        <f t="shared" si="39"/>
        <v>2409.201850234334</v>
      </c>
      <c r="U47" s="28">
        <f t="shared" si="39"/>
        <v>2411.8288559496673</v>
      </c>
      <c r="V47" s="28">
        <f t="shared" si="39"/>
        <v>2293.4563292648509</v>
      </c>
      <c r="W47" s="28">
        <f t="shared" ref="W47:Y47" si="40">W48+W51+W52+W56</f>
        <v>2540.994901844831</v>
      </c>
      <c r="X47" s="28">
        <f t="shared" si="40"/>
        <v>2569.4586722156632</v>
      </c>
      <c r="Y47" s="28">
        <f t="shared" si="40"/>
        <v>2596.4504705971781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1017.2072079598695</v>
      </c>
      <c r="C48" s="137">
        <f t="shared" si="41"/>
        <v>1108.995416555523</v>
      </c>
      <c r="D48" s="137">
        <f t="shared" si="41"/>
        <v>1226.0169250101301</v>
      </c>
      <c r="E48" s="137">
        <f t="shared" si="41"/>
        <v>1472.2925558368581</v>
      </c>
      <c r="F48" s="137">
        <f t="shared" si="41"/>
        <v>1626.767619017244</v>
      </c>
      <c r="G48" s="137">
        <f t="shared" si="41"/>
        <v>1899.8219089806544</v>
      </c>
      <c r="H48" s="137">
        <f t="shared" si="41"/>
        <v>2051.6949638488936</v>
      </c>
      <c r="I48" s="137">
        <f t="shared" si="41"/>
        <v>2212.7938427181271</v>
      </c>
      <c r="J48" s="137">
        <f t="shared" si="41"/>
        <v>2213.2502239856549</v>
      </c>
      <c r="K48" s="137">
        <f t="shared" si="41"/>
        <v>2081.4988332836137</v>
      </c>
      <c r="L48" s="137">
        <f t="shared" si="41"/>
        <v>1978.921775884186</v>
      </c>
      <c r="M48" s="137">
        <f t="shared" si="41"/>
        <v>1978.336225270755</v>
      </c>
      <c r="N48" s="137">
        <f t="shared" si="41"/>
        <v>1947.4212801995004</v>
      </c>
      <c r="O48" s="137">
        <f t="shared" si="41"/>
        <v>1900.5029362043174</v>
      </c>
      <c r="P48" s="137">
        <f t="shared" si="41"/>
        <v>2044.9360964776236</v>
      </c>
      <c r="Q48" s="137">
        <f t="shared" si="41"/>
        <v>2236.1357592838081</v>
      </c>
      <c r="R48" s="137">
        <f t="shared" ref="R48:V48" si="42">R49+R50</f>
        <v>2280.9089987517377</v>
      </c>
      <c r="S48" s="137">
        <f t="shared" si="42"/>
        <v>2341.8048807807736</v>
      </c>
      <c r="T48" s="137">
        <f t="shared" si="42"/>
        <v>2339.1777955797797</v>
      </c>
      <c r="U48" s="137">
        <f t="shared" si="42"/>
        <v>2332.3556235758997</v>
      </c>
      <c r="V48" s="137">
        <f t="shared" si="42"/>
        <v>2216.3869061743799</v>
      </c>
      <c r="W48" s="137">
        <f t="shared" ref="W48:Y48" si="43">W49+W50</f>
        <v>2473.085669791265</v>
      </c>
      <c r="X48" s="137">
        <f t="shared" si="43"/>
        <v>2490.2938535208282</v>
      </c>
      <c r="Y48" s="137">
        <f t="shared" si="43"/>
        <v>2520.7837048606475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163.18292864622816</v>
      </c>
      <c r="C49" s="102">
        <f>TrRoad_ene!C$43</f>
        <v>176.46365907232371</v>
      </c>
      <c r="D49" s="102">
        <f>TrRoad_ene!D$43</f>
        <v>202.93862856354477</v>
      </c>
      <c r="E49" s="102">
        <f>TrRoad_ene!E$43</f>
        <v>232.26538899729704</v>
      </c>
      <c r="F49" s="102">
        <f>TrRoad_ene!F$43</f>
        <v>267.28312962020414</v>
      </c>
      <c r="G49" s="102">
        <f>TrRoad_ene!G$43</f>
        <v>316.98627836042499</v>
      </c>
      <c r="H49" s="102">
        <f>TrRoad_ene!H$43</f>
        <v>365.97227196696065</v>
      </c>
      <c r="I49" s="102">
        <f>TrRoad_ene!I$43</f>
        <v>416.88457511997268</v>
      </c>
      <c r="J49" s="102">
        <f>TrRoad_ene!J$43</f>
        <v>499.07721062436065</v>
      </c>
      <c r="K49" s="102">
        <f>TrRoad_ene!K$43</f>
        <v>508.83415421335184</v>
      </c>
      <c r="L49" s="102">
        <f>TrRoad_ene!L$43</f>
        <v>540.96137516958049</v>
      </c>
      <c r="M49" s="102">
        <f>TrRoad_ene!M$43</f>
        <v>552.95470443607837</v>
      </c>
      <c r="N49" s="102">
        <f>TrRoad_ene!N$43</f>
        <v>562.19553070756956</v>
      </c>
      <c r="O49" s="102">
        <f>TrRoad_ene!O$43</f>
        <v>585.46717144804677</v>
      </c>
      <c r="P49" s="102">
        <f>TrRoad_ene!P$43</f>
        <v>655.52634670279053</v>
      </c>
      <c r="Q49" s="102">
        <f>TrRoad_ene!Q$43</f>
        <v>715.55138022131894</v>
      </c>
      <c r="R49" s="102">
        <f>TrRoad_ene!R$43</f>
        <v>613.69156928684538</v>
      </c>
      <c r="S49" s="102">
        <f>TrRoad_ene!S$43</f>
        <v>624.96423817545144</v>
      </c>
      <c r="T49" s="102">
        <f>TrRoad_ene!T$43</f>
        <v>629.78419457711925</v>
      </c>
      <c r="U49" s="102">
        <f>TrRoad_ene!U$43</f>
        <v>631.05756123063145</v>
      </c>
      <c r="V49" s="102">
        <f>TrRoad_ene!V$43</f>
        <v>613.68016966231539</v>
      </c>
      <c r="W49" s="102">
        <f>TrRoad_ene!W$43</f>
        <v>627.55848825318753</v>
      </c>
      <c r="X49" s="102">
        <f>TrRoad_ene!X$43</f>
        <v>631.40282916568583</v>
      </c>
      <c r="Y49" s="102">
        <f>TrRoad_ene!Y$43</f>
        <v>642.38159694164619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854.02427931364127</v>
      </c>
      <c r="C50" s="102">
        <f>TrRoad_ene!C$52</f>
        <v>932.53175748319927</v>
      </c>
      <c r="D50" s="102">
        <f>TrRoad_ene!D$52</f>
        <v>1023.0782964465852</v>
      </c>
      <c r="E50" s="102">
        <f>TrRoad_ene!E$52</f>
        <v>1240.027166839561</v>
      </c>
      <c r="F50" s="102">
        <f>TrRoad_ene!F$52</f>
        <v>1359.4844893970399</v>
      </c>
      <c r="G50" s="102">
        <f>TrRoad_ene!G$52</f>
        <v>1582.8356306202295</v>
      </c>
      <c r="H50" s="102">
        <f>TrRoad_ene!H$52</f>
        <v>1685.7226918819331</v>
      </c>
      <c r="I50" s="102">
        <f>TrRoad_ene!I$52</f>
        <v>1795.9092675981544</v>
      </c>
      <c r="J50" s="102">
        <f>TrRoad_ene!J$52</f>
        <v>1714.1730133612941</v>
      </c>
      <c r="K50" s="102">
        <f>TrRoad_ene!K$52</f>
        <v>1572.6646790702621</v>
      </c>
      <c r="L50" s="102">
        <f>TrRoad_ene!L$52</f>
        <v>1437.9604007146056</v>
      </c>
      <c r="M50" s="102">
        <f>TrRoad_ene!M$52</f>
        <v>1425.3815208346766</v>
      </c>
      <c r="N50" s="102">
        <f>TrRoad_ene!N$52</f>
        <v>1385.2257494919309</v>
      </c>
      <c r="O50" s="102">
        <f>TrRoad_ene!O$52</f>
        <v>1315.0357647562705</v>
      </c>
      <c r="P50" s="102">
        <f>TrRoad_ene!P$52</f>
        <v>1389.409749774833</v>
      </c>
      <c r="Q50" s="102">
        <f>TrRoad_ene!Q$52</f>
        <v>1520.584379062489</v>
      </c>
      <c r="R50" s="102">
        <f>TrRoad_ene!R$52</f>
        <v>1667.2174294648923</v>
      </c>
      <c r="S50" s="102">
        <f>TrRoad_ene!S$52</f>
        <v>1716.8406426053223</v>
      </c>
      <c r="T50" s="102">
        <f>TrRoad_ene!T$52</f>
        <v>1709.3936010026603</v>
      </c>
      <c r="U50" s="102">
        <f>TrRoad_ene!U$52</f>
        <v>1701.2980623452681</v>
      </c>
      <c r="V50" s="102">
        <f>TrRoad_ene!V$52</f>
        <v>1602.7067365120643</v>
      </c>
      <c r="W50" s="102">
        <f>TrRoad_ene!W$52</f>
        <v>1845.5271815380775</v>
      </c>
      <c r="X50" s="102">
        <f>TrRoad_ene!X$52</f>
        <v>1858.8910243551425</v>
      </c>
      <c r="Y50" s="102">
        <f>TrRoad_ene!Y$52</f>
        <v>1878.4021079190013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68.22039990820538</v>
      </c>
      <c r="C51" s="110">
        <f>TrRail_ene!C$17</f>
        <v>64.866148477065451</v>
      </c>
      <c r="D51" s="110">
        <f>TrRail_ene!D$17</f>
        <v>58.093584716834926</v>
      </c>
      <c r="E51" s="110">
        <f>TrRail_ene!E$17</f>
        <v>56.726560363915027</v>
      </c>
      <c r="F51" s="110">
        <f>TrRail_ene!F$17</f>
        <v>73.312767822684492</v>
      </c>
      <c r="G51" s="110">
        <f>TrRail_ene!G$17</f>
        <v>69.047582916223178</v>
      </c>
      <c r="H51" s="110">
        <f>TrRail_ene!H$17</f>
        <v>70.761623729200764</v>
      </c>
      <c r="I51" s="110">
        <f>TrRail_ene!I$17</f>
        <v>74.891926003911891</v>
      </c>
      <c r="J51" s="110">
        <f>TrRail_ene!J$17</f>
        <v>65.736085004851105</v>
      </c>
      <c r="K51" s="110">
        <f>TrRail_ene!K$17</f>
        <v>56.329074815040912</v>
      </c>
      <c r="L51" s="110">
        <f>TrRail_ene!L$17</f>
        <v>53.301415376648706</v>
      </c>
      <c r="M51" s="110">
        <f>TrRail_ene!M$17</f>
        <v>55.341276752607513</v>
      </c>
      <c r="N51" s="110">
        <f>TrRail_ene!N$17</f>
        <v>48.280009342330374</v>
      </c>
      <c r="O51" s="110">
        <f>TrRail_ene!O$17</f>
        <v>45.132659368245285</v>
      </c>
      <c r="P51" s="110">
        <f>TrRail_ene!P$17</f>
        <v>51.628032610316879</v>
      </c>
      <c r="Q51" s="110">
        <f>TrRail_ene!Q$17</f>
        <v>52.716818600772001</v>
      </c>
      <c r="R51" s="110">
        <f>TrRail_ene!R$17</f>
        <v>52.488266704173427</v>
      </c>
      <c r="S51" s="110">
        <f>TrRail_ene!S$17</f>
        <v>51.222122434218527</v>
      </c>
      <c r="T51" s="110">
        <f>TrRail_ene!T$17</f>
        <v>50.499770605796002</v>
      </c>
      <c r="U51" s="110">
        <f>TrRail_ene!U$17</f>
        <v>51.505001966599444</v>
      </c>
      <c r="V51" s="110">
        <f>TrRail_ene!V$17</f>
        <v>53.704566070773097</v>
      </c>
      <c r="W51" s="110">
        <f>TrRail_ene!W$17</f>
        <v>55.999083106583178</v>
      </c>
      <c r="X51" s="110">
        <f>TrRail_ene!X$17</f>
        <v>69.053752275208694</v>
      </c>
      <c r="Y51" s="110">
        <f>TrRail_ene!Y$17</f>
        <v>65.372372438269451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12.82175228153169</v>
      </c>
      <c r="C52" s="110">
        <f t="shared" si="44"/>
        <v>12.501659650832829</v>
      </c>
      <c r="D52" s="110">
        <f t="shared" si="44"/>
        <v>13.946597147386802</v>
      </c>
      <c r="E52" s="110">
        <f t="shared" si="44"/>
        <v>12.836837569078291</v>
      </c>
      <c r="F52" s="110">
        <f t="shared" si="44"/>
        <v>12.583123285959065</v>
      </c>
      <c r="G52" s="110">
        <f t="shared" si="44"/>
        <v>13.681387254860084</v>
      </c>
      <c r="H52" s="110">
        <f t="shared" si="44"/>
        <v>13.281429907989772</v>
      </c>
      <c r="I52" s="110">
        <f t="shared" si="44"/>
        <v>12.613812598296981</v>
      </c>
      <c r="J52" s="110">
        <f t="shared" si="44"/>
        <v>12.778953330406411</v>
      </c>
      <c r="K52" s="110">
        <f t="shared" si="44"/>
        <v>12.370341230226879</v>
      </c>
      <c r="L52" s="110">
        <f t="shared" si="44"/>
        <v>12.060009181891267</v>
      </c>
      <c r="M52" s="110">
        <f t="shared" si="44"/>
        <v>16.2649040325431</v>
      </c>
      <c r="N52" s="110">
        <f t="shared" si="44"/>
        <v>14.551894599168673</v>
      </c>
      <c r="O52" s="110">
        <f t="shared" si="44"/>
        <v>12.958087383288767</v>
      </c>
      <c r="P52" s="110">
        <f t="shared" si="44"/>
        <v>11.797835902074947</v>
      </c>
      <c r="Q52" s="110">
        <f t="shared" si="44"/>
        <v>12.870561236281318</v>
      </c>
      <c r="R52" s="110">
        <f t="shared" si="44"/>
        <v>14.412547327847708</v>
      </c>
      <c r="S52" s="110">
        <f t="shared" si="44"/>
        <v>15.703233886100069</v>
      </c>
      <c r="T52" s="110">
        <f t="shared" si="44"/>
        <v>16.447843808001458</v>
      </c>
      <c r="U52" s="110">
        <f t="shared" si="44"/>
        <v>22.838135824192861</v>
      </c>
      <c r="V52" s="110">
        <f t="shared" si="44"/>
        <v>19.253163124598604</v>
      </c>
      <c r="W52" s="110">
        <f t="shared" ref="W52:Y52" si="45">W53+W54+W55</f>
        <v>7.7810861782811305</v>
      </c>
      <c r="X52" s="110">
        <f t="shared" si="45"/>
        <v>7.0174292743122493</v>
      </c>
      <c r="Y52" s="110">
        <f t="shared" si="45"/>
        <v>6.1724672449508837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0.76258381940348752</v>
      </c>
      <c r="C53" s="102">
        <f>TrAvia_ene!C$11</f>
        <v>0.73448678585341676</v>
      </c>
      <c r="D53" s="102">
        <f>TrAvia_ene!D$11</f>
        <v>0.83554701636641737</v>
      </c>
      <c r="E53" s="102">
        <f>TrAvia_ene!E$11</f>
        <v>0.64600960634384719</v>
      </c>
      <c r="F53" s="102">
        <f>TrAvia_ene!F$11</f>
        <v>0.20086770035703491</v>
      </c>
      <c r="G53" s="102">
        <f>TrAvia_ene!G$11</f>
        <v>0.32362853267687225</v>
      </c>
      <c r="H53" s="102">
        <f>TrAvia_ene!H$11</f>
        <v>0.36200308005276494</v>
      </c>
      <c r="I53" s="102">
        <f>TrAvia_ene!I$11</f>
        <v>1.229609190979174</v>
      </c>
      <c r="J53" s="102">
        <f>TrAvia_ene!J$11</f>
        <v>1.4634899069926517</v>
      </c>
      <c r="K53" s="102">
        <f>TrAvia_ene!K$11</f>
        <v>0.93509467340289198</v>
      </c>
      <c r="L53" s="102">
        <f>TrAvia_ene!L$11</f>
        <v>0.87255874468758887</v>
      </c>
      <c r="M53" s="102">
        <f>TrAvia_ene!M$11</f>
        <v>1.7471856865949271</v>
      </c>
      <c r="N53" s="102">
        <f>TrAvia_ene!N$11</f>
        <v>0.87578780248592825</v>
      </c>
      <c r="O53" s="102">
        <f>TrAvia_ene!O$11</f>
        <v>0.69708221908806667</v>
      </c>
      <c r="P53" s="102">
        <f>TrAvia_ene!P$11</f>
        <v>0.30840744345794718</v>
      </c>
      <c r="Q53" s="102">
        <f>TrAvia_ene!Q$11</f>
        <v>0.60214970756200736</v>
      </c>
      <c r="R53" s="102">
        <f>TrAvia_ene!R$11</f>
        <v>0.54927511847292043</v>
      </c>
      <c r="S53" s="102">
        <f>TrAvia_ene!S$11</f>
        <v>1.0772442277381602</v>
      </c>
      <c r="T53" s="102">
        <f>TrAvia_ene!T$11</f>
        <v>3.6334090139885689</v>
      </c>
      <c r="U53" s="102">
        <f>TrAvia_ene!U$11</f>
        <v>10.281347524117185</v>
      </c>
      <c r="V53" s="102">
        <f>TrAvia_ene!V$11</f>
        <v>12.355283901784686</v>
      </c>
      <c r="W53" s="102">
        <f>TrAvia_ene!W$11</f>
        <v>1.6375059443396534</v>
      </c>
      <c r="X53" s="102">
        <f>TrAvia_ene!X$11</f>
        <v>0.54162007535395873</v>
      </c>
      <c r="Y53" s="102">
        <f>TrAvia_ene!Y$11</f>
        <v>1.2507181255794815E-2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3.014104903418477</v>
      </c>
      <c r="C54" s="102">
        <f>TrAvia_ene!C$12</f>
        <v>2.8426889485379352</v>
      </c>
      <c r="D54" s="102">
        <f>TrAvia_ene!D$12</f>
        <v>3.3463559541683043</v>
      </c>
      <c r="E54" s="102">
        <f>TrAvia_ene!E$12</f>
        <v>2.4092200966719139</v>
      </c>
      <c r="F54" s="102">
        <f>TrAvia_ene!F$12</f>
        <v>3.3472238332484818</v>
      </c>
      <c r="G54" s="102">
        <f>TrAvia_ene!G$12</f>
        <v>3.519028630005077</v>
      </c>
      <c r="H54" s="102">
        <f>TrAvia_ene!H$12</f>
        <v>4.0081350658245132</v>
      </c>
      <c r="I54" s="102">
        <f>TrAvia_ene!I$12</f>
        <v>3.8636877433869534</v>
      </c>
      <c r="J54" s="102">
        <f>TrAvia_ene!J$12</f>
        <v>3.0816191465643046</v>
      </c>
      <c r="K54" s="102">
        <f>TrAvia_ene!K$12</f>
        <v>2.7175579438860584</v>
      </c>
      <c r="L54" s="102">
        <f>TrAvia_ene!L$12</f>
        <v>3.1073019069503158</v>
      </c>
      <c r="M54" s="102">
        <f>TrAvia_ene!M$12</f>
        <v>2.5322872804805461</v>
      </c>
      <c r="N54" s="102">
        <f>TrAvia_ene!N$12</f>
        <v>2.0360903242232715</v>
      </c>
      <c r="O54" s="102">
        <f>TrAvia_ene!O$12</f>
        <v>2.0384121131839126</v>
      </c>
      <c r="P54" s="102">
        <f>TrAvia_ene!P$12</f>
        <v>2.2600819302462805</v>
      </c>
      <c r="Q54" s="102">
        <f>TrAvia_ene!Q$12</f>
        <v>2.327552955198267</v>
      </c>
      <c r="R54" s="102">
        <f>TrAvia_ene!R$12</f>
        <v>2.5780918104902657</v>
      </c>
      <c r="S54" s="102">
        <f>TrAvia_ene!S$12</f>
        <v>3.4062566597249089</v>
      </c>
      <c r="T54" s="102">
        <f>TrAvia_ene!T$12</f>
        <v>4.1844307476290208</v>
      </c>
      <c r="U54" s="102">
        <f>TrAvia_ene!U$12</f>
        <v>3.477536830325707</v>
      </c>
      <c r="V54" s="102">
        <f>TrAvia_ene!V$12</f>
        <v>3.0084822204011981</v>
      </c>
      <c r="W54" s="102">
        <f>TrAvia_ene!W$12</f>
        <v>4.2865860101970545</v>
      </c>
      <c r="X54" s="102">
        <f>TrAvia_ene!X$12</f>
        <v>4.3546027814073947</v>
      </c>
      <c r="Y54" s="102">
        <f>TrAvia_ene!Y$12</f>
        <v>4.2869336432383456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9.0450635587097263</v>
      </c>
      <c r="C55" s="102">
        <f>TrAvia_ene!C$13</f>
        <v>8.9244839164414778</v>
      </c>
      <c r="D55" s="102">
        <f>TrAvia_ene!D$13</f>
        <v>9.7646941768520801</v>
      </c>
      <c r="E55" s="102">
        <f>TrAvia_ene!E$13</f>
        <v>9.7816078660625294</v>
      </c>
      <c r="F55" s="102">
        <f>TrAvia_ene!F$13</f>
        <v>9.0350317523535484</v>
      </c>
      <c r="G55" s="102">
        <f>TrAvia_ene!G$13</f>
        <v>9.8387300921781353</v>
      </c>
      <c r="H55" s="102">
        <f>TrAvia_ene!H$13</f>
        <v>8.9112917621124925</v>
      </c>
      <c r="I55" s="102">
        <f>TrAvia_ene!I$13</f>
        <v>7.5205156639308539</v>
      </c>
      <c r="J55" s="102">
        <f>TrAvia_ene!J$13</f>
        <v>8.2338442768494549</v>
      </c>
      <c r="K55" s="102">
        <f>TrAvia_ene!K$13</f>
        <v>8.7176886129379287</v>
      </c>
      <c r="L55" s="102">
        <f>TrAvia_ene!L$13</f>
        <v>8.0801485302533624</v>
      </c>
      <c r="M55" s="102">
        <f>TrAvia_ene!M$13</f>
        <v>11.985431065467628</v>
      </c>
      <c r="N55" s="102">
        <f>TrAvia_ene!N$13</f>
        <v>11.640016472459473</v>
      </c>
      <c r="O55" s="102">
        <f>TrAvia_ene!O$13</f>
        <v>10.222593051016787</v>
      </c>
      <c r="P55" s="102">
        <f>TrAvia_ene!P$13</f>
        <v>9.2293465283707192</v>
      </c>
      <c r="Q55" s="102">
        <f>TrAvia_ene!Q$13</f>
        <v>9.9408585735210444</v>
      </c>
      <c r="R55" s="102">
        <f>TrAvia_ene!R$13</f>
        <v>11.285180398884522</v>
      </c>
      <c r="S55" s="102">
        <f>TrAvia_ene!S$13</f>
        <v>11.219732998636999</v>
      </c>
      <c r="T55" s="102">
        <f>TrAvia_ene!T$13</f>
        <v>8.6300040463838688</v>
      </c>
      <c r="U55" s="102">
        <f>TrAvia_ene!U$13</f>
        <v>9.0792514697499662</v>
      </c>
      <c r="V55" s="102">
        <f>TrAvia_ene!V$13</f>
        <v>3.8893970024127187</v>
      </c>
      <c r="W55" s="102">
        <f>TrAvia_ene!W$13</f>
        <v>1.8569942237444228</v>
      </c>
      <c r="X55" s="102">
        <f>TrAvia_ene!X$13</f>
        <v>2.1212064175508965</v>
      </c>
      <c r="Y55" s="102">
        <f>TrAvia_ene!Y$13</f>
        <v>1.8730264204567431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5.0982803095442817</v>
      </c>
      <c r="C56" s="110">
        <f t="shared" si="46"/>
        <v>8.0099742046431643</v>
      </c>
      <c r="D56" s="110">
        <f t="shared" si="46"/>
        <v>4.0068787618228718</v>
      </c>
      <c r="E56" s="110">
        <f t="shared" si="46"/>
        <v>4.0058469475494407</v>
      </c>
      <c r="F56" s="110">
        <f t="shared" si="46"/>
        <v>6.0006878761822868</v>
      </c>
      <c r="G56" s="110">
        <f t="shared" si="46"/>
        <v>4.9953568357695612</v>
      </c>
      <c r="H56" s="110">
        <f t="shared" si="46"/>
        <v>6.1305245055889941</v>
      </c>
      <c r="I56" s="110">
        <f t="shared" si="46"/>
        <v>5.1052450558899398</v>
      </c>
      <c r="J56" s="110">
        <f t="shared" si="46"/>
        <v>4.0957007738607052</v>
      </c>
      <c r="K56" s="110">
        <f t="shared" si="46"/>
        <v>5.1323301805674966</v>
      </c>
      <c r="L56" s="110">
        <f t="shared" si="46"/>
        <v>4.1116938950988819</v>
      </c>
      <c r="M56" s="110">
        <f t="shared" si="46"/>
        <v>3.080051590713671</v>
      </c>
      <c r="N56" s="110">
        <f t="shared" si="46"/>
        <v>5.1301805674978498</v>
      </c>
      <c r="O56" s="110">
        <f t="shared" si="46"/>
        <v>2.0522785898538261</v>
      </c>
      <c r="P56" s="110">
        <f t="shared" si="46"/>
        <v>3.0804815133276011</v>
      </c>
      <c r="Q56" s="110">
        <f t="shared" si="46"/>
        <v>3.0770421324161652</v>
      </c>
      <c r="R56" s="110">
        <f t="shared" ref="R56:V56" si="47">R57+R58</f>
        <v>4.104041272570937</v>
      </c>
      <c r="S56" s="110">
        <f t="shared" si="47"/>
        <v>4.1032674118658639</v>
      </c>
      <c r="T56" s="110">
        <f t="shared" si="47"/>
        <v>3.0764402407566638</v>
      </c>
      <c r="U56" s="110">
        <f t="shared" si="47"/>
        <v>5.1300945829750626</v>
      </c>
      <c r="V56" s="110">
        <f t="shared" si="47"/>
        <v>4.1116938950988819</v>
      </c>
      <c r="W56" s="110">
        <f t="shared" ref="W56:Y56" si="48">W57+W58</f>
        <v>4.1290627687016332</v>
      </c>
      <c r="X56" s="110">
        <f t="shared" si="48"/>
        <v>3.0936371453138429</v>
      </c>
      <c r="Y56" s="110">
        <f t="shared" si="48"/>
        <v>4.1219260533104043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X57" s="102">
        <f>TrNavi_ene!X4</f>
        <v>0</v>
      </c>
      <c r="Y57" s="102">
        <f>TrNavi_ene!Y4</f>
        <v>0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5.0982803095442817</v>
      </c>
      <c r="C58" s="169">
        <f>TrNavi_ene!C10</f>
        <v>8.0099742046431643</v>
      </c>
      <c r="D58" s="169">
        <f>TrNavi_ene!D10</f>
        <v>4.0068787618228718</v>
      </c>
      <c r="E58" s="169">
        <f>TrNavi_ene!E10</f>
        <v>4.0058469475494407</v>
      </c>
      <c r="F58" s="169">
        <f>TrNavi_ene!F10</f>
        <v>6.0006878761822868</v>
      </c>
      <c r="G58" s="169">
        <f>TrNavi_ene!G10</f>
        <v>4.9953568357695612</v>
      </c>
      <c r="H58" s="169">
        <f>TrNavi_ene!H10</f>
        <v>6.1305245055889941</v>
      </c>
      <c r="I58" s="169">
        <f>TrNavi_ene!I10</f>
        <v>5.1052450558899398</v>
      </c>
      <c r="J58" s="169">
        <f>TrNavi_ene!J10</f>
        <v>4.0957007738607052</v>
      </c>
      <c r="K58" s="169">
        <f>TrNavi_ene!K10</f>
        <v>5.1323301805674966</v>
      </c>
      <c r="L58" s="169">
        <f>TrNavi_ene!L10</f>
        <v>4.1116938950988819</v>
      </c>
      <c r="M58" s="169">
        <f>TrNavi_ene!M10</f>
        <v>3.080051590713671</v>
      </c>
      <c r="N58" s="169">
        <f>TrNavi_ene!N10</f>
        <v>5.1301805674978498</v>
      </c>
      <c r="O58" s="169">
        <f>TrNavi_ene!O10</f>
        <v>2.0522785898538261</v>
      </c>
      <c r="P58" s="169">
        <f>TrNavi_ene!P10</f>
        <v>3.0804815133276011</v>
      </c>
      <c r="Q58" s="169">
        <f>TrNavi_ene!Q10</f>
        <v>3.0770421324161652</v>
      </c>
      <c r="R58" s="169">
        <f>TrNavi_ene!R10</f>
        <v>4.104041272570937</v>
      </c>
      <c r="S58" s="169">
        <f>TrNavi_ene!S10</f>
        <v>4.1032674118658639</v>
      </c>
      <c r="T58" s="169">
        <f>TrNavi_ene!T10</f>
        <v>3.0764402407566638</v>
      </c>
      <c r="U58" s="169">
        <f>TrNavi_ene!U10</f>
        <v>5.1300945829750626</v>
      </c>
      <c r="V58" s="169">
        <f>TrNavi_ene!V10</f>
        <v>4.1116938950988819</v>
      </c>
      <c r="W58" s="169">
        <f>TrNavi_ene!W10</f>
        <v>4.1290627687016332</v>
      </c>
      <c r="X58" s="169">
        <f>TrNavi_ene!X10</f>
        <v>3.0936371453138429</v>
      </c>
      <c r="Y58" s="169">
        <f>TrNavi_ene!Y10</f>
        <v>4.1219260533104043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0</v>
      </c>
      <c r="C59" s="28">
        <f t="shared" ref="C59:W59" si="49">C60+C61</f>
        <v>0</v>
      </c>
      <c r="D59" s="28">
        <f t="shared" si="49"/>
        <v>0</v>
      </c>
      <c r="E59" s="28">
        <f t="shared" si="49"/>
        <v>0</v>
      </c>
      <c r="F59" s="28">
        <f t="shared" si="49"/>
        <v>0</v>
      </c>
      <c r="G59" s="28">
        <f t="shared" si="49"/>
        <v>0</v>
      </c>
      <c r="H59" s="28">
        <f t="shared" si="49"/>
        <v>0</v>
      </c>
      <c r="I59" s="28">
        <f t="shared" si="49"/>
        <v>0</v>
      </c>
      <c r="J59" s="28">
        <f t="shared" si="49"/>
        <v>0</v>
      </c>
      <c r="K59" s="28">
        <f t="shared" si="49"/>
        <v>0</v>
      </c>
      <c r="L59" s="28">
        <f t="shared" si="49"/>
        <v>0</v>
      </c>
      <c r="M59" s="28">
        <f t="shared" si="49"/>
        <v>0</v>
      </c>
      <c r="N59" s="28">
        <f t="shared" si="49"/>
        <v>0</v>
      </c>
      <c r="O59" s="28">
        <f t="shared" si="49"/>
        <v>0</v>
      </c>
      <c r="P59" s="28">
        <f t="shared" si="49"/>
        <v>0</v>
      </c>
      <c r="Q59" s="28">
        <f t="shared" si="49"/>
        <v>0</v>
      </c>
      <c r="R59" s="28">
        <f t="shared" si="49"/>
        <v>0</v>
      </c>
      <c r="S59" s="28">
        <f t="shared" si="49"/>
        <v>0</v>
      </c>
      <c r="T59" s="28">
        <f t="shared" si="49"/>
        <v>0</v>
      </c>
      <c r="U59" s="28">
        <f t="shared" si="49"/>
        <v>0</v>
      </c>
      <c r="V59" s="28">
        <f t="shared" si="49"/>
        <v>0</v>
      </c>
      <c r="W59" s="28">
        <f t="shared" si="49"/>
        <v>0</v>
      </c>
      <c r="X59" s="28">
        <f t="shared" ref="X59:Y59" si="50">X60+X61</f>
        <v>0</v>
      </c>
      <c r="Y59" s="28">
        <f t="shared" si="50"/>
        <v>0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0</v>
      </c>
      <c r="C60" s="102">
        <f>MBunk_ene!C$4</f>
        <v>0</v>
      </c>
      <c r="D60" s="102">
        <f>MBunk_ene!D$4</f>
        <v>0</v>
      </c>
      <c r="E60" s="102">
        <f>MBunk_ene!E$4</f>
        <v>0</v>
      </c>
      <c r="F60" s="102">
        <f>MBunk_ene!F$4</f>
        <v>0</v>
      </c>
      <c r="G60" s="102">
        <f>MBunk_ene!G$4</f>
        <v>0</v>
      </c>
      <c r="H60" s="102">
        <f>MBunk_ene!H$4</f>
        <v>0</v>
      </c>
      <c r="I60" s="102">
        <f>MBunk_ene!I$4</f>
        <v>0</v>
      </c>
      <c r="J60" s="102">
        <f>MBunk_ene!J$4</f>
        <v>0</v>
      </c>
      <c r="K60" s="102">
        <f>MBunk_ene!K$4</f>
        <v>0</v>
      </c>
      <c r="L60" s="102">
        <f>MBunk_ene!L$4</f>
        <v>0</v>
      </c>
      <c r="M60" s="102">
        <f>MBunk_ene!M$4</f>
        <v>0</v>
      </c>
      <c r="N60" s="102">
        <f>MBunk_ene!N$4</f>
        <v>0</v>
      </c>
      <c r="O60" s="102">
        <f>MBunk_ene!O$4</f>
        <v>0</v>
      </c>
      <c r="P60" s="102">
        <f>MBunk_ene!P$4</f>
        <v>0</v>
      </c>
      <c r="Q60" s="102">
        <f>MBunk_ene!Q$4</f>
        <v>0</v>
      </c>
      <c r="R60" s="102">
        <f>MBunk_ene!R$4</f>
        <v>0</v>
      </c>
      <c r="S60" s="102">
        <f>MBunk_ene!S$4</f>
        <v>0</v>
      </c>
      <c r="T60" s="102">
        <f>MBunk_ene!T$4</f>
        <v>0</v>
      </c>
      <c r="U60" s="102">
        <f>MBunk_ene!U$4</f>
        <v>0</v>
      </c>
      <c r="V60" s="102">
        <f>MBunk_ene!V$4</f>
        <v>0</v>
      </c>
      <c r="W60" s="102">
        <f>MBunk_ene!W$4</f>
        <v>0</v>
      </c>
      <c r="X60" s="102">
        <f>MBunk_ene!X$4</f>
        <v>0</v>
      </c>
      <c r="Y60" s="102">
        <f>MBunk_ene!Y$4</f>
        <v>0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0</v>
      </c>
      <c r="C61" s="86">
        <f>MBunk_ene!C$10</f>
        <v>0</v>
      </c>
      <c r="D61" s="86">
        <f>MBunk_ene!D$10</f>
        <v>0</v>
      </c>
      <c r="E61" s="86">
        <f>MBunk_ene!E$10</f>
        <v>0</v>
      </c>
      <c r="F61" s="86">
        <f>MBunk_ene!F$10</f>
        <v>0</v>
      </c>
      <c r="G61" s="86">
        <f>MBunk_ene!G$10</f>
        <v>0</v>
      </c>
      <c r="H61" s="86">
        <f>MBunk_ene!H$10</f>
        <v>0</v>
      </c>
      <c r="I61" s="86">
        <f>MBunk_ene!I$10</f>
        <v>0</v>
      </c>
      <c r="J61" s="86">
        <f>MBunk_ene!J$10</f>
        <v>0</v>
      </c>
      <c r="K61" s="86">
        <f>MBunk_ene!K$10</f>
        <v>0</v>
      </c>
      <c r="L61" s="86">
        <f>MBunk_ene!L$10</f>
        <v>0</v>
      </c>
      <c r="M61" s="86">
        <f>MBunk_ene!M$10</f>
        <v>0</v>
      </c>
      <c r="N61" s="86">
        <f>MBunk_ene!N$10</f>
        <v>0</v>
      </c>
      <c r="O61" s="86">
        <f>MBunk_ene!O$10</f>
        <v>0</v>
      </c>
      <c r="P61" s="86">
        <f>MBunk_ene!P$10</f>
        <v>0</v>
      </c>
      <c r="Q61" s="86">
        <f>MBunk_ene!Q$10</f>
        <v>0</v>
      </c>
      <c r="R61" s="86">
        <f>MBunk_ene!R$10</f>
        <v>0</v>
      </c>
      <c r="S61" s="86">
        <f>MBunk_ene!S$10</f>
        <v>0</v>
      </c>
      <c r="T61" s="86">
        <f>MBunk_ene!T$10</f>
        <v>0</v>
      </c>
      <c r="U61" s="86">
        <f>MBunk_ene!U$10</f>
        <v>0</v>
      </c>
      <c r="V61" s="86">
        <f>MBunk_ene!V$10</f>
        <v>0</v>
      </c>
      <c r="W61" s="86">
        <f>MBunk_ene!W$10</f>
        <v>0</v>
      </c>
      <c r="X61" s="86">
        <f>MBunk_ene!X$10</f>
        <v>0</v>
      </c>
      <c r="Y61" s="86">
        <f>MBunk_ene!Y$10</f>
        <v>0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9027.5233322702697</v>
      </c>
      <c r="C64" s="28">
        <f t="shared" si="51"/>
        <v>9474.9990889686069</v>
      </c>
      <c r="D64" s="28">
        <f t="shared" si="51"/>
        <v>9706.2215169929241</v>
      </c>
      <c r="E64" s="28">
        <f t="shared" si="51"/>
        <v>10858.92778884727</v>
      </c>
      <c r="F64" s="28">
        <f t="shared" si="51"/>
        <v>11293.61101518841</v>
      </c>
      <c r="G64" s="28">
        <f t="shared" si="51"/>
        <v>11734.921451173923</v>
      </c>
      <c r="H64" s="28">
        <f t="shared" si="51"/>
        <v>11959.12473994929</v>
      </c>
      <c r="I64" s="28">
        <f t="shared" si="51"/>
        <v>12417.241349968195</v>
      </c>
      <c r="J64" s="28">
        <f t="shared" si="51"/>
        <v>12385.957685361809</v>
      </c>
      <c r="K64" s="28">
        <f t="shared" si="51"/>
        <v>12281.561208459163</v>
      </c>
      <c r="L64" s="28">
        <f t="shared" si="51"/>
        <v>11572.216149783932</v>
      </c>
      <c r="M64" s="28">
        <f t="shared" si="51"/>
        <v>11531.552077983899</v>
      </c>
      <c r="N64" s="28">
        <f t="shared" si="51"/>
        <v>11271.221418938938</v>
      </c>
      <c r="O64" s="28">
        <f t="shared" si="51"/>
        <v>11254.114242947358</v>
      </c>
      <c r="P64" s="28">
        <f t="shared" si="51"/>
        <v>11410.269081528588</v>
      </c>
      <c r="Q64" s="28">
        <f t="shared" si="51"/>
        <v>11627.334792968899</v>
      </c>
      <c r="R64" s="28">
        <f t="shared" ref="R64:V64" si="52">R65+R69+R73</f>
        <v>12286.478772196555</v>
      </c>
      <c r="S64" s="28">
        <f t="shared" si="52"/>
        <v>12751.044388016433</v>
      </c>
      <c r="T64" s="28">
        <f t="shared" si="52"/>
        <v>13046.978561766669</v>
      </c>
      <c r="U64" s="28">
        <f t="shared" si="52"/>
        <v>13326.274539681644</v>
      </c>
      <c r="V64" s="28">
        <f t="shared" si="52"/>
        <v>11508.665114698382</v>
      </c>
      <c r="W64" s="28">
        <f t="shared" ref="W64:Y64" si="53">W65+W69+W73</f>
        <v>12118.690870909264</v>
      </c>
      <c r="X64" s="28">
        <f t="shared" si="53"/>
        <v>12835.036976239244</v>
      </c>
      <c r="Y64" s="28">
        <f t="shared" si="53"/>
        <v>13443.581631752095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8229.7228133434874</v>
      </c>
      <c r="C65" s="137">
        <f t="shared" si="54"/>
        <v>8651.6884886555581</v>
      </c>
      <c r="D65" s="137">
        <f t="shared" si="54"/>
        <v>8918.6665652052488</v>
      </c>
      <c r="E65" s="137">
        <f t="shared" si="54"/>
        <v>9895.9856329853719</v>
      </c>
      <c r="F65" s="137">
        <f t="shared" si="54"/>
        <v>10114.84798616845</v>
      </c>
      <c r="G65" s="137">
        <f t="shared" si="54"/>
        <v>10512.740780801201</v>
      </c>
      <c r="H65" s="137">
        <f t="shared" si="54"/>
        <v>10702.207946746288</v>
      </c>
      <c r="I65" s="137">
        <f t="shared" si="54"/>
        <v>11078.321357046856</v>
      </c>
      <c r="J65" s="137">
        <f t="shared" si="54"/>
        <v>10953.380652184354</v>
      </c>
      <c r="K65" s="137">
        <f t="shared" si="54"/>
        <v>10971.066334211648</v>
      </c>
      <c r="L65" s="137">
        <f t="shared" si="54"/>
        <v>10350.12261071305</v>
      </c>
      <c r="M65" s="137">
        <f t="shared" si="54"/>
        <v>10292.381699226025</v>
      </c>
      <c r="N65" s="137">
        <f t="shared" si="54"/>
        <v>10136.055220476424</v>
      </c>
      <c r="O65" s="137">
        <f t="shared" si="54"/>
        <v>10155.812613082337</v>
      </c>
      <c r="P65" s="137">
        <f t="shared" si="54"/>
        <v>10295.778804881222</v>
      </c>
      <c r="Q65" s="137">
        <f t="shared" si="54"/>
        <v>10457.501819431616</v>
      </c>
      <c r="R65" s="137">
        <f t="shared" ref="R65:V65" si="55">R66+R67+R68</f>
        <v>11060.932445420131</v>
      </c>
      <c r="S65" s="137">
        <f t="shared" si="55"/>
        <v>11370.595516028012</v>
      </c>
      <c r="T65" s="137">
        <f t="shared" si="55"/>
        <v>11559.492237269938</v>
      </c>
      <c r="U65" s="137">
        <f t="shared" si="55"/>
        <v>11802.626305890517</v>
      </c>
      <c r="V65" s="137">
        <f t="shared" si="55"/>
        <v>10941.894824171912</v>
      </c>
      <c r="W65" s="137">
        <f t="shared" ref="W65:Y65" si="56">W66+W67+W68</f>
        <v>11510.144430952058</v>
      </c>
      <c r="X65" s="137">
        <f t="shared" si="56"/>
        <v>11890.548841014594</v>
      </c>
      <c r="Y65" s="137">
        <f t="shared" si="56"/>
        <v>12268.74119585207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164.90711986526952</v>
      </c>
      <c r="C66" s="102">
        <f>TrRoad_emi!C$19</f>
        <v>156.72127053239714</v>
      </c>
      <c r="D66" s="102">
        <f>TrRoad_emi!D$19</f>
        <v>152.68008213847125</v>
      </c>
      <c r="E66" s="102">
        <f>TrRoad_emi!E$19</f>
        <v>152.04718440767337</v>
      </c>
      <c r="F66" s="102">
        <f>TrRoad_emi!F$19</f>
        <v>151.10492222563232</v>
      </c>
      <c r="G66" s="102">
        <f>TrRoad_emi!G$19</f>
        <v>155.48206420711165</v>
      </c>
      <c r="H66" s="102">
        <f>TrRoad_emi!H$19</f>
        <v>151.33226450885087</v>
      </c>
      <c r="I66" s="102">
        <f>TrRoad_emi!I$19</f>
        <v>156.12200051858929</v>
      </c>
      <c r="J66" s="102">
        <f>TrRoad_emi!J$19</f>
        <v>157.54081309648018</v>
      </c>
      <c r="K66" s="102">
        <f>TrRoad_emi!K$19</f>
        <v>156.65853813828977</v>
      </c>
      <c r="L66" s="102">
        <f>TrRoad_emi!L$19</f>
        <v>158.1656754672473</v>
      </c>
      <c r="M66" s="102">
        <f>TrRoad_emi!M$19</f>
        <v>159.46013444633374</v>
      </c>
      <c r="N66" s="102">
        <f>TrRoad_emi!N$19</f>
        <v>162.59353590182229</v>
      </c>
      <c r="O66" s="102">
        <f>TrRoad_emi!O$19</f>
        <v>161.90634147746923</v>
      </c>
      <c r="P66" s="102">
        <f>TrRoad_emi!P$19</f>
        <v>162.31232205109774</v>
      </c>
      <c r="Q66" s="102">
        <f>TrRoad_emi!Q$19</f>
        <v>166.77788896795124</v>
      </c>
      <c r="R66" s="102">
        <f>TrRoad_emi!R$19</f>
        <v>171.43843736051994</v>
      </c>
      <c r="S66" s="102">
        <f>TrRoad_emi!S$19</f>
        <v>159.78169389421959</v>
      </c>
      <c r="T66" s="102">
        <f>TrRoad_emi!T$19</f>
        <v>150.8858424967826</v>
      </c>
      <c r="U66" s="102">
        <f>TrRoad_emi!U$19</f>
        <v>157.76737827996342</v>
      </c>
      <c r="V66" s="102">
        <f>TrRoad_emi!V$19</f>
        <v>140.28519079469501</v>
      </c>
      <c r="W66" s="102">
        <f>TrRoad_emi!W$19</f>
        <v>146.02015698977951</v>
      </c>
      <c r="X66" s="102">
        <f>TrRoad_emi!X$19</f>
        <v>148.08147080627157</v>
      </c>
      <c r="Y66" s="102">
        <f>TrRoad_emi!Y$19</f>
        <v>157.04842640056441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6968.0687452632255</v>
      </c>
      <c r="C67" s="102">
        <f>TrRoad_emi!C$20</f>
        <v>7271.2445227462595</v>
      </c>
      <c r="D67" s="102">
        <f>TrRoad_emi!D$20</f>
        <v>7618.0165214406798</v>
      </c>
      <c r="E67" s="102">
        <f>TrRoad_emi!E$20</f>
        <v>8688.1739823111384</v>
      </c>
      <c r="F67" s="102">
        <f>TrRoad_emi!F$20</f>
        <v>8985.2405967904288</v>
      </c>
      <c r="G67" s="102">
        <f>TrRoad_emi!G$20</f>
        <v>9386.7504166621038</v>
      </c>
      <c r="H67" s="102">
        <f>TrRoad_emi!H$20</f>
        <v>9545.5098142555853</v>
      </c>
      <c r="I67" s="102">
        <f>TrRoad_emi!I$20</f>
        <v>9915.7464606697231</v>
      </c>
      <c r="J67" s="102">
        <f>TrRoad_emi!J$20</f>
        <v>9797.8176061262566</v>
      </c>
      <c r="K67" s="102">
        <f>TrRoad_emi!K$20</f>
        <v>9822.2997269371281</v>
      </c>
      <c r="L67" s="102">
        <f>TrRoad_emi!L$20</f>
        <v>9171.0408851081247</v>
      </c>
      <c r="M67" s="102">
        <f>TrRoad_emi!M$20</f>
        <v>9178.4420113811739</v>
      </c>
      <c r="N67" s="102">
        <f>TrRoad_emi!N$20</f>
        <v>9039.8009994472613</v>
      </c>
      <c r="O67" s="102">
        <f>TrRoad_emi!O$20</f>
        <v>9032.0465190849827</v>
      </c>
      <c r="P67" s="102">
        <f>TrRoad_emi!P$20</f>
        <v>9152.9074965041564</v>
      </c>
      <c r="Q67" s="102">
        <f>TrRoad_emi!Q$20</f>
        <v>9334.1745540837019</v>
      </c>
      <c r="R67" s="102">
        <f>TrRoad_emi!R$20</f>
        <v>9945.8444496631364</v>
      </c>
      <c r="S67" s="102">
        <f>TrRoad_emi!S$20</f>
        <v>10227.07501699312</v>
      </c>
      <c r="T67" s="102">
        <f>TrRoad_emi!T$20</f>
        <v>10396.040627228804</v>
      </c>
      <c r="U67" s="102">
        <f>TrRoad_emi!U$20</f>
        <v>10632.902985968089</v>
      </c>
      <c r="V67" s="102">
        <f>TrRoad_emi!V$20</f>
        <v>10051.746227656065</v>
      </c>
      <c r="W67" s="102">
        <f>TrRoad_emi!W$20</f>
        <v>10632.59018833542</v>
      </c>
      <c r="X67" s="102">
        <f>TrRoad_emi!X$20</f>
        <v>10916.581091112785</v>
      </c>
      <c r="Y67" s="102">
        <f>TrRoad_emi!Y$20</f>
        <v>11293.98921120153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1096.7469482149936</v>
      </c>
      <c r="C68" s="102">
        <f>TrRoad_emi!C$27</f>
        <v>1223.7226953769018</v>
      </c>
      <c r="D68" s="102">
        <f>TrRoad_emi!D$27</f>
        <v>1147.9699616260975</v>
      </c>
      <c r="E68" s="102">
        <f>TrRoad_emi!E$27</f>
        <v>1055.7644662665616</v>
      </c>
      <c r="F68" s="102">
        <f>TrRoad_emi!F$27</f>
        <v>978.50246715239041</v>
      </c>
      <c r="G68" s="102">
        <f>TrRoad_emi!G$27</f>
        <v>970.50829993198533</v>
      </c>
      <c r="H68" s="102">
        <f>TrRoad_emi!H$27</f>
        <v>1005.3658679818527</v>
      </c>
      <c r="I68" s="102">
        <f>TrRoad_emi!I$27</f>
        <v>1006.452895858543</v>
      </c>
      <c r="J68" s="102">
        <f>TrRoad_emi!J$27</f>
        <v>998.02223296161696</v>
      </c>
      <c r="K68" s="102">
        <f>TrRoad_emi!K$27</f>
        <v>992.10806913623014</v>
      </c>
      <c r="L68" s="102">
        <f>TrRoad_emi!L$27</f>
        <v>1020.9160501376772</v>
      </c>
      <c r="M68" s="102">
        <f>TrRoad_emi!M$27</f>
        <v>954.47955339851887</v>
      </c>
      <c r="N68" s="102">
        <f>TrRoad_emi!N$27</f>
        <v>933.66068512734137</v>
      </c>
      <c r="O68" s="102">
        <f>TrRoad_emi!O$27</f>
        <v>961.85975251988373</v>
      </c>
      <c r="P68" s="102">
        <f>TrRoad_emi!P$27</f>
        <v>980.55898632596836</v>
      </c>
      <c r="Q68" s="102">
        <f>TrRoad_emi!Q$27</f>
        <v>956.54937637996227</v>
      </c>
      <c r="R68" s="102">
        <f>TrRoad_emi!R$27</f>
        <v>943.64955839647348</v>
      </c>
      <c r="S68" s="102">
        <f>TrRoad_emi!S$27</f>
        <v>983.7388051406723</v>
      </c>
      <c r="T68" s="102">
        <f>TrRoad_emi!T$27</f>
        <v>1012.5657675443521</v>
      </c>
      <c r="U68" s="102">
        <f>TrRoad_emi!U$27</f>
        <v>1011.9559416424656</v>
      </c>
      <c r="V68" s="102">
        <f>TrRoad_emi!V$27</f>
        <v>749.86340572115091</v>
      </c>
      <c r="W68" s="102">
        <f>TrRoad_emi!W$27</f>
        <v>731.53408562685706</v>
      </c>
      <c r="X68" s="102">
        <f>TrRoad_emi!X$27</f>
        <v>825.88627909553668</v>
      </c>
      <c r="Y68" s="102">
        <f>TrRoad_emi!Y$27</f>
        <v>817.70355824997489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233.57957413411208</v>
      </c>
      <c r="C69" s="110">
        <f t="shared" si="57"/>
        <v>223.95956472386183</v>
      </c>
      <c r="D69" s="110">
        <f t="shared" si="57"/>
        <v>220.25738912436489</v>
      </c>
      <c r="E69" s="110">
        <f t="shared" si="57"/>
        <v>219.97846277729047</v>
      </c>
      <c r="F69" s="110">
        <f t="shared" si="57"/>
        <v>216.54775673055016</v>
      </c>
      <c r="G69" s="110">
        <f t="shared" si="57"/>
        <v>226.33114910911158</v>
      </c>
      <c r="H69" s="110">
        <f t="shared" si="57"/>
        <v>235.36509631267347</v>
      </c>
      <c r="I69" s="110">
        <f t="shared" si="57"/>
        <v>225.07201832326584</v>
      </c>
      <c r="J69" s="110">
        <f t="shared" si="57"/>
        <v>260.07425778380889</v>
      </c>
      <c r="K69" s="110">
        <f t="shared" si="57"/>
        <v>227.04711655778536</v>
      </c>
      <c r="L69" s="110">
        <f t="shared" si="57"/>
        <v>224.88321595626223</v>
      </c>
      <c r="M69" s="110">
        <f t="shared" si="57"/>
        <v>220.32583299858763</v>
      </c>
      <c r="N69" s="110">
        <f t="shared" si="57"/>
        <v>229.51364539291944</v>
      </c>
      <c r="O69" s="110">
        <f t="shared" si="57"/>
        <v>225.21144363646479</v>
      </c>
      <c r="P69" s="110">
        <f t="shared" si="57"/>
        <v>213.0044150378213</v>
      </c>
      <c r="Q69" s="110">
        <f t="shared" si="57"/>
        <v>206.24433298233129</v>
      </c>
      <c r="R69" s="110">
        <f t="shared" ref="R69:V69" si="58">R70+R71+R72</f>
        <v>188.76834087236278</v>
      </c>
      <c r="S69" s="110">
        <f t="shared" si="58"/>
        <v>201.23084166767885</v>
      </c>
      <c r="T69" s="110">
        <f t="shared" si="58"/>
        <v>201.52395614159408</v>
      </c>
      <c r="U69" s="110">
        <f t="shared" si="58"/>
        <v>188.40335133943893</v>
      </c>
      <c r="V69" s="110">
        <f t="shared" si="58"/>
        <v>157.78374748404153</v>
      </c>
      <c r="W69" s="110">
        <f t="shared" ref="W69:Y69" si="59">W70+W71+W72</f>
        <v>152.5785293438424</v>
      </c>
      <c r="X69" s="110">
        <f t="shared" si="59"/>
        <v>150.0174987827566</v>
      </c>
      <c r="Y69" s="110">
        <f t="shared" si="59"/>
        <v>147.4582431736207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233.57957413411208</v>
      </c>
      <c r="C71" s="102">
        <f>TrRail_emi!C$11</f>
        <v>223.95956472386183</v>
      </c>
      <c r="D71" s="102">
        <f>TrRail_emi!D$11</f>
        <v>220.25738912436489</v>
      </c>
      <c r="E71" s="102">
        <f>TrRail_emi!E$11</f>
        <v>219.97846277729047</v>
      </c>
      <c r="F71" s="102">
        <f>TrRail_emi!F$11</f>
        <v>216.54775673055016</v>
      </c>
      <c r="G71" s="102">
        <f>TrRail_emi!G$11</f>
        <v>226.33114910911158</v>
      </c>
      <c r="H71" s="102">
        <f>TrRail_emi!H$11</f>
        <v>235.36509631267347</v>
      </c>
      <c r="I71" s="102">
        <f>TrRail_emi!I$11</f>
        <v>225.07201832326584</v>
      </c>
      <c r="J71" s="102">
        <f>TrRail_emi!J$11</f>
        <v>260.07425778380889</v>
      </c>
      <c r="K71" s="102">
        <f>TrRail_emi!K$11</f>
        <v>227.04711655778536</v>
      </c>
      <c r="L71" s="102">
        <f>TrRail_emi!L$11</f>
        <v>224.88321595626223</v>
      </c>
      <c r="M71" s="102">
        <f>TrRail_emi!M$11</f>
        <v>220.32583299858763</v>
      </c>
      <c r="N71" s="102">
        <f>TrRail_emi!N$11</f>
        <v>229.51364539291944</v>
      </c>
      <c r="O71" s="102">
        <f>TrRail_emi!O$11</f>
        <v>225.21144363646479</v>
      </c>
      <c r="P71" s="102">
        <f>TrRail_emi!P$11</f>
        <v>213.0044150378213</v>
      </c>
      <c r="Q71" s="102">
        <f>TrRail_emi!Q$11</f>
        <v>206.24433298233129</v>
      </c>
      <c r="R71" s="102">
        <f>TrRail_emi!R$11</f>
        <v>188.76834087236278</v>
      </c>
      <c r="S71" s="102">
        <f>TrRail_emi!S$11</f>
        <v>201.23084166767885</v>
      </c>
      <c r="T71" s="102">
        <f>TrRail_emi!T$11</f>
        <v>201.52395614159408</v>
      </c>
      <c r="U71" s="102">
        <f>TrRail_emi!U$11</f>
        <v>188.40335133943893</v>
      </c>
      <c r="V71" s="102">
        <f>TrRail_emi!V$11</f>
        <v>157.78374748404153</v>
      </c>
      <c r="W71" s="102">
        <f>TrRail_emi!W$11</f>
        <v>152.5785293438424</v>
      </c>
      <c r="X71" s="102">
        <f>TrRail_emi!X$11</f>
        <v>150.0174987827566</v>
      </c>
      <c r="Y71" s="102">
        <f>TrRail_emi!Y$11</f>
        <v>147.4582431736207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564.22094479267105</v>
      </c>
      <c r="C73" s="110">
        <f t="shared" si="60"/>
        <v>599.3510355891874</v>
      </c>
      <c r="D73" s="110">
        <f t="shared" si="60"/>
        <v>567.29756266330992</v>
      </c>
      <c r="E73" s="110">
        <f t="shared" si="60"/>
        <v>742.96369308460817</v>
      </c>
      <c r="F73" s="110">
        <f t="shared" si="60"/>
        <v>962.21527228941068</v>
      </c>
      <c r="G73" s="110">
        <f t="shared" si="60"/>
        <v>995.84952126360986</v>
      </c>
      <c r="H73" s="110">
        <f t="shared" si="60"/>
        <v>1021.5516968903278</v>
      </c>
      <c r="I73" s="110">
        <f t="shared" si="60"/>
        <v>1113.8479745980735</v>
      </c>
      <c r="J73" s="110">
        <f t="shared" si="60"/>
        <v>1172.5027753936472</v>
      </c>
      <c r="K73" s="110">
        <f t="shared" si="60"/>
        <v>1083.4477576897305</v>
      </c>
      <c r="L73" s="110">
        <f t="shared" si="60"/>
        <v>997.21032311461897</v>
      </c>
      <c r="M73" s="110">
        <f t="shared" si="60"/>
        <v>1018.8445457592857</v>
      </c>
      <c r="N73" s="110">
        <f t="shared" si="60"/>
        <v>905.65255306959443</v>
      </c>
      <c r="O73" s="110">
        <f t="shared" si="60"/>
        <v>873.09018622855683</v>
      </c>
      <c r="P73" s="110">
        <f t="shared" si="60"/>
        <v>901.48586160954517</v>
      </c>
      <c r="Q73" s="110">
        <f t="shared" si="60"/>
        <v>963.5886405549511</v>
      </c>
      <c r="R73" s="110">
        <f t="shared" ref="R73:V73" si="61">R74+R75+R76</f>
        <v>1036.7779859040625</v>
      </c>
      <c r="S73" s="110">
        <f t="shared" si="61"/>
        <v>1179.2180303207426</v>
      </c>
      <c r="T73" s="110">
        <f t="shared" si="61"/>
        <v>1285.9623683551358</v>
      </c>
      <c r="U73" s="110">
        <f t="shared" si="61"/>
        <v>1335.2448824516887</v>
      </c>
      <c r="V73" s="110">
        <f t="shared" si="61"/>
        <v>408.9865430424295</v>
      </c>
      <c r="W73" s="110">
        <f t="shared" ref="W73:Y73" si="62">W74+W75+W76</f>
        <v>455.9679106133645</v>
      </c>
      <c r="X73" s="110">
        <f t="shared" si="62"/>
        <v>794.47063644189416</v>
      </c>
      <c r="Y73" s="110">
        <f t="shared" si="62"/>
        <v>1027.3821927264048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115.16488121516744</v>
      </c>
      <c r="C74" s="102">
        <f>TrAvia_emi!C$7</f>
        <v>148.55741936262527</v>
      </c>
      <c r="D74" s="102">
        <f>TrAvia_emi!D$7</f>
        <v>105.16268873438185</v>
      </c>
      <c r="E74" s="102">
        <f>TrAvia_emi!E$7</f>
        <v>173.42984341644507</v>
      </c>
      <c r="F74" s="102">
        <f>TrAvia_emi!F$7</f>
        <v>131.68536391550003</v>
      </c>
      <c r="G74" s="102">
        <f>TrAvia_emi!G$7</f>
        <v>88.24588771637795</v>
      </c>
      <c r="H74" s="102">
        <f>TrAvia_emi!H$7</f>
        <v>48.63035880919314</v>
      </c>
      <c r="I74" s="102">
        <f>TrAvia_emi!I$7</f>
        <v>108.28570932979368</v>
      </c>
      <c r="J74" s="102">
        <f>TrAvia_emi!J$7</f>
        <v>135.60082399941342</v>
      </c>
      <c r="K74" s="102">
        <f>TrAvia_emi!K$7</f>
        <v>93.605526844005809</v>
      </c>
      <c r="L74" s="102">
        <f>TrAvia_emi!L$7</f>
        <v>87.567111810277112</v>
      </c>
      <c r="M74" s="102">
        <f>TrAvia_emi!M$7</f>
        <v>128.56645313910224</v>
      </c>
      <c r="N74" s="102">
        <f>TrAvia_emi!N$7</f>
        <v>62.653154419830777</v>
      </c>
      <c r="O74" s="102">
        <f>TrAvia_emi!O$7</f>
        <v>56.963651635598161</v>
      </c>
      <c r="P74" s="102">
        <f>TrAvia_emi!P$7</f>
        <v>55.017212561261879</v>
      </c>
      <c r="Q74" s="102">
        <f>TrAvia_emi!Q$7</f>
        <v>113.23831636924086</v>
      </c>
      <c r="R74" s="102">
        <f>TrAvia_emi!R$7</f>
        <v>125.85010177804752</v>
      </c>
      <c r="S74" s="102">
        <f>TrAvia_emi!S$7</f>
        <v>155.3951140284143</v>
      </c>
      <c r="T74" s="102">
        <f>TrAvia_emi!T$7</f>
        <v>91.682859308352704</v>
      </c>
      <c r="U74" s="102">
        <f>TrAvia_emi!U$7</f>
        <v>112.17034779385875</v>
      </c>
      <c r="V74" s="102">
        <f>TrAvia_emi!V$7</f>
        <v>87.29147728735505</v>
      </c>
      <c r="W74" s="102">
        <f>TrAvia_emi!W$7</f>
        <v>13.698055472536783</v>
      </c>
      <c r="X74" s="102">
        <f>TrAvia_emi!X$7</f>
        <v>16.967733210962976</v>
      </c>
      <c r="Y74" s="102">
        <f>TrAvia_emi!Y$7</f>
        <v>18.546390897778725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269.22070310500067</v>
      </c>
      <c r="C75" s="102">
        <f>TrAvia_emi!C$8</f>
        <v>270.2493677096341</v>
      </c>
      <c r="D75" s="102">
        <f>TrAvia_emi!D$8</f>
        <v>277.04662738020619</v>
      </c>
      <c r="E75" s="102">
        <f>TrAvia_emi!E$8</f>
        <v>355.51912004084602</v>
      </c>
      <c r="F75" s="102">
        <f>TrAvia_emi!F$8</f>
        <v>536.33812114054024</v>
      </c>
      <c r="G75" s="102">
        <f>TrAvia_emi!G$8</f>
        <v>598.41341853139204</v>
      </c>
      <c r="H75" s="102">
        <f>TrAvia_emi!H$8</f>
        <v>636.51774099450517</v>
      </c>
      <c r="I75" s="102">
        <f>TrAvia_emi!I$8</f>
        <v>661.66699255409856</v>
      </c>
      <c r="J75" s="102">
        <f>TrAvia_emi!J$8</f>
        <v>667.73310280626663</v>
      </c>
      <c r="K75" s="102">
        <f>TrAvia_emi!K$8</f>
        <v>617.70856639558951</v>
      </c>
      <c r="L75" s="102">
        <f>TrAvia_emi!L$8</f>
        <v>558.86723706966723</v>
      </c>
      <c r="M75" s="102">
        <f>TrAvia_emi!M$8</f>
        <v>542.13439395222167</v>
      </c>
      <c r="N75" s="102">
        <f>TrAvia_emi!N$8</f>
        <v>508.36307383989924</v>
      </c>
      <c r="O75" s="102">
        <f>TrAvia_emi!O$8</f>
        <v>491.52609648548525</v>
      </c>
      <c r="P75" s="102">
        <f>TrAvia_emi!P$8</f>
        <v>510.95811496344959</v>
      </c>
      <c r="Q75" s="102">
        <f>TrAvia_emi!Q$8</f>
        <v>517.293888370491</v>
      </c>
      <c r="R75" s="102">
        <f>TrAvia_emi!R$8</f>
        <v>570.17075527751751</v>
      </c>
      <c r="S75" s="102">
        <f>TrAvia_emi!S$8</f>
        <v>651.69491726861395</v>
      </c>
      <c r="T75" s="102">
        <f>TrAvia_emi!T$8</f>
        <v>761.66814916256089</v>
      </c>
      <c r="U75" s="102">
        <f>TrAvia_emi!U$8</f>
        <v>767.2454582609904</v>
      </c>
      <c r="V75" s="102">
        <f>TrAvia_emi!V$8</f>
        <v>178.06424412623156</v>
      </c>
      <c r="W75" s="102">
        <f>TrAvia_emi!W$8</f>
        <v>258.78046505493825</v>
      </c>
      <c r="X75" s="102">
        <f>TrAvia_emi!X$8</f>
        <v>496.62961142611533</v>
      </c>
      <c r="Y75" s="102">
        <f>TrAvia_emi!Y$8</f>
        <v>640.05444189574985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179.83536047250297</v>
      </c>
      <c r="C76" s="102">
        <f>TrAvia_emi!C$9</f>
        <v>180.54424851692809</v>
      </c>
      <c r="D76" s="102">
        <f>TrAvia_emi!D$9</f>
        <v>185.08824654872191</v>
      </c>
      <c r="E76" s="102">
        <f>TrAvia_emi!E$9</f>
        <v>214.01472962731717</v>
      </c>
      <c r="F76" s="102">
        <f>TrAvia_emi!F$9</f>
        <v>294.19178723337035</v>
      </c>
      <c r="G76" s="102">
        <f>TrAvia_emi!G$9</f>
        <v>309.19021501583978</v>
      </c>
      <c r="H76" s="102">
        <f>TrAvia_emi!H$9</f>
        <v>336.40359708662953</v>
      </c>
      <c r="I76" s="102">
        <f>TrAvia_emi!I$9</f>
        <v>343.89527271418115</v>
      </c>
      <c r="J76" s="102">
        <f>TrAvia_emi!J$9</f>
        <v>369.16884858796726</v>
      </c>
      <c r="K76" s="102">
        <f>TrAvia_emi!K$9</f>
        <v>372.13366445013509</v>
      </c>
      <c r="L76" s="102">
        <f>TrAvia_emi!L$9</f>
        <v>350.77597423467466</v>
      </c>
      <c r="M76" s="102">
        <f>TrAvia_emi!M$9</f>
        <v>348.14369866796176</v>
      </c>
      <c r="N76" s="102">
        <f>TrAvia_emi!N$9</f>
        <v>334.63632480986445</v>
      </c>
      <c r="O76" s="102">
        <f>TrAvia_emi!O$9</f>
        <v>324.60043810747351</v>
      </c>
      <c r="P76" s="102">
        <f>TrAvia_emi!P$9</f>
        <v>335.51053408483369</v>
      </c>
      <c r="Q76" s="102">
        <f>TrAvia_emi!Q$9</f>
        <v>333.05643581521912</v>
      </c>
      <c r="R76" s="102">
        <f>TrAvia_emi!R$9</f>
        <v>340.75712884849759</v>
      </c>
      <c r="S76" s="102">
        <f>TrAvia_emi!S$9</f>
        <v>372.12799902371444</v>
      </c>
      <c r="T76" s="102">
        <f>TrAvia_emi!T$9</f>
        <v>432.61135988422211</v>
      </c>
      <c r="U76" s="102">
        <f>TrAvia_emi!U$9</f>
        <v>455.82907639683953</v>
      </c>
      <c r="V76" s="102">
        <f>TrAvia_emi!V$9</f>
        <v>143.63082162884294</v>
      </c>
      <c r="W76" s="102">
        <f>TrAvia_emi!W$9</f>
        <v>183.48939008588945</v>
      </c>
      <c r="X76" s="102">
        <f>TrAvia_emi!X$9</f>
        <v>280.87329180481589</v>
      </c>
      <c r="Y76" s="102">
        <f>TrAvia_emi!Y$9</f>
        <v>368.78135993287628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3192.3625868097292</v>
      </c>
      <c r="C77" s="28">
        <f t="shared" si="63"/>
        <v>3493.2983091113947</v>
      </c>
      <c r="D77" s="28">
        <f t="shared" si="63"/>
        <v>3810.1936024470742</v>
      </c>
      <c r="E77" s="28">
        <f t="shared" si="63"/>
        <v>4566.5539043927329</v>
      </c>
      <c r="F77" s="28">
        <f t="shared" si="63"/>
        <v>5100.91032677159</v>
      </c>
      <c r="G77" s="28">
        <f t="shared" si="63"/>
        <v>5992.7332894000347</v>
      </c>
      <c r="H77" s="28">
        <f t="shared" si="63"/>
        <v>6451.8373863448778</v>
      </c>
      <c r="I77" s="28">
        <f t="shared" si="63"/>
        <v>6927.0562871567972</v>
      </c>
      <c r="J77" s="28">
        <f t="shared" si="63"/>
        <v>6840.2259965185931</v>
      </c>
      <c r="K77" s="28">
        <f t="shared" si="63"/>
        <v>6334.6221432034481</v>
      </c>
      <c r="L77" s="28">
        <f t="shared" si="63"/>
        <v>5948.9552044737884</v>
      </c>
      <c r="M77" s="28">
        <f t="shared" si="63"/>
        <v>5852.8384450192925</v>
      </c>
      <c r="N77" s="28">
        <f t="shared" si="63"/>
        <v>5779.2512799617634</v>
      </c>
      <c r="O77" s="28">
        <f t="shared" si="63"/>
        <v>5623.9071941374887</v>
      </c>
      <c r="P77" s="28">
        <f t="shared" si="63"/>
        <v>6036.0144697685628</v>
      </c>
      <c r="Q77" s="28">
        <f t="shared" si="63"/>
        <v>6642.998981640867</v>
      </c>
      <c r="R77" s="28">
        <f t="shared" si="63"/>
        <v>6774.0378277864047</v>
      </c>
      <c r="S77" s="28">
        <f t="shared" si="63"/>
        <v>6961.6705908998929</v>
      </c>
      <c r="T77" s="28">
        <f t="shared" si="63"/>
        <v>6963.8901897553687</v>
      </c>
      <c r="U77" s="28">
        <f t="shared" si="63"/>
        <v>6944.994293534859</v>
      </c>
      <c r="V77" s="28">
        <f t="shared" si="63"/>
        <v>6515.430181173112</v>
      </c>
      <c r="W77" s="28">
        <f t="shared" si="63"/>
        <v>7292.6586605892135</v>
      </c>
      <c r="X77" s="28">
        <f t="shared" si="63"/>
        <v>7406.5590336275473</v>
      </c>
      <c r="Y77" s="28">
        <f t="shared" si="63"/>
        <v>7521.0783189428666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3042.5477503765128</v>
      </c>
      <c r="C78" s="137">
        <f t="shared" si="64"/>
        <v>3353.4678020244442</v>
      </c>
      <c r="D78" s="137">
        <f t="shared" si="64"/>
        <v>3683.913348514749</v>
      </c>
      <c r="E78" s="137">
        <f t="shared" si="64"/>
        <v>4449.6260576946306</v>
      </c>
      <c r="F78" s="137">
        <f t="shared" si="64"/>
        <v>4978.609761031551</v>
      </c>
      <c r="G78" s="137">
        <f t="shared" si="64"/>
        <v>5875.8976485187986</v>
      </c>
      <c r="H78" s="137">
        <f t="shared" si="64"/>
        <v>6320.3045707337114</v>
      </c>
      <c r="I78" s="137">
        <f t="shared" si="64"/>
        <v>6794.1527102331474</v>
      </c>
      <c r="J78" s="137">
        <f t="shared" si="64"/>
        <v>6712.1032790956433</v>
      </c>
      <c r="K78" s="137">
        <f t="shared" si="64"/>
        <v>6204.6372518283479</v>
      </c>
      <c r="L78" s="137">
        <f t="shared" si="64"/>
        <v>5829.8973468069526</v>
      </c>
      <c r="M78" s="137">
        <f t="shared" si="64"/>
        <v>5726.5151066939761</v>
      </c>
      <c r="N78" s="137">
        <f t="shared" si="64"/>
        <v>5670.6356819635721</v>
      </c>
      <c r="O78" s="137">
        <f t="shared" si="64"/>
        <v>5531.6415953176656</v>
      </c>
      <c r="P78" s="137">
        <f t="shared" si="64"/>
        <v>5925.9190845187768</v>
      </c>
      <c r="Q78" s="137">
        <f t="shared" si="64"/>
        <v>6529.6756011283833</v>
      </c>
      <c r="R78" s="137">
        <f t="shared" ref="R78:V78" si="65">R79+R80</f>
        <v>6657.7376248598666</v>
      </c>
      <c r="S78" s="137">
        <f t="shared" si="65"/>
        <v>6844.4577199719915</v>
      </c>
      <c r="T78" s="137">
        <f t="shared" si="65"/>
        <v>6849.3445192500631</v>
      </c>
      <c r="U78" s="137">
        <f t="shared" si="65"/>
        <v>6802.4815409094845</v>
      </c>
      <c r="V78" s="137">
        <f t="shared" si="65"/>
        <v>6384.9339161710568</v>
      </c>
      <c r="W78" s="137">
        <f t="shared" ref="W78:Y78" si="66">W79+W80</f>
        <v>7196.6771461270346</v>
      </c>
      <c r="X78" s="137">
        <f t="shared" si="66"/>
        <v>7294.3171997126301</v>
      </c>
      <c r="Y78" s="137">
        <f t="shared" si="66"/>
        <v>7415.5959078652277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482.22609395416282</v>
      </c>
      <c r="C79" s="102">
        <f>TrRoad_emi!C$34</f>
        <v>526.29787074282956</v>
      </c>
      <c r="D79" s="102">
        <f>TrRoad_emi!D$34</f>
        <v>602.92025325436623</v>
      </c>
      <c r="E79" s="102">
        <f>TrRoad_emi!E$34</f>
        <v>694.40926904285777</v>
      </c>
      <c r="F79" s="102">
        <f>TrRoad_emi!F$34</f>
        <v>808.7710909310382</v>
      </c>
      <c r="G79" s="102">
        <f>TrRoad_emi!G$34</f>
        <v>969.31217333880409</v>
      </c>
      <c r="H79" s="102">
        <f>TrRoad_emi!H$34</f>
        <v>1115.8654910727723</v>
      </c>
      <c r="I79" s="102">
        <f>TrRoad_emi!I$34</f>
        <v>1268.1942026848844</v>
      </c>
      <c r="J79" s="102">
        <f>TrRoad_emi!J$34</f>
        <v>1501.3687279873723</v>
      </c>
      <c r="K79" s="102">
        <f>TrRoad_emi!K$34</f>
        <v>1506.3913578450197</v>
      </c>
      <c r="L79" s="102">
        <f>TrRoad_emi!L$34</f>
        <v>1585.4102782924679</v>
      </c>
      <c r="M79" s="102">
        <f>TrRoad_emi!M$34</f>
        <v>1594.8553473053857</v>
      </c>
      <c r="N79" s="102">
        <f>TrRoad_emi!N$34</f>
        <v>1630.249357740043</v>
      </c>
      <c r="O79" s="102">
        <f>TrRoad_emi!O$34</f>
        <v>1697.1517181963384</v>
      </c>
      <c r="P79" s="102">
        <f>TrRoad_emi!P$34</f>
        <v>1891.6013459898049</v>
      </c>
      <c r="Q79" s="102">
        <f>TrRoad_emi!Q$34</f>
        <v>2079.0192857665352</v>
      </c>
      <c r="R79" s="102">
        <f>TrRoad_emi!R$34</f>
        <v>1779.5562068943873</v>
      </c>
      <c r="S79" s="102">
        <f>TrRoad_emi!S$34</f>
        <v>1812.3415154234519</v>
      </c>
      <c r="T79" s="102">
        <f>TrRoad_emi!T$34</f>
        <v>1828.3057165642867</v>
      </c>
      <c r="U79" s="102">
        <f>TrRoad_emi!U$34</f>
        <v>1823.8051513437083</v>
      </c>
      <c r="V79" s="102">
        <f>TrRoad_emi!V$34</f>
        <v>1754.0880274249664</v>
      </c>
      <c r="W79" s="102">
        <f>TrRoad_emi!W$34</f>
        <v>1809.7432877443885</v>
      </c>
      <c r="X79" s="102">
        <f>TrRoad_emi!X$34</f>
        <v>1831.4739028085082</v>
      </c>
      <c r="Y79" s="102">
        <f>TrRoad_emi!Y$34</f>
        <v>1872.2488029146023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2560.3216564223499</v>
      </c>
      <c r="C80" s="102">
        <f>TrRoad_emi!C$40</f>
        <v>2827.1699312816145</v>
      </c>
      <c r="D80" s="102">
        <f>TrRoad_emi!D$40</f>
        <v>3080.9930952603827</v>
      </c>
      <c r="E80" s="102">
        <f>TrRoad_emi!E$40</f>
        <v>3755.2167886517727</v>
      </c>
      <c r="F80" s="102">
        <f>TrRoad_emi!F$40</f>
        <v>4169.8386701005129</v>
      </c>
      <c r="G80" s="102">
        <f>TrRoad_emi!G$40</f>
        <v>4906.5854751799943</v>
      </c>
      <c r="H80" s="102">
        <f>TrRoad_emi!H$40</f>
        <v>5204.4390796609396</v>
      </c>
      <c r="I80" s="102">
        <f>TrRoad_emi!I$40</f>
        <v>5525.9585075482628</v>
      </c>
      <c r="J80" s="102">
        <f>TrRoad_emi!J$40</f>
        <v>5210.7345511082713</v>
      </c>
      <c r="K80" s="102">
        <f>TrRoad_emi!K$40</f>
        <v>4698.2458939833286</v>
      </c>
      <c r="L80" s="102">
        <f>TrRoad_emi!L$40</f>
        <v>4244.4870685144842</v>
      </c>
      <c r="M80" s="102">
        <f>TrRoad_emi!M$40</f>
        <v>4131.6597593885899</v>
      </c>
      <c r="N80" s="102">
        <f>TrRoad_emi!N$40</f>
        <v>4040.3863242235293</v>
      </c>
      <c r="O80" s="102">
        <f>TrRoad_emi!O$40</f>
        <v>3834.4898771213275</v>
      </c>
      <c r="P80" s="102">
        <f>TrRoad_emi!P$40</f>
        <v>4034.3177385289719</v>
      </c>
      <c r="Q80" s="102">
        <f>TrRoad_emi!Q$40</f>
        <v>4450.6563153618481</v>
      </c>
      <c r="R80" s="102">
        <f>TrRoad_emi!R$40</f>
        <v>4878.1814179654793</v>
      </c>
      <c r="S80" s="102">
        <f>TrRoad_emi!S$40</f>
        <v>5032.1162045485398</v>
      </c>
      <c r="T80" s="102">
        <f>TrRoad_emi!T$40</f>
        <v>5021.0388026857763</v>
      </c>
      <c r="U80" s="102">
        <f>TrRoad_emi!U$40</f>
        <v>4978.6763895657759</v>
      </c>
      <c r="V80" s="102">
        <f>TrRoad_emi!V$40</f>
        <v>4630.8458887460902</v>
      </c>
      <c r="W80" s="102">
        <f>TrRoad_emi!W$40</f>
        <v>5386.9338583826457</v>
      </c>
      <c r="X80" s="102">
        <f>TrRoad_emi!X$40</f>
        <v>5462.8432969041214</v>
      </c>
      <c r="Y80" s="102">
        <f>TrRoad_emi!Y$40</f>
        <v>5543.3471049506252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95.414466825887885</v>
      </c>
      <c r="C81" s="110">
        <f>TrRail_emi!C$15</f>
        <v>77.348789636138179</v>
      </c>
      <c r="D81" s="110">
        <f>TrRail_emi!D$15</f>
        <v>71.871486875635071</v>
      </c>
      <c r="E81" s="110">
        <f>TrRail_emi!E$15</f>
        <v>65.859945662709478</v>
      </c>
      <c r="F81" s="110">
        <f>TrRail_emi!F$15</f>
        <v>65.805965829449761</v>
      </c>
      <c r="G81" s="110">
        <f>TrRail_emi!G$15</f>
        <v>60.1545596648455</v>
      </c>
      <c r="H81" s="110">
        <f>TrRail_emi!H$15</f>
        <v>72.535785741493541</v>
      </c>
      <c r="I81" s="110">
        <f>TrRail_emi!I$15</f>
        <v>79.09898480172329</v>
      </c>
      <c r="J81" s="110">
        <f>TrRail_emi!J$15</f>
        <v>76.952767736597551</v>
      </c>
      <c r="K81" s="110">
        <f>TrRail_emi!K$15</f>
        <v>76.828551624831093</v>
      </c>
      <c r="L81" s="110">
        <f>TrRail_emi!L$15</f>
        <v>70.002142061454876</v>
      </c>
      <c r="M81" s="110">
        <f>TrRail_emi!M$15</f>
        <v>67.808606124601766</v>
      </c>
      <c r="N81" s="110">
        <f>TrRail_emi!N$15</f>
        <v>48.900630147786039</v>
      </c>
      <c r="O81" s="110">
        <f>TrRail_emi!O$15</f>
        <v>46.896617648379909</v>
      </c>
      <c r="P81" s="110">
        <f>TrRail_emi!P$15</f>
        <v>65.026060899331</v>
      </c>
      <c r="Q81" s="110">
        <f>TrRail_emi!Q$15</f>
        <v>65.036662467434795</v>
      </c>
      <c r="R81" s="110">
        <f>TrRail_emi!R$15</f>
        <v>60.184754990600219</v>
      </c>
      <c r="S81" s="110">
        <f>TrRail_emi!S$15</f>
        <v>57.216322048643676</v>
      </c>
      <c r="T81" s="110">
        <f>TrRail_emi!T$15</f>
        <v>55.514715100442295</v>
      </c>
      <c r="U81" s="110">
        <f>TrRail_emi!U$15</f>
        <v>57.901104237063237</v>
      </c>
      <c r="V81" s="110">
        <f>TrRail_emi!V$15</f>
        <v>59.831765524484744</v>
      </c>
      <c r="W81" s="110">
        <f>TrRail_emi!W$15</f>
        <v>59.791704635542992</v>
      </c>
      <c r="X81" s="110">
        <f>TrRail_emi!X$15</f>
        <v>81.533913836810811</v>
      </c>
      <c r="Y81" s="110">
        <f>TrRail_emi!Y$15</f>
        <v>74.113769404043182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38.583368927328806</v>
      </c>
      <c r="C82" s="110">
        <f t="shared" si="67"/>
        <v>37.63142289081263</v>
      </c>
      <c r="D82" s="110">
        <f t="shared" si="67"/>
        <v>41.977751056690039</v>
      </c>
      <c r="E82" s="110">
        <f t="shared" si="67"/>
        <v>38.6400861553917</v>
      </c>
      <c r="F82" s="110">
        <f t="shared" si="67"/>
        <v>37.877953030589147</v>
      </c>
      <c r="G82" s="110">
        <f t="shared" si="67"/>
        <v>41.183392256390434</v>
      </c>
      <c r="H82" s="110">
        <f t="shared" si="67"/>
        <v>39.977575389672467</v>
      </c>
      <c r="I82" s="110">
        <f t="shared" si="67"/>
        <v>37.965983881926491</v>
      </c>
      <c r="J82" s="110">
        <f t="shared" si="67"/>
        <v>38.463370606352527</v>
      </c>
      <c r="K82" s="110">
        <f t="shared" si="67"/>
        <v>37.233702110269768</v>
      </c>
      <c r="L82" s="110">
        <f t="shared" si="67"/>
        <v>36.299519165381163</v>
      </c>
      <c r="M82" s="110">
        <f t="shared" si="67"/>
        <v>48.959122240714343</v>
      </c>
      <c r="N82" s="110">
        <f t="shared" si="67"/>
        <v>43.798999210405839</v>
      </c>
      <c r="O82" s="110">
        <f t="shared" si="67"/>
        <v>39.001953491442734</v>
      </c>
      <c r="P82" s="110">
        <f t="shared" si="67"/>
        <v>35.512380590454683</v>
      </c>
      <c r="Q82" s="110">
        <f t="shared" si="67"/>
        <v>38.740444685048949</v>
      </c>
      <c r="R82" s="110">
        <f t="shared" si="67"/>
        <v>43.382993135937731</v>
      </c>
      <c r="S82" s="110">
        <f t="shared" si="67"/>
        <v>47.26649491925744</v>
      </c>
      <c r="T82" s="110">
        <f t="shared" si="67"/>
        <v>49.48654936486443</v>
      </c>
      <c r="U82" s="110">
        <f t="shared" si="67"/>
        <v>68.695946508311408</v>
      </c>
      <c r="V82" s="110">
        <f t="shared" si="67"/>
        <v>57.908303037570541</v>
      </c>
      <c r="W82" s="110">
        <f t="shared" ref="W82:Y82" si="68">W83+W84+W85</f>
        <v>23.379727866635406</v>
      </c>
      <c r="X82" s="110">
        <f t="shared" si="68"/>
        <v>21.110162038105805</v>
      </c>
      <c r="Y82" s="110">
        <f t="shared" si="68"/>
        <v>18.580700793595199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2.293987744832573</v>
      </c>
      <c r="C83" s="102">
        <f>TrAvia_emi!C$11</f>
        <v>2.2085941573747419</v>
      </c>
      <c r="D83" s="102">
        <f>TrAvia_emi!D$11</f>
        <v>2.5094362256181686</v>
      </c>
      <c r="E83" s="102">
        <f>TrAvia_emi!E$11</f>
        <v>1.9419245835549577</v>
      </c>
      <c r="F83" s="102">
        <f>TrAvia_emi!F$11</f>
        <v>0.60353512449997182</v>
      </c>
      <c r="G83" s="102">
        <f>TrAvia_emi!G$11</f>
        <v>0.97240828362205889</v>
      </c>
      <c r="H83" s="102">
        <f>TrAvia_emi!H$11</f>
        <v>1.086105950806876</v>
      </c>
      <c r="I83" s="102">
        <f>TrAvia_emi!I$11</f>
        <v>3.696011630206347</v>
      </c>
      <c r="J83" s="102">
        <f>TrAvia_emi!J$11</f>
        <v>4.400326960586586</v>
      </c>
      <c r="K83" s="102">
        <f>TrAvia_emi!K$11</f>
        <v>2.810074195994186</v>
      </c>
      <c r="L83" s="102">
        <f>TrAvia_emi!L$11</f>
        <v>2.6218341897229043</v>
      </c>
      <c r="M83" s="102">
        <f>TrAvia_emi!M$11</f>
        <v>5.2563011408977696</v>
      </c>
      <c r="N83" s="102">
        <f>TrAvia_emi!N$11</f>
        <v>2.629689100169224</v>
      </c>
      <c r="O83" s="102">
        <f>TrAvia_emi!O$11</f>
        <v>2.0925368444018591</v>
      </c>
      <c r="P83" s="102">
        <f>TrAvia_emi!P$11</f>
        <v>0.92564839873810811</v>
      </c>
      <c r="Q83" s="102">
        <f>TrAvia_emi!Q$11</f>
        <v>1.8087325907591461</v>
      </c>
      <c r="R83" s="102">
        <f>TrAvia_emi!R$11</f>
        <v>1.65025726195249</v>
      </c>
      <c r="S83" s="102">
        <f>TrAvia_emi!S$11</f>
        <v>3.2377436915857278</v>
      </c>
      <c r="T83" s="102">
        <f>TrAvia_emi!T$11</f>
        <v>10.911138411647315</v>
      </c>
      <c r="U83" s="102">
        <f>TrAvia_emi!U$11</f>
        <v>30.896131166141242</v>
      </c>
      <c r="V83" s="102">
        <f>TrAvia_emi!V$11</f>
        <v>37.143553752644955</v>
      </c>
      <c r="W83" s="102">
        <f>TrAvia_emi!W$11</f>
        <v>4.8856517674632203</v>
      </c>
      <c r="X83" s="102">
        <f>TrAvia_emi!X$11</f>
        <v>1.6159740290370268</v>
      </c>
      <c r="Y83" s="102">
        <f>TrAvia_emi!Y$11</f>
        <v>3.7316342221278782E-2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9.0702772838518495</v>
      </c>
      <c r="C84" s="102">
        <f>TrAvia_emi!C$12</f>
        <v>8.5573726945220745</v>
      </c>
      <c r="D84" s="102">
        <f>TrAvia_emi!D$12</f>
        <v>10.073566115307626</v>
      </c>
      <c r="E84" s="102">
        <f>TrAvia_emi!E$12</f>
        <v>7.2524974218363498</v>
      </c>
      <c r="F84" s="102">
        <f>TrAvia_emi!F$12</f>
        <v>10.076178699687169</v>
      </c>
      <c r="G84" s="102">
        <f>TrAvia_emi!G$12</f>
        <v>10.593364259967682</v>
      </c>
      <c r="H84" s="102">
        <f>TrAvia_emi!H$12</f>
        <v>12.065725863494139</v>
      </c>
      <c r="I84" s="102">
        <f>TrAvia_emi!I$12</f>
        <v>11.630894759844985</v>
      </c>
      <c r="J84" s="102">
        <f>TrAvia_emi!J$12</f>
        <v>9.2766264677986765</v>
      </c>
      <c r="K84" s="102">
        <f>TrAvia_emi!K$12</f>
        <v>8.1806896800132893</v>
      </c>
      <c r="L84" s="102">
        <f>TrAvia_emi!L$12</f>
        <v>9.3539395176700797</v>
      </c>
      <c r="M84" s="102">
        <f>TrAvia_emi!M$12</f>
        <v>7.6229676974735696</v>
      </c>
      <c r="N84" s="102">
        <f>TrAvia_emi!N$12</f>
        <v>6.1292614350403003</v>
      </c>
      <c r="O84" s="102">
        <f>TrAvia_emi!O$12</f>
        <v>6.1362507377089734</v>
      </c>
      <c r="P84" s="102">
        <f>TrAvia_emi!P$12</f>
        <v>6.8035454273741367</v>
      </c>
      <c r="Q84" s="102">
        <f>TrAvia_emi!Q$12</f>
        <v>7.0066540745205312</v>
      </c>
      <c r="R84" s="102">
        <f>TrAvia_emi!R$12</f>
        <v>7.7608534955635013</v>
      </c>
      <c r="S84" s="102">
        <f>TrAvia_emi!S$12</f>
        <v>10.253885760331165</v>
      </c>
      <c r="T84" s="102">
        <f>TrAvia_emi!T$12</f>
        <v>12.596430376350522</v>
      </c>
      <c r="U84" s="102">
        <f>TrAvia_emi!U$12</f>
        <v>10.468461113668315</v>
      </c>
      <c r="V84" s="102">
        <f>TrAvia_emi!V$12</f>
        <v>9.056461706110154</v>
      </c>
      <c r="W84" s="102">
        <f>TrAvia_emi!W$12</f>
        <v>12.903949303087488</v>
      </c>
      <c r="X84" s="102">
        <f>TrAvia_emi!X$12</f>
        <v>13.108700815216272</v>
      </c>
      <c r="Y84" s="102">
        <f>TrAvia_emi!Y$12</f>
        <v>12.904995786029914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27.219103898644381</v>
      </c>
      <c r="C85" s="102">
        <f>TrAvia_emi!C$13</f>
        <v>26.865456038915813</v>
      </c>
      <c r="D85" s="102">
        <f>TrAvia_emi!D$13</f>
        <v>29.394748715764244</v>
      </c>
      <c r="E85" s="102">
        <f>TrAvia_emi!E$13</f>
        <v>29.44566415000039</v>
      </c>
      <c r="F85" s="102">
        <f>TrAvia_emi!F$13</f>
        <v>27.198239206402008</v>
      </c>
      <c r="G85" s="102">
        <f>TrAvia_emi!G$13</f>
        <v>29.617619712800696</v>
      </c>
      <c r="H85" s="102">
        <f>TrAvia_emi!H$13</f>
        <v>26.825743575371451</v>
      </c>
      <c r="I85" s="102">
        <f>TrAvia_emi!I$13</f>
        <v>22.63907749187516</v>
      </c>
      <c r="J85" s="102">
        <f>TrAvia_emi!J$13</f>
        <v>24.786417177967262</v>
      </c>
      <c r="K85" s="102">
        <f>TrAvia_emi!K$13</f>
        <v>26.242938234262294</v>
      </c>
      <c r="L85" s="102">
        <f>TrAvia_emi!L$13</f>
        <v>24.323745457988181</v>
      </c>
      <c r="M85" s="102">
        <f>TrAvia_emi!M$13</f>
        <v>36.079853402343005</v>
      </c>
      <c r="N85" s="102">
        <f>TrAvia_emi!N$13</f>
        <v>35.04004867519631</v>
      </c>
      <c r="O85" s="102">
        <f>TrAvia_emi!O$13</f>
        <v>30.773165909331901</v>
      </c>
      <c r="P85" s="102">
        <f>TrAvia_emi!P$13</f>
        <v>27.783186764342439</v>
      </c>
      <c r="Q85" s="102">
        <f>TrAvia_emi!Q$13</f>
        <v>29.925058019769274</v>
      </c>
      <c r="R85" s="102">
        <f>TrAvia_emi!R$13</f>
        <v>33.971882378421739</v>
      </c>
      <c r="S85" s="102">
        <f>TrAvia_emi!S$13</f>
        <v>33.774865467340547</v>
      </c>
      <c r="T85" s="102">
        <f>TrAvia_emi!T$13</f>
        <v>25.978980576866594</v>
      </c>
      <c r="U85" s="102">
        <f>TrAvia_emi!U$13</f>
        <v>27.331354228501848</v>
      </c>
      <c r="V85" s="102">
        <f>TrAvia_emi!V$13</f>
        <v>11.70828757881543</v>
      </c>
      <c r="W85" s="102">
        <f>TrAvia_emi!W$13</f>
        <v>5.5901267960846948</v>
      </c>
      <c r="X85" s="102">
        <f>TrAvia_emi!X$13</f>
        <v>6.3854871938525077</v>
      </c>
      <c r="Y85" s="102">
        <f>TrAvia_emi!Y$13</f>
        <v>5.6383886653440038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15.81700068</v>
      </c>
      <c r="C86" s="110">
        <f t="shared" si="69"/>
        <v>24.850294560000002</v>
      </c>
      <c r="D86" s="110">
        <f t="shared" si="69"/>
        <v>12.431016</v>
      </c>
      <c r="E86" s="110">
        <f t="shared" si="69"/>
        <v>12.42781488</v>
      </c>
      <c r="F86" s="110">
        <f t="shared" si="69"/>
        <v>18.616646880000001</v>
      </c>
      <c r="G86" s="110">
        <f t="shared" si="69"/>
        <v>15.49768896</v>
      </c>
      <c r="H86" s="110">
        <f t="shared" si="69"/>
        <v>19.01945448</v>
      </c>
      <c r="I86" s="110">
        <f t="shared" si="69"/>
        <v>15.838608240000001</v>
      </c>
      <c r="J86" s="110">
        <f t="shared" si="69"/>
        <v>12.706579080000001</v>
      </c>
      <c r="K86" s="110">
        <f t="shared" si="69"/>
        <v>15.922637639999996</v>
      </c>
      <c r="L86" s="110">
        <f t="shared" si="69"/>
        <v>12.75619644</v>
      </c>
      <c r="M86" s="110">
        <f t="shared" si="69"/>
        <v>9.5556099599999982</v>
      </c>
      <c r="N86" s="110">
        <f t="shared" si="69"/>
        <v>15.915968639999999</v>
      </c>
      <c r="O86" s="110">
        <f t="shared" si="69"/>
        <v>6.3670276799999996</v>
      </c>
      <c r="P86" s="110">
        <f t="shared" si="69"/>
        <v>9.5569437600000011</v>
      </c>
      <c r="Q86" s="110">
        <f t="shared" si="69"/>
        <v>9.5462733600000007</v>
      </c>
      <c r="R86" s="110">
        <f t="shared" ref="R86:V86" si="70">R87+R88</f>
        <v>12.732454799999999</v>
      </c>
      <c r="S86" s="110">
        <f t="shared" si="70"/>
        <v>12.730053959999999</v>
      </c>
      <c r="T86" s="110">
        <f t="shared" si="70"/>
        <v>9.5444060400000001</v>
      </c>
      <c r="U86" s="110">
        <f t="shared" si="70"/>
        <v>15.915701879999995</v>
      </c>
      <c r="V86" s="110">
        <f t="shared" si="70"/>
        <v>12.75619644</v>
      </c>
      <c r="W86" s="110">
        <f t="shared" ref="W86:Y86" si="71">W87+W88</f>
        <v>12.81008196</v>
      </c>
      <c r="X86" s="110">
        <f t="shared" si="71"/>
        <v>9.5977580399999987</v>
      </c>
      <c r="Y86" s="110">
        <f t="shared" si="71"/>
        <v>12.787940880000001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X87" s="102">
        <f>TrNavi_emi!X$4</f>
        <v>0</v>
      </c>
      <c r="Y87" s="102">
        <f>TrNavi_emi!Y$4</f>
        <v>0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15.81700068</v>
      </c>
      <c r="C88" s="169">
        <f>TrNavi_emi!C$5</f>
        <v>24.850294560000002</v>
      </c>
      <c r="D88" s="169">
        <f>TrNavi_emi!D$5</f>
        <v>12.431016</v>
      </c>
      <c r="E88" s="169">
        <f>TrNavi_emi!E$5</f>
        <v>12.42781488</v>
      </c>
      <c r="F88" s="169">
        <f>TrNavi_emi!F$5</f>
        <v>18.616646880000001</v>
      </c>
      <c r="G88" s="169">
        <f>TrNavi_emi!G$5</f>
        <v>15.49768896</v>
      </c>
      <c r="H88" s="169">
        <f>TrNavi_emi!H$5</f>
        <v>19.01945448</v>
      </c>
      <c r="I88" s="169">
        <f>TrNavi_emi!I$5</f>
        <v>15.838608240000001</v>
      </c>
      <c r="J88" s="169">
        <f>TrNavi_emi!J$5</f>
        <v>12.706579080000001</v>
      </c>
      <c r="K88" s="169">
        <f>TrNavi_emi!K$5</f>
        <v>15.922637639999996</v>
      </c>
      <c r="L88" s="169">
        <f>TrNavi_emi!L$5</f>
        <v>12.75619644</v>
      </c>
      <c r="M88" s="169">
        <f>TrNavi_emi!M$5</f>
        <v>9.5556099599999982</v>
      </c>
      <c r="N88" s="169">
        <f>TrNavi_emi!N$5</f>
        <v>15.915968639999999</v>
      </c>
      <c r="O88" s="169">
        <f>TrNavi_emi!O$5</f>
        <v>6.3670276799999996</v>
      </c>
      <c r="P88" s="169">
        <f>TrNavi_emi!P$5</f>
        <v>9.5569437600000011</v>
      </c>
      <c r="Q88" s="169">
        <f>TrNavi_emi!Q$5</f>
        <v>9.5462733600000007</v>
      </c>
      <c r="R88" s="169">
        <f>TrNavi_emi!R$5</f>
        <v>12.732454799999999</v>
      </c>
      <c r="S88" s="169">
        <f>TrNavi_emi!S$5</f>
        <v>12.730053959999999</v>
      </c>
      <c r="T88" s="169">
        <f>TrNavi_emi!T$5</f>
        <v>9.5444060400000001</v>
      </c>
      <c r="U88" s="169">
        <f>TrNavi_emi!U$5</f>
        <v>15.915701879999995</v>
      </c>
      <c r="V88" s="169">
        <f>TrNavi_emi!V$5</f>
        <v>12.75619644</v>
      </c>
      <c r="W88" s="169">
        <f>TrNavi_emi!W$5</f>
        <v>12.81008196</v>
      </c>
      <c r="X88" s="169">
        <f>TrNavi_emi!X$5</f>
        <v>9.5977580399999987</v>
      </c>
      <c r="Y88" s="169">
        <f>TrNavi_emi!Y$5</f>
        <v>12.787940880000001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0</v>
      </c>
      <c r="C89" s="28">
        <f t="shared" si="72"/>
        <v>0</v>
      </c>
      <c r="D89" s="28">
        <f t="shared" si="72"/>
        <v>0</v>
      </c>
      <c r="E89" s="28">
        <f t="shared" si="72"/>
        <v>0</v>
      </c>
      <c r="F89" s="28">
        <f t="shared" si="72"/>
        <v>0</v>
      </c>
      <c r="G89" s="28">
        <f t="shared" si="72"/>
        <v>0</v>
      </c>
      <c r="H89" s="28">
        <f t="shared" si="72"/>
        <v>0</v>
      </c>
      <c r="I89" s="28">
        <f t="shared" si="72"/>
        <v>0</v>
      </c>
      <c r="J89" s="28">
        <f t="shared" si="72"/>
        <v>0</v>
      </c>
      <c r="K89" s="28">
        <f t="shared" si="72"/>
        <v>0</v>
      </c>
      <c r="L89" s="28">
        <f t="shared" si="72"/>
        <v>0</v>
      </c>
      <c r="M89" s="28">
        <f t="shared" si="72"/>
        <v>0</v>
      </c>
      <c r="N89" s="28">
        <f t="shared" si="72"/>
        <v>0</v>
      </c>
      <c r="O89" s="28">
        <f t="shared" si="72"/>
        <v>0</v>
      </c>
      <c r="P89" s="28">
        <f t="shared" si="72"/>
        <v>0</v>
      </c>
      <c r="Q89" s="28">
        <f t="shared" si="72"/>
        <v>0</v>
      </c>
      <c r="R89" s="28">
        <f t="shared" si="72"/>
        <v>0</v>
      </c>
      <c r="S89" s="28">
        <f t="shared" si="72"/>
        <v>0</v>
      </c>
      <c r="T89" s="28">
        <f t="shared" si="72"/>
        <v>0</v>
      </c>
      <c r="U89" s="28">
        <f t="shared" si="72"/>
        <v>0</v>
      </c>
      <c r="V89" s="28">
        <f t="shared" si="72"/>
        <v>0</v>
      </c>
      <c r="W89" s="28">
        <f t="shared" si="72"/>
        <v>0</v>
      </c>
      <c r="X89" s="28">
        <f t="shared" ref="X89:Y89" si="73">X90+X91</f>
        <v>0</v>
      </c>
      <c r="Y89" s="28">
        <f t="shared" si="73"/>
        <v>0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0</v>
      </c>
      <c r="C90" s="102">
        <f>MBunk_emi!C$4</f>
        <v>0</v>
      </c>
      <c r="D90" s="102">
        <f>MBunk_emi!D$4</f>
        <v>0</v>
      </c>
      <c r="E90" s="102">
        <f>MBunk_emi!E$4</f>
        <v>0</v>
      </c>
      <c r="F90" s="102">
        <f>MBunk_emi!F$4</f>
        <v>0</v>
      </c>
      <c r="G90" s="102">
        <f>MBunk_emi!G$4</f>
        <v>0</v>
      </c>
      <c r="H90" s="102">
        <f>MBunk_emi!H$4</f>
        <v>0</v>
      </c>
      <c r="I90" s="102">
        <f>MBunk_emi!I$4</f>
        <v>0</v>
      </c>
      <c r="J90" s="102">
        <f>MBunk_emi!J$4</f>
        <v>0</v>
      </c>
      <c r="K90" s="102">
        <f>MBunk_emi!K$4</f>
        <v>0</v>
      </c>
      <c r="L90" s="102">
        <f>MBunk_emi!L$4</f>
        <v>0</v>
      </c>
      <c r="M90" s="102">
        <f>MBunk_emi!M$4</f>
        <v>0</v>
      </c>
      <c r="N90" s="102">
        <f>MBunk_emi!N$4</f>
        <v>0</v>
      </c>
      <c r="O90" s="102">
        <f>MBunk_emi!O$4</f>
        <v>0</v>
      </c>
      <c r="P90" s="102">
        <f>MBunk_emi!P$4</f>
        <v>0</v>
      </c>
      <c r="Q90" s="102">
        <f>MBunk_emi!Q$4</f>
        <v>0</v>
      </c>
      <c r="R90" s="102">
        <f>MBunk_emi!R$4</f>
        <v>0</v>
      </c>
      <c r="S90" s="102">
        <f>MBunk_emi!S$4</f>
        <v>0</v>
      </c>
      <c r="T90" s="102">
        <f>MBunk_emi!T$4</f>
        <v>0</v>
      </c>
      <c r="U90" s="102">
        <f>MBunk_emi!U$4</f>
        <v>0</v>
      </c>
      <c r="V90" s="102">
        <f>MBunk_emi!V$4</f>
        <v>0</v>
      </c>
      <c r="W90" s="102">
        <f>MBunk_emi!W$4</f>
        <v>0</v>
      </c>
      <c r="X90" s="102">
        <f>MBunk_emi!X$4</f>
        <v>0</v>
      </c>
      <c r="Y90" s="102">
        <f>MBunk_emi!Y$4</f>
        <v>0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0</v>
      </c>
      <c r="C91" s="86">
        <f>MBunk_emi!C$5</f>
        <v>0</v>
      </c>
      <c r="D91" s="86">
        <f>MBunk_emi!D$5</f>
        <v>0</v>
      </c>
      <c r="E91" s="86">
        <f>MBunk_emi!E$5</f>
        <v>0</v>
      </c>
      <c r="F91" s="86">
        <f>MBunk_emi!F$5</f>
        <v>0</v>
      </c>
      <c r="G91" s="86">
        <f>MBunk_emi!G$5</f>
        <v>0</v>
      </c>
      <c r="H91" s="86">
        <f>MBunk_emi!H$5</f>
        <v>0</v>
      </c>
      <c r="I91" s="86">
        <f>MBunk_emi!I$5</f>
        <v>0</v>
      </c>
      <c r="J91" s="86">
        <f>MBunk_emi!J$5</f>
        <v>0</v>
      </c>
      <c r="K91" s="86">
        <f>MBunk_emi!K$5</f>
        <v>0</v>
      </c>
      <c r="L91" s="86">
        <f>MBunk_emi!L$5</f>
        <v>0</v>
      </c>
      <c r="M91" s="86">
        <f>MBunk_emi!M$5</f>
        <v>0</v>
      </c>
      <c r="N91" s="86">
        <f>MBunk_emi!N$5</f>
        <v>0</v>
      </c>
      <c r="O91" s="86">
        <f>MBunk_emi!O$5</f>
        <v>0</v>
      </c>
      <c r="P91" s="86">
        <f>MBunk_emi!P$5</f>
        <v>0</v>
      </c>
      <c r="Q91" s="86">
        <f>MBunk_emi!Q$5</f>
        <v>0</v>
      </c>
      <c r="R91" s="86">
        <f>MBunk_emi!R$5</f>
        <v>0</v>
      </c>
      <c r="S91" s="86">
        <f>MBunk_emi!S$5</f>
        <v>0</v>
      </c>
      <c r="T91" s="86">
        <f>MBunk_emi!T$5</f>
        <v>0</v>
      </c>
      <c r="U91" s="86">
        <f>MBunk_emi!U$5</f>
        <v>0</v>
      </c>
      <c r="V91" s="86">
        <f>MBunk_emi!V$5</f>
        <v>0</v>
      </c>
      <c r="W91" s="86">
        <f>MBunk_emi!W$5</f>
        <v>0</v>
      </c>
      <c r="X91" s="86">
        <f>MBunk_emi!X$5</f>
        <v>0</v>
      </c>
      <c r="Y91" s="86">
        <f>MBunk_emi!Y$5</f>
        <v>0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0.8153505397165236</v>
      </c>
      <c r="C97" s="139">
        <f t="shared" si="75"/>
        <v>0.81527204993426905</v>
      </c>
      <c r="D97" s="139">
        <f t="shared" si="75"/>
        <v>0.82092284854680375</v>
      </c>
      <c r="E97" s="139">
        <f t="shared" si="75"/>
        <v>0.79998662371125306</v>
      </c>
      <c r="F97" s="139">
        <f t="shared" si="75"/>
        <v>0.78400960927112262</v>
      </c>
      <c r="G97" s="139">
        <f t="shared" si="75"/>
        <v>0.78833645563884291</v>
      </c>
      <c r="H97" s="139">
        <f t="shared" si="75"/>
        <v>0.78787960457739825</v>
      </c>
      <c r="I97" s="139">
        <f t="shared" si="75"/>
        <v>0.78837386263424269</v>
      </c>
      <c r="J97" s="139">
        <f t="shared" si="75"/>
        <v>0.77982661174579371</v>
      </c>
      <c r="K97" s="139">
        <f t="shared" si="75"/>
        <v>0.78731697597163752</v>
      </c>
      <c r="L97" s="139">
        <f t="shared" si="75"/>
        <v>0.77051622029504097</v>
      </c>
      <c r="M97" s="139">
        <f t="shared" si="75"/>
        <v>0.76988370538772422</v>
      </c>
      <c r="N97" s="139">
        <f t="shared" si="75"/>
        <v>0.76233733928532033</v>
      </c>
      <c r="O97" s="139">
        <f t="shared" si="75"/>
        <v>0.75987072847816506</v>
      </c>
      <c r="P97" s="139">
        <f t="shared" si="75"/>
        <v>0.76590536718406965</v>
      </c>
      <c r="Q97" s="139">
        <f t="shared" si="75"/>
        <v>0.76110899285808631</v>
      </c>
      <c r="R97" s="139">
        <f t="shared" si="75"/>
        <v>0.75064675723094398</v>
      </c>
      <c r="S97" s="139">
        <f t="shared" si="75"/>
        <v>0.73634189885689949</v>
      </c>
      <c r="T97" s="139">
        <f t="shared" si="75"/>
        <v>0.72986679649996367</v>
      </c>
      <c r="U97" s="139">
        <f t="shared" si="75"/>
        <v>0.7257274549329974</v>
      </c>
      <c r="V97" s="139">
        <f t="shared" si="75"/>
        <v>0.85566134823690332</v>
      </c>
      <c r="W97" s="139">
        <f t="shared" si="75"/>
        <v>0.87286193383010602</v>
      </c>
      <c r="X97" s="139">
        <f t="shared" si="75"/>
        <v>0.81587308593125141</v>
      </c>
      <c r="Y97" s="139">
        <f t="shared" si="75"/>
        <v>0.78718320974679967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1.5090623540933761E-2</v>
      </c>
      <c r="C98" s="140">
        <f t="shared" si="76"/>
        <v>1.4255493580356247E-2</v>
      </c>
      <c r="D98" s="140">
        <f t="shared" si="76"/>
        <v>1.3895189570297719E-2</v>
      </c>
      <c r="E98" s="140">
        <f t="shared" si="76"/>
        <v>1.3191396125369981E-2</v>
      </c>
      <c r="F98" s="140">
        <f t="shared" si="76"/>
        <v>1.3040406284341577E-2</v>
      </c>
      <c r="G98" s="140">
        <f t="shared" si="76"/>
        <v>1.3332800886884814E-2</v>
      </c>
      <c r="H98" s="140">
        <f t="shared" si="76"/>
        <v>1.3486366220548114E-2</v>
      </c>
      <c r="I98" s="140">
        <f t="shared" si="76"/>
        <v>1.3680858623688898E-2</v>
      </c>
      <c r="J98" s="140">
        <f t="shared" si="76"/>
        <v>1.3814179371168866E-2</v>
      </c>
      <c r="K98" s="140">
        <f t="shared" si="76"/>
        <v>1.4103954662268731E-2</v>
      </c>
      <c r="L98" s="140">
        <f t="shared" si="76"/>
        <v>1.5366471843183717E-2</v>
      </c>
      <c r="M98" s="140">
        <f t="shared" si="76"/>
        <v>1.5448893700490494E-2</v>
      </c>
      <c r="N98" s="140">
        <f t="shared" si="76"/>
        <v>1.5879863545771172E-2</v>
      </c>
      <c r="O98" s="140">
        <f t="shared" si="76"/>
        <v>1.5742366917465295E-2</v>
      </c>
      <c r="P98" s="140">
        <f t="shared" si="76"/>
        <v>1.5615995700471142E-2</v>
      </c>
      <c r="Q98" s="140">
        <f t="shared" si="76"/>
        <v>1.5840756025498955E-2</v>
      </c>
      <c r="R98" s="140">
        <f t="shared" si="76"/>
        <v>1.5595286796702903E-2</v>
      </c>
      <c r="S98" s="140">
        <f t="shared" si="76"/>
        <v>1.4006373363948298E-2</v>
      </c>
      <c r="T98" s="140">
        <f t="shared" si="76"/>
        <v>1.2669046583583952E-2</v>
      </c>
      <c r="U98" s="140">
        <f t="shared" si="76"/>
        <v>1.2947870497903628E-2</v>
      </c>
      <c r="V98" s="140">
        <f t="shared" si="76"/>
        <v>1.7054484637070634E-2</v>
      </c>
      <c r="W98" s="140">
        <f t="shared" si="76"/>
        <v>1.4540904805626064E-2</v>
      </c>
      <c r="X98" s="140">
        <f t="shared" si="76"/>
        <v>1.2944894975409332E-2</v>
      </c>
      <c r="Y98" s="140">
        <f t="shared" si="76"/>
        <v>1.3728980593981664E-2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0.63871912002760178</v>
      </c>
      <c r="C99" s="140">
        <f t="shared" si="77"/>
        <v>0.62774367517416296</v>
      </c>
      <c r="D99" s="140">
        <f t="shared" si="77"/>
        <v>0.64398085876493161</v>
      </c>
      <c r="E99" s="140">
        <f t="shared" si="77"/>
        <v>0.63255538630139452</v>
      </c>
      <c r="F99" s="140">
        <f t="shared" si="77"/>
        <v>0.62925048371523407</v>
      </c>
      <c r="G99" s="140">
        <f t="shared" si="77"/>
        <v>0.63142524457196447</v>
      </c>
      <c r="H99" s="140">
        <f t="shared" si="77"/>
        <v>0.6295865284387252</v>
      </c>
      <c r="I99" s="140">
        <f t="shared" si="77"/>
        <v>0.63222642599967638</v>
      </c>
      <c r="J99" s="140">
        <f t="shared" si="77"/>
        <v>0.62657839584475616</v>
      </c>
      <c r="K99" s="140">
        <f t="shared" si="77"/>
        <v>0.63264633862792319</v>
      </c>
      <c r="L99" s="140">
        <f t="shared" si="77"/>
        <v>0.59614420145996516</v>
      </c>
      <c r="M99" s="140">
        <f t="shared" si="77"/>
        <v>0.60755330383849226</v>
      </c>
      <c r="N99" s="140">
        <f t="shared" si="77"/>
        <v>0.60335225527838099</v>
      </c>
      <c r="O99" s="140">
        <f t="shared" si="77"/>
        <v>0.59857359535477694</v>
      </c>
      <c r="P99" s="140">
        <f t="shared" si="77"/>
        <v>0.59669921076324794</v>
      </c>
      <c r="Q99" s="140">
        <f t="shared" si="77"/>
        <v>0.61239578974661379</v>
      </c>
      <c r="R99" s="140">
        <f t="shared" si="77"/>
        <v>0.60867487990907432</v>
      </c>
      <c r="S99" s="140">
        <f t="shared" si="77"/>
        <v>0.59622019792906733</v>
      </c>
      <c r="T99" s="140">
        <f t="shared" si="77"/>
        <v>0.59368133256961819</v>
      </c>
      <c r="U99" s="140">
        <f t="shared" si="77"/>
        <v>0.5945615894457098</v>
      </c>
      <c r="V99" s="140">
        <f t="shared" si="77"/>
        <v>0.74333881201370777</v>
      </c>
      <c r="W99" s="140">
        <f t="shared" si="77"/>
        <v>0.78032653424463505</v>
      </c>
      <c r="X99" s="140">
        <f t="shared" si="77"/>
        <v>0.71104451632211851</v>
      </c>
      <c r="Y99" s="140">
        <f t="shared" si="77"/>
        <v>0.68426979201479965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0.16154079614798811</v>
      </c>
      <c r="C100" s="140">
        <f t="shared" si="78"/>
        <v>0.17327288117974976</v>
      </c>
      <c r="D100" s="140">
        <f t="shared" si="78"/>
        <v>0.16304680021157453</v>
      </c>
      <c r="E100" s="140">
        <f t="shared" si="78"/>
        <v>0.15423984128448856</v>
      </c>
      <c r="F100" s="140">
        <f t="shared" si="78"/>
        <v>0.141718719271547</v>
      </c>
      <c r="G100" s="140">
        <f t="shared" si="78"/>
        <v>0.14357841017999368</v>
      </c>
      <c r="H100" s="140">
        <f t="shared" si="78"/>
        <v>0.1448067099181248</v>
      </c>
      <c r="I100" s="140">
        <f t="shared" si="78"/>
        <v>0.14246657801087759</v>
      </c>
      <c r="J100" s="140">
        <f t="shared" si="78"/>
        <v>0.13943403652986877</v>
      </c>
      <c r="K100" s="140">
        <f t="shared" si="78"/>
        <v>0.14056668268144559</v>
      </c>
      <c r="L100" s="140">
        <f t="shared" si="78"/>
        <v>0.15900554699189215</v>
      </c>
      <c r="M100" s="140">
        <f t="shared" si="78"/>
        <v>0.14688150784874149</v>
      </c>
      <c r="N100" s="140">
        <f t="shared" si="78"/>
        <v>0.14310522046116819</v>
      </c>
      <c r="O100" s="140">
        <f t="shared" si="78"/>
        <v>0.14555476620592284</v>
      </c>
      <c r="P100" s="140">
        <f t="shared" si="78"/>
        <v>0.15359016072035048</v>
      </c>
      <c r="Q100" s="140">
        <f t="shared" si="78"/>
        <v>0.13287244708597354</v>
      </c>
      <c r="R100" s="140">
        <f t="shared" si="78"/>
        <v>0.12637659052516687</v>
      </c>
      <c r="S100" s="140">
        <f t="shared" si="78"/>
        <v>0.12611532756388391</v>
      </c>
      <c r="T100" s="140">
        <f t="shared" si="78"/>
        <v>0.12351641734676161</v>
      </c>
      <c r="U100" s="140">
        <f t="shared" si="78"/>
        <v>0.11821799498938398</v>
      </c>
      <c r="V100" s="140">
        <f t="shared" si="78"/>
        <v>9.5268051586124933E-2</v>
      </c>
      <c r="W100" s="140">
        <f t="shared" si="78"/>
        <v>7.7994494779844853E-2</v>
      </c>
      <c r="X100" s="140">
        <f t="shared" si="78"/>
        <v>9.1883674633723503E-2</v>
      </c>
      <c r="Y100" s="140">
        <f t="shared" si="78"/>
        <v>8.918443713801831E-2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0.1535163502750107</v>
      </c>
      <c r="C101" s="124">
        <f t="shared" si="79"/>
        <v>0.15355834726255008</v>
      </c>
      <c r="D101" s="124">
        <f t="shared" si="79"/>
        <v>0.14700399324601837</v>
      </c>
      <c r="E101" s="124">
        <f t="shared" si="79"/>
        <v>0.14162441809628643</v>
      </c>
      <c r="F101" s="124">
        <f t="shared" si="79"/>
        <v>0.14253356931335673</v>
      </c>
      <c r="G101" s="124">
        <f t="shared" si="79"/>
        <v>0.13431769057465281</v>
      </c>
      <c r="H101" s="124">
        <f t="shared" si="79"/>
        <v>0.133103796751986</v>
      </c>
      <c r="I101" s="124">
        <f t="shared" si="79"/>
        <v>0.12945353059286635</v>
      </c>
      <c r="J101" s="124">
        <f t="shared" si="79"/>
        <v>0.13777972413078157</v>
      </c>
      <c r="K101" s="124">
        <f t="shared" si="79"/>
        <v>0.13528689936294752</v>
      </c>
      <c r="L101" s="124">
        <f t="shared" si="79"/>
        <v>0.14588043413420196</v>
      </c>
      <c r="M101" s="124">
        <f t="shared" si="79"/>
        <v>0.14272724964964428</v>
      </c>
      <c r="N101" s="124">
        <f t="shared" si="79"/>
        <v>0.15590801545401428</v>
      </c>
      <c r="O101" s="124">
        <f t="shared" si="79"/>
        <v>0.15825767375158031</v>
      </c>
      <c r="P101" s="124">
        <f t="shared" si="79"/>
        <v>0.15190344532379213</v>
      </c>
      <c r="Q101" s="124">
        <f t="shared" si="79"/>
        <v>0.1541923073969714</v>
      </c>
      <c r="R101" s="124">
        <f t="shared" si="79"/>
        <v>0.16094356169974158</v>
      </c>
      <c r="S101" s="124">
        <f t="shared" si="79"/>
        <v>0.16160441497058375</v>
      </c>
      <c r="T101" s="124">
        <f t="shared" si="79"/>
        <v>0.15955257195277522</v>
      </c>
      <c r="U101" s="124">
        <f t="shared" si="79"/>
        <v>0.16079873839247433</v>
      </c>
      <c r="V101" s="124">
        <f t="shared" si="79"/>
        <v>0.11190087213752252</v>
      </c>
      <c r="W101" s="124">
        <f t="shared" si="79"/>
        <v>9.198806843081056E-2</v>
      </c>
      <c r="X101" s="124">
        <f t="shared" si="79"/>
        <v>0.11039911954337724</v>
      </c>
      <c r="Y101" s="124">
        <f t="shared" si="79"/>
        <v>0.11616989700277178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8.0594086024127182E-2</v>
      </c>
      <c r="C102" s="140">
        <f t="shared" si="80"/>
        <v>8.1368319137511247E-2</v>
      </c>
      <c r="D102" s="140">
        <f t="shared" si="80"/>
        <v>8.1935196718644299E-2</v>
      </c>
      <c r="E102" s="140">
        <f t="shared" si="80"/>
        <v>8.041604505720551E-2</v>
      </c>
      <c r="F102" s="140">
        <f t="shared" si="80"/>
        <v>8.1256846169265567E-2</v>
      </c>
      <c r="G102" s="140">
        <f t="shared" si="80"/>
        <v>7.2987386006452229E-2</v>
      </c>
      <c r="H102" s="140">
        <f t="shared" si="80"/>
        <v>7.0515861237798794E-2</v>
      </c>
      <c r="I102" s="140">
        <f t="shared" si="80"/>
        <v>6.8493258206148891E-2</v>
      </c>
      <c r="J102" s="140">
        <f t="shared" si="80"/>
        <v>7.9147291482860413E-2</v>
      </c>
      <c r="K102" s="140">
        <f t="shared" si="80"/>
        <v>7.8647155226830232E-2</v>
      </c>
      <c r="L102" s="140">
        <f t="shared" si="80"/>
        <v>8.437170647373457E-2</v>
      </c>
      <c r="M102" s="140">
        <f t="shared" si="80"/>
        <v>8.0858674549645751E-2</v>
      </c>
      <c r="N102" s="140">
        <f t="shared" si="80"/>
        <v>8.8719485138582077E-2</v>
      </c>
      <c r="O102" s="140">
        <f t="shared" si="80"/>
        <v>8.8706477335415049E-2</v>
      </c>
      <c r="P102" s="140">
        <f t="shared" si="80"/>
        <v>8.3066005434352538E-2</v>
      </c>
      <c r="Q102" s="140">
        <f t="shared" si="80"/>
        <v>8.2809827062831312E-2</v>
      </c>
      <c r="R102" s="140">
        <f t="shared" si="80"/>
        <v>8.7334799667418681E-2</v>
      </c>
      <c r="S102" s="140">
        <f t="shared" si="80"/>
        <v>8.6177470238157833E-2</v>
      </c>
      <c r="T102" s="140">
        <f t="shared" si="80"/>
        <v>8.1736163046111227E-2</v>
      </c>
      <c r="U102" s="140">
        <f t="shared" si="80"/>
        <v>8.1288512656475756E-2</v>
      </c>
      <c r="V102" s="140">
        <f t="shared" si="80"/>
        <v>4.048487828863679E-2</v>
      </c>
      <c r="W102" s="140">
        <f t="shared" si="80"/>
        <v>3.2070122276127135E-2</v>
      </c>
      <c r="X102" s="140">
        <f t="shared" si="80"/>
        <v>3.7194536428357419E-2</v>
      </c>
      <c r="Y102" s="140">
        <f t="shared" si="80"/>
        <v>3.9745753528135613E-2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7.2922264250883537E-2</v>
      </c>
      <c r="C103" s="140">
        <f t="shared" si="81"/>
        <v>7.2190028125038844E-2</v>
      </c>
      <c r="D103" s="140">
        <f t="shared" si="81"/>
        <v>6.5068796527374073E-2</v>
      </c>
      <c r="E103" s="140">
        <f t="shared" si="81"/>
        <v>6.1208373039080916E-2</v>
      </c>
      <c r="F103" s="140">
        <f t="shared" si="81"/>
        <v>6.1267410572184766E-2</v>
      </c>
      <c r="G103" s="140">
        <f t="shared" si="81"/>
        <v>6.1275110053814912E-2</v>
      </c>
      <c r="H103" s="140">
        <f t="shared" si="81"/>
        <v>6.1249736372884167E-2</v>
      </c>
      <c r="I103" s="140">
        <f t="shared" si="81"/>
        <v>5.8052773167345174E-2</v>
      </c>
      <c r="J103" s="140">
        <f t="shared" si="81"/>
        <v>5.6442265002871098E-2</v>
      </c>
      <c r="K103" s="140">
        <f t="shared" si="81"/>
        <v>5.4583140324005484E-2</v>
      </c>
      <c r="L103" s="140">
        <f t="shared" si="81"/>
        <v>5.8967354707885181E-2</v>
      </c>
      <c r="M103" s="140">
        <f t="shared" si="81"/>
        <v>5.9224618899143912E-2</v>
      </c>
      <c r="N103" s="140">
        <f t="shared" si="81"/>
        <v>6.4658222961974418E-2</v>
      </c>
      <c r="O103" s="140">
        <f t="shared" si="81"/>
        <v>6.7273561389757291E-2</v>
      </c>
      <c r="P103" s="140">
        <f t="shared" si="81"/>
        <v>6.6622106266624029E-2</v>
      </c>
      <c r="Q103" s="140">
        <f t="shared" si="81"/>
        <v>6.6401081398822281E-2</v>
      </c>
      <c r="R103" s="140">
        <f t="shared" si="81"/>
        <v>6.772882201188786E-2</v>
      </c>
      <c r="S103" s="140">
        <f t="shared" si="81"/>
        <v>6.925834742313787E-2</v>
      </c>
      <c r="T103" s="140">
        <f t="shared" si="81"/>
        <v>7.1770789662839035E-2</v>
      </c>
      <c r="U103" s="140">
        <f t="shared" si="81"/>
        <v>7.3057710180230814E-2</v>
      </c>
      <c r="V103" s="140">
        <f t="shared" si="81"/>
        <v>6.5620351754111558E-2</v>
      </c>
      <c r="W103" s="140">
        <f t="shared" si="81"/>
        <v>5.5055408335756E-2</v>
      </c>
      <c r="X103" s="140">
        <f t="shared" si="81"/>
        <v>6.8660964031990082E-2</v>
      </c>
      <c r="Y103" s="140">
        <f t="shared" si="81"/>
        <v>7.1680694609556658E-2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0</v>
      </c>
      <c r="C104" s="140">
        <f t="shared" si="82"/>
        <v>0</v>
      </c>
      <c r="D104" s="140">
        <f t="shared" si="82"/>
        <v>0</v>
      </c>
      <c r="E104" s="140">
        <f t="shared" si="82"/>
        <v>0</v>
      </c>
      <c r="F104" s="140">
        <f t="shared" si="82"/>
        <v>9.3125719063968332E-6</v>
      </c>
      <c r="G104" s="140">
        <f t="shared" si="82"/>
        <v>5.5194514385661229E-5</v>
      </c>
      <c r="H104" s="140">
        <f t="shared" si="82"/>
        <v>1.3381991413030495E-3</v>
      </c>
      <c r="I104" s="140">
        <f t="shared" si="82"/>
        <v>2.9074992193722886E-3</v>
      </c>
      <c r="J104" s="140">
        <f t="shared" si="82"/>
        <v>2.1901676450500596E-3</v>
      </c>
      <c r="K104" s="140">
        <f t="shared" si="82"/>
        <v>2.0566038121117985E-3</v>
      </c>
      <c r="L104" s="140">
        <f t="shared" si="82"/>
        <v>2.5413729525822016E-3</v>
      </c>
      <c r="M104" s="140">
        <f t="shared" si="82"/>
        <v>2.6439562008546387E-3</v>
      </c>
      <c r="N104" s="140">
        <f t="shared" si="82"/>
        <v>2.5303073534577716E-3</v>
      </c>
      <c r="O104" s="140">
        <f t="shared" si="82"/>
        <v>2.2776350264079675E-3</v>
      </c>
      <c r="P104" s="140">
        <f t="shared" si="82"/>
        <v>2.2153336228155599E-3</v>
      </c>
      <c r="Q104" s="140">
        <f t="shared" si="82"/>
        <v>4.9813989353178394E-3</v>
      </c>
      <c r="R104" s="140">
        <f t="shared" si="82"/>
        <v>5.8799400204350401E-3</v>
      </c>
      <c r="S104" s="140">
        <f t="shared" si="82"/>
        <v>6.1685973092880497E-3</v>
      </c>
      <c r="T104" s="140">
        <f t="shared" si="82"/>
        <v>6.0456192438249727E-3</v>
      </c>
      <c r="U104" s="140">
        <f t="shared" si="82"/>
        <v>6.4525155557677537E-3</v>
      </c>
      <c r="V104" s="140">
        <f t="shared" si="82"/>
        <v>5.7956420947741635E-3</v>
      </c>
      <c r="W104" s="140">
        <f t="shared" si="82"/>
        <v>4.8625378189274208E-3</v>
      </c>
      <c r="X104" s="140">
        <f t="shared" si="82"/>
        <v>4.5436190830297372E-3</v>
      </c>
      <c r="Y104" s="140">
        <f t="shared" si="82"/>
        <v>4.7434488650795106E-3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3.1133110008465751E-2</v>
      </c>
      <c r="C105" s="124">
        <f t="shared" si="83"/>
        <v>3.1169602803180905E-2</v>
      </c>
      <c r="D105" s="124">
        <f t="shared" si="83"/>
        <v>3.2073158207177925E-2</v>
      </c>
      <c r="E105" s="124">
        <f t="shared" si="83"/>
        <v>5.838895819246049E-2</v>
      </c>
      <c r="F105" s="124">
        <f t="shared" si="83"/>
        <v>7.345682141552054E-2</v>
      </c>
      <c r="G105" s="124">
        <f t="shared" si="83"/>
        <v>7.7345853786504312E-2</v>
      </c>
      <c r="H105" s="124">
        <f t="shared" si="83"/>
        <v>7.9016598670615792E-2</v>
      </c>
      <c r="I105" s="124">
        <f t="shared" si="83"/>
        <v>8.2172606772891038E-2</v>
      </c>
      <c r="J105" s="124">
        <f t="shared" si="83"/>
        <v>8.2393664123424762E-2</v>
      </c>
      <c r="K105" s="124">
        <f t="shared" si="83"/>
        <v>7.7396124665415025E-2</v>
      </c>
      <c r="L105" s="124">
        <f t="shared" si="83"/>
        <v>8.3603345570757076E-2</v>
      </c>
      <c r="M105" s="124">
        <f t="shared" si="83"/>
        <v>8.7389044962631432E-2</v>
      </c>
      <c r="N105" s="124">
        <f t="shared" si="83"/>
        <v>8.1754645260665434E-2</v>
      </c>
      <c r="O105" s="124">
        <f t="shared" si="83"/>
        <v>8.1871597770254684E-2</v>
      </c>
      <c r="P105" s="124">
        <f t="shared" si="83"/>
        <v>8.2191187492138232E-2</v>
      </c>
      <c r="Q105" s="124">
        <f t="shared" si="83"/>
        <v>8.4698699744942291E-2</v>
      </c>
      <c r="R105" s="124">
        <f t="shared" si="83"/>
        <v>8.8409681069314308E-2</v>
      </c>
      <c r="S105" s="124">
        <f t="shared" si="83"/>
        <v>0.10205368617251676</v>
      </c>
      <c r="T105" s="124">
        <f t="shared" si="83"/>
        <v>0.11058063154726094</v>
      </c>
      <c r="U105" s="124">
        <f t="shared" si="83"/>
        <v>0.11347380667452822</v>
      </c>
      <c r="V105" s="124">
        <f t="shared" si="83"/>
        <v>3.243777962557419E-2</v>
      </c>
      <c r="W105" s="124">
        <f t="shared" si="83"/>
        <v>3.5149997739083415E-2</v>
      </c>
      <c r="X105" s="124">
        <f t="shared" si="83"/>
        <v>7.372779452537144E-2</v>
      </c>
      <c r="Y105" s="124">
        <f t="shared" si="83"/>
        <v>9.6646893250428592E-2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1.8361781948721703E-4</v>
      </c>
      <c r="C106" s="140">
        <f t="shared" si="84"/>
        <v>2.3525828186797795E-4</v>
      </c>
      <c r="D106" s="140">
        <f t="shared" si="84"/>
        <v>1.6952650099494982E-4</v>
      </c>
      <c r="E106" s="140">
        <f t="shared" si="84"/>
        <v>2.8581669104994724E-4</v>
      </c>
      <c r="F106" s="140">
        <f t="shared" si="84"/>
        <v>2.9769496773226036E-4</v>
      </c>
      <c r="G106" s="140">
        <f t="shared" si="84"/>
        <v>4.3449297699151436E-4</v>
      </c>
      <c r="H106" s="140">
        <f t="shared" si="84"/>
        <v>4.7944786426625078E-4</v>
      </c>
      <c r="I106" s="140">
        <f t="shared" si="84"/>
        <v>4.8563705838443734E-4</v>
      </c>
      <c r="J106" s="140">
        <f t="shared" si="84"/>
        <v>5.4318159184681266E-4</v>
      </c>
      <c r="K106" s="140">
        <f t="shared" si="84"/>
        <v>4.9779529858390466E-4</v>
      </c>
      <c r="L106" s="140">
        <f t="shared" si="84"/>
        <v>4.4345630714804507E-4</v>
      </c>
      <c r="M106" s="140">
        <f t="shared" si="84"/>
        <v>2.9775048977588782E-4</v>
      </c>
      <c r="N106" s="140">
        <f t="shared" si="84"/>
        <v>2.9120726701806616E-4</v>
      </c>
      <c r="O106" s="140">
        <f t="shared" si="84"/>
        <v>2.0616597213522479E-4</v>
      </c>
      <c r="P106" s="140">
        <f t="shared" si="84"/>
        <v>2.2010050903949178E-4</v>
      </c>
      <c r="Q106" s="140">
        <f t="shared" si="84"/>
        <v>2.1163579109840516E-4</v>
      </c>
      <c r="R106" s="140">
        <f t="shared" si="84"/>
        <v>1.592218789588026E-4</v>
      </c>
      <c r="S106" s="140">
        <f t="shared" si="84"/>
        <v>1.1318837018793257E-4</v>
      </c>
      <c r="T106" s="140">
        <f t="shared" si="84"/>
        <v>1.1862788817681194E-4</v>
      </c>
      <c r="U106" s="140">
        <f t="shared" si="84"/>
        <v>5.0700898593632676E-5</v>
      </c>
      <c r="V106" s="140">
        <f t="shared" si="84"/>
        <v>1.5263246519405708E-5</v>
      </c>
      <c r="W106" s="140">
        <f t="shared" si="84"/>
        <v>4.2424884814186437E-5</v>
      </c>
      <c r="X106" s="140">
        <f t="shared" si="84"/>
        <v>4.5288680973586904E-5</v>
      </c>
      <c r="Y106" s="140">
        <f t="shared" si="84"/>
        <v>4.6639711063145165E-5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1.8231466168150127E-2</v>
      </c>
      <c r="C107" s="140">
        <f t="shared" si="85"/>
        <v>1.8263348600294473E-2</v>
      </c>
      <c r="D107" s="140">
        <f t="shared" si="85"/>
        <v>1.8803315629062491E-2</v>
      </c>
      <c r="E107" s="140">
        <f t="shared" si="85"/>
        <v>3.5563463821730937E-2</v>
      </c>
      <c r="F107" s="140">
        <f t="shared" si="85"/>
        <v>4.4621872840449016E-2</v>
      </c>
      <c r="G107" s="140">
        <f t="shared" si="85"/>
        <v>4.8405609512800075E-2</v>
      </c>
      <c r="H107" s="140">
        <f t="shared" si="85"/>
        <v>4.8997833590228287E-2</v>
      </c>
      <c r="I107" s="140">
        <f t="shared" si="85"/>
        <v>4.9183736380718643E-2</v>
      </c>
      <c r="J107" s="140">
        <f t="shared" si="85"/>
        <v>4.7921122236784824E-2</v>
      </c>
      <c r="K107" s="140">
        <f t="shared" si="85"/>
        <v>4.3079304708655668E-2</v>
      </c>
      <c r="L107" s="140">
        <f t="shared" si="85"/>
        <v>4.4153611352114E-2</v>
      </c>
      <c r="M107" s="140">
        <f t="shared" si="85"/>
        <v>4.5264322621417337E-2</v>
      </c>
      <c r="N107" s="140">
        <f t="shared" si="85"/>
        <v>4.1370379920482071E-2</v>
      </c>
      <c r="O107" s="140">
        <f t="shared" si="85"/>
        <v>4.0153900889707633E-2</v>
      </c>
      <c r="P107" s="140">
        <f t="shared" si="85"/>
        <v>4.0145855997381748E-2</v>
      </c>
      <c r="Q107" s="140">
        <f t="shared" si="85"/>
        <v>4.2317319789787727E-2</v>
      </c>
      <c r="R107" s="140">
        <f t="shared" si="85"/>
        <v>4.4344776526744976E-2</v>
      </c>
      <c r="S107" s="140">
        <f t="shared" si="85"/>
        <v>4.9873172477282207E-2</v>
      </c>
      <c r="T107" s="140">
        <f t="shared" si="85"/>
        <v>5.1826291356229057E-2</v>
      </c>
      <c r="U107" s="140">
        <f t="shared" si="85"/>
        <v>5.1242044788211233E-2</v>
      </c>
      <c r="V107" s="140">
        <f t="shared" si="85"/>
        <v>1.7188227984662161E-2</v>
      </c>
      <c r="W107" s="140">
        <f t="shared" si="85"/>
        <v>1.8696148544689609E-2</v>
      </c>
      <c r="X107" s="140">
        <f t="shared" si="85"/>
        <v>3.8786765371517186E-2</v>
      </c>
      <c r="Y107" s="140">
        <f t="shared" si="85"/>
        <v>4.9472560931526487E-2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1.2718026020828405E-2</v>
      </c>
      <c r="C108" s="140">
        <f t="shared" si="86"/>
        <v>1.267099592101845E-2</v>
      </c>
      <c r="D108" s="140">
        <f t="shared" si="86"/>
        <v>1.3100316077120486E-2</v>
      </c>
      <c r="E108" s="140">
        <f t="shared" si="86"/>
        <v>2.2539677679679609E-2</v>
      </c>
      <c r="F108" s="140">
        <f t="shared" si="86"/>
        <v>2.8537253607339264E-2</v>
      </c>
      <c r="G108" s="140">
        <f t="shared" si="86"/>
        <v>2.8505751296712727E-2</v>
      </c>
      <c r="H108" s="140">
        <f t="shared" si="86"/>
        <v>2.9539317216121255E-2</v>
      </c>
      <c r="I108" s="140">
        <f t="shared" si="86"/>
        <v>3.2503233333787955E-2</v>
      </c>
      <c r="J108" s="140">
        <f t="shared" si="86"/>
        <v>3.3929360294793133E-2</v>
      </c>
      <c r="K108" s="140">
        <f t="shared" si="86"/>
        <v>3.3819024658175462E-2</v>
      </c>
      <c r="L108" s="140">
        <f t="shared" si="86"/>
        <v>3.9006277911495024E-2</v>
      </c>
      <c r="M108" s="140">
        <f t="shared" si="86"/>
        <v>4.1826971851438209E-2</v>
      </c>
      <c r="N108" s="140">
        <f t="shared" si="86"/>
        <v>4.0093058073165294E-2</v>
      </c>
      <c r="O108" s="140">
        <f t="shared" si="86"/>
        <v>4.1511530908411816E-2</v>
      </c>
      <c r="P108" s="140">
        <f t="shared" si="86"/>
        <v>4.1825230985716985E-2</v>
      </c>
      <c r="Q108" s="140">
        <f t="shared" si="86"/>
        <v>4.2169744164056146E-2</v>
      </c>
      <c r="R108" s="140">
        <f t="shared" si="86"/>
        <v>4.3905682663610529E-2</v>
      </c>
      <c r="S108" s="140">
        <f t="shared" si="86"/>
        <v>5.2067325325046619E-2</v>
      </c>
      <c r="T108" s="140">
        <f t="shared" si="86"/>
        <v>5.8635712302855074E-2</v>
      </c>
      <c r="U108" s="140">
        <f t="shared" si="86"/>
        <v>6.2181060987723358E-2</v>
      </c>
      <c r="V108" s="140">
        <f t="shared" si="86"/>
        <v>1.5234288394392623E-2</v>
      </c>
      <c r="W108" s="140">
        <f t="shared" si="86"/>
        <v>1.6411424309579616E-2</v>
      </c>
      <c r="X108" s="140">
        <f t="shared" si="86"/>
        <v>3.4895740472880681E-2</v>
      </c>
      <c r="Y108" s="140">
        <f t="shared" si="86"/>
        <v>4.7127692607838972E-2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0.60011353717010174</v>
      </c>
      <c r="C110" s="139">
        <f t="shared" si="88"/>
        <v>0.62303715008418115</v>
      </c>
      <c r="D110" s="139">
        <f t="shared" si="88"/>
        <v>0.65485458185505085</v>
      </c>
      <c r="E110" s="139">
        <f t="shared" si="88"/>
        <v>0.66347283076432162</v>
      </c>
      <c r="F110" s="139">
        <f t="shared" si="88"/>
        <v>0.68153939355099924</v>
      </c>
      <c r="G110" s="139">
        <f t="shared" si="88"/>
        <v>0.68544413724955711</v>
      </c>
      <c r="H110" s="139">
        <f t="shared" si="88"/>
        <v>0.68279033433496139</v>
      </c>
      <c r="I110" s="139">
        <f t="shared" si="88"/>
        <v>0.67824515905992244</v>
      </c>
      <c r="J110" s="139">
        <f t="shared" si="88"/>
        <v>0.68176173690222774</v>
      </c>
      <c r="K110" s="139">
        <f t="shared" si="88"/>
        <v>0.69840624614349212</v>
      </c>
      <c r="L110" s="139">
        <f t="shared" si="88"/>
        <v>0.70204897610039618</v>
      </c>
      <c r="M110" s="139">
        <f t="shared" si="88"/>
        <v>0.70075610281924683</v>
      </c>
      <c r="N110" s="139">
        <f t="shared" si="88"/>
        <v>0.6973012378978497</v>
      </c>
      <c r="O110" s="139">
        <f t="shared" si="88"/>
        <v>0.7196070275068589</v>
      </c>
      <c r="P110" s="139">
        <f t="shared" si="88"/>
        <v>0.72009887231105563</v>
      </c>
      <c r="Q110" s="139">
        <f t="shared" si="88"/>
        <v>0.73874241767044091</v>
      </c>
      <c r="R110" s="139">
        <f t="shared" si="88"/>
        <v>0.73568773610806848</v>
      </c>
      <c r="S110" s="139">
        <f t="shared" si="88"/>
        <v>0.73195055978115708</v>
      </c>
      <c r="T110" s="139">
        <f t="shared" si="88"/>
        <v>0.72535018728657019</v>
      </c>
      <c r="U110" s="139">
        <f t="shared" si="88"/>
        <v>0.73904707837167549</v>
      </c>
      <c r="V110" s="139">
        <f t="shared" si="88"/>
        <v>0.77417018810112781</v>
      </c>
      <c r="W110" s="139">
        <f t="shared" si="88"/>
        <v>0.77345537081972804</v>
      </c>
      <c r="X110" s="139">
        <f t="shared" si="88"/>
        <v>0.78045804772574523</v>
      </c>
      <c r="Y110" s="139">
        <f t="shared" si="88"/>
        <v>0.7853493999648905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4.6774972492385587E-3</v>
      </c>
      <c r="C111" s="140">
        <f t="shared" si="89"/>
        <v>5.3038281543570324E-3</v>
      </c>
      <c r="D111" s="140">
        <f t="shared" si="89"/>
        <v>6.1339829110354299E-3</v>
      </c>
      <c r="E111" s="140">
        <f t="shared" si="89"/>
        <v>7.0294401380907616E-3</v>
      </c>
      <c r="F111" s="140">
        <f t="shared" si="89"/>
        <v>8.2761315269962894E-3</v>
      </c>
      <c r="G111" s="140">
        <f t="shared" si="89"/>
        <v>1.0022719786819232E-2</v>
      </c>
      <c r="H111" s="140">
        <f t="shared" si="89"/>
        <v>1.1142524243867597E-2</v>
      </c>
      <c r="I111" s="140">
        <f t="shared" si="89"/>
        <v>1.2589236476753904E-2</v>
      </c>
      <c r="J111" s="140">
        <f t="shared" si="89"/>
        <v>1.5651985633294497E-2</v>
      </c>
      <c r="K111" s="140">
        <f t="shared" si="89"/>
        <v>1.8244939657141634E-2</v>
      </c>
      <c r="L111" s="140">
        <f t="shared" si="89"/>
        <v>1.7630046372418055E-2</v>
      </c>
      <c r="M111" s="140">
        <f t="shared" si="89"/>
        <v>1.7273887028243957E-2</v>
      </c>
      <c r="N111" s="140">
        <f t="shared" si="89"/>
        <v>1.7785210408553728E-2</v>
      </c>
      <c r="O111" s="140">
        <f t="shared" si="89"/>
        <v>1.739927979049892E-2</v>
      </c>
      <c r="P111" s="140">
        <f t="shared" si="89"/>
        <v>1.8307996473044631E-2</v>
      </c>
      <c r="Q111" s="140">
        <f t="shared" si="89"/>
        <v>1.7725590498438193E-2</v>
      </c>
      <c r="R111" s="140">
        <f t="shared" si="89"/>
        <v>1.4693821923782335E-2</v>
      </c>
      <c r="S111" s="140">
        <f t="shared" si="89"/>
        <v>1.497207563582937E-2</v>
      </c>
      <c r="T111" s="140">
        <f t="shared" si="89"/>
        <v>1.4866285098925991E-2</v>
      </c>
      <c r="U111" s="140">
        <f t="shared" si="89"/>
        <v>1.4510007411030519E-2</v>
      </c>
      <c r="V111" s="140">
        <f t="shared" si="89"/>
        <v>1.3160002110650822E-2</v>
      </c>
      <c r="W111" s="140">
        <f t="shared" si="89"/>
        <v>1.2556393034104763E-2</v>
      </c>
      <c r="X111" s="140">
        <f t="shared" si="89"/>
        <v>1.2252781995777152E-2</v>
      </c>
      <c r="Y111" s="140">
        <f t="shared" si="89"/>
        <v>1.3374795970148009E-2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0.59543603992086314</v>
      </c>
      <c r="C112" s="140">
        <f t="shared" si="90"/>
        <v>0.61773332192982411</v>
      </c>
      <c r="D112" s="140">
        <f t="shared" si="90"/>
        <v>0.64872059894401546</v>
      </c>
      <c r="E112" s="140">
        <f t="shared" si="90"/>
        <v>0.6564433906262308</v>
      </c>
      <c r="F112" s="140">
        <f t="shared" si="90"/>
        <v>0.67326326202400288</v>
      </c>
      <c r="G112" s="140">
        <f t="shared" si="90"/>
        <v>0.67542141746273787</v>
      </c>
      <c r="H112" s="140">
        <f t="shared" si="90"/>
        <v>0.67164781009109376</v>
      </c>
      <c r="I112" s="140">
        <f t="shared" si="90"/>
        <v>0.66565592258316864</v>
      </c>
      <c r="J112" s="140">
        <f t="shared" si="90"/>
        <v>0.66610975126893324</v>
      </c>
      <c r="K112" s="140">
        <f t="shared" si="90"/>
        <v>0.68016130648635054</v>
      </c>
      <c r="L112" s="140">
        <f t="shared" si="90"/>
        <v>0.68441892972797802</v>
      </c>
      <c r="M112" s="140">
        <f t="shared" si="90"/>
        <v>0.68348221579100299</v>
      </c>
      <c r="N112" s="140">
        <f t="shared" si="90"/>
        <v>0.67951602748929607</v>
      </c>
      <c r="O112" s="140">
        <f t="shared" si="90"/>
        <v>0.70220774771636008</v>
      </c>
      <c r="P112" s="140">
        <f t="shared" si="90"/>
        <v>0.70179087583801103</v>
      </c>
      <c r="Q112" s="140">
        <f t="shared" si="90"/>
        <v>0.72101682717200277</v>
      </c>
      <c r="R112" s="140">
        <f t="shared" si="90"/>
        <v>0.72099391418428627</v>
      </c>
      <c r="S112" s="140">
        <f t="shared" si="90"/>
        <v>0.71697848414532772</v>
      </c>
      <c r="T112" s="140">
        <f t="shared" si="90"/>
        <v>0.71048390218764423</v>
      </c>
      <c r="U112" s="140">
        <f t="shared" si="90"/>
        <v>0.72453707096064501</v>
      </c>
      <c r="V112" s="140">
        <f t="shared" si="90"/>
        <v>0.76101018599047698</v>
      </c>
      <c r="W112" s="140">
        <f t="shared" si="90"/>
        <v>0.76089897778562332</v>
      </c>
      <c r="X112" s="140">
        <f t="shared" si="90"/>
        <v>0.76820526572996806</v>
      </c>
      <c r="Y112" s="140">
        <f t="shared" si="90"/>
        <v>0.77197460399474249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0.39585285807594095</v>
      </c>
      <c r="C113" s="124">
        <f t="shared" si="91"/>
        <v>0.37321872655496924</v>
      </c>
      <c r="D113" s="124">
        <f t="shared" si="91"/>
        <v>0.34133450462329024</v>
      </c>
      <c r="E113" s="124">
        <f t="shared" si="91"/>
        <v>0.33253285494959151</v>
      </c>
      <c r="F113" s="124">
        <f t="shared" si="91"/>
        <v>0.31517937584591382</v>
      </c>
      <c r="G113" s="124">
        <f t="shared" si="91"/>
        <v>0.31096950288453207</v>
      </c>
      <c r="H113" s="124">
        <f t="shared" si="91"/>
        <v>0.31450231606908419</v>
      </c>
      <c r="I113" s="124">
        <f t="shared" si="91"/>
        <v>0.31934632966516624</v>
      </c>
      <c r="J113" s="124">
        <f t="shared" si="91"/>
        <v>0.31582487525678427</v>
      </c>
      <c r="K113" s="124">
        <f t="shared" si="91"/>
        <v>0.29835969872477058</v>
      </c>
      <c r="L113" s="124">
        <f t="shared" si="91"/>
        <v>0.29470143696524059</v>
      </c>
      <c r="M113" s="124">
        <f t="shared" si="91"/>
        <v>0.29505678351027181</v>
      </c>
      <c r="N113" s="124">
        <f t="shared" si="91"/>
        <v>0.29864237573610547</v>
      </c>
      <c r="O113" s="124">
        <f t="shared" si="91"/>
        <v>0.27694692440827284</v>
      </c>
      <c r="P113" s="124">
        <f t="shared" si="91"/>
        <v>0.27640049410231504</v>
      </c>
      <c r="Q113" s="124">
        <f t="shared" si="91"/>
        <v>0.257851149685832</v>
      </c>
      <c r="R113" s="124">
        <f t="shared" si="91"/>
        <v>0.25999455467739269</v>
      </c>
      <c r="S113" s="124">
        <f t="shared" si="91"/>
        <v>0.26371078844926438</v>
      </c>
      <c r="T113" s="124">
        <f t="shared" si="91"/>
        <v>0.27085675978356555</v>
      </c>
      <c r="U113" s="124">
        <f t="shared" si="91"/>
        <v>0.25680759289673893</v>
      </c>
      <c r="V113" s="124">
        <f t="shared" si="91"/>
        <v>0.22444723160976146</v>
      </c>
      <c r="W113" s="124">
        <f t="shared" si="91"/>
        <v>0.2253912131239787</v>
      </c>
      <c r="X113" s="124">
        <f t="shared" si="91"/>
        <v>0.21841967394156678</v>
      </c>
      <c r="Y113" s="124">
        <f t="shared" si="91"/>
        <v>0.21354120548291033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2.0199499546455779E-3</v>
      </c>
      <c r="C114" s="124">
        <f t="shared" si="92"/>
        <v>2.0215753921344224E-3</v>
      </c>
      <c r="D114" s="124">
        <f t="shared" si="92"/>
        <v>2.0837307025656608E-3</v>
      </c>
      <c r="E114" s="124">
        <f t="shared" si="92"/>
        <v>2.7783953863847336E-3</v>
      </c>
      <c r="F114" s="124">
        <f t="shared" si="92"/>
        <v>2.2788048118993188E-3</v>
      </c>
      <c r="G114" s="124">
        <f t="shared" si="92"/>
        <v>2.268515208186763E-3</v>
      </c>
      <c r="H114" s="124">
        <f t="shared" si="92"/>
        <v>1.8502864366305627E-3</v>
      </c>
      <c r="I114" s="124">
        <f t="shared" si="92"/>
        <v>1.7033795362000562E-3</v>
      </c>
      <c r="J114" s="124">
        <f t="shared" si="92"/>
        <v>1.8405371247096913E-3</v>
      </c>
      <c r="K114" s="124">
        <f t="shared" si="92"/>
        <v>2.4643053031142047E-3</v>
      </c>
      <c r="L114" s="124">
        <f t="shared" si="92"/>
        <v>2.3293137470353702E-3</v>
      </c>
      <c r="M114" s="124">
        <f t="shared" si="92"/>
        <v>3.3214818663858097E-3</v>
      </c>
      <c r="N114" s="124">
        <f t="shared" si="92"/>
        <v>3.2609556323255442E-3</v>
      </c>
      <c r="O114" s="124">
        <f t="shared" si="92"/>
        <v>2.9502605366973746E-3</v>
      </c>
      <c r="P114" s="124">
        <f t="shared" si="92"/>
        <v>2.9886052270571765E-3</v>
      </c>
      <c r="Q114" s="124">
        <f t="shared" si="92"/>
        <v>2.8488618462936283E-3</v>
      </c>
      <c r="R114" s="124">
        <f t="shared" si="92"/>
        <v>3.7184516456555457E-3</v>
      </c>
      <c r="S114" s="124">
        <f t="shared" si="92"/>
        <v>3.9225203733005507E-3</v>
      </c>
      <c r="T114" s="124">
        <f t="shared" si="92"/>
        <v>3.4169538309133962E-3</v>
      </c>
      <c r="U114" s="124">
        <f t="shared" si="92"/>
        <v>3.6374274353744383E-3</v>
      </c>
      <c r="V114" s="124">
        <f t="shared" si="92"/>
        <v>1.1176763373059689E-3</v>
      </c>
      <c r="W114" s="124">
        <f t="shared" si="92"/>
        <v>8.4969152556153187E-4</v>
      </c>
      <c r="X114" s="124">
        <f t="shared" si="92"/>
        <v>8.5539212308204625E-4</v>
      </c>
      <c r="Y114" s="124">
        <f t="shared" si="92"/>
        <v>8.5379263048800591E-4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1.917696404051065E-6</v>
      </c>
      <c r="C115" s="140">
        <f t="shared" si="93"/>
        <v>1.7817165089254059E-6</v>
      </c>
      <c r="D115" s="140">
        <f t="shared" si="93"/>
        <v>2.0579640103982627E-6</v>
      </c>
      <c r="E115" s="140">
        <f t="shared" si="93"/>
        <v>1.7319736998140583E-6</v>
      </c>
      <c r="F115" s="140">
        <f t="shared" si="93"/>
        <v>8.4926228261705836E-7</v>
      </c>
      <c r="G115" s="140">
        <f t="shared" si="93"/>
        <v>1.9501180549479813E-6</v>
      </c>
      <c r="H115" s="140">
        <f t="shared" si="93"/>
        <v>4.0349321941654829E-6</v>
      </c>
      <c r="I115" s="140">
        <f t="shared" si="93"/>
        <v>6.6415927035940974E-6</v>
      </c>
      <c r="J115" s="140">
        <f t="shared" si="93"/>
        <v>8.2572173709475195E-6</v>
      </c>
      <c r="K115" s="140">
        <f t="shared" si="93"/>
        <v>1.1377944436802633E-5</v>
      </c>
      <c r="L115" s="140">
        <f t="shared" si="93"/>
        <v>8.9348056645264308E-6</v>
      </c>
      <c r="M115" s="140">
        <f t="shared" si="93"/>
        <v>8.1592743188398545E-6</v>
      </c>
      <c r="N115" s="140">
        <f t="shared" si="93"/>
        <v>6.7084687062505566E-6</v>
      </c>
      <c r="O115" s="140">
        <f t="shared" si="93"/>
        <v>3.9860690813413981E-6</v>
      </c>
      <c r="P115" s="140">
        <f t="shared" si="93"/>
        <v>2.3934816104899442E-6</v>
      </c>
      <c r="Q115" s="140">
        <f t="shared" si="93"/>
        <v>2.1550956291024771E-6</v>
      </c>
      <c r="R115" s="140">
        <f t="shared" ref="R115:V116" si="94">IF(R23=0,0,R23/R$17)</f>
        <v>1.9324121308432044E-6</v>
      </c>
      <c r="S115" s="140">
        <f t="shared" si="94"/>
        <v>1.9370435392558619E-6</v>
      </c>
      <c r="T115" s="140">
        <f t="shared" si="94"/>
        <v>9.7775547811347295E-6</v>
      </c>
      <c r="U115" s="140">
        <f t="shared" si="94"/>
        <v>7.8343258459503364E-6</v>
      </c>
      <c r="V115" s="140">
        <f t="shared" si="94"/>
        <v>5.6719092705833641E-6</v>
      </c>
      <c r="W115" s="140">
        <f t="shared" ref="W115:Y120" si="95">IF(W23=0,0,W23/W$17)</f>
        <v>7.1175392945801088E-6</v>
      </c>
      <c r="X115" s="140">
        <f t="shared" si="95"/>
        <v>1.6926977239687783E-6</v>
      </c>
      <c r="Y115" s="140">
        <f t="shared" si="95"/>
        <v>4.3027791275487715E-8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3.4248838511962099E-4</v>
      </c>
      <c r="C116" s="140">
        <f t="shared" si="96"/>
        <v>3.3063034630065389E-4</v>
      </c>
      <c r="D116" s="140">
        <f t="shared" si="96"/>
        <v>3.6315564614487278E-4</v>
      </c>
      <c r="E116" s="140">
        <f t="shared" si="96"/>
        <v>3.9687024107970851E-4</v>
      </c>
      <c r="F116" s="140">
        <f t="shared" si="96"/>
        <v>4.3332605468322127E-4</v>
      </c>
      <c r="G116" s="140">
        <f t="shared" si="96"/>
        <v>4.5578133451806033E-4</v>
      </c>
      <c r="H116" s="140">
        <f t="shared" si="96"/>
        <v>4.1694970757256305E-4</v>
      </c>
      <c r="I116" s="140">
        <f t="shared" si="96"/>
        <v>4.0219703031914961E-4</v>
      </c>
      <c r="J116" s="140">
        <f t="shared" si="96"/>
        <v>3.4406968921524462E-4</v>
      </c>
      <c r="K116" s="140">
        <f t="shared" si="96"/>
        <v>3.2637330006882859E-4</v>
      </c>
      <c r="L116" s="140">
        <f t="shared" si="96"/>
        <v>3.6128788878036995E-4</v>
      </c>
      <c r="M116" s="140">
        <f t="shared" si="96"/>
        <v>2.9426807310271939E-4</v>
      </c>
      <c r="N116" s="140">
        <f t="shared" si="96"/>
        <v>2.378946873321975E-4</v>
      </c>
      <c r="O116" s="140">
        <f t="shared" si="96"/>
        <v>2.20898164122684E-4</v>
      </c>
      <c r="P116" s="140">
        <f t="shared" si="96"/>
        <v>2.5740604498358799E-4</v>
      </c>
      <c r="Q116" s="140">
        <f t="shared" si="96"/>
        <v>2.419030432827537E-4</v>
      </c>
      <c r="R116" s="140">
        <f t="shared" si="94"/>
        <v>2.8229157230638929E-4</v>
      </c>
      <c r="S116" s="140">
        <f t="shared" si="94"/>
        <v>3.2500181290976229E-4</v>
      </c>
      <c r="T116" s="140">
        <f t="shared" si="94"/>
        <v>3.680289748785034E-4</v>
      </c>
      <c r="U116" s="140">
        <f t="shared" si="94"/>
        <v>2.9858637603885624E-4</v>
      </c>
      <c r="V116" s="140">
        <f t="shared" si="94"/>
        <v>2.3845722119025732E-4</v>
      </c>
      <c r="W116" s="140">
        <f t="shared" si="95"/>
        <v>2.6875617174930227E-4</v>
      </c>
      <c r="X116" s="140">
        <f t="shared" si="95"/>
        <v>2.6693269882205529E-4</v>
      </c>
      <c r="Y116" s="140">
        <f t="shared" si="95"/>
        <v>2.756154229660901E-4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1.675543873121906E-3</v>
      </c>
      <c r="C117" s="140">
        <f t="shared" si="97"/>
        <v>1.6891633293248435E-3</v>
      </c>
      <c r="D117" s="140">
        <f t="shared" si="97"/>
        <v>1.7185170924103894E-3</v>
      </c>
      <c r="E117" s="140">
        <f t="shared" si="97"/>
        <v>2.3797931716052108E-3</v>
      </c>
      <c r="F117" s="140">
        <f t="shared" si="97"/>
        <v>1.8446294949334802E-3</v>
      </c>
      <c r="G117" s="140">
        <f t="shared" si="97"/>
        <v>1.8107837556137546E-3</v>
      </c>
      <c r="H117" s="140">
        <f t="shared" si="97"/>
        <v>1.429301796863834E-3</v>
      </c>
      <c r="I117" s="140">
        <f t="shared" si="97"/>
        <v>1.2945409131773123E-3</v>
      </c>
      <c r="J117" s="140">
        <f t="shared" si="97"/>
        <v>1.4882102181234991E-3</v>
      </c>
      <c r="K117" s="140">
        <f t="shared" si="97"/>
        <v>2.1265540586085734E-3</v>
      </c>
      <c r="L117" s="140">
        <f t="shared" si="97"/>
        <v>1.9590910525904737E-3</v>
      </c>
      <c r="M117" s="140">
        <f t="shared" si="97"/>
        <v>3.0190545189642507E-3</v>
      </c>
      <c r="N117" s="140">
        <f t="shared" si="97"/>
        <v>3.0163524762870961E-3</v>
      </c>
      <c r="O117" s="140">
        <f t="shared" si="97"/>
        <v>2.7253763034933496E-3</v>
      </c>
      <c r="P117" s="140">
        <f t="shared" si="97"/>
        <v>2.7288057004630985E-3</v>
      </c>
      <c r="Q117" s="140">
        <f t="shared" si="97"/>
        <v>2.6048037073817722E-3</v>
      </c>
      <c r="R117" s="140">
        <f t="shared" ref="R117:V120" si="98">IF(R25=0,0,R25/R$17)</f>
        <v>3.4342276612183129E-3</v>
      </c>
      <c r="S117" s="140">
        <f t="shared" si="98"/>
        <v>3.5955815168515325E-3</v>
      </c>
      <c r="T117" s="140">
        <f t="shared" si="98"/>
        <v>3.0391473012537579E-3</v>
      </c>
      <c r="U117" s="140">
        <f t="shared" si="98"/>
        <v>3.331006733489632E-3</v>
      </c>
      <c r="V117" s="140">
        <f t="shared" si="98"/>
        <v>8.7354720684512828E-4</v>
      </c>
      <c r="W117" s="140">
        <f t="shared" si="95"/>
        <v>5.7381781451764952E-4</v>
      </c>
      <c r="X117" s="140">
        <f t="shared" si="95"/>
        <v>5.8676672653602227E-4</v>
      </c>
      <c r="Y117" s="140">
        <f t="shared" si="95"/>
        <v>5.7813417973064042E-4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2.013654799311771E-3</v>
      </c>
      <c r="C118" s="124">
        <f t="shared" si="99"/>
        <v>1.7225479687152426E-3</v>
      </c>
      <c r="D118" s="124">
        <f t="shared" si="99"/>
        <v>1.7271828190931827E-3</v>
      </c>
      <c r="E118" s="124">
        <f t="shared" si="99"/>
        <v>1.2159188997022006E-3</v>
      </c>
      <c r="F118" s="124">
        <f t="shared" si="99"/>
        <v>1.0024257911876401E-3</v>
      </c>
      <c r="G118" s="124">
        <f t="shared" si="99"/>
        <v>1.3178446577240361E-3</v>
      </c>
      <c r="H118" s="124">
        <f t="shared" si="99"/>
        <v>8.5706315932382402E-4</v>
      </c>
      <c r="I118" s="124">
        <f t="shared" si="99"/>
        <v>7.0513173871111301E-4</v>
      </c>
      <c r="J118" s="124">
        <f t="shared" si="99"/>
        <v>5.7285071627841935E-4</v>
      </c>
      <c r="K118" s="124">
        <f t="shared" si="99"/>
        <v>7.6974982862304975E-4</v>
      </c>
      <c r="L118" s="124">
        <f t="shared" si="99"/>
        <v>9.2027318732791174E-4</v>
      </c>
      <c r="M118" s="124">
        <f t="shared" si="99"/>
        <v>8.6563180409551658E-4</v>
      </c>
      <c r="N118" s="124">
        <f t="shared" si="99"/>
        <v>7.9543073371921274E-4</v>
      </c>
      <c r="O118" s="124">
        <f t="shared" si="99"/>
        <v>4.9578754817091451E-4</v>
      </c>
      <c r="P118" s="124">
        <f t="shared" si="99"/>
        <v>5.1202835957204161E-4</v>
      </c>
      <c r="Q118" s="124">
        <f t="shared" si="99"/>
        <v>5.5757079743348769E-4</v>
      </c>
      <c r="R118" s="124">
        <f t="shared" si="98"/>
        <v>5.9925756888316395E-4</v>
      </c>
      <c r="S118" s="124">
        <f t="shared" si="98"/>
        <v>4.1613139627795297E-4</v>
      </c>
      <c r="T118" s="124">
        <f t="shared" si="98"/>
        <v>3.7609909895085773E-4</v>
      </c>
      <c r="U118" s="124">
        <f t="shared" si="98"/>
        <v>5.0790129621110301E-4</v>
      </c>
      <c r="V118" s="124">
        <f t="shared" si="98"/>
        <v>2.6490395180484597E-4</v>
      </c>
      <c r="W118" s="124">
        <f t="shared" si="95"/>
        <v>3.0372453073181007E-4</v>
      </c>
      <c r="X118" s="124">
        <f t="shared" si="95"/>
        <v>2.6688620960602002E-4</v>
      </c>
      <c r="Y118" s="124">
        <f t="shared" si="95"/>
        <v>2.5560192171115748E-4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0</v>
      </c>
      <c r="C119" s="140">
        <f t="shared" si="100"/>
        <v>0</v>
      </c>
      <c r="D119" s="140">
        <f t="shared" si="100"/>
        <v>0</v>
      </c>
      <c r="E119" s="140">
        <f t="shared" si="100"/>
        <v>0</v>
      </c>
      <c r="F119" s="140">
        <f t="shared" si="100"/>
        <v>0</v>
      </c>
      <c r="G119" s="140">
        <f t="shared" si="100"/>
        <v>0</v>
      </c>
      <c r="H119" s="140">
        <f t="shared" si="100"/>
        <v>0</v>
      </c>
      <c r="I119" s="140">
        <f t="shared" si="100"/>
        <v>0</v>
      </c>
      <c r="J119" s="140">
        <f t="shared" si="100"/>
        <v>0</v>
      </c>
      <c r="K119" s="140">
        <f t="shared" si="100"/>
        <v>0</v>
      </c>
      <c r="L119" s="140">
        <f t="shared" si="100"/>
        <v>0</v>
      </c>
      <c r="M119" s="140">
        <f t="shared" si="100"/>
        <v>0</v>
      </c>
      <c r="N119" s="140">
        <f t="shared" si="100"/>
        <v>0</v>
      </c>
      <c r="O119" s="140">
        <f t="shared" si="100"/>
        <v>0</v>
      </c>
      <c r="P119" s="140">
        <f t="shared" si="100"/>
        <v>0</v>
      </c>
      <c r="Q119" s="140">
        <f t="shared" si="100"/>
        <v>0</v>
      </c>
      <c r="R119" s="140">
        <f t="shared" si="98"/>
        <v>0</v>
      </c>
      <c r="S119" s="140">
        <f t="shared" si="98"/>
        <v>0</v>
      </c>
      <c r="T119" s="140">
        <f t="shared" si="98"/>
        <v>0</v>
      </c>
      <c r="U119" s="140">
        <f t="shared" si="98"/>
        <v>0</v>
      </c>
      <c r="V119" s="140">
        <f t="shared" si="98"/>
        <v>0</v>
      </c>
      <c r="W119" s="140">
        <f t="shared" si="95"/>
        <v>0</v>
      </c>
      <c r="X119" s="140">
        <f t="shared" si="95"/>
        <v>0</v>
      </c>
      <c r="Y119" s="140">
        <f t="shared" si="95"/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2.013654799311771E-3</v>
      </c>
      <c r="C120" s="127">
        <f t="shared" si="101"/>
        <v>1.7225479687152426E-3</v>
      </c>
      <c r="D120" s="127">
        <f t="shared" si="101"/>
        <v>1.7271828190931827E-3</v>
      </c>
      <c r="E120" s="127">
        <f t="shared" si="101"/>
        <v>1.2159188997022006E-3</v>
      </c>
      <c r="F120" s="127">
        <f t="shared" si="101"/>
        <v>1.0024257911876401E-3</v>
      </c>
      <c r="G120" s="127">
        <f t="shared" si="101"/>
        <v>1.3178446577240361E-3</v>
      </c>
      <c r="H120" s="127">
        <f t="shared" si="101"/>
        <v>8.5706315932382402E-4</v>
      </c>
      <c r="I120" s="127">
        <f t="shared" si="101"/>
        <v>7.0513173871111301E-4</v>
      </c>
      <c r="J120" s="127">
        <f t="shared" si="101"/>
        <v>5.7285071627841935E-4</v>
      </c>
      <c r="K120" s="127">
        <f t="shared" si="101"/>
        <v>7.6974982862304975E-4</v>
      </c>
      <c r="L120" s="127">
        <f t="shared" si="101"/>
        <v>9.2027318732791174E-4</v>
      </c>
      <c r="M120" s="127">
        <f t="shared" si="101"/>
        <v>8.6563180409551658E-4</v>
      </c>
      <c r="N120" s="127">
        <f t="shared" si="101"/>
        <v>7.9543073371921274E-4</v>
      </c>
      <c r="O120" s="127">
        <f t="shared" si="101"/>
        <v>4.9578754817091451E-4</v>
      </c>
      <c r="P120" s="127">
        <f t="shared" si="101"/>
        <v>5.1202835957204161E-4</v>
      </c>
      <c r="Q120" s="127">
        <f t="shared" si="101"/>
        <v>5.5757079743348769E-4</v>
      </c>
      <c r="R120" s="127">
        <f t="shared" si="98"/>
        <v>5.9925756888316395E-4</v>
      </c>
      <c r="S120" s="127">
        <f t="shared" si="98"/>
        <v>4.1613139627795297E-4</v>
      </c>
      <c r="T120" s="127">
        <f t="shared" si="98"/>
        <v>3.7609909895085773E-4</v>
      </c>
      <c r="U120" s="127">
        <f t="shared" si="98"/>
        <v>5.0790129621110301E-4</v>
      </c>
      <c r="V120" s="127">
        <f t="shared" si="98"/>
        <v>2.6490395180484597E-4</v>
      </c>
      <c r="W120" s="127">
        <f t="shared" si="95"/>
        <v>3.0372453073181007E-4</v>
      </c>
      <c r="X120" s="127">
        <f t="shared" si="95"/>
        <v>2.6688620960602002E-4</v>
      </c>
      <c r="Y120" s="127">
        <f t="shared" si="95"/>
        <v>2.5560192171115748E-4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0</v>
      </c>
      <c r="C121" s="31">
        <f t="shared" si="102"/>
        <v>0</v>
      </c>
      <c r="D121" s="31">
        <f t="shared" si="102"/>
        <v>0</v>
      </c>
      <c r="E121" s="31">
        <f t="shared" si="102"/>
        <v>0</v>
      </c>
      <c r="F121" s="31">
        <f t="shared" si="102"/>
        <v>0</v>
      </c>
      <c r="G121" s="31">
        <f t="shared" si="102"/>
        <v>0</v>
      </c>
      <c r="H121" s="31">
        <f t="shared" si="102"/>
        <v>0</v>
      </c>
      <c r="I121" s="31">
        <f t="shared" si="102"/>
        <v>0</v>
      </c>
      <c r="J121" s="31">
        <f t="shared" si="102"/>
        <v>0</v>
      </c>
      <c r="K121" s="31">
        <f t="shared" si="102"/>
        <v>0</v>
      </c>
      <c r="L121" s="31">
        <f t="shared" si="102"/>
        <v>0</v>
      </c>
      <c r="M121" s="31">
        <f t="shared" si="102"/>
        <v>0</v>
      </c>
      <c r="N121" s="31">
        <f t="shared" si="102"/>
        <v>0</v>
      </c>
      <c r="O121" s="31">
        <f t="shared" si="102"/>
        <v>0</v>
      </c>
      <c r="P121" s="31">
        <f t="shared" si="102"/>
        <v>0</v>
      </c>
      <c r="Q121" s="31">
        <f t="shared" si="102"/>
        <v>0</v>
      </c>
      <c r="R121" s="31">
        <f t="shared" si="102"/>
        <v>0</v>
      </c>
      <c r="S121" s="31">
        <f t="shared" si="102"/>
        <v>0</v>
      </c>
      <c r="T121" s="31">
        <f t="shared" si="102"/>
        <v>0</v>
      </c>
      <c r="U121" s="31">
        <f t="shared" si="102"/>
        <v>0</v>
      </c>
      <c r="V121" s="31">
        <f t="shared" si="102"/>
        <v>0</v>
      </c>
      <c r="W121" s="31">
        <f t="shared" si="102"/>
        <v>0</v>
      </c>
      <c r="X121" s="31">
        <f t="shared" si="102"/>
        <v>0</v>
      </c>
      <c r="Y121" s="31">
        <f t="shared" si="102"/>
        <v>0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</v>
      </c>
      <c r="C122" s="140">
        <f t="shared" si="103"/>
        <v>0</v>
      </c>
      <c r="D122" s="140">
        <f t="shared" si="103"/>
        <v>0</v>
      </c>
      <c r="E122" s="140">
        <f t="shared" si="103"/>
        <v>0</v>
      </c>
      <c r="F122" s="140">
        <f t="shared" si="103"/>
        <v>0</v>
      </c>
      <c r="G122" s="140">
        <f t="shared" si="103"/>
        <v>0</v>
      </c>
      <c r="H122" s="140">
        <f t="shared" si="103"/>
        <v>0</v>
      </c>
      <c r="I122" s="140">
        <f t="shared" si="103"/>
        <v>0</v>
      </c>
      <c r="J122" s="140">
        <f t="shared" si="103"/>
        <v>0</v>
      </c>
      <c r="K122" s="140">
        <f t="shared" si="103"/>
        <v>0</v>
      </c>
      <c r="L122" s="140">
        <f t="shared" si="103"/>
        <v>0</v>
      </c>
      <c r="M122" s="140">
        <f t="shared" si="103"/>
        <v>0</v>
      </c>
      <c r="N122" s="140">
        <f t="shared" si="103"/>
        <v>0</v>
      </c>
      <c r="O122" s="140">
        <f t="shared" si="103"/>
        <v>0</v>
      </c>
      <c r="P122" s="140">
        <f t="shared" si="103"/>
        <v>0</v>
      </c>
      <c r="Q122" s="140">
        <f t="shared" si="103"/>
        <v>0</v>
      </c>
      <c r="R122" s="140">
        <f t="shared" si="103"/>
        <v>0</v>
      </c>
      <c r="S122" s="140">
        <f t="shared" si="103"/>
        <v>0</v>
      </c>
      <c r="T122" s="140">
        <f t="shared" si="103"/>
        <v>0</v>
      </c>
      <c r="U122" s="140">
        <f t="shared" si="103"/>
        <v>0</v>
      </c>
      <c r="V122" s="140">
        <f t="shared" si="103"/>
        <v>0</v>
      </c>
      <c r="W122" s="140">
        <f t="shared" si="103"/>
        <v>0</v>
      </c>
      <c r="X122" s="140">
        <f t="shared" si="103"/>
        <v>0</v>
      </c>
      <c r="Y122" s="140">
        <f t="shared" si="103"/>
        <v>0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</v>
      </c>
      <c r="C123" s="127">
        <f t="shared" si="104"/>
        <v>0</v>
      </c>
      <c r="D123" s="127">
        <f t="shared" si="104"/>
        <v>0</v>
      </c>
      <c r="E123" s="127">
        <f t="shared" si="104"/>
        <v>0</v>
      </c>
      <c r="F123" s="127">
        <f t="shared" si="104"/>
        <v>0</v>
      </c>
      <c r="G123" s="127">
        <f t="shared" si="104"/>
        <v>0</v>
      </c>
      <c r="H123" s="127">
        <f t="shared" si="104"/>
        <v>0</v>
      </c>
      <c r="I123" s="127">
        <f t="shared" si="104"/>
        <v>0</v>
      </c>
      <c r="J123" s="127">
        <f t="shared" si="104"/>
        <v>0</v>
      </c>
      <c r="K123" s="127">
        <f t="shared" si="104"/>
        <v>0</v>
      </c>
      <c r="L123" s="127">
        <f t="shared" si="104"/>
        <v>0</v>
      </c>
      <c r="M123" s="127">
        <f t="shared" si="104"/>
        <v>0</v>
      </c>
      <c r="N123" s="127">
        <f t="shared" si="104"/>
        <v>0</v>
      </c>
      <c r="O123" s="127">
        <f t="shared" si="104"/>
        <v>0</v>
      </c>
      <c r="P123" s="127">
        <f t="shared" si="104"/>
        <v>0</v>
      </c>
      <c r="Q123" s="127">
        <f t="shared" si="104"/>
        <v>0</v>
      </c>
      <c r="R123" s="127">
        <f t="shared" si="104"/>
        <v>0</v>
      </c>
      <c r="S123" s="127">
        <f t="shared" si="104"/>
        <v>0</v>
      </c>
      <c r="T123" s="127">
        <f t="shared" si="104"/>
        <v>0</v>
      </c>
      <c r="U123" s="127">
        <f t="shared" si="104"/>
        <v>0</v>
      </c>
      <c r="V123" s="127">
        <f t="shared" si="104"/>
        <v>0</v>
      </c>
      <c r="W123" s="127">
        <f t="shared" si="104"/>
        <v>0</v>
      </c>
      <c r="X123" s="127">
        <f t="shared" si="104"/>
        <v>0</v>
      </c>
      <c r="Y123" s="127">
        <f t="shared" si="104"/>
        <v>0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0.89569192589351532</v>
      </c>
      <c r="C127" s="139">
        <f t="shared" ref="C127:Y127" si="107">IF(C35=0,0,C35/C$34)</f>
        <v>0.89773838213834545</v>
      </c>
      <c r="D127" s="139">
        <f t="shared" si="107"/>
        <v>0.90413440182665916</v>
      </c>
      <c r="E127" s="139">
        <f t="shared" si="107"/>
        <v>0.89755392366198705</v>
      </c>
      <c r="F127" s="139">
        <f t="shared" si="107"/>
        <v>0.87633606536732478</v>
      </c>
      <c r="G127" s="139">
        <f t="shared" si="107"/>
        <v>0.87660250024264774</v>
      </c>
      <c r="H127" s="139">
        <f t="shared" si="107"/>
        <v>0.87601032641296861</v>
      </c>
      <c r="I127" s="139">
        <f t="shared" si="107"/>
        <v>0.87486111638265285</v>
      </c>
      <c r="J127" s="139">
        <f t="shared" si="107"/>
        <v>0.86780644410790975</v>
      </c>
      <c r="K127" s="139">
        <f t="shared" si="107"/>
        <v>0.87669327700178401</v>
      </c>
      <c r="L127" s="139">
        <f t="shared" si="107"/>
        <v>0.87763295726523827</v>
      </c>
      <c r="M127" s="139">
        <f t="shared" si="107"/>
        <v>0.87771293355224922</v>
      </c>
      <c r="N127" s="139">
        <f t="shared" si="107"/>
        <v>0.88283488913050823</v>
      </c>
      <c r="O127" s="139">
        <f t="shared" si="107"/>
        <v>0.88544938975909837</v>
      </c>
      <c r="P127" s="139">
        <f t="shared" si="107"/>
        <v>0.88702306110636397</v>
      </c>
      <c r="Q127" s="139">
        <f t="shared" si="107"/>
        <v>0.88354858020182292</v>
      </c>
      <c r="R127" s="139">
        <f t="shared" si="107"/>
        <v>0.88324540095771775</v>
      </c>
      <c r="S127" s="139">
        <f t="shared" si="107"/>
        <v>0.87537114398536497</v>
      </c>
      <c r="T127" s="139">
        <f t="shared" si="107"/>
        <v>0.86967659221959093</v>
      </c>
      <c r="U127" s="139">
        <f t="shared" si="107"/>
        <v>0.87035749825199449</v>
      </c>
      <c r="V127" s="139">
        <f t="shared" si="107"/>
        <v>0.93090561396360616</v>
      </c>
      <c r="W127" s="139">
        <f t="shared" si="107"/>
        <v>0.92974030027775223</v>
      </c>
      <c r="X127" s="139">
        <f t="shared" si="107"/>
        <v>0.9092994807995769</v>
      </c>
      <c r="Y127" s="139">
        <f t="shared" si="107"/>
        <v>0.8970735791823754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1.8032176480516502E-2</v>
      </c>
      <c r="C128" s="140">
        <f t="shared" ref="C128:Y128" si="108">IF(C36=0,0,C36/C$34)</f>
        <v>1.6411684423726595E-2</v>
      </c>
      <c r="D128" s="140">
        <f t="shared" si="108"/>
        <v>1.5594750987303804E-2</v>
      </c>
      <c r="E128" s="140">
        <f t="shared" si="108"/>
        <v>1.3933274007612078E-2</v>
      </c>
      <c r="F128" s="140">
        <f t="shared" si="108"/>
        <v>1.3293934654140234E-2</v>
      </c>
      <c r="G128" s="140">
        <f t="shared" si="108"/>
        <v>1.3248564310097438E-2</v>
      </c>
      <c r="H128" s="140">
        <f t="shared" si="108"/>
        <v>1.2651122849543677E-2</v>
      </c>
      <c r="I128" s="140">
        <f t="shared" si="108"/>
        <v>1.2575016624101435E-2</v>
      </c>
      <c r="J128" s="140">
        <f t="shared" si="108"/>
        <v>1.2770488830340031E-2</v>
      </c>
      <c r="K128" s="140">
        <f t="shared" si="108"/>
        <v>1.2790752295784745E-2</v>
      </c>
      <c r="L128" s="140">
        <f t="shared" si="108"/>
        <v>1.3655878775487393E-2</v>
      </c>
      <c r="M128" s="140">
        <f t="shared" si="108"/>
        <v>1.3753988079763758E-2</v>
      </c>
      <c r="N128" s="140">
        <f t="shared" si="108"/>
        <v>1.4374106003303624E-2</v>
      </c>
      <c r="O128" s="140">
        <f t="shared" si="108"/>
        <v>1.4345143525329418E-2</v>
      </c>
      <c r="P128" s="140">
        <f t="shared" si="108"/>
        <v>1.4238956269355599E-2</v>
      </c>
      <c r="Q128" s="140">
        <f t="shared" si="108"/>
        <v>1.4390478983812904E-2</v>
      </c>
      <c r="R128" s="140">
        <f t="shared" si="108"/>
        <v>1.3900571854767022E-2</v>
      </c>
      <c r="S128" s="140">
        <f t="shared" si="108"/>
        <v>1.2564218542488381E-2</v>
      </c>
      <c r="T128" s="140">
        <f t="shared" si="108"/>
        <v>1.1618814165402457E-2</v>
      </c>
      <c r="U128" s="140">
        <f t="shared" si="108"/>
        <v>1.1936244981940415E-2</v>
      </c>
      <c r="V128" s="140">
        <f t="shared" si="108"/>
        <v>1.2153902466694112E-2</v>
      </c>
      <c r="W128" s="140">
        <f t="shared" si="108"/>
        <v>1.2021585323799768E-2</v>
      </c>
      <c r="X128" s="140">
        <f t="shared" si="108"/>
        <v>1.1605682418377367E-2</v>
      </c>
      <c r="Y128" s="140">
        <f t="shared" si="108"/>
        <v>1.1764573465961116E-2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0.75818041910682688</v>
      </c>
      <c r="C129" s="140">
        <f t="shared" ref="C129:Y129" si="109">IF(C37=0,0,C37/C$34)</f>
        <v>0.75528290549420685</v>
      </c>
      <c r="D129" s="140">
        <f t="shared" si="109"/>
        <v>0.77221546095599203</v>
      </c>
      <c r="E129" s="140">
        <f t="shared" si="109"/>
        <v>0.78786924668314962</v>
      </c>
      <c r="F129" s="140">
        <f t="shared" si="109"/>
        <v>0.77843553283289568</v>
      </c>
      <c r="G129" s="140">
        <f t="shared" si="109"/>
        <v>0.78296506118226794</v>
      </c>
      <c r="H129" s="140">
        <f t="shared" si="109"/>
        <v>0.7812804090917328</v>
      </c>
      <c r="I129" s="140">
        <f t="shared" si="109"/>
        <v>0.78324742529498625</v>
      </c>
      <c r="J129" s="140">
        <f t="shared" si="109"/>
        <v>0.77651300393310685</v>
      </c>
      <c r="K129" s="140">
        <f t="shared" si="109"/>
        <v>0.78487616932101556</v>
      </c>
      <c r="L129" s="140">
        <f t="shared" si="109"/>
        <v>0.77720328130147387</v>
      </c>
      <c r="M129" s="140">
        <f t="shared" si="109"/>
        <v>0.78152408159191056</v>
      </c>
      <c r="N129" s="140">
        <f t="shared" si="109"/>
        <v>0.78614918048350713</v>
      </c>
      <c r="O129" s="140">
        <f t="shared" si="109"/>
        <v>0.78629418016180364</v>
      </c>
      <c r="P129" s="140">
        <f t="shared" si="109"/>
        <v>0.78711642578081331</v>
      </c>
      <c r="Q129" s="140">
        <f t="shared" si="109"/>
        <v>0.7869580416683617</v>
      </c>
      <c r="R129" s="140">
        <f t="shared" si="109"/>
        <v>0.79191507166062702</v>
      </c>
      <c r="S129" s="140">
        <f t="shared" si="109"/>
        <v>0.7853818423247777</v>
      </c>
      <c r="T129" s="140">
        <f t="shared" si="109"/>
        <v>0.78018557136955102</v>
      </c>
      <c r="U129" s="140">
        <f t="shared" si="109"/>
        <v>0.7818891184863791</v>
      </c>
      <c r="V129" s="140">
        <f t="shared" si="109"/>
        <v>0.85223843110074815</v>
      </c>
      <c r="W129" s="140">
        <f t="shared" si="109"/>
        <v>0.85582617041831222</v>
      </c>
      <c r="X129" s="140">
        <f t="shared" si="109"/>
        <v>0.83234854354047449</v>
      </c>
      <c r="Y129" s="140">
        <f t="shared" si="109"/>
        <v>0.8232780941892982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0.11947933030617185</v>
      </c>
      <c r="C130" s="140">
        <f t="shared" ref="C130:Y130" si="110">IF(C38=0,0,C38/C$34)</f>
        <v>0.12604379222041195</v>
      </c>
      <c r="D130" s="140">
        <f t="shared" si="110"/>
        <v>0.1163241898833634</v>
      </c>
      <c r="E130" s="140">
        <f t="shared" si="110"/>
        <v>9.5751402971225447E-2</v>
      </c>
      <c r="F130" s="140">
        <f t="shared" si="110"/>
        <v>8.4606597880288889E-2</v>
      </c>
      <c r="G130" s="140">
        <f t="shared" si="110"/>
        <v>8.0388874750282349E-2</v>
      </c>
      <c r="H130" s="140">
        <f t="shared" si="110"/>
        <v>8.2078794471692057E-2</v>
      </c>
      <c r="I130" s="140">
        <f t="shared" si="110"/>
        <v>7.9038674463565106E-2</v>
      </c>
      <c r="J130" s="140">
        <f t="shared" si="110"/>
        <v>7.8522951344462896E-2</v>
      </c>
      <c r="K130" s="140">
        <f t="shared" si="110"/>
        <v>7.9026355384983746E-2</v>
      </c>
      <c r="L130" s="140">
        <f t="shared" si="110"/>
        <v>8.6773797188276908E-2</v>
      </c>
      <c r="M130" s="140">
        <f t="shared" si="110"/>
        <v>8.2434863880574916E-2</v>
      </c>
      <c r="N130" s="140">
        <f t="shared" si="110"/>
        <v>8.2311602643697412E-2</v>
      </c>
      <c r="O130" s="140">
        <f t="shared" si="110"/>
        <v>8.481006607196527E-2</v>
      </c>
      <c r="P130" s="140">
        <f t="shared" si="110"/>
        <v>8.5667679056195045E-2</v>
      </c>
      <c r="Q130" s="140">
        <f t="shared" si="110"/>
        <v>8.2200059549648194E-2</v>
      </c>
      <c r="R130" s="140">
        <f t="shared" si="110"/>
        <v>7.742975744232368E-2</v>
      </c>
      <c r="S130" s="140">
        <f t="shared" si="110"/>
        <v>7.7425083118098939E-2</v>
      </c>
      <c r="T130" s="140">
        <f t="shared" si="110"/>
        <v>7.7872206684637443E-2</v>
      </c>
      <c r="U130" s="140">
        <f t="shared" si="110"/>
        <v>7.6532134783675002E-2</v>
      </c>
      <c r="V130" s="140">
        <f t="shared" si="110"/>
        <v>6.6513280396163874E-2</v>
      </c>
      <c r="W130" s="140">
        <f t="shared" si="110"/>
        <v>6.189254453564022E-2</v>
      </c>
      <c r="X130" s="140">
        <f t="shared" si="110"/>
        <v>6.5345254840725106E-2</v>
      </c>
      <c r="Y130" s="140">
        <f t="shared" si="110"/>
        <v>6.2030911527116095E-2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4.4818125735508189E-2</v>
      </c>
      <c r="C131" s="124">
        <f t="shared" ref="C131:Y131" si="111">IF(C39=0,0,C39/C$34)</f>
        <v>4.1751271753485676E-2</v>
      </c>
      <c r="D131" s="124">
        <f t="shared" si="111"/>
        <v>3.9993117494609744E-2</v>
      </c>
      <c r="E131" s="124">
        <f t="shared" si="111"/>
        <v>3.6802685819812921E-2</v>
      </c>
      <c r="F131" s="124">
        <f t="shared" si="111"/>
        <v>4.205012540146158E-2</v>
      </c>
      <c r="G131" s="124">
        <f t="shared" si="111"/>
        <v>4.1596548132104193E-2</v>
      </c>
      <c r="H131" s="124">
        <f t="shared" si="111"/>
        <v>4.1715177778663973E-2</v>
      </c>
      <c r="I131" s="124">
        <f t="shared" si="111"/>
        <v>3.8654546802599492E-2</v>
      </c>
      <c r="J131" s="124">
        <f t="shared" si="111"/>
        <v>4.2060056366727695E-2</v>
      </c>
      <c r="K131" s="124">
        <f t="shared" si="111"/>
        <v>4.0397586879742688E-2</v>
      </c>
      <c r="L131" s="124">
        <f t="shared" si="111"/>
        <v>4.1869944475331357E-2</v>
      </c>
      <c r="M131" s="124">
        <f t="shared" si="111"/>
        <v>4.0345251801408084E-2</v>
      </c>
      <c r="N131" s="124">
        <f t="shared" si="111"/>
        <v>4.2485359082897016E-2</v>
      </c>
      <c r="O131" s="124">
        <f t="shared" si="111"/>
        <v>4.2429823674106457E-2</v>
      </c>
      <c r="P131" s="124">
        <f t="shared" si="111"/>
        <v>3.9827871957675037E-2</v>
      </c>
      <c r="Q131" s="124">
        <f t="shared" si="111"/>
        <v>3.9394965994054801E-2</v>
      </c>
      <c r="R131" s="124">
        <f t="shared" si="111"/>
        <v>3.8064253222401839E-2</v>
      </c>
      <c r="S131" s="124">
        <f t="shared" si="111"/>
        <v>3.8432906887229286E-2</v>
      </c>
      <c r="T131" s="124">
        <f t="shared" si="111"/>
        <v>3.8380826436918869E-2</v>
      </c>
      <c r="U131" s="124">
        <f t="shared" si="111"/>
        <v>3.6534139303315373E-2</v>
      </c>
      <c r="V131" s="124">
        <f t="shared" si="111"/>
        <v>3.6409226089216519E-2</v>
      </c>
      <c r="W131" s="124">
        <f t="shared" si="111"/>
        <v>3.5346482226297979E-2</v>
      </c>
      <c r="X131" s="124">
        <f t="shared" si="111"/>
        <v>3.2979625689437284E-2</v>
      </c>
      <c r="Y131" s="124">
        <f t="shared" si="111"/>
        <v>3.1399132520642095E-2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1.4163906846340904E-2</v>
      </c>
      <c r="C132" s="140">
        <f t="shared" ref="C132:Y132" si="112">IF(C40=0,0,C40/C$34)</f>
        <v>1.372898939798615E-2</v>
      </c>
      <c r="D132" s="140">
        <f t="shared" si="112"/>
        <v>1.3638569666671069E-2</v>
      </c>
      <c r="E132" s="140">
        <f t="shared" si="112"/>
        <v>1.2770580873528092E-2</v>
      </c>
      <c r="F132" s="140">
        <f t="shared" si="112"/>
        <v>1.2850919750499326E-2</v>
      </c>
      <c r="G132" s="140">
        <f t="shared" si="112"/>
        <v>1.1599708143815711E-2</v>
      </c>
      <c r="H132" s="140">
        <f t="shared" si="112"/>
        <v>1.1129636417126144E-2</v>
      </c>
      <c r="I132" s="140">
        <f t="shared" si="112"/>
        <v>1.0719570830906799E-2</v>
      </c>
      <c r="J132" s="140">
        <f t="shared" si="112"/>
        <v>1.2311656780167329E-2</v>
      </c>
      <c r="K132" s="140">
        <f t="shared" si="112"/>
        <v>1.2159286428699958E-2</v>
      </c>
      <c r="L132" s="140">
        <f t="shared" si="112"/>
        <v>1.2562733663677501E-2</v>
      </c>
      <c r="M132" s="140">
        <f t="shared" si="112"/>
        <v>1.1817417160227736E-2</v>
      </c>
      <c r="N132" s="140">
        <f t="shared" si="112"/>
        <v>1.2844892705787907E-2</v>
      </c>
      <c r="O132" s="140">
        <f t="shared" si="112"/>
        <v>1.2587699661320237E-2</v>
      </c>
      <c r="P132" s="140">
        <f t="shared" si="112"/>
        <v>1.1258600244410305E-2</v>
      </c>
      <c r="Q132" s="140">
        <f t="shared" si="112"/>
        <v>1.0631063640111732E-2</v>
      </c>
      <c r="R132" s="140">
        <f t="shared" si="112"/>
        <v>1.0570179400605326E-2</v>
      </c>
      <c r="S132" s="140">
        <f t="shared" si="112"/>
        <v>1.0153477785985302E-2</v>
      </c>
      <c r="T132" s="140">
        <f t="shared" si="112"/>
        <v>9.5783747129151546E-3</v>
      </c>
      <c r="U132" s="140">
        <f t="shared" si="112"/>
        <v>9.3775080045154797E-3</v>
      </c>
      <c r="V132" s="140">
        <f t="shared" si="112"/>
        <v>9.1161441104761869E-3</v>
      </c>
      <c r="W132" s="140">
        <f t="shared" si="112"/>
        <v>8.7020009598306261E-3</v>
      </c>
      <c r="X132" s="140">
        <f t="shared" si="112"/>
        <v>6.1781284095182533E-3</v>
      </c>
      <c r="Y132" s="140">
        <f t="shared" si="112"/>
        <v>4.7755424516451551E-3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3.0654218889167285E-2</v>
      </c>
      <c r="C133" s="140">
        <f t="shared" ref="C133:Y133" si="113">IF(C41=0,0,C41/C$34)</f>
        <v>2.8022282355499528E-2</v>
      </c>
      <c r="D133" s="140">
        <f t="shared" si="113"/>
        <v>2.6354547827938675E-2</v>
      </c>
      <c r="E133" s="140">
        <f t="shared" si="113"/>
        <v>2.4032104946284827E-2</v>
      </c>
      <c r="F133" s="140">
        <f t="shared" si="113"/>
        <v>2.9180475281667687E-2</v>
      </c>
      <c r="G133" s="140">
        <f t="shared" si="113"/>
        <v>2.9889172209526457E-2</v>
      </c>
      <c r="H133" s="140">
        <f t="shared" si="113"/>
        <v>2.9552237182045624E-2</v>
      </c>
      <c r="I133" s="140">
        <f t="shared" si="113"/>
        <v>2.6552443461020724E-2</v>
      </c>
      <c r="J133" s="140">
        <f t="shared" si="113"/>
        <v>2.872657300603389E-2</v>
      </c>
      <c r="K133" s="140">
        <f t="shared" si="113"/>
        <v>2.7311500360282907E-2</v>
      </c>
      <c r="L133" s="140">
        <f t="shared" si="113"/>
        <v>2.8217800566382113E-2</v>
      </c>
      <c r="M133" s="140">
        <f t="shared" si="113"/>
        <v>2.7407286799235615E-2</v>
      </c>
      <c r="N133" s="140">
        <f t="shared" si="113"/>
        <v>2.8585816683218541E-2</v>
      </c>
      <c r="O133" s="140">
        <f t="shared" si="113"/>
        <v>2.8908950457223165E-2</v>
      </c>
      <c r="P133" s="140">
        <f t="shared" si="113"/>
        <v>2.7720098818660308E-2</v>
      </c>
      <c r="Q133" s="140">
        <f t="shared" si="113"/>
        <v>2.6996506848862744E-2</v>
      </c>
      <c r="R133" s="140">
        <f t="shared" si="113"/>
        <v>2.5593568189581539E-2</v>
      </c>
      <c r="S133" s="140">
        <f t="shared" si="113"/>
        <v>2.6286438322640545E-2</v>
      </c>
      <c r="T133" s="140">
        <f t="shared" si="113"/>
        <v>2.6807420048552563E-2</v>
      </c>
      <c r="U133" s="140">
        <f t="shared" si="113"/>
        <v>2.5012776872849619E-2</v>
      </c>
      <c r="V133" s="140">
        <f t="shared" si="113"/>
        <v>2.5391671605073409E-2</v>
      </c>
      <c r="W133" s="140">
        <f t="shared" si="113"/>
        <v>2.4771925858090914E-2</v>
      </c>
      <c r="X133" s="140">
        <f t="shared" si="113"/>
        <v>2.5011846726185831E-2</v>
      </c>
      <c r="Y133" s="140">
        <f t="shared" si="113"/>
        <v>2.4849324154285965E-2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0</v>
      </c>
      <c r="C134" s="140">
        <f t="shared" ref="C134:Y134" si="114">IF(C42=0,0,C42/C$34)</f>
        <v>0</v>
      </c>
      <c r="D134" s="140">
        <f t="shared" si="114"/>
        <v>0</v>
      </c>
      <c r="E134" s="140">
        <f t="shared" si="114"/>
        <v>0</v>
      </c>
      <c r="F134" s="140">
        <f t="shared" si="114"/>
        <v>1.8730369294565212E-5</v>
      </c>
      <c r="G134" s="140">
        <f t="shared" si="114"/>
        <v>1.076677787620236E-4</v>
      </c>
      <c r="H134" s="140">
        <f t="shared" si="114"/>
        <v>1.0333041794922026E-3</v>
      </c>
      <c r="I134" s="140">
        <f t="shared" si="114"/>
        <v>1.3825325106719645E-3</v>
      </c>
      <c r="J134" s="140">
        <f t="shared" si="114"/>
        <v>1.0218265805264756E-3</v>
      </c>
      <c r="K134" s="140">
        <f t="shared" si="114"/>
        <v>9.2680009075982476E-4</v>
      </c>
      <c r="L134" s="140">
        <f t="shared" si="114"/>
        <v>1.0894102452717392E-3</v>
      </c>
      <c r="M134" s="140">
        <f t="shared" si="114"/>
        <v>1.1205478419447357E-3</v>
      </c>
      <c r="N134" s="140">
        <f t="shared" si="114"/>
        <v>1.0546496938905739E-3</v>
      </c>
      <c r="O134" s="140">
        <f t="shared" si="114"/>
        <v>9.3317355556304558E-4</v>
      </c>
      <c r="P134" s="140">
        <f t="shared" si="114"/>
        <v>8.4917289460442172E-4</v>
      </c>
      <c r="Q134" s="140">
        <f t="shared" si="114"/>
        <v>1.7673955050803254E-3</v>
      </c>
      <c r="R134" s="140">
        <f t="shared" si="114"/>
        <v>1.9005056322149775E-3</v>
      </c>
      <c r="S134" s="140">
        <f t="shared" si="114"/>
        <v>1.9929907786034426E-3</v>
      </c>
      <c r="T134" s="140">
        <f t="shared" si="114"/>
        <v>1.9950316754511455E-3</v>
      </c>
      <c r="U134" s="140">
        <f t="shared" si="114"/>
        <v>2.1438544259502722E-3</v>
      </c>
      <c r="V134" s="140">
        <f t="shared" si="114"/>
        <v>1.9014103736669237E-3</v>
      </c>
      <c r="W134" s="140">
        <f t="shared" si="114"/>
        <v>1.8725554083764417E-3</v>
      </c>
      <c r="X134" s="140">
        <f t="shared" si="114"/>
        <v>1.7896505537331993E-3</v>
      </c>
      <c r="Y134" s="140">
        <f t="shared" si="114"/>
        <v>1.7742659147109748E-3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5.9489948370976674E-2</v>
      </c>
      <c r="C135" s="124">
        <f t="shared" ref="C135:Y135" si="115">IF(C43=0,0,C43/C$34)</f>
        <v>6.0510346108169036E-2</v>
      </c>
      <c r="D135" s="124">
        <f t="shared" si="115"/>
        <v>5.5872480678731046E-2</v>
      </c>
      <c r="E135" s="124">
        <f t="shared" si="115"/>
        <v>6.5643390518200062E-2</v>
      </c>
      <c r="F135" s="124">
        <f t="shared" si="115"/>
        <v>8.1613809231213627E-2</v>
      </c>
      <c r="G135" s="124">
        <f t="shared" si="115"/>
        <v>8.1800951625248031E-2</v>
      </c>
      <c r="H135" s="124">
        <f t="shared" si="115"/>
        <v>8.2274495808367404E-2</v>
      </c>
      <c r="I135" s="124">
        <f t="shared" si="115"/>
        <v>8.6484336814747639E-2</v>
      </c>
      <c r="J135" s="124">
        <f t="shared" si="115"/>
        <v>9.0133499525362509E-2</v>
      </c>
      <c r="K135" s="124">
        <f t="shared" si="115"/>
        <v>8.2909136118473351E-2</v>
      </c>
      <c r="L135" s="124">
        <f t="shared" si="115"/>
        <v>8.0497098259430355E-2</v>
      </c>
      <c r="M135" s="124">
        <f t="shared" si="115"/>
        <v>8.1941814646342648E-2</v>
      </c>
      <c r="N135" s="124">
        <f t="shared" si="115"/>
        <v>7.4679751786594833E-2</v>
      </c>
      <c r="O135" s="124">
        <f t="shared" si="115"/>
        <v>7.2120786566795173E-2</v>
      </c>
      <c r="P135" s="124">
        <f t="shared" si="115"/>
        <v>7.3149066935960932E-2</v>
      </c>
      <c r="Q135" s="124">
        <f t="shared" si="115"/>
        <v>7.7056453804122391E-2</v>
      </c>
      <c r="R135" s="124">
        <f t="shared" si="115"/>
        <v>7.8690345819880436E-2</v>
      </c>
      <c r="S135" s="124">
        <f t="shared" si="115"/>
        <v>8.6195949127405719E-2</v>
      </c>
      <c r="T135" s="124">
        <f t="shared" si="115"/>
        <v>9.1942581343490162E-2</v>
      </c>
      <c r="U135" s="124">
        <f t="shared" si="115"/>
        <v>9.3108362444690049E-2</v>
      </c>
      <c r="V135" s="124">
        <f t="shared" si="115"/>
        <v>3.2685159947177224E-2</v>
      </c>
      <c r="W135" s="124">
        <f t="shared" si="115"/>
        <v>3.4913217495949632E-2</v>
      </c>
      <c r="X135" s="124">
        <f t="shared" si="115"/>
        <v>5.7720893510985707E-2</v>
      </c>
      <c r="Y135" s="124">
        <f t="shared" si="115"/>
        <v>7.1527288296982475E-2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1.2146208984643617E-2</v>
      </c>
      <c r="C136" s="140">
        <f t="shared" ref="C136:Y136" si="116">IF(C44=0,0,C44/C$34)</f>
        <v>1.5010773716375336E-2</v>
      </c>
      <c r="D136" s="140">
        <f t="shared" si="116"/>
        <v>1.0376906907836766E-2</v>
      </c>
      <c r="E136" s="140">
        <f t="shared" si="116"/>
        <v>1.5339835207563865E-2</v>
      </c>
      <c r="F136" s="140">
        <f t="shared" si="116"/>
        <v>1.1187561706474723E-2</v>
      </c>
      <c r="G136" s="140">
        <f t="shared" si="116"/>
        <v>7.2610027490560601E-3</v>
      </c>
      <c r="H136" s="140">
        <f t="shared" si="116"/>
        <v>3.9291113771266935E-3</v>
      </c>
      <c r="I136" s="140">
        <f t="shared" si="116"/>
        <v>8.4190837101285956E-3</v>
      </c>
      <c r="J136" s="140">
        <f t="shared" si="116"/>
        <v>1.043496215324308E-2</v>
      </c>
      <c r="K136" s="140">
        <f t="shared" si="116"/>
        <v>7.1743086334847429E-3</v>
      </c>
      <c r="L136" s="140">
        <f t="shared" si="116"/>
        <v>7.0805123763455031E-3</v>
      </c>
      <c r="M136" s="140">
        <f t="shared" si="116"/>
        <v>1.0345730818816588E-2</v>
      </c>
      <c r="N136" s="140">
        <f t="shared" si="116"/>
        <v>5.1786100251914003E-3</v>
      </c>
      <c r="O136" s="140">
        <f t="shared" si="116"/>
        <v>4.7178196457322054E-3</v>
      </c>
      <c r="P136" s="140">
        <f t="shared" si="116"/>
        <v>4.4767158055370997E-3</v>
      </c>
      <c r="Q136" s="140">
        <f t="shared" si="116"/>
        <v>9.0727983116332209E-3</v>
      </c>
      <c r="R136" s="140">
        <f t="shared" si="116"/>
        <v>9.568314603524003E-3</v>
      </c>
      <c r="S136" s="140">
        <f t="shared" si="116"/>
        <v>1.1374252859561815E-2</v>
      </c>
      <c r="T136" s="140">
        <f t="shared" si="116"/>
        <v>6.5698671432908636E-3</v>
      </c>
      <c r="U136" s="140">
        <f t="shared" si="116"/>
        <v>7.8342825295507068E-3</v>
      </c>
      <c r="V136" s="140">
        <f t="shared" si="116"/>
        <v>6.9834476713794532E-3</v>
      </c>
      <c r="W136" s="140">
        <f t="shared" si="116"/>
        <v>1.0579598517430242E-3</v>
      </c>
      <c r="X136" s="140">
        <f t="shared" si="116"/>
        <v>1.2435620446786112E-3</v>
      </c>
      <c r="Y136" s="140">
        <f t="shared" si="116"/>
        <v>1.3025680548085484E-3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2.8383794004840666E-2</v>
      </c>
      <c r="C137" s="140">
        <f t="shared" ref="C137:Y137" si="117">IF(C45=0,0,C45/C$34)</f>
        <v>2.7276851817176286E-2</v>
      </c>
      <c r="D137" s="140">
        <f t="shared" si="117"/>
        <v>2.7274278538632998E-2</v>
      </c>
      <c r="E137" s="140">
        <f t="shared" si="117"/>
        <v>3.1400900454614564E-2</v>
      </c>
      <c r="F137" s="140">
        <f t="shared" si="117"/>
        <v>4.5479736365366064E-2</v>
      </c>
      <c r="G137" s="140">
        <f t="shared" si="117"/>
        <v>4.9146680307815167E-2</v>
      </c>
      <c r="H137" s="140">
        <f t="shared" si="117"/>
        <v>5.1256175770461682E-2</v>
      </c>
      <c r="I137" s="140">
        <f t="shared" si="117"/>
        <v>5.1367481685410041E-2</v>
      </c>
      <c r="J137" s="140">
        <f t="shared" si="117"/>
        <v>5.1323417394527671E-2</v>
      </c>
      <c r="K137" s="140">
        <f t="shared" si="117"/>
        <v>4.7262129513305218E-2</v>
      </c>
      <c r="L137" s="140">
        <f t="shared" si="117"/>
        <v>4.5105733762069493E-2</v>
      </c>
      <c r="M137" s="140">
        <f t="shared" si="117"/>
        <v>4.3598399013675036E-2</v>
      </c>
      <c r="N137" s="140">
        <f t="shared" si="117"/>
        <v>4.1912027597885329E-2</v>
      </c>
      <c r="O137" s="140">
        <f t="shared" si="117"/>
        <v>4.0594584072400054E-2</v>
      </c>
      <c r="P137" s="140">
        <f t="shared" si="117"/>
        <v>4.1453035647759706E-2</v>
      </c>
      <c r="Q137" s="140">
        <f t="shared" si="117"/>
        <v>4.1356519184050172E-2</v>
      </c>
      <c r="R137" s="140">
        <f t="shared" si="117"/>
        <v>4.3265072276011306E-2</v>
      </c>
      <c r="S137" s="140">
        <f t="shared" si="117"/>
        <v>4.7626321293679039E-2</v>
      </c>
      <c r="T137" s="140">
        <f t="shared" si="117"/>
        <v>5.444762027756004E-2</v>
      </c>
      <c r="U137" s="140">
        <f t="shared" si="117"/>
        <v>5.3493183504617049E-2</v>
      </c>
      <c r="V137" s="140">
        <f t="shared" si="117"/>
        <v>1.4226379128314702E-2</v>
      </c>
      <c r="W137" s="140">
        <f t="shared" si="117"/>
        <v>1.9809352176925629E-2</v>
      </c>
      <c r="X137" s="140">
        <f t="shared" si="117"/>
        <v>3.6074868741892273E-2</v>
      </c>
      <c r="Y137" s="140">
        <f t="shared" si="117"/>
        <v>4.4553974036624436E-2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1.8959945381492389E-2</v>
      </c>
      <c r="C138" s="140">
        <f t="shared" ref="C138:Y138" si="118">IF(C46=0,0,C46/C$34)</f>
        <v>1.8222720574617414E-2</v>
      </c>
      <c r="D138" s="140">
        <f t="shared" si="118"/>
        <v>1.8221295232261282E-2</v>
      </c>
      <c r="E138" s="140">
        <f t="shared" si="118"/>
        <v>1.8902654856021633E-2</v>
      </c>
      <c r="F138" s="140">
        <f t="shared" si="118"/>
        <v>2.4946511159372839E-2</v>
      </c>
      <c r="G138" s="140">
        <f t="shared" si="118"/>
        <v>2.5393268568376801E-2</v>
      </c>
      <c r="H138" s="140">
        <f t="shared" si="118"/>
        <v>2.7089208660779029E-2</v>
      </c>
      <c r="I138" s="140">
        <f t="shared" si="118"/>
        <v>2.6697771419209006E-2</v>
      </c>
      <c r="J138" s="140">
        <f t="shared" si="118"/>
        <v>2.8375119977591765E-2</v>
      </c>
      <c r="K138" s="140">
        <f t="shared" si="118"/>
        <v>2.8472697971683388E-2</v>
      </c>
      <c r="L138" s="140">
        <f t="shared" si="118"/>
        <v>2.8310852121015362E-2</v>
      </c>
      <c r="M138" s="140">
        <f t="shared" si="118"/>
        <v>2.799768481385102E-2</v>
      </c>
      <c r="N138" s="140">
        <f t="shared" si="118"/>
        <v>2.7589114163518096E-2</v>
      </c>
      <c r="O138" s="140">
        <f t="shared" si="118"/>
        <v>2.680838284866292E-2</v>
      </c>
      <c r="P138" s="140">
        <f t="shared" si="118"/>
        <v>2.7219315482664142E-2</v>
      </c>
      <c r="Q138" s="140">
        <f t="shared" si="118"/>
        <v>2.6627136308438989E-2</v>
      </c>
      <c r="R138" s="140">
        <f t="shared" si="118"/>
        <v>2.5856958940345138E-2</v>
      </c>
      <c r="S138" s="140">
        <f t="shared" si="118"/>
        <v>2.7195374974164865E-2</v>
      </c>
      <c r="T138" s="140">
        <f t="shared" si="118"/>
        <v>3.092509392263925E-2</v>
      </c>
      <c r="U138" s="140">
        <f t="shared" si="118"/>
        <v>3.1780896410522293E-2</v>
      </c>
      <c r="V138" s="140">
        <f t="shared" si="118"/>
        <v>1.147533314748307E-2</v>
      </c>
      <c r="W138" s="140">
        <f t="shared" si="118"/>
        <v>1.4045905467280973E-2</v>
      </c>
      <c r="X138" s="140">
        <f t="shared" si="118"/>
        <v>2.0402462724414826E-2</v>
      </c>
      <c r="Y138" s="140">
        <f t="shared" si="118"/>
        <v>2.5670746205549495E-2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0.92192811282631248</v>
      </c>
      <c r="C140" s="139">
        <f t="shared" ref="C140:Y140" si="121">IF(C48=0,0,C48/C$47)</f>
        <v>0.92851666262100796</v>
      </c>
      <c r="D140" s="139">
        <f t="shared" si="121"/>
        <v>0.94159498959731303</v>
      </c>
      <c r="E140" s="139">
        <f t="shared" si="121"/>
        <v>0.95240891207325207</v>
      </c>
      <c r="F140" s="139">
        <f t="shared" si="121"/>
        <v>0.9465302302266756</v>
      </c>
      <c r="G140" s="139">
        <f t="shared" si="121"/>
        <v>0.95586300060925766</v>
      </c>
      <c r="H140" s="139">
        <f t="shared" si="121"/>
        <v>0.95789957395847958</v>
      </c>
      <c r="I140" s="139">
        <f t="shared" si="121"/>
        <v>0.95982875432612391</v>
      </c>
      <c r="J140" s="139">
        <f t="shared" si="121"/>
        <v>0.96401753397219636</v>
      </c>
      <c r="K140" s="139">
        <f t="shared" si="121"/>
        <v>0.96574458371827154</v>
      </c>
      <c r="L140" s="139">
        <f t="shared" si="121"/>
        <v>0.96608411852339771</v>
      </c>
      <c r="M140" s="139">
        <f t="shared" si="121"/>
        <v>0.96362132713274029</v>
      </c>
      <c r="N140" s="139">
        <f t="shared" si="121"/>
        <v>0.96627833408815156</v>
      </c>
      <c r="O140" s="139">
        <f t="shared" si="121"/>
        <v>0.96932489265222921</v>
      </c>
      <c r="P140" s="139">
        <f t="shared" si="121"/>
        <v>0.96850193566210774</v>
      </c>
      <c r="Q140" s="139">
        <f t="shared" si="121"/>
        <v>0.97020808028046412</v>
      </c>
      <c r="R140" s="139">
        <f t="shared" si="121"/>
        <v>0.96980975507154288</v>
      </c>
      <c r="S140" s="139">
        <f t="shared" si="121"/>
        <v>0.9705621529213132</v>
      </c>
      <c r="T140" s="139">
        <f t="shared" si="121"/>
        <v>0.97093474976048888</v>
      </c>
      <c r="U140" s="139">
        <f t="shared" si="121"/>
        <v>0.96704856060672906</v>
      </c>
      <c r="V140" s="139">
        <f t="shared" si="121"/>
        <v>0.9663959491588946</v>
      </c>
      <c r="W140" s="139">
        <f t="shared" si="121"/>
        <v>0.97327455005743535</v>
      </c>
      <c r="X140" s="139">
        <f t="shared" si="121"/>
        <v>0.96919007900346155</v>
      </c>
      <c r="Y140" s="139">
        <f t="shared" si="121"/>
        <v>0.97085761250083569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0.14789801750817239</v>
      </c>
      <c r="C141" s="140">
        <f t="shared" ref="C141:Y141" si="122">IF(C49=0,0,C49/C$47)</f>
        <v>0.14774582955864007</v>
      </c>
      <c r="D141" s="140">
        <f t="shared" si="122"/>
        <v>0.15585918265329415</v>
      </c>
      <c r="E141" s="140">
        <f t="shared" si="122"/>
        <v>0.15024977581405252</v>
      </c>
      <c r="F141" s="140">
        <f t="shared" si="122"/>
        <v>0.15551794814305092</v>
      </c>
      <c r="G141" s="140">
        <f t="shared" si="122"/>
        <v>0.15948624118569557</v>
      </c>
      <c r="H141" s="140">
        <f t="shared" si="122"/>
        <v>0.17086588872847053</v>
      </c>
      <c r="I141" s="140">
        <f t="shared" si="122"/>
        <v>0.18082922806024351</v>
      </c>
      <c r="J141" s="140">
        <f t="shared" si="122"/>
        <v>0.21738128686661184</v>
      </c>
      <c r="K141" s="140">
        <f t="shared" si="122"/>
        <v>0.23608172177892173</v>
      </c>
      <c r="L141" s="140">
        <f t="shared" si="122"/>
        <v>0.26409037469528285</v>
      </c>
      <c r="M141" s="140">
        <f t="shared" si="122"/>
        <v>0.26933690003076283</v>
      </c>
      <c r="N141" s="140">
        <f t="shared" si="122"/>
        <v>0.27895215399323536</v>
      </c>
      <c r="O141" s="140">
        <f t="shared" si="122"/>
        <v>0.29860932719667799</v>
      </c>
      <c r="P141" s="140">
        <f t="shared" si="122"/>
        <v>0.3104637532452641</v>
      </c>
      <c r="Q141" s="140">
        <f t="shared" si="122"/>
        <v>0.31046135193907554</v>
      </c>
      <c r="R141" s="140">
        <f t="shared" si="122"/>
        <v>0.2609328433643161</v>
      </c>
      <c r="S141" s="140">
        <f t="shared" si="122"/>
        <v>0.25901672743126281</v>
      </c>
      <c r="T141" s="140">
        <f t="shared" si="122"/>
        <v>0.26140781625078968</v>
      </c>
      <c r="U141" s="140">
        <f t="shared" si="122"/>
        <v>0.26165105358694701</v>
      </c>
      <c r="V141" s="140">
        <f t="shared" si="122"/>
        <v>0.2675787464673573</v>
      </c>
      <c r="W141" s="140">
        <f t="shared" si="122"/>
        <v>0.24697353300377073</v>
      </c>
      <c r="X141" s="140">
        <f t="shared" si="122"/>
        <v>0.2457337944343049</v>
      </c>
      <c r="Y141" s="140">
        <f t="shared" si="122"/>
        <v>0.24740760673701578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0.77403009531814004</v>
      </c>
      <c r="C142" s="140">
        <f t="shared" ref="C142:Y142" si="123">IF(C50=0,0,C50/C$47)</f>
        <v>0.78077083306236783</v>
      </c>
      <c r="D142" s="140">
        <f t="shared" si="123"/>
        <v>0.78573580694401879</v>
      </c>
      <c r="E142" s="140">
        <f t="shared" si="123"/>
        <v>0.80215913625919943</v>
      </c>
      <c r="F142" s="140">
        <f t="shared" si="123"/>
        <v>0.79101228208362462</v>
      </c>
      <c r="G142" s="140">
        <f t="shared" si="123"/>
        <v>0.79637675942356212</v>
      </c>
      <c r="H142" s="140">
        <f t="shared" si="123"/>
        <v>0.78703368523000905</v>
      </c>
      <c r="I142" s="140">
        <f t="shared" si="123"/>
        <v>0.77899952626588043</v>
      </c>
      <c r="J142" s="140">
        <f t="shared" si="123"/>
        <v>0.74663624710558452</v>
      </c>
      <c r="K142" s="140">
        <f t="shared" si="123"/>
        <v>0.72966286193934993</v>
      </c>
      <c r="L142" s="140">
        <f t="shared" si="123"/>
        <v>0.70199374382811486</v>
      </c>
      <c r="M142" s="140">
        <f t="shared" si="123"/>
        <v>0.69428442710197746</v>
      </c>
      <c r="N142" s="140">
        <f t="shared" si="123"/>
        <v>0.68732618009491619</v>
      </c>
      <c r="O142" s="140">
        <f t="shared" si="123"/>
        <v>0.67071556545555122</v>
      </c>
      <c r="P142" s="140">
        <f t="shared" si="123"/>
        <v>0.65803818241684353</v>
      </c>
      <c r="Q142" s="140">
        <f t="shared" si="123"/>
        <v>0.65974672834138848</v>
      </c>
      <c r="R142" s="140">
        <f t="shared" si="123"/>
        <v>0.70887691170722678</v>
      </c>
      <c r="S142" s="140">
        <f t="shared" si="123"/>
        <v>0.71154542549005051</v>
      </c>
      <c r="T142" s="140">
        <f t="shared" si="123"/>
        <v>0.70952693350969909</v>
      </c>
      <c r="U142" s="140">
        <f t="shared" si="123"/>
        <v>0.70539750701978199</v>
      </c>
      <c r="V142" s="140">
        <f t="shared" si="123"/>
        <v>0.69881720269153724</v>
      </c>
      <c r="W142" s="140">
        <f t="shared" si="123"/>
        <v>0.72630101705366457</v>
      </c>
      <c r="X142" s="140">
        <f t="shared" si="123"/>
        <v>0.72345628456915678</v>
      </c>
      <c r="Y142" s="140">
        <f t="shared" si="123"/>
        <v>0.7234500057638199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6.1830376398698712E-2</v>
      </c>
      <c r="C143" s="124">
        <f t="shared" ref="C143:Y143" si="124">IF(C51=0,0,C51/C$47)</f>
        <v>5.4309782350654236E-2</v>
      </c>
      <c r="D143" s="124">
        <f t="shared" si="124"/>
        <v>4.4616536021039703E-2</v>
      </c>
      <c r="E143" s="124">
        <f t="shared" si="124"/>
        <v>3.6695751416840408E-2</v>
      </c>
      <c r="F143" s="124">
        <f t="shared" si="124"/>
        <v>4.2656830757229862E-2</v>
      </c>
      <c r="G143" s="124">
        <f t="shared" si="124"/>
        <v>3.4740114049179371E-2</v>
      </c>
      <c r="H143" s="124">
        <f t="shared" si="124"/>
        <v>3.3037332750310247E-2</v>
      </c>
      <c r="I143" s="124">
        <f t="shared" si="124"/>
        <v>3.248536879383198E-2</v>
      </c>
      <c r="J143" s="124">
        <f t="shared" si="124"/>
        <v>2.8632432913637863E-2</v>
      </c>
      <c r="K143" s="124">
        <f t="shared" si="124"/>
        <v>2.6134772712156924E-2</v>
      </c>
      <c r="L143" s="124">
        <f t="shared" si="124"/>
        <v>2.6021064358237041E-2</v>
      </c>
      <c r="M143" s="124">
        <f t="shared" si="124"/>
        <v>2.6956001648440444E-2</v>
      </c>
      <c r="N143" s="124">
        <f t="shared" si="124"/>
        <v>2.3955744692431526E-2</v>
      </c>
      <c r="O143" s="124">
        <f t="shared" si="124"/>
        <v>2.3019280509299224E-2</v>
      </c>
      <c r="P143" s="124">
        <f t="shared" si="124"/>
        <v>2.4451546238362102E-2</v>
      </c>
      <c r="Q143" s="124">
        <f t="shared" si="124"/>
        <v>2.287261994751591E-2</v>
      </c>
      <c r="R143" s="124">
        <f t="shared" si="124"/>
        <v>2.2317257332213621E-2</v>
      </c>
      <c r="S143" s="124">
        <f t="shared" si="124"/>
        <v>2.1229033142325316E-2</v>
      </c>
      <c r="T143" s="124">
        <f t="shared" si="124"/>
        <v>2.0961203645466268E-2</v>
      </c>
      <c r="U143" s="124">
        <f t="shared" si="124"/>
        <v>2.1355164500807478E-2</v>
      </c>
      <c r="V143" s="124">
        <f t="shared" si="124"/>
        <v>2.3416432824769622E-2</v>
      </c>
      <c r="W143" s="124">
        <f t="shared" si="124"/>
        <v>2.2038250870132139E-2</v>
      </c>
      <c r="X143" s="124">
        <f t="shared" si="124"/>
        <v>2.6874825044632119E-2</v>
      </c>
      <c r="Y143" s="124">
        <f t="shared" si="124"/>
        <v>2.5177592709185761E-2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1.1620772829310629E-2</v>
      </c>
      <c r="C144" s="124">
        <f t="shared" ref="C144:Y144" si="125">IF(C52=0,0,C52/C$47)</f>
        <v>1.0467130091726441E-2</v>
      </c>
      <c r="D144" s="124">
        <f t="shared" si="125"/>
        <v>1.0711145766444526E-2</v>
      </c>
      <c r="E144" s="124">
        <f t="shared" si="125"/>
        <v>8.3040007606895987E-3</v>
      </c>
      <c r="F144" s="124">
        <f t="shared" si="125"/>
        <v>7.3214554073953598E-3</v>
      </c>
      <c r="G144" s="124">
        <f t="shared" si="125"/>
        <v>6.8835567229270124E-3</v>
      </c>
      <c r="H144" s="124">
        <f t="shared" si="125"/>
        <v>6.2008613729578757E-3</v>
      </c>
      <c r="I144" s="124">
        <f t="shared" si="125"/>
        <v>5.471408949084283E-3</v>
      </c>
      <c r="J144" s="124">
        <f t="shared" si="125"/>
        <v>5.5660832845821143E-3</v>
      </c>
      <c r="K144" s="124">
        <f t="shared" si="125"/>
        <v>5.7394171213598043E-3</v>
      </c>
      <c r="L144" s="124">
        <f t="shared" si="125"/>
        <v>5.8875411256040303E-3</v>
      </c>
      <c r="M144" s="124">
        <f t="shared" si="125"/>
        <v>7.9224189545337807E-3</v>
      </c>
      <c r="N144" s="124">
        <f t="shared" si="125"/>
        <v>7.2204101978749049E-3</v>
      </c>
      <c r="O144" s="124">
        <f t="shared" si="125"/>
        <v>6.6090909003648267E-3</v>
      </c>
      <c r="P144" s="124">
        <f t="shared" si="125"/>
        <v>5.587571625081598E-3</v>
      </c>
      <c r="Q144" s="124">
        <f t="shared" si="125"/>
        <v>5.5842416800239549E-3</v>
      </c>
      <c r="R144" s="124">
        <f t="shared" si="125"/>
        <v>6.1280081764008851E-3</v>
      </c>
      <c r="S144" s="124">
        <f t="shared" si="125"/>
        <v>6.5082127949271174E-3</v>
      </c>
      <c r="T144" s="124">
        <f t="shared" si="125"/>
        <v>6.8270924689857928E-3</v>
      </c>
      <c r="U144" s="124">
        <f t="shared" si="125"/>
        <v>9.4692190815505659E-3</v>
      </c>
      <c r="V144" s="124">
        <f t="shared" si="125"/>
        <v>8.3948243875086349E-3</v>
      </c>
      <c r="W144" s="124">
        <f t="shared" si="125"/>
        <v>3.0622203030127495E-3</v>
      </c>
      <c r="X144" s="124">
        <f t="shared" si="125"/>
        <v>2.7310924865979916E-3</v>
      </c>
      <c r="Y144" s="124">
        <f t="shared" si="125"/>
        <v>2.3772713228499328E-3</v>
      </c>
      <c r="DA144" s="176"/>
    </row>
    <row r="145" spans="1:105" ht="11.45" customHeight="1" x14ac:dyDescent="0.25">
      <c r="A145" s="128" t="s">
        <v>27</v>
      </c>
      <c r="B145" s="140">
        <f t="shared" si="119"/>
        <v>6.9115462021212409E-4</v>
      </c>
      <c r="C145" s="140">
        <f t="shared" ref="C145:Y145" si="126">IF(C53=0,0,C53/C$47)</f>
        <v>6.1495585009543755E-4</v>
      </c>
      <c r="D145" s="140">
        <f t="shared" si="126"/>
        <v>6.4170964375316608E-4</v>
      </c>
      <c r="E145" s="140">
        <f t="shared" si="126"/>
        <v>4.1789609268050234E-4</v>
      </c>
      <c r="F145" s="140">
        <f t="shared" si="126"/>
        <v>1.1687431470937814E-4</v>
      </c>
      <c r="G145" s="140">
        <f t="shared" si="126"/>
        <v>1.6282817819132555E-4</v>
      </c>
      <c r="H145" s="140">
        <f t="shared" si="126"/>
        <v>1.6901274422572487E-4</v>
      </c>
      <c r="I145" s="140">
        <f t="shared" si="126"/>
        <v>5.3335933754938283E-4</v>
      </c>
      <c r="J145" s="140">
        <f t="shared" si="126"/>
        <v>6.3744709741477446E-4</v>
      </c>
      <c r="K145" s="140">
        <f t="shared" si="126"/>
        <v>4.338520885347057E-4</v>
      </c>
      <c r="L145" s="140">
        <f t="shared" si="126"/>
        <v>4.2597193885784258E-4</v>
      </c>
      <c r="M145" s="140">
        <f t="shared" si="126"/>
        <v>8.5103096660604836E-4</v>
      </c>
      <c r="N145" s="140">
        <f t="shared" si="126"/>
        <v>4.3455146937396757E-4</v>
      </c>
      <c r="O145" s="140">
        <f t="shared" si="126"/>
        <v>3.5553701828886604E-4</v>
      </c>
      <c r="P145" s="140">
        <f t="shared" si="126"/>
        <v>1.460648117445426E-4</v>
      </c>
      <c r="Q145" s="140">
        <f t="shared" si="126"/>
        <v>2.6125896399165386E-4</v>
      </c>
      <c r="R145" s="140">
        <f t="shared" si="126"/>
        <v>2.3354389342347269E-4</v>
      </c>
      <c r="S145" s="140">
        <f t="shared" si="126"/>
        <v>4.464643854303603E-4</v>
      </c>
      <c r="T145" s="140">
        <f t="shared" si="126"/>
        <v>1.5081380639132254E-3</v>
      </c>
      <c r="U145" s="140">
        <f t="shared" si="126"/>
        <v>4.2628843662577643E-3</v>
      </c>
      <c r="V145" s="140">
        <f t="shared" si="126"/>
        <v>5.3871895200834604E-3</v>
      </c>
      <c r="W145" s="140">
        <f t="shared" si="126"/>
        <v>6.4443495858680384E-4</v>
      </c>
      <c r="X145" s="140">
        <f t="shared" si="126"/>
        <v>2.1079151076087001E-4</v>
      </c>
      <c r="Y145" s="140">
        <f t="shared" si="126"/>
        <v>4.8170305566884896E-6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2.7317817094929188E-3</v>
      </c>
      <c r="C146" s="140">
        <f t="shared" ref="C146:Y146" si="127">IF(C54=0,0,C54/C$47)</f>
        <v>2.3800675962793011E-3</v>
      </c>
      <c r="D146" s="140">
        <f t="shared" si="127"/>
        <v>2.5700395610998407E-3</v>
      </c>
      <c r="E146" s="140">
        <f t="shared" si="127"/>
        <v>1.55849642934048E-3</v>
      </c>
      <c r="F146" s="140">
        <f t="shared" si="127"/>
        <v>1.9475729099027001E-3</v>
      </c>
      <c r="G146" s="140">
        <f t="shared" si="127"/>
        <v>1.7705392540247782E-3</v>
      </c>
      <c r="H146" s="140">
        <f t="shared" si="127"/>
        <v>1.8713263616531024E-3</v>
      </c>
      <c r="I146" s="140">
        <f t="shared" si="127"/>
        <v>1.6759259368169755E-3</v>
      </c>
      <c r="J146" s="140">
        <f t="shared" si="127"/>
        <v>1.3422498993189665E-3</v>
      </c>
      <c r="K146" s="140">
        <f t="shared" si="127"/>
        <v>1.2608543532586875E-3</v>
      </c>
      <c r="L146" s="140">
        <f t="shared" si="127"/>
        <v>1.5169447627210566E-3</v>
      </c>
      <c r="M146" s="140">
        <f t="shared" si="127"/>
        <v>1.233443536405982E-3</v>
      </c>
      <c r="N146" s="140">
        <f t="shared" si="127"/>
        <v>1.0102744519367259E-3</v>
      </c>
      <c r="O146" s="140">
        <f t="shared" si="127"/>
        <v>1.0396635359791828E-3</v>
      </c>
      <c r="P146" s="140">
        <f t="shared" si="127"/>
        <v>1.0703971277972045E-3</v>
      </c>
      <c r="Q146" s="140">
        <f t="shared" si="127"/>
        <v>1.0098719073913893E-3</v>
      </c>
      <c r="R146" s="140">
        <f t="shared" si="127"/>
        <v>1.0961676194235807E-3</v>
      </c>
      <c r="S146" s="140">
        <f t="shared" si="127"/>
        <v>1.411724701830381E-3</v>
      </c>
      <c r="T146" s="140">
        <f t="shared" si="127"/>
        <v>1.7368535339710191E-3</v>
      </c>
      <c r="U146" s="140">
        <f t="shared" si="127"/>
        <v>1.4418671630646914E-3</v>
      </c>
      <c r="V146" s="140">
        <f t="shared" si="127"/>
        <v>1.3117678248382183E-3</v>
      </c>
      <c r="W146" s="140">
        <f t="shared" si="127"/>
        <v>1.6869715114677629E-3</v>
      </c>
      <c r="X146" s="140">
        <f t="shared" si="127"/>
        <v>1.6947549413793017E-3</v>
      </c>
      <c r="Y146" s="140">
        <f t="shared" si="127"/>
        <v>1.6510746851459716E-3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8.1978364996055861E-3</v>
      </c>
      <c r="C147" s="140">
        <f t="shared" ref="C147:Y147" si="128">IF(C55=0,0,C55/C$47)</f>
        <v>7.4721066453517027E-3</v>
      </c>
      <c r="D147" s="140">
        <f t="shared" si="128"/>
        <v>7.4993965615915191E-3</v>
      </c>
      <c r="E147" s="140">
        <f t="shared" si="128"/>
        <v>6.3276082386686172E-3</v>
      </c>
      <c r="F147" s="140">
        <f t="shared" si="128"/>
        <v>5.2570081827832821E-3</v>
      </c>
      <c r="G147" s="140">
        <f t="shared" si="128"/>
        <v>4.9501892907109091E-3</v>
      </c>
      <c r="H147" s="140">
        <f t="shared" si="128"/>
        <v>4.1605222670790488E-3</v>
      </c>
      <c r="I147" s="140">
        <f t="shared" si="128"/>
        <v>3.2621236747179248E-3</v>
      </c>
      <c r="J147" s="140">
        <f t="shared" si="128"/>
        <v>3.5863862878483736E-3</v>
      </c>
      <c r="K147" s="140">
        <f t="shared" si="128"/>
        <v>4.0447106795664109E-3</v>
      </c>
      <c r="L147" s="140">
        <f t="shared" si="128"/>
        <v>3.9446244240251309E-3</v>
      </c>
      <c r="M147" s="140">
        <f t="shared" si="128"/>
        <v>5.8379444515217508E-3</v>
      </c>
      <c r="N147" s="140">
        <f t="shared" si="128"/>
        <v>5.7755842765642119E-3</v>
      </c>
      <c r="O147" s="140">
        <f t="shared" si="128"/>
        <v>5.2138903460967785E-3</v>
      </c>
      <c r="P147" s="140">
        <f t="shared" si="128"/>
        <v>4.3711096855398512E-3</v>
      </c>
      <c r="Q147" s="140">
        <f t="shared" si="128"/>
        <v>4.3131108086409123E-3</v>
      </c>
      <c r="R147" s="140">
        <f t="shared" si="128"/>
        <v>4.7982966635538322E-3</v>
      </c>
      <c r="S147" s="140">
        <f t="shared" si="128"/>
        <v>4.6500237076663757E-3</v>
      </c>
      <c r="T147" s="140">
        <f t="shared" si="128"/>
        <v>3.5821008711015481E-3</v>
      </c>
      <c r="U147" s="140">
        <f t="shared" si="128"/>
        <v>3.7644675522281097E-3</v>
      </c>
      <c r="V147" s="140">
        <f t="shared" si="128"/>
        <v>1.6958670425869561E-3</v>
      </c>
      <c r="W147" s="140">
        <f t="shared" si="128"/>
        <v>7.3081383295818298E-4</v>
      </c>
      <c r="X147" s="140">
        <f t="shared" si="128"/>
        <v>8.2554603445782009E-4</v>
      </c>
      <c r="Y147" s="140">
        <f t="shared" si="128"/>
        <v>7.2137960714727242E-4</v>
      </c>
      <c r="DA147" s="175"/>
    </row>
    <row r="148" spans="1:105" ht="11.45" customHeight="1" x14ac:dyDescent="0.25">
      <c r="A148" s="109" t="s">
        <v>141</v>
      </c>
      <c r="B148" s="124">
        <f t="shared" si="119"/>
        <v>4.62073794567836E-3</v>
      </c>
      <c r="C148" s="124">
        <f t="shared" ref="C148:Y148" si="129">IF(C56=0,0,C56/C$47)</f>
        <v>6.7064249366113344E-3</v>
      </c>
      <c r="D148" s="124">
        <f t="shared" si="129"/>
        <v>3.0773286152025411E-3</v>
      </c>
      <c r="E148" s="124">
        <f t="shared" si="129"/>
        <v>2.5913357492179535E-3</v>
      </c>
      <c r="F148" s="124">
        <f t="shared" si="129"/>
        <v>3.4914836086991437E-3</v>
      </c>
      <c r="G148" s="124">
        <f t="shared" si="129"/>
        <v>2.5133286186359489E-3</v>
      </c>
      <c r="H148" s="124">
        <f t="shared" si="129"/>
        <v>2.8622319182522579E-3</v>
      </c>
      <c r="I148" s="124">
        <f t="shared" si="129"/>
        <v>2.2144679309597311E-3</v>
      </c>
      <c r="J148" s="124">
        <f t="shared" si="129"/>
        <v>1.7839498295836632E-3</v>
      </c>
      <c r="K148" s="124">
        <f t="shared" si="129"/>
        <v>2.3812264482117682E-3</v>
      </c>
      <c r="L148" s="124">
        <f t="shared" si="129"/>
        <v>2.007275992761176E-3</v>
      </c>
      <c r="M148" s="124">
        <f t="shared" si="129"/>
        <v>1.5002522642856698E-3</v>
      </c>
      <c r="N148" s="124">
        <f t="shared" si="129"/>
        <v>2.5455110215419851E-3</v>
      </c>
      <c r="O148" s="124">
        <f t="shared" si="129"/>
        <v>1.0467359381067865E-3</v>
      </c>
      <c r="P148" s="124">
        <f t="shared" si="129"/>
        <v>1.4589464744488002E-3</v>
      </c>
      <c r="Q148" s="124">
        <f t="shared" si="129"/>
        <v>1.3350580919960563E-3</v>
      </c>
      <c r="R148" s="124">
        <f t="shared" si="129"/>
        <v>1.7449794198425783E-3</v>
      </c>
      <c r="S148" s="124">
        <f t="shared" si="129"/>
        <v>1.7006011414343852E-3</v>
      </c>
      <c r="T148" s="124">
        <f t="shared" si="129"/>
        <v>1.2769541250590647E-3</v>
      </c>
      <c r="U148" s="124">
        <f t="shared" si="129"/>
        <v>2.127055810912863E-3</v>
      </c>
      <c r="V148" s="124">
        <f t="shared" si="129"/>
        <v>1.792793628826956E-3</v>
      </c>
      <c r="W148" s="124">
        <f t="shared" si="129"/>
        <v>1.6249787694197348E-3</v>
      </c>
      <c r="X148" s="124">
        <f t="shared" si="129"/>
        <v>1.2040034653081914E-3</v>
      </c>
      <c r="Y148" s="124">
        <f t="shared" si="129"/>
        <v>1.5875234671287105E-3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0</v>
      </c>
      <c r="C149" s="140">
        <f t="shared" ref="C149:Y149" si="130">IF(C57=0,0,C57/C$47)</f>
        <v>0</v>
      </c>
      <c r="D149" s="140">
        <f t="shared" si="130"/>
        <v>0</v>
      </c>
      <c r="E149" s="140">
        <f t="shared" si="130"/>
        <v>0</v>
      </c>
      <c r="F149" s="140">
        <f t="shared" si="130"/>
        <v>0</v>
      </c>
      <c r="G149" s="140">
        <f t="shared" si="130"/>
        <v>0</v>
      </c>
      <c r="H149" s="140">
        <f t="shared" si="130"/>
        <v>0</v>
      </c>
      <c r="I149" s="140">
        <f t="shared" si="130"/>
        <v>0</v>
      </c>
      <c r="J149" s="140">
        <f t="shared" si="130"/>
        <v>0</v>
      </c>
      <c r="K149" s="140">
        <f t="shared" si="130"/>
        <v>0</v>
      </c>
      <c r="L149" s="140">
        <f t="shared" si="130"/>
        <v>0</v>
      </c>
      <c r="M149" s="140">
        <f t="shared" si="130"/>
        <v>0</v>
      </c>
      <c r="N149" s="140">
        <f t="shared" si="130"/>
        <v>0</v>
      </c>
      <c r="O149" s="140">
        <f t="shared" si="130"/>
        <v>0</v>
      </c>
      <c r="P149" s="140">
        <f t="shared" si="130"/>
        <v>0</v>
      </c>
      <c r="Q149" s="140">
        <f t="shared" si="130"/>
        <v>0</v>
      </c>
      <c r="R149" s="140">
        <f t="shared" si="130"/>
        <v>0</v>
      </c>
      <c r="S149" s="140">
        <f t="shared" si="130"/>
        <v>0</v>
      </c>
      <c r="T149" s="140">
        <f t="shared" si="130"/>
        <v>0</v>
      </c>
      <c r="U149" s="140">
        <f t="shared" si="130"/>
        <v>0</v>
      </c>
      <c r="V149" s="140">
        <f t="shared" si="130"/>
        <v>0</v>
      </c>
      <c r="W149" s="140">
        <f t="shared" si="130"/>
        <v>0</v>
      </c>
      <c r="X149" s="140">
        <f t="shared" si="130"/>
        <v>0</v>
      </c>
      <c r="Y149" s="140">
        <f t="shared" si="130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4.62073794567836E-3</v>
      </c>
      <c r="C150" s="127">
        <f t="shared" ref="C150:Y150" si="131">IF(C58=0,0,C58/C$47)</f>
        <v>6.7064249366113344E-3</v>
      </c>
      <c r="D150" s="127">
        <f t="shared" si="131"/>
        <v>3.0773286152025411E-3</v>
      </c>
      <c r="E150" s="127">
        <f t="shared" si="131"/>
        <v>2.5913357492179535E-3</v>
      </c>
      <c r="F150" s="127">
        <f t="shared" si="131"/>
        <v>3.4914836086991437E-3</v>
      </c>
      <c r="G150" s="127">
        <f t="shared" si="131"/>
        <v>2.5133286186359489E-3</v>
      </c>
      <c r="H150" s="127">
        <f t="shared" si="131"/>
        <v>2.8622319182522579E-3</v>
      </c>
      <c r="I150" s="127">
        <f t="shared" si="131"/>
        <v>2.2144679309597311E-3</v>
      </c>
      <c r="J150" s="127">
        <f t="shared" si="131"/>
        <v>1.7839498295836632E-3</v>
      </c>
      <c r="K150" s="127">
        <f t="shared" si="131"/>
        <v>2.3812264482117682E-3</v>
      </c>
      <c r="L150" s="127">
        <f t="shared" si="131"/>
        <v>2.007275992761176E-3</v>
      </c>
      <c r="M150" s="127">
        <f t="shared" si="131"/>
        <v>1.5002522642856698E-3</v>
      </c>
      <c r="N150" s="127">
        <f t="shared" si="131"/>
        <v>2.5455110215419851E-3</v>
      </c>
      <c r="O150" s="127">
        <f t="shared" si="131"/>
        <v>1.0467359381067865E-3</v>
      </c>
      <c r="P150" s="127">
        <f t="shared" si="131"/>
        <v>1.4589464744488002E-3</v>
      </c>
      <c r="Q150" s="127">
        <f t="shared" si="131"/>
        <v>1.3350580919960563E-3</v>
      </c>
      <c r="R150" s="127">
        <f t="shared" si="131"/>
        <v>1.7449794198425783E-3</v>
      </c>
      <c r="S150" s="127">
        <f t="shared" si="131"/>
        <v>1.7006011414343852E-3</v>
      </c>
      <c r="T150" s="127">
        <f t="shared" si="131"/>
        <v>1.2769541250590647E-3</v>
      </c>
      <c r="U150" s="127">
        <f t="shared" si="131"/>
        <v>2.127055810912863E-3</v>
      </c>
      <c r="V150" s="127">
        <f t="shared" si="131"/>
        <v>1.792793628826956E-3</v>
      </c>
      <c r="W150" s="127">
        <f t="shared" si="131"/>
        <v>1.6249787694197348E-3</v>
      </c>
      <c r="X150" s="127">
        <f t="shared" si="131"/>
        <v>1.2040034653081914E-3</v>
      </c>
      <c r="Y150" s="127">
        <f t="shared" si="131"/>
        <v>1.5875234671287105E-3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0</v>
      </c>
      <c r="C151" s="31">
        <f t="shared" si="132"/>
        <v>0</v>
      </c>
      <c r="D151" s="31">
        <f t="shared" si="132"/>
        <v>0</v>
      </c>
      <c r="E151" s="31">
        <f t="shared" si="132"/>
        <v>0</v>
      </c>
      <c r="F151" s="31">
        <f t="shared" si="132"/>
        <v>0</v>
      </c>
      <c r="G151" s="31">
        <f t="shared" si="132"/>
        <v>0</v>
      </c>
      <c r="H151" s="31">
        <f t="shared" si="132"/>
        <v>0</v>
      </c>
      <c r="I151" s="31">
        <f t="shared" si="132"/>
        <v>0</v>
      </c>
      <c r="J151" s="31">
        <f t="shared" si="132"/>
        <v>0</v>
      </c>
      <c r="K151" s="31">
        <f t="shared" si="132"/>
        <v>0</v>
      </c>
      <c r="L151" s="31">
        <f t="shared" si="132"/>
        <v>0</v>
      </c>
      <c r="M151" s="31">
        <f t="shared" si="132"/>
        <v>0</v>
      </c>
      <c r="N151" s="31">
        <f t="shared" si="132"/>
        <v>0</v>
      </c>
      <c r="O151" s="31">
        <f t="shared" si="132"/>
        <v>0</v>
      </c>
      <c r="P151" s="31">
        <f t="shared" si="132"/>
        <v>0</v>
      </c>
      <c r="Q151" s="31">
        <f t="shared" si="132"/>
        <v>0</v>
      </c>
      <c r="R151" s="31">
        <f t="shared" si="132"/>
        <v>0</v>
      </c>
      <c r="S151" s="31">
        <f t="shared" si="132"/>
        <v>0</v>
      </c>
      <c r="T151" s="31">
        <f t="shared" si="132"/>
        <v>0</v>
      </c>
      <c r="U151" s="31">
        <f t="shared" si="132"/>
        <v>0</v>
      </c>
      <c r="V151" s="31">
        <f t="shared" si="132"/>
        <v>0</v>
      </c>
      <c r="W151" s="31">
        <f t="shared" si="132"/>
        <v>0</v>
      </c>
      <c r="X151" s="31">
        <f t="shared" si="132"/>
        <v>0</v>
      </c>
      <c r="Y151" s="31">
        <f t="shared" si="132"/>
        <v>0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</v>
      </c>
      <c r="C152" s="140">
        <f t="shared" si="133"/>
        <v>0</v>
      </c>
      <c r="D152" s="140">
        <f t="shared" si="133"/>
        <v>0</v>
      </c>
      <c r="E152" s="140">
        <f t="shared" si="133"/>
        <v>0</v>
      </c>
      <c r="F152" s="140">
        <f t="shared" si="133"/>
        <v>0</v>
      </c>
      <c r="G152" s="140">
        <f t="shared" si="133"/>
        <v>0</v>
      </c>
      <c r="H152" s="140">
        <f t="shared" si="133"/>
        <v>0</v>
      </c>
      <c r="I152" s="140">
        <f t="shared" si="133"/>
        <v>0</v>
      </c>
      <c r="J152" s="140">
        <f t="shared" si="133"/>
        <v>0</v>
      </c>
      <c r="K152" s="140">
        <f t="shared" si="133"/>
        <v>0</v>
      </c>
      <c r="L152" s="140">
        <f t="shared" si="133"/>
        <v>0</v>
      </c>
      <c r="M152" s="140">
        <f t="shared" si="133"/>
        <v>0</v>
      </c>
      <c r="N152" s="140">
        <f t="shared" si="133"/>
        <v>0</v>
      </c>
      <c r="O152" s="140">
        <f t="shared" si="133"/>
        <v>0</v>
      </c>
      <c r="P152" s="140">
        <f t="shared" si="133"/>
        <v>0</v>
      </c>
      <c r="Q152" s="140">
        <f t="shared" si="133"/>
        <v>0</v>
      </c>
      <c r="R152" s="140">
        <f t="shared" si="133"/>
        <v>0</v>
      </c>
      <c r="S152" s="140">
        <f t="shared" si="133"/>
        <v>0</v>
      </c>
      <c r="T152" s="140">
        <f t="shared" si="133"/>
        <v>0</v>
      </c>
      <c r="U152" s="140">
        <f t="shared" si="133"/>
        <v>0</v>
      </c>
      <c r="V152" s="140">
        <f t="shared" si="133"/>
        <v>0</v>
      </c>
      <c r="W152" s="140">
        <f t="shared" si="133"/>
        <v>0</v>
      </c>
      <c r="X152" s="140">
        <f t="shared" si="133"/>
        <v>0</v>
      </c>
      <c r="Y152" s="140">
        <f t="shared" si="133"/>
        <v>0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</v>
      </c>
      <c r="C153" s="127">
        <f t="shared" si="134"/>
        <v>0</v>
      </c>
      <c r="D153" s="127">
        <f t="shared" si="134"/>
        <v>0</v>
      </c>
      <c r="E153" s="127">
        <f t="shared" si="134"/>
        <v>0</v>
      </c>
      <c r="F153" s="127">
        <f t="shared" si="134"/>
        <v>0</v>
      </c>
      <c r="G153" s="127">
        <f t="shared" si="134"/>
        <v>0</v>
      </c>
      <c r="H153" s="127">
        <f t="shared" si="134"/>
        <v>0</v>
      </c>
      <c r="I153" s="127">
        <f t="shared" si="134"/>
        <v>0</v>
      </c>
      <c r="J153" s="127">
        <f t="shared" si="134"/>
        <v>0</v>
      </c>
      <c r="K153" s="127">
        <f t="shared" si="134"/>
        <v>0</v>
      </c>
      <c r="L153" s="127">
        <f t="shared" si="134"/>
        <v>0</v>
      </c>
      <c r="M153" s="127">
        <f t="shared" si="134"/>
        <v>0</v>
      </c>
      <c r="N153" s="127">
        <f t="shared" si="134"/>
        <v>0</v>
      </c>
      <c r="O153" s="127">
        <f t="shared" si="134"/>
        <v>0</v>
      </c>
      <c r="P153" s="127">
        <f t="shared" si="134"/>
        <v>0</v>
      </c>
      <c r="Q153" s="127">
        <f t="shared" si="134"/>
        <v>0</v>
      </c>
      <c r="R153" s="127">
        <f t="shared" si="134"/>
        <v>0</v>
      </c>
      <c r="S153" s="127">
        <f t="shared" si="134"/>
        <v>0</v>
      </c>
      <c r="T153" s="127">
        <f t="shared" si="134"/>
        <v>0</v>
      </c>
      <c r="U153" s="127">
        <f t="shared" si="134"/>
        <v>0</v>
      </c>
      <c r="V153" s="127">
        <f t="shared" si="134"/>
        <v>0</v>
      </c>
      <c r="W153" s="127">
        <f t="shared" si="134"/>
        <v>0</v>
      </c>
      <c r="X153" s="127">
        <f t="shared" si="134"/>
        <v>0</v>
      </c>
      <c r="Y153" s="127">
        <f t="shared" si="134"/>
        <v>0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0.91162575940679969</v>
      </c>
      <c r="C157" s="139">
        <f t="shared" ref="C157:W157" si="138">IF(C65=0,0,C65/C$64)</f>
        <v>0.91310705229812639</v>
      </c>
      <c r="D157" s="139">
        <f t="shared" si="138"/>
        <v>0.91886081000635689</v>
      </c>
      <c r="E157" s="139">
        <f t="shared" si="138"/>
        <v>0.91132253804552477</v>
      </c>
      <c r="F157" s="139">
        <f t="shared" si="138"/>
        <v>0.89562567477889232</v>
      </c>
      <c r="G157" s="139">
        <f t="shared" si="138"/>
        <v>0.89585097135435376</v>
      </c>
      <c r="H157" s="139">
        <f t="shared" si="138"/>
        <v>0.89489893110619645</v>
      </c>
      <c r="I157" s="139">
        <f t="shared" si="138"/>
        <v>0.89217250795203651</v>
      </c>
      <c r="J157" s="139">
        <f t="shared" si="138"/>
        <v>0.88433861397164881</v>
      </c>
      <c r="K157" s="139">
        <f t="shared" si="138"/>
        <v>0.8932957421288682</v>
      </c>
      <c r="L157" s="139">
        <f t="shared" si="138"/>
        <v>0.89439416588380094</v>
      </c>
      <c r="M157" s="139">
        <f t="shared" si="138"/>
        <v>0.89254088518372954</v>
      </c>
      <c r="N157" s="139">
        <f t="shared" si="138"/>
        <v>0.8992863190004321</v>
      </c>
      <c r="O157" s="139">
        <f t="shared" si="138"/>
        <v>0.90240887855272156</v>
      </c>
      <c r="P157" s="139">
        <f t="shared" si="138"/>
        <v>0.90232567972901279</v>
      </c>
      <c r="Q157" s="139">
        <f t="shared" si="138"/>
        <v>0.89938941344970247</v>
      </c>
      <c r="R157" s="139">
        <f t="shared" si="138"/>
        <v>0.9002524360722659</v>
      </c>
      <c r="S157" s="139">
        <f t="shared" si="138"/>
        <v>0.89173836824803299</v>
      </c>
      <c r="T157" s="139">
        <f t="shared" si="138"/>
        <v>0.88598997710813188</v>
      </c>
      <c r="U157" s="139">
        <f t="shared" si="138"/>
        <v>0.88566585287927546</v>
      </c>
      <c r="V157" s="139">
        <f t="shared" si="138"/>
        <v>0.9507527341461508</v>
      </c>
      <c r="W157" s="139">
        <f t="shared" si="138"/>
        <v>0.94978447371588515</v>
      </c>
      <c r="X157" s="139">
        <f t="shared" ref="X157:Y157" si="139">IF(X65=0,0,X65/X$64)</f>
        <v>0.92641329066888345</v>
      </c>
      <c r="Y157" s="139">
        <f t="shared" si="139"/>
        <v>0.91260956580758246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1.8267149670583922E-2</v>
      </c>
      <c r="C158" s="140">
        <f t="shared" ref="C158:W158" si="140">IF(C66=0,0,C66/C$64)</f>
        <v>1.6540505076656099E-2</v>
      </c>
      <c r="D158" s="140">
        <f t="shared" si="140"/>
        <v>1.5730125453161194E-2</v>
      </c>
      <c r="E158" s="140">
        <f t="shared" si="140"/>
        <v>1.4002043973792181E-2</v>
      </c>
      <c r="F158" s="140">
        <f t="shared" si="140"/>
        <v>1.3379681841566548E-2</v>
      </c>
      <c r="G158" s="140">
        <f t="shared" si="140"/>
        <v>1.3249518955370403E-2</v>
      </c>
      <c r="H158" s="140">
        <f t="shared" si="140"/>
        <v>1.2654125431381074E-2</v>
      </c>
      <c r="I158" s="140">
        <f t="shared" si="140"/>
        <v>1.2573002015378332E-2</v>
      </c>
      <c r="J158" s="140">
        <f t="shared" si="140"/>
        <v>1.2719308195495278E-2</v>
      </c>
      <c r="K158" s="140">
        <f t="shared" si="140"/>
        <v>1.275558827410217E-2</v>
      </c>
      <c r="L158" s="140">
        <f t="shared" si="140"/>
        <v>1.3667708364590171E-2</v>
      </c>
      <c r="M158" s="140">
        <f t="shared" si="140"/>
        <v>1.3828158895520741E-2</v>
      </c>
      <c r="N158" s="140">
        <f t="shared" si="140"/>
        <v>1.4425547139781831E-2</v>
      </c>
      <c r="O158" s="140">
        <f t="shared" si="140"/>
        <v>1.438641353573707E-2</v>
      </c>
      <c r="P158" s="140">
        <f t="shared" si="140"/>
        <v>1.4225109056705385E-2</v>
      </c>
      <c r="Q158" s="140">
        <f t="shared" si="140"/>
        <v>1.4343604268520983E-2</v>
      </c>
      <c r="R158" s="140">
        <f t="shared" si="140"/>
        <v>1.3953423152325235E-2</v>
      </c>
      <c r="S158" s="140">
        <f t="shared" si="140"/>
        <v>1.2530871121771337E-2</v>
      </c>
      <c r="T158" s="140">
        <f t="shared" si="140"/>
        <v>1.1564811100322019E-2</v>
      </c>
      <c r="U158" s="140">
        <f t="shared" si="140"/>
        <v>1.1838820955562603E-2</v>
      </c>
      <c r="V158" s="140">
        <f t="shared" si="140"/>
        <v>1.2189527577401542E-2</v>
      </c>
      <c r="W158" s="140">
        <f t="shared" si="140"/>
        <v>1.2049169216808616E-2</v>
      </c>
      <c r="X158" s="140">
        <f t="shared" ref="X158:Y158" si="141">IF(X66=0,0,X66/X$64)</f>
        <v>1.1537284316391621E-2</v>
      </c>
      <c r="Y158" s="140">
        <f t="shared" si="141"/>
        <v>1.1682037622298157E-2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0.7718693697921325</v>
      </c>
      <c r="C159" s="140">
        <f t="shared" ref="C159:W159" si="142">IF(C67=0,0,C67/C$64)</f>
        <v>0.76741374373448779</v>
      </c>
      <c r="D159" s="140">
        <f t="shared" si="142"/>
        <v>0.78485912443927108</v>
      </c>
      <c r="E159" s="140">
        <f t="shared" si="142"/>
        <v>0.80009501409838846</v>
      </c>
      <c r="F159" s="140">
        <f t="shared" si="142"/>
        <v>0.79560386706310948</v>
      </c>
      <c r="G159" s="140">
        <f t="shared" si="142"/>
        <v>0.79989887070978938</v>
      </c>
      <c r="H159" s="140">
        <f t="shared" si="142"/>
        <v>0.79817796216883186</v>
      </c>
      <c r="I159" s="140">
        <f t="shared" si="142"/>
        <v>0.79854664826138055</v>
      </c>
      <c r="J159" s="140">
        <f t="shared" si="142"/>
        <v>0.79104239292741052</v>
      </c>
      <c r="K159" s="140">
        <f t="shared" si="142"/>
        <v>0.79975986441950309</v>
      </c>
      <c r="L159" s="140">
        <f t="shared" si="142"/>
        <v>0.79250514909189285</v>
      </c>
      <c r="M159" s="140">
        <f t="shared" si="142"/>
        <v>0.79594159999543379</v>
      </c>
      <c r="N159" s="140">
        <f t="shared" si="142"/>
        <v>0.8020249681421181</v>
      </c>
      <c r="O159" s="140">
        <f t="shared" si="142"/>
        <v>0.80255507666852732</v>
      </c>
      <c r="P159" s="140">
        <f t="shared" si="142"/>
        <v>0.80216403584392759</v>
      </c>
      <c r="Q159" s="140">
        <f t="shared" si="142"/>
        <v>0.80277851461954275</v>
      </c>
      <c r="R159" s="140">
        <f t="shared" si="142"/>
        <v>0.80949510710667483</v>
      </c>
      <c r="S159" s="140">
        <f t="shared" si="142"/>
        <v>0.80205783195332869</v>
      </c>
      <c r="T159" s="140">
        <f t="shared" si="142"/>
        <v>0.79681595075918432</v>
      </c>
      <c r="U159" s="140">
        <f t="shared" si="142"/>
        <v>0.7978901345838626</v>
      </c>
      <c r="V159" s="140">
        <f t="shared" si="142"/>
        <v>0.87340678762286672</v>
      </c>
      <c r="W159" s="140">
        <f t="shared" si="142"/>
        <v>0.87737118650817258</v>
      </c>
      <c r="X159" s="140">
        <f t="shared" ref="X159:Y159" si="143">IF(X67=0,0,X67/X$64)</f>
        <v>0.85052977341023761</v>
      </c>
      <c r="Y159" s="140">
        <f t="shared" si="143"/>
        <v>0.84010269886162692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0.12148923994408334</v>
      </c>
      <c r="C160" s="140">
        <f t="shared" ref="C160:W160" si="144">IF(C68=0,0,C68/C$64)</f>
        <v>0.1291528034869826</v>
      </c>
      <c r="D160" s="140">
        <f t="shared" si="144"/>
        <v>0.11827156011392465</v>
      </c>
      <c r="E160" s="140">
        <f t="shared" si="144"/>
        <v>9.7225479973344256E-2</v>
      </c>
      <c r="F160" s="140">
        <f t="shared" si="144"/>
        <v>8.6642125874216339E-2</v>
      </c>
      <c r="G160" s="140">
        <f t="shared" si="144"/>
        <v>8.2702581689193908E-2</v>
      </c>
      <c r="H160" s="140">
        <f t="shared" si="144"/>
        <v>8.4066843505983521E-2</v>
      </c>
      <c r="I160" s="140">
        <f t="shared" si="144"/>
        <v>8.105285767527752E-2</v>
      </c>
      <c r="J160" s="140">
        <f t="shared" si="144"/>
        <v>8.0576912848742993E-2</v>
      </c>
      <c r="K160" s="140">
        <f t="shared" si="144"/>
        <v>8.0780289435263039E-2</v>
      </c>
      <c r="L160" s="140">
        <f t="shared" si="144"/>
        <v>8.8221308427317874E-2</v>
      </c>
      <c r="M160" s="140">
        <f t="shared" si="144"/>
        <v>8.2771126292775138E-2</v>
      </c>
      <c r="N160" s="140">
        <f t="shared" si="144"/>
        <v>8.2835803718532164E-2</v>
      </c>
      <c r="O160" s="140">
        <f t="shared" si="144"/>
        <v>8.546738834845706E-2</v>
      </c>
      <c r="P160" s="140">
        <f t="shared" si="144"/>
        <v>8.5936534828379943E-2</v>
      </c>
      <c r="Q160" s="140">
        <f t="shared" si="144"/>
        <v>8.2267294561638657E-2</v>
      </c>
      <c r="R160" s="140">
        <f t="shared" si="144"/>
        <v>7.6803905813265766E-2</v>
      </c>
      <c r="S160" s="140">
        <f t="shared" si="144"/>
        <v>7.7149665172932855E-2</v>
      </c>
      <c r="T160" s="140">
        <f t="shared" si="144"/>
        <v>7.7609215248625518E-2</v>
      </c>
      <c r="U160" s="140">
        <f t="shared" si="144"/>
        <v>7.593689733985029E-2</v>
      </c>
      <c r="V160" s="140">
        <f t="shared" si="144"/>
        <v>6.5156418945882519E-2</v>
      </c>
      <c r="W160" s="140">
        <f t="shared" si="144"/>
        <v>6.0364117990903923E-2</v>
      </c>
      <c r="X160" s="140">
        <f t="shared" ref="X160:Y160" si="145">IF(X68=0,0,X68/X$64)</f>
        <v>6.4346232942254222E-2</v>
      </c>
      <c r="Y160" s="140">
        <f t="shared" si="145"/>
        <v>6.0824829323657258E-2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2.587415900650691E-2</v>
      </c>
      <c r="C161" s="124">
        <f t="shared" ref="C161:W161" si="146">IF(C69=0,0,C69/C$64)</f>
        <v>2.363689564726288E-2</v>
      </c>
      <c r="D161" s="124">
        <f t="shared" si="146"/>
        <v>2.2692392579208583E-2</v>
      </c>
      <c r="E161" s="124">
        <f t="shared" si="146"/>
        <v>2.0257843781153122E-2</v>
      </c>
      <c r="F161" s="124">
        <f t="shared" si="146"/>
        <v>1.917435941784449E-2</v>
      </c>
      <c r="G161" s="124">
        <f t="shared" si="146"/>
        <v>1.9286976061221966E-2</v>
      </c>
      <c r="H161" s="124">
        <f t="shared" si="146"/>
        <v>1.9680796164491841E-2</v>
      </c>
      <c r="I161" s="124">
        <f t="shared" si="146"/>
        <v>1.8125766583722103E-2</v>
      </c>
      <c r="J161" s="124">
        <f t="shared" si="146"/>
        <v>2.0997508984805787E-2</v>
      </c>
      <c r="K161" s="124">
        <f t="shared" si="146"/>
        <v>1.848682856389644E-2</v>
      </c>
      <c r="L161" s="124">
        <f t="shared" si="146"/>
        <v>1.9433029339022596E-2</v>
      </c>
      <c r="M161" s="124">
        <f t="shared" si="146"/>
        <v>1.9106346787370877E-2</v>
      </c>
      <c r="N161" s="124">
        <f t="shared" si="146"/>
        <v>2.0362801586638127E-2</v>
      </c>
      <c r="O161" s="124">
        <f t="shared" si="146"/>
        <v>2.001147658311702E-2</v>
      </c>
      <c r="P161" s="124">
        <f t="shared" si="146"/>
        <v>1.8667781935365713E-2</v>
      </c>
      <c r="Q161" s="124">
        <f t="shared" si="146"/>
        <v>1.7737885478884479E-2</v>
      </c>
      <c r="R161" s="124">
        <f t="shared" si="146"/>
        <v>1.53639089256014E-2</v>
      </c>
      <c r="S161" s="124">
        <f t="shared" si="146"/>
        <v>1.5781518403057065E-2</v>
      </c>
      <c r="T161" s="124">
        <f t="shared" si="146"/>
        <v>1.5446024931178094E-2</v>
      </c>
      <c r="U161" s="124">
        <f t="shared" si="146"/>
        <v>1.413773600254372E-2</v>
      </c>
      <c r="V161" s="124">
        <f t="shared" si="146"/>
        <v>1.3709995547835236E-2</v>
      </c>
      <c r="W161" s="124">
        <f t="shared" si="146"/>
        <v>1.2590347502806997E-2</v>
      </c>
      <c r="X161" s="124">
        <f t="shared" ref="X161:Y161" si="147">IF(X69=0,0,X69/X$64)</f>
        <v>1.1688123615107246E-2</v>
      </c>
      <c r="Y161" s="124">
        <f t="shared" si="147"/>
        <v>1.0968672427691619E-2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2.587415900650691E-2</v>
      </c>
      <c r="C163" s="140">
        <f t="shared" ref="C163:W163" si="150">IF(C71=0,0,C71/C$64)</f>
        <v>2.363689564726288E-2</v>
      </c>
      <c r="D163" s="140">
        <f t="shared" si="150"/>
        <v>2.2692392579208583E-2</v>
      </c>
      <c r="E163" s="140">
        <f t="shared" si="150"/>
        <v>2.0257843781153122E-2</v>
      </c>
      <c r="F163" s="140">
        <f t="shared" si="150"/>
        <v>1.917435941784449E-2</v>
      </c>
      <c r="G163" s="140">
        <f t="shared" si="150"/>
        <v>1.9286976061221966E-2</v>
      </c>
      <c r="H163" s="140">
        <f t="shared" si="150"/>
        <v>1.9680796164491841E-2</v>
      </c>
      <c r="I163" s="140">
        <f t="shared" si="150"/>
        <v>1.8125766583722103E-2</v>
      </c>
      <c r="J163" s="140">
        <f t="shared" si="150"/>
        <v>2.0997508984805787E-2</v>
      </c>
      <c r="K163" s="140">
        <f t="shared" si="150"/>
        <v>1.848682856389644E-2</v>
      </c>
      <c r="L163" s="140">
        <f t="shared" si="150"/>
        <v>1.9433029339022596E-2</v>
      </c>
      <c r="M163" s="140">
        <f t="shared" si="150"/>
        <v>1.9106346787370877E-2</v>
      </c>
      <c r="N163" s="140">
        <f t="shared" si="150"/>
        <v>2.0362801586638127E-2</v>
      </c>
      <c r="O163" s="140">
        <f t="shared" si="150"/>
        <v>2.001147658311702E-2</v>
      </c>
      <c r="P163" s="140">
        <f t="shared" si="150"/>
        <v>1.8667781935365713E-2</v>
      </c>
      <c r="Q163" s="140">
        <f t="shared" si="150"/>
        <v>1.7737885478884479E-2</v>
      </c>
      <c r="R163" s="140">
        <f t="shared" si="150"/>
        <v>1.53639089256014E-2</v>
      </c>
      <c r="S163" s="140">
        <f t="shared" si="150"/>
        <v>1.5781518403057065E-2</v>
      </c>
      <c r="T163" s="140">
        <f t="shared" si="150"/>
        <v>1.5446024931178094E-2</v>
      </c>
      <c r="U163" s="140">
        <f t="shared" si="150"/>
        <v>1.413773600254372E-2</v>
      </c>
      <c r="V163" s="140">
        <f t="shared" si="150"/>
        <v>1.3709995547835236E-2</v>
      </c>
      <c r="W163" s="140">
        <f t="shared" si="150"/>
        <v>1.2590347502806997E-2</v>
      </c>
      <c r="X163" s="140">
        <f t="shared" ref="X163:Y163" si="151">IF(X71=0,0,X71/X$64)</f>
        <v>1.1688123615107246E-2</v>
      </c>
      <c r="Y163" s="140">
        <f t="shared" si="151"/>
        <v>1.0968672427691619E-2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6.2500081586693498E-2</v>
      </c>
      <c r="C165" s="124">
        <f t="shared" ref="C165:W165" si="154">IF(C73=0,0,C73/C$64)</f>
        <v>6.3256052054610726E-2</v>
      </c>
      <c r="D165" s="124">
        <f t="shared" si="154"/>
        <v>5.8446797414434433E-2</v>
      </c>
      <c r="E165" s="124">
        <f t="shared" si="154"/>
        <v>6.8419618173322205E-2</v>
      </c>
      <c r="F165" s="124">
        <f t="shared" si="154"/>
        <v>8.5199965803263347E-2</v>
      </c>
      <c r="G165" s="124">
        <f t="shared" si="154"/>
        <v>8.486205258442428E-2</v>
      </c>
      <c r="H165" s="124">
        <f t="shared" si="154"/>
        <v>8.5420272729311755E-2</v>
      </c>
      <c r="I165" s="124">
        <f t="shared" si="154"/>
        <v>8.9701725464241419E-2</v>
      </c>
      <c r="J165" s="124">
        <f t="shared" si="154"/>
        <v>9.4663877043545452E-2</v>
      </c>
      <c r="K165" s="124">
        <f t="shared" si="154"/>
        <v>8.8217429307235376E-2</v>
      </c>
      <c r="L165" s="124">
        <f t="shared" si="154"/>
        <v>8.6172804777176426E-2</v>
      </c>
      <c r="M165" s="124">
        <f t="shared" si="154"/>
        <v>8.835276802889952E-2</v>
      </c>
      <c r="N165" s="124">
        <f t="shared" si="154"/>
        <v>8.0350879412929829E-2</v>
      </c>
      <c r="O165" s="124">
        <f t="shared" si="154"/>
        <v>7.7579644864161412E-2</v>
      </c>
      <c r="P165" s="124">
        <f t="shared" si="154"/>
        <v>7.9006538335621504E-2</v>
      </c>
      <c r="Q165" s="124">
        <f t="shared" si="154"/>
        <v>8.287270107141298E-2</v>
      </c>
      <c r="R165" s="124">
        <f t="shared" si="154"/>
        <v>8.438365500213281E-2</v>
      </c>
      <c r="S165" s="124">
        <f t="shared" si="154"/>
        <v>9.2480113348910015E-2</v>
      </c>
      <c r="T165" s="124">
        <f t="shared" si="154"/>
        <v>9.8563997960689972E-2</v>
      </c>
      <c r="U165" s="124">
        <f t="shared" si="154"/>
        <v>0.10019641111818088</v>
      </c>
      <c r="V165" s="124">
        <f t="shared" si="154"/>
        <v>3.5537270306013953E-2</v>
      </c>
      <c r="W165" s="124">
        <f t="shared" si="154"/>
        <v>3.7625178781307861E-2</v>
      </c>
      <c r="X165" s="124">
        <f t="shared" ref="X165:Y165" si="155">IF(X73=0,0,X73/X$64)</f>
        <v>6.1898585716009341E-2</v>
      </c>
      <c r="Y165" s="124">
        <f t="shared" si="155"/>
        <v>7.6421761764725982E-2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1.2757084858866315E-2</v>
      </c>
      <c r="C166" s="140">
        <f t="shared" ref="C166:W166" si="156">IF(C74=0,0,C74/C$64)</f>
        <v>1.5678884817581167E-2</v>
      </c>
      <c r="D166" s="140">
        <f t="shared" si="156"/>
        <v>1.0834565082846184E-2</v>
      </c>
      <c r="E166" s="140">
        <f t="shared" si="156"/>
        <v>1.5971175680398877E-2</v>
      </c>
      <c r="F166" s="140">
        <f t="shared" si="156"/>
        <v>1.1660164648702764E-2</v>
      </c>
      <c r="G166" s="140">
        <f t="shared" si="156"/>
        <v>7.5199385086254771E-3</v>
      </c>
      <c r="H166" s="140">
        <f t="shared" si="156"/>
        <v>4.0663810995084032E-3</v>
      </c>
      <c r="I166" s="140">
        <f t="shared" si="156"/>
        <v>8.7205931074272811E-3</v>
      </c>
      <c r="J166" s="140">
        <f t="shared" si="156"/>
        <v>1.0947948268842512E-2</v>
      </c>
      <c r="K166" s="140">
        <f t="shared" si="156"/>
        <v>7.6216309356120938E-3</v>
      </c>
      <c r="L166" s="140">
        <f t="shared" si="156"/>
        <v>7.5670131526114045E-3</v>
      </c>
      <c r="M166" s="140">
        <f t="shared" si="156"/>
        <v>1.1149102243102383E-2</v>
      </c>
      <c r="N166" s="140">
        <f t="shared" si="156"/>
        <v>5.5586836679967274E-3</v>
      </c>
      <c r="O166" s="140">
        <f t="shared" si="156"/>
        <v>5.0615846263774786E-3</v>
      </c>
      <c r="P166" s="140">
        <f t="shared" si="156"/>
        <v>4.8217278811001924E-3</v>
      </c>
      <c r="Q166" s="140">
        <f t="shared" si="156"/>
        <v>9.7389744413067542E-3</v>
      </c>
      <c r="R166" s="140">
        <f t="shared" si="156"/>
        <v>1.0242975559672763E-2</v>
      </c>
      <c r="S166" s="140">
        <f t="shared" si="156"/>
        <v>1.2186853821515693E-2</v>
      </c>
      <c r="T166" s="140">
        <f t="shared" si="156"/>
        <v>7.0271334373939584E-3</v>
      </c>
      <c r="U166" s="140">
        <f t="shared" si="156"/>
        <v>8.417232247455891E-3</v>
      </c>
      <c r="V166" s="140">
        <f t="shared" si="156"/>
        <v>7.5848481485372319E-3</v>
      </c>
      <c r="W166" s="140">
        <f t="shared" si="156"/>
        <v>1.1303246875798078E-3</v>
      </c>
      <c r="X166" s="140">
        <f t="shared" ref="X166:Y166" si="157">IF(X74=0,0,X74/X$64)</f>
        <v>1.3219855340015265E-3</v>
      </c>
      <c r="Y166" s="140">
        <f t="shared" si="157"/>
        <v>1.3795721561264908E-3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2.9822210721143182E-2</v>
      </c>
      <c r="C167" s="140">
        <f t="shared" ref="C167:W167" si="158">IF(C75=0,0,C75/C$64)</f>
        <v>2.8522363450596583E-2</v>
      </c>
      <c r="D167" s="140">
        <f t="shared" si="158"/>
        <v>2.8543200553910061E-2</v>
      </c>
      <c r="E167" s="140">
        <f t="shared" si="158"/>
        <v>3.2739799633439329E-2</v>
      </c>
      <c r="F167" s="140">
        <f t="shared" si="158"/>
        <v>4.7490401468514951E-2</v>
      </c>
      <c r="G167" s="140">
        <f t="shared" si="158"/>
        <v>5.0994241505683768E-2</v>
      </c>
      <c r="H167" s="140">
        <f t="shared" si="158"/>
        <v>5.3224441991831267E-2</v>
      </c>
      <c r="I167" s="140">
        <f t="shared" si="158"/>
        <v>5.3286150595421369E-2</v>
      </c>
      <c r="J167" s="140">
        <f t="shared" si="158"/>
        <v>5.3910494429947775E-2</v>
      </c>
      <c r="K167" s="140">
        <f t="shared" si="158"/>
        <v>5.0295606227173363E-2</v>
      </c>
      <c r="L167" s="140">
        <f t="shared" si="158"/>
        <v>4.8293881641685549E-2</v>
      </c>
      <c r="M167" s="140">
        <f t="shared" si="158"/>
        <v>4.7013133209298646E-2</v>
      </c>
      <c r="N167" s="140">
        <f t="shared" si="158"/>
        <v>4.5102749289061175E-2</v>
      </c>
      <c r="O167" s="140">
        <f t="shared" si="158"/>
        <v>4.3675236084751053E-2</v>
      </c>
      <c r="P167" s="140">
        <f t="shared" si="158"/>
        <v>4.4780549109977572E-2</v>
      </c>
      <c r="Q167" s="140">
        <f t="shared" si="158"/>
        <v>4.4489463628698551E-2</v>
      </c>
      <c r="R167" s="140">
        <f t="shared" si="158"/>
        <v>4.6406359856965215E-2</v>
      </c>
      <c r="S167" s="140">
        <f t="shared" si="158"/>
        <v>5.1109140352541139E-2</v>
      </c>
      <c r="T167" s="140">
        <f t="shared" si="158"/>
        <v>5.8378891753112894E-2</v>
      </c>
      <c r="U167" s="140">
        <f t="shared" si="158"/>
        <v>5.7573889535020746E-2</v>
      </c>
      <c r="V167" s="140">
        <f t="shared" si="158"/>
        <v>1.5472189202796022E-2</v>
      </c>
      <c r="W167" s="140">
        <f t="shared" si="158"/>
        <v>2.13538300309431E-2</v>
      </c>
      <c r="X167" s="140">
        <f t="shared" ref="X167:Y167" si="159">IF(X75=0,0,X75/X$64)</f>
        <v>3.869327469375404E-2</v>
      </c>
      <c r="Y167" s="140">
        <f t="shared" si="159"/>
        <v>4.7610410635214914E-2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1.9920786006684007E-2</v>
      </c>
      <c r="C168" s="140">
        <f t="shared" ref="C168:W168" si="160">IF(C76=0,0,C76/C$64)</f>
        <v>1.9054803786432983E-2</v>
      </c>
      <c r="D168" s="140">
        <f t="shared" si="160"/>
        <v>1.9069031777678193E-2</v>
      </c>
      <c r="E168" s="140">
        <f t="shared" si="160"/>
        <v>1.9708642859484003E-2</v>
      </c>
      <c r="F168" s="140">
        <f t="shared" si="160"/>
        <v>2.6049399686045624E-2</v>
      </c>
      <c r="G168" s="140">
        <f t="shared" si="160"/>
        <v>2.6347872570115023E-2</v>
      </c>
      <c r="H168" s="140">
        <f t="shared" si="160"/>
        <v>2.8129449637972082E-2</v>
      </c>
      <c r="I168" s="140">
        <f t="shared" si="160"/>
        <v>2.7694981761392758E-2</v>
      </c>
      <c r="J168" s="140">
        <f t="shared" si="160"/>
        <v>2.9805434344755181E-2</v>
      </c>
      <c r="K168" s="140">
        <f t="shared" si="160"/>
        <v>3.030019214444991E-2</v>
      </c>
      <c r="L168" s="140">
        <f t="shared" si="160"/>
        <v>3.0311909982879477E-2</v>
      </c>
      <c r="M168" s="140">
        <f t="shared" si="160"/>
        <v>3.019053257649849E-2</v>
      </c>
      <c r="N168" s="140">
        <f t="shared" si="160"/>
        <v>2.9689446455871932E-2</v>
      </c>
      <c r="O168" s="140">
        <f t="shared" si="160"/>
        <v>2.8842824153032888E-2</v>
      </c>
      <c r="P168" s="140">
        <f t="shared" si="160"/>
        <v>2.9404261344543742E-2</v>
      </c>
      <c r="Q168" s="140">
        <f t="shared" si="160"/>
        <v>2.8644263001407669E-2</v>
      </c>
      <c r="R168" s="140">
        <f t="shared" si="160"/>
        <v>2.7734319585494847E-2</v>
      </c>
      <c r="S168" s="140">
        <f t="shared" si="160"/>
        <v>2.9184119174853182E-2</v>
      </c>
      <c r="T168" s="140">
        <f t="shared" si="160"/>
        <v>3.315797277018312E-2</v>
      </c>
      <c r="U168" s="140">
        <f t="shared" si="160"/>
        <v>3.4205289335704242E-2</v>
      </c>
      <c r="V168" s="140">
        <f t="shared" si="160"/>
        <v>1.2480232954680705E-2</v>
      </c>
      <c r="W168" s="140">
        <f t="shared" si="160"/>
        <v>1.5141024062784949E-2</v>
      </c>
      <c r="X168" s="140">
        <f t="shared" ref="X168:Y168" si="161">IF(X76=0,0,X76/X$64)</f>
        <v>2.1883325488253773E-2</v>
      </c>
      <c r="Y168" s="140">
        <f t="shared" si="161"/>
        <v>2.7431778973384582E-2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0.95307085822512005</v>
      </c>
      <c r="C170" s="139">
        <f t="shared" ref="C170:W170" si="165">IF(C78=0,0,C78/C$77)</f>
        <v>0.95997178176217079</v>
      </c>
      <c r="D170" s="139">
        <f t="shared" si="165"/>
        <v>0.96685726052050935</v>
      </c>
      <c r="E170" s="139">
        <f t="shared" si="165"/>
        <v>0.97439472977957731</v>
      </c>
      <c r="F170" s="139">
        <f t="shared" si="165"/>
        <v>0.97602377656039996</v>
      </c>
      <c r="G170" s="139">
        <f t="shared" si="165"/>
        <v>0.9805037809561965</v>
      </c>
      <c r="H170" s="139">
        <f t="shared" si="165"/>
        <v>0.9796131229392806</v>
      </c>
      <c r="I170" s="139">
        <f t="shared" si="165"/>
        <v>0.98081384481167544</v>
      </c>
      <c r="J170" s="139">
        <f t="shared" si="165"/>
        <v>0.98126922743661404</v>
      </c>
      <c r="K170" s="139">
        <f t="shared" si="165"/>
        <v>0.97948024547690449</v>
      </c>
      <c r="L170" s="139">
        <f t="shared" si="165"/>
        <v>0.97998676178006838</v>
      </c>
      <c r="M170" s="139">
        <f t="shared" si="165"/>
        <v>0.97841673924336381</v>
      </c>
      <c r="N170" s="139">
        <f t="shared" si="165"/>
        <v>0.98120593953497204</v>
      </c>
      <c r="O170" s="139">
        <f t="shared" si="165"/>
        <v>0.98359403958230263</v>
      </c>
      <c r="P170" s="139">
        <f t="shared" si="165"/>
        <v>0.98176025160290792</v>
      </c>
      <c r="Q170" s="139">
        <f t="shared" si="165"/>
        <v>0.98294093062099308</v>
      </c>
      <c r="R170" s="139">
        <f t="shared" si="165"/>
        <v>0.98283148014770649</v>
      </c>
      <c r="S170" s="139">
        <f t="shared" si="165"/>
        <v>0.98316311158400416</v>
      </c>
      <c r="T170" s="139">
        <f t="shared" si="165"/>
        <v>0.983551482377793</v>
      </c>
      <c r="U170" s="139">
        <f t="shared" si="165"/>
        <v>0.97947978837678229</v>
      </c>
      <c r="V170" s="139">
        <f t="shared" si="165"/>
        <v>0.97997119739243999</v>
      </c>
      <c r="W170" s="139">
        <f t="shared" si="165"/>
        <v>0.98683861141329987</v>
      </c>
      <c r="X170" s="139">
        <f t="shared" ref="X170:Y170" si="166">IF(X78=0,0,X78/X$77)</f>
        <v>0.98484561678300109</v>
      </c>
      <c r="Y170" s="139">
        <f t="shared" si="166"/>
        <v>0.98597509471321854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0.15105617887724743</v>
      </c>
      <c r="C171" s="140">
        <f t="shared" ref="C171:W171" si="167">IF(C79=0,0,C79/C$77)</f>
        <v>0.1506592979391749</v>
      </c>
      <c r="D171" s="140">
        <f t="shared" si="167"/>
        <v>0.15823874484150735</v>
      </c>
      <c r="E171" s="140">
        <f t="shared" si="167"/>
        <v>0.15206417871797823</v>
      </c>
      <c r="F171" s="140">
        <f t="shared" si="167"/>
        <v>0.15855426563495703</v>
      </c>
      <c r="G171" s="140">
        <f t="shared" si="167"/>
        <v>0.16174792478305791</v>
      </c>
      <c r="H171" s="140">
        <f t="shared" si="167"/>
        <v>0.17295313323216555</v>
      </c>
      <c r="I171" s="140">
        <f t="shared" si="167"/>
        <v>0.18307837414807746</v>
      </c>
      <c r="J171" s="140">
        <f t="shared" si="167"/>
        <v>0.21949109996533889</v>
      </c>
      <c r="K171" s="140">
        <f t="shared" si="167"/>
        <v>0.23780287502408637</v>
      </c>
      <c r="L171" s="140">
        <f t="shared" si="167"/>
        <v>0.26650230566540373</v>
      </c>
      <c r="M171" s="140">
        <f t="shared" si="167"/>
        <v>0.27249263110321997</v>
      </c>
      <c r="N171" s="140">
        <f t="shared" si="167"/>
        <v>0.28208660235843369</v>
      </c>
      <c r="O171" s="140">
        <f t="shared" si="167"/>
        <v>0.30177448873365031</v>
      </c>
      <c r="P171" s="140">
        <f t="shared" si="167"/>
        <v>0.31338582030641388</v>
      </c>
      <c r="Q171" s="140">
        <f t="shared" si="167"/>
        <v>0.31296396273916077</v>
      </c>
      <c r="R171" s="140">
        <f t="shared" si="167"/>
        <v>0.26270243127294496</v>
      </c>
      <c r="S171" s="140">
        <f t="shared" si="167"/>
        <v>0.26033140921555464</v>
      </c>
      <c r="T171" s="140">
        <f t="shared" si="167"/>
        <v>0.26254085959797602</v>
      </c>
      <c r="U171" s="140">
        <f t="shared" si="167"/>
        <v>0.26260714901400289</v>
      </c>
      <c r="V171" s="140">
        <f t="shared" si="167"/>
        <v>0.26922060073539772</v>
      </c>
      <c r="W171" s="140">
        <f t="shared" si="167"/>
        <v>0.24815960433258089</v>
      </c>
      <c r="X171" s="140">
        <f t="shared" ref="X171:Y171" si="168">IF(X79=0,0,X79/X$77)</f>
        <v>0.2472772976618669</v>
      </c>
      <c r="Y171" s="140">
        <f t="shared" si="168"/>
        <v>0.24893356025811977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0.80201467934787252</v>
      </c>
      <c r="C172" s="140">
        <f t="shared" ref="C172:W172" si="169">IF(C80=0,0,C80/C$77)</f>
        <v>0.80931248382299592</v>
      </c>
      <c r="D172" s="140">
        <f t="shared" si="169"/>
        <v>0.808618515679002</v>
      </c>
      <c r="E172" s="140">
        <f t="shared" si="169"/>
        <v>0.82233055106159902</v>
      </c>
      <c r="F172" s="140">
        <f t="shared" si="169"/>
        <v>0.81746951092544295</v>
      </c>
      <c r="G172" s="140">
        <f t="shared" si="169"/>
        <v>0.81875585617313851</v>
      </c>
      <c r="H172" s="140">
        <f t="shared" si="169"/>
        <v>0.80665998970711505</v>
      </c>
      <c r="I172" s="140">
        <f t="shared" si="169"/>
        <v>0.79773547066359796</v>
      </c>
      <c r="J172" s="140">
        <f t="shared" si="169"/>
        <v>0.76177812747127516</v>
      </c>
      <c r="K172" s="140">
        <f t="shared" si="169"/>
        <v>0.74167737045281812</v>
      </c>
      <c r="L172" s="140">
        <f t="shared" si="169"/>
        <v>0.7134844561146646</v>
      </c>
      <c r="M172" s="140">
        <f t="shared" si="169"/>
        <v>0.70592410814014372</v>
      </c>
      <c r="N172" s="140">
        <f t="shared" si="169"/>
        <v>0.6991193371765384</v>
      </c>
      <c r="O172" s="140">
        <f t="shared" si="169"/>
        <v>0.68181955084865242</v>
      </c>
      <c r="P172" s="140">
        <f t="shared" si="169"/>
        <v>0.66837443129649399</v>
      </c>
      <c r="Q172" s="140">
        <f t="shared" si="169"/>
        <v>0.66997696788183236</v>
      </c>
      <c r="R172" s="140">
        <f t="shared" si="169"/>
        <v>0.72012904887476159</v>
      </c>
      <c r="S172" s="140">
        <f t="shared" si="169"/>
        <v>0.72283170236844962</v>
      </c>
      <c r="T172" s="140">
        <f t="shared" si="169"/>
        <v>0.72101062277981698</v>
      </c>
      <c r="U172" s="140">
        <f t="shared" si="169"/>
        <v>0.71687263936277945</v>
      </c>
      <c r="V172" s="140">
        <f t="shared" si="169"/>
        <v>0.71075059665704221</v>
      </c>
      <c r="W172" s="140">
        <f t="shared" si="169"/>
        <v>0.73867900708071887</v>
      </c>
      <c r="X172" s="140">
        <f t="shared" ref="X172:Y172" si="170">IF(X80=0,0,X80/X$77)</f>
        <v>0.73756831912113408</v>
      </c>
      <c r="Y172" s="140">
        <f t="shared" si="170"/>
        <v>0.73704153445509879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2.9888355169968281E-2</v>
      </c>
      <c r="C173" s="124">
        <f t="shared" ref="C173:W173" si="171">IF(C81=0,0,C81/C$77)</f>
        <v>2.2142051090911191E-2</v>
      </c>
      <c r="D173" s="124">
        <f t="shared" si="171"/>
        <v>1.8862948809077847E-2</v>
      </c>
      <c r="E173" s="124">
        <f t="shared" si="171"/>
        <v>1.4422242032302832E-2</v>
      </c>
      <c r="F173" s="124">
        <f t="shared" si="171"/>
        <v>1.2900827815786936E-2</v>
      </c>
      <c r="G173" s="124">
        <f t="shared" si="171"/>
        <v>1.0037917050513006E-2</v>
      </c>
      <c r="H173" s="124">
        <f t="shared" si="171"/>
        <v>1.1242655603040054E-2</v>
      </c>
      <c r="I173" s="124">
        <f t="shared" si="171"/>
        <v>1.1418845397341124E-2</v>
      </c>
      <c r="J173" s="124">
        <f t="shared" si="171"/>
        <v>1.1250032933964973E-2</v>
      </c>
      <c r="K173" s="124">
        <f t="shared" si="171"/>
        <v>1.2128355865276367E-2</v>
      </c>
      <c r="L173" s="124">
        <f t="shared" si="171"/>
        <v>1.1767132152686445E-2</v>
      </c>
      <c r="M173" s="124">
        <f t="shared" si="171"/>
        <v>1.1585593342714973E-2</v>
      </c>
      <c r="N173" s="124">
        <f t="shared" si="171"/>
        <v>8.4614126949866027E-3</v>
      </c>
      <c r="O173" s="124">
        <f t="shared" si="171"/>
        <v>8.3387965038374378E-3</v>
      </c>
      <c r="P173" s="124">
        <f t="shared" si="171"/>
        <v>1.0773012759497953E-2</v>
      </c>
      <c r="Q173" s="124">
        <f t="shared" si="171"/>
        <v>9.7902562753923953E-3</v>
      </c>
      <c r="R173" s="124">
        <f t="shared" si="171"/>
        <v>8.8846204465715499E-3</v>
      </c>
      <c r="S173" s="124">
        <f t="shared" si="171"/>
        <v>8.2187631979363258E-3</v>
      </c>
      <c r="T173" s="124">
        <f t="shared" si="171"/>
        <v>7.9717964510856894E-3</v>
      </c>
      <c r="U173" s="124">
        <f t="shared" si="171"/>
        <v>8.3370988930781056E-3</v>
      </c>
      <c r="V173" s="124">
        <f t="shared" si="171"/>
        <v>9.1830875108406054E-3</v>
      </c>
      <c r="W173" s="124">
        <f t="shared" si="171"/>
        <v>8.1988897901759325E-3</v>
      </c>
      <c r="X173" s="124">
        <f t="shared" ref="X173:Y173" si="172">IF(X81=0,0,X81/X$77)</f>
        <v>1.100833915812017E-2</v>
      </c>
      <c r="Y173" s="124">
        <f t="shared" si="172"/>
        <v>9.8541414224310748E-3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1.2086148699633426E-2</v>
      </c>
      <c r="C174" s="124">
        <f t="shared" ref="C174:W174" si="173">IF(C82=0,0,C82/C$77)</f>
        <v>1.0772461885851682E-2</v>
      </c>
      <c r="D174" s="124">
        <f t="shared" si="173"/>
        <v>1.1017222597227101E-2</v>
      </c>
      <c r="E174" s="124">
        <f t="shared" si="173"/>
        <v>8.4615416711105521E-3</v>
      </c>
      <c r="F174" s="124">
        <f t="shared" si="173"/>
        <v>7.4257241559003116E-3</v>
      </c>
      <c r="G174" s="124">
        <f t="shared" si="173"/>
        <v>6.8722217838787765E-3</v>
      </c>
      <c r="H174" s="124">
        <f t="shared" si="173"/>
        <v>6.1963085855641399E-3</v>
      </c>
      <c r="I174" s="124">
        <f t="shared" si="173"/>
        <v>5.4808250876086919E-3</v>
      </c>
      <c r="J174" s="124">
        <f t="shared" si="173"/>
        <v>5.6231140061642516E-3</v>
      </c>
      <c r="K174" s="124">
        <f t="shared" si="173"/>
        <v>5.8778094839040404E-3</v>
      </c>
      <c r="L174" s="124">
        <f t="shared" si="173"/>
        <v>6.1018309800152572E-3</v>
      </c>
      <c r="M174" s="124">
        <f t="shared" si="173"/>
        <v>8.3650219804679675E-3</v>
      </c>
      <c r="N174" s="124">
        <f t="shared" si="173"/>
        <v>7.5786632365802964E-3</v>
      </c>
      <c r="O174" s="124">
        <f t="shared" si="173"/>
        <v>6.935027934333521E-3</v>
      </c>
      <c r="P174" s="124">
        <f t="shared" si="173"/>
        <v>5.8834154172954338E-3</v>
      </c>
      <c r="Q174" s="124">
        <f t="shared" si="173"/>
        <v>5.8317703784262495E-3</v>
      </c>
      <c r="R174" s="124">
        <f t="shared" si="173"/>
        <v>6.4043033474045817E-3</v>
      </c>
      <c r="S174" s="124">
        <f t="shared" si="173"/>
        <v>6.7895333888740618E-3</v>
      </c>
      <c r="T174" s="124">
        <f t="shared" si="173"/>
        <v>7.1061645167329697E-3</v>
      </c>
      <c r="U174" s="124">
        <f t="shared" si="173"/>
        <v>9.8914331106450173E-3</v>
      </c>
      <c r="V174" s="124">
        <f t="shared" si="173"/>
        <v>8.8878710119404698E-3</v>
      </c>
      <c r="W174" s="124">
        <f t="shared" si="173"/>
        <v>3.205926528960349E-3</v>
      </c>
      <c r="X174" s="124">
        <f t="shared" ref="X174:Y174" si="174">IF(X82=0,0,X82/X$77)</f>
        <v>2.8501983096685824E-3</v>
      </c>
      <c r="Y174" s="124">
        <f t="shared" si="174"/>
        <v>2.4704836202539145E-3</v>
      </c>
      <c r="DA174" s="176"/>
    </row>
    <row r="175" spans="1:105" ht="11.45" customHeight="1" x14ac:dyDescent="0.25">
      <c r="A175" s="128" t="s">
        <v>27</v>
      </c>
      <c r="B175" s="140">
        <f t="shared" si="162"/>
        <v>7.1858621395668517E-4</v>
      </c>
      <c r="C175" s="140">
        <f t="shared" ref="C175:W175" si="175">IF(C83=0,0,C83/C$77)</f>
        <v>6.3223749074454267E-4</v>
      </c>
      <c r="D175" s="140">
        <f t="shared" si="175"/>
        <v>6.5861121177845081E-4</v>
      </c>
      <c r="E175" s="140">
        <f t="shared" si="175"/>
        <v>4.252494603615541E-4</v>
      </c>
      <c r="F175" s="140">
        <f t="shared" si="175"/>
        <v>1.1831910106954465E-4</v>
      </c>
      <c r="G175" s="140">
        <f t="shared" si="175"/>
        <v>1.6226456888079061E-4</v>
      </c>
      <c r="H175" s="140">
        <f t="shared" si="175"/>
        <v>1.6834056498472622E-4</v>
      </c>
      <c r="I175" s="140">
        <f t="shared" si="175"/>
        <v>5.3356165692763143E-4</v>
      </c>
      <c r="J175" s="140">
        <f t="shared" si="175"/>
        <v>6.4330140010376553E-4</v>
      </c>
      <c r="K175" s="140">
        <f t="shared" si="175"/>
        <v>4.4360565357622392E-4</v>
      </c>
      <c r="L175" s="140">
        <f t="shared" si="175"/>
        <v>4.4072179056772997E-4</v>
      </c>
      <c r="M175" s="140">
        <f t="shared" si="175"/>
        <v>8.9807726460839352E-4</v>
      </c>
      <c r="N175" s="140">
        <f t="shared" si="175"/>
        <v>4.5502245408277569E-4</v>
      </c>
      <c r="O175" s="140">
        <f t="shared" si="175"/>
        <v>3.720788363263134E-4</v>
      </c>
      <c r="P175" s="140">
        <f t="shared" si="175"/>
        <v>1.5335423786245496E-4</v>
      </c>
      <c r="Q175" s="140">
        <f t="shared" si="175"/>
        <v>2.7227651182213134E-4</v>
      </c>
      <c r="R175" s="140">
        <f t="shared" si="175"/>
        <v>2.4361500539357855E-4</v>
      </c>
      <c r="S175" s="140">
        <f t="shared" si="175"/>
        <v>4.6508142683711849E-4</v>
      </c>
      <c r="T175" s="140">
        <f t="shared" si="175"/>
        <v>1.5668165514296554E-3</v>
      </c>
      <c r="U175" s="140">
        <f t="shared" si="175"/>
        <v>4.4486906482994019E-3</v>
      </c>
      <c r="V175" s="140">
        <f t="shared" si="175"/>
        <v>5.7008597621035677E-3</v>
      </c>
      <c r="W175" s="140">
        <f t="shared" si="175"/>
        <v>6.6994110033781311E-4</v>
      </c>
      <c r="X175" s="140">
        <f t="shared" ref="X175:Y175" si="176">IF(X83=0,0,X83/X$77)</f>
        <v>2.1818148234559648E-4</v>
      </c>
      <c r="Y175" s="140">
        <f t="shared" si="176"/>
        <v>4.9615680942043193E-6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2.841242821642069E-3</v>
      </c>
      <c r="C176" s="140">
        <f t="shared" ref="C176:W176" si="177">IF(C84=0,0,C84/C$77)</f>
        <v>2.4496541484024734E-3</v>
      </c>
      <c r="D176" s="140">
        <f t="shared" si="177"/>
        <v>2.6438462625200825E-3</v>
      </c>
      <c r="E176" s="140">
        <f t="shared" si="177"/>
        <v>1.588177337589273E-3</v>
      </c>
      <c r="F176" s="140">
        <f t="shared" si="177"/>
        <v>1.975368719344743E-3</v>
      </c>
      <c r="G176" s="140">
        <f t="shared" si="177"/>
        <v>1.7677016059942561E-3</v>
      </c>
      <c r="H176" s="140">
        <f t="shared" si="177"/>
        <v>1.8701224381493075E-3</v>
      </c>
      <c r="I176" s="140">
        <f t="shared" si="177"/>
        <v>1.6790530172837491E-3</v>
      </c>
      <c r="J176" s="140">
        <f t="shared" si="177"/>
        <v>1.356187130735171E-3</v>
      </c>
      <c r="K176" s="140">
        <f t="shared" si="177"/>
        <v>1.2914250440005371E-3</v>
      </c>
      <c r="L176" s="140">
        <f t="shared" si="177"/>
        <v>1.5723667763770761E-3</v>
      </c>
      <c r="M176" s="140">
        <f t="shared" si="177"/>
        <v>1.3024394520851057E-3</v>
      </c>
      <c r="N176" s="140">
        <f t="shared" si="177"/>
        <v>1.0605632352917614E-3</v>
      </c>
      <c r="O176" s="140">
        <f t="shared" si="177"/>
        <v>1.0911009954263763E-3</v>
      </c>
      <c r="P176" s="140">
        <f t="shared" si="177"/>
        <v>1.1271585681992249E-3</v>
      </c>
      <c r="Q176" s="140">
        <f t="shared" si="177"/>
        <v>1.0547426085544633E-3</v>
      </c>
      <c r="R176" s="140">
        <f t="shared" si="177"/>
        <v>1.1456761377577906E-3</v>
      </c>
      <c r="S176" s="140">
        <f t="shared" si="177"/>
        <v>1.4729059105058442E-3</v>
      </c>
      <c r="T176" s="140">
        <f t="shared" si="177"/>
        <v>1.8088209367346467E-3</v>
      </c>
      <c r="U176" s="140">
        <f t="shared" si="177"/>
        <v>1.5073390518712845E-3</v>
      </c>
      <c r="V176" s="140">
        <f t="shared" si="177"/>
        <v>1.390002111031681E-3</v>
      </c>
      <c r="W176" s="140">
        <f t="shared" si="177"/>
        <v>1.769443752087652E-3</v>
      </c>
      <c r="X176" s="140">
        <f t="shared" ref="X176:Y176" si="178">IF(X84=0,0,X84/X$77)</f>
        <v>1.7698773149177154E-3</v>
      </c>
      <c r="Y176" s="140">
        <f t="shared" si="178"/>
        <v>1.7158438243525418E-3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8.5263196640346702E-3</v>
      </c>
      <c r="C177" s="140">
        <f t="shared" ref="C177:W177" si="179">IF(C85=0,0,C85/C$77)</f>
        <v>7.6905702467046661E-3</v>
      </c>
      <c r="D177" s="140">
        <f t="shared" si="179"/>
        <v>7.7147651229285677E-3</v>
      </c>
      <c r="E177" s="140">
        <f t="shared" si="179"/>
        <v>6.4481148731597238E-3</v>
      </c>
      <c r="F177" s="140">
        <f t="shared" si="179"/>
        <v>5.3320363354860244E-3</v>
      </c>
      <c r="G177" s="140">
        <f t="shared" si="179"/>
        <v>4.9422556090037307E-3</v>
      </c>
      <c r="H177" s="140">
        <f t="shared" si="179"/>
        <v>4.1578455824301062E-3</v>
      </c>
      <c r="I177" s="140">
        <f t="shared" si="179"/>
        <v>3.2682104133973113E-3</v>
      </c>
      <c r="J177" s="140">
        <f t="shared" si="179"/>
        <v>3.6236254753253148E-3</v>
      </c>
      <c r="K177" s="140">
        <f t="shared" si="179"/>
        <v>4.1427787863272799E-3</v>
      </c>
      <c r="L177" s="140">
        <f t="shared" si="179"/>
        <v>4.0887424130704522E-3</v>
      </c>
      <c r="M177" s="140">
        <f t="shared" si="179"/>
        <v>6.1645052637744691E-3</v>
      </c>
      <c r="N177" s="140">
        <f t="shared" si="179"/>
        <v>6.0630775472057591E-3</v>
      </c>
      <c r="O177" s="140">
        <f t="shared" si="179"/>
        <v>5.4718481025808306E-3</v>
      </c>
      <c r="P177" s="140">
        <f t="shared" si="179"/>
        <v>4.6029026112337536E-3</v>
      </c>
      <c r="Q177" s="140">
        <f t="shared" si="179"/>
        <v>4.504751258049655E-3</v>
      </c>
      <c r="R177" s="140">
        <f t="shared" si="179"/>
        <v>5.0150122042532125E-3</v>
      </c>
      <c r="S177" s="140">
        <f t="shared" si="179"/>
        <v>4.8515460515310988E-3</v>
      </c>
      <c r="T177" s="140">
        <f t="shared" si="179"/>
        <v>3.7305270285686682E-3</v>
      </c>
      <c r="U177" s="140">
        <f t="shared" si="179"/>
        <v>3.9354034104743304E-3</v>
      </c>
      <c r="V177" s="140">
        <f t="shared" si="179"/>
        <v>1.7970091388052195E-3</v>
      </c>
      <c r="W177" s="140">
        <f t="shared" si="179"/>
        <v>7.665416765348837E-4</v>
      </c>
      <c r="X177" s="140">
        <f t="shared" ref="X177:Y177" si="180">IF(X85=0,0,X85/X$77)</f>
        <v>8.6213951240527082E-4</v>
      </c>
      <c r="Y177" s="140">
        <f t="shared" si="180"/>
        <v>7.4967822780716814E-4</v>
      </c>
      <c r="DA177" s="175"/>
    </row>
    <row r="178" spans="1:105" ht="11.45" customHeight="1" x14ac:dyDescent="0.25">
      <c r="A178" s="109" t="s">
        <v>141</v>
      </c>
      <c r="B178" s="124">
        <f t="shared" si="162"/>
        <v>4.9546379052783709E-3</v>
      </c>
      <c r="C178" s="124">
        <f t="shared" ref="C178:W178" si="181">IF(C86=0,0,C86/C$77)</f>
        <v>7.1137052610663757E-3</v>
      </c>
      <c r="D178" s="124">
        <f t="shared" si="181"/>
        <v>3.262568073185639E-3</v>
      </c>
      <c r="E178" s="124">
        <f t="shared" si="181"/>
        <v>2.7214865170090813E-3</v>
      </c>
      <c r="F178" s="124">
        <f t="shared" si="181"/>
        <v>3.6496714679127946E-3</v>
      </c>
      <c r="G178" s="124">
        <f t="shared" si="181"/>
        <v>2.5860802094116822E-3</v>
      </c>
      <c r="H178" s="124">
        <f t="shared" si="181"/>
        <v>2.9479128721151761E-3</v>
      </c>
      <c r="I178" s="124">
        <f t="shared" si="181"/>
        <v>2.2864847033747635E-3</v>
      </c>
      <c r="J178" s="124">
        <f t="shared" si="181"/>
        <v>1.8576256232567684E-3</v>
      </c>
      <c r="K178" s="124">
        <f t="shared" si="181"/>
        <v>2.5135891739152486E-3</v>
      </c>
      <c r="L178" s="124">
        <f t="shared" si="181"/>
        <v>2.1442750872299335E-3</v>
      </c>
      <c r="M178" s="124">
        <f t="shared" si="181"/>
        <v>1.6326454334531868E-3</v>
      </c>
      <c r="N178" s="124">
        <f t="shared" si="181"/>
        <v>2.7539845334611066E-3</v>
      </c>
      <c r="O178" s="124">
        <f t="shared" si="181"/>
        <v>1.1321359795263264E-3</v>
      </c>
      <c r="P178" s="124">
        <f t="shared" si="181"/>
        <v>1.5833202202986834E-3</v>
      </c>
      <c r="Q178" s="124">
        <f t="shared" si="181"/>
        <v>1.4370427251882559E-3</v>
      </c>
      <c r="R178" s="124">
        <f t="shared" si="181"/>
        <v>1.8795960583173573E-3</v>
      </c>
      <c r="S178" s="124">
        <f t="shared" si="181"/>
        <v>1.8285918291854229E-3</v>
      </c>
      <c r="T178" s="124">
        <f t="shared" si="181"/>
        <v>1.370556654388498E-3</v>
      </c>
      <c r="U178" s="124">
        <f t="shared" si="181"/>
        <v>2.2916796194945798E-3</v>
      </c>
      <c r="V178" s="124">
        <f t="shared" si="181"/>
        <v>1.9578440847789471E-3</v>
      </c>
      <c r="W178" s="124">
        <f t="shared" si="181"/>
        <v>1.7565722675638028E-3</v>
      </c>
      <c r="X178" s="124">
        <f t="shared" ref="X178:Y178" si="182">IF(X86=0,0,X86/X$77)</f>
        <v>1.2958457492101101E-3</v>
      </c>
      <c r="Y178" s="124">
        <f t="shared" si="182"/>
        <v>1.7002802440963577E-3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0</v>
      </c>
      <c r="C179" s="140">
        <f t="shared" ref="C179:W179" si="183">IF(C87=0,0,C87/C$77)</f>
        <v>0</v>
      </c>
      <c r="D179" s="140">
        <f t="shared" si="183"/>
        <v>0</v>
      </c>
      <c r="E179" s="140">
        <f t="shared" si="183"/>
        <v>0</v>
      </c>
      <c r="F179" s="140">
        <f t="shared" si="183"/>
        <v>0</v>
      </c>
      <c r="G179" s="140">
        <f t="shared" si="183"/>
        <v>0</v>
      </c>
      <c r="H179" s="140">
        <f t="shared" si="183"/>
        <v>0</v>
      </c>
      <c r="I179" s="140">
        <f t="shared" si="183"/>
        <v>0</v>
      </c>
      <c r="J179" s="140">
        <f t="shared" si="183"/>
        <v>0</v>
      </c>
      <c r="K179" s="140">
        <f t="shared" si="183"/>
        <v>0</v>
      </c>
      <c r="L179" s="140">
        <f t="shared" si="183"/>
        <v>0</v>
      </c>
      <c r="M179" s="140">
        <f t="shared" si="183"/>
        <v>0</v>
      </c>
      <c r="N179" s="140">
        <f t="shared" si="183"/>
        <v>0</v>
      </c>
      <c r="O179" s="140">
        <f t="shared" si="183"/>
        <v>0</v>
      </c>
      <c r="P179" s="140">
        <f t="shared" si="183"/>
        <v>0</v>
      </c>
      <c r="Q179" s="140">
        <f t="shared" si="183"/>
        <v>0</v>
      </c>
      <c r="R179" s="140">
        <f t="shared" si="183"/>
        <v>0</v>
      </c>
      <c r="S179" s="140">
        <f t="shared" si="183"/>
        <v>0</v>
      </c>
      <c r="T179" s="140">
        <f t="shared" si="183"/>
        <v>0</v>
      </c>
      <c r="U179" s="140">
        <f t="shared" si="183"/>
        <v>0</v>
      </c>
      <c r="V179" s="140">
        <f t="shared" si="183"/>
        <v>0</v>
      </c>
      <c r="W179" s="140">
        <f t="shared" si="183"/>
        <v>0</v>
      </c>
      <c r="X179" s="140">
        <f t="shared" ref="X179:Y179" si="184">IF(X87=0,0,X87/X$77)</f>
        <v>0</v>
      </c>
      <c r="Y179" s="140">
        <f t="shared" si="184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4.9546379052783709E-3</v>
      </c>
      <c r="C180" s="127">
        <f t="shared" ref="C180:W180" si="185">IF(C88=0,0,C88/C$77)</f>
        <v>7.1137052610663757E-3</v>
      </c>
      <c r="D180" s="127">
        <f t="shared" si="185"/>
        <v>3.262568073185639E-3</v>
      </c>
      <c r="E180" s="127">
        <f t="shared" si="185"/>
        <v>2.7214865170090813E-3</v>
      </c>
      <c r="F180" s="127">
        <f t="shared" si="185"/>
        <v>3.6496714679127946E-3</v>
      </c>
      <c r="G180" s="127">
        <f t="shared" si="185"/>
        <v>2.5860802094116822E-3</v>
      </c>
      <c r="H180" s="127">
        <f t="shared" si="185"/>
        <v>2.9479128721151761E-3</v>
      </c>
      <c r="I180" s="127">
        <f t="shared" si="185"/>
        <v>2.2864847033747635E-3</v>
      </c>
      <c r="J180" s="127">
        <f t="shared" si="185"/>
        <v>1.8576256232567684E-3</v>
      </c>
      <c r="K180" s="127">
        <f t="shared" si="185"/>
        <v>2.5135891739152486E-3</v>
      </c>
      <c r="L180" s="127">
        <f t="shared" si="185"/>
        <v>2.1442750872299335E-3</v>
      </c>
      <c r="M180" s="127">
        <f t="shared" si="185"/>
        <v>1.6326454334531868E-3</v>
      </c>
      <c r="N180" s="127">
        <f t="shared" si="185"/>
        <v>2.7539845334611066E-3</v>
      </c>
      <c r="O180" s="127">
        <f t="shared" si="185"/>
        <v>1.1321359795263264E-3</v>
      </c>
      <c r="P180" s="127">
        <f t="shared" si="185"/>
        <v>1.5833202202986834E-3</v>
      </c>
      <c r="Q180" s="127">
        <f t="shared" si="185"/>
        <v>1.4370427251882559E-3</v>
      </c>
      <c r="R180" s="127">
        <f t="shared" si="185"/>
        <v>1.8795960583173573E-3</v>
      </c>
      <c r="S180" s="127">
        <f t="shared" si="185"/>
        <v>1.8285918291854229E-3</v>
      </c>
      <c r="T180" s="127">
        <f t="shared" si="185"/>
        <v>1.370556654388498E-3</v>
      </c>
      <c r="U180" s="127">
        <f t="shared" si="185"/>
        <v>2.2916796194945798E-3</v>
      </c>
      <c r="V180" s="127">
        <f t="shared" si="185"/>
        <v>1.9578440847789471E-3</v>
      </c>
      <c r="W180" s="127">
        <f t="shared" si="185"/>
        <v>1.7565722675638028E-3</v>
      </c>
      <c r="X180" s="127">
        <f t="shared" ref="X180:Y180" si="186">IF(X88=0,0,X88/X$77)</f>
        <v>1.2958457492101101E-3</v>
      </c>
      <c r="Y180" s="127">
        <f t="shared" si="186"/>
        <v>1.7002802440963577E-3</v>
      </c>
      <c r="DA180" s="178"/>
    </row>
    <row r="181" spans="1:105" ht="11.45" customHeight="1" x14ac:dyDescent="0.25">
      <c r="A181" s="27" t="s">
        <v>169</v>
      </c>
      <c r="B181" s="31">
        <f>IF(B89=0,0,B89/B$89)</f>
        <v>0</v>
      </c>
      <c r="C181" s="31">
        <f t="shared" ref="C181:W181" si="187">IF(C89=0,0,C89/C$89)</f>
        <v>0</v>
      </c>
      <c r="D181" s="31">
        <f t="shared" si="187"/>
        <v>0</v>
      </c>
      <c r="E181" s="31">
        <f t="shared" si="187"/>
        <v>0</v>
      </c>
      <c r="F181" s="31">
        <f t="shared" si="187"/>
        <v>0</v>
      </c>
      <c r="G181" s="31">
        <f t="shared" si="187"/>
        <v>0</v>
      </c>
      <c r="H181" s="31">
        <f t="shared" si="187"/>
        <v>0</v>
      </c>
      <c r="I181" s="31">
        <f t="shared" si="187"/>
        <v>0</v>
      </c>
      <c r="J181" s="31">
        <f t="shared" si="187"/>
        <v>0</v>
      </c>
      <c r="K181" s="31">
        <f t="shared" si="187"/>
        <v>0</v>
      </c>
      <c r="L181" s="31">
        <f t="shared" si="187"/>
        <v>0</v>
      </c>
      <c r="M181" s="31">
        <f t="shared" si="187"/>
        <v>0</v>
      </c>
      <c r="N181" s="31">
        <f t="shared" si="187"/>
        <v>0</v>
      </c>
      <c r="O181" s="31">
        <f t="shared" si="187"/>
        <v>0</v>
      </c>
      <c r="P181" s="31">
        <f t="shared" si="187"/>
        <v>0</v>
      </c>
      <c r="Q181" s="31">
        <f t="shared" si="187"/>
        <v>0</v>
      </c>
      <c r="R181" s="31">
        <f t="shared" si="187"/>
        <v>0</v>
      </c>
      <c r="S181" s="31">
        <f t="shared" si="187"/>
        <v>0</v>
      </c>
      <c r="T181" s="31">
        <f t="shared" si="187"/>
        <v>0</v>
      </c>
      <c r="U181" s="31">
        <f t="shared" si="187"/>
        <v>0</v>
      </c>
      <c r="V181" s="31">
        <f t="shared" si="187"/>
        <v>0</v>
      </c>
      <c r="W181" s="31">
        <f t="shared" si="187"/>
        <v>0</v>
      </c>
      <c r="X181" s="31">
        <f t="shared" ref="X181:Y181" si="188">IF(X89=0,0,X89/X$89)</f>
        <v>0</v>
      </c>
      <c r="Y181" s="31">
        <f t="shared" si="188"/>
        <v>0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</v>
      </c>
      <c r="C182" s="140">
        <f t="shared" ref="C182:W182" si="189">IF(C90=0,0,C90/C$89)</f>
        <v>0</v>
      </c>
      <c r="D182" s="140">
        <f t="shared" si="189"/>
        <v>0</v>
      </c>
      <c r="E182" s="140">
        <f t="shared" si="189"/>
        <v>0</v>
      </c>
      <c r="F182" s="140">
        <f t="shared" si="189"/>
        <v>0</v>
      </c>
      <c r="G182" s="140">
        <f t="shared" si="189"/>
        <v>0</v>
      </c>
      <c r="H182" s="140">
        <f t="shared" si="189"/>
        <v>0</v>
      </c>
      <c r="I182" s="140">
        <f t="shared" si="189"/>
        <v>0</v>
      </c>
      <c r="J182" s="140">
        <f t="shared" si="189"/>
        <v>0</v>
      </c>
      <c r="K182" s="140">
        <f t="shared" si="189"/>
        <v>0</v>
      </c>
      <c r="L182" s="140">
        <f t="shared" si="189"/>
        <v>0</v>
      </c>
      <c r="M182" s="140">
        <f t="shared" si="189"/>
        <v>0</v>
      </c>
      <c r="N182" s="140">
        <f t="shared" si="189"/>
        <v>0</v>
      </c>
      <c r="O182" s="140">
        <f t="shared" si="189"/>
        <v>0</v>
      </c>
      <c r="P182" s="140">
        <f t="shared" si="189"/>
        <v>0</v>
      </c>
      <c r="Q182" s="140">
        <f t="shared" si="189"/>
        <v>0</v>
      </c>
      <c r="R182" s="140">
        <f t="shared" si="189"/>
        <v>0</v>
      </c>
      <c r="S182" s="140">
        <f t="shared" si="189"/>
        <v>0</v>
      </c>
      <c r="T182" s="140">
        <f t="shared" si="189"/>
        <v>0</v>
      </c>
      <c r="U182" s="140">
        <f t="shared" si="189"/>
        <v>0</v>
      </c>
      <c r="V182" s="140">
        <f t="shared" si="189"/>
        <v>0</v>
      </c>
      <c r="W182" s="140">
        <f t="shared" si="189"/>
        <v>0</v>
      </c>
      <c r="X182" s="140">
        <f t="shared" ref="X182:Y182" si="190">IF(X90=0,0,X90/X$89)</f>
        <v>0</v>
      </c>
      <c r="Y182" s="140">
        <f t="shared" si="190"/>
        <v>0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</v>
      </c>
      <c r="C183" s="127">
        <f t="shared" ref="C183:W183" si="191">IF(C91=0,0,C91/C$89)</f>
        <v>0</v>
      </c>
      <c r="D183" s="127">
        <f t="shared" si="191"/>
        <v>0</v>
      </c>
      <c r="E183" s="127">
        <f t="shared" si="191"/>
        <v>0</v>
      </c>
      <c r="F183" s="127">
        <f t="shared" si="191"/>
        <v>0</v>
      </c>
      <c r="G183" s="127">
        <f t="shared" si="191"/>
        <v>0</v>
      </c>
      <c r="H183" s="127">
        <f t="shared" si="191"/>
        <v>0</v>
      </c>
      <c r="I183" s="127">
        <f t="shared" si="191"/>
        <v>0</v>
      </c>
      <c r="J183" s="127">
        <f t="shared" si="191"/>
        <v>0</v>
      </c>
      <c r="K183" s="127">
        <f t="shared" si="191"/>
        <v>0</v>
      </c>
      <c r="L183" s="127">
        <f t="shared" si="191"/>
        <v>0</v>
      </c>
      <c r="M183" s="127">
        <f t="shared" si="191"/>
        <v>0</v>
      </c>
      <c r="N183" s="127">
        <f t="shared" si="191"/>
        <v>0</v>
      </c>
      <c r="O183" s="127">
        <f t="shared" si="191"/>
        <v>0</v>
      </c>
      <c r="P183" s="127">
        <f t="shared" si="191"/>
        <v>0</v>
      </c>
      <c r="Q183" s="127">
        <f t="shared" si="191"/>
        <v>0</v>
      </c>
      <c r="R183" s="127">
        <f t="shared" si="191"/>
        <v>0</v>
      </c>
      <c r="S183" s="127">
        <f t="shared" si="191"/>
        <v>0</v>
      </c>
      <c r="T183" s="127">
        <f t="shared" si="191"/>
        <v>0</v>
      </c>
      <c r="U183" s="127">
        <f t="shared" si="191"/>
        <v>0</v>
      </c>
      <c r="V183" s="127">
        <f t="shared" si="191"/>
        <v>0</v>
      </c>
      <c r="W183" s="127">
        <f t="shared" si="191"/>
        <v>0</v>
      </c>
      <c r="X183" s="127">
        <f t="shared" ref="X183:Y183" si="192">IF(X91=0,0,X91/X$89)</f>
        <v>0</v>
      </c>
      <c r="Y183" s="127">
        <f t="shared" si="192"/>
        <v>0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31.485681102456869</v>
      </c>
      <c r="C186" s="32">
        <f t="shared" si="193"/>
        <v>32.551663218395504</v>
      </c>
      <c r="D186" s="32">
        <f t="shared" si="193"/>
        <v>33.282411099623381</v>
      </c>
      <c r="E186" s="32">
        <f t="shared" si="193"/>
        <v>35.318823953626989</v>
      </c>
      <c r="F186" s="32">
        <f t="shared" si="193"/>
        <v>36.482052250475824</v>
      </c>
      <c r="G186" s="32">
        <f t="shared" si="193"/>
        <v>37.208374335122002</v>
      </c>
      <c r="H186" s="32">
        <f t="shared" si="193"/>
        <v>37.30029255480428</v>
      </c>
      <c r="I186" s="32">
        <f t="shared" si="193"/>
        <v>37.814973334947737</v>
      </c>
      <c r="J186" s="32">
        <f t="shared" si="193"/>
        <v>37.413907860370344</v>
      </c>
      <c r="K186" s="32">
        <f t="shared" si="193"/>
        <v>37.996361116852341</v>
      </c>
      <c r="L186" s="32">
        <f t="shared" si="193"/>
        <v>38.59800916902801</v>
      </c>
      <c r="M186" s="32">
        <f t="shared" si="193"/>
        <v>38.320812563242832</v>
      </c>
      <c r="N186" s="32">
        <f t="shared" si="193"/>
        <v>37.62081558906435</v>
      </c>
      <c r="O186" s="32">
        <f t="shared" si="193"/>
        <v>37.240577288168936</v>
      </c>
      <c r="P186" s="32">
        <f t="shared" si="193"/>
        <v>36.874138881249685</v>
      </c>
      <c r="Q186" s="32">
        <f t="shared" si="193"/>
        <v>36.504846573448539</v>
      </c>
      <c r="R186" s="32">
        <f t="shared" si="193"/>
        <v>36.878552970598101</v>
      </c>
      <c r="S186" s="32">
        <f t="shared" si="193"/>
        <v>36.462485615636695</v>
      </c>
      <c r="T186" s="32">
        <f t="shared" si="193"/>
        <v>35.383115927998084</v>
      </c>
      <c r="U186" s="32">
        <f t="shared" si="193"/>
        <v>34.896183155364362</v>
      </c>
      <c r="V186" s="32">
        <f t="shared" si="193"/>
        <v>44.834462296978913</v>
      </c>
      <c r="W186" s="32">
        <f t="shared" si="193"/>
        <v>38.51009542571073</v>
      </c>
      <c r="X186" s="32">
        <f t="shared" si="193"/>
        <v>35.63727276652336</v>
      </c>
      <c r="Y186" s="32">
        <f t="shared" si="193"/>
        <v>36.485785044647791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34.588154383921278</v>
      </c>
      <c r="C187" s="141">
        <f t="shared" si="194"/>
        <v>35.844326413435553</v>
      </c>
      <c r="D187" s="141">
        <f t="shared" si="194"/>
        <v>36.656030349472374</v>
      </c>
      <c r="E187" s="141">
        <f t="shared" si="194"/>
        <v>39.62634884023619</v>
      </c>
      <c r="F187" s="141">
        <f t="shared" si="194"/>
        <v>40.778247801617482</v>
      </c>
      <c r="G187" s="141">
        <f t="shared" si="194"/>
        <v>41.374407765654531</v>
      </c>
      <c r="H187" s="141">
        <f t="shared" si="194"/>
        <v>41.472632704789618</v>
      </c>
      <c r="I187" s="141">
        <f t="shared" si="194"/>
        <v>41.96340258827307</v>
      </c>
      <c r="J187" s="141">
        <f t="shared" si="194"/>
        <v>41.634935063068639</v>
      </c>
      <c r="K187" s="141">
        <f t="shared" si="194"/>
        <v>42.309711791196598</v>
      </c>
      <c r="L187" s="141">
        <f t="shared" si="194"/>
        <v>43.963882964843606</v>
      </c>
      <c r="M187" s="141">
        <f t="shared" si="194"/>
        <v>43.687991544191547</v>
      </c>
      <c r="N187" s="141">
        <f t="shared" si="194"/>
        <v>43.567285567708872</v>
      </c>
      <c r="O187" s="141">
        <f t="shared" si="194"/>
        <v>43.395073922805082</v>
      </c>
      <c r="P187" s="141">
        <f t="shared" si="194"/>
        <v>42.705290950450468</v>
      </c>
      <c r="Q187" s="141">
        <f t="shared" si="194"/>
        <v>42.377380458135995</v>
      </c>
      <c r="R187" s="141">
        <f t="shared" si="194"/>
        <v>43.392996761105046</v>
      </c>
      <c r="S187" s="141">
        <f t="shared" si="194"/>
        <v>43.346993829170636</v>
      </c>
      <c r="T187" s="141">
        <f t="shared" si="194"/>
        <v>42.160936529702276</v>
      </c>
      <c r="U187" s="141">
        <f t="shared" si="194"/>
        <v>41.850634784721514</v>
      </c>
      <c r="V187" s="141">
        <f t="shared" si="194"/>
        <v>48.777069032387637</v>
      </c>
      <c r="W187" s="141">
        <f t="shared" si="194"/>
        <v>41.019531608757454</v>
      </c>
      <c r="X187" s="141">
        <f t="shared" si="194"/>
        <v>39.71813040838947</v>
      </c>
      <c r="Y187" s="141">
        <f t="shared" si="194"/>
        <v>41.579181788962252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37.623054919414869</v>
      </c>
      <c r="C188" s="97">
        <f t="shared" si="195"/>
        <v>37.47521060539701</v>
      </c>
      <c r="D188" s="97">
        <f t="shared" si="195"/>
        <v>37.35328048097886</v>
      </c>
      <c r="E188" s="97">
        <f t="shared" si="195"/>
        <v>37.305137916832564</v>
      </c>
      <c r="F188" s="97">
        <f t="shared" si="195"/>
        <v>37.191327332271293</v>
      </c>
      <c r="G188" s="97">
        <f t="shared" si="195"/>
        <v>36.973291991329035</v>
      </c>
      <c r="H188" s="97">
        <f t="shared" si="195"/>
        <v>34.990194965621335</v>
      </c>
      <c r="I188" s="97">
        <f t="shared" si="195"/>
        <v>34.758338742243374</v>
      </c>
      <c r="J188" s="97">
        <f t="shared" si="195"/>
        <v>34.587207795160019</v>
      </c>
      <c r="K188" s="97">
        <f t="shared" si="195"/>
        <v>34.458565333240237</v>
      </c>
      <c r="L188" s="97">
        <f t="shared" si="195"/>
        <v>34.301285263552849</v>
      </c>
      <c r="M188" s="97">
        <f t="shared" si="195"/>
        <v>34.116617631006754</v>
      </c>
      <c r="N188" s="97">
        <f t="shared" si="195"/>
        <v>34.053541433103497</v>
      </c>
      <c r="O188" s="97">
        <f t="shared" si="195"/>
        <v>33.935267102192682</v>
      </c>
      <c r="P188" s="97">
        <f t="shared" si="195"/>
        <v>33.622527891988227</v>
      </c>
      <c r="Q188" s="97">
        <f t="shared" si="195"/>
        <v>33.162699215675786</v>
      </c>
      <c r="R188" s="97">
        <f t="shared" si="195"/>
        <v>32.871019440053495</v>
      </c>
      <c r="S188" s="97">
        <f t="shared" si="195"/>
        <v>32.708155492726128</v>
      </c>
      <c r="T188" s="97">
        <f t="shared" si="195"/>
        <v>32.449943715022819</v>
      </c>
      <c r="U188" s="97">
        <f t="shared" si="195"/>
        <v>32.169721742624098</v>
      </c>
      <c r="V188" s="97">
        <f t="shared" si="195"/>
        <v>31.951342623376593</v>
      </c>
      <c r="W188" s="97">
        <f t="shared" si="195"/>
        <v>31.837936096571546</v>
      </c>
      <c r="X188" s="97">
        <f t="shared" si="195"/>
        <v>31.950422986902627</v>
      </c>
      <c r="Y188" s="97">
        <f t="shared" si="195"/>
        <v>31.265227282001476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37.374529970377353</v>
      </c>
      <c r="C189" s="97">
        <f t="shared" si="196"/>
        <v>39.165213042469176</v>
      </c>
      <c r="D189" s="97">
        <f t="shared" si="196"/>
        <v>39.90987011370791</v>
      </c>
      <c r="E189" s="97">
        <f t="shared" si="196"/>
        <v>43.990796418292284</v>
      </c>
      <c r="F189" s="97">
        <f t="shared" si="196"/>
        <v>45.131353121515538</v>
      </c>
      <c r="G189" s="97">
        <f t="shared" si="196"/>
        <v>46.138252054746935</v>
      </c>
      <c r="H189" s="97">
        <f t="shared" si="196"/>
        <v>46.287502209944535</v>
      </c>
      <c r="I189" s="97">
        <f t="shared" si="196"/>
        <v>46.84790018918244</v>
      </c>
      <c r="J189" s="97">
        <f t="shared" si="196"/>
        <v>46.366721505557294</v>
      </c>
      <c r="K189" s="97">
        <f t="shared" si="196"/>
        <v>47.13919379698244</v>
      </c>
      <c r="L189" s="97">
        <f t="shared" si="196"/>
        <v>50.320877573590785</v>
      </c>
      <c r="M189" s="97">
        <f t="shared" si="196"/>
        <v>49.293844104097637</v>
      </c>
      <c r="N189" s="97">
        <f t="shared" si="196"/>
        <v>49.018749968570518</v>
      </c>
      <c r="O189" s="97">
        <f t="shared" si="196"/>
        <v>48.919714158452798</v>
      </c>
      <c r="P189" s="97">
        <f t="shared" si="196"/>
        <v>48.641325271453233</v>
      </c>
      <c r="Q189" s="97">
        <f t="shared" si="196"/>
        <v>46.910483468104076</v>
      </c>
      <c r="R189" s="97">
        <f t="shared" si="196"/>
        <v>47.980757679393818</v>
      </c>
      <c r="S189" s="97">
        <f t="shared" si="196"/>
        <v>48.0308688434544</v>
      </c>
      <c r="T189" s="97">
        <f t="shared" si="196"/>
        <v>46.498676988269779</v>
      </c>
      <c r="U189" s="97">
        <f t="shared" si="196"/>
        <v>45.890865421232348</v>
      </c>
      <c r="V189" s="97">
        <f t="shared" si="196"/>
        <v>51.402740163281479</v>
      </c>
      <c r="W189" s="97">
        <f t="shared" si="196"/>
        <v>42.236097382659743</v>
      </c>
      <c r="X189" s="97">
        <f t="shared" si="196"/>
        <v>41.716983117175914</v>
      </c>
      <c r="Y189" s="97">
        <f t="shared" si="196"/>
        <v>43.897813299799104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23.287542107375515</v>
      </c>
      <c r="C190" s="97">
        <f t="shared" si="197"/>
        <v>23.67903763816317</v>
      </c>
      <c r="D190" s="97">
        <f t="shared" si="197"/>
        <v>23.745019856292252</v>
      </c>
      <c r="E190" s="97">
        <f t="shared" si="197"/>
        <v>21.925767795727165</v>
      </c>
      <c r="F190" s="97">
        <f t="shared" si="197"/>
        <v>21.779919692115083</v>
      </c>
      <c r="G190" s="97">
        <f t="shared" si="197"/>
        <v>20.832793317170541</v>
      </c>
      <c r="H190" s="97">
        <f t="shared" si="197"/>
        <v>21.14241148128291</v>
      </c>
      <c r="I190" s="97">
        <f t="shared" si="197"/>
        <v>20.979273939191025</v>
      </c>
      <c r="J190" s="97">
        <f t="shared" si="197"/>
        <v>21.069822976090549</v>
      </c>
      <c r="K190" s="97">
        <f t="shared" si="197"/>
        <v>21.361491070834671</v>
      </c>
      <c r="L190" s="97">
        <f t="shared" si="197"/>
        <v>21.064018726813806</v>
      </c>
      <c r="M190" s="97">
        <f t="shared" si="197"/>
        <v>21.506934492373642</v>
      </c>
      <c r="N190" s="97">
        <f t="shared" si="197"/>
        <v>21.638830602543653</v>
      </c>
      <c r="O190" s="97">
        <f t="shared" si="197"/>
        <v>21.698882851417185</v>
      </c>
      <c r="P190" s="97">
        <f t="shared" si="197"/>
        <v>20.567215245669757</v>
      </c>
      <c r="Q190" s="97">
        <f t="shared" si="197"/>
        <v>22.583316767295429</v>
      </c>
      <c r="R190" s="97">
        <f t="shared" si="197"/>
        <v>22.595145188448864</v>
      </c>
      <c r="S190" s="97">
        <f t="shared" si="197"/>
        <v>22.385153605164344</v>
      </c>
      <c r="T190" s="97">
        <f t="shared" si="197"/>
        <v>22.307652503845834</v>
      </c>
      <c r="U190" s="97">
        <f t="shared" si="197"/>
        <v>22.591140992722664</v>
      </c>
      <c r="V190" s="97">
        <f t="shared" si="197"/>
        <v>31.302069398095199</v>
      </c>
      <c r="W190" s="97">
        <f t="shared" si="197"/>
        <v>30.559692744153672</v>
      </c>
      <c r="X190" s="97">
        <f t="shared" si="197"/>
        <v>25.344291899947621</v>
      </c>
      <c r="Y190" s="97">
        <f t="shared" si="197"/>
        <v>25.377146245812057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9.1920450948066126</v>
      </c>
      <c r="C191" s="130">
        <f t="shared" si="198"/>
        <v>8.850533763139989</v>
      </c>
      <c r="D191" s="130">
        <f t="shared" si="198"/>
        <v>9.0546341512202009</v>
      </c>
      <c r="E191" s="130">
        <f t="shared" si="198"/>
        <v>9.1779906245185856</v>
      </c>
      <c r="F191" s="130">
        <f t="shared" si="198"/>
        <v>10.762902237174417</v>
      </c>
      <c r="G191" s="130">
        <f t="shared" si="198"/>
        <v>11.522979045623405</v>
      </c>
      <c r="H191" s="130">
        <f t="shared" si="198"/>
        <v>11.690037197204294</v>
      </c>
      <c r="I191" s="130">
        <f t="shared" si="198"/>
        <v>11.291469996379831</v>
      </c>
      <c r="J191" s="130">
        <f t="shared" si="198"/>
        <v>11.42135450941265</v>
      </c>
      <c r="K191" s="130">
        <f t="shared" si="198"/>
        <v>11.345971461834802</v>
      </c>
      <c r="L191" s="130">
        <f t="shared" si="198"/>
        <v>11.078226565180179</v>
      </c>
      <c r="M191" s="130">
        <f t="shared" si="198"/>
        <v>10.832289110129626</v>
      </c>
      <c r="N191" s="130">
        <f t="shared" si="198"/>
        <v>10.251774770132226</v>
      </c>
      <c r="O191" s="130">
        <f t="shared" si="198"/>
        <v>9.9844202837157088</v>
      </c>
      <c r="P191" s="130">
        <f t="shared" si="198"/>
        <v>9.6681051491721117</v>
      </c>
      <c r="Q191" s="130">
        <f t="shared" si="198"/>
        <v>9.3267116476618739</v>
      </c>
      <c r="R191" s="130">
        <f t="shared" si="198"/>
        <v>8.7220300329097267</v>
      </c>
      <c r="S191" s="130">
        <f t="shared" si="198"/>
        <v>8.6715410268821334</v>
      </c>
      <c r="T191" s="130">
        <f t="shared" si="198"/>
        <v>8.5115094956402704</v>
      </c>
      <c r="U191" s="130">
        <f t="shared" si="198"/>
        <v>7.9285573338289135</v>
      </c>
      <c r="V191" s="130">
        <f t="shared" si="198"/>
        <v>14.587804752343731</v>
      </c>
      <c r="W191" s="130">
        <f t="shared" si="198"/>
        <v>14.797532187794076</v>
      </c>
      <c r="X191" s="130">
        <f t="shared" si="198"/>
        <v>10.645953711347538</v>
      </c>
      <c r="Y191" s="130">
        <f t="shared" si="198"/>
        <v>9.861608121329601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5.5334116450590392</v>
      </c>
      <c r="C192" s="97">
        <f t="shared" si="199"/>
        <v>5.4923272835083496</v>
      </c>
      <c r="D192" s="97">
        <f t="shared" si="199"/>
        <v>5.5400426268057013</v>
      </c>
      <c r="E192" s="97">
        <f t="shared" si="199"/>
        <v>5.6088545182349785</v>
      </c>
      <c r="F192" s="97">
        <f t="shared" si="199"/>
        <v>5.769703697677067</v>
      </c>
      <c r="G192" s="97">
        <f t="shared" si="199"/>
        <v>5.9134366417109847</v>
      </c>
      <c r="H192" s="97">
        <f t="shared" si="199"/>
        <v>5.8871676116589917</v>
      </c>
      <c r="I192" s="97">
        <f t="shared" si="199"/>
        <v>5.9182508724111704</v>
      </c>
      <c r="J192" s="97">
        <f t="shared" si="199"/>
        <v>5.8198730967494248</v>
      </c>
      <c r="K192" s="97">
        <f t="shared" si="199"/>
        <v>5.8744481823356862</v>
      </c>
      <c r="L192" s="97">
        <f t="shared" si="199"/>
        <v>5.7471459261006217</v>
      </c>
      <c r="M192" s="97">
        <f t="shared" si="199"/>
        <v>5.6005497307613297</v>
      </c>
      <c r="N192" s="97">
        <f t="shared" si="199"/>
        <v>5.4467779991164154</v>
      </c>
      <c r="O192" s="97">
        <f t="shared" si="199"/>
        <v>5.284543093117529</v>
      </c>
      <c r="P192" s="97">
        <f t="shared" si="199"/>
        <v>4.9978470356198024</v>
      </c>
      <c r="Q192" s="97">
        <f t="shared" si="199"/>
        <v>4.6864648902163442</v>
      </c>
      <c r="R192" s="97">
        <f t="shared" si="199"/>
        <v>4.4634317868524631</v>
      </c>
      <c r="S192" s="97">
        <f t="shared" si="199"/>
        <v>4.2960304670935736</v>
      </c>
      <c r="T192" s="97">
        <f t="shared" si="199"/>
        <v>4.1464234463475558</v>
      </c>
      <c r="U192" s="97">
        <f t="shared" si="199"/>
        <v>4.0256516717113096</v>
      </c>
      <c r="V192" s="97">
        <f t="shared" si="199"/>
        <v>10.095557568458565</v>
      </c>
      <c r="W192" s="97">
        <f t="shared" si="199"/>
        <v>10.449442146566492</v>
      </c>
      <c r="X192" s="97">
        <f t="shared" si="199"/>
        <v>5.9194620624105543</v>
      </c>
      <c r="Y192" s="97">
        <f t="shared" si="199"/>
        <v>4.3838498429517294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13.235586830774206</v>
      </c>
      <c r="C193" s="97">
        <f t="shared" si="200"/>
        <v>12.635704979461337</v>
      </c>
      <c r="D193" s="97">
        <f t="shared" si="200"/>
        <v>13.480238485510217</v>
      </c>
      <c r="E193" s="97">
        <f t="shared" si="200"/>
        <v>13.867149896158509</v>
      </c>
      <c r="F193" s="97">
        <f t="shared" si="200"/>
        <v>17.375691480632408</v>
      </c>
      <c r="G193" s="97">
        <f t="shared" si="200"/>
        <v>18.149743136524101</v>
      </c>
      <c r="H193" s="97">
        <f t="shared" si="200"/>
        <v>17.996927951305732</v>
      </c>
      <c r="I193" s="97">
        <f t="shared" si="200"/>
        <v>17.295985819003104</v>
      </c>
      <c r="J193" s="97">
        <f t="shared" si="200"/>
        <v>19.041995489324929</v>
      </c>
      <c r="K193" s="97">
        <f t="shared" si="200"/>
        <v>19.01205434814381</v>
      </c>
      <c r="L193" s="97">
        <f t="shared" si="200"/>
        <v>18.470405029808436</v>
      </c>
      <c r="M193" s="97">
        <f t="shared" si="200"/>
        <v>17.733664138710548</v>
      </c>
      <c r="N193" s="97">
        <f t="shared" si="200"/>
        <v>16.632404799225931</v>
      </c>
      <c r="O193" s="97">
        <f t="shared" si="200"/>
        <v>16.003107039104684</v>
      </c>
      <c r="P193" s="97">
        <f t="shared" si="200"/>
        <v>15.342576674933481</v>
      </c>
      <c r="Q193" s="97">
        <f t="shared" si="200"/>
        <v>14.841676065749533</v>
      </c>
      <c r="R193" s="97">
        <f t="shared" si="200"/>
        <v>13.935777002299417</v>
      </c>
      <c r="S193" s="97">
        <f t="shared" si="200"/>
        <v>13.839037673968472</v>
      </c>
      <c r="T193" s="97">
        <f t="shared" si="200"/>
        <v>13.216101644755881</v>
      </c>
      <c r="U193" s="97">
        <f t="shared" si="200"/>
        <v>11.947410353074723</v>
      </c>
      <c r="V193" s="97">
        <f t="shared" si="200"/>
        <v>17.348610801428752</v>
      </c>
      <c r="W193" s="97">
        <f t="shared" si="200"/>
        <v>17.327438983939974</v>
      </c>
      <c r="X193" s="97">
        <f t="shared" si="200"/>
        <v>12.981961682918767</v>
      </c>
      <c r="Y193" s="97">
        <f t="shared" si="200"/>
        <v>12.648413977243679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0</v>
      </c>
      <c r="C194" s="97">
        <f t="shared" si="201"/>
        <v>0</v>
      </c>
      <c r="D194" s="97">
        <f t="shared" si="201"/>
        <v>0</v>
      </c>
      <c r="E194" s="97">
        <f t="shared" si="201"/>
        <v>0</v>
      </c>
      <c r="F194" s="97">
        <f t="shared" si="201"/>
        <v>73.376325911176039</v>
      </c>
      <c r="G194" s="97">
        <f t="shared" si="201"/>
        <v>72.582267651026086</v>
      </c>
      <c r="H194" s="97">
        <f t="shared" si="201"/>
        <v>28.801803112525523</v>
      </c>
      <c r="I194" s="97">
        <f t="shared" si="201"/>
        <v>17.981236134964711</v>
      </c>
      <c r="J194" s="97">
        <f t="shared" si="201"/>
        <v>17.455524749212081</v>
      </c>
      <c r="K194" s="97">
        <f t="shared" si="201"/>
        <v>17.122904627645177</v>
      </c>
      <c r="L194" s="97">
        <f t="shared" si="201"/>
        <v>16.545807097343598</v>
      </c>
      <c r="M194" s="97">
        <f t="shared" si="201"/>
        <v>16.24092857719441</v>
      </c>
      <c r="N194" s="97">
        <f t="shared" si="201"/>
        <v>15.680617451749663</v>
      </c>
      <c r="O194" s="97">
        <f t="shared" si="201"/>
        <v>15.257897563170104</v>
      </c>
      <c r="P194" s="97">
        <f t="shared" si="201"/>
        <v>14.134448611870866</v>
      </c>
      <c r="Q194" s="97">
        <f t="shared" si="201"/>
        <v>12.951884116352799</v>
      </c>
      <c r="R194" s="97">
        <f t="shared" si="201"/>
        <v>11.919832070561576</v>
      </c>
      <c r="S194" s="97">
        <f t="shared" si="201"/>
        <v>11.7805384195701</v>
      </c>
      <c r="T194" s="97">
        <f t="shared" si="201"/>
        <v>11.676295546501306</v>
      </c>
      <c r="U194" s="97">
        <f t="shared" si="201"/>
        <v>11.594290019111417</v>
      </c>
      <c r="V194" s="97">
        <f t="shared" si="201"/>
        <v>14.709105620259342</v>
      </c>
      <c r="W194" s="97">
        <f t="shared" si="201"/>
        <v>14.830175137314209</v>
      </c>
      <c r="X194" s="97">
        <f t="shared" si="201"/>
        <v>14.036886405895961</v>
      </c>
      <c r="Y194" s="97">
        <f t="shared" si="201"/>
        <v>13.64734534249162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60.163650297090932</v>
      </c>
      <c r="C195" s="130">
        <f t="shared" si="202"/>
        <v>63.193375295133869</v>
      </c>
      <c r="D195" s="130">
        <f t="shared" si="202"/>
        <v>57.979038393828091</v>
      </c>
      <c r="E195" s="130">
        <f t="shared" si="202"/>
        <v>39.706948457437385</v>
      </c>
      <c r="F195" s="130">
        <f t="shared" si="202"/>
        <v>40.533189367004177</v>
      </c>
      <c r="G195" s="130">
        <f t="shared" si="202"/>
        <v>39.351565469078992</v>
      </c>
      <c r="H195" s="130">
        <f t="shared" si="202"/>
        <v>38.838203808845449</v>
      </c>
      <c r="I195" s="130">
        <f t="shared" si="202"/>
        <v>39.79918635877128</v>
      </c>
      <c r="J195" s="130">
        <f t="shared" si="202"/>
        <v>40.928468010878362</v>
      </c>
      <c r="K195" s="130">
        <f t="shared" si="202"/>
        <v>40.702883890664445</v>
      </c>
      <c r="L195" s="130">
        <f t="shared" si="202"/>
        <v>37.163916294091742</v>
      </c>
      <c r="M195" s="130">
        <f t="shared" si="202"/>
        <v>35.93215741741102</v>
      </c>
      <c r="N195" s="130">
        <f t="shared" si="202"/>
        <v>34.365180855996236</v>
      </c>
      <c r="O195" s="130">
        <f t="shared" si="202"/>
        <v>32.805268241632817</v>
      </c>
      <c r="P195" s="130">
        <f t="shared" si="202"/>
        <v>32.817494618732162</v>
      </c>
      <c r="Q195" s="130">
        <f t="shared" si="202"/>
        <v>33.211065011437611</v>
      </c>
      <c r="R195" s="130">
        <f t="shared" si="202"/>
        <v>32.824302174757875</v>
      </c>
      <c r="S195" s="130">
        <f t="shared" si="202"/>
        <v>30.796717620480983</v>
      </c>
      <c r="T195" s="130">
        <f t="shared" si="202"/>
        <v>29.419392608602688</v>
      </c>
      <c r="U195" s="130">
        <f t="shared" si="202"/>
        <v>28.633272861685825</v>
      </c>
      <c r="V195" s="130">
        <f t="shared" si="202"/>
        <v>45.17638347129941</v>
      </c>
      <c r="W195" s="130">
        <f t="shared" si="202"/>
        <v>38.250680622168197</v>
      </c>
      <c r="X195" s="130">
        <f t="shared" si="202"/>
        <v>27.900132366913258</v>
      </c>
      <c r="Y195" s="130">
        <f t="shared" si="202"/>
        <v>27.002722776282116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2082.7589814664434</v>
      </c>
      <c r="C196" s="97">
        <f t="shared" si="203"/>
        <v>2076.9753429432917</v>
      </c>
      <c r="D196" s="97">
        <f t="shared" si="203"/>
        <v>2037.2536424817347</v>
      </c>
      <c r="E196" s="97">
        <f t="shared" si="203"/>
        <v>1895.5678801799538</v>
      </c>
      <c r="F196" s="97">
        <f t="shared" si="203"/>
        <v>1371.0181728638058</v>
      </c>
      <c r="G196" s="97">
        <f t="shared" si="203"/>
        <v>621.80546669803653</v>
      </c>
      <c r="H196" s="97">
        <f t="shared" si="203"/>
        <v>305.67870830236592</v>
      </c>
      <c r="I196" s="97">
        <f t="shared" si="203"/>
        <v>655.56658106429234</v>
      </c>
      <c r="J196" s="97">
        <f t="shared" si="203"/>
        <v>718.7517367819637</v>
      </c>
      <c r="K196" s="97">
        <f t="shared" si="203"/>
        <v>547.60987574030037</v>
      </c>
      <c r="L196" s="97">
        <f t="shared" si="203"/>
        <v>616.2809666215046</v>
      </c>
      <c r="M196" s="97">
        <f t="shared" si="203"/>
        <v>1331.5068325699217</v>
      </c>
      <c r="N196" s="97">
        <f t="shared" si="203"/>
        <v>669.02016134548899</v>
      </c>
      <c r="O196" s="97">
        <f t="shared" si="203"/>
        <v>852.19847547534982</v>
      </c>
      <c r="P196" s="97">
        <f t="shared" si="203"/>
        <v>749.99844873435427</v>
      </c>
      <c r="Q196" s="97">
        <f t="shared" si="203"/>
        <v>1564.9579338119315</v>
      </c>
      <c r="R196" s="97">
        <f t="shared" si="203"/>
        <v>2216.1878709942152</v>
      </c>
      <c r="S196" s="97">
        <f t="shared" si="203"/>
        <v>3664.1002126966177</v>
      </c>
      <c r="T196" s="97">
        <f t="shared" si="203"/>
        <v>1959.5929282339309</v>
      </c>
      <c r="U196" s="97">
        <f t="shared" si="203"/>
        <v>5392.1442346271606</v>
      </c>
      <c r="V196" s="97">
        <f t="shared" si="203"/>
        <v>20513.271598366227</v>
      </c>
      <c r="W196" s="97">
        <f t="shared" si="203"/>
        <v>960.33577994702989</v>
      </c>
      <c r="X196" s="97">
        <f t="shared" si="203"/>
        <v>978.54825611180127</v>
      </c>
      <c r="Y196" s="97">
        <f t="shared" si="203"/>
        <v>1018.9861165611782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49.018717324856752</v>
      </c>
      <c r="C197" s="97">
        <f t="shared" si="204"/>
        <v>48.61687270189244</v>
      </c>
      <c r="D197" s="97">
        <f t="shared" si="204"/>
        <v>48.276259819060343</v>
      </c>
      <c r="E197" s="97">
        <f t="shared" si="204"/>
        <v>31.184894719513245</v>
      </c>
      <c r="F197" s="97">
        <f t="shared" si="204"/>
        <v>37.18342626164084</v>
      </c>
      <c r="G197" s="97">
        <f t="shared" si="204"/>
        <v>37.778019874704697</v>
      </c>
      <c r="H197" s="97">
        <f t="shared" si="204"/>
        <v>39.019487421990398</v>
      </c>
      <c r="I197" s="97">
        <f t="shared" si="204"/>
        <v>39.493948470712233</v>
      </c>
      <c r="J197" s="97">
        <f t="shared" si="204"/>
        <v>40.070213714740824</v>
      </c>
      <c r="K197" s="97">
        <f t="shared" si="204"/>
        <v>41.685652827590154</v>
      </c>
      <c r="L197" s="97">
        <f t="shared" si="204"/>
        <v>39.430331336662881</v>
      </c>
      <c r="M197" s="97">
        <f t="shared" si="204"/>
        <v>36.910440273991618</v>
      </c>
      <c r="N197" s="97">
        <f t="shared" si="204"/>
        <v>38.113371553621597</v>
      </c>
      <c r="O197" s="97">
        <f t="shared" si="204"/>
        <v>37.649287170920573</v>
      </c>
      <c r="P197" s="97">
        <f t="shared" si="204"/>
        <v>38.074788930259068</v>
      </c>
      <c r="Q197" s="97">
        <f t="shared" si="204"/>
        <v>35.676016229883395</v>
      </c>
      <c r="R197" s="97">
        <f t="shared" si="204"/>
        <v>35.980635932291534</v>
      </c>
      <c r="S197" s="97">
        <f t="shared" si="204"/>
        <v>34.819803289784559</v>
      </c>
      <c r="T197" s="97">
        <f t="shared" si="204"/>
        <v>37.172763280368791</v>
      </c>
      <c r="U197" s="97">
        <f t="shared" si="204"/>
        <v>36.429224026010921</v>
      </c>
      <c r="V197" s="97">
        <f t="shared" si="204"/>
        <v>37.108657112304989</v>
      </c>
      <c r="W197" s="97">
        <f t="shared" si="204"/>
        <v>40.803058492579034</v>
      </c>
      <c r="X197" s="97">
        <f t="shared" si="204"/>
        <v>33.145582650607466</v>
      </c>
      <c r="Y197" s="97">
        <f t="shared" si="204"/>
        <v>32.858349941395282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46.938635997757231</v>
      </c>
      <c r="C198" s="97">
        <f t="shared" si="205"/>
        <v>46.813988952826925</v>
      </c>
      <c r="D198" s="97">
        <f t="shared" si="205"/>
        <v>46.29267226207476</v>
      </c>
      <c r="E198" s="97">
        <f t="shared" si="205"/>
        <v>29.619746502315131</v>
      </c>
      <c r="F198" s="97">
        <f t="shared" si="205"/>
        <v>31.891643677626252</v>
      </c>
      <c r="G198" s="97">
        <f t="shared" si="205"/>
        <v>33.145670592916822</v>
      </c>
      <c r="H198" s="97">
        <f t="shared" si="205"/>
        <v>34.206457811209816</v>
      </c>
      <c r="I198" s="97">
        <f t="shared" si="205"/>
        <v>31.060771830057856</v>
      </c>
      <c r="J198" s="97">
        <f t="shared" si="205"/>
        <v>31.289246692089595</v>
      </c>
      <c r="K198" s="97">
        <f t="shared" si="205"/>
        <v>31.989654492937046</v>
      </c>
      <c r="L198" s="97">
        <f t="shared" si="205"/>
        <v>28.014529666977513</v>
      </c>
      <c r="M198" s="97">
        <f t="shared" si="205"/>
        <v>25.650769933024545</v>
      </c>
      <c r="N198" s="97">
        <f t="shared" si="205"/>
        <v>25.887897458888318</v>
      </c>
      <c r="O198" s="97">
        <f t="shared" si="205"/>
        <v>24.050176700280364</v>
      </c>
      <c r="P198" s="97">
        <f t="shared" si="205"/>
        <v>23.997209237243894</v>
      </c>
      <c r="Q198" s="97">
        <f t="shared" si="205"/>
        <v>23.050164161497992</v>
      </c>
      <c r="R198" s="97">
        <f t="shared" si="205"/>
        <v>21.718537831332352</v>
      </c>
      <c r="S198" s="97">
        <f t="shared" si="205"/>
        <v>19.044784087081293</v>
      </c>
      <c r="T198" s="97">
        <f t="shared" si="205"/>
        <v>18.661429022935121</v>
      </c>
      <c r="U198" s="97">
        <f t="shared" si="205"/>
        <v>17.835526836735838</v>
      </c>
      <c r="V198" s="97">
        <f t="shared" si="205"/>
        <v>33.771868959463418</v>
      </c>
      <c r="W198" s="97">
        <f t="shared" si="205"/>
        <v>32.95930625410525</v>
      </c>
      <c r="X198" s="97">
        <f t="shared" si="205"/>
        <v>20.836013776061154</v>
      </c>
      <c r="Y198" s="97">
        <f t="shared" si="205"/>
        <v>19.874033209841357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24.96360979235828</v>
      </c>
      <c r="C199" s="32">
        <f t="shared" si="206"/>
        <v>26.376475995289255</v>
      </c>
      <c r="D199" s="32">
        <f t="shared" si="206"/>
        <v>28.111281816884922</v>
      </c>
      <c r="E199" s="32">
        <f t="shared" si="206"/>
        <v>32.407630686551116</v>
      </c>
      <c r="F199" s="32">
        <f t="shared" si="206"/>
        <v>35.892360801418668</v>
      </c>
      <c r="G199" s="32">
        <f t="shared" si="206"/>
        <v>41.575828398026239</v>
      </c>
      <c r="H199" s="32">
        <f t="shared" si="206"/>
        <v>42.691084173388283</v>
      </c>
      <c r="I199" s="32">
        <f t="shared" si="206"/>
        <v>45.155947601546103</v>
      </c>
      <c r="J199" s="32">
        <f t="shared" si="206"/>
        <v>46.970914185160801</v>
      </c>
      <c r="K199" s="32">
        <f t="shared" si="206"/>
        <v>50.274707400103544</v>
      </c>
      <c r="L199" s="32">
        <f t="shared" si="206"/>
        <v>43.839137170197468</v>
      </c>
      <c r="M199" s="32">
        <f t="shared" si="206"/>
        <v>42.313369853839383</v>
      </c>
      <c r="N199" s="32">
        <f t="shared" si="206"/>
        <v>42.186786013567783</v>
      </c>
      <c r="O199" s="32">
        <f t="shared" si="206"/>
        <v>38.882554164238009</v>
      </c>
      <c r="P199" s="32">
        <f t="shared" si="206"/>
        <v>40.041422674588325</v>
      </c>
      <c r="Q199" s="32">
        <f t="shared" si="206"/>
        <v>38.942099242007181</v>
      </c>
      <c r="R199" s="32">
        <f t="shared" si="206"/>
        <v>39.15006051123413</v>
      </c>
      <c r="S199" s="32">
        <f t="shared" si="206"/>
        <v>40.162231008768153</v>
      </c>
      <c r="T199" s="32">
        <f t="shared" si="206"/>
        <v>39.395593263646617</v>
      </c>
      <c r="U199" s="32">
        <f t="shared" si="206"/>
        <v>38.280343818005548</v>
      </c>
      <c r="V199" s="32">
        <f t="shared" si="206"/>
        <v>33.752535828560838</v>
      </c>
      <c r="W199" s="32">
        <f t="shared" si="206"/>
        <v>35.080112916124683</v>
      </c>
      <c r="X199" s="32">
        <f t="shared" si="206"/>
        <v>34.287654288347767</v>
      </c>
      <c r="Y199" s="32">
        <f t="shared" si="206"/>
        <v>36.869873884026553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38.350499096769816</v>
      </c>
      <c r="C200" s="141">
        <f t="shared" si="207"/>
        <v>39.309048360182096</v>
      </c>
      <c r="D200" s="141">
        <f t="shared" si="207"/>
        <v>40.420335817083412</v>
      </c>
      <c r="E200" s="141">
        <f t="shared" si="207"/>
        <v>46.520844341874557</v>
      </c>
      <c r="F200" s="141">
        <f t="shared" si="207"/>
        <v>49.847748867070472</v>
      </c>
      <c r="G200" s="141">
        <f t="shared" si="207"/>
        <v>57.978169081463861</v>
      </c>
      <c r="H200" s="141">
        <f t="shared" si="207"/>
        <v>59.892135674921072</v>
      </c>
      <c r="I200" s="141">
        <f t="shared" si="207"/>
        <v>63.903112846218619</v>
      </c>
      <c r="J200" s="141">
        <f t="shared" si="207"/>
        <v>66.417316212177141</v>
      </c>
      <c r="K200" s="141">
        <f t="shared" si="207"/>
        <v>69.519032279238047</v>
      </c>
      <c r="L200" s="141">
        <f t="shared" si="207"/>
        <v>60.326694620575836</v>
      </c>
      <c r="M200" s="141">
        <f t="shared" si="207"/>
        <v>58.185815935066437</v>
      </c>
      <c r="N200" s="141">
        <f t="shared" si="207"/>
        <v>58.459923909808552</v>
      </c>
      <c r="O200" s="141">
        <f t="shared" si="207"/>
        <v>52.375569165679465</v>
      </c>
      <c r="P200" s="141">
        <f t="shared" si="207"/>
        <v>53.853987081723709</v>
      </c>
      <c r="Q200" s="141">
        <f t="shared" si="207"/>
        <v>51.143590030772998</v>
      </c>
      <c r="R200" s="141">
        <f t="shared" si="207"/>
        <v>51.609003021165961</v>
      </c>
      <c r="S200" s="141">
        <f t="shared" si="207"/>
        <v>53.25488296046607</v>
      </c>
      <c r="T200" s="141">
        <f t="shared" si="207"/>
        <v>52.733908610673268</v>
      </c>
      <c r="U200" s="141">
        <f t="shared" si="207"/>
        <v>50.090112622183582</v>
      </c>
      <c r="V200" s="141">
        <f t="shared" si="207"/>
        <v>42.133260102106647</v>
      </c>
      <c r="W200" s="141">
        <f t="shared" si="207"/>
        <v>44.142923305607262</v>
      </c>
      <c r="X200" s="141">
        <f t="shared" si="207"/>
        <v>42.579168048049517</v>
      </c>
      <c r="Y200" s="141">
        <f t="shared" si="207"/>
        <v>45.578945796422822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789.32561611627114</v>
      </c>
      <c r="C201" s="97">
        <f t="shared" si="208"/>
        <v>734.75501342482528</v>
      </c>
      <c r="D201" s="97">
        <f t="shared" si="208"/>
        <v>714.28327578703727</v>
      </c>
      <c r="E201" s="97">
        <f t="shared" si="208"/>
        <v>692.69232679480922</v>
      </c>
      <c r="F201" s="97">
        <f t="shared" si="208"/>
        <v>674.45838525388695</v>
      </c>
      <c r="G201" s="97">
        <f t="shared" si="208"/>
        <v>661.57417711136236</v>
      </c>
      <c r="H201" s="97">
        <f t="shared" si="208"/>
        <v>654.64968964124148</v>
      </c>
      <c r="I201" s="97">
        <f t="shared" si="208"/>
        <v>648.61083213378799</v>
      </c>
      <c r="J201" s="97">
        <f t="shared" si="208"/>
        <v>652.35159359919987</v>
      </c>
      <c r="K201" s="97">
        <f t="shared" si="208"/>
        <v>650.53322773265904</v>
      </c>
      <c r="L201" s="97">
        <f t="shared" si="208"/>
        <v>656.69107823267939</v>
      </c>
      <c r="M201" s="97">
        <f t="shared" si="208"/>
        <v>659.75607271566071</v>
      </c>
      <c r="N201" s="97">
        <f t="shared" si="208"/>
        <v>661.67869584925506</v>
      </c>
      <c r="O201" s="97">
        <f t="shared" si="208"/>
        <v>667.30884717490767</v>
      </c>
      <c r="P201" s="97">
        <f t="shared" si="208"/>
        <v>679.01533557403843</v>
      </c>
      <c r="Q201" s="97">
        <f t="shared" si="208"/>
        <v>682.0656710468661</v>
      </c>
      <c r="R201" s="97">
        <f t="shared" si="208"/>
        <v>695.22665104217981</v>
      </c>
      <c r="S201" s="97">
        <f t="shared" si="208"/>
        <v>694.80611073958551</v>
      </c>
      <c r="T201" s="97">
        <f t="shared" si="208"/>
        <v>692.72961849078092</v>
      </c>
      <c r="U201" s="97">
        <f t="shared" si="208"/>
        <v>690.2885717368747</v>
      </c>
      <c r="V201" s="97">
        <f t="shared" si="208"/>
        <v>686.28113819156715</v>
      </c>
      <c r="W201" s="97">
        <f t="shared" si="208"/>
        <v>689.99587712286313</v>
      </c>
      <c r="X201" s="97">
        <f t="shared" si="208"/>
        <v>687.6508039913881</v>
      </c>
      <c r="Y201" s="97">
        <f t="shared" si="208"/>
        <v>682.02066623687449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32.451151713342746</v>
      </c>
      <c r="C202" s="97">
        <f t="shared" si="209"/>
        <v>33.337983244541668</v>
      </c>
      <c r="D202" s="97">
        <f t="shared" si="209"/>
        <v>34.048619295542046</v>
      </c>
      <c r="E202" s="97">
        <f t="shared" si="209"/>
        <v>39.601399619442205</v>
      </c>
      <c r="F202" s="97">
        <f t="shared" si="209"/>
        <v>42.169682839291504</v>
      </c>
      <c r="G202" s="97">
        <f t="shared" si="209"/>
        <v>49.021281579062268</v>
      </c>
      <c r="H202" s="97">
        <f t="shared" si="209"/>
        <v>50.025207852444737</v>
      </c>
      <c r="I202" s="97">
        <f t="shared" si="209"/>
        <v>52.8448115554719</v>
      </c>
      <c r="J202" s="97">
        <f t="shared" si="209"/>
        <v>52.64926241286593</v>
      </c>
      <c r="K202" s="97">
        <f t="shared" si="209"/>
        <v>53.933657405810003</v>
      </c>
      <c r="L202" s="97">
        <f t="shared" si="209"/>
        <v>44.96485805927756</v>
      </c>
      <c r="M202" s="97">
        <f t="shared" si="209"/>
        <v>42.982118728177845</v>
      </c>
      <c r="N202" s="97">
        <f t="shared" si="209"/>
        <v>42.671668228817367</v>
      </c>
      <c r="O202" s="97">
        <f t="shared" si="209"/>
        <v>37.138773229766521</v>
      </c>
      <c r="P202" s="97">
        <f t="shared" si="209"/>
        <v>37.545066351436255</v>
      </c>
      <c r="Q202" s="97">
        <f t="shared" si="209"/>
        <v>35.632902869173883</v>
      </c>
      <c r="R202" s="97">
        <f t="shared" si="209"/>
        <v>38.492105747873396</v>
      </c>
      <c r="S202" s="97">
        <f t="shared" si="209"/>
        <v>39.857893066106534</v>
      </c>
      <c r="T202" s="97">
        <f t="shared" si="209"/>
        <v>39.342530345984031</v>
      </c>
      <c r="U202" s="97">
        <f t="shared" si="209"/>
        <v>37.269120075911147</v>
      </c>
      <c r="V202" s="97">
        <f t="shared" si="209"/>
        <v>30.994135302882697</v>
      </c>
      <c r="W202" s="97">
        <f t="shared" si="209"/>
        <v>33.485025520059459</v>
      </c>
      <c r="X202" s="97">
        <f t="shared" si="209"/>
        <v>32.290352702111285</v>
      </c>
      <c r="Y202" s="97">
        <f t="shared" si="209"/>
        <v>34.552316016463124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3.8991998118544458</v>
      </c>
      <c r="C203" s="130">
        <f t="shared" si="210"/>
        <v>3.8382336376961805</v>
      </c>
      <c r="D203" s="130">
        <f t="shared" si="210"/>
        <v>3.674483536801703</v>
      </c>
      <c r="E203" s="130">
        <f t="shared" si="210"/>
        <v>3.5762552240521388</v>
      </c>
      <c r="F203" s="130">
        <f t="shared" si="210"/>
        <v>4.857723815444241</v>
      </c>
      <c r="G203" s="130">
        <f t="shared" si="210"/>
        <v>4.6446645308908359</v>
      </c>
      <c r="H203" s="130">
        <f t="shared" si="210"/>
        <v>4.4845442505355706</v>
      </c>
      <c r="I203" s="130">
        <f t="shared" si="210"/>
        <v>4.5934694555883153</v>
      </c>
      <c r="J203" s="130">
        <f t="shared" si="210"/>
        <v>4.2583458576699558</v>
      </c>
      <c r="K203" s="130">
        <f t="shared" si="210"/>
        <v>4.4038053955938476</v>
      </c>
      <c r="L203" s="130">
        <f t="shared" si="210"/>
        <v>3.8708362655518305</v>
      </c>
      <c r="M203" s="130">
        <f t="shared" si="210"/>
        <v>3.8656941011880073</v>
      </c>
      <c r="N203" s="130">
        <f t="shared" si="210"/>
        <v>3.3840337381601158</v>
      </c>
      <c r="O203" s="130">
        <f t="shared" si="210"/>
        <v>3.231840985910869</v>
      </c>
      <c r="P203" s="130">
        <f t="shared" si="210"/>
        <v>3.5422320830406093</v>
      </c>
      <c r="Q203" s="130">
        <f t="shared" si="210"/>
        <v>3.4543489024816196</v>
      </c>
      <c r="R203" s="130">
        <f t="shared" si="210"/>
        <v>3.3605395162413356</v>
      </c>
      <c r="S203" s="130">
        <f t="shared" si="210"/>
        <v>3.2331075196754733</v>
      </c>
      <c r="T203" s="130">
        <f t="shared" si="210"/>
        <v>3.0487666388430332</v>
      </c>
      <c r="U203" s="130">
        <f t="shared" si="210"/>
        <v>3.1832510486155408</v>
      </c>
      <c r="V203" s="130">
        <f t="shared" si="210"/>
        <v>3.5213799797241556</v>
      </c>
      <c r="W203" s="130">
        <f t="shared" si="210"/>
        <v>3.4300553170760248</v>
      </c>
      <c r="X203" s="130">
        <f t="shared" si="210"/>
        <v>4.2188265075274138</v>
      </c>
      <c r="Y203" s="130">
        <f t="shared" si="210"/>
        <v>4.3471453942192744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143.61565628364809</v>
      </c>
      <c r="C204" s="130">
        <f t="shared" si="211"/>
        <v>136.56973006210507</v>
      </c>
      <c r="D204" s="130">
        <f t="shared" si="211"/>
        <v>144.50237588355918</v>
      </c>
      <c r="E204" s="130">
        <f t="shared" si="211"/>
        <v>96.859140780333533</v>
      </c>
      <c r="F204" s="130">
        <f t="shared" si="211"/>
        <v>115.31672993735201</v>
      </c>
      <c r="G204" s="130">
        <f t="shared" si="211"/>
        <v>126.15722039141464</v>
      </c>
      <c r="H204" s="130">
        <f t="shared" si="211"/>
        <v>143.07054820253882</v>
      </c>
      <c r="I204" s="130">
        <f t="shared" si="211"/>
        <v>145.04498296524281</v>
      </c>
      <c r="J204" s="130">
        <f t="shared" si="211"/>
        <v>142.04767553862959</v>
      </c>
      <c r="K204" s="130">
        <f t="shared" si="211"/>
        <v>117.09081502964096</v>
      </c>
      <c r="L204" s="130">
        <f t="shared" si="211"/>
        <v>110.80719517885309</v>
      </c>
      <c r="M204" s="130">
        <f t="shared" si="211"/>
        <v>100.9261097442093</v>
      </c>
      <c r="N204" s="130">
        <f t="shared" si="211"/>
        <v>93.410010528325429</v>
      </c>
      <c r="O204" s="130">
        <f t="shared" si="211"/>
        <v>87.103607194461048</v>
      </c>
      <c r="P204" s="130">
        <f t="shared" si="211"/>
        <v>74.862452604600307</v>
      </c>
      <c r="Q204" s="130">
        <f t="shared" si="211"/>
        <v>76.332972754633275</v>
      </c>
      <c r="R204" s="130">
        <f t="shared" si="211"/>
        <v>64.519298294421361</v>
      </c>
      <c r="S204" s="130">
        <f t="shared" si="211"/>
        <v>66.6368357200259</v>
      </c>
      <c r="T204" s="130">
        <f t="shared" si="211"/>
        <v>78.712611112329085</v>
      </c>
      <c r="U204" s="130">
        <f t="shared" si="211"/>
        <v>99.654211271560385</v>
      </c>
      <c r="V204" s="130">
        <f t="shared" si="211"/>
        <v>253.51401068115663</v>
      </c>
      <c r="W204" s="130">
        <f t="shared" si="211"/>
        <v>126.42592137510682</v>
      </c>
      <c r="X204" s="130">
        <f t="shared" si="211"/>
        <v>109.47348295957374</v>
      </c>
      <c r="Y204" s="130">
        <f t="shared" si="211"/>
        <v>102.65922980793553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8997.1041342692188</v>
      </c>
      <c r="C205" s="97">
        <f t="shared" si="212"/>
        <v>9103.7873516634136</v>
      </c>
      <c r="D205" s="97">
        <f t="shared" si="212"/>
        <v>8765.5957776769228</v>
      </c>
      <c r="E205" s="97">
        <f t="shared" si="212"/>
        <v>7819.4156403162542</v>
      </c>
      <c r="F205" s="97">
        <f t="shared" si="212"/>
        <v>4939.4576420381045</v>
      </c>
      <c r="G205" s="97">
        <f t="shared" si="212"/>
        <v>3471.4392688530688</v>
      </c>
      <c r="H205" s="97">
        <f t="shared" si="212"/>
        <v>1788.2177302877978</v>
      </c>
      <c r="I205" s="97">
        <f t="shared" si="212"/>
        <v>3626.2907669935908</v>
      </c>
      <c r="J205" s="97">
        <f t="shared" si="212"/>
        <v>3626.0972147343882</v>
      </c>
      <c r="K205" s="97">
        <f t="shared" si="212"/>
        <v>1917.0234946353432</v>
      </c>
      <c r="L205" s="97">
        <f t="shared" si="212"/>
        <v>2090.0557840206498</v>
      </c>
      <c r="M205" s="97">
        <f t="shared" si="212"/>
        <v>4413.3812199357844</v>
      </c>
      <c r="N205" s="97">
        <f t="shared" si="212"/>
        <v>2732.7145214644938</v>
      </c>
      <c r="O205" s="97">
        <f t="shared" si="212"/>
        <v>3468.1253859143803</v>
      </c>
      <c r="P205" s="97">
        <f t="shared" si="212"/>
        <v>2443.5712559120893</v>
      </c>
      <c r="Q205" s="97">
        <f t="shared" si="212"/>
        <v>4720.8914380584001</v>
      </c>
      <c r="R205" s="97">
        <f t="shared" si="212"/>
        <v>4731.5256479830359</v>
      </c>
      <c r="S205" s="97">
        <f t="shared" si="212"/>
        <v>9256.8935191463152</v>
      </c>
      <c r="T205" s="97">
        <f t="shared" si="212"/>
        <v>6076.5697642507766</v>
      </c>
      <c r="U205" s="97">
        <f t="shared" si="212"/>
        <v>20829.44753709729</v>
      </c>
      <c r="V205" s="97">
        <f t="shared" si="212"/>
        <v>32058.218602844972</v>
      </c>
      <c r="W205" s="97">
        <f t="shared" si="212"/>
        <v>3176.2172541201098</v>
      </c>
      <c r="X205" s="97">
        <f t="shared" si="212"/>
        <v>4269.8388173767999</v>
      </c>
      <c r="Y205" s="97">
        <f t="shared" si="212"/>
        <v>4127.6417835043449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199.11662875768516</v>
      </c>
      <c r="C206" s="97">
        <f t="shared" si="213"/>
        <v>189.87306072425883</v>
      </c>
      <c r="D206" s="97">
        <f t="shared" si="213"/>
        <v>198.94253923784376</v>
      </c>
      <c r="E206" s="97">
        <f t="shared" si="213"/>
        <v>127.26370354947042</v>
      </c>
      <c r="F206" s="97">
        <f t="shared" si="213"/>
        <v>161.31730094189339</v>
      </c>
      <c r="G206" s="97">
        <f t="shared" si="213"/>
        <v>161.50647387774214</v>
      </c>
      <c r="H206" s="97">
        <f t="shared" si="213"/>
        <v>191.60332714062338</v>
      </c>
      <c r="I206" s="97">
        <f t="shared" si="213"/>
        <v>188.16156779409269</v>
      </c>
      <c r="J206" s="97">
        <f t="shared" si="213"/>
        <v>183.23818346146402</v>
      </c>
      <c r="K206" s="97">
        <f t="shared" si="213"/>
        <v>194.22263914008664</v>
      </c>
      <c r="L206" s="97">
        <f t="shared" si="213"/>
        <v>184.06802884269371</v>
      </c>
      <c r="M206" s="97">
        <f t="shared" si="213"/>
        <v>177.35920855931826</v>
      </c>
      <c r="N206" s="97">
        <f t="shared" si="213"/>
        <v>179.15588026273988</v>
      </c>
      <c r="O206" s="97">
        <f t="shared" si="213"/>
        <v>183.00185477251134</v>
      </c>
      <c r="P206" s="97">
        <f t="shared" si="213"/>
        <v>166.50822565773825</v>
      </c>
      <c r="Q206" s="97">
        <f t="shared" si="213"/>
        <v>162.57146460692883</v>
      </c>
      <c r="R206" s="97">
        <f t="shared" si="213"/>
        <v>152.02376847549027</v>
      </c>
      <c r="S206" s="97">
        <f t="shared" si="213"/>
        <v>174.45445330927575</v>
      </c>
      <c r="T206" s="97">
        <f t="shared" si="213"/>
        <v>185.92116396660967</v>
      </c>
      <c r="U206" s="97">
        <f t="shared" si="213"/>
        <v>184.85495378002742</v>
      </c>
      <c r="V206" s="97">
        <f t="shared" si="213"/>
        <v>185.67477338536665</v>
      </c>
      <c r="W206" s="97">
        <f t="shared" si="213"/>
        <v>220.1964357632591</v>
      </c>
      <c r="X206" s="97">
        <f t="shared" si="213"/>
        <v>217.6922190121779</v>
      </c>
      <c r="Y206" s="97">
        <f t="shared" si="213"/>
        <v>220.86904556836237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122.13800832108488</v>
      </c>
      <c r="C207" s="97">
        <f t="shared" si="214"/>
        <v>116.67778843158779</v>
      </c>
      <c r="D207" s="97">
        <f t="shared" si="214"/>
        <v>122.67416549449881</v>
      </c>
      <c r="E207" s="97">
        <f t="shared" si="214"/>
        <v>86.168324783297194</v>
      </c>
      <c r="F207" s="97">
        <f t="shared" si="214"/>
        <v>102.28961151858418</v>
      </c>
      <c r="G207" s="97">
        <f t="shared" si="214"/>
        <v>113.65698408233537</v>
      </c>
      <c r="H207" s="97">
        <f t="shared" si="214"/>
        <v>124.26851117017733</v>
      </c>
      <c r="I207" s="97">
        <f t="shared" si="214"/>
        <v>113.78882214219327</v>
      </c>
      <c r="J207" s="97">
        <f t="shared" si="214"/>
        <v>113.19358012053647</v>
      </c>
      <c r="K207" s="97">
        <f t="shared" si="214"/>
        <v>95.622608374379666</v>
      </c>
      <c r="L207" s="97">
        <f t="shared" si="214"/>
        <v>88.269981622899977</v>
      </c>
      <c r="M207" s="97">
        <f t="shared" si="214"/>
        <v>81.821345461543942</v>
      </c>
      <c r="N207" s="97">
        <f t="shared" si="214"/>
        <v>80.777475409193585</v>
      </c>
      <c r="O207" s="97">
        <f t="shared" si="214"/>
        <v>74.385828308791687</v>
      </c>
      <c r="P207" s="97">
        <f t="shared" si="214"/>
        <v>64.13994607457208</v>
      </c>
      <c r="Q207" s="97">
        <f t="shared" si="214"/>
        <v>64.481476541161499</v>
      </c>
      <c r="R207" s="97">
        <f t="shared" si="214"/>
        <v>54.700393584956203</v>
      </c>
      <c r="S207" s="97">
        <f t="shared" si="214"/>
        <v>51.940228713567777</v>
      </c>
      <c r="T207" s="97">
        <f t="shared" si="214"/>
        <v>46.433744389110117</v>
      </c>
      <c r="U207" s="97">
        <f t="shared" si="214"/>
        <v>43.26172947721733</v>
      </c>
      <c r="V207" s="97">
        <f t="shared" si="214"/>
        <v>65.525723929811406</v>
      </c>
      <c r="W207" s="97">
        <f t="shared" si="214"/>
        <v>44.677999065590875</v>
      </c>
      <c r="X207" s="97">
        <f t="shared" si="214"/>
        <v>48.240698983923096</v>
      </c>
      <c r="Y207" s="97">
        <f t="shared" si="214"/>
        <v>46.005194071764606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57.28404842184586</v>
      </c>
      <c r="C208" s="130">
        <f t="shared" si="215"/>
        <v>102.69197698260467</v>
      </c>
      <c r="D208" s="130">
        <f t="shared" si="215"/>
        <v>50.0859845227859</v>
      </c>
      <c r="E208" s="130">
        <f t="shared" si="215"/>
        <v>69.066326681886906</v>
      </c>
      <c r="F208" s="130">
        <f t="shared" si="215"/>
        <v>125.01433075379764</v>
      </c>
      <c r="G208" s="130">
        <f t="shared" si="215"/>
        <v>79.29137834554858</v>
      </c>
      <c r="H208" s="130">
        <f t="shared" si="215"/>
        <v>142.57033733927892</v>
      </c>
      <c r="I208" s="130">
        <f t="shared" si="215"/>
        <v>141.81236266360943</v>
      </c>
      <c r="J208" s="130">
        <f t="shared" si="215"/>
        <v>146.27502763788235</v>
      </c>
      <c r="K208" s="130">
        <f t="shared" si="215"/>
        <v>155.52515698689385</v>
      </c>
      <c r="L208" s="130">
        <f t="shared" si="215"/>
        <v>95.620788258113535</v>
      </c>
      <c r="M208" s="130">
        <f t="shared" si="215"/>
        <v>73.334561683658833</v>
      </c>
      <c r="N208" s="130">
        <f t="shared" si="215"/>
        <v>135.00475177625921</v>
      </c>
      <c r="O208" s="130">
        <f t="shared" si="215"/>
        <v>82.091143594153039</v>
      </c>
      <c r="P208" s="130">
        <f t="shared" si="215"/>
        <v>114.09190790102227</v>
      </c>
      <c r="Q208" s="130">
        <f t="shared" si="215"/>
        <v>93.243700982308042</v>
      </c>
      <c r="R208" s="130">
        <f t="shared" si="215"/>
        <v>114.0011464603038</v>
      </c>
      <c r="S208" s="130">
        <f t="shared" si="215"/>
        <v>164.13069647463453</v>
      </c>
      <c r="T208" s="130">
        <f t="shared" si="215"/>
        <v>133.75827133724624</v>
      </c>
      <c r="U208" s="130">
        <f t="shared" si="215"/>
        <v>160.31545571797071</v>
      </c>
      <c r="V208" s="130">
        <f t="shared" si="215"/>
        <v>228.42743861660455</v>
      </c>
      <c r="W208" s="130">
        <f t="shared" si="215"/>
        <v>187.68467130461968</v>
      </c>
      <c r="X208" s="130">
        <f t="shared" si="215"/>
        <v>154.68185726569214</v>
      </c>
      <c r="Y208" s="130">
        <f t="shared" si="215"/>
        <v>228.995891850578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0</v>
      </c>
      <c r="C209" s="97">
        <f t="shared" si="216"/>
        <v>0</v>
      </c>
      <c r="D209" s="97">
        <f t="shared" si="216"/>
        <v>0</v>
      </c>
      <c r="E209" s="97">
        <f t="shared" si="216"/>
        <v>0</v>
      </c>
      <c r="F209" s="97">
        <f t="shared" si="216"/>
        <v>0</v>
      </c>
      <c r="G209" s="97">
        <f t="shared" si="216"/>
        <v>0</v>
      </c>
      <c r="H209" s="97">
        <f t="shared" si="216"/>
        <v>0</v>
      </c>
      <c r="I209" s="97">
        <f t="shared" si="216"/>
        <v>0</v>
      </c>
      <c r="J209" s="97">
        <f t="shared" si="216"/>
        <v>0</v>
      </c>
      <c r="K209" s="97">
        <f t="shared" si="216"/>
        <v>0</v>
      </c>
      <c r="L209" s="97">
        <f t="shared" si="216"/>
        <v>0</v>
      </c>
      <c r="M209" s="97">
        <f t="shared" si="216"/>
        <v>0</v>
      </c>
      <c r="N209" s="97">
        <f t="shared" si="216"/>
        <v>0</v>
      </c>
      <c r="O209" s="97">
        <f t="shared" si="216"/>
        <v>0</v>
      </c>
      <c r="P209" s="97">
        <f t="shared" si="216"/>
        <v>0</v>
      </c>
      <c r="Q209" s="97">
        <f t="shared" si="216"/>
        <v>0</v>
      </c>
      <c r="R209" s="97">
        <f t="shared" si="216"/>
        <v>0</v>
      </c>
      <c r="S209" s="97">
        <f t="shared" si="216"/>
        <v>0</v>
      </c>
      <c r="T209" s="97">
        <f t="shared" si="216"/>
        <v>0</v>
      </c>
      <c r="U209" s="97">
        <f t="shared" si="216"/>
        <v>0</v>
      </c>
      <c r="V209" s="97">
        <f t="shared" si="216"/>
        <v>0</v>
      </c>
      <c r="W209" s="97">
        <f t="shared" si="216"/>
        <v>0</v>
      </c>
      <c r="X209" s="97">
        <f t="shared" si="216"/>
        <v>0</v>
      </c>
      <c r="Y209" s="97">
        <f t="shared" si="216"/>
        <v>0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57.28404842184586</v>
      </c>
      <c r="C210" s="98">
        <f t="shared" si="217"/>
        <v>102.69197698260467</v>
      </c>
      <c r="D210" s="98">
        <f t="shared" si="217"/>
        <v>50.0859845227859</v>
      </c>
      <c r="E210" s="98">
        <f t="shared" si="217"/>
        <v>69.066326681886906</v>
      </c>
      <c r="F210" s="98">
        <f t="shared" si="217"/>
        <v>125.01433075379764</v>
      </c>
      <c r="G210" s="98">
        <f t="shared" si="217"/>
        <v>79.29137834554858</v>
      </c>
      <c r="H210" s="98">
        <f t="shared" si="217"/>
        <v>142.57033733927892</v>
      </c>
      <c r="I210" s="98">
        <f t="shared" si="217"/>
        <v>141.81236266360943</v>
      </c>
      <c r="J210" s="98">
        <f t="shared" si="217"/>
        <v>146.27502763788235</v>
      </c>
      <c r="K210" s="98">
        <f t="shared" si="217"/>
        <v>155.52515698689385</v>
      </c>
      <c r="L210" s="98">
        <f t="shared" si="217"/>
        <v>95.620788258113535</v>
      </c>
      <c r="M210" s="98">
        <f t="shared" si="217"/>
        <v>73.334561683658833</v>
      </c>
      <c r="N210" s="98">
        <f t="shared" si="217"/>
        <v>135.00475177625921</v>
      </c>
      <c r="O210" s="98">
        <f t="shared" si="217"/>
        <v>82.091143594153039</v>
      </c>
      <c r="P210" s="98">
        <f t="shared" si="217"/>
        <v>114.09190790102227</v>
      </c>
      <c r="Q210" s="98">
        <f t="shared" si="217"/>
        <v>93.243700982308042</v>
      </c>
      <c r="R210" s="98">
        <f t="shared" si="217"/>
        <v>114.0011464603038</v>
      </c>
      <c r="S210" s="98">
        <f t="shared" si="217"/>
        <v>164.13069647463453</v>
      </c>
      <c r="T210" s="98">
        <f t="shared" si="217"/>
        <v>133.75827133724624</v>
      </c>
      <c r="U210" s="98">
        <f t="shared" si="217"/>
        <v>160.31545571797071</v>
      </c>
      <c r="V210" s="98">
        <f t="shared" si="217"/>
        <v>228.42743861660455</v>
      </c>
      <c r="W210" s="98">
        <f t="shared" si="217"/>
        <v>187.68467130461968</v>
      </c>
      <c r="X210" s="98">
        <f t="shared" si="217"/>
        <v>154.68185726569214</v>
      </c>
      <c r="Y210" s="98">
        <f t="shared" si="217"/>
        <v>228.995891850578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0</v>
      </c>
      <c r="C211" s="32">
        <f t="shared" si="218"/>
        <v>0</v>
      </c>
      <c r="D211" s="32">
        <f t="shared" si="218"/>
        <v>0</v>
      </c>
      <c r="E211" s="32">
        <f t="shared" si="218"/>
        <v>0</v>
      </c>
      <c r="F211" s="32">
        <f t="shared" si="218"/>
        <v>0</v>
      </c>
      <c r="G211" s="32">
        <f t="shared" si="218"/>
        <v>0</v>
      </c>
      <c r="H211" s="32">
        <f t="shared" si="218"/>
        <v>0</v>
      </c>
      <c r="I211" s="32">
        <f t="shared" si="218"/>
        <v>0</v>
      </c>
      <c r="J211" s="32">
        <f t="shared" si="218"/>
        <v>0</v>
      </c>
      <c r="K211" s="32">
        <f t="shared" si="218"/>
        <v>0</v>
      </c>
      <c r="L211" s="32">
        <f t="shared" si="218"/>
        <v>0</v>
      </c>
      <c r="M211" s="32">
        <f t="shared" si="218"/>
        <v>0</v>
      </c>
      <c r="N211" s="32">
        <f t="shared" si="218"/>
        <v>0</v>
      </c>
      <c r="O211" s="32">
        <f t="shared" si="218"/>
        <v>0</v>
      </c>
      <c r="P211" s="32">
        <f t="shared" si="218"/>
        <v>0</v>
      </c>
      <c r="Q211" s="32">
        <f t="shared" si="218"/>
        <v>0</v>
      </c>
      <c r="R211" s="32">
        <f t="shared" si="218"/>
        <v>0</v>
      </c>
      <c r="S211" s="32">
        <f t="shared" si="218"/>
        <v>0</v>
      </c>
      <c r="T211" s="32">
        <f t="shared" si="218"/>
        <v>0</v>
      </c>
      <c r="U211" s="32">
        <f t="shared" si="218"/>
        <v>0</v>
      </c>
      <c r="V211" s="32">
        <f t="shared" si="218"/>
        <v>0</v>
      </c>
      <c r="W211" s="32">
        <f t="shared" si="218"/>
        <v>0</v>
      </c>
      <c r="X211" s="32">
        <f t="shared" si="218"/>
        <v>0</v>
      </c>
      <c r="Y211" s="32">
        <f t="shared" si="218"/>
        <v>0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0</v>
      </c>
      <c r="C212" s="97">
        <f t="shared" si="219"/>
        <v>0</v>
      </c>
      <c r="D212" s="97">
        <f t="shared" si="219"/>
        <v>0</v>
      </c>
      <c r="E212" s="97">
        <f t="shared" si="219"/>
        <v>0</v>
      </c>
      <c r="F212" s="97">
        <f t="shared" si="219"/>
        <v>0</v>
      </c>
      <c r="G212" s="97">
        <f t="shared" si="219"/>
        <v>0</v>
      </c>
      <c r="H212" s="97">
        <f t="shared" si="219"/>
        <v>0</v>
      </c>
      <c r="I212" s="97">
        <f t="shared" si="219"/>
        <v>0</v>
      </c>
      <c r="J212" s="97">
        <f t="shared" si="219"/>
        <v>0</v>
      </c>
      <c r="K212" s="97">
        <f t="shared" si="219"/>
        <v>0</v>
      </c>
      <c r="L212" s="97">
        <f t="shared" si="219"/>
        <v>0</v>
      </c>
      <c r="M212" s="97">
        <f t="shared" si="219"/>
        <v>0</v>
      </c>
      <c r="N212" s="97">
        <f t="shared" si="219"/>
        <v>0</v>
      </c>
      <c r="O212" s="97">
        <f t="shared" si="219"/>
        <v>0</v>
      </c>
      <c r="P212" s="97">
        <f t="shared" si="219"/>
        <v>0</v>
      </c>
      <c r="Q212" s="97">
        <f t="shared" si="219"/>
        <v>0</v>
      </c>
      <c r="R212" s="97">
        <f t="shared" si="219"/>
        <v>0</v>
      </c>
      <c r="S212" s="97">
        <f t="shared" si="219"/>
        <v>0</v>
      </c>
      <c r="T212" s="97">
        <f t="shared" si="219"/>
        <v>0</v>
      </c>
      <c r="U212" s="97">
        <f t="shared" si="219"/>
        <v>0</v>
      </c>
      <c r="V212" s="97">
        <f t="shared" si="219"/>
        <v>0</v>
      </c>
      <c r="W212" s="97">
        <f t="shared" si="219"/>
        <v>0</v>
      </c>
      <c r="X212" s="97">
        <f t="shared" si="219"/>
        <v>0</v>
      </c>
      <c r="Y212" s="97">
        <f t="shared" si="219"/>
        <v>0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0</v>
      </c>
      <c r="C213" s="98">
        <f t="shared" si="220"/>
        <v>0</v>
      </c>
      <c r="D213" s="98">
        <f t="shared" si="220"/>
        <v>0</v>
      </c>
      <c r="E213" s="98">
        <f t="shared" si="220"/>
        <v>0</v>
      </c>
      <c r="F213" s="98">
        <f t="shared" si="220"/>
        <v>0</v>
      </c>
      <c r="G213" s="98">
        <f t="shared" si="220"/>
        <v>0</v>
      </c>
      <c r="H213" s="98">
        <f t="shared" si="220"/>
        <v>0</v>
      </c>
      <c r="I213" s="98">
        <f t="shared" si="220"/>
        <v>0</v>
      </c>
      <c r="J213" s="98">
        <f t="shared" si="220"/>
        <v>0</v>
      </c>
      <c r="K213" s="98">
        <f t="shared" si="220"/>
        <v>0</v>
      </c>
      <c r="L213" s="98">
        <f t="shared" si="220"/>
        <v>0</v>
      </c>
      <c r="M213" s="98">
        <f t="shared" si="220"/>
        <v>0</v>
      </c>
      <c r="N213" s="98">
        <f t="shared" si="220"/>
        <v>0</v>
      </c>
      <c r="O213" s="98">
        <f t="shared" si="220"/>
        <v>0</v>
      </c>
      <c r="P213" s="98">
        <f t="shared" si="220"/>
        <v>0</v>
      </c>
      <c r="Q213" s="98">
        <f t="shared" si="220"/>
        <v>0</v>
      </c>
      <c r="R213" s="98">
        <f t="shared" si="220"/>
        <v>0</v>
      </c>
      <c r="S213" s="98">
        <f t="shared" si="220"/>
        <v>0</v>
      </c>
      <c r="T213" s="98">
        <f t="shared" si="220"/>
        <v>0</v>
      </c>
      <c r="U213" s="98">
        <f t="shared" si="220"/>
        <v>0</v>
      </c>
      <c r="V213" s="98">
        <f t="shared" si="220"/>
        <v>0</v>
      </c>
      <c r="W213" s="98">
        <f t="shared" si="220"/>
        <v>0</v>
      </c>
      <c r="X213" s="98">
        <f t="shared" si="220"/>
        <v>0</v>
      </c>
      <c r="Y213" s="98">
        <f t="shared" si="220"/>
        <v>0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90.179101639291687</v>
      </c>
      <c r="C216" s="32">
        <f t="shared" si="221"/>
        <v>93.711529074854255</v>
      </c>
      <c r="D216" s="32">
        <f t="shared" si="221"/>
        <v>95.736266930245961</v>
      </c>
      <c r="E216" s="32">
        <f t="shared" si="221"/>
        <v>101.97258406017272</v>
      </c>
      <c r="F216" s="32">
        <f t="shared" si="221"/>
        <v>105.1725646618174</v>
      </c>
      <c r="G216" s="32">
        <f t="shared" si="221"/>
        <v>107.95054847523727</v>
      </c>
      <c r="H216" s="32">
        <f t="shared" si="221"/>
        <v>108.13304363335266</v>
      </c>
      <c r="I216" s="32">
        <f t="shared" si="221"/>
        <v>109.73592562854051</v>
      </c>
      <c r="J216" s="32">
        <f t="shared" si="221"/>
        <v>107.22262361833423</v>
      </c>
      <c r="K216" s="32">
        <f t="shared" si="221"/>
        <v>107.48215148936809</v>
      </c>
      <c r="L216" s="32">
        <f t="shared" si="221"/>
        <v>108.52146540404364</v>
      </c>
      <c r="M216" s="32">
        <f t="shared" si="221"/>
        <v>106.97866183180254</v>
      </c>
      <c r="N216" s="32">
        <f t="shared" si="221"/>
        <v>105.23857726491488</v>
      </c>
      <c r="O216" s="32">
        <f t="shared" si="221"/>
        <v>104.19823085745402</v>
      </c>
      <c r="P216" s="32">
        <f t="shared" si="221"/>
        <v>102.75427943773617</v>
      </c>
      <c r="Q216" s="32">
        <f t="shared" si="221"/>
        <v>102.15236888585422</v>
      </c>
      <c r="R216" s="32">
        <f t="shared" si="221"/>
        <v>103.50108630782823</v>
      </c>
      <c r="S216" s="32">
        <f t="shared" si="221"/>
        <v>102.28356060147028</v>
      </c>
      <c r="T216" s="32">
        <f t="shared" si="221"/>
        <v>99.341391267995519</v>
      </c>
      <c r="U216" s="32">
        <f t="shared" si="221"/>
        <v>97.602717102982496</v>
      </c>
      <c r="V216" s="32">
        <f t="shared" si="221"/>
        <v>124.09825714029675</v>
      </c>
      <c r="W216" s="32">
        <f t="shared" si="221"/>
        <v>107.54251585728595</v>
      </c>
      <c r="X216" s="32">
        <f t="shared" si="221"/>
        <v>100.01953705678713</v>
      </c>
      <c r="Y216" s="32">
        <f t="shared" si="221"/>
        <v>102.78253415746353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100.82729821105463</v>
      </c>
      <c r="C217" s="141">
        <f t="shared" si="222"/>
        <v>104.95718341722775</v>
      </c>
      <c r="D217" s="141">
        <f t="shared" si="222"/>
        <v>107.15782114510755</v>
      </c>
      <c r="E217" s="141">
        <f t="shared" si="222"/>
        <v>116.16433495557959</v>
      </c>
      <c r="F217" s="141">
        <f t="shared" si="222"/>
        <v>120.14552893176685</v>
      </c>
      <c r="G217" s="141">
        <f t="shared" si="222"/>
        <v>122.67300721416947</v>
      </c>
      <c r="H217" s="141">
        <f t="shared" si="222"/>
        <v>122.82098001083726</v>
      </c>
      <c r="I217" s="141">
        <f t="shared" si="222"/>
        <v>124.18394447188101</v>
      </c>
      <c r="J217" s="141">
        <f t="shared" si="222"/>
        <v>121.59255009875332</v>
      </c>
      <c r="K217" s="141">
        <f t="shared" si="222"/>
        <v>121.9500546927891</v>
      </c>
      <c r="L217" s="141">
        <f t="shared" si="222"/>
        <v>125.96875052594145</v>
      </c>
      <c r="M217" s="141">
        <f t="shared" si="222"/>
        <v>124.02240605812202</v>
      </c>
      <c r="N217" s="141">
        <f t="shared" si="222"/>
        <v>124.1440080242312</v>
      </c>
      <c r="O217" s="141">
        <f t="shared" si="222"/>
        <v>123.74395424280991</v>
      </c>
      <c r="P217" s="141">
        <f t="shared" si="222"/>
        <v>121.0565025541039</v>
      </c>
      <c r="Q217" s="141">
        <f t="shared" si="222"/>
        <v>120.71169832029132</v>
      </c>
      <c r="R217" s="141">
        <f t="shared" si="222"/>
        <v>124.12909825717308</v>
      </c>
      <c r="S217" s="141">
        <f t="shared" si="222"/>
        <v>123.86932696747121</v>
      </c>
      <c r="T217" s="141">
        <f t="shared" si="222"/>
        <v>120.59115087505656</v>
      </c>
      <c r="U217" s="141">
        <f t="shared" si="222"/>
        <v>119.11275107309876</v>
      </c>
      <c r="V217" s="141">
        <f t="shared" si="222"/>
        <v>137.88954885250084</v>
      </c>
      <c r="W217" s="141">
        <f t="shared" si="222"/>
        <v>117.01989497628333</v>
      </c>
      <c r="X217" s="141">
        <f t="shared" si="222"/>
        <v>113.57088504787906</v>
      </c>
      <c r="Y217" s="141">
        <f t="shared" si="222"/>
        <v>119.15945704713015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109.16150299126808</v>
      </c>
      <c r="C218" s="97">
        <f t="shared" si="223"/>
        <v>108.73253975153463</v>
      </c>
      <c r="D218" s="97">
        <f t="shared" si="223"/>
        <v>108.3787652994093</v>
      </c>
      <c r="E218" s="97">
        <f t="shared" si="223"/>
        <v>108.23908194112484</v>
      </c>
      <c r="F218" s="97">
        <f t="shared" si="223"/>
        <v>107.90886594740415</v>
      </c>
      <c r="G218" s="97">
        <f t="shared" si="223"/>
        <v>107.2762467841424</v>
      </c>
      <c r="H218" s="97">
        <f t="shared" si="223"/>
        <v>101.46017652469143</v>
      </c>
      <c r="I218" s="97">
        <f t="shared" si="223"/>
        <v>100.84966536369504</v>
      </c>
      <c r="J218" s="97">
        <f t="shared" si="223"/>
        <v>98.724474229538572</v>
      </c>
      <c r="K218" s="97">
        <f t="shared" si="223"/>
        <v>97.206641969772264</v>
      </c>
      <c r="L218" s="97">
        <f t="shared" si="223"/>
        <v>96.524417288303425</v>
      </c>
      <c r="M218" s="97">
        <f t="shared" si="223"/>
        <v>95.755590200829587</v>
      </c>
      <c r="N218" s="97">
        <f t="shared" si="223"/>
        <v>95.600573196542371</v>
      </c>
      <c r="O218" s="97">
        <f t="shared" si="223"/>
        <v>95.223218126394414</v>
      </c>
      <c r="P218" s="97">
        <f t="shared" si="223"/>
        <v>93.602153783948367</v>
      </c>
      <c r="Q218" s="97">
        <f t="shared" si="223"/>
        <v>92.497678269400438</v>
      </c>
      <c r="R218" s="97">
        <f t="shared" si="223"/>
        <v>92.604546027572184</v>
      </c>
      <c r="S218" s="97">
        <f t="shared" si="223"/>
        <v>91.508492774578571</v>
      </c>
      <c r="T218" s="97">
        <f t="shared" si="223"/>
        <v>90.682784760314988</v>
      </c>
      <c r="U218" s="97">
        <f t="shared" si="223"/>
        <v>89.242558669838644</v>
      </c>
      <c r="V218" s="97">
        <f t="shared" si="223"/>
        <v>88.698026349680674</v>
      </c>
      <c r="W218" s="97">
        <f t="shared" si="223"/>
        <v>89.113984919590521</v>
      </c>
      <c r="X218" s="97">
        <f t="shared" si="223"/>
        <v>89.1435456533344</v>
      </c>
      <c r="Y218" s="97">
        <f t="shared" si="223"/>
        <v>87.458017929531195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108.97824124590595</v>
      </c>
      <c r="C219" s="97">
        <f t="shared" si="224"/>
        <v>114.56191149749895</v>
      </c>
      <c r="D219" s="97">
        <f t="shared" si="224"/>
        <v>116.67968328137049</v>
      </c>
      <c r="E219" s="97">
        <f t="shared" si="224"/>
        <v>128.98120520058106</v>
      </c>
      <c r="F219" s="97">
        <f t="shared" si="224"/>
        <v>132.97677366864627</v>
      </c>
      <c r="G219" s="97">
        <f t="shared" si="224"/>
        <v>136.75335688610289</v>
      </c>
      <c r="H219" s="97">
        <f t="shared" si="224"/>
        <v>137.08903941197164</v>
      </c>
      <c r="I219" s="97">
        <f t="shared" si="224"/>
        <v>138.60422785392402</v>
      </c>
      <c r="J219" s="97">
        <f t="shared" si="224"/>
        <v>135.3663664841981</v>
      </c>
      <c r="K219" s="97">
        <f t="shared" si="224"/>
        <v>135.87356103108488</v>
      </c>
      <c r="L219" s="97">
        <f t="shared" si="224"/>
        <v>144.26680643555332</v>
      </c>
      <c r="M219" s="97">
        <f t="shared" si="224"/>
        <v>140.15028265966063</v>
      </c>
      <c r="N219" s="97">
        <f t="shared" si="224"/>
        <v>139.89168987074063</v>
      </c>
      <c r="O219" s="97">
        <f t="shared" si="224"/>
        <v>139.70682937486436</v>
      </c>
      <c r="P219" s="97">
        <f t="shared" si="224"/>
        <v>138.13624353311434</v>
      </c>
      <c r="Q219" s="97">
        <f t="shared" si="224"/>
        <v>133.90968444277601</v>
      </c>
      <c r="R219" s="97">
        <f t="shared" si="224"/>
        <v>137.64922081050634</v>
      </c>
      <c r="S219" s="97">
        <f t="shared" si="224"/>
        <v>137.5956922382596</v>
      </c>
      <c r="T219" s="97">
        <f t="shared" si="224"/>
        <v>133.33214435147434</v>
      </c>
      <c r="U219" s="97">
        <f t="shared" si="224"/>
        <v>130.98095549302272</v>
      </c>
      <c r="V219" s="97">
        <f t="shared" si="224"/>
        <v>145.8127281486606</v>
      </c>
      <c r="W219" s="97">
        <f t="shared" si="224"/>
        <v>120.91695027276928</v>
      </c>
      <c r="X219" s="97">
        <f t="shared" si="224"/>
        <v>119.64032101608623</v>
      </c>
      <c r="Y219" s="97">
        <f t="shared" si="224"/>
        <v>126.18982358884389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67.820580176917957</v>
      </c>
      <c r="C220" s="97">
        <f t="shared" si="225"/>
        <v>69.849976618751981</v>
      </c>
      <c r="D220" s="97">
        <f t="shared" si="225"/>
        <v>69.445567988028031</v>
      </c>
      <c r="E220" s="97">
        <f t="shared" si="225"/>
        <v>64.278680182806582</v>
      </c>
      <c r="F220" s="97">
        <f t="shared" si="225"/>
        <v>64.299018737836136</v>
      </c>
      <c r="G220" s="97">
        <f t="shared" si="225"/>
        <v>62.180581624176554</v>
      </c>
      <c r="H220" s="97">
        <f t="shared" si="225"/>
        <v>62.776121783932204</v>
      </c>
      <c r="I220" s="97">
        <f t="shared" si="225"/>
        <v>62.431557534538577</v>
      </c>
      <c r="J220" s="97">
        <f t="shared" si="225"/>
        <v>61.962403253364528</v>
      </c>
      <c r="K220" s="97">
        <f t="shared" si="225"/>
        <v>61.767405624220522</v>
      </c>
      <c r="L220" s="97">
        <f t="shared" si="225"/>
        <v>60.211142639462906</v>
      </c>
      <c r="M220" s="97">
        <f t="shared" si="225"/>
        <v>60.284949812952789</v>
      </c>
      <c r="N220" s="97">
        <f t="shared" si="225"/>
        <v>60.916870131230354</v>
      </c>
      <c r="O220" s="97">
        <f t="shared" si="225"/>
        <v>61.183504285370674</v>
      </c>
      <c r="P220" s="97">
        <f t="shared" si="225"/>
        <v>57.492919287609617</v>
      </c>
      <c r="Q220" s="97">
        <f t="shared" si="225"/>
        <v>63.247115603012574</v>
      </c>
      <c r="R220" s="97">
        <f t="shared" si="225"/>
        <v>62.901583681940643</v>
      </c>
      <c r="S220" s="97">
        <f t="shared" si="225"/>
        <v>62.57084373112022</v>
      </c>
      <c r="T220" s="97">
        <f t="shared" si="225"/>
        <v>62.419292784142023</v>
      </c>
      <c r="U220" s="97">
        <f t="shared" si="225"/>
        <v>62.694748878165285</v>
      </c>
      <c r="V220" s="97">
        <f t="shared" si="225"/>
        <v>84.87418287732325</v>
      </c>
      <c r="W220" s="97">
        <f t="shared" si="225"/>
        <v>83.232914509825605</v>
      </c>
      <c r="X220" s="97">
        <f t="shared" si="225"/>
        <v>70.043785861719684</v>
      </c>
      <c r="Y220" s="97">
        <f t="shared" si="225"/>
        <v>70.098890548647631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15.199087333036964</v>
      </c>
      <c r="C221" s="130">
        <f t="shared" si="226"/>
        <v>14.424807724066845</v>
      </c>
      <c r="D221" s="130">
        <f t="shared" si="226"/>
        <v>14.778407751232212</v>
      </c>
      <c r="E221" s="130">
        <f t="shared" si="226"/>
        <v>14.586077073566811</v>
      </c>
      <c r="F221" s="130">
        <f t="shared" si="226"/>
        <v>14.148362139789629</v>
      </c>
      <c r="G221" s="130">
        <f t="shared" si="226"/>
        <v>15.500859457381006</v>
      </c>
      <c r="H221" s="130">
        <f t="shared" si="226"/>
        <v>15.988607705605233</v>
      </c>
      <c r="I221" s="130">
        <f t="shared" si="226"/>
        <v>15.364955785155091</v>
      </c>
      <c r="J221" s="130">
        <f t="shared" si="226"/>
        <v>16.340633696314914</v>
      </c>
      <c r="K221" s="130">
        <f t="shared" si="226"/>
        <v>14.687335711139056</v>
      </c>
      <c r="L221" s="130">
        <f t="shared" si="226"/>
        <v>14.456365129613154</v>
      </c>
      <c r="M221" s="130">
        <f t="shared" si="226"/>
        <v>14.320821124380085</v>
      </c>
      <c r="N221" s="130">
        <f t="shared" si="226"/>
        <v>13.744978164625671</v>
      </c>
      <c r="O221" s="130">
        <f t="shared" si="226"/>
        <v>13.175730486720495</v>
      </c>
      <c r="P221" s="130">
        <f t="shared" si="226"/>
        <v>12.627722020264484</v>
      </c>
      <c r="Q221" s="130">
        <f t="shared" si="226"/>
        <v>11.751345130526492</v>
      </c>
      <c r="R221" s="130">
        <f t="shared" si="226"/>
        <v>9.8803658061261608</v>
      </c>
      <c r="S221" s="130">
        <f t="shared" si="226"/>
        <v>9.9885259586263828</v>
      </c>
      <c r="T221" s="130">
        <f t="shared" si="226"/>
        <v>9.6170784804242508</v>
      </c>
      <c r="U221" s="130">
        <f t="shared" si="226"/>
        <v>8.5814196139085279</v>
      </c>
      <c r="V221" s="130">
        <f t="shared" si="226"/>
        <v>15.204408333803087</v>
      </c>
      <c r="W221" s="130">
        <f t="shared" si="226"/>
        <v>14.719274674060369</v>
      </c>
      <c r="X221" s="130">
        <f t="shared" si="226"/>
        <v>10.589221344162956</v>
      </c>
      <c r="Y221" s="130">
        <f t="shared" si="226"/>
        <v>9.70464791265454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31.997201936179735</v>
      </c>
      <c r="C223" s="97">
        <f t="shared" si="228"/>
        <v>30.6835956602085</v>
      </c>
      <c r="D223" s="97">
        <f t="shared" si="228"/>
        <v>33.387507825430482</v>
      </c>
      <c r="E223" s="97">
        <f t="shared" si="228"/>
        <v>33.749380604064207</v>
      </c>
      <c r="F223" s="97">
        <f t="shared" si="228"/>
        <v>32.914995703077999</v>
      </c>
      <c r="G223" s="97">
        <f t="shared" si="228"/>
        <v>33.978554137383519</v>
      </c>
      <c r="H223" s="97">
        <f t="shared" si="228"/>
        <v>34.745364085130426</v>
      </c>
      <c r="I223" s="97">
        <f t="shared" si="228"/>
        <v>34.262752066260596</v>
      </c>
      <c r="J223" s="97">
        <f t="shared" si="228"/>
        <v>39.888689844142469</v>
      </c>
      <c r="K223" s="97">
        <f t="shared" si="228"/>
        <v>36.403257424689009</v>
      </c>
      <c r="L223" s="97">
        <f t="shared" si="228"/>
        <v>35.763870222051878</v>
      </c>
      <c r="M223" s="97">
        <f t="shared" si="228"/>
        <v>34.512191885743675</v>
      </c>
      <c r="N223" s="97">
        <f t="shared" si="228"/>
        <v>33.142764677677896</v>
      </c>
      <c r="O223" s="97">
        <f t="shared" si="228"/>
        <v>30.995244100807156</v>
      </c>
      <c r="P223" s="97">
        <f t="shared" si="228"/>
        <v>28.792162075942322</v>
      </c>
      <c r="Q223" s="97">
        <f t="shared" si="228"/>
        <v>27.288215530872094</v>
      </c>
      <c r="R223" s="97">
        <f t="shared" si="228"/>
        <v>23.478649362234176</v>
      </c>
      <c r="S223" s="97">
        <f t="shared" si="228"/>
        <v>23.306791946685063</v>
      </c>
      <c r="T223" s="97">
        <f t="shared" si="228"/>
        <v>21.379583719668375</v>
      </c>
      <c r="U223" s="97">
        <f t="shared" si="228"/>
        <v>18.887554018991374</v>
      </c>
      <c r="V223" s="97">
        <f t="shared" si="228"/>
        <v>25.927726801326958</v>
      </c>
      <c r="W223" s="97">
        <f t="shared" si="228"/>
        <v>24.593363066385646</v>
      </c>
      <c r="X223" s="97">
        <f t="shared" si="228"/>
        <v>17.026278752812967</v>
      </c>
      <c r="Y223" s="97">
        <f t="shared" si="228"/>
        <v>15.727916067249382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181.03559870304812</v>
      </c>
      <c r="C225" s="130">
        <f t="shared" si="230"/>
        <v>190.17956047457889</v>
      </c>
      <c r="D225" s="130">
        <f t="shared" si="230"/>
        <v>174.45984465708293</v>
      </c>
      <c r="E225" s="130">
        <f t="shared" si="230"/>
        <v>119.49049069426485</v>
      </c>
      <c r="F225" s="130">
        <f t="shared" si="230"/>
        <v>121.98593323199604</v>
      </c>
      <c r="G225" s="130">
        <f t="shared" si="230"/>
        <v>118.44080416397793</v>
      </c>
      <c r="H225" s="130">
        <f t="shared" si="230"/>
        <v>116.89637662986954</v>
      </c>
      <c r="I225" s="130">
        <f t="shared" si="230"/>
        <v>119.79055138777893</v>
      </c>
      <c r="J225" s="130">
        <f t="shared" si="230"/>
        <v>123.19040992384555</v>
      </c>
      <c r="K225" s="130">
        <f t="shared" si="230"/>
        <v>122.50999829504252</v>
      </c>
      <c r="L225" s="130">
        <f t="shared" si="230"/>
        <v>111.85675631223516</v>
      </c>
      <c r="M225" s="130">
        <f t="shared" si="230"/>
        <v>108.15841844831996</v>
      </c>
      <c r="N225" s="130">
        <f t="shared" si="230"/>
        <v>103.43158122013052</v>
      </c>
      <c r="O225" s="130">
        <f t="shared" si="230"/>
        <v>98.735849373299004</v>
      </c>
      <c r="P225" s="130">
        <f t="shared" si="230"/>
        <v>98.772875356292886</v>
      </c>
      <c r="Q225" s="130">
        <f t="shared" si="230"/>
        <v>99.950090803130948</v>
      </c>
      <c r="R225" s="130">
        <f t="shared" si="230"/>
        <v>98.787823388915285</v>
      </c>
      <c r="S225" s="130">
        <f t="shared" si="230"/>
        <v>92.688423445712402</v>
      </c>
      <c r="T225" s="130">
        <f t="shared" si="230"/>
        <v>88.54610929008885</v>
      </c>
      <c r="U225" s="130">
        <f t="shared" si="230"/>
        <v>86.182373322081887</v>
      </c>
      <c r="V225" s="130">
        <f t="shared" si="230"/>
        <v>135.95607835694724</v>
      </c>
      <c r="W225" s="130">
        <f t="shared" si="230"/>
        <v>115.11540955870151</v>
      </c>
      <c r="X225" s="130">
        <f t="shared" si="230"/>
        <v>83.971966442785984</v>
      </c>
      <c r="Y225" s="130">
        <f t="shared" si="230"/>
        <v>81.273407502125337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6265.3094090841432</v>
      </c>
      <c r="C226" s="97">
        <f t="shared" si="231"/>
        <v>6245.443343280831</v>
      </c>
      <c r="D226" s="97">
        <f t="shared" si="231"/>
        <v>6118.5762034655845</v>
      </c>
      <c r="E226" s="97">
        <f t="shared" si="231"/>
        <v>5698.1348731822472</v>
      </c>
      <c r="F226" s="97">
        <f t="shared" si="231"/>
        <v>4119.4160244793247</v>
      </c>
      <c r="G226" s="97">
        <f t="shared" si="231"/>
        <v>1868.3420204557926</v>
      </c>
      <c r="H226" s="97">
        <f t="shared" si="231"/>
        <v>917.11778826237389</v>
      </c>
      <c r="I226" s="97">
        <f t="shared" si="231"/>
        <v>1970.5299259016965</v>
      </c>
      <c r="J226" s="97">
        <f t="shared" si="231"/>
        <v>2161.0963151971964</v>
      </c>
      <c r="K226" s="97">
        <f t="shared" si="231"/>
        <v>1645.634848597183</v>
      </c>
      <c r="L226" s="97">
        <f t="shared" si="231"/>
        <v>1851.7796292813011</v>
      </c>
      <c r="M226" s="97">
        <f t="shared" si="231"/>
        <v>4005.7567646346442</v>
      </c>
      <c r="N226" s="97">
        <f t="shared" si="231"/>
        <v>2008.8370962576359</v>
      </c>
      <c r="O226" s="97">
        <f t="shared" si="231"/>
        <v>2558.172708820699</v>
      </c>
      <c r="P226" s="97">
        <f t="shared" si="231"/>
        <v>2251.0314775255492</v>
      </c>
      <c r="Q226" s="97">
        <f t="shared" si="231"/>
        <v>4700.8084243921194</v>
      </c>
      <c r="R226" s="97">
        <f t="shared" si="231"/>
        <v>6658.3757482536275</v>
      </c>
      <c r="S226" s="97">
        <f t="shared" si="231"/>
        <v>11012.746268230618</v>
      </c>
      <c r="T226" s="97">
        <f t="shared" si="231"/>
        <v>5884.6635730047628</v>
      </c>
      <c r="U226" s="97">
        <f t="shared" si="231"/>
        <v>16203.751030592453</v>
      </c>
      <c r="V226" s="97">
        <f t="shared" si="231"/>
        <v>61668.82220702849</v>
      </c>
      <c r="W226" s="97">
        <f t="shared" si="231"/>
        <v>2865.2514006893798</v>
      </c>
      <c r="X226" s="97">
        <f t="shared" si="231"/>
        <v>2919.5900225868277</v>
      </c>
      <c r="Y226" s="97">
        <f t="shared" si="231"/>
        <v>3040.2401521694719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147.51091036378352</v>
      </c>
      <c r="C227" s="97">
        <f t="shared" si="232"/>
        <v>146.35181916973568</v>
      </c>
      <c r="D227" s="97">
        <f t="shared" si="232"/>
        <v>145.32646907490766</v>
      </c>
      <c r="E227" s="97">
        <f t="shared" si="232"/>
        <v>93.876175475182109</v>
      </c>
      <c r="F227" s="97">
        <f t="shared" si="232"/>
        <v>111.93361016293902</v>
      </c>
      <c r="G227" s="97">
        <f t="shared" si="232"/>
        <v>113.7235207866064</v>
      </c>
      <c r="H227" s="97">
        <f t="shared" si="232"/>
        <v>117.46072196570199</v>
      </c>
      <c r="I227" s="97">
        <f t="shared" si="232"/>
        <v>118.88899642571096</v>
      </c>
      <c r="J227" s="97">
        <f t="shared" si="232"/>
        <v>120.6237329914505</v>
      </c>
      <c r="K227" s="97">
        <f t="shared" si="232"/>
        <v>125.48670421490071</v>
      </c>
      <c r="L227" s="97">
        <f t="shared" si="232"/>
        <v>118.6974891818046</v>
      </c>
      <c r="M227" s="97">
        <f t="shared" si="232"/>
        <v>111.11183793284749</v>
      </c>
      <c r="N227" s="97">
        <f t="shared" si="232"/>
        <v>114.73303303088544</v>
      </c>
      <c r="O227" s="97">
        <f t="shared" si="232"/>
        <v>113.33599554406413</v>
      </c>
      <c r="P227" s="97">
        <f t="shared" si="232"/>
        <v>114.61688740481704</v>
      </c>
      <c r="Q227" s="97">
        <f t="shared" si="232"/>
        <v>107.39583987616732</v>
      </c>
      <c r="R227" s="97">
        <f t="shared" si="232"/>
        <v>108.31283936882775</v>
      </c>
      <c r="S227" s="97">
        <f t="shared" si="232"/>
        <v>104.81837418542875</v>
      </c>
      <c r="T227" s="97">
        <f t="shared" si="232"/>
        <v>111.90151129231637</v>
      </c>
      <c r="U227" s="97">
        <f t="shared" si="232"/>
        <v>109.66322823436171</v>
      </c>
      <c r="V227" s="97">
        <f t="shared" si="232"/>
        <v>111.70853190481714</v>
      </c>
      <c r="W227" s="97">
        <f t="shared" si="232"/>
        <v>122.8298223683488</v>
      </c>
      <c r="X227" s="97">
        <f t="shared" si="232"/>
        <v>99.77845239248407</v>
      </c>
      <c r="Y227" s="97">
        <f t="shared" si="232"/>
        <v>98.913793125401725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141.2513689694687</v>
      </c>
      <c r="C228" s="97">
        <f t="shared" si="233"/>
        <v>140.92458163339325</v>
      </c>
      <c r="D228" s="97">
        <f t="shared" si="233"/>
        <v>139.35525720310849</v>
      </c>
      <c r="E228" s="97">
        <f t="shared" si="233"/>
        <v>89.164595397587036</v>
      </c>
      <c r="F228" s="97">
        <f t="shared" si="233"/>
        <v>96.003708365880129</v>
      </c>
      <c r="G228" s="97">
        <f t="shared" si="233"/>
        <v>99.778717126027004</v>
      </c>
      <c r="H228" s="97">
        <f t="shared" si="233"/>
        <v>102.9720146484968</v>
      </c>
      <c r="I228" s="97">
        <f t="shared" si="233"/>
        <v>93.502527199123989</v>
      </c>
      <c r="J228" s="97">
        <f t="shared" si="233"/>
        <v>94.190307178266892</v>
      </c>
      <c r="K228" s="97">
        <f t="shared" si="233"/>
        <v>96.298751224909736</v>
      </c>
      <c r="L228" s="97">
        <f t="shared" si="233"/>
        <v>84.332396390175361</v>
      </c>
      <c r="M228" s="97">
        <f t="shared" si="233"/>
        <v>77.21674871646718</v>
      </c>
      <c r="N228" s="97">
        <f t="shared" si="233"/>
        <v>77.930575889148145</v>
      </c>
      <c r="O228" s="97">
        <f t="shared" si="233"/>
        <v>72.398468182479618</v>
      </c>
      <c r="P228" s="97">
        <f t="shared" si="233"/>
        <v>72.239019741200281</v>
      </c>
      <c r="Q228" s="97">
        <f t="shared" si="233"/>
        <v>69.388121236867704</v>
      </c>
      <c r="R228" s="97">
        <f t="shared" si="233"/>
        <v>65.379514244207826</v>
      </c>
      <c r="S228" s="97">
        <f t="shared" si="233"/>
        <v>57.330688749354415</v>
      </c>
      <c r="T228" s="97">
        <f t="shared" si="233"/>
        <v>56.176671472888607</v>
      </c>
      <c r="U228" s="97">
        <f t="shared" si="233"/>
        <v>53.690450523472791</v>
      </c>
      <c r="V228" s="97">
        <f t="shared" si="233"/>
        <v>101.66376782986717</v>
      </c>
      <c r="W228" s="97">
        <f t="shared" si="233"/>
        <v>99.217702842350562</v>
      </c>
      <c r="X228" s="97">
        <f t="shared" si="233"/>
        <v>62.722843961403655</v>
      </c>
      <c r="Y228" s="97">
        <f t="shared" si="233"/>
        <v>59.826985012690997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72.228272405311827</v>
      </c>
      <c r="C229" s="32">
        <f t="shared" si="234"/>
        <v>77.145819313797745</v>
      </c>
      <c r="D229" s="32">
        <f t="shared" si="234"/>
        <v>82.261261594566847</v>
      </c>
      <c r="E229" s="32">
        <f t="shared" si="234"/>
        <v>95.733779290689654</v>
      </c>
      <c r="F229" s="32">
        <f t="shared" si="234"/>
        <v>106.52675146023364</v>
      </c>
      <c r="G229" s="32">
        <f t="shared" si="234"/>
        <v>125.35700873969566</v>
      </c>
      <c r="H229" s="32">
        <f t="shared" si="234"/>
        <v>128.59609613451869</v>
      </c>
      <c r="I229" s="32">
        <f t="shared" si="234"/>
        <v>135.68020121979498</v>
      </c>
      <c r="J229" s="32">
        <f t="shared" si="234"/>
        <v>139.94387005756931</v>
      </c>
      <c r="K229" s="32">
        <f t="shared" si="234"/>
        <v>147.75982754917061</v>
      </c>
      <c r="L229" s="32">
        <f t="shared" si="234"/>
        <v>127.31776668121076</v>
      </c>
      <c r="M229" s="32">
        <f t="shared" si="234"/>
        <v>120.62864529146782</v>
      </c>
      <c r="N229" s="32">
        <f t="shared" si="234"/>
        <v>120.97352857809697</v>
      </c>
      <c r="O229" s="32">
        <f t="shared" si="234"/>
        <v>111.53052635688772</v>
      </c>
      <c r="P229" s="32">
        <f t="shared" si="234"/>
        <v>114.46705878921125</v>
      </c>
      <c r="Q229" s="32">
        <f t="shared" si="234"/>
        <v>112.24067392555591</v>
      </c>
      <c r="R229" s="32">
        <f t="shared" si="234"/>
        <v>112.76092889449637</v>
      </c>
      <c r="S229" s="32">
        <f t="shared" si="234"/>
        <v>115.87878813673339</v>
      </c>
      <c r="T229" s="32">
        <f t="shared" si="234"/>
        <v>113.8744706765092</v>
      </c>
      <c r="U229" s="32">
        <f t="shared" si="234"/>
        <v>110.23036262078338</v>
      </c>
      <c r="V229" s="32">
        <f t="shared" si="234"/>
        <v>95.886844594517839</v>
      </c>
      <c r="W229" s="32">
        <f t="shared" si="234"/>
        <v>100.67996952157863</v>
      </c>
      <c r="X229" s="32">
        <f t="shared" si="234"/>
        <v>98.835423335404144</v>
      </c>
      <c r="Y229" s="32">
        <f t="shared" si="234"/>
        <v>106.8001150923288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114.70939631534428</v>
      </c>
      <c r="C230" s="141">
        <f t="shared" si="235"/>
        <v>118.86580055806087</v>
      </c>
      <c r="D230" s="141">
        <f t="shared" si="235"/>
        <v>121.45428960270841</v>
      </c>
      <c r="E230" s="141">
        <f t="shared" si="235"/>
        <v>140.59730207078363</v>
      </c>
      <c r="F230" s="141">
        <f t="shared" si="235"/>
        <v>152.55558702660397</v>
      </c>
      <c r="G230" s="141">
        <f t="shared" si="235"/>
        <v>179.31880128384591</v>
      </c>
      <c r="H230" s="141">
        <f t="shared" si="235"/>
        <v>184.49942390416973</v>
      </c>
      <c r="I230" s="141">
        <f t="shared" si="235"/>
        <v>196.20784320474834</v>
      </c>
      <c r="J230" s="141">
        <f t="shared" si="235"/>
        <v>201.42317443604867</v>
      </c>
      <c r="K230" s="141">
        <f t="shared" si="235"/>
        <v>207.22585595225536</v>
      </c>
      <c r="L230" s="141">
        <f t="shared" si="235"/>
        <v>177.72225319668777</v>
      </c>
      <c r="M230" s="141">
        <f t="shared" si="235"/>
        <v>168.42534130004671</v>
      </c>
      <c r="N230" s="141">
        <f t="shared" si="235"/>
        <v>170.22764096214212</v>
      </c>
      <c r="O230" s="141">
        <f t="shared" si="235"/>
        <v>152.44537193609611</v>
      </c>
      <c r="P230" s="141">
        <f t="shared" si="235"/>
        <v>156.06080325674679</v>
      </c>
      <c r="Q230" s="141">
        <f t="shared" si="235"/>
        <v>149.34292365370942</v>
      </c>
      <c r="R230" s="141">
        <f t="shared" si="235"/>
        <v>150.64134578957908</v>
      </c>
      <c r="S230" s="141">
        <f t="shared" si="235"/>
        <v>155.64951537868509</v>
      </c>
      <c r="T230" s="141">
        <f t="shared" si="235"/>
        <v>154.41011307634474</v>
      </c>
      <c r="U230" s="141">
        <f t="shared" si="235"/>
        <v>146.09138634359405</v>
      </c>
      <c r="V230" s="141">
        <f t="shared" si="235"/>
        <v>121.37685919158369</v>
      </c>
      <c r="W230" s="141">
        <f t="shared" si="235"/>
        <v>128.4558683903237</v>
      </c>
      <c r="X230" s="141">
        <f t="shared" si="235"/>
        <v>124.71859792900716</v>
      </c>
      <c r="Y230" s="141">
        <f t="shared" si="235"/>
        <v>134.08331832716638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2332.5565478905287</v>
      </c>
      <c r="C231" s="97">
        <f t="shared" si="236"/>
        <v>2191.3860401399447</v>
      </c>
      <c r="D231" s="97">
        <f t="shared" si="236"/>
        <v>2122.0989645055697</v>
      </c>
      <c r="E231" s="97">
        <f t="shared" si="236"/>
        <v>2070.9584600518224</v>
      </c>
      <c r="F231" s="97">
        <f t="shared" si="236"/>
        <v>2040.8412787012619</v>
      </c>
      <c r="G231" s="97">
        <f t="shared" si="236"/>
        <v>2023.0273271056105</v>
      </c>
      <c r="H231" s="97">
        <f t="shared" si="236"/>
        <v>1996.0555849928169</v>
      </c>
      <c r="I231" s="97">
        <f t="shared" si="236"/>
        <v>1973.1228886891961</v>
      </c>
      <c r="J231" s="97">
        <f t="shared" si="236"/>
        <v>1962.4624435511323</v>
      </c>
      <c r="K231" s="97">
        <f t="shared" si="236"/>
        <v>1925.8880799039521</v>
      </c>
      <c r="L231" s="97">
        <f t="shared" si="236"/>
        <v>1924.5824801570748</v>
      </c>
      <c r="M231" s="97">
        <f t="shared" si="236"/>
        <v>1902.8963711609197</v>
      </c>
      <c r="N231" s="97">
        <f t="shared" si="236"/>
        <v>1918.7297123847331</v>
      </c>
      <c r="O231" s="97">
        <f t="shared" si="236"/>
        <v>1934.3942953273006</v>
      </c>
      <c r="P231" s="97">
        <f t="shared" si="236"/>
        <v>1959.381692559059</v>
      </c>
      <c r="Q231" s="97">
        <f t="shared" si="236"/>
        <v>1981.7272713905386</v>
      </c>
      <c r="R231" s="97">
        <f t="shared" si="236"/>
        <v>2015.9881021312067</v>
      </c>
      <c r="S231" s="97">
        <f t="shared" si="236"/>
        <v>2014.8768245355861</v>
      </c>
      <c r="T231" s="97">
        <f t="shared" si="236"/>
        <v>2011.0404999454179</v>
      </c>
      <c r="U231" s="97">
        <f t="shared" si="236"/>
        <v>1994.9873520131966</v>
      </c>
      <c r="V231" s="97">
        <f t="shared" si="236"/>
        <v>1961.6040854176699</v>
      </c>
      <c r="W231" s="97">
        <f t="shared" si="236"/>
        <v>1989.7992467127799</v>
      </c>
      <c r="X231" s="97">
        <f t="shared" si="236"/>
        <v>1994.6291710787286</v>
      </c>
      <c r="Y231" s="97">
        <f t="shared" si="236"/>
        <v>1987.7785758563725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97.286913873563861</v>
      </c>
      <c r="C232" s="97">
        <f t="shared" si="237"/>
        <v>101.07124292787053</v>
      </c>
      <c r="D232" s="97">
        <f t="shared" si="237"/>
        <v>102.5371775719137</v>
      </c>
      <c r="E232" s="97">
        <f t="shared" si="237"/>
        <v>119.92627636058731</v>
      </c>
      <c r="F232" s="97">
        <f t="shared" si="237"/>
        <v>129.34371490118346</v>
      </c>
      <c r="G232" s="97">
        <f t="shared" si="237"/>
        <v>151.95962456081793</v>
      </c>
      <c r="H232" s="97">
        <f t="shared" si="237"/>
        <v>154.44601177241532</v>
      </c>
      <c r="I232" s="97">
        <f t="shared" si="237"/>
        <v>162.6018871127545</v>
      </c>
      <c r="J232" s="97">
        <f t="shared" si="237"/>
        <v>160.04296451216152</v>
      </c>
      <c r="K232" s="97">
        <f t="shared" si="237"/>
        <v>161.1237206676208</v>
      </c>
      <c r="L232" s="97">
        <f t="shared" si="237"/>
        <v>132.72462751780029</v>
      </c>
      <c r="M232" s="97">
        <f t="shared" si="237"/>
        <v>124.58944340634021</v>
      </c>
      <c r="N232" s="97">
        <f t="shared" si="237"/>
        <v>124.46348532486738</v>
      </c>
      <c r="O232" s="97">
        <f t="shared" si="237"/>
        <v>108.29230186346932</v>
      </c>
      <c r="P232" s="97">
        <f t="shared" si="237"/>
        <v>109.0166001788842</v>
      </c>
      <c r="Q232" s="97">
        <f t="shared" si="237"/>
        <v>104.29530013134952</v>
      </c>
      <c r="R232" s="97">
        <f t="shared" si="237"/>
        <v>112.62566698208347</v>
      </c>
      <c r="S232" s="97">
        <f t="shared" si="237"/>
        <v>116.82479118897801</v>
      </c>
      <c r="T232" s="97">
        <f t="shared" si="237"/>
        <v>115.56166546262921</v>
      </c>
      <c r="U232" s="97">
        <f t="shared" si="237"/>
        <v>109.06430348015896</v>
      </c>
      <c r="V232" s="97">
        <f t="shared" si="237"/>
        <v>89.554165320945472</v>
      </c>
      <c r="W232" s="97">
        <f t="shared" si="237"/>
        <v>97.73988675283762</v>
      </c>
      <c r="X232" s="97">
        <f t="shared" si="237"/>
        <v>94.893748209146082</v>
      </c>
      <c r="Y232" s="97">
        <f t="shared" si="237"/>
        <v>101.96724128008655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5.4535017618820243</v>
      </c>
      <c r="C233" s="130">
        <f t="shared" si="238"/>
        <v>4.5768514577596555</v>
      </c>
      <c r="D233" s="130">
        <f t="shared" si="238"/>
        <v>4.5459510990281515</v>
      </c>
      <c r="E233" s="130">
        <f t="shared" si="238"/>
        <v>4.1520581050756196</v>
      </c>
      <c r="F233" s="130">
        <f t="shared" si="238"/>
        <v>4.360321085969372</v>
      </c>
      <c r="G233" s="130">
        <f t="shared" si="238"/>
        <v>4.0464522847333173</v>
      </c>
      <c r="H233" s="130">
        <f t="shared" si="238"/>
        <v>4.5969824286389214</v>
      </c>
      <c r="I233" s="130">
        <f t="shared" si="238"/>
        <v>4.8515079000075625</v>
      </c>
      <c r="J233" s="130">
        <f t="shared" si="238"/>
        <v>4.9849561272655016</v>
      </c>
      <c r="K233" s="130">
        <f t="shared" si="238"/>
        <v>6.0064538835768193</v>
      </c>
      <c r="L233" s="130">
        <f t="shared" si="238"/>
        <v>5.0836704474549652</v>
      </c>
      <c r="M233" s="130">
        <f t="shared" si="238"/>
        <v>4.7365609195726295</v>
      </c>
      <c r="N233" s="130">
        <f t="shared" si="238"/>
        <v>3.4275341801209813</v>
      </c>
      <c r="O233" s="130">
        <f t="shared" si="238"/>
        <v>3.3581537879255219</v>
      </c>
      <c r="P233" s="130">
        <f t="shared" si="238"/>
        <v>4.4614793069866892</v>
      </c>
      <c r="Q233" s="130">
        <f t="shared" si="238"/>
        <v>4.2616252190180717</v>
      </c>
      <c r="R233" s="130">
        <f t="shared" si="238"/>
        <v>3.8533039881298561</v>
      </c>
      <c r="S233" s="130">
        <f t="shared" si="238"/>
        <v>3.611457555301627</v>
      </c>
      <c r="T233" s="130">
        <f t="shared" si="238"/>
        <v>3.3515283204806989</v>
      </c>
      <c r="U233" s="130">
        <f t="shared" si="238"/>
        <v>3.5785602124266522</v>
      </c>
      <c r="V233" s="130">
        <f t="shared" si="238"/>
        <v>3.9231372057232146</v>
      </c>
      <c r="W233" s="130">
        <f t="shared" si="238"/>
        <v>3.6623609356574169</v>
      </c>
      <c r="X233" s="130">
        <f t="shared" si="238"/>
        <v>4.9812997212127819</v>
      </c>
      <c r="Y233" s="130">
        <f t="shared" si="238"/>
        <v>4.928432597688734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432.16993500286929</v>
      </c>
      <c r="C234" s="130">
        <f t="shared" si="239"/>
        <v>411.09047995150263</v>
      </c>
      <c r="D234" s="130">
        <f t="shared" si="239"/>
        <v>434.93654386345224</v>
      </c>
      <c r="E234" s="130">
        <f t="shared" si="239"/>
        <v>291.55510650884008</v>
      </c>
      <c r="F234" s="130">
        <f t="shared" si="239"/>
        <v>347.12857697914814</v>
      </c>
      <c r="G234" s="130">
        <f t="shared" si="239"/>
        <v>379.75551722723753</v>
      </c>
      <c r="H234" s="130">
        <f t="shared" si="239"/>
        <v>430.64742775685545</v>
      </c>
      <c r="I234" s="130">
        <f t="shared" si="239"/>
        <v>436.56709202705235</v>
      </c>
      <c r="J234" s="130">
        <f t="shared" si="239"/>
        <v>427.54928723411075</v>
      </c>
      <c r="K234" s="130">
        <f t="shared" si="239"/>
        <v>352.4336512245419</v>
      </c>
      <c r="L234" s="130">
        <f t="shared" si="239"/>
        <v>333.51947286213715</v>
      </c>
      <c r="M234" s="130">
        <f t="shared" si="239"/>
        <v>303.79851823041491</v>
      </c>
      <c r="N234" s="130">
        <f t="shared" si="239"/>
        <v>281.14998699948353</v>
      </c>
      <c r="O234" s="130">
        <f t="shared" si="239"/>
        <v>262.16915631518555</v>
      </c>
      <c r="P234" s="130">
        <f t="shared" si="239"/>
        <v>225.34165849534062</v>
      </c>
      <c r="Q234" s="130">
        <f t="shared" si="239"/>
        <v>229.76257634438889</v>
      </c>
      <c r="R234" s="130">
        <f t="shared" si="239"/>
        <v>194.20857474890212</v>
      </c>
      <c r="S234" s="130">
        <f t="shared" si="239"/>
        <v>200.57586098771591</v>
      </c>
      <c r="T234" s="130">
        <f t="shared" si="239"/>
        <v>236.82225834080006</v>
      </c>
      <c r="U234" s="130">
        <f t="shared" si="239"/>
        <v>299.75477944163686</v>
      </c>
      <c r="V234" s="130">
        <f t="shared" si="239"/>
        <v>762.50152038850399</v>
      </c>
      <c r="W234" s="130">
        <f t="shared" si="239"/>
        <v>379.87031235934592</v>
      </c>
      <c r="X234" s="130">
        <f t="shared" si="239"/>
        <v>329.32329971774584</v>
      </c>
      <c r="Y234" s="130">
        <f t="shared" si="239"/>
        <v>309.03046659705001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27064.889259177577</v>
      </c>
      <c r="C235" s="97">
        <f t="shared" si="240"/>
        <v>27374.994271004634</v>
      </c>
      <c r="D235" s="97">
        <f t="shared" si="240"/>
        <v>26326.111101786031</v>
      </c>
      <c r="E235" s="97">
        <f t="shared" si="240"/>
        <v>23505.401950450254</v>
      </c>
      <c r="F235" s="97">
        <f t="shared" si="240"/>
        <v>14841.291943159329</v>
      </c>
      <c r="G235" s="97">
        <f t="shared" si="240"/>
        <v>10430.651071467979</v>
      </c>
      <c r="H235" s="97">
        <f t="shared" si="240"/>
        <v>5365.1309207668946</v>
      </c>
      <c r="I235" s="97">
        <f t="shared" si="240"/>
        <v>10900.059098163663</v>
      </c>
      <c r="J235" s="97">
        <f t="shared" si="240"/>
        <v>10902.714982498184</v>
      </c>
      <c r="K235" s="97">
        <f t="shared" si="240"/>
        <v>5760.8907510783783</v>
      </c>
      <c r="L235" s="97">
        <f t="shared" si="240"/>
        <v>6280.1269786545208</v>
      </c>
      <c r="M235" s="97">
        <f t="shared" si="240"/>
        <v>13277.38712579298</v>
      </c>
      <c r="N235" s="97">
        <f t="shared" si="240"/>
        <v>8205.4004070064693</v>
      </c>
      <c r="O235" s="97">
        <f t="shared" si="240"/>
        <v>10410.795100361631</v>
      </c>
      <c r="P235" s="97">
        <f t="shared" si="240"/>
        <v>7334.0895890079646</v>
      </c>
      <c r="Q235" s="97">
        <f t="shared" si="240"/>
        <v>14180.576846950875</v>
      </c>
      <c r="R235" s="97">
        <f t="shared" si="240"/>
        <v>14215.525695769187</v>
      </c>
      <c r="S235" s="97">
        <f t="shared" si="240"/>
        <v>27822.333899366957</v>
      </c>
      <c r="T235" s="97">
        <f t="shared" si="240"/>
        <v>18247.95763716898</v>
      </c>
      <c r="U235" s="97">
        <f t="shared" si="240"/>
        <v>62593.871252268007</v>
      </c>
      <c r="V235" s="97">
        <f t="shared" si="240"/>
        <v>96376.269080859667</v>
      </c>
      <c r="W235" s="97">
        <f t="shared" si="240"/>
        <v>9476.5405249853247</v>
      </c>
      <c r="X235" s="97">
        <f t="shared" si="240"/>
        <v>12739.462496004857</v>
      </c>
      <c r="Y235" s="97">
        <f t="shared" si="240"/>
        <v>12315.204378183396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599.19713896143821</v>
      </c>
      <c r="C236" s="97">
        <f t="shared" si="241"/>
        <v>571.57662153039507</v>
      </c>
      <c r="D236" s="97">
        <f t="shared" si="241"/>
        <v>598.87855613904219</v>
      </c>
      <c r="E236" s="97">
        <f t="shared" si="241"/>
        <v>383.10309762104333</v>
      </c>
      <c r="F236" s="97">
        <f t="shared" si="241"/>
        <v>485.61495514455027</v>
      </c>
      <c r="G236" s="97">
        <f t="shared" si="241"/>
        <v>486.184424173727</v>
      </c>
      <c r="H236" s="97">
        <f t="shared" si="241"/>
        <v>576.78525844202818</v>
      </c>
      <c r="I236" s="97">
        <f t="shared" si="241"/>
        <v>566.42449861698083</v>
      </c>
      <c r="J236" s="97">
        <f t="shared" si="241"/>
        <v>551.60358946533302</v>
      </c>
      <c r="K236" s="97">
        <f t="shared" si="241"/>
        <v>584.67019745168318</v>
      </c>
      <c r="L236" s="97">
        <f t="shared" si="241"/>
        <v>554.1016806510263</v>
      </c>
      <c r="M236" s="97">
        <f t="shared" si="241"/>
        <v>533.90605723083456</v>
      </c>
      <c r="N236" s="97">
        <f t="shared" si="241"/>
        <v>539.31459458902452</v>
      </c>
      <c r="O236" s="97">
        <f t="shared" si="241"/>
        <v>550.89216703875479</v>
      </c>
      <c r="P236" s="97">
        <f t="shared" si="241"/>
        <v>501.24124357316555</v>
      </c>
      <c r="Q236" s="97">
        <f t="shared" si="241"/>
        <v>489.39037556371227</v>
      </c>
      <c r="R236" s="97">
        <f t="shared" si="241"/>
        <v>457.63854886043822</v>
      </c>
      <c r="S236" s="97">
        <f t="shared" si="241"/>
        <v>525.1618457778834</v>
      </c>
      <c r="T236" s="97">
        <f t="shared" si="241"/>
        <v>559.68019036339376</v>
      </c>
      <c r="U236" s="97">
        <f t="shared" si="241"/>
        <v>556.47056802959139</v>
      </c>
      <c r="V236" s="97">
        <f t="shared" si="241"/>
        <v>558.93847852988426</v>
      </c>
      <c r="W236" s="97">
        <f t="shared" si="241"/>
        <v>662.85935638534784</v>
      </c>
      <c r="X236" s="97">
        <f t="shared" si="241"/>
        <v>655.32088966077413</v>
      </c>
      <c r="Y236" s="97">
        <f t="shared" si="241"/>
        <v>664.88411986966071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367.54712853995005</v>
      </c>
      <c r="C237" s="97">
        <f t="shared" si="242"/>
        <v>351.23621995126223</v>
      </c>
      <c r="D237" s="97">
        <f t="shared" si="242"/>
        <v>369.28716899041228</v>
      </c>
      <c r="E237" s="97">
        <f t="shared" si="242"/>
        <v>259.39330084374745</v>
      </c>
      <c r="F237" s="97">
        <f t="shared" si="242"/>
        <v>307.92335861881992</v>
      </c>
      <c r="G237" s="97">
        <f t="shared" si="242"/>
        <v>342.14266482730778</v>
      </c>
      <c r="H237" s="97">
        <f t="shared" si="242"/>
        <v>374.08664244588761</v>
      </c>
      <c r="I237" s="97">
        <f t="shared" si="242"/>
        <v>342.53953815180807</v>
      </c>
      <c r="J237" s="97">
        <f t="shared" si="242"/>
        <v>340.74767561778805</v>
      </c>
      <c r="K237" s="97">
        <f t="shared" si="242"/>
        <v>287.85361771739218</v>
      </c>
      <c r="L237" s="97">
        <f t="shared" si="242"/>
        <v>265.71993776324683</v>
      </c>
      <c r="M237" s="97">
        <f t="shared" si="242"/>
        <v>246.30754899926401</v>
      </c>
      <c r="N237" s="97">
        <f t="shared" si="242"/>
        <v>243.16517737706928</v>
      </c>
      <c r="O237" s="97">
        <f t="shared" si="242"/>
        <v>223.92434330757604</v>
      </c>
      <c r="P237" s="97">
        <f t="shared" si="242"/>
        <v>193.08106975578821</v>
      </c>
      <c r="Q237" s="97">
        <f t="shared" si="242"/>
        <v>194.10918206144262</v>
      </c>
      <c r="R237" s="97">
        <f t="shared" si="242"/>
        <v>164.66509805241461</v>
      </c>
      <c r="S237" s="97">
        <f t="shared" si="242"/>
        <v>156.35614834655726</v>
      </c>
      <c r="T237" s="97">
        <f t="shared" si="242"/>
        <v>139.77992792498662</v>
      </c>
      <c r="U237" s="97">
        <f t="shared" si="242"/>
        <v>130.2311822531785</v>
      </c>
      <c r="V237" s="97">
        <f t="shared" si="242"/>
        <v>197.25268958257143</v>
      </c>
      <c r="W237" s="97">
        <f t="shared" si="242"/>
        <v>134.49459162473963</v>
      </c>
      <c r="X237" s="97">
        <f t="shared" si="242"/>
        <v>145.2194199657344</v>
      </c>
      <c r="Y237" s="97">
        <f t="shared" si="242"/>
        <v>138.4898589620185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177.71910876404496</v>
      </c>
      <c r="C238" s="130">
        <f t="shared" si="243"/>
        <v>318.59352000000001</v>
      </c>
      <c r="D238" s="130">
        <f t="shared" si="243"/>
        <v>155.3877</v>
      </c>
      <c r="E238" s="130">
        <f t="shared" si="243"/>
        <v>214.27267034482759</v>
      </c>
      <c r="F238" s="130">
        <f t="shared" si="243"/>
        <v>387.84681000000006</v>
      </c>
      <c r="G238" s="130">
        <f t="shared" si="243"/>
        <v>245.99506285714284</v>
      </c>
      <c r="H238" s="130">
        <f t="shared" si="243"/>
        <v>442.31289488372096</v>
      </c>
      <c r="I238" s="130">
        <f t="shared" si="243"/>
        <v>439.96134000000001</v>
      </c>
      <c r="J238" s="130">
        <f t="shared" si="243"/>
        <v>453.80639571428577</v>
      </c>
      <c r="K238" s="130">
        <f t="shared" si="243"/>
        <v>482.50417090909082</v>
      </c>
      <c r="L238" s="130">
        <f t="shared" si="243"/>
        <v>296.65573116279069</v>
      </c>
      <c r="M238" s="130">
        <f t="shared" si="243"/>
        <v>227.51452285714282</v>
      </c>
      <c r="N238" s="130">
        <f t="shared" si="243"/>
        <v>418.84127999999998</v>
      </c>
      <c r="O238" s="130">
        <f t="shared" si="243"/>
        <v>254.68110719999999</v>
      </c>
      <c r="P238" s="130">
        <f t="shared" si="243"/>
        <v>353.96088000000003</v>
      </c>
      <c r="Q238" s="130">
        <f t="shared" si="243"/>
        <v>289.28101090909092</v>
      </c>
      <c r="R238" s="130">
        <f t="shared" si="243"/>
        <v>353.67929999999996</v>
      </c>
      <c r="S238" s="130">
        <f t="shared" si="243"/>
        <v>509.20215839999992</v>
      </c>
      <c r="T238" s="130">
        <f t="shared" si="243"/>
        <v>414.97417565217393</v>
      </c>
      <c r="U238" s="130">
        <f t="shared" si="243"/>
        <v>497.36568374999985</v>
      </c>
      <c r="V238" s="130">
        <f t="shared" si="243"/>
        <v>708.67758000000003</v>
      </c>
      <c r="W238" s="130">
        <f t="shared" si="243"/>
        <v>582.27645272727273</v>
      </c>
      <c r="X238" s="130">
        <f t="shared" si="243"/>
        <v>479.88790199999994</v>
      </c>
      <c r="Y238" s="130">
        <f t="shared" si="243"/>
        <v>710.44115999999997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0</v>
      </c>
      <c r="C239" s="97">
        <f t="shared" si="244"/>
        <v>0</v>
      </c>
      <c r="D239" s="97">
        <f t="shared" si="244"/>
        <v>0</v>
      </c>
      <c r="E239" s="97">
        <f t="shared" si="244"/>
        <v>0</v>
      </c>
      <c r="F239" s="97">
        <f t="shared" si="244"/>
        <v>0</v>
      </c>
      <c r="G239" s="97">
        <f t="shared" si="244"/>
        <v>0</v>
      </c>
      <c r="H239" s="97">
        <f t="shared" si="244"/>
        <v>0</v>
      </c>
      <c r="I239" s="97">
        <f t="shared" si="244"/>
        <v>0</v>
      </c>
      <c r="J239" s="97">
        <f t="shared" si="244"/>
        <v>0</v>
      </c>
      <c r="K239" s="97">
        <f t="shared" si="244"/>
        <v>0</v>
      </c>
      <c r="L239" s="97">
        <f t="shared" si="244"/>
        <v>0</v>
      </c>
      <c r="M239" s="97">
        <f t="shared" si="244"/>
        <v>0</v>
      </c>
      <c r="N239" s="97">
        <f t="shared" si="244"/>
        <v>0</v>
      </c>
      <c r="O239" s="97">
        <f t="shared" si="244"/>
        <v>0</v>
      </c>
      <c r="P239" s="97">
        <f t="shared" si="244"/>
        <v>0</v>
      </c>
      <c r="Q239" s="97">
        <f t="shared" si="244"/>
        <v>0</v>
      </c>
      <c r="R239" s="97">
        <f t="shared" si="244"/>
        <v>0</v>
      </c>
      <c r="S239" s="97">
        <f t="shared" si="244"/>
        <v>0</v>
      </c>
      <c r="T239" s="97">
        <f t="shared" si="244"/>
        <v>0</v>
      </c>
      <c r="U239" s="97">
        <f t="shared" si="244"/>
        <v>0</v>
      </c>
      <c r="V239" s="97">
        <f t="shared" si="244"/>
        <v>0</v>
      </c>
      <c r="W239" s="97">
        <f t="shared" si="244"/>
        <v>0</v>
      </c>
      <c r="X239" s="97">
        <f t="shared" si="244"/>
        <v>0</v>
      </c>
      <c r="Y239" s="97">
        <f t="shared" si="244"/>
        <v>0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177.71910876404496</v>
      </c>
      <c r="C240" s="98">
        <f t="shared" si="245"/>
        <v>318.59352000000001</v>
      </c>
      <c r="D240" s="98">
        <f t="shared" si="245"/>
        <v>155.3877</v>
      </c>
      <c r="E240" s="98">
        <f t="shared" si="245"/>
        <v>214.27267034482759</v>
      </c>
      <c r="F240" s="98">
        <f t="shared" si="245"/>
        <v>387.84681000000006</v>
      </c>
      <c r="G240" s="98">
        <f t="shared" si="245"/>
        <v>245.99506285714284</v>
      </c>
      <c r="H240" s="98">
        <f t="shared" si="245"/>
        <v>442.31289488372096</v>
      </c>
      <c r="I240" s="98">
        <f t="shared" si="245"/>
        <v>439.96134000000001</v>
      </c>
      <c r="J240" s="98">
        <f t="shared" si="245"/>
        <v>453.80639571428577</v>
      </c>
      <c r="K240" s="98">
        <f t="shared" si="245"/>
        <v>482.50417090909082</v>
      </c>
      <c r="L240" s="98">
        <f t="shared" si="245"/>
        <v>296.65573116279069</v>
      </c>
      <c r="M240" s="98">
        <f t="shared" si="245"/>
        <v>227.51452285714282</v>
      </c>
      <c r="N240" s="98">
        <f t="shared" si="245"/>
        <v>418.84127999999998</v>
      </c>
      <c r="O240" s="98">
        <f t="shared" si="245"/>
        <v>254.68110719999999</v>
      </c>
      <c r="P240" s="98">
        <f t="shared" si="245"/>
        <v>353.96088000000003</v>
      </c>
      <c r="Q240" s="98">
        <f t="shared" si="245"/>
        <v>289.28101090909092</v>
      </c>
      <c r="R240" s="98">
        <f t="shared" si="245"/>
        <v>353.67929999999996</v>
      </c>
      <c r="S240" s="98">
        <f t="shared" si="245"/>
        <v>509.20215839999992</v>
      </c>
      <c r="T240" s="98">
        <f t="shared" si="245"/>
        <v>414.97417565217393</v>
      </c>
      <c r="U240" s="98">
        <f t="shared" si="245"/>
        <v>497.36568374999985</v>
      </c>
      <c r="V240" s="98">
        <f t="shared" si="245"/>
        <v>708.67758000000003</v>
      </c>
      <c r="W240" s="98">
        <f t="shared" si="245"/>
        <v>582.27645272727273</v>
      </c>
      <c r="X240" s="98">
        <f t="shared" si="245"/>
        <v>479.88790199999994</v>
      </c>
      <c r="Y240" s="98">
        <f t="shared" si="245"/>
        <v>710.44115999999997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0</v>
      </c>
      <c r="C241" s="32">
        <f t="shared" si="246"/>
        <v>0</v>
      </c>
      <c r="D241" s="32">
        <f t="shared" si="246"/>
        <v>0</v>
      </c>
      <c r="E241" s="32">
        <f t="shared" si="246"/>
        <v>0</v>
      </c>
      <c r="F241" s="32">
        <f t="shared" si="246"/>
        <v>0</v>
      </c>
      <c r="G241" s="32">
        <f t="shared" si="246"/>
        <v>0</v>
      </c>
      <c r="H241" s="32">
        <f t="shared" si="246"/>
        <v>0</v>
      </c>
      <c r="I241" s="32">
        <f t="shared" si="246"/>
        <v>0</v>
      </c>
      <c r="J241" s="32">
        <f t="shared" si="246"/>
        <v>0</v>
      </c>
      <c r="K241" s="32">
        <f t="shared" si="246"/>
        <v>0</v>
      </c>
      <c r="L241" s="32">
        <f t="shared" si="246"/>
        <v>0</v>
      </c>
      <c r="M241" s="32">
        <f t="shared" si="246"/>
        <v>0</v>
      </c>
      <c r="N241" s="32">
        <f t="shared" si="246"/>
        <v>0</v>
      </c>
      <c r="O241" s="32">
        <f t="shared" si="246"/>
        <v>0</v>
      </c>
      <c r="P241" s="32">
        <f t="shared" si="246"/>
        <v>0</v>
      </c>
      <c r="Q241" s="32">
        <f t="shared" si="246"/>
        <v>0</v>
      </c>
      <c r="R241" s="32">
        <f t="shared" si="246"/>
        <v>0</v>
      </c>
      <c r="S241" s="32">
        <f t="shared" si="246"/>
        <v>0</v>
      </c>
      <c r="T241" s="32">
        <f t="shared" si="246"/>
        <v>0</v>
      </c>
      <c r="U241" s="32">
        <f t="shared" si="246"/>
        <v>0</v>
      </c>
      <c r="V241" s="32">
        <f t="shared" si="246"/>
        <v>0</v>
      </c>
      <c r="W241" s="32">
        <f t="shared" si="246"/>
        <v>0</v>
      </c>
      <c r="X241" s="32">
        <f t="shared" si="246"/>
        <v>0</v>
      </c>
      <c r="Y241" s="32">
        <f t="shared" si="246"/>
        <v>0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0</v>
      </c>
      <c r="C242" s="97">
        <f t="shared" si="247"/>
        <v>0</v>
      </c>
      <c r="D242" s="97">
        <f t="shared" si="247"/>
        <v>0</v>
      </c>
      <c r="E242" s="97">
        <f t="shared" si="247"/>
        <v>0</v>
      </c>
      <c r="F242" s="97">
        <f t="shared" si="247"/>
        <v>0</v>
      </c>
      <c r="G242" s="97">
        <f t="shared" si="247"/>
        <v>0</v>
      </c>
      <c r="H242" s="97">
        <f t="shared" si="247"/>
        <v>0</v>
      </c>
      <c r="I242" s="97">
        <f t="shared" si="247"/>
        <v>0</v>
      </c>
      <c r="J242" s="97">
        <f t="shared" si="247"/>
        <v>0</v>
      </c>
      <c r="K242" s="97">
        <f t="shared" si="247"/>
        <v>0</v>
      </c>
      <c r="L242" s="97">
        <f t="shared" si="247"/>
        <v>0</v>
      </c>
      <c r="M242" s="97">
        <f t="shared" si="247"/>
        <v>0</v>
      </c>
      <c r="N242" s="97">
        <f t="shared" si="247"/>
        <v>0</v>
      </c>
      <c r="O242" s="97">
        <f t="shared" si="247"/>
        <v>0</v>
      </c>
      <c r="P242" s="97">
        <f t="shared" si="247"/>
        <v>0</v>
      </c>
      <c r="Q242" s="97">
        <f t="shared" si="247"/>
        <v>0</v>
      </c>
      <c r="R242" s="97">
        <f t="shared" si="247"/>
        <v>0</v>
      </c>
      <c r="S242" s="97">
        <f t="shared" si="247"/>
        <v>0</v>
      </c>
      <c r="T242" s="97">
        <f t="shared" si="247"/>
        <v>0</v>
      </c>
      <c r="U242" s="97">
        <f t="shared" si="247"/>
        <v>0</v>
      </c>
      <c r="V242" s="97">
        <f t="shared" si="247"/>
        <v>0</v>
      </c>
      <c r="W242" s="97">
        <f t="shared" si="247"/>
        <v>0</v>
      </c>
      <c r="X242" s="97">
        <f t="shared" si="247"/>
        <v>0</v>
      </c>
      <c r="Y242" s="97">
        <f t="shared" si="247"/>
        <v>0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0</v>
      </c>
      <c r="C243" s="98">
        <f t="shared" si="248"/>
        <v>0</v>
      </c>
      <c r="D243" s="98">
        <f t="shared" si="248"/>
        <v>0</v>
      </c>
      <c r="E243" s="98">
        <f t="shared" si="248"/>
        <v>0</v>
      </c>
      <c r="F243" s="98">
        <f t="shared" si="248"/>
        <v>0</v>
      </c>
      <c r="G243" s="98">
        <f t="shared" si="248"/>
        <v>0</v>
      </c>
      <c r="H243" s="98">
        <f t="shared" si="248"/>
        <v>0</v>
      </c>
      <c r="I243" s="98">
        <f t="shared" si="248"/>
        <v>0</v>
      </c>
      <c r="J243" s="98">
        <f t="shared" si="248"/>
        <v>0</v>
      </c>
      <c r="K243" s="98">
        <f t="shared" si="248"/>
        <v>0</v>
      </c>
      <c r="L243" s="98">
        <f t="shared" si="248"/>
        <v>0</v>
      </c>
      <c r="M243" s="98">
        <f t="shared" si="248"/>
        <v>0</v>
      </c>
      <c r="N243" s="98">
        <f t="shared" si="248"/>
        <v>0</v>
      </c>
      <c r="O243" s="98">
        <f t="shared" si="248"/>
        <v>0</v>
      </c>
      <c r="P243" s="98">
        <f t="shared" si="248"/>
        <v>0</v>
      </c>
      <c r="Q243" s="98">
        <f t="shared" si="248"/>
        <v>0</v>
      </c>
      <c r="R243" s="98">
        <f t="shared" si="248"/>
        <v>0</v>
      </c>
      <c r="S243" s="98">
        <f t="shared" si="248"/>
        <v>0</v>
      </c>
      <c r="T243" s="98">
        <f t="shared" si="248"/>
        <v>0</v>
      </c>
      <c r="U243" s="98">
        <f t="shared" si="248"/>
        <v>0</v>
      </c>
      <c r="V243" s="98">
        <f t="shared" si="248"/>
        <v>0</v>
      </c>
      <c r="W243" s="98">
        <f t="shared" si="248"/>
        <v>0</v>
      </c>
      <c r="X243" s="98">
        <f t="shared" si="248"/>
        <v>0</v>
      </c>
      <c r="Y243" s="98">
        <f t="shared" si="248"/>
        <v>0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81621.97102729851</v>
      </c>
      <c r="C4" s="29">
        <f t="shared" si="0"/>
        <v>82430.646545298427</v>
      </c>
      <c r="D4" s="29">
        <f t="shared" si="0"/>
        <v>83229.263808267002</v>
      </c>
      <c r="E4" s="29">
        <f t="shared" si="0"/>
        <v>85189.534608617396</v>
      </c>
      <c r="F4" s="29">
        <f t="shared" si="0"/>
        <v>84188.301271809149</v>
      </c>
      <c r="G4" s="29">
        <f t="shared" si="0"/>
        <v>85697.261521008157</v>
      </c>
      <c r="H4" s="29">
        <f t="shared" si="0"/>
        <v>87136.643477376303</v>
      </c>
      <c r="I4" s="29">
        <f t="shared" si="0"/>
        <v>89208.96661931464</v>
      </c>
      <c r="J4" s="29">
        <f t="shared" si="0"/>
        <v>90082.66249279576</v>
      </c>
      <c r="K4" s="29">
        <f t="shared" si="0"/>
        <v>89963.603229612709</v>
      </c>
      <c r="L4" s="29">
        <f t="shared" ref="L4" si="1">L5+L6+L13</f>
        <v>82164.207928549629</v>
      </c>
      <c r="M4" s="29">
        <f t="shared" ref="M4:V4" si="2">M5+M6+M13</f>
        <v>82988.082769516594</v>
      </c>
      <c r="N4" s="29">
        <f t="shared" si="2"/>
        <v>81647.559006617594</v>
      </c>
      <c r="O4" s="29">
        <f t="shared" si="2"/>
        <v>82071.182186037477</v>
      </c>
      <c r="P4" s="29">
        <f t="shared" si="2"/>
        <v>85049.36610307009</v>
      </c>
      <c r="Q4" s="29">
        <f t="shared" si="2"/>
        <v>86632.049461222254</v>
      </c>
      <c r="R4" s="29">
        <f t="shared" si="2"/>
        <v>89108.296126536545</v>
      </c>
      <c r="S4" s="29">
        <f t="shared" si="2"/>
        <v>91795.085953877788</v>
      </c>
      <c r="T4" s="29">
        <f t="shared" si="2"/>
        <v>95856.886292151146</v>
      </c>
      <c r="U4" s="29">
        <f t="shared" si="2"/>
        <v>99087.849114049241</v>
      </c>
      <c r="V4" s="29">
        <f t="shared" si="2"/>
        <v>79352.604423097742</v>
      </c>
      <c r="W4" s="29">
        <f t="shared" ref="W4:Y4" si="3">W5+W6+W13</f>
        <v>98360.577346995939</v>
      </c>
      <c r="X4" s="29">
        <f t="shared" si="3"/>
        <v>104697.157515342</v>
      </c>
      <c r="Y4" s="29">
        <f t="shared" si="3"/>
        <v>102960.70072725757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1510.671027298521</v>
      </c>
      <c r="C5" s="152">
        <f t="shared" si="4"/>
        <v>1441.3465452984162</v>
      </c>
      <c r="D5" s="152">
        <f t="shared" si="4"/>
        <v>1408.7638082670003</v>
      </c>
      <c r="E5" s="152">
        <f t="shared" si="4"/>
        <v>1404.7346086174064</v>
      </c>
      <c r="F5" s="152">
        <f t="shared" si="4"/>
        <v>1400.3012718091427</v>
      </c>
      <c r="G5" s="152">
        <f t="shared" si="4"/>
        <v>1449.3615210081628</v>
      </c>
      <c r="H5" s="152">
        <f t="shared" si="4"/>
        <v>1491.5434773762938</v>
      </c>
      <c r="I5" s="152">
        <f t="shared" si="4"/>
        <v>1548.0666193146517</v>
      </c>
      <c r="J5" s="152">
        <f t="shared" si="4"/>
        <v>1595.7624927957695</v>
      </c>
      <c r="K5" s="152">
        <f t="shared" si="4"/>
        <v>1611.6032296126934</v>
      </c>
      <c r="L5" s="152">
        <f t="shared" ref="L5:L7" si="5">IF(L32=0,0,L32*L142)</f>
        <v>1638.6079285496335</v>
      </c>
      <c r="M5" s="152">
        <f t="shared" ref="M5:V5" si="6">IF(M32=0,0,M32*M142)</f>
        <v>1665.2827695165961</v>
      </c>
      <c r="N5" s="152">
        <f t="shared" si="6"/>
        <v>1700.7590066175762</v>
      </c>
      <c r="O5" s="152">
        <f t="shared" si="6"/>
        <v>1700.2821860374754</v>
      </c>
      <c r="P5" s="152">
        <f t="shared" si="6"/>
        <v>1734.0661030700803</v>
      </c>
      <c r="Q5" s="152">
        <f t="shared" si="6"/>
        <v>1803.0494612222476</v>
      </c>
      <c r="R5" s="152">
        <f t="shared" si="6"/>
        <v>1851.2961265365489</v>
      </c>
      <c r="S5" s="152">
        <f t="shared" si="6"/>
        <v>1746.0859538777979</v>
      </c>
      <c r="T5" s="152">
        <f t="shared" si="6"/>
        <v>1663.8862921511641</v>
      </c>
      <c r="U5" s="152">
        <f t="shared" si="6"/>
        <v>1767.8491140492608</v>
      </c>
      <c r="V5" s="152">
        <f t="shared" si="6"/>
        <v>1581.604423097742</v>
      </c>
      <c r="W5" s="152">
        <f t="shared" ref="W5:Y5" si="7">IF(W32=0,0,W32*W142)</f>
        <v>1638.5773469959474</v>
      </c>
      <c r="X5" s="152">
        <f t="shared" si="7"/>
        <v>1661.1575153420274</v>
      </c>
      <c r="Y5" s="152">
        <f t="shared" si="7"/>
        <v>1795.7007272575659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63939.999999999993</v>
      </c>
      <c r="C6" s="116">
        <f t="shared" si="8"/>
        <v>63470</v>
      </c>
      <c r="D6" s="116">
        <f t="shared" si="8"/>
        <v>65290.000000000007</v>
      </c>
      <c r="E6" s="116">
        <f t="shared" si="8"/>
        <v>67359.999999999985</v>
      </c>
      <c r="F6" s="116">
        <f t="shared" si="8"/>
        <v>67570</v>
      </c>
      <c r="G6" s="116">
        <f t="shared" si="8"/>
        <v>68640</v>
      </c>
      <c r="H6" s="116">
        <f t="shared" si="8"/>
        <v>69630</v>
      </c>
      <c r="I6" s="116">
        <f t="shared" si="8"/>
        <v>71540</v>
      </c>
      <c r="J6" s="116">
        <f t="shared" si="8"/>
        <v>72380</v>
      </c>
      <c r="K6" s="116">
        <f t="shared" si="8"/>
        <v>72290.000000000015</v>
      </c>
      <c r="L6" s="116">
        <f t="shared" ref="L6" si="9">SUM(L7:L12)</f>
        <v>63570</v>
      </c>
      <c r="M6" s="116">
        <f t="shared" ref="M6:V6" si="10">SUM(M7:M12)</f>
        <v>65489.999999999993</v>
      </c>
      <c r="N6" s="116">
        <f t="shared" si="10"/>
        <v>64620.000000000015</v>
      </c>
      <c r="O6" s="116">
        <f t="shared" si="10"/>
        <v>64650.000000000007</v>
      </c>
      <c r="P6" s="116">
        <f t="shared" si="10"/>
        <v>66260</v>
      </c>
      <c r="Q6" s="116">
        <f t="shared" si="10"/>
        <v>69705</v>
      </c>
      <c r="R6" s="116">
        <f t="shared" si="10"/>
        <v>72255</v>
      </c>
      <c r="S6" s="116">
        <f t="shared" si="10"/>
        <v>74326.999999999985</v>
      </c>
      <c r="T6" s="116">
        <f t="shared" si="10"/>
        <v>77970.999999999985</v>
      </c>
      <c r="U6" s="116">
        <f t="shared" si="10"/>
        <v>81178.999999999985</v>
      </c>
      <c r="V6" s="116">
        <f t="shared" si="10"/>
        <v>68936</v>
      </c>
      <c r="W6" s="116">
        <f t="shared" ref="W6:Y6" si="11">SUM(W7:W12)</f>
        <v>87932.999999999985</v>
      </c>
      <c r="X6" s="116">
        <f t="shared" si="11"/>
        <v>91244.999999999971</v>
      </c>
      <c r="Y6" s="116">
        <f t="shared" si="11"/>
        <v>89500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47324.395814204443</v>
      </c>
      <c r="C7" s="87">
        <f t="shared" si="12"/>
        <v>44732.076038905616</v>
      </c>
      <c r="D7" s="87">
        <f t="shared" si="12"/>
        <v>44451.612858968867</v>
      </c>
      <c r="E7" s="87">
        <f t="shared" si="12"/>
        <v>43999.687826126079</v>
      </c>
      <c r="F7" s="87">
        <f t="shared" si="12"/>
        <v>42731.209328225719</v>
      </c>
      <c r="G7" s="87">
        <f t="shared" si="12"/>
        <v>41064.076472262299</v>
      </c>
      <c r="H7" s="87">
        <f t="shared" si="12"/>
        <v>40765.348078099545</v>
      </c>
      <c r="I7" s="87">
        <f t="shared" si="12"/>
        <v>41861.976930084595</v>
      </c>
      <c r="J7" s="87">
        <f t="shared" si="12"/>
        <v>41224.002757202979</v>
      </c>
      <c r="K7" s="87">
        <f t="shared" si="12"/>
        <v>39907.44615808627</v>
      </c>
      <c r="L7" s="87">
        <f t="shared" si="5"/>
        <v>34713.781296393208</v>
      </c>
      <c r="M7" s="87">
        <f t="shared" ref="M7:V7" si="13">IF(M34=0,0,M34*M144)</f>
        <v>33965.961958473476</v>
      </c>
      <c r="N7" s="87">
        <f t="shared" si="13"/>
        <v>31535.650840619492</v>
      </c>
      <c r="O7" s="87">
        <f t="shared" si="13"/>
        <v>29498.934317330932</v>
      </c>
      <c r="P7" s="87">
        <f t="shared" si="13"/>
        <v>29624.507946212743</v>
      </c>
      <c r="Q7" s="87">
        <f t="shared" si="13"/>
        <v>30939.520342027587</v>
      </c>
      <c r="R7" s="87">
        <f t="shared" si="13"/>
        <v>31207.516943053364</v>
      </c>
      <c r="S7" s="87">
        <f t="shared" si="13"/>
        <v>31668.404920854988</v>
      </c>
      <c r="T7" s="87">
        <f t="shared" si="13"/>
        <v>32980.366021171343</v>
      </c>
      <c r="U7" s="87">
        <f t="shared" si="13"/>
        <v>33835.517631710296</v>
      </c>
      <c r="V7" s="87">
        <f t="shared" si="13"/>
        <v>27112.348504115806</v>
      </c>
      <c r="W7" s="87">
        <f t="shared" ref="W7:Y7" si="14">IF(W34=0,0,W34*W144)</f>
        <v>32932.509539423278</v>
      </c>
      <c r="X7" s="87">
        <f t="shared" si="14"/>
        <v>34768.152010300946</v>
      </c>
      <c r="Y7" s="87">
        <f t="shared" si="14"/>
        <v>35621.326370573915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15375.230391673116</v>
      </c>
      <c r="C8" s="87">
        <f t="shared" si="15"/>
        <v>17573.837615355493</v>
      </c>
      <c r="D8" s="87">
        <f t="shared" si="15"/>
        <v>19670.176042672989</v>
      </c>
      <c r="E8" s="87">
        <f t="shared" si="15"/>
        <v>22176.477530669552</v>
      </c>
      <c r="F8" s="87">
        <f t="shared" si="15"/>
        <v>23627.716500052527</v>
      </c>
      <c r="G8" s="87">
        <f t="shared" si="15"/>
        <v>26345.230824756109</v>
      </c>
      <c r="H8" s="87">
        <f t="shared" si="15"/>
        <v>27546.23494351183</v>
      </c>
      <c r="I8" s="87">
        <f t="shared" si="15"/>
        <v>28279.344136772703</v>
      </c>
      <c r="J8" s="87">
        <f t="shared" si="15"/>
        <v>29777.003652014715</v>
      </c>
      <c r="K8" s="87">
        <f t="shared" si="15"/>
        <v>30990.030707396767</v>
      </c>
      <c r="L8" s="87">
        <f t="shared" ref="L8" si="16">IF(L35=0,0,L35*L145)</f>
        <v>27585.206440273963</v>
      </c>
      <c r="M8" s="87">
        <f t="shared" ref="M8:V8" si="17">IF(M35=0,0,M35*M145)</f>
        <v>30217.512193140843</v>
      </c>
      <c r="N8" s="87">
        <f t="shared" si="17"/>
        <v>31658.521996243042</v>
      </c>
      <c r="O8" s="87">
        <f t="shared" si="17"/>
        <v>33676.681971679471</v>
      </c>
      <c r="P8" s="87">
        <f t="shared" si="17"/>
        <v>35015.709700145409</v>
      </c>
      <c r="Q8" s="87">
        <f t="shared" si="17"/>
        <v>37076.664458331798</v>
      </c>
      <c r="R8" s="87">
        <f t="shared" si="17"/>
        <v>39336.721324868566</v>
      </c>
      <c r="S8" s="87">
        <f t="shared" si="17"/>
        <v>41027.196594401241</v>
      </c>
      <c r="T8" s="87">
        <f t="shared" si="17"/>
        <v>43341.026757480766</v>
      </c>
      <c r="U8" s="87">
        <f t="shared" si="17"/>
        <v>45686.616339012879</v>
      </c>
      <c r="V8" s="87">
        <f t="shared" si="17"/>
        <v>40485.701261769063</v>
      </c>
      <c r="W8" s="87">
        <f t="shared" ref="W8:Y8" si="18">IF(W35=0,0,W35*W145)</f>
        <v>53330.21145972512</v>
      </c>
      <c r="X8" s="87">
        <f t="shared" si="18"/>
        <v>54683.204511931675</v>
      </c>
      <c r="Y8" s="87">
        <f t="shared" si="18"/>
        <v>52351.861643133045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1240.3737941224315</v>
      </c>
      <c r="C9" s="87">
        <f t="shared" si="19"/>
        <v>1164.0863457388909</v>
      </c>
      <c r="D9" s="87">
        <f t="shared" si="19"/>
        <v>1168.2110983581549</v>
      </c>
      <c r="E9" s="87">
        <f t="shared" si="19"/>
        <v>1183.8346432043681</v>
      </c>
      <c r="F9" s="87">
        <f t="shared" si="19"/>
        <v>1211.0741717217559</v>
      </c>
      <c r="G9" s="87">
        <f t="shared" si="19"/>
        <v>1230.6927029815904</v>
      </c>
      <c r="H9" s="87">
        <f t="shared" si="19"/>
        <v>1318.4169783886239</v>
      </c>
      <c r="I9" s="87">
        <f t="shared" si="19"/>
        <v>1398.6789331426976</v>
      </c>
      <c r="J9" s="87">
        <f t="shared" si="19"/>
        <v>1364.1669247624095</v>
      </c>
      <c r="K9" s="87">
        <f t="shared" si="19"/>
        <v>1370.2469925192529</v>
      </c>
      <c r="L9" s="87">
        <f t="shared" ref="L9" si="20">IF(L36=0,0,L36*L146)</f>
        <v>1243.0414319049719</v>
      </c>
      <c r="M9" s="87">
        <f t="shared" ref="M9:V9" si="21">IF(M36=0,0,M36*M146)</f>
        <v>1270.1117155427278</v>
      </c>
      <c r="N9" s="87">
        <f t="shared" si="21"/>
        <v>1380.2521320942683</v>
      </c>
      <c r="O9" s="87">
        <f t="shared" si="21"/>
        <v>1408.0903077375403</v>
      </c>
      <c r="P9" s="87">
        <f t="shared" si="21"/>
        <v>1535.5492139113239</v>
      </c>
      <c r="Q9" s="87">
        <f t="shared" si="21"/>
        <v>1562.6091978389325</v>
      </c>
      <c r="R9" s="87">
        <f t="shared" si="21"/>
        <v>1499.9556536996815</v>
      </c>
      <c r="S9" s="87">
        <f t="shared" si="21"/>
        <v>1361.9957596885679</v>
      </c>
      <c r="T9" s="87">
        <f t="shared" si="21"/>
        <v>1311.3233713716152</v>
      </c>
      <c r="U9" s="87">
        <f t="shared" si="21"/>
        <v>1268.47771943353</v>
      </c>
      <c r="V9" s="87">
        <f t="shared" si="21"/>
        <v>959.74198737078416</v>
      </c>
      <c r="W9" s="87">
        <f t="shared" ref="W9:Y9" si="22">IF(W36=0,0,W36*W146)</f>
        <v>1129.0007611525996</v>
      </c>
      <c r="X9" s="87">
        <f t="shared" si="22"/>
        <v>1153.8867037381642</v>
      </c>
      <c r="Y9" s="87">
        <f t="shared" si="22"/>
        <v>774.30396341768687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14.826666019895189</v>
      </c>
      <c r="K10" s="87">
        <f t="shared" si="23"/>
        <v>22.276141997711441</v>
      </c>
      <c r="L10" s="87">
        <f t="shared" ref="L10" si="24">IF(L37=0,0,L37*L147)</f>
        <v>27.894473430836751</v>
      </c>
      <c r="M10" s="87">
        <f t="shared" ref="M10:V10" si="25">IF(M37=0,0,M37*M147)</f>
        <v>35.616632029039984</v>
      </c>
      <c r="N10" s="87">
        <f t="shared" si="25"/>
        <v>44.448414123872965</v>
      </c>
      <c r="O10" s="87">
        <f t="shared" si="25"/>
        <v>62.987712577479037</v>
      </c>
      <c r="P10" s="87">
        <f t="shared" si="25"/>
        <v>78.043743266480107</v>
      </c>
      <c r="Q10" s="87">
        <f t="shared" si="25"/>
        <v>114.53363360529141</v>
      </c>
      <c r="R10" s="87">
        <f t="shared" si="25"/>
        <v>189.85143967651982</v>
      </c>
      <c r="S10" s="87">
        <f t="shared" si="25"/>
        <v>234.52498888055453</v>
      </c>
      <c r="T10" s="87">
        <f t="shared" si="25"/>
        <v>290.86303628102587</v>
      </c>
      <c r="U10" s="87">
        <f t="shared" si="25"/>
        <v>325.71443050300576</v>
      </c>
      <c r="V10" s="87">
        <f t="shared" si="25"/>
        <v>283.23464724777085</v>
      </c>
      <c r="W10" s="87">
        <f t="shared" ref="W10:Y10" si="26">IF(W37=0,0,W37*W147)</f>
        <v>363.36283653023685</v>
      </c>
      <c r="X10" s="87">
        <f t="shared" si="26"/>
        <v>373.64307284061869</v>
      </c>
      <c r="Y10" s="87">
        <f t="shared" si="26"/>
        <v>370.85881882178899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0.16773406807276628</v>
      </c>
      <c r="O11" s="87">
        <f t="shared" si="29"/>
        <v>0.29416535461884968</v>
      </c>
      <c r="P11" s="87">
        <f t="shared" si="29"/>
        <v>0.91339507422575106</v>
      </c>
      <c r="Q11" s="87">
        <f t="shared" si="29"/>
        <v>2.4909142442136711</v>
      </c>
      <c r="R11" s="87">
        <f t="shared" si="29"/>
        <v>3.9456073161995215</v>
      </c>
      <c r="S11" s="87">
        <f t="shared" si="29"/>
        <v>6.1703251851055443</v>
      </c>
      <c r="T11" s="87">
        <f t="shared" si="29"/>
        <v>8.9580957780592705</v>
      </c>
      <c r="U11" s="87">
        <f t="shared" si="29"/>
        <v>13.372135097484859</v>
      </c>
      <c r="V11" s="87">
        <f t="shared" si="29"/>
        <v>21.940286201783714</v>
      </c>
      <c r="W11" s="87">
        <f t="shared" ref="W11:Y11" si="30">IF(W38=0,0,W38*W148)</f>
        <v>50.636719222286317</v>
      </c>
      <c r="X11" s="87">
        <f t="shared" si="30"/>
        <v>87.616161688564915</v>
      </c>
      <c r="Y11" s="87">
        <f t="shared" si="30"/>
        <v>106.60469362206358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7.635799701697206E-2</v>
      </c>
      <c r="M12" s="87">
        <f t="shared" ref="M12:V12" si="33">IF(M39=0,0,M39*M149)</f>
        <v>0.79750081390218464</v>
      </c>
      <c r="N12" s="87">
        <f t="shared" si="33"/>
        <v>0.95888285126579986</v>
      </c>
      <c r="O12" s="87">
        <f t="shared" si="33"/>
        <v>3.0115253199626064</v>
      </c>
      <c r="P12" s="87">
        <f t="shared" si="33"/>
        <v>5.2760013898229454</v>
      </c>
      <c r="Q12" s="87">
        <f t="shared" si="33"/>
        <v>9.1814539521718963</v>
      </c>
      <c r="R12" s="87">
        <f t="shared" si="33"/>
        <v>17.009031385665047</v>
      </c>
      <c r="S12" s="87">
        <f t="shared" si="33"/>
        <v>28.707410989539429</v>
      </c>
      <c r="T12" s="87">
        <f t="shared" si="33"/>
        <v>38.462717917187476</v>
      </c>
      <c r="U12" s="87">
        <f t="shared" si="33"/>
        <v>49.301744242792267</v>
      </c>
      <c r="V12" s="87">
        <f t="shared" si="33"/>
        <v>73.033313294788528</v>
      </c>
      <c r="W12" s="87">
        <f t="shared" ref="W12:Y12" si="34">IF(W39=0,0,W39*W149)</f>
        <v>127.27868394647496</v>
      </c>
      <c r="X12" s="87">
        <f t="shared" si="34"/>
        <v>178.49753950002764</v>
      </c>
      <c r="Y12" s="87">
        <f t="shared" si="34"/>
        <v>275.04451043149584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16171.300000000003</v>
      </c>
      <c r="C13" s="116">
        <f t="shared" si="35"/>
        <v>17519.300000000007</v>
      </c>
      <c r="D13" s="116">
        <f t="shared" si="35"/>
        <v>16530.5</v>
      </c>
      <c r="E13" s="116">
        <f t="shared" si="35"/>
        <v>16424.800000000003</v>
      </c>
      <c r="F13" s="116">
        <f t="shared" si="35"/>
        <v>15218</v>
      </c>
      <c r="G13" s="116">
        <f t="shared" si="35"/>
        <v>15607.900000000001</v>
      </c>
      <c r="H13" s="116">
        <f t="shared" si="35"/>
        <v>16015.100000000002</v>
      </c>
      <c r="I13" s="116">
        <f t="shared" si="35"/>
        <v>16120.9</v>
      </c>
      <c r="J13" s="116">
        <f t="shared" si="35"/>
        <v>16106.899999999998</v>
      </c>
      <c r="K13" s="116">
        <f t="shared" si="35"/>
        <v>16062.000000000002</v>
      </c>
      <c r="L13" s="116">
        <f t="shared" ref="L13" si="36">SUM(L14:L18)</f>
        <v>16955.599999999999</v>
      </c>
      <c r="M13" s="116">
        <f t="shared" ref="M13:V13" si="37">SUM(M14:M18)</f>
        <v>15832.8</v>
      </c>
      <c r="N13" s="116">
        <f t="shared" si="37"/>
        <v>15326.800000000001</v>
      </c>
      <c r="O13" s="116">
        <f t="shared" si="37"/>
        <v>15720.9</v>
      </c>
      <c r="P13" s="116">
        <f t="shared" si="37"/>
        <v>17055.3</v>
      </c>
      <c r="Q13" s="116">
        <f t="shared" si="37"/>
        <v>15124</v>
      </c>
      <c r="R13" s="116">
        <f t="shared" si="37"/>
        <v>15002</v>
      </c>
      <c r="S13" s="116">
        <f t="shared" si="37"/>
        <v>15722.000000000002</v>
      </c>
      <c r="T13" s="116">
        <f t="shared" si="37"/>
        <v>16222.000000000002</v>
      </c>
      <c r="U13" s="116">
        <f t="shared" si="37"/>
        <v>16140.999999999996</v>
      </c>
      <c r="V13" s="116">
        <f t="shared" si="37"/>
        <v>8835</v>
      </c>
      <c r="W13" s="116">
        <f t="shared" ref="W13:Y13" si="38">SUM(W14:W18)</f>
        <v>8788.9999999999982</v>
      </c>
      <c r="X13" s="116">
        <f t="shared" si="38"/>
        <v>11790.999999999998</v>
      </c>
      <c r="Y13" s="116">
        <f t="shared" si="38"/>
        <v>11665.000000000002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437.0435375662405</v>
      </c>
      <c r="C14" s="101">
        <f t="shared" si="39"/>
        <v>422.15363321479401</v>
      </c>
      <c r="D14" s="101">
        <f t="shared" si="39"/>
        <v>424.79549740325911</v>
      </c>
      <c r="E14" s="101">
        <f t="shared" si="39"/>
        <v>389.0342506354753</v>
      </c>
      <c r="F14" s="101">
        <f t="shared" si="39"/>
        <v>339.2050914964106</v>
      </c>
      <c r="G14" s="101">
        <f t="shared" si="39"/>
        <v>321.41129405966547</v>
      </c>
      <c r="H14" s="101">
        <f t="shared" si="39"/>
        <v>309.78561214480686</v>
      </c>
      <c r="I14" s="101">
        <f t="shared" si="39"/>
        <v>304.96090907292285</v>
      </c>
      <c r="J14" s="101">
        <f t="shared" si="39"/>
        <v>289.10172865721682</v>
      </c>
      <c r="K14" s="101">
        <f t="shared" si="39"/>
        <v>267.19898469640407</v>
      </c>
      <c r="L14" s="101">
        <f t="shared" ref="L14" si="40">IF(L41=0,0,L41*L151)</f>
        <v>277.32062099096163</v>
      </c>
      <c r="M14" s="101">
        <f t="shared" ref="M14:V14" si="41">IF(M41=0,0,M41*M151)</f>
        <v>250.07540863493298</v>
      </c>
      <c r="N14" s="101">
        <f t="shared" si="41"/>
        <v>225.94388199689075</v>
      </c>
      <c r="O14" s="101">
        <f t="shared" si="41"/>
        <v>228.96474942145875</v>
      </c>
      <c r="P14" s="101">
        <f t="shared" si="41"/>
        <v>249.29469266945091</v>
      </c>
      <c r="Q14" s="101">
        <f t="shared" si="41"/>
        <v>212.49713042587433</v>
      </c>
      <c r="R14" s="101">
        <f t="shared" si="41"/>
        <v>215.51549545824921</v>
      </c>
      <c r="S14" s="101">
        <f t="shared" si="41"/>
        <v>213.5468692811769</v>
      </c>
      <c r="T14" s="101">
        <f t="shared" si="41"/>
        <v>197.87200832389496</v>
      </c>
      <c r="U14" s="101">
        <f t="shared" si="41"/>
        <v>187.49428947645961</v>
      </c>
      <c r="V14" s="101">
        <f t="shared" si="41"/>
        <v>106.92572455816982</v>
      </c>
      <c r="W14" s="101">
        <f t="shared" ref="W14:Y14" si="42">IF(W41=0,0,W41*W151)</f>
        <v>97.944108495667692</v>
      </c>
      <c r="X14" s="101">
        <f t="shared" si="42"/>
        <v>122.00561478664657</v>
      </c>
      <c r="Y14" s="101">
        <f t="shared" si="42"/>
        <v>114.19651970563707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14855.852124069239</v>
      </c>
      <c r="C15" s="101">
        <f t="shared" si="43"/>
        <v>16190.352935517887</v>
      </c>
      <c r="D15" s="101">
        <f t="shared" si="43"/>
        <v>15128.967947925867</v>
      </c>
      <c r="E15" s="101">
        <f t="shared" si="43"/>
        <v>14942.155190060608</v>
      </c>
      <c r="F15" s="101">
        <f t="shared" si="43"/>
        <v>13701.359809858577</v>
      </c>
      <c r="G15" s="101">
        <f t="shared" si="43"/>
        <v>14080.856613959942</v>
      </c>
      <c r="H15" s="101">
        <f t="shared" si="43"/>
        <v>14518.711120079121</v>
      </c>
      <c r="I15" s="101">
        <f t="shared" si="43"/>
        <v>14813.185238445469</v>
      </c>
      <c r="J15" s="101">
        <f t="shared" si="43"/>
        <v>14824.334392145862</v>
      </c>
      <c r="K15" s="101">
        <f t="shared" si="43"/>
        <v>14824.140823041338</v>
      </c>
      <c r="L15" s="101">
        <f t="shared" ref="L15" si="44">IF(L42=0,0,L42*L152)</f>
        <v>15688.045113617962</v>
      </c>
      <c r="M15" s="101">
        <f t="shared" ref="M15:V15" si="45">IF(M42=0,0,M42*M152)</f>
        <v>14604.496684872633</v>
      </c>
      <c r="N15" s="101">
        <f t="shared" si="45"/>
        <v>14122.667239720378</v>
      </c>
      <c r="O15" s="101">
        <f t="shared" si="45"/>
        <v>14543.131292130502</v>
      </c>
      <c r="P15" s="101">
        <f t="shared" si="45"/>
        <v>15718.908637604973</v>
      </c>
      <c r="Q15" s="101">
        <f t="shared" si="45"/>
        <v>13741.43416203239</v>
      </c>
      <c r="R15" s="101">
        <f t="shared" si="45"/>
        <v>13263.144749676279</v>
      </c>
      <c r="S15" s="101">
        <f t="shared" si="45"/>
        <v>13755.459759252069</v>
      </c>
      <c r="T15" s="101">
        <f t="shared" si="45"/>
        <v>14133.448036780985</v>
      </c>
      <c r="U15" s="101">
        <f t="shared" si="45"/>
        <v>13799.456839074619</v>
      </c>
      <c r="V15" s="101">
        <f t="shared" si="45"/>
        <v>7323.5996443684035</v>
      </c>
      <c r="W15" s="101">
        <f t="shared" ref="W15:Y15" si="46">IF(W42=0,0,W42*W152)</f>
        <v>7288.7949960333663</v>
      </c>
      <c r="X15" s="101">
        <f t="shared" si="46"/>
        <v>9829.5673895729742</v>
      </c>
      <c r="Y15" s="101">
        <f t="shared" si="46"/>
        <v>9672.2936630287459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1.7437171885506757</v>
      </c>
      <c r="W16" s="101">
        <f t="shared" ref="W16:Y16" si="50">IF(W43=0,0,W43*W153)</f>
        <v>1.6824072329429896</v>
      </c>
      <c r="X16" s="101">
        <f t="shared" si="50"/>
        <v>2.1526893074321838</v>
      </c>
      <c r="Y16" s="101">
        <f t="shared" si="50"/>
        <v>1.7726109218364781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208.50175704492878</v>
      </c>
      <c r="C17" s="101">
        <f t="shared" si="51"/>
        <v>247.19265357585701</v>
      </c>
      <c r="D17" s="101">
        <f t="shared" si="51"/>
        <v>332.68253783941532</v>
      </c>
      <c r="E17" s="101">
        <f t="shared" si="51"/>
        <v>403.5087955047477</v>
      </c>
      <c r="F17" s="101">
        <f t="shared" si="51"/>
        <v>481.69253141946677</v>
      </c>
      <c r="G17" s="101">
        <f t="shared" si="51"/>
        <v>490.44043060541696</v>
      </c>
      <c r="H17" s="101">
        <f t="shared" si="51"/>
        <v>450.26272494840589</v>
      </c>
      <c r="I17" s="101">
        <f t="shared" si="51"/>
        <v>273.22327217834629</v>
      </c>
      <c r="J17" s="101">
        <f t="shared" si="51"/>
        <v>269.86268010450499</v>
      </c>
      <c r="K17" s="101">
        <f t="shared" si="51"/>
        <v>260.49949729272555</v>
      </c>
      <c r="L17" s="101">
        <f t="shared" ref="L17" si="52">IF(L44=0,0,L44*L154)</f>
        <v>262.52546507389172</v>
      </c>
      <c r="M17" s="101">
        <f t="shared" ref="M17:V17" si="53">IF(M44=0,0,M44*M154)</f>
        <v>269.09801951536434</v>
      </c>
      <c r="N17" s="101">
        <f t="shared" si="53"/>
        <v>268.81783661256429</v>
      </c>
      <c r="O17" s="101">
        <f t="shared" si="53"/>
        <v>259.60551937541806</v>
      </c>
      <c r="P17" s="101">
        <f t="shared" si="53"/>
        <v>330.8588439534845</v>
      </c>
      <c r="Q17" s="101">
        <f t="shared" si="53"/>
        <v>453.86273825214107</v>
      </c>
      <c r="R17" s="101">
        <f t="shared" si="53"/>
        <v>744.95772071833369</v>
      </c>
      <c r="S17" s="101">
        <f t="shared" si="53"/>
        <v>1010.2720739025038</v>
      </c>
      <c r="T17" s="101">
        <f t="shared" si="53"/>
        <v>1070.6435608208828</v>
      </c>
      <c r="U17" s="101">
        <f t="shared" si="53"/>
        <v>1357.7323301511469</v>
      </c>
      <c r="V17" s="101">
        <f t="shared" si="53"/>
        <v>903.16974779313455</v>
      </c>
      <c r="W17" s="101">
        <f t="shared" ref="W17:Y17" si="54">IF(W44=0,0,W44*W154)</f>
        <v>855.74878486107536</v>
      </c>
      <c r="X17" s="101">
        <f t="shared" si="54"/>
        <v>1135.5516812834455</v>
      </c>
      <c r="Y17" s="101">
        <f t="shared" si="54"/>
        <v>1141.3644435175881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669.90258131959422</v>
      </c>
      <c r="C18" s="101">
        <f t="shared" si="55"/>
        <v>659.60077769146494</v>
      </c>
      <c r="D18" s="101">
        <f t="shared" si="55"/>
        <v>644.05401683145908</v>
      </c>
      <c r="E18" s="101">
        <f t="shared" si="55"/>
        <v>690.10176379917277</v>
      </c>
      <c r="F18" s="101">
        <f t="shared" si="55"/>
        <v>695.74256722554571</v>
      </c>
      <c r="G18" s="101">
        <f t="shared" si="55"/>
        <v>715.19166137497655</v>
      </c>
      <c r="H18" s="101">
        <f t="shared" si="55"/>
        <v>736.34054282766692</v>
      </c>
      <c r="I18" s="101">
        <f t="shared" si="55"/>
        <v>729.53058030326179</v>
      </c>
      <c r="J18" s="101">
        <f t="shared" si="55"/>
        <v>723.6011990924153</v>
      </c>
      <c r="K18" s="101">
        <f t="shared" si="55"/>
        <v>710.16069496953435</v>
      </c>
      <c r="L18" s="101">
        <f t="shared" ref="L18" si="56">IF(L45=0,0,L45*L155)</f>
        <v>727.70880031718343</v>
      </c>
      <c r="M18" s="101">
        <f t="shared" ref="M18:V18" si="57">IF(M45=0,0,M45*M155)</f>
        <v>709.1298869770684</v>
      </c>
      <c r="N18" s="101">
        <f t="shared" si="57"/>
        <v>709.37104167016616</v>
      </c>
      <c r="O18" s="101">
        <f t="shared" si="57"/>
        <v>689.1984390726218</v>
      </c>
      <c r="P18" s="101">
        <f t="shared" si="57"/>
        <v>756.23782577209124</v>
      </c>
      <c r="Q18" s="101">
        <f t="shared" si="57"/>
        <v>716.20596928959469</v>
      </c>
      <c r="R18" s="101">
        <f t="shared" si="57"/>
        <v>778.3820341471378</v>
      </c>
      <c r="S18" s="101">
        <f t="shared" si="57"/>
        <v>742.72129756425068</v>
      </c>
      <c r="T18" s="101">
        <f t="shared" si="57"/>
        <v>820.03639407423941</v>
      </c>
      <c r="U18" s="101">
        <f t="shared" si="57"/>
        <v>796.31654129777212</v>
      </c>
      <c r="V18" s="101">
        <f t="shared" si="57"/>
        <v>499.5611660917412</v>
      </c>
      <c r="W18" s="101">
        <f t="shared" ref="W18:Y18" si="58">IF(W45=0,0,W45*W155)</f>
        <v>544.82970337694724</v>
      </c>
      <c r="X18" s="101">
        <f t="shared" si="58"/>
        <v>701.72262504950083</v>
      </c>
      <c r="Y18" s="101">
        <f t="shared" si="58"/>
        <v>735.37276282619291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26523.962710189258</v>
      </c>
      <c r="C19" s="29">
        <f t="shared" si="59"/>
        <v>28212.217360084309</v>
      </c>
      <c r="D19" s="29">
        <f t="shared" si="59"/>
        <v>30331.685777136998</v>
      </c>
      <c r="E19" s="29">
        <f t="shared" si="59"/>
        <v>31648.018789538852</v>
      </c>
      <c r="F19" s="29">
        <f t="shared" si="59"/>
        <v>32634.725860045612</v>
      </c>
      <c r="G19" s="29">
        <f t="shared" si="59"/>
        <v>32767.883827294652</v>
      </c>
      <c r="H19" s="29">
        <f t="shared" si="59"/>
        <v>34256.500302225992</v>
      </c>
      <c r="I19" s="29">
        <f t="shared" si="59"/>
        <v>34627.324775917645</v>
      </c>
      <c r="J19" s="29">
        <f t="shared" si="59"/>
        <v>33323.391401651839</v>
      </c>
      <c r="K19" s="29">
        <f t="shared" si="59"/>
        <v>29941.424168892758</v>
      </c>
      <c r="L19" s="29">
        <f t="shared" ref="L19" si="60">L20+L26</f>
        <v>32803.417928507362</v>
      </c>
      <c r="M19" s="29">
        <f t="shared" ref="M19:V19" si="61">M20+M26</f>
        <v>34000.317662959591</v>
      </c>
      <c r="N19" s="29">
        <f t="shared" si="61"/>
        <v>33312.073467696682</v>
      </c>
      <c r="O19" s="29">
        <f t="shared" si="61"/>
        <v>36286.057917432125</v>
      </c>
      <c r="P19" s="29">
        <f t="shared" si="61"/>
        <v>37971.86071616986</v>
      </c>
      <c r="Q19" s="29">
        <f t="shared" si="61"/>
        <v>43722.698346720077</v>
      </c>
      <c r="R19" s="29">
        <f t="shared" si="61"/>
        <v>44195.951582639333</v>
      </c>
      <c r="S19" s="29">
        <f t="shared" si="61"/>
        <v>43973.524127716511</v>
      </c>
      <c r="T19" s="29">
        <f t="shared" si="61"/>
        <v>44358.134210183191</v>
      </c>
      <c r="U19" s="29">
        <f t="shared" si="61"/>
        <v>46563.193841631757</v>
      </c>
      <c r="V19" s="29">
        <f t="shared" si="61"/>
        <v>52604.211039049442</v>
      </c>
      <c r="W19" s="29">
        <f t="shared" ref="W19:Y19" si="62">W20+W26</f>
        <v>56024.51048993216</v>
      </c>
      <c r="X19" s="29">
        <f t="shared" si="62"/>
        <v>58486.202706229356</v>
      </c>
      <c r="Y19" s="29">
        <f t="shared" si="62"/>
        <v>55305.879958691075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206.73715044133394</v>
      </c>
      <c r="C20" s="152">
        <f t="shared" si="63"/>
        <v>240.16666215014288</v>
      </c>
      <c r="D20" s="152">
        <f t="shared" si="63"/>
        <v>284.11504992880538</v>
      </c>
      <c r="E20" s="152">
        <f t="shared" si="63"/>
        <v>335.3081592112095</v>
      </c>
      <c r="F20" s="152">
        <f t="shared" si="63"/>
        <v>396.29298925476411</v>
      </c>
      <c r="G20" s="152">
        <f t="shared" si="63"/>
        <v>479.13943640376834</v>
      </c>
      <c r="H20" s="152">
        <f t="shared" si="63"/>
        <v>559.03527910861658</v>
      </c>
      <c r="I20" s="152">
        <f t="shared" si="63"/>
        <v>642.73452502868861</v>
      </c>
      <c r="J20" s="152">
        <f t="shared" si="63"/>
        <v>765.04329187090184</v>
      </c>
      <c r="K20" s="152">
        <f t="shared" si="63"/>
        <v>782.18011397637724</v>
      </c>
      <c r="L20" s="152">
        <f t="shared" ref="L20" si="64">SUM(L21:L25)</f>
        <v>823.76842491212676</v>
      </c>
      <c r="M20" s="152">
        <f t="shared" ref="M20:V20" si="65">SUM(M21:M25)</f>
        <v>838.11991628971145</v>
      </c>
      <c r="N20" s="152">
        <f t="shared" si="65"/>
        <v>849.65034273318975</v>
      </c>
      <c r="O20" s="152">
        <f t="shared" si="65"/>
        <v>877.3556261492073</v>
      </c>
      <c r="P20" s="152">
        <f t="shared" si="65"/>
        <v>965.40727780265763</v>
      </c>
      <c r="Q20" s="152">
        <f t="shared" si="65"/>
        <v>1049.0945529087505</v>
      </c>
      <c r="R20" s="152">
        <f t="shared" si="65"/>
        <v>882.72158204362665</v>
      </c>
      <c r="S20" s="152">
        <f t="shared" si="65"/>
        <v>899.48005424162</v>
      </c>
      <c r="T20" s="152">
        <f t="shared" si="65"/>
        <v>909.13421018319082</v>
      </c>
      <c r="U20" s="152">
        <f t="shared" si="65"/>
        <v>914.19384163175584</v>
      </c>
      <c r="V20" s="152">
        <f t="shared" si="65"/>
        <v>894.21103904944266</v>
      </c>
      <c r="W20" s="152">
        <f t="shared" ref="W20:Y20" si="66">SUM(W21:W25)</f>
        <v>909.51048993216261</v>
      </c>
      <c r="X20" s="152">
        <f t="shared" si="66"/>
        <v>918.2027062293572</v>
      </c>
      <c r="Y20" s="152">
        <f t="shared" si="66"/>
        <v>941.87995869107408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37.555190878208521</v>
      </c>
      <c r="C21" s="87">
        <f t="shared" si="67"/>
        <v>41.786920086287338</v>
      </c>
      <c r="D21" s="87">
        <f t="shared" si="67"/>
        <v>47.581617790136185</v>
      </c>
      <c r="E21" s="87">
        <f t="shared" si="67"/>
        <v>47.727787115580263</v>
      </c>
      <c r="F21" s="87">
        <f t="shared" si="67"/>
        <v>49.824686804144243</v>
      </c>
      <c r="G21" s="87">
        <f t="shared" si="67"/>
        <v>55.042925954082868</v>
      </c>
      <c r="H21" s="87">
        <f t="shared" si="67"/>
        <v>64.541713958666094</v>
      </c>
      <c r="I21" s="87">
        <f t="shared" si="67"/>
        <v>73.82920119521448</v>
      </c>
      <c r="J21" s="87">
        <f t="shared" si="67"/>
        <v>82.959116900652134</v>
      </c>
      <c r="K21" s="87">
        <f t="shared" si="67"/>
        <v>81.08800049187218</v>
      </c>
      <c r="L21" s="87">
        <f t="shared" ref="L21" si="68">IF(L48=0,0,L48*L158)</f>
        <v>79.993860028386877</v>
      </c>
      <c r="M21" s="87">
        <f t="shared" ref="M21:V21" si="69">IF(M48=0,0,M48*M158)</f>
        <v>77.904406042704423</v>
      </c>
      <c r="N21" s="87">
        <f t="shared" si="69"/>
        <v>75.477758747479299</v>
      </c>
      <c r="O21" s="87">
        <f t="shared" si="69"/>
        <v>75.84773479888544</v>
      </c>
      <c r="P21" s="87">
        <f t="shared" si="69"/>
        <v>78.813653321301473</v>
      </c>
      <c r="Q21" s="87">
        <f t="shared" si="69"/>
        <v>83.648276506244073</v>
      </c>
      <c r="R21" s="87">
        <f t="shared" si="69"/>
        <v>85.254490927351782</v>
      </c>
      <c r="S21" s="87">
        <f t="shared" si="69"/>
        <v>85.405395355519076</v>
      </c>
      <c r="T21" s="87">
        <f t="shared" si="69"/>
        <v>85.930384289837932</v>
      </c>
      <c r="U21" s="87">
        <f t="shared" si="69"/>
        <v>86.212068143996504</v>
      </c>
      <c r="V21" s="87">
        <f t="shared" si="69"/>
        <v>85.64589426314231</v>
      </c>
      <c r="W21" s="87">
        <f t="shared" ref="W21:Y21" si="70">IF(W48=0,0,W48*W158)</f>
        <v>86.101892601907167</v>
      </c>
      <c r="X21" s="87">
        <f t="shared" si="70"/>
        <v>86.451863598000557</v>
      </c>
      <c r="Y21" s="87">
        <f t="shared" si="70"/>
        <v>87.970871887945052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162.95427550383133</v>
      </c>
      <c r="C22" s="87">
        <f t="shared" si="71"/>
        <v>192.16938488515822</v>
      </c>
      <c r="D22" s="87">
        <f t="shared" si="71"/>
        <v>230.1616543390268</v>
      </c>
      <c r="E22" s="87">
        <f t="shared" si="71"/>
        <v>281.08389538150817</v>
      </c>
      <c r="F22" s="87">
        <f t="shared" si="71"/>
        <v>339.66223343113438</v>
      </c>
      <c r="G22" s="87">
        <f t="shared" si="71"/>
        <v>417.06826483896884</v>
      </c>
      <c r="H22" s="87">
        <f t="shared" si="71"/>
        <v>486.98300478358874</v>
      </c>
      <c r="I22" s="87">
        <f t="shared" si="71"/>
        <v>560.85591962846399</v>
      </c>
      <c r="J22" s="87">
        <f t="shared" si="71"/>
        <v>674.13628196422258</v>
      </c>
      <c r="K22" s="87">
        <f t="shared" si="71"/>
        <v>692.89576626073608</v>
      </c>
      <c r="L22" s="87">
        <f t="shared" ref="L22" si="72">IF(L49=0,0,L49*L159)</f>
        <v>735.77409366860081</v>
      </c>
      <c r="M22" s="87">
        <f t="shared" ref="M22:V22" si="73">IF(M49=0,0,M49*M159)</f>
        <v>752.06604592587519</v>
      </c>
      <c r="N22" s="87">
        <f t="shared" si="73"/>
        <v>764.58559798359227</v>
      </c>
      <c r="O22" s="87">
        <f t="shared" si="73"/>
        <v>791.07686576272067</v>
      </c>
      <c r="P22" s="87">
        <f t="shared" si="73"/>
        <v>873.6727547690233</v>
      </c>
      <c r="Q22" s="87">
        <f t="shared" si="73"/>
        <v>948.79811830555786</v>
      </c>
      <c r="R22" s="87">
        <f t="shared" si="73"/>
        <v>776.91783951077889</v>
      </c>
      <c r="S22" s="87">
        <f t="shared" si="73"/>
        <v>790.0929688078694</v>
      </c>
      <c r="T22" s="87">
        <f t="shared" si="73"/>
        <v>796.2759352120155</v>
      </c>
      <c r="U22" s="87">
        <f t="shared" si="73"/>
        <v>799.01497091780038</v>
      </c>
      <c r="V22" s="87">
        <f t="shared" si="73"/>
        <v>779.94662929530091</v>
      </c>
      <c r="W22" s="87">
        <f t="shared" ref="W22:Y22" si="74">IF(W49=0,0,W49*W159)</f>
        <v>792.10752641004433</v>
      </c>
      <c r="X22" s="87">
        <f t="shared" si="74"/>
        <v>801.41959665874288</v>
      </c>
      <c r="Y22" s="87">
        <f t="shared" si="74"/>
        <v>826.08289172939624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6.2276840592940976</v>
      </c>
      <c r="C23" s="87">
        <f t="shared" si="75"/>
        <v>6.2103571786973246</v>
      </c>
      <c r="D23" s="87">
        <f t="shared" si="75"/>
        <v>6.3717777996424401</v>
      </c>
      <c r="E23" s="87">
        <f t="shared" si="75"/>
        <v>6.496476714121048</v>
      </c>
      <c r="F23" s="87">
        <f t="shared" si="75"/>
        <v>6.8060690194855109</v>
      </c>
      <c r="G23" s="87">
        <f t="shared" si="75"/>
        <v>7.0282456107166347</v>
      </c>
      <c r="H23" s="87">
        <f t="shared" si="75"/>
        <v>7.5105603663617231</v>
      </c>
      <c r="I23" s="87">
        <f t="shared" si="75"/>
        <v>8.049404205010136</v>
      </c>
      <c r="J23" s="87">
        <f t="shared" si="75"/>
        <v>7.8927260103333552</v>
      </c>
      <c r="K23" s="87">
        <f t="shared" si="75"/>
        <v>8.1383214919474813</v>
      </c>
      <c r="L23" s="87">
        <f t="shared" ref="L23" si="76">IF(L50=0,0,L50*L160)</f>
        <v>7.9366308744788876</v>
      </c>
      <c r="M23" s="87">
        <f t="shared" ref="M23:V23" si="77">IF(M50=0,0,M50*M160)</f>
        <v>8.079903156291568</v>
      </c>
      <c r="N23" s="87">
        <f t="shared" si="77"/>
        <v>9.0273754594496456</v>
      </c>
      <c r="O23" s="87">
        <f t="shared" si="77"/>
        <v>9.4674121138186109</v>
      </c>
      <c r="P23" s="87">
        <f t="shared" si="77"/>
        <v>10.598825993784416</v>
      </c>
      <c r="Q23" s="87">
        <f t="shared" si="77"/>
        <v>10.616123937062106</v>
      </c>
      <c r="R23" s="87">
        <f t="shared" si="77"/>
        <v>11.398816892008822</v>
      </c>
      <c r="S23" s="87">
        <f t="shared" si="77"/>
        <v>11.179861049362657</v>
      </c>
      <c r="T23" s="87">
        <f t="shared" si="77"/>
        <v>11.036380315480248</v>
      </c>
      <c r="U23" s="87">
        <f t="shared" si="77"/>
        <v>10.052870858343995</v>
      </c>
      <c r="V23" s="87">
        <f t="shared" si="77"/>
        <v>8.990728616646301</v>
      </c>
      <c r="W23" s="87">
        <f t="shared" ref="W23:Y23" si="78">IF(W50=0,0,W50*W160)</f>
        <v>8.0785253981802896</v>
      </c>
      <c r="X23" s="87">
        <f t="shared" si="78"/>
        <v>7.0835592666753993</v>
      </c>
      <c r="Y23" s="87">
        <f t="shared" si="78"/>
        <v>6.056749749578926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0.46017760026929461</v>
      </c>
      <c r="O24" s="87">
        <f t="shared" si="81"/>
        <v>0.84693053030016885</v>
      </c>
      <c r="P24" s="87">
        <f t="shared" si="81"/>
        <v>2.1892635351075196</v>
      </c>
      <c r="Q24" s="87">
        <f t="shared" si="81"/>
        <v>5.8762902274777602</v>
      </c>
      <c r="R24" s="87">
        <f t="shared" si="81"/>
        <v>8.9673628230713298</v>
      </c>
      <c r="S24" s="87">
        <f t="shared" si="81"/>
        <v>12.580699132814651</v>
      </c>
      <c r="T24" s="87">
        <f t="shared" si="81"/>
        <v>15.586802497151279</v>
      </c>
      <c r="U24" s="87">
        <f t="shared" si="81"/>
        <v>18.427823934922923</v>
      </c>
      <c r="V24" s="87">
        <f t="shared" si="81"/>
        <v>19.015926500987526</v>
      </c>
      <c r="W24" s="87">
        <f t="shared" ref="W24:Y24" si="82">IF(W51=0,0,W51*W161)</f>
        <v>22.168653577360033</v>
      </c>
      <c r="X24" s="87">
        <f t="shared" si="82"/>
        <v>22.017930785231087</v>
      </c>
      <c r="Y24" s="87">
        <f t="shared" si="82"/>
        <v>19.813176345787898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5.516699569373E-2</v>
      </c>
      <c r="K25" s="87">
        <f t="shared" si="83"/>
        <v>5.8025731821395685E-2</v>
      </c>
      <c r="L25" s="87">
        <f t="shared" ref="L25" si="84">IF(L52=0,0,L52*L162)</f>
        <v>6.3840340660300449E-2</v>
      </c>
      <c r="M25" s="87">
        <f t="shared" ref="M25:V25" si="85">IF(M52=0,0,M52*M162)</f>
        <v>6.956116484026599E-2</v>
      </c>
      <c r="N25" s="87">
        <f t="shared" si="85"/>
        <v>9.9432942399296037E-2</v>
      </c>
      <c r="O25" s="87">
        <f t="shared" si="85"/>
        <v>0.11668294348244711</v>
      </c>
      <c r="P25" s="87">
        <f t="shared" si="85"/>
        <v>0.1327801834409281</v>
      </c>
      <c r="Q25" s="87">
        <f t="shared" si="85"/>
        <v>0.15574393240872902</v>
      </c>
      <c r="R25" s="87">
        <f t="shared" si="85"/>
        <v>0.18307189041598784</v>
      </c>
      <c r="S25" s="87">
        <f t="shared" si="85"/>
        <v>0.22112989605423242</v>
      </c>
      <c r="T25" s="87">
        <f t="shared" si="85"/>
        <v>0.30470786870575445</v>
      </c>
      <c r="U25" s="87">
        <f t="shared" si="85"/>
        <v>0.48610777669207006</v>
      </c>
      <c r="V25" s="87">
        <f t="shared" si="85"/>
        <v>0.61186037336561094</v>
      </c>
      <c r="W25" s="87">
        <f t="shared" ref="W25:Y25" si="86">IF(W52=0,0,W52*W162)</f>
        <v>1.0538919446707391</v>
      </c>
      <c r="X25" s="87">
        <f t="shared" si="86"/>
        <v>1.2297559207074131</v>
      </c>
      <c r="Y25" s="87">
        <f t="shared" si="86"/>
        <v>1.9562689783659779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26317.225559747923</v>
      </c>
      <c r="C26" s="116">
        <f t="shared" si="87"/>
        <v>27972.050697934166</v>
      </c>
      <c r="D26" s="116">
        <f t="shared" si="87"/>
        <v>30047.570727208193</v>
      </c>
      <c r="E26" s="116">
        <f t="shared" si="87"/>
        <v>31312.710630327641</v>
      </c>
      <c r="F26" s="116">
        <f t="shared" si="87"/>
        <v>32238.432870790846</v>
      </c>
      <c r="G26" s="116">
        <f t="shared" si="87"/>
        <v>32288.744390890883</v>
      </c>
      <c r="H26" s="116">
        <f t="shared" si="87"/>
        <v>33697.465023117373</v>
      </c>
      <c r="I26" s="116">
        <f t="shared" si="87"/>
        <v>33984.590250888956</v>
      </c>
      <c r="J26" s="116">
        <f t="shared" si="87"/>
        <v>32558.348109780938</v>
      </c>
      <c r="K26" s="116">
        <f t="shared" si="87"/>
        <v>29159.24405491638</v>
      </c>
      <c r="L26" s="116">
        <f t="shared" ref="L26" si="88">SUM(L27:L28)</f>
        <v>31979.649503595232</v>
      </c>
      <c r="M26" s="116">
        <f t="shared" ref="M26:V26" si="89">SUM(M27:M28)</f>
        <v>33162.197746669881</v>
      </c>
      <c r="N26" s="116">
        <f t="shared" si="89"/>
        <v>32462.423124963494</v>
      </c>
      <c r="O26" s="116">
        <f t="shared" si="89"/>
        <v>35408.70229128292</v>
      </c>
      <c r="P26" s="116">
        <f t="shared" si="89"/>
        <v>37006.4534383672</v>
      </c>
      <c r="Q26" s="116">
        <f t="shared" si="89"/>
        <v>42673.60379381133</v>
      </c>
      <c r="R26" s="116">
        <f t="shared" si="89"/>
        <v>43313.230000595708</v>
      </c>
      <c r="S26" s="116">
        <f t="shared" si="89"/>
        <v>43074.044073474892</v>
      </c>
      <c r="T26" s="116">
        <f t="shared" si="89"/>
        <v>43449</v>
      </c>
      <c r="U26" s="116">
        <f t="shared" si="89"/>
        <v>45649</v>
      </c>
      <c r="V26" s="116">
        <f t="shared" si="89"/>
        <v>51710</v>
      </c>
      <c r="W26" s="116">
        <f t="shared" ref="W26:Y26" si="90">SUM(W27:W28)</f>
        <v>55115</v>
      </c>
      <c r="X26" s="116">
        <f t="shared" si="90"/>
        <v>57568</v>
      </c>
      <c r="Y26" s="116">
        <f t="shared" si="90"/>
        <v>54364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14214</v>
      </c>
      <c r="C27" s="101">
        <f t="shared" si="91"/>
        <v>15007</v>
      </c>
      <c r="D27" s="101">
        <f t="shared" si="91"/>
        <v>16318</v>
      </c>
      <c r="E27" s="101">
        <f t="shared" si="91"/>
        <v>17362</v>
      </c>
      <c r="F27" s="101">
        <f t="shared" si="91"/>
        <v>16046</v>
      </c>
      <c r="G27" s="101">
        <f t="shared" si="91"/>
        <v>15518</v>
      </c>
      <c r="H27" s="101">
        <f t="shared" si="91"/>
        <v>16082</v>
      </c>
      <c r="I27" s="101">
        <f t="shared" si="91"/>
        <v>15831</v>
      </c>
      <c r="J27" s="101">
        <f t="shared" si="91"/>
        <v>15748</v>
      </c>
      <c r="K27" s="101">
        <f t="shared" si="91"/>
        <v>13480</v>
      </c>
      <c r="L27" s="101">
        <f t="shared" ref="L27:V27" si="92">IF(L54=0,0,L54*L164)</f>
        <v>14762</v>
      </c>
      <c r="M27" s="101">
        <f t="shared" si="92"/>
        <v>14985</v>
      </c>
      <c r="N27" s="101">
        <f t="shared" si="92"/>
        <v>14403</v>
      </c>
      <c r="O27" s="101">
        <f t="shared" si="92"/>
        <v>15392</v>
      </c>
      <c r="P27" s="101">
        <f t="shared" si="92"/>
        <v>16813</v>
      </c>
      <c r="Q27" s="101">
        <f t="shared" si="92"/>
        <v>21184</v>
      </c>
      <c r="R27" s="101">
        <f t="shared" si="92"/>
        <v>22304</v>
      </c>
      <c r="S27" s="101">
        <f t="shared" si="92"/>
        <v>21899</v>
      </c>
      <c r="T27" s="101">
        <f t="shared" si="92"/>
        <v>23543</v>
      </c>
      <c r="U27" s="101">
        <f t="shared" si="92"/>
        <v>25012</v>
      </c>
      <c r="V27" s="101">
        <f t="shared" si="92"/>
        <v>28271</v>
      </c>
      <c r="W27" s="101">
        <f t="shared" ref="W27:Y27" si="93">IF(W54=0,0,W54*W164)</f>
        <v>29764</v>
      </c>
      <c r="X27" s="101">
        <f t="shared" si="93"/>
        <v>30762</v>
      </c>
      <c r="Y27" s="101">
        <f t="shared" si="93"/>
        <v>28633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12103.225559747923</v>
      </c>
      <c r="C28" s="88">
        <f t="shared" si="94"/>
        <v>12965.050697934166</v>
      </c>
      <c r="D28" s="88">
        <f t="shared" si="94"/>
        <v>13729.570727208191</v>
      </c>
      <c r="E28" s="88">
        <f t="shared" si="94"/>
        <v>13950.710630327641</v>
      </c>
      <c r="F28" s="88">
        <f t="shared" si="94"/>
        <v>16192.432870790846</v>
      </c>
      <c r="G28" s="88">
        <f t="shared" si="94"/>
        <v>16770.744390890883</v>
      </c>
      <c r="H28" s="88">
        <f t="shared" si="94"/>
        <v>17615.465023117373</v>
      </c>
      <c r="I28" s="88">
        <f t="shared" si="94"/>
        <v>18153.590250888956</v>
      </c>
      <c r="J28" s="88">
        <f t="shared" si="94"/>
        <v>16810.348109780938</v>
      </c>
      <c r="K28" s="88">
        <f t="shared" si="94"/>
        <v>15679.24405491638</v>
      </c>
      <c r="L28" s="88">
        <f t="shared" ref="L28:V28" si="95">IF(L55=0,0,L55*L165)</f>
        <v>17217.649503595232</v>
      </c>
      <c r="M28" s="88">
        <f t="shared" si="95"/>
        <v>18177.197746669881</v>
      </c>
      <c r="N28" s="88">
        <f t="shared" si="95"/>
        <v>18059.423124963494</v>
      </c>
      <c r="O28" s="88">
        <f t="shared" si="95"/>
        <v>20016.70229128292</v>
      </c>
      <c r="P28" s="88">
        <f t="shared" si="95"/>
        <v>20193.4534383672</v>
      </c>
      <c r="Q28" s="88">
        <f t="shared" si="95"/>
        <v>21489.60379381133</v>
      </c>
      <c r="R28" s="88">
        <f t="shared" si="95"/>
        <v>21009.230000595708</v>
      </c>
      <c r="S28" s="88">
        <f t="shared" si="95"/>
        <v>21175.044073474892</v>
      </c>
      <c r="T28" s="88">
        <f t="shared" si="95"/>
        <v>19906</v>
      </c>
      <c r="U28" s="88">
        <f t="shared" si="95"/>
        <v>20637</v>
      </c>
      <c r="V28" s="88">
        <f t="shared" si="95"/>
        <v>23439</v>
      </c>
      <c r="W28" s="88">
        <f t="shared" ref="W28:Y28" si="96">IF(W55=0,0,W55*W165)</f>
        <v>25351</v>
      </c>
      <c r="X28" s="88">
        <f t="shared" si="96"/>
        <v>26806</v>
      </c>
      <c r="Y28" s="88">
        <f t="shared" si="96"/>
        <v>25731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37389.782736445741</v>
      </c>
      <c r="C30" s="62">
        <f t="shared" ref="C30:V30" si="98">C31+C46</f>
        <v>40741.992977790789</v>
      </c>
      <c r="D30" s="62">
        <f t="shared" si="98"/>
        <v>43171.758854397929</v>
      </c>
      <c r="E30" s="62">
        <f t="shared" si="98"/>
        <v>49187.123138965864</v>
      </c>
      <c r="F30" s="62">
        <f t="shared" si="98"/>
        <v>51391.685213213284</v>
      </c>
      <c r="G30" s="62">
        <f t="shared" si="98"/>
        <v>54219.205480112105</v>
      </c>
      <c r="H30" s="62">
        <f t="shared" si="98"/>
        <v>55391.702569676156</v>
      </c>
      <c r="I30" s="62">
        <f t="shared" si="98"/>
        <v>58215.581258009093</v>
      </c>
      <c r="J30" s="62">
        <f t="shared" si="98"/>
        <v>59213.374065027194</v>
      </c>
      <c r="K30" s="62">
        <f t="shared" si="98"/>
        <v>60030.009749633915</v>
      </c>
      <c r="L30" s="62">
        <f t="shared" si="98"/>
        <v>57200.289831378621</v>
      </c>
      <c r="M30" s="62">
        <f t="shared" si="98"/>
        <v>58292.344780700842</v>
      </c>
      <c r="N30" s="62">
        <f t="shared" si="98"/>
        <v>58072.746751405313</v>
      </c>
      <c r="O30" s="62">
        <f t="shared" si="98"/>
        <v>58985.877248629644</v>
      </c>
      <c r="P30" s="62">
        <f t="shared" si="98"/>
        <v>61329.3545668468</v>
      </c>
      <c r="Q30" s="62">
        <f t="shared" si="98"/>
        <v>64226.457515384667</v>
      </c>
      <c r="R30" s="62">
        <f t="shared" si="98"/>
        <v>66652.42926238713</v>
      </c>
      <c r="S30" s="62">
        <f t="shared" si="98"/>
        <v>68637.443936950556</v>
      </c>
      <c r="T30" s="62">
        <f t="shared" si="98"/>
        <v>70498.993739751328</v>
      </c>
      <c r="U30" s="62">
        <f t="shared" si="98"/>
        <v>72945.359698690561</v>
      </c>
      <c r="V30" s="62">
        <f t="shared" si="98"/>
        <v>71150.615884317987</v>
      </c>
      <c r="W30" s="62">
        <f t="shared" ref="W30:Y30" si="99">W31+W46</f>
        <v>77750.721189675009</v>
      </c>
      <c r="X30" s="62">
        <f t="shared" si="99"/>
        <v>80087.046527492959</v>
      </c>
      <c r="Y30" s="62">
        <f t="shared" si="99"/>
        <v>82046.533745059482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33657.849496773953</v>
      </c>
      <c r="C31" s="29">
        <f t="shared" ref="C31:V31" si="101">C32+C33+C40</f>
        <v>36467.668876714677</v>
      </c>
      <c r="D31" s="29">
        <f t="shared" si="101"/>
        <v>38299.308520669547</v>
      </c>
      <c r="E31" s="29">
        <f t="shared" si="101"/>
        <v>43602.664342264718</v>
      </c>
      <c r="F31" s="29">
        <f t="shared" si="101"/>
        <v>45028.194544432285</v>
      </c>
      <c r="G31" s="29">
        <f t="shared" si="101"/>
        <v>46857.07360852031</v>
      </c>
      <c r="H31" s="29">
        <f t="shared" si="101"/>
        <v>47550.158585589226</v>
      </c>
      <c r="I31" s="29">
        <f t="shared" si="101"/>
        <v>49831.873635922573</v>
      </c>
      <c r="J31" s="29">
        <f t="shared" si="101"/>
        <v>50164.809264019052</v>
      </c>
      <c r="K31" s="29">
        <f t="shared" si="101"/>
        <v>51386.030354885523</v>
      </c>
      <c r="L31" s="29">
        <f t="shared" si="101"/>
        <v>48169.817227310297</v>
      </c>
      <c r="M31" s="29">
        <f t="shared" si="101"/>
        <v>49103.333368541418</v>
      </c>
      <c r="N31" s="29">
        <f t="shared" si="101"/>
        <v>48897.790780153839</v>
      </c>
      <c r="O31" s="29">
        <f t="shared" si="101"/>
        <v>49348.598008314533</v>
      </c>
      <c r="P31" s="29">
        <f t="shared" si="101"/>
        <v>50784.761711608655</v>
      </c>
      <c r="Q31" s="29">
        <f t="shared" si="101"/>
        <v>52482.352359276556</v>
      </c>
      <c r="R31" s="29">
        <f t="shared" si="101"/>
        <v>55925.836852060449</v>
      </c>
      <c r="S31" s="29">
        <f t="shared" si="101"/>
        <v>57625.753414486921</v>
      </c>
      <c r="T31" s="29">
        <f t="shared" si="101"/>
        <v>59391.589484103599</v>
      </c>
      <c r="U31" s="29">
        <f t="shared" si="101"/>
        <v>61700.832056738232</v>
      </c>
      <c r="V31" s="29">
        <f t="shared" si="101"/>
        <v>59581.782862182947</v>
      </c>
      <c r="W31" s="29">
        <f t="shared" ref="W31:Y31" si="102">W32+W33+W40</f>
        <v>65588.101670278324</v>
      </c>
      <c r="X31" s="29">
        <f t="shared" si="102"/>
        <v>67901.139694453261</v>
      </c>
      <c r="Y31" s="29">
        <f t="shared" si="102"/>
        <v>69765.16774784225</v>
      </c>
      <c r="DA31" s="173" t="s">
        <v>475</v>
      </c>
    </row>
    <row r="32" spans="1:105" ht="11.45" customHeight="1" x14ac:dyDescent="0.25">
      <c r="A32" s="136" t="s">
        <v>173</v>
      </c>
      <c r="B32" s="152">
        <v>1308</v>
      </c>
      <c r="C32" s="152">
        <v>1248</v>
      </c>
      <c r="D32" s="152">
        <v>1220</v>
      </c>
      <c r="E32" s="152">
        <v>1216</v>
      </c>
      <c r="F32" s="152">
        <v>1212</v>
      </c>
      <c r="G32" s="152">
        <v>1255.5999999999999</v>
      </c>
      <c r="H32" s="152">
        <v>1291.782419923104</v>
      </c>
      <c r="I32" s="152">
        <v>1338.5869458844097</v>
      </c>
      <c r="J32" s="152">
        <v>1379.1029699695405</v>
      </c>
      <c r="K32" s="152">
        <v>1392.1249137646314</v>
      </c>
      <c r="L32" s="152">
        <v>1417.8878613059337</v>
      </c>
      <c r="M32" s="152">
        <v>1442.2330073375992</v>
      </c>
      <c r="N32" s="152">
        <v>1482.1047696580656</v>
      </c>
      <c r="O32" s="152">
        <v>1482.4518797272754</v>
      </c>
      <c r="P32" s="152">
        <v>1508.631938231106</v>
      </c>
      <c r="Q32" s="152">
        <v>1565.9407837433221</v>
      </c>
      <c r="R32" s="152">
        <v>1607.4182862573646</v>
      </c>
      <c r="S32" s="152">
        <v>1516.9551252998886</v>
      </c>
      <c r="T32" s="152">
        <v>1446.2393654328225</v>
      </c>
      <c r="U32" s="152">
        <v>1535.6721716031655</v>
      </c>
      <c r="V32" s="152">
        <v>1375.4178720725604</v>
      </c>
      <c r="W32" s="152">
        <v>1424.4593103975085</v>
      </c>
      <c r="X32" s="152">
        <v>1444.0888898105193</v>
      </c>
      <c r="Y32" s="152">
        <v>1559.2270077931246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31633.049496773951</v>
      </c>
      <c r="C33" s="116">
        <f t="shared" ref="C33:V33" si="104">SUM(C34:C39)</f>
        <v>34421.618876714674</v>
      </c>
      <c r="D33" s="116">
        <f t="shared" si="104"/>
        <v>36318.19488128199</v>
      </c>
      <c r="E33" s="116">
        <f t="shared" si="104"/>
        <v>41684.505974868633</v>
      </c>
      <c r="F33" s="116">
        <f t="shared" si="104"/>
        <v>43168.170074808375</v>
      </c>
      <c r="G33" s="116">
        <f t="shared" si="104"/>
        <v>44962.473608520311</v>
      </c>
      <c r="H33" s="116">
        <f t="shared" si="104"/>
        <v>45600.134566207766</v>
      </c>
      <c r="I33" s="116">
        <f t="shared" si="104"/>
        <v>47828.088719195301</v>
      </c>
      <c r="J33" s="116">
        <f t="shared" si="104"/>
        <v>48118.459826917562</v>
      </c>
      <c r="K33" s="116">
        <f t="shared" si="104"/>
        <v>49321.424472776314</v>
      </c>
      <c r="L33" s="116">
        <f t="shared" si="104"/>
        <v>46056.124942110306</v>
      </c>
      <c r="M33" s="116">
        <f t="shared" si="104"/>
        <v>46999.721284701183</v>
      </c>
      <c r="N33" s="116">
        <f t="shared" si="104"/>
        <v>46775.418478990068</v>
      </c>
      <c r="O33" s="116">
        <f t="shared" si="104"/>
        <v>47209.412704359973</v>
      </c>
      <c r="P33" s="116">
        <f t="shared" si="104"/>
        <v>48617.9981829608</v>
      </c>
      <c r="Q33" s="116">
        <f t="shared" si="104"/>
        <v>50284.613100195798</v>
      </c>
      <c r="R33" s="116">
        <f t="shared" si="104"/>
        <v>53691.767343823711</v>
      </c>
      <c r="S33" s="116">
        <f t="shared" si="104"/>
        <v>55451.763889598013</v>
      </c>
      <c r="T33" s="116">
        <f t="shared" si="104"/>
        <v>57267.208061817197</v>
      </c>
      <c r="U33" s="116">
        <f t="shared" si="104"/>
        <v>59490.437715736436</v>
      </c>
      <c r="V33" s="116">
        <f t="shared" si="104"/>
        <v>57707.178252836675</v>
      </c>
      <c r="W33" s="116">
        <f t="shared" ref="W33:Y33" si="105">SUM(W34:W39)</f>
        <v>63680.66147276252</v>
      </c>
      <c r="X33" s="116">
        <f t="shared" si="105"/>
        <v>65889.354468869933</v>
      </c>
      <c r="Y33" s="116">
        <f t="shared" si="105"/>
        <v>67641.589026384027</v>
      </c>
      <c r="DA33" s="176" t="s">
        <v>477</v>
      </c>
    </row>
    <row r="34" spans="1:105" ht="11.45" customHeight="1" x14ac:dyDescent="0.25">
      <c r="A34" s="111" t="s">
        <v>110</v>
      </c>
      <c r="B34" s="87">
        <v>23624.908200383179</v>
      </c>
      <c r="C34" s="87">
        <v>24515.740802425913</v>
      </c>
      <c r="D34" s="87">
        <v>25012.595406911347</v>
      </c>
      <c r="E34" s="87">
        <v>27574.495512679401</v>
      </c>
      <c r="F34" s="87">
        <v>27669.152883184761</v>
      </c>
      <c r="G34" s="87">
        <v>27300.757469606971</v>
      </c>
      <c r="H34" s="87">
        <v>27108.201557989036</v>
      </c>
      <c r="I34" s="87">
        <v>28417.369413589797</v>
      </c>
      <c r="J34" s="87">
        <v>27845.818675848448</v>
      </c>
      <c r="K34" s="87">
        <v>27684.137794158312</v>
      </c>
      <c r="L34" s="87">
        <v>25576.703417615106</v>
      </c>
      <c r="M34" s="87">
        <v>24817.384228041028</v>
      </c>
      <c r="N34" s="87">
        <v>23266.799032911389</v>
      </c>
      <c r="O34" s="87">
        <v>21983.403060463577</v>
      </c>
      <c r="P34" s="87">
        <v>22189.665372815693</v>
      </c>
      <c r="Q34" s="87">
        <v>22787.629052792185</v>
      </c>
      <c r="R34" s="87">
        <v>23688.325524082211</v>
      </c>
      <c r="S34" s="87">
        <v>24141.621812502286</v>
      </c>
      <c r="T34" s="87">
        <v>24755.291246533001</v>
      </c>
      <c r="U34" s="87">
        <v>25347.646718301305</v>
      </c>
      <c r="V34" s="87">
        <v>23223.847274129846</v>
      </c>
      <c r="W34" s="87">
        <v>24422.581637238723</v>
      </c>
      <c r="X34" s="87">
        <v>25701.072902745931</v>
      </c>
      <c r="Y34" s="87">
        <v>27540.95712062981</v>
      </c>
      <c r="DA34" s="171" t="s">
        <v>478</v>
      </c>
    </row>
    <row r="35" spans="1:105" ht="11.45" customHeight="1" x14ac:dyDescent="0.25">
      <c r="A35" s="111" t="s">
        <v>111</v>
      </c>
      <c r="B35" s="87">
        <v>7375.5120333900813</v>
      </c>
      <c r="C35" s="87">
        <v>9255.0350502671536</v>
      </c>
      <c r="D35" s="87">
        <v>10635.672939897991</v>
      </c>
      <c r="E35" s="87">
        <v>13354.75845025904</v>
      </c>
      <c r="F35" s="87">
        <v>14701.373879867613</v>
      </c>
      <c r="G35" s="87">
        <v>16830.620865531095</v>
      </c>
      <c r="H35" s="87">
        <v>17601.808452520134</v>
      </c>
      <c r="I35" s="87">
        <v>18446.711856755341</v>
      </c>
      <c r="J35" s="87">
        <v>19327.528334410821</v>
      </c>
      <c r="K35" s="87">
        <v>20657.823596706054</v>
      </c>
      <c r="L35" s="87">
        <v>19530.095866307227</v>
      </c>
      <c r="M35" s="87">
        <v>21215.647154894607</v>
      </c>
      <c r="N35" s="87">
        <v>22444.553379673634</v>
      </c>
      <c r="O35" s="87">
        <v>24115.894959027151</v>
      </c>
      <c r="P35" s="87">
        <v>25202.755870238558</v>
      </c>
      <c r="Q35" s="87">
        <v>26240.476278479713</v>
      </c>
      <c r="R35" s="87">
        <v>28691.86632055814</v>
      </c>
      <c r="S35" s="87">
        <v>30053.675130069885</v>
      </c>
      <c r="T35" s="87">
        <v>31260.596209572519</v>
      </c>
      <c r="U35" s="87">
        <v>32888.139590494931</v>
      </c>
      <c r="V35" s="87">
        <v>33323.774487207294</v>
      </c>
      <c r="W35" s="87">
        <v>38003.670282772422</v>
      </c>
      <c r="X35" s="87">
        <v>38842.671755455551</v>
      </c>
      <c r="Y35" s="87">
        <v>38894.35417150001</v>
      </c>
      <c r="DA35" s="171" t="s">
        <v>479</v>
      </c>
    </row>
    <row r="36" spans="1:105" ht="11.45" customHeight="1" x14ac:dyDescent="0.25">
      <c r="A36" s="111" t="s">
        <v>112</v>
      </c>
      <c r="B36" s="87">
        <v>632.62926300068978</v>
      </c>
      <c r="C36" s="87">
        <v>650.84302402160313</v>
      </c>
      <c r="D36" s="87">
        <v>669.92653447265343</v>
      </c>
      <c r="E36" s="87">
        <v>755.25201193018847</v>
      </c>
      <c r="F36" s="87">
        <v>797.64331175600182</v>
      </c>
      <c r="G36" s="87">
        <v>831.09527338224063</v>
      </c>
      <c r="H36" s="87">
        <v>890.12455569859389</v>
      </c>
      <c r="I36" s="87">
        <v>964.00744885016229</v>
      </c>
      <c r="J36" s="87">
        <v>934.95115080474011</v>
      </c>
      <c r="K36" s="87">
        <v>963.79464657083122</v>
      </c>
      <c r="L36" s="87">
        <v>928.42976078055199</v>
      </c>
      <c r="M36" s="87">
        <v>939.70271106066218</v>
      </c>
      <c r="N36" s="87">
        <v>1030.0004640168804</v>
      </c>
      <c r="O36" s="87">
        <v>1060.0316767206575</v>
      </c>
      <c r="P36" s="87">
        <v>1161.5492995694503</v>
      </c>
      <c r="Q36" s="87">
        <v>1162.1169174679158</v>
      </c>
      <c r="R36" s="87">
        <v>1149.0699817370228</v>
      </c>
      <c r="S36" s="87">
        <v>1047.5452272811765</v>
      </c>
      <c r="T36" s="87">
        <v>992.91248973034635</v>
      </c>
      <c r="U36" s="87">
        <v>958.32888021240376</v>
      </c>
      <c r="V36" s="87">
        <v>828.25967881066993</v>
      </c>
      <c r="W36" s="87">
        <v>842.9041191676971</v>
      </c>
      <c r="X36" s="87">
        <v>859.00879799113204</v>
      </c>
      <c r="Y36" s="87">
        <v>603.29609485687354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10.161665853548573</v>
      </c>
      <c r="K37" s="87">
        <v>15.668435341115545</v>
      </c>
      <c r="L37" s="87">
        <v>20.834429673677267</v>
      </c>
      <c r="M37" s="87">
        <v>26.351261284317282</v>
      </c>
      <c r="N37" s="87">
        <v>33.169220396666489</v>
      </c>
      <c r="O37" s="87">
        <v>47.418102524677906</v>
      </c>
      <c r="P37" s="87">
        <v>59.035330490028173</v>
      </c>
      <c r="Q37" s="87">
        <v>85.178989996896533</v>
      </c>
      <c r="R37" s="87">
        <v>145.43936001292224</v>
      </c>
      <c r="S37" s="87">
        <v>180.37907315964898</v>
      </c>
      <c r="T37" s="87">
        <v>220.23670730602583</v>
      </c>
      <c r="U37" s="87">
        <v>246.07570213559669</v>
      </c>
      <c r="V37" s="87">
        <v>244.43219223966338</v>
      </c>
      <c r="W37" s="87">
        <v>271.28416755991663</v>
      </c>
      <c r="X37" s="87">
        <v>278.1578865921004</v>
      </c>
      <c r="Y37" s="87">
        <v>288.95328928818373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0.12517000621056726</v>
      </c>
      <c r="O38" s="87">
        <v>0.22145212730763877</v>
      </c>
      <c r="P38" s="87">
        <v>0.69092764926411276</v>
      </c>
      <c r="Q38" s="87">
        <v>1.8525000282641957</v>
      </c>
      <c r="R38" s="87">
        <v>3.0226086455183911</v>
      </c>
      <c r="S38" s="87">
        <v>4.7457524389856651</v>
      </c>
      <c r="T38" s="87">
        <v>6.7829227911435561</v>
      </c>
      <c r="U38" s="87">
        <v>10.102584426744571</v>
      </c>
      <c r="V38" s="87">
        <v>18.934520570769749</v>
      </c>
      <c r="W38" s="87">
        <v>37.805022531631593</v>
      </c>
      <c r="X38" s="87">
        <v>65.225687663153138</v>
      </c>
      <c r="Y38" s="87">
        <v>83.060656272155839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6.1467733748325565E-2</v>
      </c>
      <c r="M39" s="87">
        <v>0.63592942056845025</v>
      </c>
      <c r="N39" s="87">
        <v>0.77121198528637469</v>
      </c>
      <c r="O39" s="87">
        <v>2.4434534966012618</v>
      </c>
      <c r="P39" s="87">
        <v>4.3013821978017672</v>
      </c>
      <c r="Q39" s="87">
        <v>7.3593614308271755</v>
      </c>
      <c r="R39" s="87">
        <v>14.043548787902768</v>
      </c>
      <c r="S39" s="87">
        <v>23.79689414604222</v>
      </c>
      <c r="T39" s="87">
        <v>31.388485884161483</v>
      </c>
      <c r="U39" s="87">
        <v>40.144240165464268</v>
      </c>
      <c r="V39" s="87">
        <v>67.93009987843196</v>
      </c>
      <c r="W39" s="87">
        <v>102.41624349213107</v>
      </c>
      <c r="X39" s="87">
        <v>143.21743842205581</v>
      </c>
      <c r="Y39" s="87">
        <v>230.96769383699856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716.8</v>
      </c>
      <c r="C40" s="116">
        <f t="shared" ref="C40:V40" si="107">SUM(C41:C45)</f>
        <v>798.05000000000007</v>
      </c>
      <c r="D40" s="116">
        <f t="shared" si="107"/>
        <v>761.11363938756017</v>
      </c>
      <c r="E40" s="116">
        <f t="shared" si="107"/>
        <v>702.15836739608437</v>
      </c>
      <c r="F40" s="116">
        <f t="shared" si="107"/>
        <v>648.02446962391218</v>
      </c>
      <c r="G40" s="116">
        <f t="shared" si="107"/>
        <v>639</v>
      </c>
      <c r="H40" s="116">
        <f t="shared" si="107"/>
        <v>658.241599458358</v>
      </c>
      <c r="I40" s="116">
        <f t="shared" si="107"/>
        <v>665.19797084285904</v>
      </c>
      <c r="J40" s="116">
        <f t="shared" si="107"/>
        <v>667.2464671319442</v>
      </c>
      <c r="K40" s="116">
        <f t="shared" si="107"/>
        <v>672.4809683445809</v>
      </c>
      <c r="L40" s="116">
        <f t="shared" si="107"/>
        <v>695.80442389405869</v>
      </c>
      <c r="M40" s="116">
        <f t="shared" si="107"/>
        <v>661.37907650263412</v>
      </c>
      <c r="N40" s="116">
        <f t="shared" si="107"/>
        <v>640.26753150570903</v>
      </c>
      <c r="O40" s="116">
        <f t="shared" si="107"/>
        <v>656.73342422728786</v>
      </c>
      <c r="P40" s="116">
        <f t="shared" si="107"/>
        <v>658.13159041675056</v>
      </c>
      <c r="Q40" s="116">
        <f t="shared" si="107"/>
        <v>631.79847533743066</v>
      </c>
      <c r="R40" s="116">
        <f t="shared" si="107"/>
        <v>626.65122197937012</v>
      </c>
      <c r="S40" s="116">
        <f t="shared" si="107"/>
        <v>657.03439958902163</v>
      </c>
      <c r="T40" s="116">
        <f t="shared" si="107"/>
        <v>678.14205685357263</v>
      </c>
      <c r="U40" s="116">
        <f t="shared" si="107"/>
        <v>674.72216939862551</v>
      </c>
      <c r="V40" s="116">
        <f t="shared" si="107"/>
        <v>499.18673727371021</v>
      </c>
      <c r="W40" s="116">
        <f t="shared" ref="W40:Y40" si="108">SUM(W41:W45)</f>
        <v>482.98088711829479</v>
      </c>
      <c r="X40" s="116">
        <f t="shared" si="108"/>
        <v>567.69633577281286</v>
      </c>
      <c r="Y40" s="116">
        <f t="shared" si="108"/>
        <v>564.35171366509587</v>
      </c>
      <c r="DA40" s="176" t="s">
        <v>484</v>
      </c>
    </row>
    <row r="41" spans="1:105" ht="11.45" customHeight="1" x14ac:dyDescent="0.25">
      <c r="A41" s="111" t="s">
        <v>110</v>
      </c>
      <c r="B41" s="101">
        <v>50.367583316829872</v>
      </c>
      <c r="C41" s="101">
        <v>49.998529516954015</v>
      </c>
      <c r="D41" s="101">
        <v>50.853022126524472</v>
      </c>
      <c r="E41" s="101">
        <v>43.241044100819941</v>
      </c>
      <c r="F41" s="101">
        <v>37.555153024562976</v>
      </c>
      <c r="G41" s="101">
        <v>34.212977014891699</v>
      </c>
      <c r="H41" s="101">
        <v>33.10474613028947</v>
      </c>
      <c r="I41" s="101">
        <v>32.717427844873725</v>
      </c>
      <c r="J41" s="101">
        <v>31.138547978164091</v>
      </c>
      <c r="K41" s="101">
        <v>29.086303269844922</v>
      </c>
      <c r="L41" s="101">
        <v>29.588948713030064</v>
      </c>
      <c r="M41" s="101">
        <v>27.160456225643987</v>
      </c>
      <c r="N41" s="101">
        <v>24.540529146391464</v>
      </c>
      <c r="O41" s="101">
        <v>24.868734625799636</v>
      </c>
      <c r="P41" s="101">
        <v>25.011500980891689</v>
      </c>
      <c r="Q41" s="101">
        <v>23.080133816667615</v>
      </c>
      <c r="R41" s="101">
        <v>23.406074278059144</v>
      </c>
      <c r="S41" s="101">
        <v>23.203146006227623</v>
      </c>
      <c r="T41" s="101">
        <v>21.506710631742983</v>
      </c>
      <c r="U41" s="101">
        <v>20.377736183512042</v>
      </c>
      <c r="V41" s="101">
        <v>15.707679602640924</v>
      </c>
      <c r="W41" s="101">
        <v>13.994008904772446</v>
      </c>
      <c r="X41" s="101">
        <v>15.272798336954482</v>
      </c>
      <c r="Y41" s="101">
        <v>14.36452671540609</v>
      </c>
      <c r="DA41" s="175" t="s">
        <v>485</v>
      </c>
    </row>
    <row r="42" spans="1:105" ht="11.45" customHeight="1" x14ac:dyDescent="0.25">
      <c r="A42" s="111" t="s">
        <v>111</v>
      </c>
      <c r="B42" s="101">
        <v>629.22715519280905</v>
      </c>
      <c r="C42" s="101">
        <v>708.37653613249961</v>
      </c>
      <c r="D42" s="101">
        <v>667.18659289221034</v>
      </c>
      <c r="E42" s="101">
        <v>613.98033969705159</v>
      </c>
      <c r="F42" s="101">
        <v>562.1597589752231</v>
      </c>
      <c r="G42" s="101">
        <v>557.0879955792409</v>
      </c>
      <c r="H42" s="101">
        <v>577.90510650356953</v>
      </c>
      <c r="I42" s="101">
        <v>592.38034423870226</v>
      </c>
      <c r="J42" s="101">
        <v>596.15607313135968</v>
      </c>
      <c r="K42" s="101">
        <v>603.85522493257395</v>
      </c>
      <c r="L42" s="101">
        <v>626.66047213387083</v>
      </c>
      <c r="M42" s="101">
        <v>594.40463591665116</v>
      </c>
      <c r="N42" s="101">
        <v>575.84202490772816</v>
      </c>
      <c r="O42" s="101">
        <v>593.16612102368276</v>
      </c>
      <c r="P42" s="101">
        <v>592.16670829763734</v>
      </c>
      <c r="Q42" s="101">
        <v>560.95372051978882</v>
      </c>
      <c r="R42" s="101">
        <v>541.09735894592154</v>
      </c>
      <c r="S42" s="101">
        <v>562.1863269873586</v>
      </c>
      <c r="T42" s="101">
        <v>579.15922474912702</v>
      </c>
      <c r="U42" s="101">
        <v>565.99457999281231</v>
      </c>
      <c r="V42" s="101">
        <v>405.68021571289529</v>
      </c>
      <c r="W42" s="101">
        <v>393.31805637903346</v>
      </c>
      <c r="X42" s="101">
        <v>465.34296011770482</v>
      </c>
      <c r="Y42" s="101">
        <v>460.54264468751256</v>
      </c>
      <c r="DA42" s="175" t="s">
        <v>486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9.6590693039519337E-2</v>
      </c>
      <c r="W43" s="101">
        <v>9.0786082371541454E-2</v>
      </c>
      <c r="X43" s="101">
        <v>0.10191077336697957</v>
      </c>
      <c r="Y43" s="101">
        <v>8.4402205969510286E-2</v>
      </c>
      <c r="DA43" s="175" t="s">
        <v>487</v>
      </c>
    </row>
    <row r="44" spans="1:105" ht="11.45" customHeight="1" x14ac:dyDescent="0.25">
      <c r="A44" s="111" t="s">
        <v>113</v>
      </c>
      <c r="B44" s="101">
        <v>8.831197722109966</v>
      </c>
      <c r="C44" s="101">
        <v>10.815420540544588</v>
      </c>
      <c r="D44" s="101">
        <v>14.671280268410083</v>
      </c>
      <c r="E44" s="101">
        <v>16.580370380542689</v>
      </c>
      <c r="F44" s="101">
        <v>19.763597272154811</v>
      </c>
      <c r="G44" s="101">
        <v>19.403540844675543</v>
      </c>
      <c r="H44" s="101">
        <v>17.922329734629912</v>
      </c>
      <c r="I44" s="101">
        <v>10.926218326560164</v>
      </c>
      <c r="J44" s="101">
        <v>10.852445135144995</v>
      </c>
      <c r="K44" s="101">
        <v>10.611338924143364</v>
      </c>
      <c r="L44" s="101">
        <v>10.486604972060084</v>
      </c>
      <c r="M44" s="101">
        <v>10.952319259423829</v>
      </c>
      <c r="N44" s="101">
        <v>10.960862048135231</v>
      </c>
      <c r="O44" s="101">
        <v>10.588448651878776</v>
      </c>
      <c r="P44" s="101">
        <v>12.464198186531902</v>
      </c>
      <c r="Q44" s="101">
        <v>18.527614266878111</v>
      </c>
      <c r="R44" s="101">
        <v>30.392087458511849</v>
      </c>
      <c r="S44" s="101">
        <v>41.289870089811664</v>
      </c>
      <c r="T44" s="101">
        <v>43.872740258002487</v>
      </c>
      <c r="U44" s="101">
        <v>55.688361426701903</v>
      </c>
      <c r="V44" s="101">
        <v>50.029782607222067</v>
      </c>
      <c r="W44" s="101">
        <v>46.177927763567048</v>
      </c>
      <c r="X44" s="101">
        <v>53.758315070469372</v>
      </c>
      <c r="Y44" s="101">
        <v>54.345641032292846</v>
      </c>
      <c r="DA44" s="175" t="s">
        <v>488</v>
      </c>
    </row>
    <row r="45" spans="1:105" ht="11.45" customHeight="1" x14ac:dyDescent="0.25">
      <c r="A45" s="111" t="s">
        <v>115</v>
      </c>
      <c r="B45" s="101">
        <v>28.374063768251006</v>
      </c>
      <c r="C45" s="101">
        <v>28.859513810001875</v>
      </c>
      <c r="D45" s="101">
        <v>28.402744100415291</v>
      </c>
      <c r="E45" s="101">
        <v>28.356613217670105</v>
      </c>
      <c r="F45" s="101">
        <v>28.545960351971285</v>
      </c>
      <c r="G45" s="101">
        <v>28.295486561191847</v>
      </c>
      <c r="H45" s="101">
        <v>29.309417089869072</v>
      </c>
      <c r="I45" s="101">
        <v>29.173980432722804</v>
      </c>
      <c r="J45" s="101">
        <v>29.099400887275465</v>
      </c>
      <c r="K45" s="101">
        <v>28.928101218018586</v>
      </c>
      <c r="L45" s="101">
        <v>29.068398075097743</v>
      </c>
      <c r="M45" s="101">
        <v>28.861665100915204</v>
      </c>
      <c r="N45" s="101">
        <v>28.924115403454106</v>
      </c>
      <c r="O45" s="101">
        <v>28.110119925926583</v>
      </c>
      <c r="P45" s="101">
        <v>28.489182951689568</v>
      </c>
      <c r="Q45" s="101">
        <v>29.237006734096138</v>
      </c>
      <c r="R45" s="101">
        <v>31.7557012968776</v>
      </c>
      <c r="S45" s="101">
        <v>30.355056505623814</v>
      </c>
      <c r="T45" s="101">
        <v>33.6033812147001</v>
      </c>
      <c r="U45" s="101">
        <v>32.66149179559924</v>
      </c>
      <c r="V45" s="101">
        <v>27.672468657912408</v>
      </c>
      <c r="W45" s="101">
        <v>29.400107988550321</v>
      </c>
      <c r="X45" s="101">
        <v>33.220351474317219</v>
      </c>
      <c r="Y45" s="101">
        <v>35.014499023914851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3731.93323967179</v>
      </c>
      <c r="C46" s="29">
        <f t="shared" ref="C46:V46" si="110">C47+C53</f>
        <v>4274.3241010761121</v>
      </c>
      <c r="D46" s="29">
        <f t="shared" si="110"/>
        <v>4872.4503337283832</v>
      </c>
      <c r="E46" s="29">
        <f t="shared" si="110"/>
        <v>5584.4587967011457</v>
      </c>
      <c r="F46" s="29">
        <f t="shared" si="110"/>
        <v>6363.490668780998</v>
      </c>
      <c r="G46" s="29">
        <f t="shared" si="110"/>
        <v>7362.1318715917951</v>
      </c>
      <c r="H46" s="29">
        <f t="shared" si="110"/>
        <v>7841.5439840869294</v>
      </c>
      <c r="I46" s="29">
        <f t="shared" si="110"/>
        <v>8383.7076220865201</v>
      </c>
      <c r="J46" s="29">
        <f t="shared" si="110"/>
        <v>9048.5648010081422</v>
      </c>
      <c r="K46" s="29">
        <f t="shared" si="110"/>
        <v>8643.979394748394</v>
      </c>
      <c r="L46" s="29">
        <f t="shared" si="110"/>
        <v>9030.4726040683236</v>
      </c>
      <c r="M46" s="29">
        <f t="shared" si="110"/>
        <v>9189.0114121594215</v>
      </c>
      <c r="N46" s="29">
        <f t="shared" si="110"/>
        <v>9174.9559712514783</v>
      </c>
      <c r="O46" s="29">
        <f t="shared" si="110"/>
        <v>9637.2792403151107</v>
      </c>
      <c r="P46" s="29">
        <f t="shared" si="110"/>
        <v>10544.592855238145</v>
      </c>
      <c r="Q46" s="29">
        <f t="shared" si="110"/>
        <v>11744.105156108113</v>
      </c>
      <c r="R46" s="29">
        <f t="shared" si="110"/>
        <v>10726.592410326684</v>
      </c>
      <c r="S46" s="29">
        <f t="shared" si="110"/>
        <v>11011.690522463632</v>
      </c>
      <c r="T46" s="29">
        <f t="shared" si="110"/>
        <v>11107.404255647732</v>
      </c>
      <c r="U46" s="29">
        <f t="shared" si="110"/>
        <v>11244.527641952332</v>
      </c>
      <c r="V46" s="29">
        <f t="shared" si="110"/>
        <v>11568.833022135046</v>
      </c>
      <c r="W46" s="29">
        <f t="shared" ref="W46:Y46" si="111">W47+W53</f>
        <v>12162.619519396687</v>
      </c>
      <c r="X46" s="29">
        <f t="shared" si="111"/>
        <v>12185.906833039691</v>
      </c>
      <c r="Y46" s="29">
        <f t="shared" si="111"/>
        <v>12281.365997217235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1409.0262224376968</v>
      </c>
      <c r="C47" s="152">
        <f t="shared" ref="C47:V47" si="113">SUM(C48:C52)</f>
        <v>1651.1803624562335</v>
      </c>
      <c r="D47" s="152">
        <f t="shared" si="113"/>
        <v>1956.9253874798956</v>
      </c>
      <c r="E47" s="152">
        <f t="shared" si="113"/>
        <v>2290.7467592088638</v>
      </c>
      <c r="F47" s="152">
        <f t="shared" si="113"/>
        <v>2687.3211346286507</v>
      </c>
      <c r="G47" s="152">
        <f t="shared" si="113"/>
        <v>3234.1705345873866</v>
      </c>
      <c r="H47" s="152">
        <f t="shared" si="113"/>
        <v>3770.2314177807548</v>
      </c>
      <c r="I47" s="152">
        <f t="shared" si="113"/>
        <v>4320.6110448063737</v>
      </c>
      <c r="J47" s="152">
        <f t="shared" si="113"/>
        <v>5181.5298103971008</v>
      </c>
      <c r="K47" s="152">
        <f t="shared" si="113"/>
        <v>5299.1595110877333</v>
      </c>
      <c r="L47" s="152">
        <f t="shared" si="113"/>
        <v>5631.1405932558855</v>
      </c>
      <c r="M47" s="152">
        <f t="shared" si="113"/>
        <v>5736.8771307532606</v>
      </c>
      <c r="N47" s="152">
        <f t="shared" si="113"/>
        <v>5825.9116192454048</v>
      </c>
      <c r="O47" s="152">
        <f t="shared" si="113"/>
        <v>6066.1749271151621</v>
      </c>
      <c r="P47" s="152">
        <f t="shared" si="113"/>
        <v>6783.3037582719799</v>
      </c>
      <c r="Q47" s="152">
        <f t="shared" si="113"/>
        <v>7412.7424141873817</v>
      </c>
      <c r="R47" s="152">
        <f t="shared" si="113"/>
        <v>6336.7473431873686</v>
      </c>
      <c r="S47" s="152">
        <f t="shared" si="113"/>
        <v>6469.4868059621722</v>
      </c>
      <c r="T47" s="152">
        <f t="shared" si="113"/>
        <v>6545.2671980302848</v>
      </c>
      <c r="U47" s="152">
        <f t="shared" si="113"/>
        <v>6584.9593915758005</v>
      </c>
      <c r="V47" s="152">
        <f t="shared" si="113"/>
        <v>6402.9406169616577</v>
      </c>
      <c r="W47" s="152">
        <f t="shared" ref="W47:Y47" si="114">SUM(W48:W52)</f>
        <v>6551.802994257112</v>
      </c>
      <c r="X47" s="152">
        <f t="shared" si="114"/>
        <v>6602.2940349944301</v>
      </c>
      <c r="Y47" s="152">
        <f t="shared" si="114"/>
        <v>6725.8274259257414</v>
      </c>
      <c r="DA47" s="174" t="s">
        <v>491</v>
      </c>
    </row>
    <row r="48" spans="1:105" ht="11.45" customHeight="1" x14ac:dyDescent="0.25">
      <c r="A48" s="111" t="s">
        <v>110</v>
      </c>
      <c r="B48" s="87">
        <v>324.28783106276609</v>
      </c>
      <c r="C48" s="87">
        <v>362.68108112101635</v>
      </c>
      <c r="D48" s="87">
        <v>413.81439610504873</v>
      </c>
      <c r="E48" s="87">
        <v>415.24972370008135</v>
      </c>
      <c r="F48" s="87">
        <v>433.28411237078001</v>
      </c>
      <c r="G48" s="87">
        <v>478.62812411071189</v>
      </c>
      <c r="H48" s="87">
        <v>561.09164672896782</v>
      </c>
      <c r="I48" s="87">
        <v>641.1693341238863</v>
      </c>
      <c r="J48" s="87">
        <v>723.24490821998813</v>
      </c>
      <c r="K48" s="87">
        <v>707.40840965699783</v>
      </c>
      <c r="L48" s="87">
        <v>700.77456071000302</v>
      </c>
      <c r="M48" s="87">
        <v>683.12886640370118</v>
      </c>
      <c r="N48" s="87">
        <v>662.46580358011181</v>
      </c>
      <c r="O48" s="87">
        <v>667.3823130766483</v>
      </c>
      <c r="P48" s="87">
        <v>696.06719644956752</v>
      </c>
      <c r="Q48" s="87">
        <v>739.05007667788186</v>
      </c>
      <c r="R48" s="87">
        <v>755.80624469275472</v>
      </c>
      <c r="S48" s="87">
        <v>756.06668680856183</v>
      </c>
      <c r="T48" s="87">
        <v>760.78225880219384</v>
      </c>
      <c r="U48" s="87">
        <v>763.27019797640196</v>
      </c>
      <c r="V48" s="87">
        <v>756.60154225565782</v>
      </c>
      <c r="W48" s="87">
        <v>762.10584092512681</v>
      </c>
      <c r="X48" s="87">
        <v>764.85890088054964</v>
      </c>
      <c r="Y48" s="87">
        <v>776.81483404588346</v>
      </c>
      <c r="DA48" s="171" t="s">
        <v>492</v>
      </c>
    </row>
    <row r="49" spans="1:105" ht="11.45" customHeight="1" x14ac:dyDescent="0.25">
      <c r="A49" s="111" t="s">
        <v>111</v>
      </c>
      <c r="B49" s="87">
        <v>1030.8543437366509</v>
      </c>
      <c r="C49" s="87">
        <v>1234.4892935800583</v>
      </c>
      <c r="D49" s="87">
        <v>1487.584532913572</v>
      </c>
      <c r="E49" s="87">
        <v>1818.8615144533183</v>
      </c>
      <c r="F49" s="87">
        <v>2194.7311773913234</v>
      </c>
      <c r="G49" s="87">
        <v>2694.3050316227891</v>
      </c>
      <c r="H49" s="87">
        <v>3143.7155423881809</v>
      </c>
      <c r="I49" s="87">
        <v>3609.3960444287864</v>
      </c>
      <c r="J49" s="87">
        <v>4388.9537599539944</v>
      </c>
      <c r="K49" s="87">
        <v>4520.2067432794684</v>
      </c>
      <c r="L49" s="87">
        <v>4860.2546569141077</v>
      </c>
      <c r="M49" s="87">
        <v>4982.2709482315595</v>
      </c>
      <c r="N49" s="87">
        <v>5079.3604327593566</v>
      </c>
      <c r="O49" s="87">
        <v>5307.0914914968444</v>
      </c>
      <c r="P49" s="87">
        <v>5973.4099514054997</v>
      </c>
      <c r="Q49" s="87">
        <v>6526.8938214700238</v>
      </c>
      <c r="R49" s="87">
        <v>5399.2924353251192</v>
      </c>
      <c r="S49" s="87">
        <v>5500.5180230963115</v>
      </c>
      <c r="T49" s="87">
        <v>5545.0500015777607</v>
      </c>
      <c r="U49" s="87">
        <v>5563.9939803692387</v>
      </c>
      <c r="V49" s="87">
        <v>5395.7014992650629</v>
      </c>
      <c r="W49" s="87">
        <v>5511.7933387221465</v>
      </c>
      <c r="X49" s="87">
        <v>5569.059562670911</v>
      </c>
      <c r="Y49" s="87">
        <v>5707.6913267729524</v>
      </c>
      <c r="DA49" s="171" t="s">
        <v>493</v>
      </c>
    </row>
    <row r="50" spans="1:105" ht="11.45" customHeight="1" x14ac:dyDescent="0.25">
      <c r="A50" s="111" t="s">
        <v>112</v>
      </c>
      <c r="B50" s="87">
        <v>53.884047638279647</v>
      </c>
      <c r="C50" s="87">
        <v>54.009987755158889</v>
      </c>
      <c r="D50" s="87">
        <v>55.526458461274906</v>
      </c>
      <c r="E50" s="87">
        <v>56.635521055464409</v>
      </c>
      <c r="F50" s="87">
        <v>59.305844866547474</v>
      </c>
      <c r="G50" s="87">
        <v>61.237378853885922</v>
      </c>
      <c r="H50" s="87">
        <v>65.424228663606485</v>
      </c>
      <c r="I50" s="87">
        <v>70.045666253700546</v>
      </c>
      <c r="J50" s="87">
        <v>68.947933238889547</v>
      </c>
      <c r="K50" s="87">
        <v>71.141239877044072</v>
      </c>
      <c r="L50" s="87">
        <v>69.667594806478775</v>
      </c>
      <c r="M50" s="87">
        <v>70.993687262962879</v>
      </c>
      <c r="N50" s="87">
        <v>79.392400979114214</v>
      </c>
      <c r="O50" s="87">
        <v>83.471135427477975</v>
      </c>
      <c r="P50" s="87">
        <v>93.606815370863629</v>
      </c>
      <c r="Q50" s="87">
        <v>93.795682797146199</v>
      </c>
      <c r="R50" s="87">
        <v>101.05387875028086</v>
      </c>
      <c r="S50" s="87">
        <v>99.170878968551037</v>
      </c>
      <c r="T50" s="87">
        <v>97.906886834660085</v>
      </c>
      <c r="U50" s="87">
        <v>89.181198950656878</v>
      </c>
      <c r="V50" s="87">
        <v>79.584505789846389</v>
      </c>
      <c r="W50" s="87">
        <v>71.648589999973495</v>
      </c>
      <c r="X50" s="87">
        <v>62.795924477575404</v>
      </c>
      <c r="Y50" s="87">
        <v>53.590919057156725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4.0015633861979545</v>
      </c>
      <c r="O51" s="87">
        <v>7.4182630439700405</v>
      </c>
      <c r="P51" s="87">
        <v>19.29531293810108</v>
      </c>
      <c r="Q51" s="87">
        <v>51.918257310116182</v>
      </c>
      <c r="R51" s="87">
        <v>79.322066020982675</v>
      </c>
      <c r="S51" s="87">
        <v>112.19436934169568</v>
      </c>
      <c r="T51" s="87">
        <v>139.41043272209336</v>
      </c>
      <c r="U51" s="87">
        <v>165.13574045421436</v>
      </c>
      <c r="V51" s="87">
        <v>166.8700216803316</v>
      </c>
      <c r="W51" s="87">
        <v>198.9319631550776</v>
      </c>
      <c r="X51" s="87">
        <v>197.03888718965939</v>
      </c>
      <c r="Y51" s="87">
        <v>174.13903453794467</v>
      </c>
      <c r="DA51" s="171" t="s">
        <v>495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0.38320898422928429</v>
      </c>
      <c r="K52" s="87">
        <v>0.4031182742224978</v>
      </c>
      <c r="L52" s="87">
        <v>0.44378082529589813</v>
      </c>
      <c r="M52" s="87">
        <v>0.48362885503689235</v>
      </c>
      <c r="N52" s="87">
        <v>0.69141854062411168</v>
      </c>
      <c r="O52" s="87">
        <v>0.81172407022097781</v>
      </c>
      <c r="P52" s="87">
        <v>0.92448210794700469</v>
      </c>
      <c r="Q52" s="87">
        <v>1.0845759322137458</v>
      </c>
      <c r="R52" s="87">
        <v>1.2727183982303767</v>
      </c>
      <c r="S52" s="87">
        <v>1.5368477470520383</v>
      </c>
      <c r="T52" s="87">
        <v>2.1176180935767741</v>
      </c>
      <c r="U52" s="87">
        <v>3.3782738252897624</v>
      </c>
      <c r="V52" s="87">
        <v>4.1830479707585422</v>
      </c>
      <c r="W52" s="87">
        <v>7.3232614547874348</v>
      </c>
      <c r="X52" s="87">
        <v>8.5407597757345872</v>
      </c>
      <c r="Y52" s="87">
        <v>13.59131151180341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2322.9070172340935</v>
      </c>
      <c r="C53" s="116">
        <f t="shared" ref="C53:V53" si="116">SUM(C54:C55)</f>
        <v>2623.1437386198786</v>
      </c>
      <c r="D53" s="116">
        <f t="shared" si="116"/>
        <v>2915.5249462484876</v>
      </c>
      <c r="E53" s="116">
        <f t="shared" si="116"/>
        <v>3293.712037492282</v>
      </c>
      <c r="F53" s="116">
        <f t="shared" si="116"/>
        <v>3676.1695341523473</v>
      </c>
      <c r="G53" s="116">
        <f t="shared" si="116"/>
        <v>4127.961337004409</v>
      </c>
      <c r="H53" s="116">
        <f t="shared" si="116"/>
        <v>4071.3125663061742</v>
      </c>
      <c r="I53" s="116">
        <f t="shared" si="116"/>
        <v>4063.0965772801474</v>
      </c>
      <c r="J53" s="116">
        <f t="shared" si="116"/>
        <v>3867.0349906110405</v>
      </c>
      <c r="K53" s="116">
        <f t="shared" si="116"/>
        <v>3344.8198836606607</v>
      </c>
      <c r="L53" s="116">
        <f t="shared" si="116"/>
        <v>3399.332010812439</v>
      </c>
      <c r="M53" s="116">
        <f t="shared" si="116"/>
        <v>3452.1342814061604</v>
      </c>
      <c r="N53" s="116">
        <f t="shared" si="116"/>
        <v>3349.044352006073</v>
      </c>
      <c r="O53" s="116">
        <f t="shared" si="116"/>
        <v>3571.1043131999477</v>
      </c>
      <c r="P53" s="116">
        <f t="shared" si="116"/>
        <v>3761.2890969661648</v>
      </c>
      <c r="Q53" s="116">
        <f t="shared" si="116"/>
        <v>4331.3627419207314</v>
      </c>
      <c r="R53" s="116">
        <f t="shared" si="116"/>
        <v>4389.8450671393166</v>
      </c>
      <c r="S53" s="116">
        <f t="shared" si="116"/>
        <v>4542.203716501459</v>
      </c>
      <c r="T53" s="116">
        <f t="shared" si="116"/>
        <v>4562.1370576174486</v>
      </c>
      <c r="U53" s="116">
        <f t="shared" si="116"/>
        <v>4659.5682503765311</v>
      </c>
      <c r="V53" s="116">
        <f t="shared" si="116"/>
        <v>5165.8924051733884</v>
      </c>
      <c r="W53" s="116">
        <f t="shared" ref="W53:Y53" si="117">SUM(W54:W55)</f>
        <v>5610.8165251395749</v>
      </c>
      <c r="X53" s="116">
        <f t="shared" si="117"/>
        <v>5583.6127980452602</v>
      </c>
      <c r="Y53" s="116">
        <f t="shared" si="117"/>
        <v>5555.5385712914949</v>
      </c>
      <c r="DA53" s="176" t="s">
        <v>497</v>
      </c>
    </row>
    <row r="54" spans="1:105" ht="11.45" customHeight="1" x14ac:dyDescent="0.25">
      <c r="A54" s="128" t="s">
        <v>27</v>
      </c>
      <c r="B54" s="101">
        <v>1474</v>
      </c>
      <c r="C54" s="101">
        <v>1713</v>
      </c>
      <c r="D54" s="101">
        <v>1958</v>
      </c>
      <c r="E54" s="101">
        <v>2315</v>
      </c>
      <c r="F54" s="101">
        <v>2519</v>
      </c>
      <c r="G54" s="101">
        <v>2930</v>
      </c>
      <c r="H54" s="101">
        <v>2821</v>
      </c>
      <c r="I54" s="101">
        <v>2777</v>
      </c>
      <c r="J54" s="101">
        <v>2659</v>
      </c>
      <c r="K54" s="101">
        <v>2203</v>
      </c>
      <c r="L54" s="101">
        <v>2185</v>
      </c>
      <c r="M54" s="101">
        <v>2166</v>
      </c>
      <c r="N54" s="101">
        <v>2067</v>
      </c>
      <c r="O54" s="101">
        <v>2152</v>
      </c>
      <c r="P54" s="101">
        <v>2333</v>
      </c>
      <c r="Q54" s="101">
        <v>2797</v>
      </c>
      <c r="R54" s="101">
        <v>2882</v>
      </c>
      <c r="S54" s="101">
        <v>3031</v>
      </c>
      <c r="T54" s="101">
        <v>3155</v>
      </c>
      <c r="U54" s="101">
        <v>3192</v>
      </c>
      <c r="V54" s="101">
        <v>3475</v>
      </c>
      <c r="W54" s="101">
        <v>3806</v>
      </c>
      <c r="X54" s="101">
        <v>3668</v>
      </c>
      <c r="Y54" s="101">
        <v>3696</v>
      </c>
      <c r="DA54" s="175" t="s">
        <v>498</v>
      </c>
    </row>
    <row r="55" spans="1:105" ht="11.45" customHeight="1" x14ac:dyDescent="0.25">
      <c r="A55" s="138" t="s">
        <v>116</v>
      </c>
      <c r="B55" s="88">
        <v>848.9070172340937</v>
      </c>
      <c r="C55" s="88">
        <v>910.14373861987872</v>
      </c>
      <c r="D55" s="88">
        <v>957.52494624848759</v>
      </c>
      <c r="E55" s="88">
        <v>978.71203749228187</v>
      </c>
      <c r="F55" s="88">
        <v>1157.1695341523473</v>
      </c>
      <c r="G55" s="88">
        <v>1197.9613370044087</v>
      </c>
      <c r="H55" s="88">
        <v>1250.3125663061742</v>
      </c>
      <c r="I55" s="88">
        <v>1286.0965772801476</v>
      </c>
      <c r="J55" s="88">
        <v>1208.0349906110405</v>
      </c>
      <c r="K55" s="88">
        <v>1141.8198836606609</v>
      </c>
      <c r="L55" s="88">
        <v>1214.3320108124387</v>
      </c>
      <c r="M55" s="88">
        <v>1286.1342814061604</v>
      </c>
      <c r="N55" s="88">
        <v>1282.044352006073</v>
      </c>
      <c r="O55" s="88">
        <v>1419.1043131999475</v>
      </c>
      <c r="P55" s="88">
        <v>1428.2890969661651</v>
      </c>
      <c r="Q55" s="88">
        <v>1534.3627419207319</v>
      </c>
      <c r="R55" s="88">
        <v>1507.8450671393171</v>
      </c>
      <c r="S55" s="88">
        <v>1511.203716501459</v>
      </c>
      <c r="T55" s="88">
        <v>1407.1370576174486</v>
      </c>
      <c r="U55" s="88">
        <v>1467.5682503765306</v>
      </c>
      <c r="V55" s="88">
        <v>1690.8924051733886</v>
      </c>
      <c r="W55" s="88">
        <v>1804.8165251395744</v>
      </c>
      <c r="X55" s="88">
        <v>1915.6127980452602</v>
      </c>
      <c r="Y55" s="88">
        <v>1859.5385712914949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5001322</v>
      </c>
      <c r="C57" s="54">
        <f t="shared" si="118"/>
        <v>5053986</v>
      </c>
      <c r="D57" s="54">
        <f t="shared" si="118"/>
        <v>5204710</v>
      </c>
      <c r="E57" s="54">
        <f t="shared" si="118"/>
        <v>5264915</v>
      </c>
      <c r="F57" s="54">
        <f t="shared" si="118"/>
        <v>5414493</v>
      </c>
      <c r="G57" s="54">
        <f t="shared" si="118"/>
        <v>5664133</v>
      </c>
      <c r="H57" s="54">
        <f t="shared" si="118"/>
        <v>5901511</v>
      </c>
      <c r="I57" s="54">
        <f t="shared" si="118"/>
        <v>6177883</v>
      </c>
      <c r="J57" s="54">
        <f t="shared" si="118"/>
        <v>6405079</v>
      </c>
      <c r="K57" s="54">
        <f t="shared" si="118"/>
        <v>6419393</v>
      </c>
      <c r="L57" s="54">
        <f t="shared" ref="L57" si="119">L58+L73</f>
        <v>6499060</v>
      </c>
      <c r="M57" s="54">
        <f t="shared" ref="M57:V57" si="120">M58+M73</f>
        <v>6606121</v>
      </c>
      <c r="N57" s="54">
        <f t="shared" si="120"/>
        <v>6771732</v>
      </c>
      <c r="O57" s="54">
        <f t="shared" si="120"/>
        <v>6790944</v>
      </c>
      <c r="P57" s="54">
        <f t="shared" si="120"/>
        <v>6933541</v>
      </c>
      <c r="Q57" s="54">
        <f t="shared" si="120"/>
        <v>7311352</v>
      </c>
      <c r="R57" s="54">
        <f t="shared" si="120"/>
        <v>7461832</v>
      </c>
      <c r="S57" s="54">
        <f t="shared" si="120"/>
        <v>7736236</v>
      </c>
      <c r="T57" s="54">
        <f t="shared" si="120"/>
        <v>7988375</v>
      </c>
      <c r="U57" s="54">
        <f t="shared" si="120"/>
        <v>8204323</v>
      </c>
      <c r="V57" s="54">
        <f t="shared" si="120"/>
        <v>8350984</v>
      </c>
      <c r="W57" s="54">
        <f t="shared" ref="W57:Y57" si="121">W58+W73</f>
        <v>8406936</v>
      </c>
      <c r="X57" s="54">
        <f t="shared" si="121"/>
        <v>8684870</v>
      </c>
      <c r="Y57" s="54">
        <f t="shared" si="121"/>
        <v>8950730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4711629</v>
      </c>
      <c r="C58" s="28">
        <f t="shared" si="122"/>
        <v>4747757</v>
      </c>
      <c r="D58" s="28">
        <f t="shared" si="122"/>
        <v>4873603</v>
      </c>
      <c r="E58" s="28">
        <f t="shared" si="122"/>
        <v>4917843</v>
      </c>
      <c r="F58" s="28">
        <f t="shared" si="122"/>
        <v>5033187</v>
      </c>
      <c r="G58" s="28">
        <f t="shared" si="122"/>
        <v>5234261</v>
      </c>
      <c r="H58" s="28">
        <f t="shared" si="122"/>
        <v>5422456</v>
      </c>
      <c r="I58" s="28">
        <f t="shared" si="122"/>
        <v>5637356</v>
      </c>
      <c r="J58" s="28">
        <f t="shared" si="122"/>
        <v>5815279</v>
      </c>
      <c r="K58" s="28">
        <f t="shared" si="122"/>
        <v>5831805</v>
      </c>
      <c r="L58" s="28">
        <f t="shared" ref="L58" si="123">L59+L60+L67</f>
        <v>5918467</v>
      </c>
      <c r="M58" s="28">
        <f t="shared" ref="M58:V58" si="124">M59+M60+M67</f>
        <v>6027429</v>
      </c>
      <c r="N58" s="28">
        <f t="shared" si="124"/>
        <v>6184506</v>
      </c>
      <c r="O58" s="28">
        <f t="shared" si="124"/>
        <v>6206564</v>
      </c>
      <c r="P58" s="28">
        <f t="shared" si="124"/>
        <v>6331484</v>
      </c>
      <c r="Q58" s="28">
        <f t="shared" si="124"/>
        <v>6667676</v>
      </c>
      <c r="R58" s="28">
        <f t="shared" si="124"/>
        <v>6888609</v>
      </c>
      <c r="S58" s="28">
        <f t="shared" si="124"/>
        <v>7147013</v>
      </c>
      <c r="T58" s="28">
        <f t="shared" si="124"/>
        <v>7386716</v>
      </c>
      <c r="U58" s="28">
        <f t="shared" si="124"/>
        <v>7594352</v>
      </c>
      <c r="V58" s="28">
        <f t="shared" si="124"/>
        <v>7749533</v>
      </c>
      <c r="W58" s="28">
        <f t="shared" ref="W58:Y58" si="125">W59+W60+W67</f>
        <v>7810342</v>
      </c>
      <c r="X58" s="28">
        <f t="shared" si="125"/>
        <v>8077504</v>
      </c>
      <c r="Y58" s="28">
        <f t="shared" si="125"/>
        <v>8322895</v>
      </c>
      <c r="DA58" s="173" t="s">
        <v>501</v>
      </c>
    </row>
    <row r="59" spans="1:105" ht="11.45" customHeight="1" x14ac:dyDescent="0.25">
      <c r="A59" s="136" t="s">
        <v>173</v>
      </c>
      <c r="B59" s="137">
        <v>1178600</v>
      </c>
      <c r="C59" s="137">
        <v>1193500</v>
      </c>
      <c r="D59" s="137">
        <v>1204000</v>
      </c>
      <c r="E59" s="137">
        <v>1190000</v>
      </c>
      <c r="F59" s="137">
        <v>1196000</v>
      </c>
      <c r="G59" s="137">
        <v>1254000</v>
      </c>
      <c r="H59" s="137">
        <v>1292000</v>
      </c>
      <c r="I59" s="137">
        <v>1336000</v>
      </c>
      <c r="J59" s="137">
        <v>1371000</v>
      </c>
      <c r="K59" s="137">
        <v>1376000</v>
      </c>
      <c r="L59" s="137">
        <v>1402000</v>
      </c>
      <c r="M59" s="137">
        <v>1425000</v>
      </c>
      <c r="N59" s="137">
        <v>1458000</v>
      </c>
      <c r="O59" s="137">
        <v>1457061</v>
      </c>
      <c r="P59" s="137">
        <v>1477587</v>
      </c>
      <c r="Q59" s="137">
        <v>1531693</v>
      </c>
      <c r="R59" s="137">
        <v>1559925</v>
      </c>
      <c r="S59" s="137">
        <v>1587349</v>
      </c>
      <c r="T59" s="137">
        <v>1616776</v>
      </c>
      <c r="U59" s="137">
        <v>1647151</v>
      </c>
      <c r="V59" s="137">
        <v>1680310</v>
      </c>
      <c r="W59" s="137">
        <v>1701057</v>
      </c>
      <c r="X59" s="137">
        <v>1750047</v>
      </c>
      <c r="Y59" s="137">
        <v>1787977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3510800</v>
      </c>
      <c r="C60" s="110">
        <f t="shared" si="126"/>
        <v>3529800</v>
      </c>
      <c r="D60" s="110">
        <f t="shared" si="126"/>
        <v>3647100</v>
      </c>
      <c r="E60" s="110">
        <f t="shared" si="126"/>
        <v>3706012</v>
      </c>
      <c r="F60" s="110">
        <f t="shared" si="126"/>
        <v>3816000</v>
      </c>
      <c r="G60" s="110">
        <f t="shared" si="126"/>
        <v>3959000</v>
      </c>
      <c r="H60" s="110">
        <f t="shared" si="126"/>
        <v>4109000</v>
      </c>
      <c r="I60" s="110">
        <f t="shared" si="126"/>
        <v>4280000</v>
      </c>
      <c r="J60" s="110">
        <f t="shared" si="126"/>
        <v>4423000</v>
      </c>
      <c r="K60" s="110">
        <f t="shared" si="126"/>
        <v>4435000</v>
      </c>
      <c r="L60" s="110">
        <f t="shared" ref="L60" si="127">SUM(L61:L66)</f>
        <v>4496000</v>
      </c>
      <c r="M60" s="110">
        <f t="shared" ref="M60:V60" si="128">SUM(M61:M66)</f>
        <v>4582000</v>
      </c>
      <c r="N60" s="110">
        <f t="shared" si="128"/>
        <v>4706000</v>
      </c>
      <c r="O60" s="110">
        <f t="shared" si="128"/>
        <v>4729185</v>
      </c>
      <c r="P60" s="110">
        <f t="shared" si="128"/>
        <v>4833386</v>
      </c>
      <c r="Q60" s="110">
        <f t="shared" si="128"/>
        <v>5115316</v>
      </c>
      <c r="R60" s="110">
        <f t="shared" si="128"/>
        <v>5307808</v>
      </c>
      <c r="S60" s="110">
        <f t="shared" si="128"/>
        <v>5538222</v>
      </c>
      <c r="T60" s="110">
        <f t="shared" si="128"/>
        <v>5747913</v>
      </c>
      <c r="U60" s="110">
        <f t="shared" si="128"/>
        <v>5924995</v>
      </c>
      <c r="V60" s="110">
        <f t="shared" si="128"/>
        <v>6049255</v>
      </c>
      <c r="W60" s="110">
        <f t="shared" ref="W60:Y60" si="129">SUM(W61:W66)</f>
        <v>6088730</v>
      </c>
      <c r="X60" s="110">
        <f t="shared" si="129"/>
        <v>6305934</v>
      </c>
      <c r="Y60" s="110">
        <f t="shared" si="129"/>
        <v>6512774</v>
      </c>
      <c r="DA60" s="176" t="s">
        <v>503</v>
      </c>
    </row>
    <row r="61" spans="1:105" ht="11.45" customHeight="1" x14ac:dyDescent="0.25">
      <c r="A61" s="111" t="s">
        <v>110</v>
      </c>
      <c r="B61" s="84">
        <v>3054807</v>
      </c>
      <c r="C61" s="84">
        <v>3031646</v>
      </c>
      <c r="D61" s="84">
        <v>3075011</v>
      </c>
      <c r="E61" s="84">
        <v>3058125</v>
      </c>
      <c r="F61" s="84">
        <v>3092067</v>
      </c>
      <c r="G61" s="84">
        <v>3157440</v>
      </c>
      <c r="H61" s="84">
        <v>3211897</v>
      </c>
      <c r="I61" s="84">
        <v>3277840</v>
      </c>
      <c r="J61" s="84">
        <v>3314781</v>
      </c>
      <c r="K61" s="84">
        <v>3228837</v>
      </c>
      <c r="L61" s="84">
        <v>3188322</v>
      </c>
      <c r="M61" s="84">
        <v>3160685</v>
      </c>
      <c r="N61" s="84">
        <v>3104707</v>
      </c>
      <c r="O61" s="84">
        <v>3080888</v>
      </c>
      <c r="P61" s="84">
        <v>3066862</v>
      </c>
      <c r="Q61" s="84">
        <v>3172041</v>
      </c>
      <c r="R61" s="84">
        <v>3215580</v>
      </c>
      <c r="S61" s="84">
        <v>3305082</v>
      </c>
      <c r="T61" s="84">
        <v>3358336</v>
      </c>
      <c r="U61" s="84">
        <v>3436615</v>
      </c>
      <c r="V61" s="84">
        <v>3483356</v>
      </c>
      <c r="W61" s="84">
        <v>3494209</v>
      </c>
      <c r="X61" s="84">
        <v>3612920</v>
      </c>
      <c r="Y61" s="84">
        <v>3834582</v>
      </c>
      <c r="DA61" s="171" t="s">
        <v>504</v>
      </c>
    </row>
    <row r="62" spans="1:105" ht="11.45" customHeight="1" x14ac:dyDescent="0.25">
      <c r="A62" s="111" t="s">
        <v>111</v>
      </c>
      <c r="B62" s="84">
        <v>383993</v>
      </c>
      <c r="C62" s="84">
        <v>423718</v>
      </c>
      <c r="D62" s="84">
        <v>492602</v>
      </c>
      <c r="E62" s="84">
        <v>563796</v>
      </c>
      <c r="F62" s="84">
        <v>631313</v>
      </c>
      <c r="G62" s="84">
        <v>701003</v>
      </c>
      <c r="H62" s="84">
        <v>783983</v>
      </c>
      <c r="I62" s="84">
        <v>875321</v>
      </c>
      <c r="J62" s="84">
        <v>979853</v>
      </c>
      <c r="K62" s="84">
        <v>1069164</v>
      </c>
      <c r="L62" s="84">
        <v>1170496</v>
      </c>
      <c r="M62" s="84">
        <v>1275366</v>
      </c>
      <c r="N62" s="84">
        <v>1431250</v>
      </c>
      <c r="O62" s="84">
        <v>1470155</v>
      </c>
      <c r="P62" s="84">
        <v>1567603</v>
      </c>
      <c r="Q62" s="84">
        <v>1741073</v>
      </c>
      <c r="R62" s="84">
        <v>1881944</v>
      </c>
      <c r="S62" s="84">
        <v>2024319</v>
      </c>
      <c r="T62" s="84">
        <v>2183788</v>
      </c>
      <c r="U62" s="84">
        <v>2286735</v>
      </c>
      <c r="V62" s="84">
        <v>2365981</v>
      </c>
      <c r="W62" s="84">
        <v>2394164</v>
      </c>
      <c r="X62" s="84">
        <v>2490282</v>
      </c>
      <c r="Y62" s="84">
        <v>2517657</v>
      </c>
      <c r="DA62" s="171" t="s">
        <v>505</v>
      </c>
    </row>
    <row r="63" spans="1:105" ht="11.45" customHeight="1" x14ac:dyDescent="0.25">
      <c r="A63" s="111" t="s">
        <v>112</v>
      </c>
      <c r="B63" s="84">
        <v>72000</v>
      </c>
      <c r="C63" s="84">
        <v>74436</v>
      </c>
      <c r="D63" s="84">
        <v>79487</v>
      </c>
      <c r="E63" s="84">
        <v>84091</v>
      </c>
      <c r="F63" s="84">
        <v>92620</v>
      </c>
      <c r="G63" s="84">
        <v>100557</v>
      </c>
      <c r="H63" s="84">
        <v>113120</v>
      </c>
      <c r="I63" s="84">
        <v>126839</v>
      </c>
      <c r="J63" s="84">
        <v>127606</v>
      </c>
      <c r="K63" s="84">
        <v>135827</v>
      </c>
      <c r="L63" s="84">
        <v>135486</v>
      </c>
      <c r="M63" s="84">
        <v>143641</v>
      </c>
      <c r="N63" s="84">
        <v>166898</v>
      </c>
      <c r="O63" s="84">
        <v>173280</v>
      </c>
      <c r="P63" s="84">
        <v>192661</v>
      </c>
      <c r="Q63" s="84">
        <v>192685</v>
      </c>
      <c r="R63" s="84">
        <v>194612</v>
      </c>
      <c r="S63" s="84">
        <v>188774</v>
      </c>
      <c r="T63" s="84">
        <v>181223</v>
      </c>
      <c r="U63" s="84">
        <v>173974</v>
      </c>
      <c r="V63" s="84">
        <v>167015</v>
      </c>
      <c r="W63" s="84">
        <v>162440</v>
      </c>
      <c r="X63" s="84">
        <v>157239</v>
      </c>
      <c r="Y63" s="84">
        <v>104064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760</v>
      </c>
      <c r="K64" s="84">
        <v>1172</v>
      </c>
      <c r="L64" s="84">
        <v>1690</v>
      </c>
      <c r="M64" s="84">
        <v>2246</v>
      </c>
      <c r="N64" s="84">
        <v>3054</v>
      </c>
      <c r="O64" s="84">
        <v>4598</v>
      </c>
      <c r="P64" s="84">
        <v>5764</v>
      </c>
      <c r="Q64" s="84">
        <v>8600</v>
      </c>
      <c r="R64" s="84">
        <v>13970</v>
      </c>
      <c r="S64" s="84">
        <v>17170</v>
      </c>
      <c r="T64" s="84">
        <v>20660</v>
      </c>
      <c r="U64" s="84">
        <v>22448</v>
      </c>
      <c r="V64" s="84">
        <v>23068</v>
      </c>
      <c r="W64" s="84">
        <v>22789</v>
      </c>
      <c r="X64" s="84">
        <v>22847</v>
      </c>
      <c r="Y64" s="84">
        <v>23023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16</v>
      </c>
      <c r="O65" s="84">
        <v>27</v>
      </c>
      <c r="P65" s="84">
        <v>79</v>
      </c>
      <c r="Q65" s="84">
        <v>204</v>
      </c>
      <c r="R65" s="84">
        <v>340</v>
      </c>
      <c r="S65" s="84">
        <v>568</v>
      </c>
      <c r="T65" s="84">
        <v>859</v>
      </c>
      <c r="U65" s="84">
        <v>1326</v>
      </c>
      <c r="V65" s="84">
        <v>2726</v>
      </c>
      <c r="W65" s="84">
        <v>5159</v>
      </c>
      <c r="X65" s="84">
        <v>8718</v>
      </c>
      <c r="Y65" s="84">
        <v>10997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6</v>
      </c>
      <c r="M66" s="84">
        <v>62</v>
      </c>
      <c r="N66" s="84">
        <v>75</v>
      </c>
      <c r="O66" s="84">
        <v>237</v>
      </c>
      <c r="P66" s="84">
        <v>417</v>
      </c>
      <c r="Q66" s="84">
        <v>713</v>
      </c>
      <c r="R66" s="84">
        <v>1362</v>
      </c>
      <c r="S66" s="84">
        <v>2309</v>
      </c>
      <c r="T66" s="84">
        <v>3047</v>
      </c>
      <c r="U66" s="84">
        <v>3897</v>
      </c>
      <c r="V66" s="84">
        <v>7109</v>
      </c>
      <c r="W66" s="84">
        <v>9969</v>
      </c>
      <c r="X66" s="84">
        <v>13928</v>
      </c>
      <c r="Y66" s="84">
        <v>22451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22229</v>
      </c>
      <c r="C67" s="110">
        <f t="shared" si="130"/>
        <v>24457</v>
      </c>
      <c r="D67" s="110">
        <f t="shared" si="130"/>
        <v>22503</v>
      </c>
      <c r="E67" s="110">
        <f t="shared" si="130"/>
        <v>21831</v>
      </c>
      <c r="F67" s="110">
        <f t="shared" si="130"/>
        <v>21187</v>
      </c>
      <c r="G67" s="110">
        <f t="shared" si="130"/>
        <v>21261</v>
      </c>
      <c r="H67" s="110">
        <f t="shared" si="130"/>
        <v>21456</v>
      </c>
      <c r="I67" s="110">
        <f t="shared" si="130"/>
        <v>21356</v>
      </c>
      <c r="J67" s="110">
        <f t="shared" si="130"/>
        <v>21279</v>
      </c>
      <c r="K67" s="110">
        <f t="shared" si="130"/>
        <v>20805</v>
      </c>
      <c r="L67" s="110">
        <f t="shared" ref="L67" si="131">SUM(L68:L72)</f>
        <v>20467</v>
      </c>
      <c r="M67" s="110">
        <f t="shared" ref="M67:V67" si="132">SUM(M68:M72)</f>
        <v>20429</v>
      </c>
      <c r="N67" s="110">
        <f t="shared" si="132"/>
        <v>20506</v>
      </c>
      <c r="O67" s="110">
        <f t="shared" si="132"/>
        <v>20318</v>
      </c>
      <c r="P67" s="110">
        <f t="shared" si="132"/>
        <v>20511</v>
      </c>
      <c r="Q67" s="110">
        <f t="shared" si="132"/>
        <v>20667</v>
      </c>
      <c r="R67" s="110">
        <f t="shared" si="132"/>
        <v>20876</v>
      </c>
      <c r="S67" s="110">
        <f t="shared" si="132"/>
        <v>21442</v>
      </c>
      <c r="T67" s="110">
        <f t="shared" si="132"/>
        <v>22027</v>
      </c>
      <c r="U67" s="110">
        <f t="shared" si="132"/>
        <v>22206</v>
      </c>
      <c r="V67" s="110">
        <f t="shared" si="132"/>
        <v>19968</v>
      </c>
      <c r="W67" s="110">
        <f t="shared" ref="W67:Y67" si="133">SUM(W68:W72)</f>
        <v>20555</v>
      </c>
      <c r="X67" s="110">
        <f t="shared" si="133"/>
        <v>21523</v>
      </c>
      <c r="Y67" s="110">
        <f t="shared" si="133"/>
        <v>22144</v>
      </c>
      <c r="DA67" s="176" t="s">
        <v>510</v>
      </c>
    </row>
    <row r="68" spans="1:105" ht="11.45" customHeight="1" x14ac:dyDescent="0.25">
      <c r="A68" s="111" t="s">
        <v>110</v>
      </c>
      <c r="B68" s="102">
        <v>3246</v>
      </c>
      <c r="C68" s="102">
        <v>3246</v>
      </c>
      <c r="D68" s="102">
        <v>3243</v>
      </c>
      <c r="E68" s="102">
        <v>2849</v>
      </c>
      <c r="F68" s="102">
        <v>2634</v>
      </c>
      <c r="G68" s="102">
        <v>2493</v>
      </c>
      <c r="H68" s="102">
        <v>2408</v>
      </c>
      <c r="I68" s="102">
        <v>2350</v>
      </c>
      <c r="J68" s="102">
        <v>2215</v>
      </c>
      <c r="K68" s="102">
        <v>2028</v>
      </c>
      <c r="L68" s="102">
        <v>1979</v>
      </c>
      <c r="M68" s="102">
        <v>1950</v>
      </c>
      <c r="N68" s="102">
        <v>1868</v>
      </c>
      <c r="O68" s="102">
        <v>1846</v>
      </c>
      <c r="P68" s="102">
        <v>1811</v>
      </c>
      <c r="Q68" s="102">
        <v>1779</v>
      </c>
      <c r="R68" s="102">
        <v>1745</v>
      </c>
      <c r="S68" s="102">
        <v>1712</v>
      </c>
      <c r="T68" s="102">
        <v>1679</v>
      </c>
      <c r="U68" s="102">
        <v>1652</v>
      </c>
      <c r="V68" s="102">
        <v>1636</v>
      </c>
      <c r="W68" s="102">
        <v>1614</v>
      </c>
      <c r="X68" s="102">
        <v>1592</v>
      </c>
      <c r="Y68" s="102">
        <v>1584</v>
      </c>
      <c r="DA68" s="175" t="s">
        <v>511</v>
      </c>
    </row>
    <row r="69" spans="1:105" ht="11.45" customHeight="1" x14ac:dyDescent="0.25">
      <c r="A69" s="111" t="s">
        <v>111</v>
      </c>
      <c r="B69" s="102">
        <v>17966</v>
      </c>
      <c r="C69" s="102">
        <v>20107</v>
      </c>
      <c r="D69" s="102">
        <v>18014</v>
      </c>
      <c r="E69" s="102">
        <v>17659</v>
      </c>
      <c r="F69" s="102">
        <v>17227</v>
      </c>
      <c r="G69" s="102">
        <v>17449</v>
      </c>
      <c r="H69" s="102">
        <v>17704</v>
      </c>
      <c r="I69" s="102">
        <v>17816</v>
      </c>
      <c r="J69" s="102">
        <v>17876</v>
      </c>
      <c r="K69" s="102">
        <v>17594</v>
      </c>
      <c r="L69" s="102">
        <v>17303</v>
      </c>
      <c r="M69" s="102">
        <v>17301</v>
      </c>
      <c r="N69" s="102">
        <v>17460</v>
      </c>
      <c r="O69" s="102">
        <v>17316</v>
      </c>
      <c r="P69" s="102">
        <v>17468</v>
      </c>
      <c r="Q69" s="102">
        <v>17337</v>
      </c>
      <c r="R69" s="102">
        <v>17315</v>
      </c>
      <c r="S69" s="102">
        <v>17848</v>
      </c>
      <c r="T69" s="102">
        <v>18269</v>
      </c>
      <c r="U69" s="102">
        <v>18138</v>
      </c>
      <c r="V69" s="102">
        <v>15701</v>
      </c>
      <c r="W69" s="102">
        <v>16377</v>
      </c>
      <c r="X69" s="102">
        <v>17230</v>
      </c>
      <c r="Y69" s="102">
        <v>17724</v>
      </c>
      <c r="DA69" s="175" t="s">
        <v>512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7</v>
      </c>
      <c r="W70" s="102">
        <v>7</v>
      </c>
      <c r="X70" s="102">
        <v>7</v>
      </c>
      <c r="Y70" s="102">
        <v>6</v>
      </c>
      <c r="DA70" s="175" t="s">
        <v>513</v>
      </c>
    </row>
    <row r="71" spans="1:105" ht="11.45" customHeight="1" x14ac:dyDescent="0.25">
      <c r="A71" s="111" t="s">
        <v>113</v>
      </c>
      <c r="B71" s="102">
        <v>290</v>
      </c>
      <c r="C71" s="102">
        <v>365</v>
      </c>
      <c r="D71" s="102">
        <v>520</v>
      </c>
      <c r="E71" s="102">
        <v>600</v>
      </c>
      <c r="F71" s="102">
        <v>600</v>
      </c>
      <c r="G71" s="102">
        <v>600</v>
      </c>
      <c r="H71" s="102">
        <v>600</v>
      </c>
      <c r="I71" s="102">
        <v>450</v>
      </c>
      <c r="J71" s="102">
        <v>450</v>
      </c>
      <c r="K71" s="102">
        <v>450</v>
      </c>
      <c r="L71" s="102">
        <v>450</v>
      </c>
      <c r="M71" s="102">
        <v>450</v>
      </c>
      <c r="N71" s="102">
        <v>450</v>
      </c>
      <c r="O71" s="102">
        <v>450</v>
      </c>
      <c r="P71" s="102">
        <v>518</v>
      </c>
      <c r="Q71" s="102">
        <v>820</v>
      </c>
      <c r="R71" s="102">
        <v>1020</v>
      </c>
      <c r="S71" s="102">
        <v>1120</v>
      </c>
      <c r="T71" s="102">
        <v>1234</v>
      </c>
      <c r="U71" s="102">
        <v>1594</v>
      </c>
      <c r="V71" s="102">
        <v>1803</v>
      </c>
      <c r="W71" s="102">
        <v>1806</v>
      </c>
      <c r="X71" s="102">
        <v>1852</v>
      </c>
      <c r="Y71" s="102">
        <v>1941</v>
      </c>
      <c r="DA71" s="175" t="s">
        <v>514</v>
      </c>
    </row>
    <row r="72" spans="1:105" ht="11.45" customHeight="1" x14ac:dyDescent="0.25">
      <c r="A72" s="111" t="s">
        <v>115</v>
      </c>
      <c r="B72" s="102">
        <v>727</v>
      </c>
      <c r="C72" s="102">
        <v>739</v>
      </c>
      <c r="D72" s="102">
        <v>726</v>
      </c>
      <c r="E72" s="102">
        <v>723</v>
      </c>
      <c r="F72" s="102">
        <v>726</v>
      </c>
      <c r="G72" s="102">
        <v>719</v>
      </c>
      <c r="H72" s="102">
        <v>744</v>
      </c>
      <c r="I72" s="102">
        <v>740</v>
      </c>
      <c r="J72" s="102">
        <v>738</v>
      </c>
      <c r="K72" s="102">
        <v>733</v>
      </c>
      <c r="L72" s="102">
        <v>735</v>
      </c>
      <c r="M72" s="102">
        <v>728</v>
      </c>
      <c r="N72" s="102">
        <v>728</v>
      </c>
      <c r="O72" s="102">
        <v>706</v>
      </c>
      <c r="P72" s="102">
        <v>714</v>
      </c>
      <c r="Q72" s="102">
        <v>731</v>
      </c>
      <c r="R72" s="102">
        <v>796</v>
      </c>
      <c r="S72" s="102">
        <v>762</v>
      </c>
      <c r="T72" s="102">
        <v>845</v>
      </c>
      <c r="U72" s="102">
        <v>822</v>
      </c>
      <c r="V72" s="102">
        <v>821</v>
      </c>
      <c r="W72" s="102">
        <v>751</v>
      </c>
      <c r="X72" s="102">
        <v>842</v>
      </c>
      <c r="Y72" s="102">
        <v>889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289693</v>
      </c>
      <c r="C73" s="28">
        <f t="shared" si="134"/>
        <v>306229</v>
      </c>
      <c r="D73" s="28">
        <f t="shared" si="134"/>
        <v>331107</v>
      </c>
      <c r="E73" s="28">
        <f t="shared" si="134"/>
        <v>347072</v>
      </c>
      <c r="F73" s="28">
        <f t="shared" si="134"/>
        <v>381306</v>
      </c>
      <c r="G73" s="28">
        <f t="shared" si="134"/>
        <v>429872</v>
      </c>
      <c r="H73" s="28">
        <f t="shared" si="134"/>
        <v>479055</v>
      </c>
      <c r="I73" s="28">
        <f t="shared" si="134"/>
        <v>540527</v>
      </c>
      <c r="J73" s="28">
        <f t="shared" si="134"/>
        <v>589800</v>
      </c>
      <c r="K73" s="28">
        <f t="shared" si="134"/>
        <v>587588</v>
      </c>
      <c r="L73" s="28">
        <f t="shared" ref="L73" si="135">L74+L80</f>
        <v>580593</v>
      </c>
      <c r="M73" s="28">
        <f t="shared" ref="M73:V73" si="136">M74+M80</f>
        <v>578692</v>
      </c>
      <c r="N73" s="28">
        <f t="shared" si="136"/>
        <v>587226</v>
      </c>
      <c r="O73" s="28">
        <f t="shared" si="136"/>
        <v>584380</v>
      </c>
      <c r="P73" s="28">
        <f t="shared" si="136"/>
        <v>602057</v>
      </c>
      <c r="Q73" s="28">
        <f t="shared" si="136"/>
        <v>643676</v>
      </c>
      <c r="R73" s="28">
        <f t="shared" si="136"/>
        <v>573223</v>
      </c>
      <c r="S73" s="28">
        <f t="shared" si="136"/>
        <v>589223</v>
      </c>
      <c r="T73" s="28">
        <f t="shared" si="136"/>
        <v>601659</v>
      </c>
      <c r="U73" s="28">
        <f t="shared" si="136"/>
        <v>609971</v>
      </c>
      <c r="V73" s="28">
        <f t="shared" si="136"/>
        <v>601451</v>
      </c>
      <c r="W73" s="28">
        <f t="shared" ref="W73:Y73" si="137">W74+W80</f>
        <v>596594</v>
      </c>
      <c r="X73" s="28">
        <f t="shared" si="137"/>
        <v>607366</v>
      </c>
      <c r="Y73" s="28">
        <f t="shared" si="137"/>
        <v>627835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150508</v>
      </c>
      <c r="C74" s="137">
        <f t="shared" si="138"/>
        <v>165072</v>
      </c>
      <c r="D74" s="137">
        <f t="shared" si="138"/>
        <v>189826</v>
      </c>
      <c r="E74" s="137">
        <f t="shared" si="138"/>
        <v>216548</v>
      </c>
      <c r="F74" s="137">
        <f t="shared" si="138"/>
        <v>251868</v>
      </c>
      <c r="G74" s="137">
        <f t="shared" si="138"/>
        <v>300311</v>
      </c>
      <c r="H74" s="137">
        <f t="shared" si="138"/>
        <v>351066</v>
      </c>
      <c r="I74" s="137">
        <f t="shared" si="138"/>
        <v>407210</v>
      </c>
      <c r="J74" s="137">
        <f t="shared" si="138"/>
        <v>461888</v>
      </c>
      <c r="K74" s="137">
        <f t="shared" si="138"/>
        <v>466375</v>
      </c>
      <c r="L74" s="137">
        <f t="shared" ref="L74" si="139">SUM(L75:L79)</f>
        <v>466637</v>
      </c>
      <c r="M74" s="137">
        <f t="shared" ref="M74:V74" si="140">SUM(M75:M79)</f>
        <v>467582</v>
      </c>
      <c r="N74" s="137">
        <f t="shared" si="140"/>
        <v>467672</v>
      </c>
      <c r="O74" s="137">
        <f t="shared" si="140"/>
        <v>466056</v>
      </c>
      <c r="P74" s="137">
        <f t="shared" si="140"/>
        <v>479183</v>
      </c>
      <c r="Q74" s="137">
        <f t="shared" si="140"/>
        <v>510344</v>
      </c>
      <c r="R74" s="137">
        <f t="shared" si="140"/>
        <v>429780</v>
      </c>
      <c r="S74" s="137">
        <f t="shared" si="140"/>
        <v>436241</v>
      </c>
      <c r="T74" s="137">
        <f t="shared" si="140"/>
        <v>441303</v>
      </c>
      <c r="U74" s="137">
        <f t="shared" si="140"/>
        <v>444203</v>
      </c>
      <c r="V74" s="137">
        <f t="shared" si="140"/>
        <v>446122</v>
      </c>
      <c r="W74" s="137">
        <f t="shared" ref="W74:Y74" si="141">SUM(W75:W79)</f>
        <v>443860</v>
      </c>
      <c r="X74" s="137">
        <f t="shared" si="141"/>
        <v>449090</v>
      </c>
      <c r="Y74" s="137">
        <f t="shared" si="141"/>
        <v>468073</v>
      </c>
      <c r="DA74" s="174" t="s">
        <v>517</v>
      </c>
    </row>
    <row r="75" spans="1:105" ht="11.45" customHeight="1" x14ac:dyDescent="0.25">
      <c r="A75" s="111" t="s">
        <v>110</v>
      </c>
      <c r="B75" s="84">
        <v>48601</v>
      </c>
      <c r="C75" s="84">
        <v>52981</v>
      </c>
      <c r="D75" s="84">
        <v>59840</v>
      </c>
      <c r="E75" s="84">
        <v>59929</v>
      </c>
      <c r="F75" s="84">
        <v>62683</v>
      </c>
      <c r="G75" s="84">
        <v>69268</v>
      </c>
      <c r="H75" s="84">
        <v>81299</v>
      </c>
      <c r="I75" s="84">
        <v>93383</v>
      </c>
      <c r="J75" s="84">
        <v>103323</v>
      </c>
      <c r="K75" s="84">
        <v>100721</v>
      </c>
      <c r="L75" s="84">
        <v>97721</v>
      </c>
      <c r="M75" s="84">
        <v>94802</v>
      </c>
      <c r="N75" s="84">
        <v>91508</v>
      </c>
      <c r="O75" s="84">
        <v>91040</v>
      </c>
      <c r="P75" s="84">
        <v>93201</v>
      </c>
      <c r="Q75" s="84">
        <v>98766</v>
      </c>
      <c r="R75" s="84">
        <v>99303</v>
      </c>
      <c r="S75" s="84">
        <v>100047</v>
      </c>
      <c r="T75" s="84">
        <v>100626</v>
      </c>
      <c r="U75" s="84">
        <v>100959</v>
      </c>
      <c r="V75" s="84">
        <v>101177</v>
      </c>
      <c r="W75" s="84">
        <v>100930</v>
      </c>
      <c r="X75" s="84">
        <v>101523</v>
      </c>
      <c r="Y75" s="84">
        <v>104098</v>
      </c>
      <c r="DA75" s="171" t="s">
        <v>518</v>
      </c>
    </row>
    <row r="76" spans="1:105" ht="11.45" customHeight="1" x14ac:dyDescent="0.25">
      <c r="A76" s="111" t="s">
        <v>111</v>
      </c>
      <c r="B76" s="84">
        <v>94907</v>
      </c>
      <c r="C76" s="84">
        <v>105252</v>
      </c>
      <c r="D76" s="84">
        <v>123026</v>
      </c>
      <c r="E76" s="84">
        <v>149534</v>
      </c>
      <c r="F76" s="84">
        <v>181748</v>
      </c>
      <c r="G76" s="84">
        <v>223361</v>
      </c>
      <c r="H76" s="84">
        <v>261550</v>
      </c>
      <c r="I76" s="84">
        <v>304984</v>
      </c>
      <c r="J76" s="84">
        <v>349988</v>
      </c>
      <c r="K76" s="84">
        <v>356833</v>
      </c>
      <c r="L76" s="84">
        <v>360450</v>
      </c>
      <c r="M76" s="84">
        <v>364191</v>
      </c>
      <c r="N76" s="84">
        <v>366145</v>
      </c>
      <c r="O76" s="84">
        <v>364272</v>
      </c>
      <c r="P76" s="84">
        <v>372918</v>
      </c>
      <c r="Q76" s="84">
        <v>395186</v>
      </c>
      <c r="R76" s="84">
        <v>310661</v>
      </c>
      <c r="S76" s="84">
        <v>313715</v>
      </c>
      <c r="T76" s="84">
        <v>315831</v>
      </c>
      <c r="U76" s="84">
        <v>316947</v>
      </c>
      <c r="V76" s="84">
        <v>317608</v>
      </c>
      <c r="W76" s="84">
        <v>315143</v>
      </c>
      <c r="X76" s="84">
        <v>320576</v>
      </c>
      <c r="Y76" s="84">
        <v>338092</v>
      </c>
      <c r="DA76" s="171" t="s">
        <v>519</v>
      </c>
    </row>
    <row r="77" spans="1:105" ht="11.45" customHeight="1" x14ac:dyDescent="0.25">
      <c r="A77" s="111" t="s">
        <v>112</v>
      </c>
      <c r="B77" s="84">
        <v>7000</v>
      </c>
      <c r="C77" s="84">
        <v>6839</v>
      </c>
      <c r="D77" s="84">
        <v>6960</v>
      </c>
      <c r="E77" s="84">
        <v>7085</v>
      </c>
      <c r="F77" s="84">
        <v>7437</v>
      </c>
      <c r="G77" s="84">
        <v>7682</v>
      </c>
      <c r="H77" s="84">
        <v>8217</v>
      </c>
      <c r="I77" s="84">
        <v>8843</v>
      </c>
      <c r="J77" s="84">
        <v>8538</v>
      </c>
      <c r="K77" s="84">
        <v>8780</v>
      </c>
      <c r="L77" s="84">
        <v>8421</v>
      </c>
      <c r="M77" s="84">
        <v>8540</v>
      </c>
      <c r="N77" s="84">
        <v>9506</v>
      </c>
      <c r="O77" s="84">
        <v>9870</v>
      </c>
      <c r="P77" s="84">
        <v>10974</v>
      </c>
      <c r="Q77" s="84">
        <v>10975</v>
      </c>
      <c r="R77" s="84">
        <v>11625</v>
      </c>
      <c r="S77" s="84">
        <v>11375</v>
      </c>
      <c r="T77" s="84">
        <v>11225</v>
      </c>
      <c r="U77" s="84">
        <v>10225</v>
      </c>
      <c r="V77" s="84">
        <v>9225</v>
      </c>
      <c r="W77" s="84">
        <v>8225</v>
      </c>
      <c r="X77" s="84">
        <v>7225</v>
      </c>
      <c r="Y77" s="84">
        <v>6225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443</v>
      </c>
      <c r="O78" s="84">
        <v>792</v>
      </c>
      <c r="P78" s="84">
        <v>1997</v>
      </c>
      <c r="Q78" s="84">
        <v>5308</v>
      </c>
      <c r="R78" s="84">
        <v>8062</v>
      </c>
      <c r="S78" s="84">
        <v>10948</v>
      </c>
      <c r="T78" s="84">
        <v>13406</v>
      </c>
      <c r="U78" s="84">
        <v>15729</v>
      </c>
      <c r="V78" s="84">
        <v>17651</v>
      </c>
      <c r="W78" s="84">
        <v>18818</v>
      </c>
      <c r="X78" s="84">
        <v>18896</v>
      </c>
      <c r="Y78" s="84">
        <v>18276</v>
      </c>
      <c r="DA78" s="171" t="s">
        <v>521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39</v>
      </c>
      <c r="K79" s="84">
        <v>41</v>
      </c>
      <c r="L79" s="84">
        <v>45</v>
      </c>
      <c r="M79" s="84">
        <v>49</v>
      </c>
      <c r="N79" s="84">
        <v>70</v>
      </c>
      <c r="O79" s="84">
        <v>82</v>
      </c>
      <c r="P79" s="84">
        <v>93</v>
      </c>
      <c r="Q79" s="84">
        <v>109</v>
      </c>
      <c r="R79" s="84">
        <v>129</v>
      </c>
      <c r="S79" s="84">
        <v>156</v>
      </c>
      <c r="T79" s="84">
        <v>215</v>
      </c>
      <c r="U79" s="84">
        <v>343</v>
      </c>
      <c r="V79" s="84">
        <v>461</v>
      </c>
      <c r="W79" s="84">
        <v>744</v>
      </c>
      <c r="X79" s="84">
        <v>870</v>
      </c>
      <c r="Y79" s="84">
        <v>1382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139185</v>
      </c>
      <c r="C80" s="110">
        <f t="shared" si="142"/>
        <v>141157</v>
      </c>
      <c r="D80" s="110">
        <f t="shared" si="142"/>
        <v>141281</v>
      </c>
      <c r="E80" s="110">
        <f t="shared" si="142"/>
        <v>130524</v>
      </c>
      <c r="F80" s="110">
        <f t="shared" si="142"/>
        <v>129438</v>
      </c>
      <c r="G80" s="110">
        <f t="shared" si="142"/>
        <v>129561</v>
      </c>
      <c r="H80" s="110">
        <f t="shared" si="142"/>
        <v>127989</v>
      </c>
      <c r="I80" s="110">
        <f t="shared" si="142"/>
        <v>133317</v>
      </c>
      <c r="J80" s="110">
        <f t="shared" si="142"/>
        <v>127912</v>
      </c>
      <c r="K80" s="110">
        <f t="shared" si="142"/>
        <v>121213</v>
      </c>
      <c r="L80" s="110">
        <f t="shared" ref="L80" si="143">SUM(L81:L82)</f>
        <v>113956</v>
      </c>
      <c r="M80" s="110">
        <f t="shared" ref="M80:V80" si="144">SUM(M81:M82)</f>
        <v>111110</v>
      </c>
      <c r="N80" s="110">
        <f t="shared" si="144"/>
        <v>119554</v>
      </c>
      <c r="O80" s="110">
        <f t="shared" si="144"/>
        <v>118324</v>
      </c>
      <c r="P80" s="110">
        <f t="shared" si="144"/>
        <v>122874</v>
      </c>
      <c r="Q80" s="110">
        <f t="shared" si="144"/>
        <v>133332</v>
      </c>
      <c r="R80" s="110">
        <f t="shared" si="144"/>
        <v>143443</v>
      </c>
      <c r="S80" s="110">
        <f t="shared" si="144"/>
        <v>152982</v>
      </c>
      <c r="T80" s="110">
        <f t="shared" si="144"/>
        <v>160356</v>
      </c>
      <c r="U80" s="110">
        <f t="shared" si="144"/>
        <v>165768</v>
      </c>
      <c r="V80" s="110">
        <f t="shared" si="144"/>
        <v>155329</v>
      </c>
      <c r="W80" s="110">
        <f t="shared" ref="W80:Y80" si="145">SUM(W81:W82)</f>
        <v>152734</v>
      </c>
      <c r="X80" s="110">
        <f t="shared" si="145"/>
        <v>158276</v>
      </c>
      <c r="Y80" s="110">
        <f t="shared" si="145"/>
        <v>159762</v>
      </c>
      <c r="DA80" s="176" t="s">
        <v>523</v>
      </c>
    </row>
    <row r="81" spans="1:105" ht="11.45" customHeight="1" x14ac:dyDescent="0.25">
      <c r="A81" s="128" t="s">
        <v>27</v>
      </c>
      <c r="B81" s="102">
        <v>129198</v>
      </c>
      <c r="C81" s="102">
        <v>130449</v>
      </c>
      <c r="D81" s="102">
        <v>130016</v>
      </c>
      <c r="E81" s="102">
        <v>119010</v>
      </c>
      <c r="F81" s="102">
        <v>115824</v>
      </c>
      <c r="G81" s="102">
        <v>115467</v>
      </c>
      <c r="H81" s="102">
        <v>113279</v>
      </c>
      <c r="I81" s="102">
        <v>118186</v>
      </c>
      <c r="J81" s="102">
        <v>113700</v>
      </c>
      <c r="K81" s="102">
        <v>107780</v>
      </c>
      <c r="L81" s="102">
        <v>99670</v>
      </c>
      <c r="M81" s="102">
        <v>95979</v>
      </c>
      <c r="N81" s="102">
        <v>104471</v>
      </c>
      <c r="O81" s="102">
        <v>101629</v>
      </c>
      <c r="P81" s="102">
        <v>106071</v>
      </c>
      <c r="Q81" s="102">
        <v>115281</v>
      </c>
      <c r="R81" s="102">
        <v>125704</v>
      </c>
      <c r="S81" s="102">
        <v>135203</v>
      </c>
      <c r="T81" s="102">
        <v>143801</v>
      </c>
      <c r="U81" s="102">
        <v>148502</v>
      </c>
      <c r="V81" s="102">
        <v>135436</v>
      </c>
      <c r="W81" s="102">
        <v>131501</v>
      </c>
      <c r="X81" s="102">
        <v>135739</v>
      </c>
      <c r="Y81" s="102">
        <v>137885</v>
      </c>
      <c r="DA81" s="175" t="s">
        <v>524</v>
      </c>
    </row>
    <row r="82" spans="1:105" ht="11.45" customHeight="1" x14ac:dyDescent="0.25">
      <c r="A82" s="138" t="s">
        <v>116</v>
      </c>
      <c r="B82" s="86">
        <v>9987</v>
      </c>
      <c r="C82" s="86">
        <v>10708</v>
      </c>
      <c r="D82" s="86">
        <v>11265</v>
      </c>
      <c r="E82" s="86">
        <v>11514</v>
      </c>
      <c r="F82" s="86">
        <v>13614</v>
      </c>
      <c r="G82" s="86">
        <v>14094</v>
      </c>
      <c r="H82" s="86">
        <v>14710</v>
      </c>
      <c r="I82" s="86">
        <v>15131</v>
      </c>
      <c r="J82" s="86">
        <v>14212</v>
      </c>
      <c r="K82" s="86">
        <v>13433</v>
      </c>
      <c r="L82" s="86">
        <v>14286</v>
      </c>
      <c r="M82" s="86">
        <v>15131</v>
      </c>
      <c r="N82" s="86">
        <v>15083</v>
      </c>
      <c r="O82" s="86">
        <v>16695</v>
      </c>
      <c r="P82" s="86">
        <v>16803</v>
      </c>
      <c r="Q82" s="86">
        <v>18051</v>
      </c>
      <c r="R82" s="86">
        <v>17739</v>
      </c>
      <c r="S82" s="86">
        <v>17779</v>
      </c>
      <c r="T82" s="86">
        <v>16555</v>
      </c>
      <c r="U82" s="86">
        <v>17266</v>
      </c>
      <c r="V82" s="86">
        <v>19893</v>
      </c>
      <c r="W82" s="86">
        <v>21233</v>
      </c>
      <c r="X82" s="86">
        <v>22537</v>
      </c>
      <c r="Y82" s="86">
        <v>21877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5001322</v>
      </c>
      <c r="C84" s="54">
        <f t="shared" si="146"/>
        <v>5053986</v>
      </c>
      <c r="D84" s="54">
        <f t="shared" ref="D84:V84" si="147">D85+D100</f>
        <v>5204710</v>
      </c>
      <c r="E84" s="54">
        <f t="shared" si="147"/>
        <v>5264915</v>
      </c>
      <c r="F84" s="54">
        <f t="shared" si="147"/>
        <v>5414493</v>
      </c>
      <c r="G84" s="54">
        <f t="shared" si="147"/>
        <v>5664133</v>
      </c>
      <c r="H84" s="54">
        <f t="shared" si="147"/>
        <v>5901511</v>
      </c>
      <c r="I84" s="54">
        <f t="shared" si="147"/>
        <v>6177883</v>
      </c>
      <c r="J84" s="54">
        <f t="shared" si="147"/>
        <v>6405079</v>
      </c>
      <c r="K84" s="54">
        <f t="shared" si="147"/>
        <v>6419393</v>
      </c>
      <c r="L84" s="54">
        <f t="shared" si="147"/>
        <v>6499060</v>
      </c>
      <c r="M84" s="54">
        <f t="shared" si="147"/>
        <v>6606121</v>
      </c>
      <c r="N84" s="54">
        <f t="shared" si="147"/>
        <v>6771732</v>
      </c>
      <c r="O84" s="54">
        <f t="shared" si="147"/>
        <v>6790944</v>
      </c>
      <c r="P84" s="54">
        <f t="shared" si="147"/>
        <v>6933541</v>
      </c>
      <c r="Q84" s="54">
        <f t="shared" si="147"/>
        <v>7311352</v>
      </c>
      <c r="R84" s="54">
        <f t="shared" si="147"/>
        <v>7461832</v>
      </c>
      <c r="S84" s="54">
        <f t="shared" si="147"/>
        <v>7736236</v>
      </c>
      <c r="T84" s="54">
        <f t="shared" si="147"/>
        <v>7988375</v>
      </c>
      <c r="U84" s="54">
        <f t="shared" si="147"/>
        <v>8204323</v>
      </c>
      <c r="V84" s="54">
        <f t="shared" si="147"/>
        <v>8350984</v>
      </c>
      <c r="W84" s="54">
        <f t="shared" ref="W84:Y84" si="148">W85+W100</f>
        <v>8406936</v>
      </c>
      <c r="X84" s="54">
        <f t="shared" si="148"/>
        <v>8684870</v>
      </c>
      <c r="Y84" s="54">
        <f t="shared" si="148"/>
        <v>8950730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4711629</v>
      </c>
      <c r="C85" s="28">
        <f t="shared" si="149"/>
        <v>4747757</v>
      </c>
      <c r="D85" s="28">
        <f t="shared" ref="D85:V85" si="150">D86+D87+D94</f>
        <v>4873603</v>
      </c>
      <c r="E85" s="28">
        <f t="shared" si="150"/>
        <v>4917843</v>
      </c>
      <c r="F85" s="28">
        <f t="shared" si="150"/>
        <v>5033187</v>
      </c>
      <c r="G85" s="28">
        <f t="shared" si="150"/>
        <v>5234261</v>
      </c>
      <c r="H85" s="28">
        <f t="shared" si="150"/>
        <v>5422456</v>
      </c>
      <c r="I85" s="28">
        <f t="shared" si="150"/>
        <v>5637356</v>
      </c>
      <c r="J85" s="28">
        <f t="shared" si="150"/>
        <v>5815279</v>
      </c>
      <c r="K85" s="28">
        <f t="shared" si="150"/>
        <v>5831805</v>
      </c>
      <c r="L85" s="28">
        <f t="shared" si="150"/>
        <v>5918467</v>
      </c>
      <c r="M85" s="28">
        <f t="shared" si="150"/>
        <v>6027429</v>
      </c>
      <c r="N85" s="28">
        <f t="shared" si="150"/>
        <v>6184506</v>
      </c>
      <c r="O85" s="28">
        <f t="shared" si="150"/>
        <v>6206564</v>
      </c>
      <c r="P85" s="28">
        <f t="shared" si="150"/>
        <v>6331484</v>
      </c>
      <c r="Q85" s="28">
        <f t="shared" si="150"/>
        <v>6667676</v>
      </c>
      <c r="R85" s="28">
        <f t="shared" si="150"/>
        <v>6888609</v>
      </c>
      <c r="S85" s="28">
        <f t="shared" si="150"/>
        <v>7147013</v>
      </c>
      <c r="T85" s="28">
        <f t="shared" si="150"/>
        <v>7386716</v>
      </c>
      <c r="U85" s="28">
        <f t="shared" si="150"/>
        <v>7594352</v>
      </c>
      <c r="V85" s="28">
        <f t="shared" si="150"/>
        <v>7749533</v>
      </c>
      <c r="W85" s="28">
        <f t="shared" ref="W85:Y85" si="151">W86+W87+W94</f>
        <v>7810342</v>
      </c>
      <c r="X85" s="28">
        <f t="shared" si="151"/>
        <v>8077504</v>
      </c>
      <c r="Y85" s="28">
        <f t="shared" si="151"/>
        <v>8322895</v>
      </c>
      <c r="DA85" s="173"/>
    </row>
    <row r="86" spans="1:105" ht="11.45" hidden="1" customHeight="1" x14ac:dyDescent="0.25">
      <c r="A86" s="136" t="s">
        <v>173</v>
      </c>
      <c r="B86" s="137">
        <v>1178600</v>
      </c>
      <c r="C86" s="137">
        <v>1193500</v>
      </c>
      <c r="D86" s="137">
        <v>1204000</v>
      </c>
      <c r="E86" s="137">
        <v>1190000</v>
      </c>
      <c r="F86" s="137">
        <v>1196000</v>
      </c>
      <c r="G86" s="137">
        <v>1254000</v>
      </c>
      <c r="H86" s="137">
        <v>1292000</v>
      </c>
      <c r="I86" s="137">
        <v>1336000</v>
      </c>
      <c r="J86" s="137">
        <v>1371000</v>
      </c>
      <c r="K86" s="137">
        <v>1376000</v>
      </c>
      <c r="L86" s="137">
        <v>1402000</v>
      </c>
      <c r="M86" s="137">
        <v>1425000</v>
      </c>
      <c r="N86" s="137">
        <v>1458000</v>
      </c>
      <c r="O86" s="137">
        <v>1457061</v>
      </c>
      <c r="P86" s="137">
        <v>1477587</v>
      </c>
      <c r="Q86" s="137">
        <v>1531693</v>
      </c>
      <c r="R86" s="137">
        <v>1559925</v>
      </c>
      <c r="S86" s="137">
        <v>1587349</v>
      </c>
      <c r="T86" s="137">
        <v>1616776</v>
      </c>
      <c r="U86" s="137">
        <v>1647151</v>
      </c>
      <c r="V86" s="137">
        <v>1680310</v>
      </c>
      <c r="W86" s="137">
        <v>1701057</v>
      </c>
      <c r="X86" s="137">
        <v>1750047</v>
      </c>
      <c r="Y86" s="137">
        <v>1787977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3510800</v>
      </c>
      <c r="C87" s="110">
        <f t="shared" si="152"/>
        <v>3529800</v>
      </c>
      <c r="D87" s="110">
        <f t="shared" ref="D87:V87" si="153">SUM(D88:D93)</f>
        <v>3647100</v>
      </c>
      <c r="E87" s="110">
        <f t="shared" si="153"/>
        <v>3706012</v>
      </c>
      <c r="F87" s="110">
        <f t="shared" si="153"/>
        <v>3816000</v>
      </c>
      <c r="G87" s="110">
        <f t="shared" si="153"/>
        <v>3959000</v>
      </c>
      <c r="H87" s="110">
        <f t="shared" si="153"/>
        <v>4109000</v>
      </c>
      <c r="I87" s="110">
        <f t="shared" si="153"/>
        <v>4280000</v>
      </c>
      <c r="J87" s="110">
        <f t="shared" si="153"/>
        <v>4423000</v>
      </c>
      <c r="K87" s="110">
        <f t="shared" si="153"/>
        <v>4435000</v>
      </c>
      <c r="L87" s="110">
        <f t="shared" si="153"/>
        <v>4496000</v>
      </c>
      <c r="M87" s="110">
        <f t="shared" si="153"/>
        <v>4582000</v>
      </c>
      <c r="N87" s="110">
        <f t="shared" si="153"/>
        <v>4706000</v>
      </c>
      <c r="O87" s="110">
        <f t="shared" si="153"/>
        <v>4729185</v>
      </c>
      <c r="P87" s="110">
        <f t="shared" si="153"/>
        <v>4833386</v>
      </c>
      <c r="Q87" s="110">
        <f t="shared" si="153"/>
        <v>5115316</v>
      </c>
      <c r="R87" s="110">
        <f t="shared" si="153"/>
        <v>5307808</v>
      </c>
      <c r="S87" s="110">
        <f t="shared" si="153"/>
        <v>5538222</v>
      </c>
      <c r="T87" s="110">
        <f t="shared" si="153"/>
        <v>5747913</v>
      </c>
      <c r="U87" s="110">
        <f t="shared" si="153"/>
        <v>5924995</v>
      </c>
      <c r="V87" s="110">
        <f t="shared" si="153"/>
        <v>6049255</v>
      </c>
      <c r="W87" s="110">
        <f t="shared" ref="W87:Y87" si="154">SUM(W88:W93)</f>
        <v>6088730</v>
      </c>
      <c r="X87" s="110">
        <f t="shared" si="154"/>
        <v>6305934</v>
      </c>
      <c r="Y87" s="110">
        <f t="shared" si="154"/>
        <v>6512774</v>
      </c>
      <c r="DA87" s="176"/>
    </row>
    <row r="88" spans="1:105" ht="11.45" hidden="1" customHeight="1" x14ac:dyDescent="0.25">
      <c r="A88" s="111" t="s">
        <v>110</v>
      </c>
      <c r="B88" s="84">
        <v>3054807</v>
      </c>
      <c r="C88" s="84">
        <v>3031646</v>
      </c>
      <c r="D88" s="84">
        <v>3075011</v>
      </c>
      <c r="E88" s="84">
        <v>3058125</v>
      </c>
      <c r="F88" s="84">
        <v>3092067</v>
      </c>
      <c r="G88" s="84">
        <v>3157440</v>
      </c>
      <c r="H88" s="84">
        <v>3211897</v>
      </c>
      <c r="I88" s="84">
        <v>3277840</v>
      </c>
      <c r="J88" s="84">
        <v>3314781</v>
      </c>
      <c r="K88" s="84">
        <v>3228837</v>
      </c>
      <c r="L88" s="84">
        <v>3188322</v>
      </c>
      <c r="M88" s="84">
        <v>3160685</v>
      </c>
      <c r="N88" s="84">
        <v>3104707</v>
      </c>
      <c r="O88" s="84">
        <v>3080888</v>
      </c>
      <c r="P88" s="84">
        <v>3066862</v>
      </c>
      <c r="Q88" s="84">
        <v>3172041</v>
      </c>
      <c r="R88" s="84">
        <v>3215580</v>
      </c>
      <c r="S88" s="84">
        <v>3305082</v>
      </c>
      <c r="T88" s="84">
        <v>3358336</v>
      </c>
      <c r="U88" s="84">
        <v>3436615</v>
      </c>
      <c r="V88" s="84">
        <v>3483356</v>
      </c>
      <c r="W88" s="84">
        <v>3494209</v>
      </c>
      <c r="X88" s="84">
        <v>3612920</v>
      </c>
      <c r="Y88" s="84">
        <v>3834582</v>
      </c>
      <c r="DA88" s="171"/>
    </row>
    <row r="89" spans="1:105" ht="11.45" hidden="1" customHeight="1" x14ac:dyDescent="0.25">
      <c r="A89" s="111" t="s">
        <v>111</v>
      </c>
      <c r="B89" s="84">
        <v>383993</v>
      </c>
      <c r="C89" s="84">
        <v>423718</v>
      </c>
      <c r="D89" s="84">
        <v>492602</v>
      </c>
      <c r="E89" s="84">
        <v>563796</v>
      </c>
      <c r="F89" s="84">
        <v>631313</v>
      </c>
      <c r="G89" s="84">
        <v>701003</v>
      </c>
      <c r="H89" s="84">
        <v>783983</v>
      </c>
      <c r="I89" s="84">
        <v>875321</v>
      </c>
      <c r="J89" s="84">
        <v>979853</v>
      </c>
      <c r="K89" s="84">
        <v>1069164</v>
      </c>
      <c r="L89" s="84">
        <v>1170496</v>
      </c>
      <c r="M89" s="84">
        <v>1275366</v>
      </c>
      <c r="N89" s="84">
        <v>1431250</v>
      </c>
      <c r="O89" s="84">
        <v>1470155</v>
      </c>
      <c r="P89" s="84">
        <v>1567603</v>
      </c>
      <c r="Q89" s="84">
        <v>1741073</v>
      </c>
      <c r="R89" s="84">
        <v>1881944</v>
      </c>
      <c r="S89" s="84">
        <v>2024319</v>
      </c>
      <c r="T89" s="84">
        <v>2183788</v>
      </c>
      <c r="U89" s="84">
        <v>2286735</v>
      </c>
      <c r="V89" s="84">
        <v>2365981</v>
      </c>
      <c r="W89" s="84">
        <v>2394164</v>
      </c>
      <c r="X89" s="84">
        <v>2490282</v>
      </c>
      <c r="Y89" s="84">
        <v>2517657</v>
      </c>
      <c r="DA89" s="171"/>
    </row>
    <row r="90" spans="1:105" ht="11.45" hidden="1" customHeight="1" x14ac:dyDescent="0.25">
      <c r="A90" s="111" t="s">
        <v>112</v>
      </c>
      <c r="B90" s="84">
        <v>72000</v>
      </c>
      <c r="C90" s="84">
        <v>74436</v>
      </c>
      <c r="D90" s="84">
        <v>79487</v>
      </c>
      <c r="E90" s="84">
        <v>84091</v>
      </c>
      <c r="F90" s="84">
        <v>92620</v>
      </c>
      <c r="G90" s="84">
        <v>100557</v>
      </c>
      <c r="H90" s="84">
        <v>113120</v>
      </c>
      <c r="I90" s="84">
        <v>126839</v>
      </c>
      <c r="J90" s="84">
        <v>127606</v>
      </c>
      <c r="K90" s="84">
        <v>135827</v>
      </c>
      <c r="L90" s="84">
        <v>135486</v>
      </c>
      <c r="M90" s="84">
        <v>143641</v>
      </c>
      <c r="N90" s="84">
        <v>166898</v>
      </c>
      <c r="O90" s="84">
        <v>173280</v>
      </c>
      <c r="P90" s="84">
        <v>192661</v>
      </c>
      <c r="Q90" s="84">
        <v>192685</v>
      </c>
      <c r="R90" s="84">
        <v>194612</v>
      </c>
      <c r="S90" s="84">
        <v>188774</v>
      </c>
      <c r="T90" s="84">
        <v>181223</v>
      </c>
      <c r="U90" s="84">
        <v>173974</v>
      </c>
      <c r="V90" s="84">
        <v>167015</v>
      </c>
      <c r="W90" s="84">
        <v>162440</v>
      </c>
      <c r="X90" s="84">
        <v>157239</v>
      </c>
      <c r="Y90" s="84">
        <v>104064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760</v>
      </c>
      <c r="K91" s="84">
        <v>1172</v>
      </c>
      <c r="L91" s="84">
        <v>1690</v>
      </c>
      <c r="M91" s="84">
        <v>2246</v>
      </c>
      <c r="N91" s="84">
        <v>3054</v>
      </c>
      <c r="O91" s="84">
        <v>4598</v>
      </c>
      <c r="P91" s="84">
        <v>5764</v>
      </c>
      <c r="Q91" s="84">
        <v>8600</v>
      </c>
      <c r="R91" s="84">
        <v>13970</v>
      </c>
      <c r="S91" s="84">
        <v>17170</v>
      </c>
      <c r="T91" s="84">
        <v>20660</v>
      </c>
      <c r="U91" s="84">
        <v>22448</v>
      </c>
      <c r="V91" s="84">
        <v>23068</v>
      </c>
      <c r="W91" s="84">
        <v>22789</v>
      </c>
      <c r="X91" s="84">
        <v>22847</v>
      </c>
      <c r="Y91" s="84">
        <v>23023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16</v>
      </c>
      <c r="O92" s="84">
        <v>27</v>
      </c>
      <c r="P92" s="84">
        <v>79</v>
      </c>
      <c r="Q92" s="84">
        <v>204</v>
      </c>
      <c r="R92" s="84">
        <v>340</v>
      </c>
      <c r="S92" s="84">
        <v>568</v>
      </c>
      <c r="T92" s="84">
        <v>859</v>
      </c>
      <c r="U92" s="84">
        <v>1326</v>
      </c>
      <c r="V92" s="84">
        <v>2726</v>
      </c>
      <c r="W92" s="84">
        <v>5159</v>
      </c>
      <c r="X92" s="84">
        <v>8718</v>
      </c>
      <c r="Y92" s="84">
        <v>10997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6</v>
      </c>
      <c r="M93" s="84">
        <v>62</v>
      </c>
      <c r="N93" s="84">
        <v>75</v>
      </c>
      <c r="O93" s="84">
        <v>237</v>
      </c>
      <c r="P93" s="84">
        <v>417</v>
      </c>
      <c r="Q93" s="84">
        <v>713</v>
      </c>
      <c r="R93" s="84">
        <v>1362</v>
      </c>
      <c r="S93" s="84">
        <v>2309</v>
      </c>
      <c r="T93" s="84">
        <v>3047</v>
      </c>
      <c r="U93" s="84">
        <v>3897</v>
      </c>
      <c r="V93" s="84">
        <v>7109</v>
      </c>
      <c r="W93" s="84">
        <v>9969</v>
      </c>
      <c r="X93" s="84">
        <v>13928</v>
      </c>
      <c r="Y93" s="84">
        <v>22451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22229</v>
      </c>
      <c r="C94" s="110">
        <f t="shared" si="155"/>
        <v>24457</v>
      </c>
      <c r="D94" s="110">
        <f t="shared" ref="D94:V94" si="156">SUM(D95:D99)</f>
        <v>22503</v>
      </c>
      <c r="E94" s="110">
        <f t="shared" si="156"/>
        <v>21831</v>
      </c>
      <c r="F94" s="110">
        <f t="shared" si="156"/>
        <v>21187</v>
      </c>
      <c r="G94" s="110">
        <f t="shared" si="156"/>
        <v>21261</v>
      </c>
      <c r="H94" s="110">
        <f t="shared" si="156"/>
        <v>21456</v>
      </c>
      <c r="I94" s="110">
        <f t="shared" si="156"/>
        <v>21356</v>
      </c>
      <c r="J94" s="110">
        <f t="shared" si="156"/>
        <v>21279</v>
      </c>
      <c r="K94" s="110">
        <f t="shared" si="156"/>
        <v>20805</v>
      </c>
      <c r="L94" s="110">
        <f t="shared" si="156"/>
        <v>20467</v>
      </c>
      <c r="M94" s="110">
        <f t="shared" si="156"/>
        <v>20429</v>
      </c>
      <c r="N94" s="110">
        <f t="shared" si="156"/>
        <v>20506</v>
      </c>
      <c r="O94" s="110">
        <f t="shared" si="156"/>
        <v>20318</v>
      </c>
      <c r="P94" s="110">
        <f t="shared" si="156"/>
        <v>20511</v>
      </c>
      <c r="Q94" s="110">
        <f t="shared" si="156"/>
        <v>20667</v>
      </c>
      <c r="R94" s="110">
        <f t="shared" si="156"/>
        <v>20876</v>
      </c>
      <c r="S94" s="110">
        <f t="shared" si="156"/>
        <v>21442</v>
      </c>
      <c r="T94" s="110">
        <f t="shared" si="156"/>
        <v>22027</v>
      </c>
      <c r="U94" s="110">
        <f t="shared" si="156"/>
        <v>22206</v>
      </c>
      <c r="V94" s="110">
        <f t="shared" si="156"/>
        <v>19968</v>
      </c>
      <c r="W94" s="110">
        <f t="shared" ref="W94:Y94" si="157">SUM(W95:W99)</f>
        <v>20555</v>
      </c>
      <c r="X94" s="110">
        <f t="shared" si="157"/>
        <v>21523</v>
      </c>
      <c r="Y94" s="110">
        <f t="shared" si="157"/>
        <v>22144</v>
      </c>
      <c r="DA94" s="176"/>
    </row>
    <row r="95" spans="1:105" ht="11.45" hidden="1" customHeight="1" x14ac:dyDescent="0.25">
      <c r="A95" s="111" t="s">
        <v>110</v>
      </c>
      <c r="B95" s="102">
        <v>3246</v>
      </c>
      <c r="C95" s="102">
        <v>3246</v>
      </c>
      <c r="D95" s="102">
        <v>3243</v>
      </c>
      <c r="E95" s="102">
        <v>2849</v>
      </c>
      <c r="F95" s="102">
        <v>2634</v>
      </c>
      <c r="G95" s="102">
        <v>2493</v>
      </c>
      <c r="H95" s="102">
        <v>2408</v>
      </c>
      <c r="I95" s="102">
        <v>2350</v>
      </c>
      <c r="J95" s="102">
        <v>2215</v>
      </c>
      <c r="K95" s="102">
        <v>2028</v>
      </c>
      <c r="L95" s="102">
        <v>1979</v>
      </c>
      <c r="M95" s="102">
        <v>1950</v>
      </c>
      <c r="N95" s="102">
        <v>1868</v>
      </c>
      <c r="O95" s="102">
        <v>1846</v>
      </c>
      <c r="P95" s="102">
        <v>1811</v>
      </c>
      <c r="Q95" s="102">
        <v>1779</v>
      </c>
      <c r="R95" s="102">
        <v>1745</v>
      </c>
      <c r="S95" s="102">
        <v>1712</v>
      </c>
      <c r="T95" s="102">
        <v>1679</v>
      </c>
      <c r="U95" s="102">
        <v>1652</v>
      </c>
      <c r="V95" s="102">
        <v>1636</v>
      </c>
      <c r="W95" s="102">
        <v>1614</v>
      </c>
      <c r="X95" s="102">
        <v>1592</v>
      </c>
      <c r="Y95" s="102">
        <v>1584</v>
      </c>
      <c r="DA95" s="175"/>
    </row>
    <row r="96" spans="1:105" ht="11.45" hidden="1" customHeight="1" x14ac:dyDescent="0.25">
      <c r="A96" s="111" t="s">
        <v>111</v>
      </c>
      <c r="B96" s="102">
        <v>17966</v>
      </c>
      <c r="C96" s="102">
        <v>20107</v>
      </c>
      <c r="D96" s="102">
        <v>18014</v>
      </c>
      <c r="E96" s="102">
        <v>17659</v>
      </c>
      <c r="F96" s="102">
        <v>17227</v>
      </c>
      <c r="G96" s="102">
        <v>17449</v>
      </c>
      <c r="H96" s="102">
        <v>17704</v>
      </c>
      <c r="I96" s="102">
        <v>17816</v>
      </c>
      <c r="J96" s="102">
        <v>17876</v>
      </c>
      <c r="K96" s="102">
        <v>17594</v>
      </c>
      <c r="L96" s="102">
        <v>17303</v>
      </c>
      <c r="M96" s="102">
        <v>17301</v>
      </c>
      <c r="N96" s="102">
        <v>17460</v>
      </c>
      <c r="O96" s="102">
        <v>17316</v>
      </c>
      <c r="P96" s="102">
        <v>17468</v>
      </c>
      <c r="Q96" s="102">
        <v>17337</v>
      </c>
      <c r="R96" s="102">
        <v>17315</v>
      </c>
      <c r="S96" s="102">
        <v>17848</v>
      </c>
      <c r="T96" s="102">
        <v>18269</v>
      </c>
      <c r="U96" s="102">
        <v>18138</v>
      </c>
      <c r="V96" s="102">
        <v>15701</v>
      </c>
      <c r="W96" s="102">
        <v>16377</v>
      </c>
      <c r="X96" s="102">
        <v>17230</v>
      </c>
      <c r="Y96" s="102">
        <v>17724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7</v>
      </c>
      <c r="W97" s="102">
        <v>7</v>
      </c>
      <c r="X97" s="102">
        <v>7</v>
      </c>
      <c r="Y97" s="102">
        <v>6</v>
      </c>
      <c r="DA97" s="175"/>
    </row>
    <row r="98" spans="1:105" ht="11.45" hidden="1" customHeight="1" x14ac:dyDescent="0.25">
      <c r="A98" s="111" t="s">
        <v>113</v>
      </c>
      <c r="B98" s="102">
        <v>290</v>
      </c>
      <c r="C98" s="102">
        <v>365</v>
      </c>
      <c r="D98" s="102">
        <v>520</v>
      </c>
      <c r="E98" s="102">
        <v>600</v>
      </c>
      <c r="F98" s="102">
        <v>600</v>
      </c>
      <c r="G98" s="102">
        <v>600</v>
      </c>
      <c r="H98" s="102">
        <v>600</v>
      </c>
      <c r="I98" s="102">
        <v>450</v>
      </c>
      <c r="J98" s="102">
        <v>450</v>
      </c>
      <c r="K98" s="102">
        <v>450</v>
      </c>
      <c r="L98" s="102">
        <v>450</v>
      </c>
      <c r="M98" s="102">
        <v>450</v>
      </c>
      <c r="N98" s="102">
        <v>450</v>
      </c>
      <c r="O98" s="102">
        <v>450</v>
      </c>
      <c r="P98" s="102">
        <v>518</v>
      </c>
      <c r="Q98" s="102">
        <v>820</v>
      </c>
      <c r="R98" s="102">
        <v>1020</v>
      </c>
      <c r="S98" s="102">
        <v>1120</v>
      </c>
      <c r="T98" s="102">
        <v>1234</v>
      </c>
      <c r="U98" s="102">
        <v>1594</v>
      </c>
      <c r="V98" s="102">
        <v>1803</v>
      </c>
      <c r="W98" s="102">
        <v>1806</v>
      </c>
      <c r="X98" s="102">
        <v>1852</v>
      </c>
      <c r="Y98" s="102">
        <v>1941</v>
      </c>
      <c r="DA98" s="175"/>
    </row>
    <row r="99" spans="1:105" ht="11.45" hidden="1" customHeight="1" x14ac:dyDescent="0.25">
      <c r="A99" s="111" t="s">
        <v>115</v>
      </c>
      <c r="B99" s="102">
        <v>727</v>
      </c>
      <c r="C99" s="102">
        <v>739</v>
      </c>
      <c r="D99" s="102">
        <v>726</v>
      </c>
      <c r="E99" s="102">
        <v>723</v>
      </c>
      <c r="F99" s="102">
        <v>726</v>
      </c>
      <c r="G99" s="102">
        <v>719</v>
      </c>
      <c r="H99" s="102">
        <v>744</v>
      </c>
      <c r="I99" s="102">
        <v>740</v>
      </c>
      <c r="J99" s="102">
        <v>738</v>
      </c>
      <c r="K99" s="102">
        <v>733</v>
      </c>
      <c r="L99" s="102">
        <v>735</v>
      </c>
      <c r="M99" s="102">
        <v>728</v>
      </c>
      <c r="N99" s="102">
        <v>728</v>
      </c>
      <c r="O99" s="102">
        <v>706</v>
      </c>
      <c r="P99" s="102">
        <v>714</v>
      </c>
      <c r="Q99" s="102">
        <v>731</v>
      </c>
      <c r="R99" s="102">
        <v>796</v>
      </c>
      <c r="S99" s="102">
        <v>762</v>
      </c>
      <c r="T99" s="102">
        <v>845</v>
      </c>
      <c r="U99" s="102">
        <v>822</v>
      </c>
      <c r="V99" s="102">
        <v>821</v>
      </c>
      <c r="W99" s="102">
        <v>751</v>
      </c>
      <c r="X99" s="102">
        <v>842</v>
      </c>
      <c r="Y99" s="102">
        <v>889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289693</v>
      </c>
      <c r="C100" s="28">
        <f t="shared" si="158"/>
        <v>306229</v>
      </c>
      <c r="D100" s="28">
        <f t="shared" ref="D100:V100" si="159">D101+D107</f>
        <v>331107</v>
      </c>
      <c r="E100" s="28">
        <f t="shared" si="159"/>
        <v>347072</v>
      </c>
      <c r="F100" s="28">
        <f t="shared" si="159"/>
        <v>381306</v>
      </c>
      <c r="G100" s="28">
        <f t="shared" si="159"/>
        <v>429872</v>
      </c>
      <c r="H100" s="28">
        <f t="shared" si="159"/>
        <v>479055</v>
      </c>
      <c r="I100" s="28">
        <f t="shared" si="159"/>
        <v>540527</v>
      </c>
      <c r="J100" s="28">
        <f t="shared" si="159"/>
        <v>589800</v>
      </c>
      <c r="K100" s="28">
        <f t="shared" si="159"/>
        <v>587588</v>
      </c>
      <c r="L100" s="28">
        <f t="shared" si="159"/>
        <v>580593</v>
      </c>
      <c r="M100" s="28">
        <f t="shared" si="159"/>
        <v>578692</v>
      </c>
      <c r="N100" s="28">
        <f t="shared" si="159"/>
        <v>587226</v>
      </c>
      <c r="O100" s="28">
        <f t="shared" si="159"/>
        <v>584380</v>
      </c>
      <c r="P100" s="28">
        <f t="shared" si="159"/>
        <v>602057</v>
      </c>
      <c r="Q100" s="28">
        <f t="shared" si="159"/>
        <v>643676</v>
      </c>
      <c r="R100" s="28">
        <f t="shared" si="159"/>
        <v>573223</v>
      </c>
      <c r="S100" s="28">
        <f t="shared" si="159"/>
        <v>589223</v>
      </c>
      <c r="T100" s="28">
        <f t="shared" si="159"/>
        <v>601659</v>
      </c>
      <c r="U100" s="28">
        <f t="shared" si="159"/>
        <v>609971</v>
      </c>
      <c r="V100" s="28">
        <f t="shared" si="159"/>
        <v>601451</v>
      </c>
      <c r="W100" s="28">
        <f t="shared" ref="W100:Y100" si="160">W101+W107</f>
        <v>596594</v>
      </c>
      <c r="X100" s="28">
        <f t="shared" si="160"/>
        <v>607366</v>
      </c>
      <c r="Y100" s="28">
        <f t="shared" si="160"/>
        <v>627835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150508</v>
      </c>
      <c r="C101" s="137">
        <f t="shared" si="161"/>
        <v>165072</v>
      </c>
      <c r="D101" s="137">
        <f t="shared" ref="D101:V101" si="162">SUM(D102:D106)</f>
        <v>189826</v>
      </c>
      <c r="E101" s="137">
        <f t="shared" si="162"/>
        <v>216548</v>
      </c>
      <c r="F101" s="137">
        <f t="shared" si="162"/>
        <v>251868</v>
      </c>
      <c r="G101" s="137">
        <f t="shared" si="162"/>
        <v>300311</v>
      </c>
      <c r="H101" s="137">
        <f t="shared" si="162"/>
        <v>351066</v>
      </c>
      <c r="I101" s="137">
        <f t="shared" si="162"/>
        <v>407210</v>
      </c>
      <c r="J101" s="137">
        <f t="shared" si="162"/>
        <v>461888</v>
      </c>
      <c r="K101" s="137">
        <f t="shared" si="162"/>
        <v>466375</v>
      </c>
      <c r="L101" s="137">
        <f t="shared" si="162"/>
        <v>466637</v>
      </c>
      <c r="M101" s="137">
        <f t="shared" si="162"/>
        <v>467582</v>
      </c>
      <c r="N101" s="137">
        <f t="shared" si="162"/>
        <v>467672</v>
      </c>
      <c r="O101" s="137">
        <f t="shared" si="162"/>
        <v>466056</v>
      </c>
      <c r="P101" s="137">
        <f t="shared" si="162"/>
        <v>479183</v>
      </c>
      <c r="Q101" s="137">
        <f t="shared" si="162"/>
        <v>510344</v>
      </c>
      <c r="R101" s="137">
        <f t="shared" si="162"/>
        <v>429780</v>
      </c>
      <c r="S101" s="137">
        <f t="shared" si="162"/>
        <v>436241</v>
      </c>
      <c r="T101" s="137">
        <f t="shared" si="162"/>
        <v>441303</v>
      </c>
      <c r="U101" s="137">
        <f t="shared" si="162"/>
        <v>444203</v>
      </c>
      <c r="V101" s="137">
        <f t="shared" si="162"/>
        <v>446122</v>
      </c>
      <c r="W101" s="137">
        <f t="shared" ref="W101:Y101" si="163">SUM(W102:W106)</f>
        <v>443860</v>
      </c>
      <c r="X101" s="137">
        <f t="shared" si="163"/>
        <v>449090</v>
      </c>
      <c r="Y101" s="137">
        <f t="shared" si="163"/>
        <v>468073</v>
      </c>
      <c r="DA101" s="174"/>
    </row>
    <row r="102" spans="1:105" ht="11.45" hidden="1" customHeight="1" x14ac:dyDescent="0.25">
      <c r="A102" s="111" t="s">
        <v>110</v>
      </c>
      <c r="B102" s="84">
        <v>48601</v>
      </c>
      <c r="C102" s="84">
        <v>52981</v>
      </c>
      <c r="D102" s="84">
        <v>59840</v>
      </c>
      <c r="E102" s="84">
        <v>59929</v>
      </c>
      <c r="F102" s="84">
        <v>62683</v>
      </c>
      <c r="G102" s="84">
        <v>69268</v>
      </c>
      <c r="H102" s="84">
        <v>81299</v>
      </c>
      <c r="I102" s="84">
        <v>93383</v>
      </c>
      <c r="J102" s="84">
        <v>103323</v>
      </c>
      <c r="K102" s="84">
        <v>100721</v>
      </c>
      <c r="L102" s="84">
        <v>97721</v>
      </c>
      <c r="M102" s="84">
        <v>94802</v>
      </c>
      <c r="N102" s="84">
        <v>91508</v>
      </c>
      <c r="O102" s="84">
        <v>91040</v>
      </c>
      <c r="P102" s="84">
        <v>93201</v>
      </c>
      <c r="Q102" s="84">
        <v>98766</v>
      </c>
      <c r="R102" s="84">
        <v>99303</v>
      </c>
      <c r="S102" s="84">
        <v>100047</v>
      </c>
      <c r="T102" s="84">
        <v>100626</v>
      </c>
      <c r="U102" s="84">
        <v>100959</v>
      </c>
      <c r="V102" s="84">
        <v>101177</v>
      </c>
      <c r="W102" s="84">
        <v>100930</v>
      </c>
      <c r="X102" s="84">
        <v>101523</v>
      </c>
      <c r="Y102" s="84">
        <v>104098</v>
      </c>
      <c r="DA102" s="171"/>
    </row>
    <row r="103" spans="1:105" ht="11.45" hidden="1" customHeight="1" x14ac:dyDescent="0.25">
      <c r="A103" s="111" t="s">
        <v>111</v>
      </c>
      <c r="B103" s="84">
        <v>94907</v>
      </c>
      <c r="C103" s="84">
        <v>105252</v>
      </c>
      <c r="D103" s="84">
        <v>123026</v>
      </c>
      <c r="E103" s="84">
        <v>149534</v>
      </c>
      <c r="F103" s="84">
        <v>181748</v>
      </c>
      <c r="G103" s="84">
        <v>223361</v>
      </c>
      <c r="H103" s="84">
        <v>261550</v>
      </c>
      <c r="I103" s="84">
        <v>304984</v>
      </c>
      <c r="J103" s="84">
        <v>349988</v>
      </c>
      <c r="K103" s="84">
        <v>356833</v>
      </c>
      <c r="L103" s="84">
        <v>360450</v>
      </c>
      <c r="M103" s="84">
        <v>364191</v>
      </c>
      <c r="N103" s="84">
        <v>366145</v>
      </c>
      <c r="O103" s="84">
        <v>364272</v>
      </c>
      <c r="P103" s="84">
        <v>372918</v>
      </c>
      <c r="Q103" s="84">
        <v>395186</v>
      </c>
      <c r="R103" s="84">
        <v>310661</v>
      </c>
      <c r="S103" s="84">
        <v>313715</v>
      </c>
      <c r="T103" s="84">
        <v>315831</v>
      </c>
      <c r="U103" s="84">
        <v>316947</v>
      </c>
      <c r="V103" s="84">
        <v>317608</v>
      </c>
      <c r="W103" s="84">
        <v>315143</v>
      </c>
      <c r="X103" s="84">
        <v>320576</v>
      </c>
      <c r="Y103" s="84">
        <v>338092</v>
      </c>
      <c r="DA103" s="171"/>
    </row>
    <row r="104" spans="1:105" ht="11.45" hidden="1" customHeight="1" x14ac:dyDescent="0.25">
      <c r="A104" s="111" t="s">
        <v>112</v>
      </c>
      <c r="B104" s="84">
        <v>7000</v>
      </c>
      <c r="C104" s="84">
        <v>6839</v>
      </c>
      <c r="D104" s="84">
        <v>6960</v>
      </c>
      <c r="E104" s="84">
        <v>7085</v>
      </c>
      <c r="F104" s="84">
        <v>7437</v>
      </c>
      <c r="G104" s="84">
        <v>7682</v>
      </c>
      <c r="H104" s="84">
        <v>8217</v>
      </c>
      <c r="I104" s="84">
        <v>8843</v>
      </c>
      <c r="J104" s="84">
        <v>8538</v>
      </c>
      <c r="K104" s="84">
        <v>8780</v>
      </c>
      <c r="L104" s="84">
        <v>8421</v>
      </c>
      <c r="M104" s="84">
        <v>8540</v>
      </c>
      <c r="N104" s="84">
        <v>9506</v>
      </c>
      <c r="O104" s="84">
        <v>9870</v>
      </c>
      <c r="P104" s="84">
        <v>10974</v>
      </c>
      <c r="Q104" s="84">
        <v>10975</v>
      </c>
      <c r="R104" s="84">
        <v>11625</v>
      </c>
      <c r="S104" s="84">
        <v>11375</v>
      </c>
      <c r="T104" s="84">
        <v>11225</v>
      </c>
      <c r="U104" s="84">
        <v>10225</v>
      </c>
      <c r="V104" s="84">
        <v>9225</v>
      </c>
      <c r="W104" s="84">
        <v>8225</v>
      </c>
      <c r="X104" s="84">
        <v>7225</v>
      </c>
      <c r="Y104" s="84">
        <v>6225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443</v>
      </c>
      <c r="O105" s="84">
        <v>792</v>
      </c>
      <c r="P105" s="84">
        <v>1997</v>
      </c>
      <c r="Q105" s="84">
        <v>5308</v>
      </c>
      <c r="R105" s="84">
        <v>8062</v>
      </c>
      <c r="S105" s="84">
        <v>10948</v>
      </c>
      <c r="T105" s="84">
        <v>13406</v>
      </c>
      <c r="U105" s="84">
        <v>15729</v>
      </c>
      <c r="V105" s="84">
        <v>17651</v>
      </c>
      <c r="W105" s="84">
        <v>18818</v>
      </c>
      <c r="X105" s="84">
        <v>18896</v>
      </c>
      <c r="Y105" s="84">
        <v>18276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39</v>
      </c>
      <c r="K106" s="84">
        <v>41</v>
      </c>
      <c r="L106" s="84">
        <v>45</v>
      </c>
      <c r="M106" s="84">
        <v>49</v>
      </c>
      <c r="N106" s="84">
        <v>70</v>
      </c>
      <c r="O106" s="84">
        <v>82</v>
      </c>
      <c r="P106" s="84">
        <v>93</v>
      </c>
      <c r="Q106" s="84">
        <v>109</v>
      </c>
      <c r="R106" s="84">
        <v>129</v>
      </c>
      <c r="S106" s="84">
        <v>156</v>
      </c>
      <c r="T106" s="84">
        <v>215</v>
      </c>
      <c r="U106" s="84">
        <v>343</v>
      </c>
      <c r="V106" s="84">
        <v>461</v>
      </c>
      <c r="W106" s="84">
        <v>744</v>
      </c>
      <c r="X106" s="84">
        <v>870</v>
      </c>
      <c r="Y106" s="84">
        <v>1382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139185</v>
      </c>
      <c r="C107" s="110">
        <f t="shared" si="164"/>
        <v>141157</v>
      </c>
      <c r="D107" s="110">
        <f t="shared" ref="D107:V107" si="165">SUM(D108:D109)</f>
        <v>141281</v>
      </c>
      <c r="E107" s="110">
        <f t="shared" si="165"/>
        <v>130524</v>
      </c>
      <c r="F107" s="110">
        <f t="shared" si="165"/>
        <v>129438</v>
      </c>
      <c r="G107" s="110">
        <f t="shared" si="165"/>
        <v>129561</v>
      </c>
      <c r="H107" s="110">
        <f t="shared" si="165"/>
        <v>127989</v>
      </c>
      <c r="I107" s="110">
        <f t="shared" si="165"/>
        <v>133317</v>
      </c>
      <c r="J107" s="110">
        <f t="shared" si="165"/>
        <v>127912</v>
      </c>
      <c r="K107" s="110">
        <f t="shared" si="165"/>
        <v>121213</v>
      </c>
      <c r="L107" s="110">
        <f t="shared" si="165"/>
        <v>113956</v>
      </c>
      <c r="M107" s="110">
        <f t="shared" si="165"/>
        <v>111110</v>
      </c>
      <c r="N107" s="110">
        <f t="shared" si="165"/>
        <v>119554</v>
      </c>
      <c r="O107" s="110">
        <f t="shared" si="165"/>
        <v>118324</v>
      </c>
      <c r="P107" s="110">
        <f t="shared" si="165"/>
        <v>122874</v>
      </c>
      <c r="Q107" s="110">
        <f t="shared" si="165"/>
        <v>133332</v>
      </c>
      <c r="R107" s="110">
        <f t="shared" si="165"/>
        <v>143443</v>
      </c>
      <c r="S107" s="110">
        <f t="shared" si="165"/>
        <v>152982</v>
      </c>
      <c r="T107" s="110">
        <f t="shared" si="165"/>
        <v>160356</v>
      </c>
      <c r="U107" s="110">
        <f t="shared" si="165"/>
        <v>165768</v>
      </c>
      <c r="V107" s="110">
        <f t="shared" si="165"/>
        <v>155329</v>
      </c>
      <c r="W107" s="110">
        <f t="shared" ref="W107:Y107" si="166">SUM(W108:W109)</f>
        <v>152734</v>
      </c>
      <c r="X107" s="110">
        <f t="shared" si="166"/>
        <v>158276</v>
      </c>
      <c r="Y107" s="110">
        <f t="shared" si="166"/>
        <v>159762</v>
      </c>
      <c r="DA107" s="176"/>
    </row>
    <row r="108" spans="1:105" ht="11.45" hidden="1" customHeight="1" x14ac:dyDescent="0.25">
      <c r="A108" s="128" t="s">
        <v>27</v>
      </c>
      <c r="B108" s="102">
        <v>129198</v>
      </c>
      <c r="C108" s="102">
        <v>130449</v>
      </c>
      <c r="D108" s="102">
        <v>130016</v>
      </c>
      <c r="E108" s="102">
        <v>119010</v>
      </c>
      <c r="F108" s="102">
        <v>115824</v>
      </c>
      <c r="G108" s="102">
        <v>115467</v>
      </c>
      <c r="H108" s="102">
        <v>113279</v>
      </c>
      <c r="I108" s="102">
        <v>118186</v>
      </c>
      <c r="J108" s="102">
        <v>113700</v>
      </c>
      <c r="K108" s="102">
        <v>107780</v>
      </c>
      <c r="L108" s="102">
        <v>99670</v>
      </c>
      <c r="M108" s="102">
        <v>95979</v>
      </c>
      <c r="N108" s="102">
        <v>104471</v>
      </c>
      <c r="O108" s="102">
        <v>101629</v>
      </c>
      <c r="P108" s="102">
        <v>106071</v>
      </c>
      <c r="Q108" s="102">
        <v>115281</v>
      </c>
      <c r="R108" s="102">
        <v>125704</v>
      </c>
      <c r="S108" s="102">
        <v>135203</v>
      </c>
      <c r="T108" s="102">
        <v>143801</v>
      </c>
      <c r="U108" s="102">
        <v>148502</v>
      </c>
      <c r="V108" s="102">
        <v>135436</v>
      </c>
      <c r="W108" s="102">
        <v>131501</v>
      </c>
      <c r="X108" s="102">
        <v>135739</v>
      </c>
      <c r="Y108" s="102">
        <v>137885</v>
      </c>
      <c r="DA108" s="175"/>
    </row>
    <row r="109" spans="1:105" ht="11.45" hidden="1" customHeight="1" x14ac:dyDescent="0.25">
      <c r="A109" s="138" t="s">
        <v>116</v>
      </c>
      <c r="B109" s="86">
        <v>9987</v>
      </c>
      <c r="C109" s="86">
        <v>10708</v>
      </c>
      <c r="D109" s="86">
        <v>11265</v>
      </c>
      <c r="E109" s="86">
        <v>11514</v>
      </c>
      <c r="F109" s="86">
        <v>13614</v>
      </c>
      <c r="G109" s="86">
        <v>14094</v>
      </c>
      <c r="H109" s="86">
        <v>14710</v>
      </c>
      <c r="I109" s="86">
        <v>15131</v>
      </c>
      <c r="J109" s="86">
        <v>14212</v>
      </c>
      <c r="K109" s="86">
        <v>13433</v>
      </c>
      <c r="L109" s="86">
        <v>14286</v>
      </c>
      <c r="M109" s="86">
        <v>15131</v>
      </c>
      <c r="N109" s="86">
        <v>15083</v>
      </c>
      <c r="O109" s="86">
        <v>16695</v>
      </c>
      <c r="P109" s="86">
        <v>16803</v>
      </c>
      <c r="Q109" s="86">
        <v>18051</v>
      </c>
      <c r="R109" s="86">
        <v>17739</v>
      </c>
      <c r="S109" s="86">
        <v>17779</v>
      </c>
      <c r="T109" s="86">
        <v>16555</v>
      </c>
      <c r="U109" s="86">
        <v>17266</v>
      </c>
      <c r="V109" s="86">
        <v>19893</v>
      </c>
      <c r="W109" s="86">
        <v>21233</v>
      </c>
      <c r="X109" s="86">
        <v>22537</v>
      </c>
      <c r="Y109" s="86">
        <v>21877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281327</v>
      </c>
      <c r="C111" s="54">
        <f t="shared" si="167"/>
        <v>323538</v>
      </c>
      <c r="D111" s="54">
        <f t="shared" si="167"/>
        <v>377392</v>
      </c>
      <c r="E111" s="54">
        <f t="shared" si="167"/>
        <v>315215</v>
      </c>
      <c r="F111" s="54">
        <f t="shared" si="167"/>
        <v>372992</v>
      </c>
      <c r="G111" s="54">
        <f t="shared" si="167"/>
        <v>520384</v>
      </c>
      <c r="H111" s="54">
        <f t="shared" si="167"/>
        <v>518055</v>
      </c>
      <c r="I111" s="54">
        <f t="shared" si="167"/>
        <v>577267</v>
      </c>
      <c r="J111" s="54">
        <f t="shared" si="167"/>
        <v>517102</v>
      </c>
      <c r="K111" s="54">
        <f t="shared" si="167"/>
        <v>354988</v>
      </c>
      <c r="L111" s="54">
        <f t="shared" ref="L111" si="168">L112+L127</f>
        <v>390382</v>
      </c>
      <c r="M111" s="54">
        <f t="shared" ref="M111:V111" si="169">M112+M127</f>
        <v>398802</v>
      </c>
      <c r="N111" s="54">
        <f t="shared" si="169"/>
        <v>440236</v>
      </c>
      <c r="O111" s="54">
        <f t="shared" si="169"/>
        <v>345151</v>
      </c>
      <c r="P111" s="54">
        <f t="shared" si="169"/>
        <v>430323</v>
      </c>
      <c r="Q111" s="54">
        <f t="shared" si="169"/>
        <v>778492</v>
      </c>
      <c r="R111" s="54">
        <f t="shared" si="169"/>
        <v>575267</v>
      </c>
      <c r="S111" s="54">
        <f t="shared" si="169"/>
        <v>650165</v>
      </c>
      <c r="T111" s="54">
        <f t="shared" si="169"/>
        <v>623669</v>
      </c>
      <c r="U111" s="54">
        <f t="shared" si="169"/>
        <v>573798</v>
      </c>
      <c r="V111" s="54">
        <f t="shared" si="169"/>
        <v>487339</v>
      </c>
      <c r="W111" s="54">
        <f t="shared" ref="W111:Y111" si="170">W112+W127</f>
        <v>456693</v>
      </c>
      <c r="X111" s="54">
        <f t="shared" si="170"/>
        <v>676408</v>
      </c>
      <c r="Y111" s="54">
        <f t="shared" si="170"/>
        <v>656842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249511</v>
      </c>
      <c r="C112" s="28">
        <f t="shared" si="171"/>
        <v>294641</v>
      </c>
      <c r="D112" s="28">
        <f t="shared" si="171"/>
        <v>335571</v>
      </c>
      <c r="E112" s="28">
        <f t="shared" si="171"/>
        <v>276748</v>
      </c>
      <c r="F112" s="28">
        <f t="shared" si="171"/>
        <v>321770</v>
      </c>
      <c r="G112" s="28">
        <f t="shared" si="171"/>
        <v>451304</v>
      </c>
      <c r="H112" s="28">
        <f t="shared" si="171"/>
        <v>441862</v>
      </c>
      <c r="I112" s="28">
        <f t="shared" si="171"/>
        <v>492164</v>
      </c>
      <c r="J112" s="28">
        <f t="shared" si="171"/>
        <v>436674</v>
      </c>
      <c r="K112" s="28">
        <f t="shared" si="171"/>
        <v>328120</v>
      </c>
      <c r="L112" s="28">
        <f t="shared" ref="L112" si="172">L113+L114+L121</f>
        <v>358890</v>
      </c>
      <c r="M112" s="28">
        <f t="shared" ref="M112:V112" si="173">M113+M114+M121</f>
        <v>362580</v>
      </c>
      <c r="N112" s="28">
        <f t="shared" si="173"/>
        <v>410501</v>
      </c>
      <c r="O112" s="28">
        <f t="shared" si="173"/>
        <v>317013</v>
      </c>
      <c r="P112" s="28">
        <f t="shared" si="173"/>
        <v>394878</v>
      </c>
      <c r="Q112" s="28">
        <f t="shared" si="173"/>
        <v>721885</v>
      </c>
      <c r="R112" s="28">
        <f t="shared" si="173"/>
        <v>539579</v>
      </c>
      <c r="S112" s="28">
        <f t="shared" si="173"/>
        <v>611104</v>
      </c>
      <c r="T112" s="28">
        <f t="shared" si="173"/>
        <v>583010</v>
      </c>
      <c r="U112" s="28">
        <f t="shared" si="173"/>
        <v>533941</v>
      </c>
      <c r="V112" s="28">
        <f t="shared" si="173"/>
        <v>450435</v>
      </c>
      <c r="W112" s="28">
        <f t="shared" ref="W112:Y112" si="174">W113+W114+W121</f>
        <v>421168</v>
      </c>
      <c r="X112" s="28">
        <f t="shared" si="174"/>
        <v>638987</v>
      </c>
      <c r="Y112" s="28">
        <f t="shared" si="174"/>
        <v>613073</v>
      </c>
      <c r="DA112" s="173" t="s">
        <v>527</v>
      </c>
    </row>
    <row r="113" spans="1:105" ht="11.45" customHeight="1" x14ac:dyDescent="0.25">
      <c r="A113" s="136" t="s">
        <v>173</v>
      </c>
      <c r="B113" s="137">
        <v>5063</v>
      </c>
      <c r="C113" s="137">
        <v>42678</v>
      </c>
      <c r="D113" s="137">
        <v>37207</v>
      </c>
      <c r="E113" s="137">
        <v>7806</v>
      </c>
      <c r="F113" s="137">
        <v>31244</v>
      </c>
      <c r="G113" s="137">
        <v>99481</v>
      </c>
      <c r="H113" s="137">
        <v>74421</v>
      </c>
      <c r="I113" s="137">
        <v>83028</v>
      </c>
      <c r="J113" s="137">
        <v>72102</v>
      </c>
      <c r="K113" s="137">
        <v>33490</v>
      </c>
      <c r="L113" s="137">
        <v>61098</v>
      </c>
      <c r="M113" s="137">
        <v>57679</v>
      </c>
      <c r="N113" s="137">
        <v>71231</v>
      </c>
      <c r="O113" s="137">
        <v>27420</v>
      </c>
      <c r="P113" s="137">
        <v>55520</v>
      </c>
      <c r="Q113" s="137">
        <v>99914</v>
      </c>
      <c r="R113" s="137">
        <v>67081</v>
      </c>
      <c r="S113" s="137">
        <v>66578</v>
      </c>
      <c r="T113" s="137">
        <v>69740</v>
      </c>
      <c r="U113" s="137">
        <v>71561</v>
      </c>
      <c r="V113" s="137">
        <v>75804</v>
      </c>
      <c r="W113" s="137">
        <v>60197</v>
      </c>
      <c r="X113" s="137">
        <v>97603</v>
      </c>
      <c r="Y113" s="137">
        <v>84077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244149</v>
      </c>
      <c r="C114" s="110">
        <f t="shared" si="175"/>
        <v>249382</v>
      </c>
      <c r="D114" s="110">
        <f t="shared" si="175"/>
        <v>297890</v>
      </c>
      <c r="E114" s="110">
        <f t="shared" si="175"/>
        <v>267717</v>
      </c>
      <c r="F114" s="110">
        <f t="shared" si="175"/>
        <v>288969</v>
      </c>
      <c r="G114" s="110">
        <f t="shared" si="175"/>
        <v>350690</v>
      </c>
      <c r="H114" s="110">
        <f t="shared" si="175"/>
        <v>366245</v>
      </c>
      <c r="I114" s="110">
        <f t="shared" si="175"/>
        <v>407925</v>
      </c>
      <c r="J114" s="110">
        <f t="shared" si="175"/>
        <v>363108</v>
      </c>
      <c r="K114" s="110">
        <f t="shared" si="175"/>
        <v>293489</v>
      </c>
      <c r="L114" s="110">
        <f t="shared" ref="L114" si="176">SUM(L115:L120)</f>
        <v>296765</v>
      </c>
      <c r="M114" s="110">
        <f t="shared" ref="M114:V114" si="177">SUM(M115:M120)</f>
        <v>303791</v>
      </c>
      <c r="N114" s="110">
        <f t="shared" si="177"/>
        <v>337895</v>
      </c>
      <c r="O114" s="110">
        <f t="shared" si="177"/>
        <v>288097</v>
      </c>
      <c r="P114" s="110">
        <f t="shared" si="177"/>
        <v>337615</v>
      </c>
      <c r="Q114" s="110">
        <f t="shared" si="177"/>
        <v>620254</v>
      </c>
      <c r="R114" s="110">
        <f t="shared" si="177"/>
        <v>471139</v>
      </c>
      <c r="S114" s="110">
        <f t="shared" si="177"/>
        <v>542554</v>
      </c>
      <c r="T114" s="110">
        <f t="shared" si="177"/>
        <v>512337</v>
      </c>
      <c r="U114" s="110">
        <f t="shared" si="177"/>
        <v>460777</v>
      </c>
      <c r="V114" s="110">
        <f t="shared" si="177"/>
        <v>372986</v>
      </c>
      <c r="W114" s="110">
        <f t="shared" ref="W114:Y114" si="178">SUM(W115:W120)</f>
        <v>359445</v>
      </c>
      <c r="X114" s="110">
        <f t="shared" si="178"/>
        <v>539936</v>
      </c>
      <c r="Y114" s="110">
        <f t="shared" si="178"/>
        <v>527501</v>
      </c>
      <c r="DA114" s="176" t="s">
        <v>529</v>
      </c>
    </row>
    <row r="115" spans="1:105" ht="11.45" customHeight="1" x14ac:dyDescent="0.25">
      <c r="A115" s="111" t="s">
        <v>110</v>
      </c>
      <c r="B115" s="84">
        <v>135901</v>
      </c>
      <c r="C115" s="84">
        <v>139875</v>
      </c>
      <c r="D115" s="84">
        <v>166721</v>
      </c>
      <c r="E115" s="84">
        <v>149337</v>
      </c>
      <c r="F115" s="84">
        <v>157664</v>
      </c>
      <c r="G115" s="84">
        <v>194260</v>
      </c>
      <c r="H115" s="84">
        <v>198589</v>
      </c>
      <c r="I115" s="84">
        <v>221748</v>
      </c>
      <c r="J115" s="84">
        <v>207374</v>
      </c>
      <c r="K115" s="84">
        <v>159029</v>
      </c>
      <c r="L115" s="84">
        <v>169155</v>
      </c>
      <c r="M115" s="84">
        <v>164478</v>
      </c>
      <c r="N115" s="84">
        <v>151397</v>
      </c>
      <c r="O115" s="84">
        <v>125393</v>
      </c>
      <c r="P115" s="84">
        <v>171525</v>
      </c>
      <c r="Q115" s="84">
        <v>356519</v>
      </c>
      <c r="R115" s="84">
        <v>265865</v>
      </c>
      <c r="S115" s="84">
        <v>317112</v>
      </c>
      <c r="T115" s="84">
        <v>299622</v>
      </c>
      <c r="U115" s="84">
        <v>270707</v>
      </c>
      <c r="V115" s="84">
        <v>214236</v>
      </c>
      <c r="W115" s="84">
        <v>203181</v>
      </c>
      <c r="X115" s="84">
        <v>306242</v>
      </c>
      <c r="Y115" s="84">
        <v>292599</v>
      </c>
      <c r="DA115" s="171" t="s">
        <v>530</v>
      </c>
    </row>
    <row r="116" spans="1:105" ht="11.45" customHeight="1" x14ac:dyDescent="0.25">
      <c r="A116" s="111" t="s">
        <v>111</v>
      </c>
      <c r="B116" s="84">
        <v>101391</v>
      </c>
      <c r="C116" s="84">
        <v>103739</v>
      </c>
      <c r="D116" s="84">
        <v>123726</v>
      </c>
      <c r="E116" s="84">
        <v>111023</v>
      </c>
      <c r="F116" s="84">
        <v>119651</v>
      </c>
      <c r="G116" s="84">
        <v>144984</v>
      </c>
      <c r="H116" s="84">
        <v>151182</v>
      </c>
      <c r="I116" s="84">
        <v>168127</v>
      </c>
      <c r="J116" s="84">
        <v>149425</v>
      </c>
      <c r="K116" s="84">
        <v>120590</v>
      </c>
      <c r="L116" s="84">
        <v>121748</v>
      </c>
      <c r="M116" s="84">
        <v>124438</v>
      </c>
      <c r="N116" s="84">
        <v>155884</v>
      </c>
      <c r="O116" s="84">
        <v>147649</v>
      </c>
      <c r="P116" s="84">
        <v>137666</v>
      </c>
      <c r="Q116" s="84">
        <v>252510</v>
      </c>
      <c r="R116" s="84">
        <v>191506</v>
      </c>
      <c r="S116" s="84">
        <v>220198</v>
      </c>
      <c r="T116" s="84">
        <v>207611</v>
      </c>
      <c r="U116" s="84">
        <v>186433</v>
      </c>
      <c r="V116" s="84">
        <v>150799</v>
      </c>
      <c r="W116" s="84">
        <v>146216</v>
      </c>
      <c r="X116" s="84">
        <v>221338</v>
      </c>
      <c r="Y116" s="84">
        <v>216702</v>
      </c>
      <c r="DA116" s="171" t="s">
        <v>531</v>
      </c>
    </row>
    <row r="117" spans="1:105" ht="11.45" customHeight="1" x14ac:dyDescent="0.25">
      <c r="A117" s="111" t="s">
        <v>112</v>
      </c>
      <c r="B117" s="84">
        <v>6857</v>
      </c>
      <c r="C117" s="84">
        <v>5768</v>
      </c>
      <c r="D117" s="84">
        <v>7443</v>
      </c>
      <c r="E117" s="84">
        <v>7357</v>
      </c>
      <c r="F117" s="84">
        <v>11654</v>
      </c>
      <c r="G117" s="84">
        <v>11446</v>
      </c>
      <c r="H117" s="84">
        <v>16474</v>
      </c>
      <c r="I117" s="84">
        <v>18050</v>
      </c>
      <c r="J117" s="84">
        <v>5549</v>
      </c>
      <c r="K117" s="84">
        <v>13457</v>
      </c>
      <c r="L117" s="84">
        <v>5337</v>
      </c>
      <c r="M117" s="84">
        <v>14260</v>
      </c>
      <c r="N117" s="84">
        <v>29769</v>
      </c>
      <c r="O117" s="84">
        <v>13330</v>
      </c>
      <c r="P117" s="84">
        <v>26790</v>
      </c>
      <c r="Q117" s="84">
        <v>7918</v>
      </c>
      <c r="R117" s="84">
        <v>7586</v>
      </c>
      <c r="S117" s="84">
        <v>814</v>
      </c>
      <c r="T117" s="84">
        <v>524</v>
      </c>
      <c r="U117" s="84">
        <v>406</v>
      </c>
      <c r="V117" s="84">
        <v>1279</v>
      </c>
      <c r="W117" s="84">
        <v>2257</v>
      </c>
      <c r="X117" s="84">
        <v>3991</v>
      </c>
      <c r="Y117" s="84">
        <v>3622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760</v>
      </c>
      <c r="K118" s="84">
        <v>413</v>
      </c>
      <c r="L118" s="84">
        <v>519</v>
      </c>
      <c r="M118" s="84">
        <v>559</v>
      </c>
      <c r="N118" s="84">
        <v>813</v>
      </c>
      <c r="O118" s="84">
        <v>1552</v>
      </c>
      <c r="P118" s="84">
        <v>1402</v>
      </c>
      <c r="Q118" s="84">
        <v>2854</v>
      </c>
      <c r="R118" s="84">
        <v>5396</v>
      </c>
      <c r="S118" s="84">
        <v>3239</v>
      </c>
      <c r="T118" s="84">
        <v>3546</v>
      </c>
      <c r="U118" s="84">
        <v>1865</v>
      </c>
      <c r="V118" s="84">
        <v>1317</v>
      </c>
      <c r="W118" s="84">
        <v>840</v>
      </c>
      <c r="X118" s="84">
        <v>808</v>
      </c>
      <c r="Y118" s="84">
        <v>456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16</v>
      </c>
      <c r="O119" s="84">
        <v>11</v>
      </c>
      <c r="P119" s="84">
        <v>52</v>
      </c>
      <c r="Q119" s="84">
        <v>141</v>
      </c>
      <c r="R119" s="84">
        <v>136</v>
      </c>
      <c r="S119" s="84">
        <v>241</v>
      </c>
      <c r="T119" s="84">
        <v>292</v>
      </c>
      <c r="U119" s="84">
        <v>508</v>
      </c>
      <c r="V119" s="84">
        <v>2091</v>
      </c>
      <c r="W119" s="84">
        <v>3779</v>
      </c>
      <c r="X119" s="84">
        <v>3571</v>
      </c>
      <c r="Y119" s="84">
        <v>5558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6</v>
      </c>
      <c r="M120" s="84">
        <v>56</v>
      </c>
      <c r="N120" s="84">
        <v>16</v>
      </c>
      <c r="O120" s="84">
        <v>162</v>
      </c>
      <c r="P120" s="84">
        <v>180</v>
      </c>
      <c r="Q120" s="84">
        <v>312</v>
      </c>
      <c r="R120" s="84">
        <v>650</v>
      </c>
      <c r="S120" s="84">
        <v>950</v>
      </c>
      <c r="T120" s="84">
        <v>742</v>
      </c>
      <c r="U120" s="84">
        <v>858</v>
      </c>
      <c r="V120" s="84">
        <v>3264</v>
      </c>
      <c r="W120" s="84">
        <v>3172</v>
      </c>
      <c r="X120" s="84">
        <v>3986</v>
      </c>
      <c r="Y120" s="84">
        <v>8564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299</v>
      </c>
      <c r="C121" s="110">
        <f t="shared" si="179"/>
        <v>2581</v>
      </c>
      <c r="D121" s="110">
        <f t="shared" si="179"/>
        <v>474</v>
      </c>
      <c r="E121" s="110">
        <f t="shared" si="179"/>
        <v>1225</v>
      </c>
      <c r="F121" s="110">
        <f t="shared" si="179"/>
        <v>1557</v>
      </c>
      <c r="G121" s="110">
        <f t="shared" si="179"/>
        <v>1133</v>
      </c>
      <c r="H121" s="110">
        <f t="shared" si="179"/>
        <v>1196</v>
      </c>
      <c r="I121" s="110">
        <f t="shared" si="179"/>
        <v>1211</v>
      </c>
      <c r="J121" s="110">
        <f t="shared" si="179"/>
        <v>1464</v>
      </c>
      <c r="K121" s="110">
        <f t="shared" si="179"/>
        <v>1141</v>
      </c>
      <c r="L121" s="110">
        <f t="shared" ref="L121" si="180">SUM(L122:L126)</f>
        <v>1027</v>
      </c>
      <c r="M121" s="110">
        <f t="shared" ref="M121:V121" si="181">SUM(M122:M126)</f>
        <v>1110</v>
      </c>
      <c r="N121" s="110">
        <f t="shared" si="181"/>
        <v>1375</v>
      </c>
      <c r="O121" s="110">
        <f t="shared" si="181"/>
        <v>1496</v>
      </c>
      <c r="P121" s="110">
        <f t="shared" si="181"/>
        <v>1743</v>
      </c>
      <c r="Q121" s="110">
        <f t="shared" si="181"/>
        <v>1717</v>
      </c>
      <c r="R121" s="110">
        <f t="shared" si="181"/>
        <v>1359</v>
      </c>
      <c r="S121" s="110">
        <f t="shared" si="181"/>
        <v>1972</v>
      </c>
      <c r="T121" s="110">
        <f t="shared" si="181"/>
        <v>933</v>
      </c>
      <c r="U121" s="110">
        <f t="shared" si="181"/>
        <v>1603</v>
      </c>
      <c r="V121" s="110">
        <f t="shared" si="181"/>
        <v>1645</v>
      </c>
      <c r="W121" s="110">
        <f t="shared" ref="W121:Y121" si="182">SUM(W122:W126)</f>
        <v>1526</v>
      </c>
      <c r="X121" s="110">
        <f t="shared" si="182"/>
        <v>1448</v>
      </c>
      <c r="Y121" s="110">
        <f t="shared" si="182"/>
        <v>1495</v>
      </c>
      <c r="DA121" s="176" t="s">
        <v>536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X122" s="102">
        <v>0</v>
      </c>
      <c r="Y122" s="102">
        <v>0</v>
      </c>
      <c r="DA122" s="175" t="s">
        <v>537</v>
      </c>
    </row>
    <row r="123" spans="1:105" ht="11.45" customHeight="1" x14ac:dyDescent="0.25">
      <c r="A123" s="111" t="s">
        <v>111</v>
      </c>
      <c r="B123" s="102">
        <v>299</v>
      </c>
      <c r="C123" s="102">
        <v>2476</v>
      </c>
      <c r="D123" s="102">
        <v>300</v>
      </c>
      <c r="E123" s="102">
        <v>1125</v>
      </c>
      <c r="F123" s="102">
        <v>1532</v>
      </c>
      <c r="G123" s="102">
        <v>1109</v>
      </c>
      <c r="H123" s="102">
        <v>1145</v>
      </c>
      <c r="I123" s="102">
        <v>1211</v>
      </c>
      <c r="J123" s="102">
        <v>1464</v>
      </c>
      <c r="K123" s="102">
        <v>1141</v>
      </c>
      <c r="L123" s="102">
        <v>1025</v>
      </c>
      <c r="M123" s="102">
        <v>1110</v>
      </c>
      <c r="N123" s="102">
        <v>1350</v>
      </c>
      <c r="O123" s="102">
        <v>1464</v>
      </c>
      <c r="P123" s="102">
        <v>1217</v>
      </c>
      <c r="Q123" s="102">
        <v>880</v>
      </c>
      <c r="R123" s="102">
        <v>1087</v>
      </c>
      <c r="S123" s="102">
        <v>830</v>
      </c>
      <c r="T123" s="102">
        <v>725</v>
      </c>
      <c r="U123" s="102">
        <v>1216</v>
      </c>
      <c r="V123" s="102">
        <v>1364</v>
      </c>
      <c r="W123" s="102">
        <v>1449</v>
      </c>
      <c r="X123" s="102">
        <v>1278</v>
      </c>
      <c r="Y123" s="102">
        <v>1254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7</v>
      </c>
      <c r="W124" s="102">
        <v>0</v>
      </c>
      <c r="X124" s="102">
        <v>0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93</v>
      </c>
      <c r="D125" s="102">
        <v>174</v>
      </c>
      <c r="E125" s="102">
        <v>100</v>
      </c>
      <c r="F125" s="102">
        <v>22</v>
      </c>
      <c r="G125" s="102">
        <v>24</v>
      </c>
      <c r="H125" s="102">
        <v>26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25</v>
      </c>
      <c r="O125" s="102">
        <v>31</v>
      </c>
      <c r="P125" s="102">
        <v>518</v>
      </c>
      <c r="Q125" s="102">
        <v>820</v>
      </c>
      <c r="R125" s="102">
        <v>207</v>
      </c>
      <c r="S125" s="102">
        <v>1120</v>
      </c>
      <c r="T125" s="102">
        <v>125</v>
      </c>
      <c r="U125" s="102">
        <v>374</v>
      </c>
      <c r="V125" s="102">
        <v>262</v>
      </c>
      <c r="W125" s="102">
        <v>74</v>
      </c>
      <c r="X125" s="102">
        <v>72</v>
      </c>
      <c r="Y125" s="102">
        <v>188</v>
      </c>
      <c r="DA125" s="175" t="s">
        <v>540</v>
      </c>
    </row>
    <row r="126" spans="1:105" ht="11.45" customHeight="1" x14ac:dyDescent="0.25">
      <c r="A126" s="111" t="s">
        <v>115</v>
      </c>
      <c r="B126" s="102">
        <v>0</v>
      </c>
      <c r="C126" s="102">
        <v>12</v>
      </c>
      <c r="D126" s="102">
        <v>0</v>
      </c>
      <c r="E126" s="102">
        <v>0</v>
      </c>
      <c r="F126" s="102">
        <v>3</v>
      </c>
      <c r="G126" s="102">
        <v>0</v>
      </c>
      <c r="H126" s="102">
        <v>25</v>
      </c>
      <c r="I126" s="102">
        <v>0</v>
      </c>
      <c r="J126" s="102">
        <v>0</v>
      </c>
      <c r="K126" s="102">
        <v>0</v>
      </c>
      <c r="L126" s="102">
        <v>2</v>
      </c>
      <c r="M126" s="102">
        <v>0</v>
      </c>
      <c r="N126" s="102">
        <v>0</v>
      </c>
      <c r="O126" s="102">
        <v>1</v>
      </c>
      <c r="P126" s="102">
        <v>8</v>
      </c>
      <c r="Q126" s="102">
        <v>17</v>
      </c>
      <c r="R126" s="102">
        <v>65</v>
      </c>
      <c r="S126" s="102">
        <v>22</v>
      </c>
      <c r="T126" s="102">
        <v>83</v>
      </c>
      <c r="U126" s="102">
        <v>13</v>
      </c>
      <c r="V126" s="102">
        <v>12</v>
      </c>
      <c r="W126" s="102">
        <v>3</v>
      </c>
      <c r="X126" s="102">
        <v>98</v>
      </c>
      <c r="Y126" s="102">
        <v>53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31816</v>
      </c>
      <c r="C127" s="28">
        <f t="shared" si="183"/>
        <v>28897</v>
      </c>
      <c r="D127" s="28">
        <f t="shared" si="183"/>
        <v>41821</v>
      </c>
      <c r="E127" s="28">
        <f t="shared" si="183"/>
        <v>38467</v>
      </c>
      <c r="F127" s="28">
        <f t="shared" si="183"/>
        <v>51222</v>
      </c>
      <c r="G127" s="28">
        <f t="shared" si="183"/>
        <v>69080</v>
      </c>
      <c r="H127" s="28">
        <f t="shared" si="183"/>
        <v>76193</v>
      </c>
      <c r="I127" s="28">
        <f t="shared" si="183"/>
        <v>85103</v>
      </c>
      <c r="J127" s="28">
        <f t="shared" si="183"/>
        <v>80428</v>
      </c>
      <c r="K127" s="28">
        <f t="shared" si="183"/>
        <v>26868</v>
      </c>
      <c r="L127" s="28">
        <f t="shared" ref="L127" si="184">L128+L134</f>
        <v>31492</v>
      </c>
      <c r="M127" s="28">
        <f t="shared" ref="M127:V127" si="185">M128+M134</f>
        <v>36222</v>
      </c>
      <c r="N127" s="28">
        <f t="shared" si="185"/>
        <v>29735</v>
      </c>
      <c r="O127" s="28">
        <f t="shared" si="185"/>
        <v>28138</v>
      </c>
      <c r="P127" s="28">
        <f t="shared" si="185"/>
        <v>35445</v>
      </c>
      <c r="Q127" s="28">
        <f t="shared" si="185"/>
        <v>56607</v>
      </c>
      <c r="R127" s="28">
        <f t="shared" si="185"/>
        <v>35688</v>
      </c>
      <c r="S127" s="28">
        <f t="shared" si="185"/>
        <v>39061</v>
      </c>
      <c r="T127" s="28">
        <f t="shared" si="185"/>
        <v>40659</v>
      </c>
      <c r="U127" s="28">
        <f t="shared" si="185"/>
        <v>39857</v>
      </c>
      <c r="V127" s="28">
        <f t="shared" si="185"/>
        <v>36904</v>
      </c>
      <c r="W127" s="28">
        <f t="shared" ref="W127:Y127" si="186">W128+W134</f>
        <v>35525</v>
      </c>
      <c r="X127" s="28">
        <f t="shared" si="186"/>
        <v>37421</v>
      </c>
      <c r="Y127" s="28">
        <f t="shared" si="186"/>
        <v>43769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30817</v>
      </c>
      <c r="C128" s="137">
        <f t="shared" si="187"/>
        <v>21638</v>
      </c>
      <c r="D128" s="137">
        <f t="shared" si="187"/>
        <v>33045</v>
      </c>
      <c r="E128" s="137">
        <f t="shared" si="187"/>
        <v>36292</v>
      </c>
      <c r="F128" s="137">
        <f t="shared" si="187"/>
        <v>46264</v>
      </c>
      <c r="G128" s="137">
        <f t="shared" si="187"/>
        <v>60871</v>
      </c>
      <c r="H128" s="137">
        <f t="shared" si="187"/>
        <v>64845</v>
      </c>
      <c r="I128" s="137">
        <f t="shared" si="187"/>
        <v>72124</v>
      </c>
      <c r="J128" s="137">
        <f t="shared" si="187"/>
        <v>72815</v>
      </c>
      <c r="K128" s="137">
        <f t="shared" si="187"/>
        <v>25063</v>
      </c>
      <c r="L128" s="137">
        <f t="shared" ref="L128" si="188">SUM(L129:L133)</f>
        <v>23387</v>
      </c>
      <c r="M128" s="137">
        <f t="shared" ref="M128:V128" si="189">SUM(M129:M133)</f>
        <v>26528</v>
      </c>
      <c r="N128" s="137">
        <f t="shared" si="189"/>
        <v>14297</v>
      </c>
      <c r="O128" s="137">
        <f t="shared" si="189"/>
        <v>17204</v>
      </c>
      <c r="P128" s="137">
        <f t="shared" si="189"/>
        <v>23098</v>
      </c>
      <c r="Q128" s="137">
        <f t="shared" si="189"/>
        <v>39086</v>
      </c>
      <c r="R128" s="137">
        <f t="shared" si="189"/>
        <v>22282</v>
      </c>
      <c r="S128" s="137">
        <f t="shared" si="189"/>
        <v>24711</v>
      </c>
      <c r="T128" s="137">
        <f t="shared" si="189"/>
        <v>28057</v>
      </c>
      <c r="U128" s="137">
        <f t="shared" si="189"/>
        <v>25982</v>
      </c>
      <c r="V128" s="137">
        <f t="shared" si="189"/>
        <v>24746</v>
      </c>
      <c r="W128" s="137">
        <f t="shared" ref="W128:Y128" si="190">SUM(W129:W133)</f>
        <v>24904</v>
      </c>
      <c r="X128" s="137">
        <f t="shared" si="190"/>
        <v>22006</v>
      </c>
      <c r="Y128" s="137">
        <f t="shared" si="190"/>
        <v>30358</v>
      </c>
      <c r="DA128" s="174" t="s">
        <v>543</v>
      </c>
    </row>
    <row r="129" spans="1:105" ht="11.45" customHeight="1" x14ac:dyDescent="0.25">
      <c r="A129" s="111" t="s">
        <v>110</v>
      </c>
      <c r="B129" s="84">
        <v>6560</v>
      </c>
      <c r="C129" s="84">
        <v>6850</v>
      </c>
      <c r="D129" s="84">
        <v>9721</v>
      </c>
      <c r="E129" s="84">
        <v>3355</v>
      </c>
      <c r="F129" s="84">
        <v>6415</v>
      </c>
      <c r="G129" s="84">
        <v>10607</v>
      </c>
      <c r="H129" s="84">
        <v>16396</v>
      </c>
      <c r="I129" s="84">
        <v>16805</v>
      </c>
      <c r="J129" s="84">
        <v>15053</v>
      </c>
      <c r="K129" s="84">
        <v>2935</v>
      </c>
      <c r="L129" s="84">
        <v>2947</v>
      </c>
      <c r="M129" s="84">
        <v>3385</v>
      </c>
      <c r="N129" s="84">
        <v>3309</v>
      </c>
      <c r="O129" s="84">
        <v>6383</v>
      </c>
      <c r="P129" s="84">
        <v>9217</v>
      </c>
      <c r="Q129" s="84">
        <v>12803</v>
      </c>
      <c r="R129" s="84">
        <v>7958</v>
      </c>
      <c r="S129" s="84">
        <v>8343</v>
      </c>
      <c r="T129" s="84">
        <v>8334</v>
      </c>
      <c r="U129" s="84">
        <v>8217</v>
      </c>
      <c r="V129" s="84">
        <v>8044</v>
      </c>
      <c r="W129" s="84">
        <v>7712</v>
      </c>
      <c r="X129" s="84">
        <v>8787</v>
      </c>
      <c r="Y129" s="84">
        <v>10735</v>
      </c>
      <c r="DA129" s="171" t="s">
        <v>544</v>
      </c>
    </row>
    <row r="130" spans="1:105" ht="11.45" customHeight="1" x14ac:dyDescent="0.25">
      <c r="A130" s="111" t="s">
        <v>111</v>
      </c>
      <c r="B130" s="84">
        <v>24257</v>
      </c>
      <c r="C130" s="84">
        <v>14542</v>
      </c>
      <c r="D130" s="84">
        <v>22741</v>
      </c>
      <c r="E130" s="84">
        <v>32303</v>
      </c>
      <c r="F130" s="84">
        <v>38945</v>
      </c>
      <c r="G130" s="84">
        <v>49431</v>
      </c>
      <c r="H130" s="84">
        <v>47296</v>
      </c>
      <c r="I130" s="84">
        <v>54054</v>
      </c>
      <c r="J130" s="84">
        <v>57370</v>
      </c>
      <c r="K130" s="84">
        <v>21214</v>
      </c>
      <c r="L130" s="84">
        <v>20121</v>
      </c>
      <c r="M130" s="84">
        <v>22347</v>
      </c>
      <c r="N130" s="84">
        <v>8889</v>
      </c>
      <c r="O130" s="84">
        <v>9403</v>
      </c>
      <c r="P130" s="84">
        <v>10888</v>
      </c>
      <c r="Q130" s="84">
        <v>22268</v>
      </c>
      <c r="R130" s="84">
        <v>10196</v>
      </c>
      <c r="S130" s="84">
        <v>12975</v>
      </c>
      <c r="T130" s="84">
        <v>16595</v>
      </c>
      <c r="U130" s="84">
        <v>15241</v>
      </c>
      <c r="V130" s="84">
        <v>14660</v>
      </c>
      <c r="W130" s="84">
        <v>15732</v>
      </c>
      <c r="X130" s="84">
        <v>12967</v>
      </c>
      <c r="Y130" s="84">
        <v>18995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246</v>
      </c>
      <c r="D131" s="84">
        <v>583</v>
      </c>
      <c r="E131" s="84">
        <v>634</v>
      </c>
      <c r="F131" s="84">
        <v>904</v>
      </c>
      <c r="G131" s="84">
        <v>833</v>
      </c>
      <c r="H131" s="84">
        <v>1153</v>
      </c>
      <c r="I131" s="84">
        <v>1265</v>
      </c>
      <c r="J131" s="84">
        <v>353</v>
      </c>
      <c r="K131" s="84">
        <v>912</v>
      </c>
      <c r="L131" s="84">
        <v>315</v>
      </c>
      <c r="M131" s="84">
        <v>792</v>
      </c>
      <c r="N131" s="84">
        <v>1635</v>
      </c>
      <c r="O131" s="84">
        <v>1032</v>
      </c>
      <c r="P131" s="84">
        <v>1776</v>
      </c>
      <c r="Q131" s="84">
        <v>685</v>
      </c>
      <c r="R131" s="84">
        <v>1353</v>
      </c>
      <c r="S131" s="84">
        <v>479</v>
      </c>
      <c r="T131" s="84">
        <v>609</v>
      </c>
      <c r="U131" s="84">
        <v>71</v>
      </c>
      <c r="V131" s="84">
        <v>0</v>
      </c>
      <c r="W131" s="84">
        <v>7</v>
      </c>
      <c r="X131" s="84">
        <v>24</v>
      </c>
      <c r="Y131" s="84">
        <v>63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443</v>
      </c>
      <c r="O132" s="84">
        <v>373</v>
      </c>
      <c r="P132" s="84">
        <v>1205</v>
      </c>
      <c r="Q132" s="84">
        <v>3311</v>
      </c>
      <c r="R132" s="84">
        <v>2754</v>
      </c>
      <c r="S132" s="84">
        <v>2886</v>
      </c>
      <c r="T132" s="84">
        <v>2458</v>
      </c>
      <c r="U132" s="84">
        <v>2323</v>
      </c>
      <c r="V132" s="84">
        <v>1922</v>
      </c>
      <c r="W132" s="84">
        <v>1167</v>
      </c>
      <c r="X132" s="84">
        <v>78</v>
      </c>
      <c r="Y132" s="84">
        <v>48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39</v>
      </c>
      <c r="K133" s="84">
        <v>2</v>
      </c>
      <c r="L133" s="84">
        <v>4</v>
      </c>
      <c r="M133" s="84">
        <v>4</v>
      </c>
      <c r="N133" s="84">
        <v>21</v>
      </c>
      <c r="O133" s="84">
        <v>13</v>
      </c>
      <c r="P133" s="84">
        <v>12</v>
      </c>
      <c r="Q133" s="84">
        <v>19</v>
      </c>
      <c r="R133" s="84">
        <v>21</v>
      </c>
      <c r="S133" s="84">
        <v>28</v>
      </c>
      <c r="T133" s="84">
        <v>61</v>
      </c>
      <c r="U133" s="84">
        <v>130</v>
      </c>
      <c r="V133" s="84">
        <v>120</v>
      </c>
      <c r="W133" s="84">
        <v>286</v>
      </c>
      <c r="X133" s="84">
        <v>150</v>
      </c>
      <c r="Y133" s="84">
        <v>517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999</v>
      </c>
      <c r="C134" s="110">
        <f t="shared" si="191"/>
        <v>7259</v>
      </c>
      <c r="D134" s="110">
        <f t="shared" si="191"/>
        <v>8776</v>
      </c>
      <c r="E134" s="110">
        <f t="shared" si="191"/>
        <v>2175</v>
      </c>
      <c r="F134" s="110">
        <f t="shared" si="191"/>
        <v>4958</v>
      </c>
      <c r="G134" s="110">
        <f t="shared" si="191"/>
        <v>8209</v>
      </c>
      <c r="H134" s="110">
        <f t="shared" si="191"/>
        <v>11348</v>
      </c>
      <c r="I134" s="110">
        <f t="shared" si="191"/>
        <v>12979</v>
      </c>
      <c r="J134" s="110">
        <f t="shared" si="191"/>
        <v>7613</v>
      </c>
      <c r="K134" s="110">
        <f t="shared" si="191"/>
        <v>1805</v>
      </c>
      <c r="L134" s="110">
        <f t="shared" ref="L134" si="192">SUM(L135:L136)</f>
        <v>8105</v>
      </c>
      <c r="M134" s="110">
        <f t="shared" ref="M134:V134" si="193">SUM(M135:M136)</f>
        <v>9694</v>
      </c>
      <c r="N134" s="110">
        <f t="shared" si="193"/>
        <v>15438</v>
      </c>
      <c r="O134" s="110">
        <f t="shared" si="193"/>
        <v>10934</v>
      </c>
      <c r="P134" s="110">
        <f t="shared" si="193"/>
        <v>12347</v>
      </c>
      <c r="Q134" s="110">
        <f t="shared" si="193"/>
        <v>17521</v>
      </c>
      <c r="R134" s="110">
        <f t="shared" si="193"/>
        <v>13406</v>
      </c>
      <c r="S134" s="110">
        <f t="shared" si="193"/>
        <v>14350</v>
      </c>
      <c r="T134" s="110">
        <f t="shared" si="193"/>
        <v>12602</v>
      </c>
      <c r="U134" s="110">
        <f t="shared" si="193"/>
        <v>13875</v>
      </c>
      <c r="V134" s="110">
        <f t="shared" si="193"/>
        <v>12158</v>
      </c>
      <c r="W134" s="110">
        <f t="shared" ref="W134:Y134" si="194">SUM(W135:W136)</f>
        <v>10621</v>
      </c>
      <c r="X134" s="110">
        <f t="shared" si="194"/>
        <v>15415</v>
      </c>
      <c r="Y134" s="110">
        <f t="shared" si="194"/>
        <v>13411</v>
      </c>
      <c r="DA134" s="176" t="s">
        <v>549</v>
      </c>
    </row>
    <row r="135" spans="1:105" ht="11.45" customHeight="1" x14ac:dyDescent="0.25">
      <c r="A135" s="128" t="s">
        <v>27</v>
      </c>
      <c r="B135" s="102">
        <v>0</v>
      </c>
      <c r="C135" s="102">
        <v>6102</v>
      </c>
      <c r="D135" s="102">
        <v>7688</v>
      </c>
      <c r="E135" s="102">
        <v>1300</v>
      </c>
      <c r="F135" s="102">
        <v>2140</v>
      </c>
      <c r="G135" s="102">
        <v>6906</v>
      </c>
      <c r="H135" s="102">
        <v>9813</v>
      </c>
      <c r="I135" s="102">
        <v>11544</v>
      </c>
      <c r="J135" s="102">
        <v>7436</v>
      </c>
      <c r="K135" s="102">
        <v>1427</v>
      </c>
      <c r="L135" s="102">
        <v>6062</v>
      </c>
      <c r="M135" s="102">
        <v>7636</v>
      </c>
      <c r="N135" s="102">
        <v>14258</v>
      </c>
      <c r="O135" s="102">
        <v>8095</v>
      </c>
      <c r="P135" s="102">
        <v>11016</v>
      </c>
      <c r="Q135" s="102">
        <v>15037</v>
      </c>
      <c r="R135" s="102">
        <v>12433</v>
      </c>
      <c r="S135" s="102">
        <v>12980</v>
      </c>
      <c r="T135" s="102">
        <v>12457</v>
      </c>
      <c r="U135" s="102">
        <v>11764</v>
      </c>
      <c r="V135" s="102">
        <v>8114</v>
      </c>
      <c r="W135" s="102">
        <v>7839</v>
      </c>
      <c r="X135" s="102">
        <v>12625</v>
      </c>
      <c r="Y135" s="102">
        <v>12534</v>
      </c>
      <c r="DA135" s="175" t="s">
        <v>550</v>
      </c>
    </row>
    <row r="136" spans="1:105" ht="11.45" customHeight="1" x14ac:dyDescent="0.25">
      <c r="A136" s="138" t="s">
        <v>116</v>
      </c>
      <c r="B136" s="86">
        <v>999</v>
      </c>
      <c r="C136" s="86">
        <v>1157</v>
      </c>
      <c r="D136" s="86">
        <v>1088</v>
      </c>
      <c r="E136" s="86">
        <v>875</v>
      </c>
      <c r="F136" s="86">
        <v>2818</v>
      </c>
      <c r="G136" s="86">
        <v>1303</v>
      </c>
      <c r="H136" s="86">
        <v>1535</v>
      </c>
      <c r="I136" s="86">
        <v>1435</v>
      </c>
      <c r="J136" s="86">
        <v>177</v>
      </c>
      <c r="K136" s="86">
        <v>378</v>
      </c>
      <c r="L136" s="86">
        <v>2043</v>
      </c>
      <c r="M136" s="86">
        <v>2058</v>
      </c>
      <c r="N136" s="86">
        <v>1180</v>
      </c>
      <c r="O136" s="86">
        <v>2839</v>
      </c>
      <c r="P136" s="86">
        <v>1331</v>
      </c>
      <c r="Q136" s="86">
        <v>2484</v>
      </c>
      <c r="R136" s="86">
        <v>973</v>
      </c>
      <c r="S136" s="86">
        <v>1370</v>
      </c>
      <c r="T136" s="86">
        <v>145</v>
      </c>
      <c r="U136" s="86">
        <v>2111</v>
      </c>
      <c r="V136" s="86">
        <v>4044</v>
      </c>
      <c r="W136" s="86">
        <v>2782</v>
      </c>
      <c r="X136" s="86">
        <v>2790</v>
      </c>
      <c r="Y136" s="86">
        <v>877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2.4250500922562459</v>
      </c>
      <c r="C141" s="32">
        <f t="shared" si="195"/>
        <v>2.2603760833731825</v>
      </c>
      <c r="D141" s="32">
        <f t="shared" si="195"/>
        <v>2.1731270621596068</v>
      </c>
      <c r="E141" s="32">
        <f t="shared" si="195"/>
        <v>1.9537690160379007</v>
      </c>
      <c r="F141" s="32">
        <f t="shared" si="195"/>
        <v>1.8696797000984573</v>
      </c>
      <c r="G141" s="32">
        <f t="shared" si="195"/>
        <v>1.8289076743671269</v>
      </c>
      <c r="H141" s="32">
        <f t="shared" si="195"/>
        <v>1.8325205650057357</v>
      </c>
      <c r="I141" s="32">
        <f t="shared" si="195"/>
        <v>1.7901989251113788</v>
      </c>
      <c r="J141" s="32">
        <f t="shared" si="195"/>
        <v>1.795734177293244</v>
      </c>
      <c r="K141" s="32">
        <f t="shared" si="195"/>
        <v>1.7507404757343632</v>
      </c>
      <c r="L141" s="32">
        <f t="shared" ref="L141" si="196">IF(L4=0,0,L4/L31)</f>
        <v>1.705719736091627</v>
      </c>
      <c r="M141" s="32">
        <f t="shared" ref="M141:V141" si="197">IF(M4=0,0,M4/M31)</f>
        <v>1.6900702473018625</v>
      </c>
      <c r="N141" s="32">
        <f t="shared" si="197"/>
        <v>1.6697596702008042</v>
      </c>
      <c r="O141" s="32">
        <f t="shared" si="197"/>
        <v>1.6630904523814365</v>
      </c>
      <c r="P141" s="32">
        <f t="shared" si="197"/>
        <v>1.6747024744556209</v>
      </c>
      <c r="Q141" s="32">
        <f t="shared" si="197"/>
        <v>1.6506891472426453</v>
      </c>
      <c r="R141" s="32">
        <f t="shared" si="197"/>
        <v>1.5933296869969604</v>
      </c>
      <c r="S141" s="32">
        <f t="shared" si="197"/>
        <v>1.5929524650830997</v>
      </c>
      <c r="T141" s="32">
        <f t="shared" si="197"/>
        <v>1.6139808199241348</v>
      </c>
      <c r="U141" s="32">
        <f t="shared" si="197"/>
        <v>1.6059402411774777</v>
      </c>
      <c r="V141" s="32">
        <f t="shared" si="197"/>
        <v>1.3318266189960473</v>
      </c>
      <c r="W141" s="32">
        <f t="shared" ref="W141:Y141" si="198">IF(W4=0,0,W4/W31)</f>
        <v>1.4996710507260904</v>
      </c>
      <c r="X141" s="32">
        <f t="shared" si="198"/>
        <v>1.5419057468912345</v>
      </c>
      <c r="Y141" s="32">
        <f t="shared" si="198"/>
        <v>1.4758181489564615</v>
      </c>
      <c r="DA141" s="173" t="s">
        <v>552</v>
      </c>
    </row>
    <row r="142" spans="1:105" ht="11.45" customHeight="1" x14ac:dyDescent="0.25">
      <c r="A142" s="136" t="s">
        <v>173</v>
      </c>
      <c r="B142" s="141">
        <v>1.1549472685768509</v>
      </c>
      <c r="C142" s="141">
        <v>1.1549251164250129</v>
      </c>
      <c r="D142" s="141">
        <v>1.154724433005738</v>
      </c>
      <c r="E142" s="141">
        <v>1.1552093820866829</v>
      </c>
      <c r="F142" s="141">
        <v>1.1553640856511078</v>
      </c>
      <c r="G142" s="141">
        <v>1.1543178727366701</v>
      </c>
      <c r="H142" s="141">
        <v>1.1546398637822313</v>
      </c>
      <c r="I142" s="141">
        <v>1.1564931393319677</v>
      </c>
      <c r="J142" s="141">
        <v>1.1571017737935945</v>
      </c>
      <c r="K142" s="141">
        <v>1.157657056258365</v>
      </c>
      <c r="L142" s="141">
        <v>1.1556682113354206</v>
      </c>
      <c r="M142" s="141">
        <v>1.1546558434345866</v>
      </c>
      <c r="N142" s="141">
        <v>1.1475295413899491</v>
      </c>
      <c r="O142" s="141">
        <v>1.1469392088128176</v>
      </c>
      <c r="P142" s="141">
        <v>1.1494295322312342</v>
      </c>
      <c r="Q142" s="141">
        <v>1.1514161199072459</v>
      </c>
      <c r="R142" s="141">
        <v>1.1517202102055326</v>
      </c>
      <c r="S142" s="141">
        <v>1.1510465436692547</v>
      </c>
      <c r="T142" s="141">
        <v>1.1504916350089844</v>
      </c>
      <c r="U142" s="141">
        <v>1.1511891318599035</v>
      </c>
      <c r="V142" s="141">
        <v>1.1499082971159067</v>
      </c>
      <c r="W142" s="141">
        <v>1.1503153056289739</v>
      </c>
      <c r="X142" s="141">
        <v>1.1503152798024712</v>
      </c>
      <c r="Y142" s="141">
        <v>1.1516608667516206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2.0213037003125738</v>
      </c>
      <c r="C143" s="130">
        <f t="shared" si="199"/>
        <v>1.8438993304564126</v>
      </c>
      <c r="D143" s="130">
        <f t="shared" si="199"/>
        <v>1.7977215060776541</v>
      </c>
      <c r="E143" s="130">
        <f t="shared" si="199"/>
        <v>1.6159481424731523</v>
      </c>
      <c r="F143" s="130">
        <f t="shared" si="199"/>
        <v>1.5652736699958423</v>
      </c>
      <c r="G143" s="130">
        <f t="shared" si="199"/>
        <v>1.5266064006539186</v>
      </c>
      <c r="H143" s="130">
        <f t="shared" si="199"/>
        <v>1.5269691781041299</v>
      </c>
      <c r="I143" s="130">
        <f t="shared" si="199"/>
        <v>1.4957737579693033</v>
      </c>
      <c r="J143" s="130">
        <f t="shared" si="199"/>
        <v>1.5042044209301664</v>
      </c>
      <c r="K143" s="130">
        <f t="shared" si="199"/>
        <v>1.4656916496785599</v>
      </c>
      <c r="L143" s="130">
        <f t="shared" ref="L143" si="200">IF(L6=0,0,L6/L33)</f>
        <v>1.3802724410684475</v>
      </c>
      <c r="M143" s="130">
        <f t="shared" ref="M143:V143" si="201">IF(M6=0,0,M6/M33)</f>
        <v>1.3934125184124775</v>
      </c>
      <c r="N143" s="130">
        <f t="shared" si="201"/>
        <v>1.3814948556585362</v>
      </c>
      <c r="O143" s="130">
        <f t="shared" si="201"/>
        <v>1.369430295709426</v>
      </c>
      <c r="P143" s="130">
        <f t="shared" si="201"/>
        <v>1.362869769969719</v>
      </c>
      <c r="Q143" s="130">
        <f t="shared" si="201"/>
        <v>1.3862093332826813</v>
      </c>
      <c r="R143" s="130">
        <f t="shared" si="201"/>
        <v>1.3457370389263534</v>
      </c>
      <c r="S143" s="130">
        <f t="shared" si="201"/>
        <v>1.3403901839440442</v>
      </c>
      <c r="T143" s="130">
        <f t="shared" si="201"/>
        <v>1.3615296194610018</v>
      </c>
      <c r="U143" s="130">
        <f t="shared" si="201"/>
        <v>1.3645722424820297</v>
      </c>
      <c r="V143" s="130">
        <f t="shared" si="201"/>
        <v>1.1945827553370514</v>
      </c>
      <c r="W143" s="130">
        <f t="shared" ref="W143:Y143" si="202">IF(W6=0,0,W6/W33)</f>
        <v>1.3808430686231277</v>
      </c>
      <c r="X143" s="130">
        <f t="shared" si="202"/>
        <v>1.3848215805955355</v>
      </c>
      <c r="Y143" s="130">
        <f t="shared" si="202"/>
        <v>1.3231504653903083</v>
      </c>
      <c r="DA143" s="176" t="s">
        <v>554</v>
      </c>
    </row>
    <row r="144" spans="1:105" ht="11.45" customHeight="1" x14ac:dyDescent="0.25">
      <c r="A144" s="111" t="s">
        <v>110</v>
      </c>
      <c r="B144" s="96">
        <v>2.0031568128352295</v>
      </c>
      <c r="C144" s="96">
        <v>1.8246267326533012</v>
      </c>
      <c r="D144" s="96">
        <v>1.7771691476161739</v>
      </c>
      <c r="E144" s="96">
        <v>1.5956661040596005</v>
      </c>
      <c r="F144" s="96">
        <v>1.5443627605308636</v>
      </c>
      <c r="G144" s="96">
        <v>1.5041368913656543</v>
      </c>
      <c r="H144" s="96">
        <v>1.503801275451474</v>
      </c>
      <c r="I144" s="96">
        <v>1.4731123180622516</v>
      </c>
      <c r="J144" s="96">
        <v>1.4804378078119804</v>
      </c>
      <c r="K144" s="96">
        <v>1.4415275077306986</v>
      </c>
      <c r="L144" s="96">
        <v>1.3572422031717051</v>
      </c>
      <c r="M144" s="96">
        <v>1.3686358580891664</v>
      </c>
      <c r="N144" s="96">
        <v>1.3553927549729394</v>
      </c>
      <c r="O144" s="96">
        <v>1.3418729682659456</v>
      </c>
      <c r="P144" s="96">
        <v>1.3350587964478902</v>
      </c>
      <c r="Q144" s="96">
        <v>1.3577331924418239</v>
      </c>
      <c r="R144" s="96">
        <v>1.3174218207752564</v>
      </c>
      <c r="S144" s="96">
        <v>1.3117761999094355</v>
      </c>
      <c r="T144" s="96">
        <v>1.3322552214282783</v>
      </c>
      <c r="U144" s="96">
        <v>1.3348583404107746</v>
      </c>
      <c r="V144" s="96">
        <v>1.167435704519016</v>
      </c>
      <c r="W144" s="96">
        <v>1.3484450591091035</v>
      </c>
      <c r="X144" s="96">
        <v>1.3527899065484648</v>
      </c>
      <c r="Y144" s="96">
        <v>1.2933946418256985</v>
      </c>
      <c r="DA144" s="171" t="s">
        <v>555</v>
      </c>
    </row>
    <row r="145" spans="1:105" ht="11.45" customHeight="1" x14ac:dyDescent="0.25">
      <c r="A145" s="111" t="s">
        <v>111</v>
      </c>
      <c r="B145" s="96">
        <v>2.0846322698772743</v>
      </c>
      <c r="C145" s="96">
        <v>1.8988407412728503</v>
      </c>
      <c r="D145" s="96">
        <v>1.8494528887667778</v>
      </c>
      <c r="E145" s="96">
        <v>1.6605674758751925</v>
      </c>
      <c r="F145" s="96">
        <v>1.6071774443073545</v>
      </c>
      <c r="G145" s="96">
        <v>1.5653154470796036</v>
      </c>
      <c r="H145" s="96">
        <v>1.5649661804817507</v>
      </c>
      <c r="I145" s="96">
        <v>1.5330289948892204</v>
      </c>
      <c r="J145" s="96">
        <v>1.5406524381599069</v>
      </c>
      <c r="K145" s="96">
        <v>1.5001595188535839</v>
      </c>
      <c r="L145" s="96">
        <v>1.412446033501719</v>
      </c>
      <c r="M145" s="96">
        <v>1.424303108574722</v>
      </c>
      <c r="N145" s="96">
        <v>1.4105213617177081</v>
      </c>
      <c r="O145" s="96">
        <v>1.3964516775718285</v>
      </c>
      <c r="P145" s="96">
        <v>1.3893603493376205</v>
      </c>
      <c r="Q145" s="96">
        <v>1.4129569930382337</v>
      </c>
      <c r="R145" s="96">
        <v>1.3710060156206441</v>
      </c>
      <c r="S145" s="96">
        <v>1.3651307674299014</v>
      </c>
      <c r="T145" s="96">
        <v>1.3864427430276911</v>
      </c>
      <c r="U145" s="96">
        <v>1.3891517400460336</v>
      </c>
      <c r="V145" s="96">
        <v>1.2149194346910244</v>
      </c>
      <c r="W145" s="96">
        <v>1.4032910785435486</v>
      </c>
      <c r="X145" s="96">
        <v>1.4078126462619369</v>
      </c>
      <c r="Y145" s="96">
        <v>1.3460015665074103</v>
      </c>
      <c r="DA145" s="171" t="s">
        <v>556</v>
      </c>
    </row>
    <row r="146" spans="1:105" ht="11.45" customHeight="1" x14ac:dyDescent="0.25">
      <c r="A146" s="111" t="s">
        <v>112</v>
      </c>
      <c r="B146" s="96">
        <v>1.9606645893031969</v>
      </c>
      <c r="C146" s="96">
        <v>1.7885823505427201</v>
      </c>
      <c r="D146" s="96">
        <v>1.7437898608953242</v>
      </c>
      <c r="E146" s="96">
        <v>1.5674696981989578</v>
      </c>
      <c r="F146" s="96">
        <v>1.5183154598959667</v>
      </c>
      <c r="G146" s="96">
        <v>1.4808082086343011</v>
      </c>
      <c r="H146" s="96">
        <v>1.4811601027610057</v>
      </c>
      <c r="I146" s="96">
        <v>1.4509005452302239</v>
      </c>
      <c r="J146" s="96">
        <v>1.4590782883022613</v>
      </c>
      <c r="K146" s="96">
        <v>1.4217209001882027</v>
      </c>
      <c r="L146" s="96">
        <v>1.3388642678363938</v>
      </c>
      <c r="M146" s="96">
        <v>1.3516101428601031</v>
      </c>
      <c r="N146" s="96">
        <v>1.3400500099887798</v>
      </c>
      <c r="O146" s="96">
        <v>1.3283473868381428</v>
      </c>
      <c r="P146" s="96">
        <v>1.3219836768706275</v>
      </c>
      <c r="Q146" s="96">
        <v>1.3446230532842007</v>
      </c>
      <c r="R146" s="96">
        <v>1.3053649277585626</v>
      </c>
      <c r="S146" s="96">
        <v>1.3001784784257227</v>
      </c>
      <c r="T146" s="96">
        <v>1.3206837308771717</v>
      </c>
      <c r="U146" s="96">
        <v>1.3236350752075685</v>
      </c>
      <c r="V146" s="96">
        <v>1.1587452726769396</v>
      </c>
      <c r="W146" s="96">
        <v>1.3394177765644339</v>
      </c>
      <c r="X146" s="96">
        <v>1.3432769331776697</v>
      </c>
      <c r="Y146" s="96">
        <v>1.2834559514285988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1.4590782883022613</v>
      </c>
      <c r="K147" s="96">
        <v>1.4217209001882027</v>
      </c>
      <c r="L147" s="96">
        <v>1.3388642678363938</v>
      </c>
      <c r="M147" s="96">
        <v>1.3516101428601031</v>
      </c>
      <c r="N147" s="96">
        <v>1.3400500099887798</v>
      </c>
      <c r="O147" s="96">
        <v>1.3283473868381428</v>
      </c>
      <c r="P147" s="96">
        <v>1.3219836768706275</v>
      </c>
      <c r="Q147" s="96">
        <v>1.3446230532842007</v>
      </c>
      <c r="R147" s="96">
        <v>1.3053649277585626</v>
      </c>
      <c r="S147" s="96">
        <v>1.3001784784257227</v>
      </c>
      <c r="T147" s="96">
        <v>1.3206837308771717</v>
      </c>
      <c r="U147" s="96">
        <v>1.3236350752075685</v>
      </c>
      <c r="V147" s="96">
        <v>1.1587452726769396</v>
      </c>
      <c r="W147" s="96">
        <v>1.3394177765644339</v>
      </c>
      <c r="X147" s="96">
        <v>1.3432769331776697</v>
      </c>
      <c r="Y147" s="96">
        <v>1.2834559514285988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1.3400500099887798</v>
      </c>
      <c r="O148" s="96">
        <v>1.3283473868381428</v>
      </c>
      <c r="P148" s="96">
        <v>1.3219836768706275</v>
      </c>
      <c r="Q148" s="96">
        <v>1.3446230532842007</v>
      </c>
      <c r="R148" s="96">
        <v>1.3053649277585626</v>
      </c>
      <c r="S148" s="96">
        <v>1.3001784784257227</v>
      </c>
      <c r="T148" s="96">
        <v>1.3206837308771717</v>
      </c>
      <c r="U148" s="96">
        <v>1.3236350752075685</v>
      </c>
      <c r="V148" s="96">
        <v>1.1587452726769396</v>
      </c>
      <c r="W148" s="96">
        <v>1.3394177765644339</v>
      </c>
      <c r="X148" s="96">
        <v>1.3432769331776697</v>
      </c>
      <c r="Y148" s="96">
        <v>1.2834559514285988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1.2422451969616028</v>
      </c>
      <c r="M149" s="96">
        <v>1.2540712665712297</v>
      </c>
      <c r="N149" s="96">
        <v>1.2433453700926824</v>
      </c>
      <c r="O149" s="96">
        <v>1.2324872661384831</v>
      </c>
      <c r="P149" s="96">
        <v>1.2265827929727473</v>
      </c>
      <c r="Q149" s="96">
        <v>1.2475883999544131</v>
      </c>
      <c r="R149" s="96">
        <v>1.2111633350337181</v>
      </c>
      <c r="S149" s="96">
        <v>1.2063511655496397</v>
      </c>
      <c r="T149" s="96">
        <v>1.2253766575149019</v>
      </c>
      <c r="U149" s="96">
        <v>1.2281150182338267</v>
      </c>
      <c r="V149" s="96">
        <v>1.0751244798033464</v>
      </c>
      <c r="W149" s="96">
        <v>1.2427587617608151</v>
      </c>
      <c r="X149" s="96">
        <v>1.2463394225359823</v>
      </c>
      <c r="Y149" s="96">
        <v>1.1908354188512775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22.560407366071434</v>
      </c>
      <c r="C150" s="130">
        <f t="shared" si="203"/>
        <v>21.952634546707607</v>
      </c>
      <c r="D150" s="130">
        <f t="shared" si="203"/>
        <v>21.718832963368623</v>
      </c>
      <c r="E150" s="130">
        <f t="shared" si="203"/>
        <v>23.391873917148448</v>
      </c>
      <c r="F150" s="130">
        <f t="shared" si="203"/>
        <v>23.483681115979966</v>
      </c>
      <c r="G150" s="130">
        <f t="shared" si="203"/>
        <v>24.425508607198751</v>
      </c>
      <c r="H150" s="130">
        <f t="shared" si="203"/>
        <v>24.330124399883296</v>
      </c>
      <c r="I150" s="130">
        <f t="shared" si="203"/>
        <v>24.234740192567831</v>
      </c>
      <c r="J150" s="130">
        <f t="shared" si="203"/>
        <v>24.139355985252372</v>
      </c>
      <c r="K150" s="130">
        <f t="shared" si="203"/>
        <v>23.884690803279049</v>
      </c>
      <c r="L150" s="130">
        <f t="shared" ref="L150" si="204">IF(L13=0,0,L13/L40)</f>
        <v>24.368341760617511</v>
      </c>
      <c r="M150" s="130">
        <f t="shared" ref="M150:V150" si="205">IF(M13=0,0,M13/M40)</f>
        <v>23.939069986495017</v>
      </c>
      <c r="N150" s="130">
        <f t="shared" si="205"/>
        <v>23.938118436142091</v>
      </c>
      <c r="O150" s="130">
        <f t="shared" si="205"/>
        <v>23.938023283187089</v>
      </c>
      <c r="P150" s="130">
        <f t="shared" si="205"/>
        <v>25.914726246767795</v>
      </c>
      <c r="Q150" s="130">
        <f t="shared" si="205"/>
        <v>23.938012816385129</v>
      </c>
      <c r="R150" s="130">
        <f t="shared" si="205"/>
        <v>23.939951720853546</v>
      </c>
      <c r="S150" s="130">
        <f t="shared" si="205"/>
        <v>23.928731904804668</v>
      </c>
      <c r="T150" s="130">
        <f t="shared" si="205"/>
        <v>23.921241627847788</v>
      </c>
      <c r="U150" s="130">
        <f t="shared" si="205"/>
        <v>23.922439089835066</v>
      </c>
      <c r="V150" s="130">
        <f t="shared" si="205"/>
        <v>17.698787528394732</v>
      </c>
      <c r="W150" s="130">
        <f t="shared" ref="W150:Y150" si="206">IF(W13=0,0,W13/W40)</f>
        <v>18.197407463553191</v>
      </c>
      <c r="X150" s="130">
        <f t="shared" si="206"/>
        <v>20.769906826946041</v>
      </c>
      <c r="Y150" s="130">
        <f t="shared" si="206"/>
        <v>20.669734347475341</v>
      </c>
      <c r="DA150" s="176" t="s">
        <v>561</v>
      </c>
    </row>
    <row r="151" spans="1:105" ht="11.45" customHeight="1" x14ac:dyDescent="0.25">
      <c r="A151" s="111" t="s">
        <v>110</v>
      </c>
      <c r="B151" s="97">
        <v>8.6770797561813211</v>
      </c>
      <c r="C151" s="97">
        <v>8.4433209795029232</v>
      </c>
      <c r="D151" s="97">
        <v>8.353397293603317</v>
      </c>
      <c r="E151" s="97">
        <v>8.9968745835186343</v>
      </c>
      <c r="F151" s="97">
        <v>9.0321850446076795</v>
      </c>
      <c r="G151" s="97">
        <v>9.3944263873841347</v>
      </c>
      <c r="H151" s="97">
        <v>9.3577401538012666</v>
      </c>
      <c r="I151" s="97">
        <v>9.3210539202183984</v>
      </c>
      <c r="J151" s="97">
        <v>9.2843676866355302</v>
      </c>
      <c r="K151" s="97">
        <v>9.1864195397227135</v>
      </c>
      <c r="L151" s="97">
        <v>9.3724391386990415</v>
      </c>
      <c r="M151" s="97">
        <v>9.2073346101903919</v>
      </c>
      <c r="N151" s="97">
        <v>9.2069686292854218</v>
      </c>
      <c r="O151" s="97">
        <v>9.2069320319950361</v>
      </c>
      <c r="P151" s="97">
        <v>9.9672024026029984</v>
      </c>
      <c r="Q151" s="97">
        <v>9.2069280063019736</v>
      </c>
      <c r="R151" s="97">
        <v>9.2076737387898255</v>
      </c>
      <c r="S151" s="97">
        <v>9.2033584249248719</v>
      </c>
      <c r="T151" s="97">
        <v>9.200477549172227</v>
      </c>
      <c r="U151" s="97">
        <v>9.2009381114750273</v>
      </c>
      <c r="V151" s="97">
        <v>6.8072259724595128</v>
      </c>
      <c r="W151" s="97">
        <v>6.9990028705973835</v>
      </c>
      <c r="X151" s="97">
        <v>7.9884257026715559</v>
      </c>
      <c r="Y151" s="97">
        <v>7.9498978259520543</v>
      </c>
      <c r="DA151" s="175" t="s">
        <v>562</v>
      </c>
    </row>
    <row r="152" spans="1:105" ht="11.45" customHeight="1" x14ac:dyDescent="0.25">
      <c r="A152" s="111" t="s">
        <v>111</v>
      </c>
      <c r="B152" s="97">
        <v>23.609680544567532</v>
      </c>
      <c r="C152" s="97">
        <v>22.855574838647016</v>
      </c>
      <c r="D152" s="97">
        <v>22.675767332707899</v>
      </c>
      <c r="E152" s="97">
        <v>24.336536895356165</v>
      </c>
      <c r="F152" s="97">
        <v>24.372715391146411</v>
      </c>
      <c r="G152" s="97">
        <v>25.27582128083581</v>
      </c>
      <c r="H152" s="97">
        <v>25.123001954282685</v>
      </c>
      <c r="I152" s="97">
        <v>25.006206540297413</v>
      </c>
      <c r="J152" s="97">
        <v>24.866532541184736</v>
      </c>
      <c r="K152" s="97">
        <v>24.54916379119944</v>
      </c>
      <c r="L152" s="97">
        <v>25.034362004991102</v>
      </c>
      <c r="M152" s="97">
        <v>24.569957571664212</v>
      </c>
      <c r="N152" s="97">
        <v>24.525245864060317</v>
      </c>
      <c r="O152" s="97">
        <v>24.517805007190983</v>
      </c>
      <c r="P152" s="97">
        <v>26.544735489763919</v>
      </c>
      <c r="Q152" s="97">
        <v>24.496555882184637</v>
      </c>
      <c r="R152" s="97">
        <v>24.511568076239357</v>
      </c>
      <c r="S152" s="97">
        <v>24.467794926576676</v>
      </c>
      <c r="T152" s="97">
        <v>24.403389314748697</v>
      </c>
      <c r="U152" s="97">
        <v>24.380899264529816</v>
      </c>
      <c r="V152" s="97">
        <v>18.052641861025339</v>
      </c>
      <c r="W152" s="97">
        <v>18.531554495960609</v>
      </c>
      <c r="X152" s="97">
        <v>21.123275158362045</v>
      </c>
      <c r="Y152" s="97">
        <v>21.001950144251225</v>
      </c>
      <c r="DA152" s="175" t="s">
        <v>563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18.052641861025339</v>
      </c>
      <c r="W153" s="97">
        <v>18.531554495960613</v>
      </c>
      <c r="X153" s="97">
        <v>21.123275158362045</v>
      </c>
      <c r="Y153" s="97">
        <v>21.001950144251225</v>
      </c>
      <c r="DA153" s="175" t="s">
        <v>564</v>
      </c>
    </row>
    <row r="154" spans="1:105" ht="11.45" customHeight="1" x14ac:dyDescent="0.25">
      <c r="A154" s="111" t="s">
        <v>113</v>
      </c>
      <c r="B154" s="97">
        <v>23.609680544567532</v>
      </c>
      <c r="C154" s="97">
        <v>22.855574838647016</v>
      </c>
      <c r="D154" s="97">
        <v>22.675767332707899</v>
      </c>
      <c r="E154" s="97">
        <v>24.336536895356165</v>
      </c>
      <c r="F154" s="97">
        <v>24.372715391146411</v>
      </c>
      <c r="G154" s="97">
        <v>25.27582128083581</v>
      </c>
      <c r="H154" s="97">
        <v>25.123001954282682</v>
      </c>
      <c r="I154" s="97">
        <v>25.00620654029742</v>
      </c>
      <c r="J154" s="97">
        <v>24.866532541184736</v>
      </c>
      <c r="K154" s="97">
        <v>24.549163791199444</v>
      </c>
      <c r="L154" s="97">
        <v>25.034362004991099</v>
      </c>
      <c r="M154" s="97">
        <v>24.569957571664219</v>
      </c>
      <c r="N154" s="97">
        <v>24.525245864060317</v>
      </c>
      <c r="O154" s="97">
        <v>24.517805007190979</v>
      </c>
      <c r="P154" s="97">
        <v>26.544735489763919</v>
      </c>
      <c r="Q154" s="97">
        <v>24.496555882184641</v>
      </c>
      <c r="R154" s="97">
        <v>24.51156807623936</v>
      </c>
      <c r="S154" s="97">
        <v>24.467794926576676</v>
      </c>
      <c r="T154" s="97">
        <v>24.403389314748697</v>
      </c>
      <c r="U154" s="97">
        <v>24.380899264529816</v>
      </c>
      <c r="V154" s="97">
        <v>18.052641861025339</v>
      </c>
      <c r="W154" s="97">
        <v>18.531554495960613</v>
      </c>
      <c r="X154" s="97">
        <v>21.123275158362041</v>
      </c>
      <c r="Y154" s="97">
        <v>21.001950144251229</v>
      </c>
      <c r="DA154" s="175" t="s">
        <v>565</v>
      </c>
    </row>
    <row r="155" spans="1:105" ht="11.45" customHeight="1" x14ac:dyDescent="0.25">
      <c r="A155" s="111" t="s">
        <v>115</v>
      </c>
      <c r="B155" s="97">
        <v>23.609680544567532</v>
      </c>
      <c r="C155" s="97">
        <v>22.855574838647016</v>
      </c>
      <c r="D155" s="97">
        <v>22.675767332707899</v>
      </c>
      <c r="E155" s="97">
        <v>24.336536895356165</v>
      </c>
      <c r="F155" s="97">
        <v>24.372715391146411</v>
      </c>
      <c r="G155" s="97">
        <v>25.27582128083581</v>
      </c>
      <c r="H155" s="97">
        <v>25.123001954282682</v>
      </c>
      <c r="I155" s="97">
        <v>25.006206540297416</v>
      </c>
      <c r="J155" s="97">
        <v>24.866532541184736</v>
      </c>
      <c r="K155" s="97">
        <v>24.54916379119944</v>
      </c>
      <c r="L155" s="97">
        <v>25.034362004991102</v>
      </c>
      <c r="M155" s="97">
        <v>24.569957571664219</v>
      </c>
      <c r="N155" s="97">
        <v>24.52524586406032</v>
      </c>
      <c r="O155" s="97">
        <v>24.517805007190983</v>
      </c>
      <c r="P155" s="97">
        <v>26.544735489763919</v>
      </c>
      <c r="Q155" s="97">
        <v>24.496555882184641</v>
      </c>
      <c r="R155" s="97">
        <v>24.51156807623936</v>
      </c>
      <c r="S155" s="97">
        <v>24.467794926576676</v>
      </c>
      <c r="T155" s="97">
        <v>24.403389314748694</v>
      </c>
      <c r="U155" s="97">
        <v>24.380899264529816</v>
      </c>
      <c r="V155" s="97">
        <v>18.052641861025339</v>
      </c>
      <c r="W155" s="97">
        <v>18.531554495960613</v>
      </c>
      <c r="X155" s="97">
        <v>21.123275158362045</v>
      </c>
      <c r="Y155" s="97">
        <v>21.001950144251225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7.1072982839644645</v>
      </c>
      <c r="C156" s="32">
        <f t="shared" si="207"/>
        <v>6.6003926452328558</v>
      </c>
      <c r="D156" s="32">
        <f t="shared" si="207"/>
        <v>6.2251400629315992</v>
      </c>
      <c r="E156" s="32">
        <f t="shared" si="207"/>
        <v>5.6671595120791265</v>
      </c>
      <c r="F156" s="32">
        <f t="shared" si="207"/>
        <v>5.1284314786772809</v>
      </c>
      <c r="G156" s="32">
        <f t="shared" si="207"/>
        <v>4.4508689057494131</v>
      </c>
      <c r="H156" s="32">
        <f t="shared" si="207"/>
        <v>4.3685912330203962</v>
      </c>
      <c r="I156" s="32">
        <f t="shared" si="207"/>
        <v>4.1303115920566498</v>
      </c>
      <c r="J156" s="32">
        <f t="shared" si="207"/>
        <v>3.6827267234621703</v>
      </c>
      <c r="K156" s="32">
        <f t="shared" si="207"/>
        <v>3.4638472399741627</v>
      </c>
      <c r="L156" s="32">
        <f t="shared" ref="L156" si="208">IF(L19=0,0,L19/L46)</f>
        <v>3.6325250478838811</v>
      </c>
      <c r="M156" s="32">
        <f t="shared" ref="M156:V156" si="209">IF(M19=0,0,M19/M46)</f>
        <v>3.700106152656252</v>
      </c>
      <c r="N156" s="32">
        <f t="shared" si="209"/>
        <v>3.6307611254022034</v>
      </c>
      <c r="O156" s="32">
        <f t="shared" si="209"/>
        <v>3.7651765620361619</v>
      </c>
      <c r="P156" s="32">
        <f t="shared" si="209"/>
        <v>3.6010741464813325</v>
      </c>
      <c r="Q156" s="32">
        <f t="shared" si="209"/>
        <v>3.7229484720664212</v>
      </c>
      <c r="R156" s="32">
        <f t="shared" si="209"/>
        <v>4.1202228901781606</v>
      </c>
      <c r="S156" s="32">
        <f t="shared" si="209"/>
        <v>3.9933490718805968</v>
      </c>
      <c r="T156" s="32">
        <f t="shared" si="209"/>
        <v>3.9935643998577444</v>
      </c>
      <c r="U156" s="32">
        <f t="shared" si="209"/>
        <v>4.1409648608011445</v>
      </c>
      <c r="V156" s="32">
        <f t="shared" si="209"/>
        <v>4.5470628660989396</v>
      </c>
      <c r="W156" s="32">
        <f t="shared" ref="W156:Y156" si="210">IF(W19=0,0,W19/W46)</f>
        <v>4.606286532320234</v>
      </c>
      <c r="X156" s="32">
        <f t="shared" si="210"/>
        <v>4.7994953110633931</v>
      </c>
      <c r="Y156" s="32">
        <f t="shared" si="210"/>
        <v>4.5032352240966125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0.14672342299184946</v>
      </c>
      <c r="C157" s="141">
        <f t="shared" si="211"/>
        <v>0.14545150100554735</v>
      </c>
      <c r="D157" s="141">
        <f t="shared" si="211"/>
        <v>0.14518440598018162</v>
      </c>
      <c r="E157" s="141">
        <f t="shared" si="211"/>
        <v>0.14637504467190082</v>
      </c>
      <c r="F157" s="141">
        <f t="shared" si="211"/>
        <v>0.14746767111237941</v>
      </c>
      <c r="G157" s="141">
        <f t="shared" si="211"/>
        <v>0.14814909457608322</v>
      </c>
      <c r="H157" s="141">
        <f t="shared" si="211"/>
        <v>0.14827611813751149</v>
      </c>
      <c r="I157" s="141">
        <f t="shared" si="211"/>
        <v>0.14876009859792702</v>
      </c>
      <c r="J157" s="141">
        <f t="shared" si="211"/>
        <v>0.14764815023080424</v>
      </c>
      <c r="K157" s="141">
        <f t="shared" si="211"/>
        <v>0.14760456112705744</v>
      </c>
      <c r="L157" s="141">
        <f t="shared" ref="L157" si="212">IF(L20=0,0,L20/L47)</f>
        <v>0.14628802305144181</v>
      </c>
      <c r="M157" s="141">
        <f t="shared" ref="M157:V157" si="213">IF(M20=0,0,M20/M47)</f>
        <v>0.14609340538197391</v>
      </c>
      <c r="N157" s="141">
        <f t="shared" si="213"/>
        <v>0.14583989566996552</v>
      </c>
      <c r="O157" s="141">
        <f t="shared" si="213"/>
        <v>0.14463078244373076</v>
      </c>
      <c r="P157" s="141">
        <f t="shared" si="213"/>
        <v>0.14232110372845685</v>
      </c>
      <c r="Q157" s="141">
        <f t="shared" si="213"/>
        <v>0.14152583406930067</v>
      </c>
      <c r="R157" s="141">
        <f t="shared" si="213"/>
        <v>0.13930200057489112</v>
      </c>
      <c r="S157" s="141">
        <f t="shared" si="213"/>
        <v>0.1390342203670118</v>
      </c>
      <c r="T157" s="141">
        <f t="shared" si="213"/>
        <v>0.13889947998712462</v>
      </c>
      <c r="U157" s="141">
        <f t="shared" si="213"/>
        <v>0.13883059670820333</v>
      </c>
      <c r="V157" s="141">
        <f t="shared" si="213"/>
        <v>0.13965630677264759</v>
      </c>
      <c r="W157" s="141">
        <f t="shared" ref="W157:Y157" si="214">IF(W20=0,0,W20/W47)</f>
        <v>0.13881835133464496</v>
      </c>
      <c r="X157" s="141">
        <f t="shared" si="214"/>
        <v>0.13907328291690235</v>
      </c>
      <c r="Y157" s="141">
        <f t="shared" si="214"/>
        <v>0.14003926937828529</v>
      </c>
      <c r="DA157" s="174" t="s">
        <v>568</v>
      </c>
    </row>
    <row r="158" spans="1:105" ht="11.45" customHeight="1" x14ac:dyDescent="0.25">
      <c r="A158" s="111" t="s">
        <v>110</v>
      </c>
      <c r="B158" s="96">
        <v>0.1158082027164926</v>
      </c>
      <c r="C158" s="96">
        <v>0.11521670762954474</v>
      </c>
      <c r="D158" s="96">
        <v>0.11498299295043705</v>
      </c>
      <c r="E158" s="96">
        <v>0.1149375529748749</v>
      </c>
      <c r="F158" s="96">
        <v>0.11499310817449751</v>
      </c>
      <c r="G158" s="96">
        <v>0.11500144513311307</v>
      </c>
      <c r="H158" s="96">
        <v>0.11502882699275437</v>
      </c>
      <c r="I158" s="96">
        <v>0.11514774220463458</v>
      </c>
      <c r="J158" s="96">
        <v>0.11470404555605748</v>
      </c>
      <c r="K158" s="96">
        <v>0.11462685399964277</v>
      </c>
      <c r="L158" s="96">
        <v>0.11415063347524999</v>
      </c>
      <c r="M158" s="96">
        <v>0.11404057107530588</v>
      </c>
      <c r="N158" s="96">
        <v>0.11393457343696956</v>
      </c>
      <c r="O158" s="96">
        <v>0.11364960280296549</v>
      </c>
      <c r="P158" s="96">
        <v>0.11322707595373918</v>
      </c>
      <c r="Q158" s="96">
        <v>0.11318350291262134</v>
      </c>
      <c r="R158" s="96">
        <v>0.11279940001290789</v>
      </c>
      <c r="S158" s="96">
        <v>0.11296013545580796</v>
      </c>
      <c r="T158" s="96">
        <v>0.11295003701207515</v>
      </c>
      <c r="U158" s="96">
        <v>0.11295091616646864</v>
      </c>
      <c r="V158" s="96">
        <v>0.11319814919727235</v>
      </c>
      <c r="W158" s="96">
        <v>0.11297891707192186</v>
      </c>
      <c r="X158" s="96">
        <v>0.11302981961571237</v>
      </c>
      <c r="Y158" s="96">
        <v>0.11324561276690161</v>
      </c>
      <c r="DA158" s="171" t="s">
        <v>569</v>
      </c>
    </row>
    <row r="159" spans="1:105" ht="11.45" customHeight="1" x14ac:dyDescent="0.25">
      <c r="A159" s="111" t="s">
        <v>111</v>
      </c>
      <c r="B159" s="96">
        <v>0.15807691600071555</v>
      </c>
      <c r="C159" s="96">
        <v>0.15566711342458134</v>
      </c>
      <c r="D159" s="96">
        <v>0.15472173126742175</v>
      </c>
      <c r="E159" s="96">
        <v>0.15453837092484277</v>
      </c>
      <c r="F159" s="96">
        <v>0.15476256815873909</v>
      </c>
      <c r="G159" s="96">
        <v>0.15479623128928621</v>
      </c>
      <c r="H159" s="96">
        <v>0.15490682862917146</v>
      </c>
      <c r="I159" s="96">
        <v>0.15538774707036163</v>
      </c>
      <c r="J159" s="96">
        <v>0.15359840154052773</v>
      </c>
      <c r="K159" s="96">
        <v>0.15328851214403333</v>
      </c>
      <c r="L159" s="96">
        <v>0.15138591403269422</v>
      </c>
      <c r="M159" s="96">
        <v>0.15094844373986094</v>
      </c>
      <c r="N159" s="96">
        <v>0.15052792730604314</v>
      </c>
      <c r="O159" s="96">
        <v>0.14906034068381974</v>
      </c>
      <c r="P159" s="96">
        <v>0.14626030389283001</v>
      </c>
      <c r="Q159" s="96">
        <v>0.14536748172377412</v>
      </c>
      <c r="R159" s="96">
        <v>0.14389252829273669</v>
      </c>
      <c r="S159" s="96">
        <v>0.14363973820107875</v>
      </c>
      <c r="T159" s="96">
        <v>0.14360121820099858</v>
      </c>
      <c r="U159" s="96">
        <v>0.14360457141701941</v>
      </c>
      <c r="V159" s="96">
        <v>0.14454962517877162</v>
      </c>
      <c r="W159" s="96">
        <v>0.14371139803904304</v>
      </c>
      <c r="X159" s="96">
        <v>0.14390573267174459</v>
      </c>
      <c r="Y159" s="96">
        <v>0.14473152881525073</v>
      </c>
      <c r="DA159" s="171" t="s">
        <v>570</v>
      </c>
    </row>
    <row r="160" spans="1:105" ht="11.45" customHeight="1" x14ac:dyDescent="0.25">
      <c r="A160" s="111" t="s">
        <v>112</v>
      </c>
      <c r="B160" s="96">
        <v>0.11557565424743449</v>
      </c>
      <c r="C160" s="96">
        <v>0.11498534691121325</v>
      </c>
      <c r="D160" s="96">
        <v>0.11475210154247864</v>
      </c>
      <c r="E160" s="96">
        <v>0.11470675281258393</v>
      </c>
      <c r="F160" s="96">
        <v>0.11476219645468023</v>
      </c>
      <c r="G160" s="96">
        <v>0.1147705166722799</v>
      </c>
      <c r="H160" s="96">
        <v>0.11479784354782344</v>
      </c>
      <c r="I160" s="96">
        <v>0.11491651997221002</v>
      </c>
      <c r="J160" s="96">
        <v>0.1144737142879509</v>
      </c>
      <c r="K160" s="96">
        <v>0.11439667773591283</v>
      </c>
      <c r="L160" s="96">
        <v>0.11392141348535283</v>
      </c>
      <c r="M160" s="96">
        <v>0.11381157209602805</v>
      </c>
      <c r="N160" s="96">
        <v>0.11370578730607329</v>
      </c>
      <c r="O160" s="96">
        <v>0.11342138890687739</v>
      </c>
      <c r="P160" s="96">
        <v>0.11322707595373918</v>
      </c>
      <c r="Q160" s="96">
        <v>0.11318350291262136</v>
      </c>
      <c r="R160" s="96">
        <v>0.11279940001290788</v>
      </c>
      <c r="S160" s="96">
        <v>0.11273330604348079</v>
      </c>
      <c r="T160" s="96">
        <v>0.11272322787791114</v>
      </c>
      <c r="U160" s="96">
        <v>0.11272410526692016</v>
      </c>
      <c r="V160" s="96">
        <v>0.11297084184184709</v>
      </c>
      <c r="W160" s="96">
        <v>0.11275204994520169</v>
      </c>
      <c r="X160" s="96">
        <v>0.11280285027422372</v>
      </c>
      <c r="Y160" s="96">
        <v>0.11301821010233423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0.11499945292795369</v>
      </c>
      <c r="O161" s="96">
        <v>0.11416830668853123</v>
      </c>
      <c r="P161" s="96">
        <v>0.11346089810155588</v>
      </c>
      <c r="Q161" s="96">
        <v>0.11318350291262136</v>
      </c>
      <c r="R161" s="96">
        <v>0.11305004109070026</v>
      </c>
      <c r="S161" s="96">
        <v>0.11213307055097628</v>
      </c>
      <c r="T161" s="96">
        <v>0.11180513676636145</v>
      </c>
      <c r="U161" s="96">
        <v>0.11159197811591993</v>
      </c>
      <c r="V161" s="96">
        <v>0.11395651723121258</v>
      </c>
      <c r="W161" s="96">
        <v>0.11143836930859843</v>
      </c>
      <c r="X161" s="96">
        <v>0.11174408818112017</v>
      </c>
      <c r="Y161" s="96">
        <v>0.11377791543613178</v>
      </c>
      <c r="DA161" s="171" t="s">
        <v>572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0.14396060104040279</v>
      </c>
      <c r="K162" s="96">
        <v>0.14394220141299985</v>
      </c>
      <c r="L162" s="96">
        <v>0.14385556342533243</v>
      </c>
      <c r="M162" s="96">
        <v>0.14383170920386812</v>
      </c>
      <c r="N162" s="96">
        <v>0.14381006084902279</v>
      </c>
      <c r="O162" s="96">
        <v>0.14374705366403906</v>
      </c>
      <c r="P162" s="96">
        <v>0.14362655837200869</v>
      </c>
      <c r="Q162" s="96">
        <v>0.14359891989382201</v>
      </c>
      <c r="R162" s="96">
        <v>0.14384320260517655</v>
      </c>
      <c r="S162" s="96">
        <v>0.1438853630611106</v>
      </c>
      <c r="T162" s="96">
        <v>0.14389179504557689</v>
      </c>
      <c r="U162" s="96">
        <v>0.14389235504033646</v>
      </c>
      <c r="V162" s="96">
        <v>0.14627142161476525</v>
      </c>
      <c r="W162" s="96">
        <v>0.14391018963030172</v>
      </c>
      <c r="X162" s="96">
        <v>0.14398671230647536</v>
      </c>
      <c r="Y162" s="96">
        <v>0.14393526163145118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11.329435644429747</v>
      </c>
      <c r="C163" s="130">
        <f t="shared" si="215"/>
        <v>10.663560020028171</v>
      </c>
      <c r="D163" s="130">
        <f t="shared" si="215"/>
        <v>10.306058525025312</v>
      </c>
      <c r="E163" s="130">
        <f t="shared" si="215"/>
        <v>9.5068148866371605</v>
      </c>
      <c r="F163" s="130">
        <f t="shared" si="215"/>
        <v>8.7695718522471235</v>
      </c>
      <c r="G163" s="130">
        <f t="shared" si="215"/>
        <v>7.8219590143550795</v>
      </c>
      <c r="H163" s="130">
        <f t="shared" si="215"/>
        <v>8.2768061833411259</v>
      </c>
      <c r="I163" s="130">
        <f t="shared" si="215"/>
        <v>8.3642093178199506</v>
      </c>
      <c r="J163" s="130">
        <f t="shared" si="215"/>
        <v>8.4194604364405574</v>
      </c>
      <c r="K163" s="130">
        <f t="shared" si="215"/>
        <v>8.7177322155247783</v>
      </c>
      <c r="L163" s="130">
        <f t="shared" ref="L163" si="216">IF(L26=0,0,L26/L53)</f>
        <v>9.4076275579660447</v>
      </c>
      <c r="M163" s="130">
        <f t="shared" ref="M163:V163" si="217">IF(M26=0,0,M26/M53)</f>
        <v>9.6062884706680354</v>
      </c>
      <c r="N163" s="130">
        <f t="shared" si="217"/>
        <v>9.6930406745788673</v>
      </c>
      <c r="O163" s="130">
        <f t="shared" si="217"/>
        <v>9.9153368778394384</v>
      </c>
      <c r="P163" s="130">
        <f t="shared" si="217"/>
        <v>9.8387686998631398</v>
      </c>
      <c r="Q163" s="130">
        <f t="shared" si="217"/>
        <v>9.8522350439039492</v>
      </c>
      <c r="R163" s="130">
        <f t="shared" si="217"/>
        <v>9.8666876252243636</v>
      </c>
      <c r="S163" s="130">
        <f t="shared" si="217"/>
        <v>9.4830718219419285</v>
      </c>
      <c r="T163" s="130">
        <f t="shared" si="217"/>
        <v>9.523826104139669</v>
      </c>
      <c r="U163" s="130">
        <f t="shared" si="217"/>
        <v>9.7968304244306736</v>
      </c>
      <c r="V163" s="130">
        <f t="shared" si="217"/>
        <v>10.009887149065468</v>
      </c>
      <c r="W163" s="130">
        <f t="shared" ref="W163:Y163" si="218">IF(W26=0,0,W26/W53)</f>
        <v>9.8229909591686315</v>
      </c>
      <c r="X163" s="130">
        <f t="shared" si="218"/>
        <v>10.310170508269072</v>
      </c>
      <c r="Y163" s="130">
        <f t="shared" si="218"/>
        <v>9.7855499160654755</v>
      </c>
      <c r="DA163" s="176" t="s">
        <v>574</v>
      </c>
    </row>
    <row r="164" spans="1:105" ht="11.45" customHeight="1" x14ac:dyDescent="0.25">
      <c r="A164" s="128" t="s">
        <v>27</v>
      </c>
      <c r="B164" s="97">
        <v>9.6431478968792401</v>
      </c>
      <c r="C164" s="97">
        <v>8.7606538237011087</v>
      </c>
      <c r="D164" s="97">
        <v>8.3340143003064355</v>
      </c>
      <c r="E164" s="97">
        <v>7.4997840172786177</v>
      </c>
      <c r="F164" s="97">
        <v>6.3699880905121082</v>
      </c>
      <c r="G164" s="97">
        <v>5.2962457337883961</v>
      </c>
      <c r="H164" s="97">
        <v>5.7008153137185396</v>
      </c>
      <c r="I164" s="97">
        <v>5.7007562117392867</v>
      </c>
      <c r="J164" s="97">
        <v>5.9225272658894319</v>
      </c>
      <c r="K164" s="97">
        <v>6.1189287335451654</v>
      </c>
      <c r="L164" s="97">
        <v>6.7560640732265442</v>
      </c>
      <c r="M164" s="97">
        <v>6.9182825484764541</v>
      </c>
      <c r="N164" s="97">
        <v>6.968069666182874</v>
      </c>
      <c r="O164" s="97">
        <v>7.1524163568773238</v>
      </c>
      <c r="P164" s="97">
        <v>7.2066009429918561</v>
      </c>
      <c r="Q164" s="97">
        <v>7.5738291026099391</v>
      </c>
      <c r="R164" s="97">
        <v>7.7390700902151286</v>
      </c>
      <c r="S164" s="97">
        <v>7.2250082481029363</v>
      </c>
      <c r="T164" s="97">
        <v>7.4621236133122029</v>
      </c>
      <c r="U164" s="97">
        <v>7.8358395989974934</v>
      </c>
      <c r="V164" s="97">
        <v>8.1355395683453242</v>
      </c>
      <c r="W164" s="97">
        <v>7.8202837624802939</v>
      </c>
      <c r="X164" s="97">
        <v>8.3865866957470008</v>
      </c>
      <c r="Y164" s="97">
        <v>7.7470238095238093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14.088849058887032</v>
      </c>
      <c r="I165" s="98">
        <v>14.115262081857324</v>
      </c>
      <c r="J165" s="98">
        <v>13.915448013039784</v>
      </c>
      <c r="K165" s="98">
        <v>13.731801555818866</v>
      </c>
      <c r="L165" s="98">
        <v>14.178700182725075</v>
      </c>
      <c r="M165" s="98">
        <v>14.133203670456812</v>
      </c>
      <c r="N165" s="98">
        <v>14.086426180736332</v>
      </c>
      <c r="O165" s="98">
        <v>14.105166269382361</v>
      </c>
      <c r="P165" s="98">
        <v>14.138211571635042</v>
      </c>
      <c r="Q165" s="98">
        <v>14.005556317739057</v>
      </c>
      <c r="R165" s="98">
        <v>13.933281647068958</v>
      </c>
      <c r="S165" s="98">
        <v>14.0120381138928</v>
      </c>
      <c r="T165" s="98">
        <v>14.146454243557947</v>
      </c>
      <c r="U165" s="98">
        <v>14.062037656310167</v>
      </c>
      <c r="V165" s="98">
        <v>13.861910981613583</v>
      </c>
      <c r="W165" s="98">
        <v>14.046303126595927</v>
      </c>
      <c r="X165" s="98">
        <v>13.993433342768185</v>
      </c>
      <c r="Y165" s="98">
        <v>13.837303725369457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7475.9798982040629</v>
      </c>
      <c r="C167" s="54">
        <f t="shared" si="219"/>
        <v>8061.3584956093637</v>
      </c>
      <c r="D167" s="54">
        <f t="shared" si="219"/>
        <v>8294.7481904655451</v>
      </c>
      <c r="E167" s="54">
        <f t="shared" si="219"/>
        <v>9342.4344246708388</v>
      </c>
      <c r="F167" s="54">
        <f t="shared" si="219"/>
        <v>9491.5045994543325</v>
      </c>
      <c r="G167" s="54">
        <f t="shared" si="219"/>
        <v>9572.3750625403936</v>
      </c>
      <c r="H167" s="54">
        <f t="shared" si="219"/>
        <v>9386.0203886218551</v>
      </c>
      <c r="I167" s="54">
        <f t="shared" si="219"/>
        <v>9423.2249555404487</v>
      </c>
      <c r="J167" s="54">
        <f t="shared" si="219"/>
        <v>9244.7531193646773</v>
      </c>
      <c r="K167" s="54">
        <f t="shared" si="219"/>
        <v>9351.3529627542521</v>
      </c>
      <c r="L167" s="54">
        <f t="shared" si="219"/>
        <v>8801.3173953431142</v>
      </c>
      <c r="M167" s="54">
        <f>IF(M30=0,0,M30*1000000/M57)</f>
        <v>8823.9898695014581</v>
      </c>
      <c r="N167" s="54">
        <f t="shared" ref="N167:V167" si="220">IF(N30=0,0,N30*1000000/N57)</f>
        <v>8575.7597541375399</v>
      </c>
      <c r="O167" s="54">
        <f t="shared" si="220"/>
        <v>8685.9613698227586</v>
      </c>
      <c r="P167" s="54">
        <f t="shared" si="220"/>
        <v>8845.315051406893</v>
      </c>
      <c r="Q167" s="54">
        <f t="shared" si="220"/>
        <v>8784.4843902173852</v>
      </c>
      <c r="R167" s="54">
        <f t="shared" si="220"/>
        <v>8932.4483936903343</v>
      </c>
      <c r="S167" s="54">
        <f t="shared" si="220"/>
        <v>8872.201408663148</v>
      </c>
      <c r="T167" s="54">
        <f t="shared" si="220"/>
        <v>8825.1983337977163</v>
      </c>
      <c r="U167" s="54">
        <f t="shared" si="220"/>
        <v>8891.0882346648923</v>
      </c>
      <c r="V167" s="54">
        <f t="shared" si="220"/>
        <v>8520.0278056236239</v>
      </c>
      <c r="W167" s="54">
        <f t="shared" ref="W167:Y191" si="221">IF(W30=0,0,W30*1000000/W57)</f>
        <v>9248.4016994628018</v>
      </c>
      <c r="X167" s="54">
        <f t="shared" si="221"/>
        <v>9221.4444807455911</v>
      </c>
      <c r="Y167" s="54">
        <f t="shared" si="221"/>
        <v>9166.4628186817699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7143.5695588031131</v>
      </c>
      <c r="C168" s="28">
        <f t="shared" si="219"/>
        <v>7681.0310377541809</v>
      </c>
      <c r="D168" s="28">
        <f t="shared" si="219"/>
        <v>7858.5203843377367</v>
      </c>
      <c r="E168" s="28">
        <f t="shared" si="219"/>
        <v>8866.2172302500749</v>
      </c>
      <c r="F168" s="28">
        <f t="shared" si="219"/>
        <v>8946.2590093378767</v>
      </c>
      <c r="G168" s="28">
        <f t="shared" si="219"/>
        <v>8951.9941035650136</v>
      </c>
      <c r="H168" s="28">
        <f t="shared" si="219"/>
        <v>8769.1183820743263</v>
      </c>
      <c r="I168" s="28">
        <f t="shared" si="219"/>
        <v>8839.5825340678457</v>
      </c>
      <c r="J168" s="28">
        <f t="shared" si="219"/>
        <v>8626.3804821779067</v>
      </c>
      <c r="K168" s="28">
        <f t="shared" si="219"/>
        <v>8811.342346818099</v>
      </c>
      <c r="L168" s="28">
        <f t="shared" si="219"/>
        <v>8138.9010409807634</v>
      </c>
      <c r="M168" s="28">
        <f t="shared" ref="M168:M192" si="222">IF(M31=0,0,M31*1000000/M58)</f>
        <v>8146.6465002808691</v>
      </c>
      <c r="N168" s="28">
        <f t="shared" si="219"/>
        <v>7906.4990445726526</v>
      </c>
      <c r="O168" s="28">
        <f t="shared" si="219"/>
        <v>7951.0334555987065</v>
      </c>
      <c r="P168" s="28">
        <f t="shared" si="219"/>
        <v>8020.9887147481786</v>
      </c>
      <c r="Q168" s="28">
        <f t="shared" si="219"/>
        <v>7871.1611600918459</v>
      </c>
      <c r="R168" s="28">
        <f t="shared" si="219"/>
        <v>8118.5964905339306</v>
      </c>
      <c r="S168" s="28">
        <f t="shared" si="219"/>
        <v>8062.9143132224499</v>
      </c>
      <c r="T168" s="28">
        <f t="shared" si="219"/>
        <v>8040.3239388252641</v>
      </c>
      <c r="U168" s="28">
        <f t="shared" si="219"/>
        <v>8124.5683709075156</v>
      </c>
      <c r="V168" s="28">
        <f t="shared" si="219"/>
        <v>7688.4352724458295</v>
      </c>
      <c r="W168" s="28">
        <f t="shared" si="221"/>
        <v>8397.5966315275728</v>
      </c>
      <c r="X168" s="28">
        <f t="shared" si="221"/>
        <v>8406.2031655389164</v>
      </c>
      <c r="Y168" s="28">
        <f t="shared" si="221"/>
        <v>8382.3198235520522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1109.7912777872052</v>
      </c>
      <c r="C169" s="137">
        <f t="shared" si="219"/>
        <v>1045.6640134059489</v>
      </c>
      <c r="D169" s="137">
        <f t="shared" si="219"/>
        <v>1013.2890365448505</v>
      </c>
      <c r="E169" s="137">
        <f t="shared" si="219"/>
        <v>1021.8487394957983</v>
      </c>
      <c r="F169" s="137">
        <f t="shared" si="219"/>
        <v>1013.3779264214047</v>
      </c>
      <c r="G169" s="137">
        <f t="shared" si="219"/>
        <v>1001.2759170653908</v>
      </c>
      <c r="H169" s="137">
        <f t="shared" si="219"/>
        <v>999.83159436772758</v>
      </c>
      <c r="I169" s="137">
        <f t="shared" si="219"/>
        <v>1001.9363367398275</v>
      </c>
      <c r="J169" s="137">
        <f t="shared" si="219"/>
        <v>1005.91026255984</v>
      </c>
      <c r="K169" s="137">
        <f t="shared" si="219"/>
        <v>1011.7186873289473</v>
      </c>
      <c r="L169" s="137">
        <f t="shared" si="219"/>
        <v>1011.3322833851167</v>
      </c>
      <c r="M169" s="137">
        <f t="shared" si="222"/>
        <v>1012.0933384825258</v>
      </c>
      <c r="N169" s="137">
        <f t="shared" si="219"/>
        <v>1016.5327638258337</v>
      </c>
      <c r="O169" s="137">
        <f t="shared" si="219"/>
        <v>1017.4260924746976</v>
      </c>
      <c r="P169" s="137">
        <f t="shared" si="219"/>
        <v>1021.0105653549375</v>
      </c>
      <c r="Q169" s="137">
        <f t="shared" si="219"/>
        <v>1022.3594308672314</v>
      </c>
      <c r="R169" s="137">
        <f t="shared" si="219"/>
        <v>1030.4458780116765</v>
      </c>
      <c r="S169" s="137">
        <f t="shared" si="219"/>
        <v>955.65318357833632</v>
      </c>
      <c r="T169" s="137">
        <f t="shared" si="219"/>
        <v>894.52055537243405</v>
      </c>
      <c r="U169" s="137">
        <f t="shared" si="219"/>
        <v>932.32021326712936</v>
      </c>
      <c r="V169" s="137">
        <f t="shared" si="219"/>
        <v>818.55007235126868</v>
      </c>
      <c r="W169" s="137">
        <f t="shared" si="221"/>
        <v>837.3965777734129</v>
      </c>
      <c r="X169" s="137">
        <f t="shared" si="221"/>
        <v>825.17148957171958</v>
      </c>
      <c r="Y169" s="137">
        <f t="shared" si="221"/>
        <v>872.06211701443851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9010.2112045043723</v>
      </c>
      <c r="C170" s="110">
        <f t="shared" si="219"/>
        <v>9751.7193259433043</v>
      </c>
      <c r="D170" s="110">
        <f t="shared" si="219"/>
        <v>9958.1022953255979</v>
      </c>
      <c r="E170" s="110">
        <f t="shared" si="219"/>
        <v>11247.806530272603</v>
      </c>
      <c r="F170" s="110">
        <f t="shared" si="219"/>
        <v>11312.41354161645</v>
      </c>
      <c r="G170" s="110">
        <f t="shared" si="219"/>
        <v>11357.027938499699</v>
      </c>
      <c r="H170" s="110">
        <f t="shared" si="219"/>
        <v>11097.623403798434</v>
      </c>
      <c r="I170" s="110">
        <f t="shared" si="219"/>
        <v>11174.787083924135</v>
      </c>
      <c r="J170" s="110">
        <f t="shared" si="219"/>
        <v>10879.145337308968</v>
      </c>
      <c r="K170" s="110">
        <f t="shared" si="219"/>
        <v>11120.952530501987</v>
      </c>
      <c r="L170" s="110">
        <f t="shared" si="219"/>
        <v>10243.800031608163</v>
      </c>
      <c r="M170" s="110">
        <f t="shared" si="222"/>
        <v>10257.468634810386</v>
      </c>
      <c r="N170" s="110">
        <f t="shared" si="219"/>
        <v>9939.5279385869253</v>
      </c>
      <c r="O170" s="110">
        <f t="shared" si="219"/>
        <v>9982.5683927272821</v>
      </c>
      <c r="P170" s="110">
        <f t="shared" si="219"/>
        <v>10058.786569696855</v>
      </c>
      <c r="Q170" s="110">
        <f t="shared" si="219"/>
        <v>9830.2065992004791</v>
      </c>
      <c r="R170" s="110">
        <f t="shared" si="219"/>
        <v>10115.619733009127</v>
      </c>
      <c r="S170" s="110">
        <f t="shared" si="219"/>
        <v>10012.557078715517</v>
      </c>
      <c r="T170" s="110">
        <f t="shared" si="219"/>
        <v>9963.1306287720781</v>
      </c>
      <c r="U170" s="110">
        <f t="shared" si="219"/>
        <v>10040.588678258198</v>
      </c>
      <c r="V170" s="110">
        <f t="shared" si="219"/>
        <v>9539.5512757912638</v>
      </c>
      <c r="W170" s="110">
        <f t="shared" si="221"/>
        <v>10458.775717228802</v>
      </c>
      <c r="X170" s="110">
        <f t="shared" si="221"/>
        <v>10448.785932245712</v>
      </c>
      <c r="Y170" s="110">
        <f t="shared" si="221"/>
        <v>10385.987449646498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7733.6827499685505</v>
      </c>
      <c r="C171" s="84">
        <f t="shared" si="219"/>
        <v>8086.6106406968074</v>
      </c>
      <c r="D171" s="84">
        <f t="shared" si="219"/>
        <v>8134.1482703350803</v>
      </c>
      <c r="E171" s="84">
        <f t="shared" si="219"/>
        <v>9016.7980421596239</v>
      </c>
      <c r="F171" s="84">
        <f t="shared" si="219"/>
        <v>8948.4325155906263</v>
      </c>
      <c r="G171" s="84">
        <f t="shared" si="219"/>
        <v>8646.4849592096671</v>
      </c>
      <c r="H171" s="84">
        <f t="shared" si="219"/>
        <v>8439.9348914330185</v>
      </c>
      <c r="I171" s="84">
        <f t="shared" si="219"/>
        <v>8669.5413484458659</v>
      </c>
      <c r="J171" s="84">
        <f t="shared" si="219"/>
        <v>8400.5002670910835</v>
      </c>
      <c r="K171" s="84">
        <f t="shared" si="219"/>
        <v>8574.0276744097991</v>
      </c>
      <c r="L171" s="84">
        <f t="shared" si="219"/>
        <v>8021.9950863228696</v>
      </c>
      <c r="M171" s="84">
        <f t="shared" si="222"/>
        <v>7851.9005304359744</v>
      </c>
      <c r="N171" s="84">
        <f t="shared" si="219"/>
        <v>7494.040188949034</v>
      </c>
      <c r="O171" s="84">
        <f t="shared" si="219"/>
        <v>7135.4113036447861</v>
      </c>
      <c r="P171" s="84">
        <f t="shared" si="219"/>
        <v>7235.2995905311982</v>
      </c>
      <c r="Q171" s="84">
        <f t="shared" si="219"/>
        <v>7183.9011705057355</v>
      </c>
      <c r="R171" s="84">
        <f t="shared" si="219"/>
        <v>7366.7349355581919</v>
      </c>
      <c r="S171" s="84">
        <f t="shared" si="219"/>
        <v>7304.3942064076728</v>
      </c>
      <c r="T171" s="84">
        <f t="shared" si="219"/>
        <v>7371.2967512878404</v>
      </c>
      <c r="U171" s="84">
        <f t="shared" si="219"/>
        <v>7375.7597863890205</v>
      </c>
      <c r="V171" s="84">
        <f t="shared" si="219"/>
        <v>6667.0898048117515</v>
      </c>
      <c r="W171" s="84">
        <f t="shared" si="221"/>
        <v>6989.4450037873303</v>
      </c>
      <c r="X171" s="84">
        <f t="shared" si="221"/>
        <v>7113.6567936034926</v>
      </c>
      <c r="Y171" s="84">
        <f t="shared" si="221"/>
        <v>7182.2579672647007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19207.412722081084</v>
      </c>
      <c r="C172" s="84">
        <f t="shared" si="219"/>
        <v>21842.440137702793</v>
      </c>
      <c r="D172" s="84">
        <f t="shared" si="219"/>
        <v>21590.803407006042</v>
      </c>
      <c r="E172" s="84">
        <f t="shared" si="219"/>
        <v>23687.217451452369</v>
      </c>
      <c r="F172" s="84">
        <f t="shared" si="219"/>
        <v>23286.981069402362</v>
      </c>
      <c r="G172" s="84">
        <f t="shared" si="219"/>
        <v>24009.342136240637</v>
      </c>
      <c r="H172" s="84">
        <f t="shared" si="219"/>
        <v>22451.773128397086</v>
      </c>
      <c r="I172" s="84">
        <f t="shared" si="219"/>
        <v>21074.225177683777</v>
      </c>
      <c r="J172" s="84">
        <f t="shared" si="219"/>
        <v>19724.926427138376</v>
      </c>
      <c r="K172" s="84">
        <f t="shared" si="219"/>
        <v>19321.473222729212</v>
      </c>
      <c r="L172" s="84">
        <f t="shared" si="219"/>
        <v>16685.316196131578</v>
      </c>
      <c r="M172" s="84">
        <f t="shared" si="222"/>
        <v>16634.948050124127</v>
      </c>
      <c r="N172" s="84">
        <f t="shared" si="219"/>
        <v>15681.78402073267</v>
      </c>
      <c r="O172" s="84">
        <f t="shared" si="219"/>
        <v>16403.641084802046</v>
      </c>
      <c r="P172" s="84">
        <f t="shared" si="219"/>
        <v>16077.256722676952</v>
      </c>
      <c r="Q172" s="84">
        <f t="shared" si="219"/>
        <v>15071.439439058393</v>
      </c>
      <c r="R172" s="84">
        <f t="shared" si="219"/>
        <v>15245.866147216995</v>
      </c>
      <c r="S172" s="84">
        <f t="shared" si="219"/>
        <v>14846.31381223507</v>
      </c>
      <c r="T172" s="84">
        <f t="shared" si="219"/>
        <v>14314.849339575323</v>
      </c>
      <c r="U172" s="84">
        <f t="shared" si="219"/>
        <v>14382.138547096594</v>
      </c>
      <c r="V172" s="84">
        <f t="shared" si="219"/>
        <v>14084.548644814686</v>
      </c>
      <c r="W172" s="84">
        <f t="shared" si="221"/>
        <v>15873.461585243293</v>
      </c>
      <c r="X172" s="84">
        <f t="shared" si="221"/>
        <v>15597.70008194074</v>
      </c>
      <c r="Y172" s="84">
        <f t="shared" si="221"/>
        <v>15448.631077029162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8786.5175416762468</v>
      </c>
      <c r="C173" s="84">
        <f t="shared" si="219"/>
        <v>8743.6593049277653</v>
      </c>
      <c r="D173" s="84">
        <f t="shared" si="219"/>
        <v>8428.1270455880003</v>
      </c>
      <c r="E173" s="84">
        <f t="shared" si="219"/>
        <v>8981.3655674232486</v>
      </c>
      <c r="F173" s="84">
        <f t="shared" si="219"/>
        <v>8611.9986153746686</v>
      </c>
      <c r="G173" s="84">
        <f t="shared" si="219"/>
        <v>8264.9171453229574</v>
      </c>
      <c r="H173" s="84">
        <f t="shared" si="219"/>
        <v>7868.8521543369334</v>
      </c>
      <c r="I173" s="84">
        <f t="shared" si="219"/>
        <v>7600.2447894587804</v>
      </c>
      <c r="J173" s="84">
        <f t="shared" si="219"/>
        <v>7326.858853069135</v>
      </c>
      <c r="K173" s="84">
        <f t="shared" si="219"/>
        <v>7095.7515558087216</v>
      </c>
      <c r="L173" s="84">
        <f t="shared" si="219"/>
        <v>6852.5881698518815</v>
      </c>
      <c r="M173" s="84">
        <f t="shared" si="222"/>
        <v>6542.0228977844918</v>
      </c>
      <c r="N173" s="84">
        <f t="shared" si="219"/>
        <v>6171.4368297815454</v>
      </c>
      <c r="O173" s="84">
        <f t="shared" si="219"/>
        <v>6117.4496578985309</v>
      </c>
      <c r="P173" s="84">
        <f t="shared" si="219"/>
        <v>6028.9799158597243</v>
      </c>
      <c r="Q173" s="84">
        <f t="shared" si="219"/>
        <v>6031.1748058640569</v>
      </c>
      <c r="R173" s="84">
        <f t="shared" si="219"/>
        <v>5904.4148445986011</v>
      </c>
      <c r="S173" s="84">
        <f t="shared" si="219"/>
        <v>5549.202894896418</v>
      </c>
      <c r="T173" s="84">
        <f t="shared" si="219"/>
        <v>5478.9540495982646</v>
      </c>
      <c r="U173" s="84">
        <f t="shared" si="219"/>
        <v>5508.460345870094</v>
      </c>
      <c r="V173" s="84">
        <f t="shared" si="219"/>
        <v>4959.1933587442436</v>
      </c>
      <c r="W173" s="84">
        <f t="shared" si="221"/>
        <v>5189.018216989024</v>
      </c>
      <c r="X173" s="84">
        <f t="shared" si="221"/>
        <v>5463.0772136119667</v>
      </c>
      <c r="Y173" s="84">
        <f t="shared" si="221"/>
        <v>5797.3563850791197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13370.612965195491</v>
      </c>
      <c r="K174" s="84">
        <f t="shared" si="219"/>
        <v>13368.972134057633</v>
      </c>
      <c r="L174" s="84">
        <f t="shared" si="219"/>
        <v>12328.064895667021</v>
      </c>
      <c r="M174" s="84">
        <f t="shared" si="222"/>
        <v>11732.529512162637</v>
      </c>
      <c r="N174" s="84">
        <f t="shared" si="219"/>
        <v>10860.910411482151</v>
      </c>
      <c r="O174" s="84">
        <f t="shared" si="219"/>
        <v>10312.766969264441</v>
      </c>
      <c r="P174" s="84">
        <f t="shared" si="219"/>
        <v>10242.076767874423</v>
      </c>
      <c r="Q174" s="84">
        <f t="shared" si="219"/>
        <v>9904.533720569365</v>
      </c>
      <c r="R174" s="84">
        <f t="shared" si="219"/>
        <v>10410.83464659429</v>
      </c>
      <c r="S174" s="84">
        <f t="shared" si="219"/>
        <v>10505.478926013337</v>
      </c>
      <c r="T174" s="84">
        <f t="shared" si="219"/>
        <v>10660.053596613061</v>
      </c>
      <c r="U174" s="84">
        <f t="shared" si="219"/>
        <v>10962.032347451741</v>
      </c>
      <c r="V174" s="84">
        <f t="shared" si="219"/>
        <v>10596.158845138867</v>
      </c>
      <c r="W174" s="84">
        <f t="shared" si="221"/>
        <v>11904.171642455422</v>
      </c>
      <c r="X174" s="84">
        <f t="shared" si="221"/>
        <v>12174.810110390878</v>
      </c>
      <c r="Y174" s="84">
        <f t="shared" si="221"/>
        <v>12550.635854935663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7823.1253881604534</v>
      </c>
      <c r="O175" s="84">
        <f t="shared" si="219"/>
        <v>8201.9306410236586</v>
      </c>
      <c r="P175" s="84">
        <f t="shared" si="219"/>
        <v>8745.9196109381373</v>
      </c>
      <c r="Q175" s="84">
        <f t="shared" si="219"/>
        <v>9080.8824914911547</v>
      </c>
      <c r="R175" s="84">
        <f t="shared" si="219"/>
        <v>8890.0254279952678</v>
      </c>
      <c r="S175" s="84">
        <f t="shared" si="219"/>
        <v>8355.1979559606789</v>
      </c>
      <c r="T175" s="84">
        <f t="shared" si="219"/>
        <v>7896.3012702486103</v>
      </c>
      <c r="U175" s="84">
        <f t="shared" si="219"/>
        <v>7618.8419507877607</v>
      </c>
      <c r="V175" s="84">
        <f t="shared" si="219"/>
        <v>6945.8989621312357</v>
      </c>
      <c r="W175" s="84">
        <f t="shared" si="221"/>
        <v>7327.9749043674346</v>
      </c>
      <c r="X175" s="84">
        <f t="shared" si="221"/>
        <v>7481.7260453261233</v>
      </c>
      <c r="Y175" s="84">
        <f t="shared" si="221"/>
        <v>7553.0286689238737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10244.622291387594</v>
      </c>
      <c r="M176" s="84">
        <f t="shared" si="222"/>
        <v>10256.92613820081</v>
      </c>
      <c r="N176" s="84">
        <f t="shared" si="219"/>
        <v>10282.826470484995</v>
      </c>
      <c r="O176" s="84">
        <f t="shared" si="219"/>
        <v>10309.930365406168</v>
      </c>
      <c r="P176" s="84">
        <f t="shared" si="219"/>
        <v>10315.065222546204</v>
      </c>
      <c r="Q176" s="84">
        <f t="shared" si="219"/>
        <v>10321.685036223247</v>
      </c>
      <c r="R176" s="84">
        <f t="shared" si="219"/>
        <v>10310.97561520027</v>
      </c>
      <c r="S176" s="84">
        <f t="shared" si="219"/>
        <v>10306.147313140849</v>
      </c>
      <c r="T176" s="84">
        <f t="shared" si="219"/>
        <v>10301.439410620769</v>
      </c>
      <c r="U176" s="84">
        <f t="shared" si="219"/>
        <v>10301.319005764502</v>
      </c>
      <c r="V176" s="84">
        <f t="shared" si="219"/>
        <v>9555.5070865708203</v>
      </c>
      <c r="W176" s="84">
        <f t="shared" si="221"/>
        <v>10273.472112762671</v>
      </c>
      <c r="X176" s="84">
        <f t="shared" si="221"/>
        <v>10282.699484639274</v>
      </c>
      <c r="Y176" s="84">
        <f t="shared" si="221"/>
        <v>10287.63502013267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32246.164919699491</v>
      </c>
      <c r="C177" s="110">
        <f t="shared" si="219"/>
        <v>32630.739665535435</v>
      </c>
      <c r="D177" s="110">
        <f t="shared" si="219"/>
        <v>33822.763159914684</v>
      </c>
      <c r="E177" s="110">
        <f t="shared" si="219"/>
        <v>32163.362530167396</v>
      </c>
      <c r="F177" s="110">
        <f t="shared" si="219"/>
        <v>30585.947497234731</v>
      </c>
      <c r="G177" s="110">
        <f t="shared" si="219"/>
        <v>30055.030337237196</v>
      </c>
      <c r="H177" s="110">
        <f t="shared" si="219"/>
        <v>30678.672607119595</v>
      </c>
      <c r="I177" s="110">
        <f t="shared" si="219"/>
        <v>31148.060069435243</v>
      </c>
      <c r="J177" s="110">
        <f t="shared" si="219"/>
        <v>31357.04060961249</v>
      </c>
      <c r="K177" s="110">
        <f t="shared" si="219"/>
        <v>32323.04582285897</v>
      </c>
      <c r="L177" s="110">
        <f t="shared" si="219"/>
        <v>33996.405134805231</v>
      </c>
      <c r="M177" s="110">
        <f t="shared" si="222"/>
        <v>32374.520363338106</v>
      </c>
      <c r="N177" s="110">
        <f t="shared" si="219"/>
        <v>31223.423949366479</v>
      </c>
      <c r="O177" s="110">
        <f t="shared" si="219"/>
        <v>32322.739650914849</v>
      </c>
      <c r="P177" s="110">
        <f t="shared" si="219"/>
        <v>32086.762733009145</v>
      </c>
      <c r="Q177" s="110">
        <f t="shared" si="219"/>
        <v>30570.400896957988</v>
      </c>
      <c r="R177" s="110">
        <f t="shared" si="219"/>
        <v>30017.782236988412</v>
      </c>
      <c r="S177" s="110">
        <f t="shared" si="219"/>
        <v>30642.402741769503</v>
      </c>
      <c r="T177" s="110">
        <f t="shared" si="219"/>
        <v>30786.855080291123</v>
      </c>
      <c r="U177" s="110">
        <f t="shared" si="219"/>
        <v>30384.678438198032</v>
      </c>
      <c r="V177" s="110">
        <f t="shared" si="219"/>
        <v>24999.335800967056</v>
      </c>
      <c r="W177" s="110">
        <f t="shared" si="221"/>
        <v>23497.00253555314</v>
      </c>
      <c r="X177" s="110">
        <f t="shared" si="221"/>
        <v>26376.264264870737</v>
      </c>
      <c r="Y177" s="110">
        <f t="shared" si="221"/>
        <v>25485.536202361629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15516.815562794171</v>
      </c>
      <c r="C178" s="102">
        <f t="shared" si="219"/>
        <v>15403.120615204563</v>
      </c>
      <c r="D178" s="102">
        <f t="shared" si="219"/>
        <v>15680.857886686546</v>
      </c>
      <c r="E178" s="102">
        <f t="shared" si="219"/>
        <v>15177.621657009455</v>
      </c>
      <c r="F178" s="102">
        <f t="shared" si="219"/>
        <v>14257.840935673112</v>
      </c>
      <c r="G178" s="102">
        <f t="shared" si="219"/>
        <v>13723.616933370116</v>
      </c>
      <c r="H178" s="102">
        <f t="shared" si="219"/>
        <v>13747.818160419214</v>
      </c>
      <c r="I178" s="102">
        <f t="shared" si="219"/>
        <v>13922.309721222862</v>
      </c>
      <c r="J178" s="102">
        <f t="shared" si="219"/>
        <v>14058.035204588754</v>
      </c>
      <c r="K178" s="102">
        <f t="shared" si="219"/>
        <v>14342.358614321955</v>
      </c>
      <c r="L178" s="102">
        <f t="shared" si="219"/>
        <v>14951.464736245611</v>
      </c>
      <c r="M178" s="102">
        <f t="shared" si="222"/>
        <v>13928.43909007384</v>
      </c>
      <c r="N178" s="102">
        <f t="shared" si="219"/>
        <v>13137.328236826264</v>
      </c>
      <c r="O178" s="102">
        <f t="shared" si="219"/>
        <v>13471.687229577268</v>
      </c>
      <c r="P178" s="102">
        <f t="shared" si="219"/>
        <v>13810.878509603363</v>
      </c>
      <c r="Q178" s="102">
        <f t="shared" si="219"/>
        <v>12973.655883455658</v>
      </c>
      <c r="R178" s="102">
        <f t="shared" si="219"/>
        <v>13413.223081982318</v>
      </c>
      <c r="S178" s="102">
        <f t="shared" si="219"/>
        <v>13553.23948961894</v>
      </c>
      <c r="T178" s="102">
        <f t="shared" si="219"/>
        <v>12809.238017714702</v>
      </c>
      <c r="U178" s="102">
        <f t="shared" si="219"/>
        <v>12335.191394377751</v>
      </c>
      <c r="V178" s="102">
        <f t="shared" si="219"/>
        <v>9601.2711507585118</v>
      </c>
      <c r="W178" s="102">
        <f t="shared" si="221"/>
        <v>8670.3896559928417</v>
      </c>
      <c r="X178" s="102">
        <f t="shared" si="221"/>
        <v>9593.4662920568353</v>
      </c>
      <c r="Y178" s="102">
        <f t="shared" si="221"/>
        <v>9068.5143405341478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35023.219146877942</v>
      </c>
      <c r="C179" s="102">
        <f t="shared" si="219"/>
        <v>35230.344463743946</v>
      </c>
      <c r="D179" s="102">
        <f t="shared" si="219"/>
        <v>37037.115182203306</v>
      </c>
      <c r="E179" s="102">
        <f t="shared" si="219"/>
        <v>34768.692434285724</v>
      </c>
      <c r="F179" s="102">
        <f t="shared" si="219"/>
        <v>32632.481510142396</v>
      </c>
      <c r="G179" s="102">
        <f t="shared" si="219"/>
        <v>31926.643107297892</v>
      </c>
      <c r="H179" s="102">
        <f t="shared" si="219"/>
        <v>32642.629151805777</v>
      </c>
      <c r="I179" s="102">
        <f t="shared" si="219"/>
        <v>33249.907063241037</v>
      </c>
      <c r="J179" s="102">
        <f t="shared" si="219"/>
        <v>33349.52299906913</v>
      </c>
      <c r="K179" s="102">
        <f t="shared" si="219"/>
        <v>34321.656526803112</v>
      </c>
      <c r="L179" s="102">
        <f t="shared" si="219"/>
        <v>36216.868296472916</v>
      </c>
      <c r="M179" s="102">
        <f t="shared" si="222"/>
        <v>34356.663540642228</v>
      </c>
      <c r="N179" s="102">
        <f t="shared" si="219"/>
        <v>32980.642892767937</v>
      </c>
      <c r="O179" s="102">
        <f t="shared" si="219"/>
        <v>34255.377744495418</v>
      </c>
      <c r="P179" s="102">
        <f t="shared" si="219"/>
        <v>33900.086346326847</v>
      </c>
      <c r="Q179" s="102">
        <f t="shared" si="219"/>
        <v>32355.870134382469</v>
      </c>
      <c r="R179" s="102">
        <f t="shared" si="219"/>
        <v>31250.208428872163</v>
      </c>
      <c r="S179" s="102">
        <f t="shared" si="219"/>
        <v>31498.561574818388</v>
      </c>
      <c r="T179" s="102">
        <f t="shared" si="219"/>
        <v>31701.747482025672</v>
      </c>
      <c r="U179" s="102">
        <f t="shared" si="219"/>
        <v>31204.905722395648</v>
      </c>
      <c r="V179" s="102">
        <f t="shared" si="219"/>
        <v>25837.858462065811</v>
      </c>
      <c r="W179" s="102">
        <f t="shared" si="221"/>
        <v>24016.489978569545</v>
      </c>
      <c r="X179" s="102">
        <f t="shared" si="221"/>
        <v>27007.716779901613</v>
      </c>
      <c r="Y179" s="102">
        <f t="shared" si="221"/>
        <v>25984.125744048328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13798.670434217047</v>
      </c>
      <c r="W180" s="102">
        <f t="shared" si="221"/>
        <v>12969.440338791637</v>
      </c>
      <c r="X180" s="102">
        <f t="shared" si="221"/>
        <v>14558.68190956851</v>
      </c>
      <c r="Y180" s="102">
        <f t="shared" si="221"/>
        <v>14067.034328251713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30452.405938310229</v>
      </c>
      <c r="C181" s="102">
        <f t="shared" si="223"/>
        <v>29631.289152176952</v>
      </c>
      <c r="D181" s="102">
        <f t="shared" si="223"/>
        <v>28214.000516173237</v>
      </c>
      <c r="E181" s="102">
        <f t="shared" si="223"/>
        <v>27633.950634237815</v>
      </c>
      <c r="F181" s="102">
        <f t="shared" si="223"/>
        <v>32939.328786924685</v>
      </c>
      <c r="G181" s="102">
        <f t="shared" si="223"/>
        <v>32339.234741125907</v>
      </c>
      <c r="H181" s="102">
        <f t="shared" si="223"/>
        <v>29870.549557716517</v>
      </c>
      <c r="I181" s="102">
        <f t="shared" si="223"/>
        <v>24280.485170133699</v>
      </c>
      <c r="J181" s="102">
        <f t="shared" si="223"/>
        <v>24116.544744766656</v>
      </c>
      <c r="K181" s="102">
        <f t="shared" si="223"/>
        <v>23580.753164763031</v>
      </c>
      <c r="L181" s="102">
        <f t="shared" si="223"/>
        <v>23303.566604577965</v>
      </c>
      <c r="M181" s="102">
        <f t="shared" si="222"/>
        <v>24338.487243164065</v>
      </c>
      <c r="N181" s="102">
        <f t="shared" si="223"/>
        <v>24357.471218078295</v>
      </c>
      <c r="O181" s="102">
        <f t="shared" si="223"/>
        <v>23529.885893063947</v>
      </c>
      <c r="P181" s="102">
        <f t="shared" si="223"/>
        <v>24062.158661258502</v>
      </c>
      <c r="Q181" s="102">
        <f t="shared" si="223"/>
        <v>22594.651544973305</v>
      </c>
      <c r="R181" s="102">
        <f t="shared" si="223"/>
        <v>29796.164175011614</v>
      </c>
      <c r="S181" s="102">
        <f t="shared" si="223"/>
        <v>36865.955437331846</v>
      </c>
      <c r="T181" s="102">
        <f t="shared" si="223"/>
        <v>35553.27411507495</v>
      </c>
      <c r="U181" s="102">
        <f t="shared" si="223"/>
        <v>34936.236779612234</v>
      </c>
      <c r="V181" s="102">
        <f t="shared" si="223"/>
        <v>27748.076875885781</v>
      </c>
      <c r="W181" s="102">
        <f t="shared" si="221"/>
        <v>25569.173733979536</v>
      </c>
      <c r="X181" s="102">
        <f t="shared" si="221"/>
        <v>29027.167964616292</v>
      </c>
      <c r="Y181" s="102">
        <f t="shared" si="221"/>
        <v>27998.78466372635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39028.973546425041</v>
      </c>
      <c r="C182" s="102">
        <f t="shared" si="223"/>
        <v>39052.116116376019</v>
      </c>
      <c r="D182" s="102">
        <f t="shared" si="223"/>
        <v>39122.237052913624</v>
      </c>
      <c r="E182" s="102">
        <f t="shared" si="223"/>
        <v>39220.765169668193</v>
      </c>
      <c r="F182" s="102">
        <f t="shared" si="223"/>
        <v>39319.504617040337</v>
      </c>
      <c r="G182" s="102">
        <f t="shared" si="223"/>
        <v>39353.945147693805</v>
      </c>
      <c r="H182" s="102">
        <f t="shared" si="223"/>
        <v>39394.377808963807</v>
      </c>
      <c r="I182" s="102">
        <f t="shared" si="223"/>
        <v>39424.297882057843</v>
      </c>
      <c r="J182" s="102">
        <f t="shared" si="223"/>
        <v>39430.082503083286</v>
      </c>
      <c r="K182" s="102">
        <f t="shared" si="223"/>
        <v>39465.349547092206</v>
      </c>
      <c r="L182" s="102">
        <f t="shared" si="223"/>
        <v>39548.840918500333</v>
      </c>
      <c r="M182" s="102">
        <f t="shared" si="222"/>
        <v>39645.144369389018</v>
      </c>
      <c r="N182" s="102">
        <f t="shared" si="223"/>
        <v>39730.927751997398</v>
      </c>
      <c r="O182" s="102">
        <f t="shared" si="223"/>
        <v>39816.033889414422</v>
      </c>
      <c r="P182" s="102">
        <f t="shared" si="223"/>
        <v>39900.816458948975</v>
      </c>
      <c r="Q182" s="102">
        <f t="shared" si="223"/>
        <v>39995.905245001552</v>
      </c>
      <c r="R182" s="102">
        <f t="shared" si="223"/>
        <v>39894.09710663015</v>
      </c>
      <c r="S182" s="102">
        <f t="shared" si="223"/>
        <v>39836.032159611306</v>
      </c>
      <c r="T182" s="102">
        <f t="shared" si="223"/>
        <v>39767.315046982367</v>
      </c>
      <c r="U182" s="102">
        <f t="shared" si="223"/>
        <v>39734.174933819028</v>
      </c>
      <c r="V182" s="102">
        <f t="shared" si="223"/>
        <v>33705.80835312108</v>
      </c>
      <c r="W182" s="102">
        <f t="shared" si="221"/>
        <v>39147.946722437177</v>
      </c>
      <c r="X182" s="102">
        <f t="shared" si="221"/>
        <v>39454.099138143967</v>
      </c>
      <c r="Y182" s="102">
        <f t="shared" si="221"/>
        <v>39386.388103391284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12882.372855649912</v>
      </c>
      <c r="C183" s="28">
        <f t="shared" si="223"/>
        <v>13957.933772033713</v>
      </c>
      <c r="D183" s="28">
        <f t="shared" si="223"/>
        <v>14715.636738964695</v>
      </c>
      <c r="E183" s="28">
        <f t="shared" si="223"/>
        <v>16090.202599752058</v>
      </c>
      <c r="F183" s="28">
        <f t="shared" si="223"/>
        <v>16688.671746001895</v>
      </c>
      <c r="G183" s="28">
        <f t="shared" si="223"/>
        <v>17126.334982487333</v>
      </c>
      <c r="H183" s="28">
        <f t="shared" si="223"/>
        <v>16368.775994587113</v>
      </c>
      <c r="I183" s="28">
        <f t="shared" si="223"/>
        <v>15510.247632563258</v>
      </c>
      <c r="J183" s="28">
        <f t="shared" si="223"/>
        <v>15341.751103777793</v>
      </c>
      <c r="K183" s="28">
        <f t="shared" si="223"/>
        <v>14710.952903647443</v>
      </c>
      <c r="L183" s="28">
        <f t="shared" si="223"/>
        <v>15553.877852589203</v>
      </c>
      <c r="M183" s="28">
        <f t="shared" si="222"/>
        <v>15878.932855749556</v>
      </c>
      <c r="N183" s="28">
        <f t="shared" si="223"/>
        <v>15624.233210470038</v>
      </c>
      <c r="O183" s="28">
        <f t="shared" si="223"/>
        <v>16491.459735643093</v>
      </c>
      <c r="P183" s="28">
        <f t="shared" si="223"/>
        <v>17514.276646958915</v>
      </c>
      <c r="Q183" s="28">
        <f t="shared" si="223"/>
        <v>18245.367476973061</v>
      </c>
      <c r="R183" s="28">
        <f t="shared" si="223"/>
        <v>18712.773929738836</v>
      </c>
      <c r="S183" s="28">
        <f t="shared" si="223"/>
        <v>18688.494037849221</v>
      </c>
      <c r="T183" s="28">
        <f t="shared" si="223"/>
        <v>18461.294945555092</v>
      </c>
      <c r="U183" s="28">
        <f t="shared" si="223"/>
        <v>18434.528267659171</v>
      </c>
      <c r="V183" s="28">
        <f t="shared" si="223"/>
        <v>19234.872038013149</v>
      </c>
      <c r="W183" s="28">
        <f t="shared" si="221"/>
        <v>20386.761381101194</v>
      </c>
      <c r="X183" s="28">
        <f t="shared" si="221"/>
        <v>20063.531434159457</v>
      </c>
      <c r="Y183" s="28">
        <f t="shared" si="221"/>
        <v>19561.454836409623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9361.8028439531226</v>
      </c>
      <c r="C184" s="137">
        <f t="shared" si="223"/>
        <v>10002.788858535872</v>
      </c>
      <c r="D184" s="137">
        <f t="shared" si="223"/>
        <v>10309.048220369683</v>
      </c>
      <c r="E184" s="137">
        <f t="shared" si="223"/>
        <v>10578.47109744197</v>
      </c>
      <c r="F184" s="137">
        <f t="shared" si="223"/>
        <v>10669.561574430458</v>
      </c>
      <c r="G184" s="137">
        <f t="shared" si="223"/>
        <v>10769.404166305552</v>
      </c>
      <c r="H184" s="137">
        <f t="shared" si="223"/>
        <v>10739.380679931279</v>
      </c>
      <c r="I184" s="137">
        <f t="shared" si="223"/>
        <v>10610.277362555864</v>
      </c>
      <c r="J184" s="137">
        <f t="shared" si="223"/>
        <v>11218.152042047208</v>
      </c>
      <c r="K184" s="137">
        <f t="shared" si="223"/>
        <v>11362.443336559063</v>
      </c>
      <c r="L184" s="137">
        <f t="shared" si="223"/>
        <v>12067.496990714164</v>
      </c>
      <c r="M184" s="137">
        <f t="shared" si="222"/>
        <v>12269.242893766785</v>
      </c>
      <c r="N184" s="137">
        <f t="shared" si="223"/>
        <v>12457.259830063389</v>
      </c>
      <c r="O184" s="137">
        <f t="shared" si="223"/>
        <v>13015.978610113725</v>
      </c>
      <c r="P184" s="137">
        <f t="shared" si="223"/>
        <v>14155.977483074275</v>
      </c>
      <c r="Q184" s="137">
        <f t="shared" si="223"/>
        <v>14524.99179805657</v>
      </c>
      <c r="R184" s="137">
        <f t="shared" si="223"/>
        <v>14744.165254752124</v>
      </c>
      <c r="S184" s="137">
        <f t="shared" si="223"/>
        <v>14830.075132695396</v>
      </c>
      <c r="T184" s="137">
        <f t="shared" si="223"/>
        <v>14831.685254870883</v>
      </c>
      <c r="U184" s="137">
        <f t="shared" si="223"/>
        <v>14824.211884151617</v>
      </c>
      <c r="V184" s="137">
        <f t="shared" si="223"/>
        <v>14352.443091714054</v>
      </c>
      <c r="W184" s="137">
        <f t="shared" si="221"/>
        <v>14760.967409221628</v>
      </c>
      <c r="X184" s="137">
        <f t="shared" si="221"/>
        <v>14701.494210502195</v>
      </c>
      <c r="Y184" s="137">
        <f t="shared" si="221"/>
        <v>14369.184776574895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6672.4518232704277</v>
      </c>
      <c r="C185" s="84">
        <f t="shared" si="223"/>
        <v>6845.4933112062117</v>
      </c>
      <c r="D185" s="84">
        <f t="shared" si="223"/>
        <v>6915.3475284934611</v>
      </c>
      <c r="E185" s="84">
        <f t="shared" si="223"/>
        <v>6929.0280782272584</v>
      </c>
      <c r="F185" s="84">
        <f t="shared" si="223"/>
        <v>6912.3065643121736</v>
      </c>
      <c r="G185" s="84">
        <f t="shared" si="223"/>
        <v>6909.80141061835</v>
      </c>
      <c r="H185" s="84">
        <f t="shared" si="223"/>
        <v>6901.5811600261723</v>
      </c>
      <c r="I185" s="84">
        <f t="shared" si="223"/>
        <v>6866.0177347470772</v>
      </c>
      <c r="J185" s="84">
        <f t="shared" si="223"/>
        <v>6999.8442575224117</v>
      </c>
      <c r="K185" s="84">
        <f t="shared" si="223"/>
        <v>7023.4450577039324</v>
      </c>
      <c r="L185" s="84">
        <f t="shared" si="223"/>
        <v>7171.1767246549161</v>
      </c>
      <c r="M185" s="84">
        <f t="shared" si="222"/>
        <v>7205.8486783369672</v>
      </c>
      <c r="N185" s="84">
        <f t="shared" si="223"/>
        <v>7239.4304714354139</v>
      </c>
      <c r="O185" s="84">
        <f t="shared" si="223"/>
        <v>7330.649308838405</v>
      </c>
      <c r="P185" s="84">
        <f t="shared" si="223"/>
        <v>7468.4520171410986</v>
      </c>
      <c r="Q185" s="84">
        <f t="shared" si="223"/>
        <v>7482.8390000393038</v>
      </c>
      <c r="R185" s="84">
        <f t="shared" si="223"/>
        <v>7611.1118968485816</v>
      </c>
      <c r="S185" s="84">
        <f t="shared" si="223"/>
        <v>7557.1150240243269</v>
      </c>
      <c r="T185" s="84">
        <f t="shared" si="223"/>
        <v>7560.4938962315291</v>
      </c>
      <c r="U185" s="84">
        <f t="shared" si="223"/>
        <v>7560.1996649768907</v>
      </c>
      <c r="V185" s="84">
        <f t="shared" si="223"/>
        <v>7477.9993699720071</v>
      </c>
      <c r="W185" s="84">
        <f t="shared" si="221"/>
        <v>7550.8356378195458</v>
      </c>
      <c r="X185" s="84">
        <f t="shared" si="221"/>
        <v>7533.8484962082448</v>
      </c>
      <c r="Y185" s="84">
        <f t="shared" si="221"/>
        <v>7462.3415824116064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10861.73141851129</v>
      </c>
      <c r="C186" s="84">
        <f t="shared" si="223"/>
        <v>11728.891551515015</v>
      </c>
      <c r="D186" s="84">
        <f t="shared" si="223"/>
        <v>12091.62724069361</v>
      </c>
      <c r="E186" s="84">
        <f t="shared" si="223"/>
        <v>12163.531467447659</v>
      </c>
      <c r="F186" s="84">
        <f t="shared" si="223"/>
        <v>12075.682689170299</v>
      </c>
      <c r="G186" s="84">
        <f t="shared" si="223"/>
        <v>12062.558063506112</v>
      </c>
      <c r="H186" s="84">
        <f t="shared" si="223"/>
        <v>12019.558563900518</v>
      </c>
      <c r="I186" s="84">
        <f t="shared" si="223"/>
        <v>11834.70622861785</v>
      </c>
      <c r="J186" s="84">
        <f t="shared" si="223"/>
        <v>12540.297838651595</v>
      </c>
      <c r="K186" s="84">
        <f t="shared" si="223"/>
        <v>12667.569264276199</v>
      </c>
      <c r="L186" s="84">
        <f t="shared" si="223"/>
        <v>13483.852564611201</v>
      </c>
      <c r="M186" s="84">
        <f t="shared" si="222"/>
        <v>13680.379109400177</v>
      </c>
      <c r="N186" s="84">
        <f t="shared" si="223"/>
        <v>13872.538018433563</v>
      </c>
      <c r="O186" s="84">
        <f t="shared" si="223"/>
        <v>14569.034928561197</v>
      </c>
      <c r="P186" s="84">
        <f t="shared" si="223"/>
        <v>16018.025280103131</v>
      </c>
      <c r="Q186" s="84">
        <f t="shared" si="223"/>
        <v>16516.004669877031</v>
      </c>
      <c r="R186" s="84">
        <f t="shared" si="223"/>
        <v>17380.013697648301</v>
      </c>
      <c r="S186" s="84">
        <f t="shared" si="223"/>
        <v>17533.487474606925</v>
      </c>
      <c r="T186" s="84">
        <f t="shared" si="223"/>
        <v>17557.016257358398</v>
      </c>
      <c r="U186" s="84">
        <f t="shared" si="223"/>
        <v>17554.966541312078</v>
      </c>
      <c r="V186" s="84">
        <f t="shared" si="223"/>
        <v>16988.556646133169</v>
      </c>
      <c r="W186" s="84">
        <f t="shared" si="221"/>
        <v>17489.81680926483</v>
      </c>
      <c r="X186" s="84">
        <f t="shared" si="221"/>
        <v>17372.041458720898</v>
      </c>
      <c r="Y186" s="84">
        <f t="shared" si="221"/>
        <v>16882.065611646984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7697.721091182807</v>
      </c>
      <c r="C187" s="84">
        <f t="shared" si="223"/>
        <v>7897.3516237986378</v>
      </c>
      <c r="D187" s="84">
        <f t="shared" si="223"/>
        <v>7977.9394340912222</v>
      </c>
      <c r="E187" s="84">
        <f t="shared" si="223"/>
        <v>7993.7220967486819</v>
      </c>
      <c r="F187" s="84">
        <f t="shared" si="223"/>
        <v>7974.43120432264</v>
      </c>
      <c r="G187" s="84">
        <f t="shared" si="223"/>
        <v>7971.5411161007441</v>
      </c>
      <c r="H187" s="84">
        <f t="shared" si="223"/>
        <v>7962.0577660467916</v>
      </c>
      <c r="I187" s="84">
        <f t="shared" si="223"/>
        <v>7921.0297697275291</v>
      </c>
      <c r="J187" s="84">
        <f t="shared" si="223"/>
        <v>8075.4196812941609</v>
      </c>
      <c r="K187" s="84">
        <f t="shared" si="223"/>
        <v>8102.6469108250649</v>
      </c>
      <c r="L187" s="84">
        <f t="shared" si="223"/>
        <v>8273.078590010542</v>
      </c>
      <c r="M187" s="84">
        <f t="shared" si="222"/>
        <v>8313.0781338364031</v>
      </c>
      <c r="N187" s="84">
        <f t="shared" si="223"/>
        <v>8351.8200062186224</v>
      </c>
      <c r="O187" s="84">
        <f t="shared" si="223"/>
        <v>8457.0552611426519</v>
      </c>
      <c r="P187" s="84">
        <f t="shared" si="223"/>
        <v>8529.8720039059262</v>
      </c>
      <c r="Q187" s="84">
        <f t="shared" si="223"/>
        <v>8546.3036717217492</v>
      </c>
      <c r="R187" s="84">
        <f t="shared" si="223"/>
        <v>8692.8067742177082</v>
      </c>
      <c r="S187" s="84">
        <f t="shared" si="223"/>
        <v>8718.3190302022886</v>
      </c>
      <c r="T187" s="84">
        <f t="shared" si="223"/>
        <v>8722.2170899474459</v>
      </c>
      <c r="U187" s="84">
        <f t="shared" si="223"/>
        <v>8721.8776479860026</v>
      </c>
      <c r="V187" s="84">
        <f t="shared" si="223"/>
        <v>8627.0466980863293</v>
      </c>
      <c r="W187" s="84">
        <f t="shared" si="221"/>
        <v>8711.0747720332511</v>
      </c>
      <c r="X187" s="84">
        <f t="shared" si="221"/>
        <v>8691.4774363426168</v>
      </c>
      <c r="Y187" s="84">
        <f t="shared" si="221"/>
        <v>8608.9829810693536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9032.8744609434634</v>
      </c>
      <c r="O188" s="84">
        <f t="shared" si="223"/>
        <v>9366.4937423864158</v>
      </c>
      <c r="P188" s="84">
        <f t="shared" si="223"/>
        <v>9662.1496935909254</v>
      </c>
      <c r="Q188" s="84">
        <f t="shared" si="223"/>
        <v>9781.1336303911412</v>
      </c>
      <c r="R188" s="84">
        <f t="shared" si="223"/>
        <v>9839.005956460267</v>
      </c>
      <c r="S188" s="84">
        <f t="shared" si="223"/>
        <v>10247.932895660913</v>
      </c>
      <c r="T188" s="84">
        <f t="shared" si="223"/>
        <v>10399.107319266997</v>
      </c>
      <c r="U188" s="84">
        <f t="shared" si="223"/>
        <v>10498.807327497894</v>
      </c>
      <c r="V188" s="84">
        <f t="shared" si="223"/>
        <v>9453.856533926215</v>
      </c>
      <c r="W188" s="84">
        <f t="shared" si="221"/>
        <v>10571.365881341142</v>
      </c>
      <c r="X188" s="84">
        <f t="shared" si="221"/>
        <v>10427.544834338452</v>
      </c>
      <c r="Y188" s="84">
        <f t="shared" si="221"/>
        <v>9528.2903555452322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9825.8713904944689</v>
      </c>
      <c r="K189" s="84">
        <f t="shared" si="223"/>
        <v>9832.1530298170183</v>
      </c>
      <c r="L189" s="84">
        <f t="shared" si="223"/>
        <v>9861.7961176866247</v>
      </c>
      <c r="M189" s="84">
        <f t="shared" si="222"/>
        <v>9869.9766334059659</v>
      </c>
      <c r="N189" s="84">
        <f t="shared" si="223"/>
        <v>9877.4077232015952</v>
      </c>
      <c r="O189" s="84">
        <f t="shared" si="223"/>
        <v>9899.0740270850947</v>
      </c>
      <c r="P189" s="84">
        <f t="shared" si="223"/>
        <v>9940.6678273871476</v>
      </c>
      <c r="Q189" s="84">
        <f t="shared" si="223"/>
        <v>9950.2379102178511</v>
      </c>
      <c r="R189" s="84">
        <f t="shared" si="223"/>
        <v>9866.0340948091216</v>
      </c>
      <c r="S189" s="84">
        <f t="shared" si="223"/>
        <v>9851.5881221284508</v>
      </c>
      <c r="T189" s="84">
        <f t="shared" si="223"/>
        <v>9849.3864817524372</v>
      </c>
      <c r="U189" s="84">
        <f t="shared" si="223"/>
        <v>9849.1948259176752</v>
      </c>
      <c r="V189" s="84">
        <f t="shared" si="223"/>
        <v>9073.8567695413058</v>
      </c>
      <c r="W189" s="84">
        <f t="shared" si="221"/>
        <v>9843.0933532089184</v>
      </c>
      <c r="X189" s="84">
        <f t="shared" si="221"/>
        <v>9816.9652594650415</v>
      </c>
      <c r="Y189" s="84">
        <f t="shared" si="221"/>
        <v>9834.5235251833637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16689.34883237485</v>
      </c>
      <c r="C190" s="110">
        <f t="shared" si="223"/>
        <v>18583.16440998235</v>
      </c>
      <c r="D190" s="110">
        <f t="shared" si="223"/>
        <v>20636.355534349896</v>
      </c>
      <c r="E190" s="110">
        <f t="shared" si="223"/>
        <v>25234.53186764336</v>
      </c>
      <c r="F190" s="110">
        <f t="shared" si="223"/>
        <v>28401.006923410027</v>
      </c>
      <c r="G190" s="110">
        <f t="shared" si="223"/>
        <v>31861.141369736331</v>
      </c>
      <c r="H190" s="110">
        <f t="shared" si="223"/>
        <v>31809.8630843758</v>
      </c>
      <c r="I190" s="110">
        <f t="shared" si="223"/>
        <v>30476.957756926331</v>
      </c>
      <c r="J190" s="110">
        <f t="shared" si="223"/>
        <v>30231.995360959416</v>
      </c>
      <c r="K190" s="110">
        <f t="shared" si="223"/>
        <v>27594.563979611597</v>
      </c>
      <c r="L190" s="110">
        <f t="shared" si="223"/>
        <v>29830.21526565024</v>
      </c>
      <c r="M190" s="110">
        <f t="shared" si="222"/>
        <v>31069.519227847723</v>
      </c>
      <c r="N190" s="110">
        <f t="shared" si="223"/>
        <v>28012.817237449795</v>
      </c>
      <c r="O190" s="110">
        <f t="shared" si="223"/>
        <v>30180.726760420101</v>
      </c>
      <c r="P190" s="110">
        <f t="shared" si="223"/>
        <v>30610.943706285831</v>
      </c>
      <c r="Q190" s="110">
        <f t="shared" si="223"/>
        <v>32485.545419859685</v>
      </c>
      <c r="R190" s="110">
        <f t="shared" si="223"/>
        <v>30603.410881948344</v>
      </c>
      <c r="S190" s="110">
        <f t="shared" si="223"/>
        <v>29691.099060683344</v>
      </c>
      <c r="T190" s="110">
        <f t="shared" si="223"/>
        <v>28450.05523720627</v>
      </c>
      <c r="U190" s="110">
        <f t="shared" si="223"/>
        <v>28108.973085134228</v>
      </c>
      <c r="V190" s="110">
        <f t="shared" si="223"/>
        <v>33257.745850249397</v>
      </c>
      <c r="W190" s="110">
        <f t="shared" si="221"/>
        <v>36735.871025047301</v>
      </c>
      <c r="X190" s="110">
        <f t="shared" si="221"/>
        <v>35277.6971748418</v>
      </c>
      <c r="Y190" s="110">
        <f t="shared" si="221"/>
        <v>34773.842160786015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11408.84533816313</v>
      </c>
      <c r="C191" s="102">
        <f t="shared" si="223"/>
        <v>13131.568659016168</v>
      </c>
      <c r="D191" s="102">
        <f t="shared" si="223"/>
        <v>15059.68496185085</v>
      </c>
      <c r="E191" s="102">
        <f t="shared" si="223"/>
        <v>19452.14687841358</v>
      </c>
      <c r="F191" s="102">
        <f t="shared" si="223"/>
        <v>21748.514988258048</v>
      </c>
      <c r="G191" s="102">
        <f t="shared" si="223"/>
        <v>25375.215429516658</v>
      </c>
      <c r="H191" s="102">
        <f t="shared" si="223"/>
        <v>24903.115317049054</v>
      </c>
      <c r="I191" s="102">
        <f t="shared" si="223"/>
        <v>23496.860880307311</v>
      </c>
      <c r="J191" s="102">
        <f t="shared" si="223"/>
        <v>23386.103781882146</v>
      </c>
      <c r="K191" s="102">
        <f t="shared" si="223"/>
        <v>20439.784746706253</v>
      </c>
      <c r="L191" s="102">
        <f t="shared" si="223"/>
        <v>21922.343734323265</v>
      </c>
      <c r="M191" s="102">
        <f t="shared" si="222"/>
        <v>22567.436626762104</v>
      </c>
      <c r="N191" s="102">
        <f t="shared" si="223"/>
        <v>19785.394989997225</v>
      </c>
      <c r="O191" s="102">
        <f t="shared" si="223"/>
        <v>21175.058300288303</v>
      </c>
      <c r="P191" s="102">
        <f t="shared" si="223"/>
        <v>21994.701662094256</v>
      </c>
      <c r="Q191" s="102">
        <f t="shared" si="223"/>
        <v>24262.454350673572</v>
      </c>
      <c r="R191" s="102">
        <f t="shared" si="223"/>
        <v>22926.875835295614</v>
      </c>
      <c r="S191" s="102">
        <f t="shared" si="223"/>
        <v>22418.141609283819</v>
      </c>
      <c r="T191" s="102">
        <f t="shared" si="223"/>
        <v>21940.042141570644</v>
      </c>
      <c r="U191" s="102">
        <f t="shared" si="223"/>
        <v>21494.660004579062</v>
      </c>
      <c r="V191" s="102">
        <f t="shared" si="223"/>
        <v>25657.875306417791</v>
      </c>
      <c r="W191" s="102">
        <f t="shared" si="221"/>
        <v>28942.74568254234</v>
      </c>
      <c r="X191" s="102">
        <f t="shared" si="221"/>
        <v>27022.447491141087</v>
      </c>
      <c r="Y191" s="102">
        <f t="shared" si="221"/>
        <v>26804.946150777821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85001.203287683355</v>
      </c>
      <c r="C192" s="86">
        <f t="shared" si="223"/>
        <v>84996.613617844487</v>
      </c>
      <c r="D192" s="86">
        <f t="shared" si="223"/>
        <v>84999.995228449858</v>
      </c>
      <c r="E192" s="86">
        <f t="shared" si="223"/>
        <v>85001.913973621849</v>
      </c>
      <c r="F192" s="86">
        <f t="shared" si="223"/>
        <v>84998.496705769605</v>
      </c>
      <c r="G192" s="86">
        <f t="shared" si="223"/>
        <v>84997.966298028157</v>
      </c>
      <c r="H192" s="86">
        <f t="shared" si="223"/>
        <v>84997.455221357872</v>
      </c>
      <c r="I192" s="86">
        <f t="shared" si="223"/>
        <v>84997.460662226396</v>
      </c>
      <c r="J192" s="86">
        <f t="shared" si="223"/>
        <v>85001.054785465851</v>
      </c>
      <c r="K192" s="86">
        <f t="shared" si="223"/>
        <v>85001.107992307079</v>
      </c>
      <c r="L192" s="86">
        <f t="shared" si="223"/>
        <v>85001.540726056191</v>
      </c>
      <c r="M192" s="86">
        <f t="shared" si="222"/>
        <v>84999.952508503091</v>
      </c>
      <c r="N192" s="86">
        <f t="shared" si="223"/>
        <v>84999.294040049921</v>
      </c>
      <c r="O192" s="86">
        <f t="shared" si="223"/>
        <v>85001.755807124733</v>
      </c>
      <c r="P192" s="86">
        <f t="shared" si="223"/>
        <v>85002.029218958822</v>
      </c>
      <c r="Q192" s="86">
        <f t="shared" si="223"/>
        <v>85001.53686337221</v>
      </c>
      <c r="R192" s="86">
        <f t="shared" si="223"/>
        <v>85001.694973748075</v>
      </c>
      <c r="S192" s="86">
        <f t="shared" si="223"/>
        <v>84999.365346839462</v>
      </c>
      <c r="T192" s="86">
        <f t="shared" si="223"/>
        <v>84997.708101325799</v>
      </c>
      <c r="U192" s="86">
        <f t="shared" si="223"/>
        <v>84997.58197477879</v>
      </c>
      <c r="V192" s="86">
        <f t="shared" ref="V192:W192" si="224">IF(V55=0,0,V55*1000000/V82)</f>
        <v>84999.366871431601</v>
      </c>
      <c r="W192" s="86">
        <f t="shared" si="224"/>
        <v>85000.542793744389</v>
      </c>
      <c r="X192" s="86">
        <f t="shared" ref="X192:Y192" si="225">IF(X55=0,0,X55*1000000/X82)</f>
        <v>84998.571151673255</v>
      </c>
      <c r="Y192" s="86">
        <f t="shared" si="225"/>
        <v>84999.706143049538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17323.514017614398</v>
      </c>
      <c r="C195" s="28">
        <f t="shared" si="226"/>
        <v>17362.018853386649</v>
      </c>
      <c r="D195" s="28">
        <f t="shared" si="226"/>
        <v>17077.563315737247</v>
      </c>
      <c r="E195" s="28">
        <f t="shared" si="226"/>
        <v>17322.54051392397</v>
      </c>
      <c r="F195" s="28">
        <f t="shared" si="226"/>
        <v>16726.638861581963</v>
      </c>
      <c r="G195" s="28">
        <f t="shared" si="226"/>
        <v>16372.370716899322</v>
      </c>
      <c r="H195" s="28">
        <f t="shared" si="226"/>
        <v>16069.589772121028</v>
      </c>
      <c r="I195" s="28">
        <f t="shared" si="226"/>
        <v>15824.611150921573</v>
      </c>
      <c r="J195" s="28">
        <f t="shared" si="226"/>
        <v>15490.686258182241</v>
      </c>
      <c r="K195" s="28">
        <f t="shared" si="226"/>
        <v>15426.373692126657</v>
      </c>
      <c r="L195" s="28">
        <f t="shared" si="226"/>
        <v>13882.684135697578</v>
      </c>
      <c r="M195" s="28">
        <f>IF(M4=0,0,M4*1000000/M58)</f>
        <v>13768.404865410541</v>
      </c>
      <c r="N195" s="28">
        <f t="shared" ref="N195:V195" si="227">IF(N4=0,0,N4*1000000/N58)</f>
        <v>13201.953237108606</v>
      </c>
      <c r="O195" s="28">
        <f t="shared" si="227"/>
        <v>13223.28782657159</v>
      </c>
      <c r="P195" s="28">
        <f t="shared" si="227"/>
        <v>13432.769648169384</v>
      </c>
      <c r="Q195" s="28">
        <f t="shared" si="227"/>
        <v>12992.84030316144</v>
      </c>
      <c r="R195" s="28">
        <f t="shared" si="227"/>
        <v>12935.600805117048</v>
      </c>
      <c r="S195" s="28">
        <f t="shared" si="227"/>
        <v>12843.83923100151</v>
      </c>
      <c r="T195" s="28">
        <f t="shared" si="227"/>
        <v>12976.928623240849</v>
      </c>
      <c r="U195" s="28">
        <f t="shared" si="227"/>
        <v>13047.571289038122</v>
      </c>
      <c r="V195" s="28">
        <f t="shared" si="227"/>
        <v>10239.662754271483</v>
      </c>
      <c r="W195" s="28">
        <f t="shared" ref="W195:Y195" si="228">IF(W4=0,0,W4*1000000/W58)</f>
        <v>12593.632563976833</v>
      </c>
      <c r="X195" s="28">
        <f t="shared" si="228"/>
        <v>12961.572970479741</v>
      </c>
      <c r="Y195" s="28">
        <f t="shared" si="228"/>
        <v>12370.779725955641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1281.7504049707459</v>
      </c>
      <c r="C196" s="137">
        <f t="shared" si="229"/>
        <v>1207.6636324243118</v>
      </c>
      <c r="D196" s="137">
        <f t="shared" si="229"/>
        <v>1170.0696081951828</v>
      </c>
      <c r="E196" s="137">
        <f t="shared" si="229"/>
        <v>1180.449250938997</v>
      </c>
      <c r="F196" s="137">
        <f t="shared" si="229"/>
        <v>1170.8204613788819</v>
      </c>
      <c r="G196" s="137">
        <f t="shared" si="229"/>
        <v>1155.7906866093801</v>
      </c>
      <c r="H196" s="137">
        <f t="shared" si="229"/>
        <v>1154.4454159259242</v>
      </c>
      <c r="I196" s="137">
        <f t="shared" si="229"/>
        <v>1158.7324994870148</v>
      </c>
      <c r="J196" s="137">
        <f t="shared" si="229"/>
        <v>1163.9405490851709</v>
      </c>
      <c r="K196" s="137">
        <f t="shared" si="229"/>
        <v>1171.2232773348064</v>
      </c>
      <c r="L196" s="137">
        <f t="shared" si="229"/>
        <v>1168.7645710054446</v>
      </c>
      <c r="M196" s="137">
        <f>IF(M5=0,0,M5*1000000/M59)</f>
        <v>1168.6194873800673</v>
      </c>
      <c r="N196" s="137">
        <f t="shared" ref="N196:V196" si="230">IF(N5=0,0,N5*1000000/N59)</f>
        <v>1166.5013762809165</v>
      </c>
      <c r="O196" s="137">
        <f t="shared" si="230"/>
        <v>1166.9258775284461</v>
      </c>
      <c r="P196" s="137">
        <f t="shared" si="230"/>
        <v>1173.5796965390737</v>
      </c>
      <c r="Q196" s="137">
        <f t="shared" si="230"/>
        <v>1177.1611290397277</v>
      </c>
      <c r="R196" s="137">
        <f t="shared" si="230"/>
        <v>1186.7853432290326</v>
      </c>
      <c r="S196" s="137">
        <f t="shared" si="230"/>
        <v>1100.0012939043638</v>
      </c>
      <c r="T196" s="137">
        <f t="shared" si="230"/>
        <v>1029.1384162995764</v>
      </c>
      <c r="U196" s="137">
        <f t="shared" si="230"/>
        <v>1073.2768969264268</v>
      </c>
      <c r="V196" s="137">
        <f t="shared" si="230"/>
        <v>941.25751980154973</v>
      </c>
      <c r="W196" s="137">
        <f t="shared" ref="W196:Y196" si="231">IF(W5=0,0,W5*1000000/W59)</f>
        <v>963.27010029408029</v>
      </c>
      <c r="X196" s="137">
        <f t="shared" si="231"/>
        <v>949.20737291171463</v>
      </c>
      <c r="Y196" s="137">
        <f t="shared" si="231"/>
        <v>1004.3198135421014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18212.373248262502</v>
      </c>
      <c r="C197" s="110">
        <f t="shared" si="232"/>
        <v>17981.188735905718</v>
      </c>
      <c r="D197" s="110">
        <f t="shared" si="232"/>
        <v>17901.894656028078</v>
      </c>
      <c r="E197" s="110">
        <f t="shared" si="232"/>
        <v>18175.872069491405</v>
      </c>
      <c r="F197" s="110">
        <f t="shared" si="232"/>
        <v>17707.023060796644</v>
      </c>
      <c r="G197" s="110">
        <f t="shared" si="232"/>
        <v>17337.711543319019</v>
      </c>
      <c r="H197" s="110">
        <f t="shared" si="232"/>
        <v>16945.728887807254</v>
      </c>
      <c r="I197" s="110">
        <f t="shared" si="232"/>
        <v>16714.953271028036</v>
      </c>
      <c r="J197" s="110">
        <f t="shared" si="232"/>
        <v>16364.458512321953</v>
      </c>
      <c r="K197" s="110">
        <f t="shared" si="232"/>
        <v>16299.887260428413</v>
      </c>
      <c r="L197" s="110">
        <f t="shared" si="232"/>
        <v>14139.234875444839</v>
      </c>
      <c r="M197" s="110">
        <f>IF(M6=0,0,M6*1000000/M60)</f>
        <v>14292.885202968135</v>
      </c>
      <c r="N197" s="110">
        <f t="shared" ref="N197:V197" si="233">IF(N6=0,0,N6*1000000/N60)</f>
        <v>13731.406714832132</v>
      </c>
      <c r="O197" s="110">
        <f t="shared" si="233"/>
        <v>13670.431585992092</v>
      </c>
      <c r="P197" s="110">
        <f t="shared" si="233"/>
        <v>13708.816138417251</v>
      </c>
      <c r="Q197" s="110">
        <f t="shared" si="233"/>
        <v>13626.724135908711</v>
      </c>
      <c r="R197" s="110">
        <f t="shared" si="233"/>
        <v>13612.964146404693</v>
      </c>
      <c r="S197" s="110">
        <f t="shared" si="233"/>
        <v>13420.733224489733</v>
      </c>
      <c r="T197" s="110">
        <f t="shared" si="233"/>
        <v>13565.097453632299</v>
      </c>
      <c r="U197" s="110">
        <f t="shared" si="233"/>
        <v>13701.108608530469</v>
      </c>
      <c r="V197" s="110">
        <f t="shared" si="233"/>
        <v>11395.783447713809</v>
      </c>
      <c r="W197" s="110">
        <f t="shared" ref="W197:Y209" si="234">IF(W6=0,0,W6*1000000/W60)</f>
        <v>14441.927955419273</v>
      </c>
      <c r="X197" s="110">
        <f t="shared" si="234"/>
        <v>14469.704249996903</v>
      </c>
      <c r="Y197" s="110">
        <f t="shared" si="234"/>
        <v>13742.224127537667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15491.779288905795</v>
      </c>
      <c r="C198" s="84">
        <f t="shared" si="232"/>
        <v>14755.045951574035</v>
      </c>
      <c r="D198" s="84">
        <f t="shared" si="232"/>
        <v>14455.757348174971</v>
      </c>
      <c r="E198" s="84">
        <f t="shared" si="232"/>
        <v>14387.79900302508</v>
      </c>
      <c r="F198" s="84">
        <f t="shared" si="232"/>
        <v>13819.625942201677</v>
      </c>
      <c r="G198" s="84">
        <f t="shared" si="232"/>
        <v>13005.497007785516</v>
      </c>
      <c r="H198" s="84">
        <f t="shared" si="232"/>
        <v>12691.98485446437</v>
      </c>
      <c r="I198" s="84">
        <f t="shared" si="232"/>
        <v>12771.208152345629</v>
      </c>
      <c r="J198" s="84">
        <f t="shared" si="232"/>
        <v>12436.418199936279</v>
      </c>
      <c r="K198" s="84">
        <f t="shared" si="232"/>
        <v>12359.696744705996</v>
      </c>
      <c r="L198" s="84">
        <f t="shared" si="232"/>
        <v>10887.790284793447</v>
      </c>
      <c r="M198" s="84">
        <f t="shared" ref="M198:M219" si="235">IF(M7=0,0,M7*1000000/M61)</f>
        <v>10746.392620104021</v>
      </c>
      <c r="N198" s="84">
        <f t="shared" si="232"/>
        <v>10157.36777757756</v>
      </c>
      <c r="O198" s="84">
        <f t="shared" si="232"/>
        <v>9574.8155458202091</v>
      </c>
      <c r="P198" s="84">
        <f t="shared" si="232"/>
        <v>9659.5503632744949</v>
      </c>
      <c r="Q198" s="84">
        <f t="shared" si="232"/>
        <v>9753.8210704173071</v>
      </c>
      <c r="R198" s="84">
        <f t="shared" si="232"/>
        <v>9705.0973519717645</v>
      </c>
      <c r="S198" s="84">
        <f t="shared" si="232"/>
        <v>9581.730474721955</v>
      </c>
      <c r="T198" s="84">
        <f t="shared" si="232"/>
        <v>9820.4485856005304</v>
      </c>
      <c r="U198" s="84">
        <f t="shared" si="232"/>
        <v>9845.5944677277785</v>
      </c>
      <c r="V198" s="84">
        <f t="shared" si="232"/>
        <v>7783.3986833719573</v>
      </c>
      <c r="W198" s="84">
        <f t="shared" si="234"/>
        <v>9424.8825812718351</v>
      </c>
      <c r="X198" s="84">
        <f t="shared" si="234"/>
        <v>9623.2831090367199</v>
      </c>
      <c r="Y198" s="84">
        <f t="shared" si="234"/>
        <v>9289.4939710700964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40040.392381301528</v>
      </c>
      <c r="C199" s="84">
        <f t="shared" si="232"/>
        <v>41475.315222283432</v>
      </c>
      <c r="D199" s="84">
        <f t="shared" si="232"/>
        <v>39931.173731882918</v>
      </c>
      <c r="E199" s="84">
        <f t="shared" si="232"/>
        <v>39334.222893865073</v>
      </c>
      <c r="F199" s="84">
        <f t="shared" si="232"/>
        <v>37426.310720755835</v>
      </c>
      <c r="G199" s="84">
        <f t="shared" si="232"/>
        <v>37582.194120076674</v>
      </c>
      <c r="H199" s="84">
        <f t="shared" si="232"/>
        <v>35136.265637790399</v>
      </c>
      <c r="I199" s="84">
        <f t="shared" si="232"/>
        <v>32307.398242213658</v>
      </c>
      <c r="J199" s="84">
        <f t="shared" si="232"/>
        <v>30389.25599249552</v>
      </c>
      <c r="K199" s="84">
        <f t="shared" si="232"/>
        <v>28985.291973351857</v>
      </c>
      <c r="L199" s="84">
        <f t="shared" si="232"/>
        <v>23567.10867894804</v>
      </c>
      <c r="M199" s="84">
        <f t="shared" si="235"/>
        <v>23693.2082187708</v>
      </c>
      <c r="N199" s="84">
        <f t="shared" si="232"/>
        <v>22119.491351086843</v>
      </c>
      <c r="O199" s="84">
        <f t="shared" si="232"/>
        <v>22906.892111157988</v>
      </c>
      <c r="P199" s="84">
        <f t="shared" si="232"/>
        <v>22337.103016609057</v>
      </c>
      <c r="Q199" s="84">
        <f t="shared" si="232"/>
        <v>21295.295750569789</v>
      </c>
      <c r="R199" s="84">
        <f t="shared" si="232"/>
        <v>20902.174201181635</v>
      </c>
      <c r="S199" s="84">
        <f t="shared" si="232"/>
        <v>20267.159768001602</v>
      </c>
      <c r="T199" s="84">
        <f t="shared" si="232"/>
        <v>19846.718984388946</v>
      </c>
      <c r="U199" s="84">
        <f t="shared" si="232"/>
        <v>19978.972788282368</v>
      </c>
      <c r="V199" s="84">
        <f t="shared" si="232"/>
        <v>17111.591877436491</v>
      </c>
      <c r="W199" s="84">
        <f t="shared" si="234"/>
        <v>22275.087028175647</v>
      </c>
      <c r="X199" s="84">
        <f t="shared" si="234"/>
        <v>21958.639427957027</v>
      </c>
      <c r="Y199" s="84">
        <f t="shared" si="234"/>
        <v>20793.881630076314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17227.413807255994</v>
      </c>
      <c r="C200" s="84">
        <f t="shared" si="232"/>
        <v>15638.754711952428</v>
      </c>
      <c r="D200" s="84">
        <f t="shared" si="232"/>
        <v>14696.882488434021</v>
      </c>
      <c r="E200" s="84">
        <f t="shared" si="232"/>
        <v>14078.018375383432</v>
      </c>
      <c r="F200" s="84">
        <f t="shared" si="232"/>
        <v>13075.73063832602</v>
      </c>
      <c r="G200" s="84">
        <f t="shared" si="232"/>
        <v>12238.75715247661</v>
      </c>
      <c r="H200" s="84">
        <f t="shared" si="232"/>
        <v>11655.029865528853</v>
      </c>
      <c r="I200" s="84">
        <f t="shared" si="232"/>
        <v>11027.199308908912</v>
      </c>
      <c r="J200" s="84">
        <f t="shared" si="232"/>
        <v>10690.460673968382</v>
      </c>
      <c r="K200" s="84">
        <f t="shared" si="232"/>
        <v>10088.178289436217</v>
      </c>
      <c r="L200" s="84">
        <f t="shared" si="232"/>
        <v>9174.6854428130719</v>
      </c>
      <c r="M200" s="84">
        <f t="shared" si="235"/>
        <v>8842.2645034685611</v>
      </c>
      <c r="N200" s="84">
        <f t="shared" si="232"/>
        <v>8270.033985393884</v>
      </c>
      <c r="O200" s="84">
        <f t="shared" si="232"/>
        <v>8126.0982671834036</v>
      </c>
      <c r="P200" s="84">
        <f t="shared" si="232"/>
        <v>7970.2130369474053</v>
      </c>
      <c r="Q200" s="84">
        <f t="shared" si="232"/>
        <v>8109.656682351675</v>
      </c>
      <c r="R200" s="84">
        <f t="shared" si="232"/>
        <v>7707.4160570760359</v>
      </c>
      <c r="S200" s="84">
        <f t="shared" si="232"/>
        <v>7214.9541763620409</v>
      </c>
      <c r="T200" s="84">
        <f t="shared" si="232"/>
        <v>7235.9654755280244</v>
      </c>
      <c r="U200" s="84">
        <f t="shared" si="232"/>
        <v>7291.1913241836701</v>
      </c>
      <c r="V200" s="84">
        <f t="shared" si="232"/>
        <v>5746.4418607357675</v>
      </c>
      <c r="W200" s="84">
        <f t="shared" si="234"/>
        <v>6950.2632427517829</v>
      </c>
      <c r="X200" s="84">
        <f t="shared" si="234"/>
        <v>7338.4256052134915</v>
      </c>
      <c r="Y200" s="84">
        <f t="shared" si="234"/>
        <v>7440.6515549823844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0</v>
      </c>
      <c r="D201" s="84">
        <f t="shared" si="232"/>
        <v>0</v>
      </c>
      <c r="E201" s="84">
        <f t="shared" si="232"/>
        <v>0</v>
      </c>
      <c r="F201" s="84">
        <f t="shared" si="232"/>
        <v>0</v>
      </c>
      <c r="G201" s="84">
        <f t="shared" si="232"/>
        <v>0</v>
      </c>
      <c r="H201" s="84">
        <f t="shared" si="232"/>
        <v>0</v>
      </c>
      <c r="I201" s="84">
        <f t="shared" si="232"/>
        <v>0</v>
      </c>
      <c r="J201" s="84">
        <f t="shared" si="232"/>
        <v>19508.771078809459</v>
      </c>
      <c r="K201" s="84">
        <f t="shared" si="232"/>
        <v>19006.947097023414</v>
      </c>
      <c r="L201" s="84">
        <f t="shared" si="232"/>
        <v>16505.605580376778</v>
      </c>
      <c r="M201" s="84">
        <f t="shared" si="235"/>
        <v>15857.805890044518</v>
      </c>
      <c r="N201" s="84">
        <f t="shared" si="232"/>
        <v>14554.163105393898</v>
      </c>
      <c r="O201" s="84">
        <f t="shared" si="232"/>
        <v>13698.937054693135</v>
      </c>
      <c r="P201" s="84">
        <f t="shared" si="232"/>
        <v>13539.858304385862</v>
      </c>
      <c r="Q201" s="84">
        <f t="shared" si="232"/>
        <v>13317.864372708304</v>
      </c>
      <c r="R201" s="84">
        <f t="shared" si="232"/>
        <v>13589.938416357896</v>
      </c>
      <c r="S201" s="84">
        <f t="shared" si="232"/>
        <v>13658.997605157514</v>
      </c>
      <c r="T201" s="84">
        <f t="shared" si="232"/>
        <v>14078.559355325551</v>
      </c>
      <c r="U201" s="84">
        <f t="shared" si="232"/>
        <v>14509.730510647085</v>
      </c>
      <c r="V201" s="84">
        <f t="shared" si="232"/>
        <v>12278.248970338602</v>
      </c>
      <c r="W201" s="84">
        <f t="shared" si="234"/>
        <v>15944.659113179026</v>
      </c>
      <c r="X201" s="84">
        <f t="shared" si="234"/>
        <v>16354.141587106345</v>
      </c>
      <c r="Y201" s="84">
        <f t="shared" si="234"/>
        <v>16108.188282230334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0</v>
      </c>
      <c r="N202" s="84">
        <f t="shared" si="232"/>
        <v>10483.379254547892</v>
      </c>
      <c r="O202" s="84">
        <f t="shared" si="232"/>
        <v>10895.013134031471</v>
      </c>
      <c r="P202" s="84">
        <f t="shared" si="232"/>
        <v>11561.962964882925</v>
      </c>
      <c r="Q202" s="84">
        <f t="shared" si="232"/>
        <v>12210.363942223878</v>
      </c>
      <c r="R202" s="84">
        <f t="shared" si="232"/>
        <v>11604.727400586828</v>
      </c>
      <c r="S202" s="84">
        <f t="shared" si="232"/>
        <v>10863.248565326663</v>
      </c>
      <c r="T202" s="84">
        <f t="shared" si="232"/>
        <v>10428.516621722085</v>
      </c>
      <c r="U202" s="84">
        <f t="shared" si="232"/>
        <v>10084.566438525535</v>
      </c>
      <c r="V202" s="84">
        <f t="shared" si="232"/>
        <v>8048.5275868612298</v>
      </c>
      <c r="W202" s="84">
        <f t="shared" si="234"/>
        <v>9815.2198531277991</v>
      </c>
      <c r="X202" s="84">
        <f t="shared" si="234"/>
        <v>10050.030017041168</v>
      </c>
      <c r="Y202" s="84">
        <f t="shared" si="234"/>
        <v>9693.9795964411733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0</v>
      </c>
      <c r="J203" s="84">
        <f t="shared" si="232"/>
        <v>0</v>
      </c>
      <c r="K203" s="84">
        <f t="shared" si="232"/>
        <v>0</v>
      </c>
      <c r="L203" s="84">
        <f t="shared" si="232"/>
        <v>12726.33283616201</v>
      </c>
      <c r="M203" s="84">
        <f t="shared" si="235"/>
        <v>12862.916353261042</v>
      </c>
      <c r="N203" s="84">
        <f t="shared" si="232"/>
        <v>12785.104683543997</v>
      </c>
      <c r="O203" s="84">
        <f t="shared" si="232"/>
        <v>12706.857890137579</v>
      </c>
      <c r="P203" s="84">
        <f t="shared" si="232"/>
        <v>12652.281510366774</v>
      </c>
      <c r="Q203" s="84">
        <f t="shared" si="232"/>
        <v>12877.21451917517</v>
      </c>
      <c r="R203" s="84">
        <f t="shared" si="232"/>
        <v>12488.275613557304</v>
      </c>
      <c r="S203" s="84">
        <f t="shared" si="232"/>
        <v>12432.83282353375</v>
      </c>
      <c r="T203" s="84">
        <f t="shared" si="232"/>
        <v>12623.143392578757</v>
      </c>
      <c r="U203" s="84">
        <f t="shared" si="232"/>
        <v>12651.204578596939</v>
      </c>
      <c r="V203" s="84">
        <f t="shared" si="232"/>
        <v>10273.359585706643</v>
      </c>
      <c r="W203" s="84">
        <f t="shared" si="234"/>
        <v>12767.447481841204</v>
      </c>
      <c r="X203" s="84">
        <f t="shared" si="234"/>
        <v>12815.733737796356</v>
      </c>
      <c r="Y203" s="84">
        <f t="shared" si="234"/>
        <v>12250.88015818876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727486.61658194265</v>
      </c>
      <c r="C204" s="110">
        <f t="shared" si="232"/>
        <v>716330.70286625542</v>
      </c>
      <c r="D204" s="110">
        <f t="shared" si="232"/>
        <v>734590.94342976494</v>
      </c>
      <c r="E204" s="110">
        <f t="shared" si="232"/>
        <v>752361.32105721242</v>
      </c>
      <c r="F204" s="110">
        <f t="shared" si="232"/>
        <v>718270.63765516586</v>
      </c>
      <c r="G204" s="110">
        <f t="shared" si="232"/>
        <v>734109.4021918067</v>
      </c>
      <c r="H204" s="110">
        <f t="shared" si="232"/>
        <v>746415.92095451162</v>
      </c>
      <c r="I204" s="110">
        <f t="shared" si="232"/>
        <v>754865.14328525937</v>
      </c>
      <c r="J204" s="110">
        <f t="shared" si="232"/>
        <v>756938.76591945102</v>
      </c>
      <c r="K204" s="110">
        <f t="shared" si="232"/>
        <v>772025.95529920701</v>
      </c>
      <c r="L204" s="110">
        <f t="shared" si="232"/>
        <v>828436.01895734586</v>
      </c>
      <c r="M204" s="110">
        <f t="shared" si="235"/>
        <v>775015.9087571589</v>
      </c>
      <c r="N204" s="110">
        <f t="shared" si="232"/>
        <v>747430.02048181032</v>
      </c>
      <c r="O204" s="110">
        <f t="shared" si="232"/>
        <v>773742.49433999404</v>
      </c>
      <c r="P204" s="110">
        <f t="shared" si="232"/>
        <v>831519.67237092287</v>
      </c>
      <c r="Q204" s="110">
        <f t="shared" si="232"/>
        <v>731794.64847341168</v>
      </c>
      <c r="R204" s="110">
        <f t="shared" si="232"/>
        <v>718624.25752059778</v>
      </c>
      <c r="S204" s="110">
        <f t="shared" si="232"/>
        <v>733233.8401268539</v>
      </c>
      <c r="T204" s="110">
        <f t="shared" si="232"/>
        <v>736459.79933717719</v>
      </c>
      <c r="U204" s="110">
        <f t="shared" si="232"/>
        <v>726875.61920201732</v>
      </c>
      <c r="V204" s="110">
        <f t="shared" si="232"/>
        <v>442457.93269230769</v>
      </c>
      <c r="W204" s="110">
        <f t="shared" si="234"/>
        <v>427584.52931160294</v>
      </c>
      <c r="X204" s="110">
        <f t="shared" si="234"/>
        <v>547832.55122427165</v>
      </c>
      <c r="Y204" s="110">
        <f t="shared" si="234"/>
        <v>526779.26300578041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134640.64620032054</v>
      </c>
      <c r="C205" s="102">
        <f t="shared" si="232"/>
        <v>130053.49144017068</v>
      </c>
      <c r="D205" s="102">
        <f t="shared" si="232"/>
        <v>130988.43583202563</v>
      </c>
      <c r="E205" s="102">
        <f t="shared" si="232"/>
        <v>136551.15852421036</v>
      </c>
      <c r="F205" s="102">
        <f t="shared" si="232"/>
        <v>128779.45766758185</v>
      </c>
      <c r="G205" s="102">
        <f t="shared" si="232"/>
        <v>128925.50904920395</v>
      </c>
      <c r="H205" s="102">
        <f t="shared" si="232"/>
        <v>128648.51002691315</v>
      </c>
      <c r="I205" s="102">
        <f t="shared" si="232"/>
        <v>129770.59960549907</v>
      </c>
      <c r="J205" s="102">
        <f t="shared" si="232"/>
        <v>130519.96779106856</v>
      </c>
      <c r="K205" s="102">
        <f t="shared" si="232"/>
        <v>131754.92342031759</v>
      </c>
      <c r="L205" s="102">
        <f t="shared" si="232"/>
        <v>140131.69327486691</v>
      </c>
      <c r="M205" s="102">
        <f t="shared" si="235"/>
        <v>128243.79929996564</v>
      </c>
      <c r="N205" s="102">
        <f t="shared" si="232"/>
        <v>120954.96894908499</v>
      </c>
      <c r="O205" s="102">
        <f t="shared" si="232"/>
        <v>124032.9086790134</v>
      </c>
      <c r="P205" s="102">
        <f t="shared" si="232"/>
        <v>137655.82146297675</v>
      </c>
      <c r="Q205" s="102">
        <f t="shared" si="232"/>
        <v>119447.51569751227</v>
      </c>
      <c r="R205" s="102">
        <f t="shared" si="232"/>
        <v>123504.58192449811</v>
      </c>
      <c r="S205" s="102">
        <f t="shared" si="232"/>
        <v>124735.32084180893</v>
      </c>
      <c r="T205" s="102">
        <f t="shared" si="232"/>
        <v>117851.10680398747</v>
      </c>
      <c r="U205" s="102">
        <f t="shared" si="232"/>
        <v>113495.33261286902</v>
      </c>
      <c r="V205" s="102">
        <f t="shared" si="232"/>
        <v>65358.022346069571</v>
      </c>
      <c r="W205" s="102">
        <f t="shared" si="234"/>
        <v>60684.082091491757</v>
      </c>
      <c r="X205" s="102">
        <f t="shared" si="234"/>
        <v>76636.692705180016</v>
      </c>
      <c r="Y205" s="102">
        <f t="shared" si="234"/>
        <v>72093.762440427439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826887.01570016914</v>
      </c>
      <c r="C206" s="102">
        <f t="shared" si="232"/>
        <v>805209.77448241343</v>
      </c>
      <c r="D206" s="102">
        <f t="shared" si="232"/>
        <v>839845.00654634542</v>
      </c>
      <c r="E206" s="102">
        <f t="shared" si="232"/>
        <v>846149.56623028533</v>
      </c>
      <c r="F206" s="102">
        <f t="shared" si="232"/>
        <v>795342.18435354833</v>
      </c>
      <c r="G206" s="102">
        <f t="shared" si="232"/>
        <v>806972.12527708989</v>
      </c>
      <c r="H206" s="102">
        <f t="shared" si="232"/>
        <v>820080.8359737416</v>
      </c>
      <c r="I206" s="102">
        <f t="shared" si="232"/>
        <v>831454.0434690991</v>
      </c>
      <c r="J206" s="102">
        <f t="shared" si="232"/>
        <v>829286.99888934114</v>
      </c>
      <c r="K206" s="102">
        <f t="shared" si="232"/>
        <v>842567.96766177891</v>
      </c>
      <c r="L206" s="102">
        <f t="shared" si="232"/>
        <v>906666.19162098842</v>
      </c>
      <c r="M206" s="102">
        <f t="shared" si="235"/>
        <v>844141.76549752231</v>
      </c>
      <c r="N206" s="102">
        <f t="shared" si="232"/>
        <v>808858.37569990719</v>
      </c>
      <c r="O206" s="102">
        <f t="shared" si="232"/>
        <v>839866.67198720842</v>
      </c>
      <c r="P206" s="102">
        <f t="shared" si="232"/>
        <v>899868.82514340349</v>
      </c>
      <c r="Q206" s="102">
        <f t="shared" si="232"/>
        <v>792607.38086360903</v>
      </c>
      <c r="R206" s="102">
        <f t="shared" si="232"/>
        <v>765991.61130096903</v>
      </c>
      <c r="S206" s="102">
        <f t="shared" si="232"/>
        <v>770700.34509480442</v>
      </c>
      <c r="T206" s="102">
        <f t="shared" si="232"/>
        <v>773630.08576172672</v>
      </c>
      <c r="U206" s="102">
        <f t="shared" si="232"/>
        <v>760803.66297687835</v>
      </c>
      <c r="V206" s="102">
        <f t="shared" si="232"/>
        <v>466441.60527153709</v>
      </c>
      <c r="W206" s="102">
        <f t="shared" si="234"/>
        <v>445062.89283955342</v>
      </c>
      <c r="X206" s="102">
        <f t="shared" si="234"/>
        <v>570491.43294097355</v>
      </c>
      <c r="Y206" s="102">
        <f t="shared" si="234"/>
        <v>545717.31341845775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0</v>
      </c>
      <c r="C207" s="102">
        <f t="shared" si="232"/>
        <v>0</v>
      </c>
      <c r="D207" s="102">
        <f t="shared" si="232"/>
        <v>0</v>
      </c>
      <c r="E207" s="102">
        <f t="shared" si="232"/>
        <v>0</v>
      </c>
      <c r="F207" s="102">
        <f t="shared" si="232"/>
        <v>0</v>
      </c>
      <c r="G207" s="102">
        <f t="shared" si="232"/>
        <v>0</v>
      </c>
      <c r="H207" s="102">
        <f t="shared" si="232"/>
        <v>0</v>
      </c>
      <c r="I207" s="102">
        <f t="shared" si="232"/>
        <v>0</v>
      </c>
      <c r="J207" s="102">
        <f t="shared" si="232"/>
        <v>0</v>
      </c>
      <c r="K207" s="102">
        <f t="shared" si="232"/>
        <v>0</v>
      </c>
      <c r="L207" s="102">
        <f t="shared" si="232"/>
        <v>0</v>
      </c>
      <c r="M207" s="102">
        <f t="shared" si="235"/>
        <v>0</v>
      </c>
      <c r="N207" s="102">
        <f t="shared" si="232"/>
        <v>0</v>
      </c>
      <c r="O207" s="102">
        <f t="shared" si="232"/>
        <v>0</v>
      </c>
      <c r="P207" s="102">
        <f t="shared" si="232"/>
        <v>0</v>
      </c>
      <c r="Q207" s="102">
        <f t="shared" si="232"/>
        <v>0</v>
      </c>
      <c r="R207" s="102">
        <f t="shared" si="232"/>
        <v>0</v>
      </c>
      <c r="S207" s="102">
        <f t="shared" si="232"/>
        <v>0</v>
      </c>
      <c r="T207" s="102">
        <f t="shared" si="232"/>
        <v>0</v>
      </c>
      <c r="U207" s="102">
        <f t="shared" si="232"/>
        <v>0</v>
      </c>
      <c r="V207" s="102">
        <f t="shared" si="232"/>
        <v>249102.45550723939</v>
      </c>
      <c r="W207" s="102">
        <f t="shared" si="234"/>
        <v>240343.89042042708</v>
      </c>
      <c r="X207" s="102">
        <f t="shared" si="234"/>
        <v>307527.04391888343</v>
      </c>
      <c r="Y207" s="102">
        <f t="shared" si="234"/>
        <v>295435.15363941301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718971.57601699582</v>
      </c>
      <c r="C208" s="102">
        <f t="shared" si="232"/>
        <v>677240.14678316994</v>
      </c>
      <c r="D208" s="102">
        <f t="shared" si="232"/>
        <v>639774.11122964486</v>
      </c>
      <c r="E208" s="102">
        <f t="shared" si="232"/>
        <v>672514.65917457943</v>
      </c>
      <c r="F208" s="102">
        <f t="shared" si="232"/>
        <v>802820.88569911127</v>
      </c>
      <c r="G208" s="102">
        <f t="shared" si="232"/>
        <v>817400.71767569496</v>
      </c>
      <c r="H208" s="102">
        <f t="shared" si="232"/>
        <v>750437.87491400982</v>
      </c>
      <c r="I208" s="102">
        <f t="shared" si="232"/>
        <v>607162.82706299168</v>
      </c>
      <c r="J208" s="102">
        <f t="shared" si="232"/>
        <v>599694.84467667784</v>
      </c>
      <c r="K208" s="102">
        <f t="shared" si="232"/>
        <v>578887.77176161238</v>
      </c>
      <c r="L208" s="102">
        <f t="shared" si="232"/>
        <v>583389.92238642601</v>
      </c>
      <c r="M208" s="102">
        <f t="shared" si="235"/>
        <v>597995.59892303194</v>
      </c>
      <c r="N208" s="102">
        <f t="shared" si="232"/>
        <v>597372.97025014285</v>
      </c>
      <c r="O208" s="102">
        <f t="shared" si="232"/>
        <v>576901.15416759567</v>
      </c>
      <c r="P208" s="102">
        <f t="shared" si="232"/>
        <v>638723.6369758388</v>
      </c>
      <c r="Q208" s="102">
        <f t="shared" si="232"/>
        <v>553491.14420992811</v>
      </c>
      <c r="R208" s="102">
        <f t="shared" si="232"/>
        <v>730350.70658660168</v>
      </c>
      <c r="S208" s="102">
        <f t="shared" si="232"/>
        <v>902028.63741294981</v>
      </c>
      <c r="T208" s="102">
        <f t="shared" si="232"/>
        <v>867620.38964415132</v>
      </c>
      <c r="U208" s="102">
        <f t="shared" si="232"/>
        <v>851776.86960548733</v>
      </c>
      <c r="V208" s="102">
        <f t="shared" si="232"/>
        <v>500926.09417256492</v>
      </c>
      <c r="W208" s="102">
        <f t="shared" si="234"/>
        <v>473836.53646792658</v>
      </c>
      <c r="X208" s="102">
        <f t="shared" si="234"/>
        <v>613148.85598458187</v>
      </c>
      <c r="Y208" s="102">
        <f t="shared" si="234"/>
        <v>588029.07960720663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921461.59741347213</v>
      </c>
      <c r="C209" s="102">
        <f t="shared" si="232"/>
        <v>892558.56250536523</v>
      </c>
      <c r="D209" s="102">
        <f t="shared" si="232"/>
        <v>887126.74494691333</v>
      </c>
      <c r="E209" s="102">
        <f t="shared" si="232"/>
        <v>954497.59861572995</v>
      </c>
      <c r="F209" s="102">
        <f t="shared" si="232"/>
        <v>958323.09535199136</v>
      </c>
      <c r="G209" s="102">
        <f t="shared" si="232"/>
        <v>994703.28424892423</v>
      </c>
      <c r="H209" s="102">
        <f t="shared" si="232"/>
        <v>989705.03068234795</v>
      </c>
      <c r="I209" s="102">
        <f t="shared" si="232"/>
        <v>985852.13554494828</v>
      </c>
      <c r="J209" s="102">
        <f t="shared" si="232"/>
        <v>980489.42966451938</v>
      </c>
      <c r="K209" s="102">
        <f t="shared" si="232"/>
        <v>968841.33010850532</v>
      </c>
      <c r="L209" s="102">
        <f t="shared" si="232"/>
        <v>990080.00043154205</v>
      </c>
      <c r="M209" s="102">
        <f t="shared" si="235"/>
        <v>974079.51507839072</v>
      </c>
      <c r="N209" s="102">
        <f t="shared" si="232"/>
        <v>974410.77152495354</v>
      </c>
      <c r="O209" s="102">
        <f t="shared" si="232"/>
        <v>976201.7550603709</v>
      </c>
      <c r="P209" s="102">
        <f t="shared" si="232"/>
        <v>1059156.6187284191</v>
      </c>
      <c r="Q209" s="102">
        <f t="shared" si="232"/>
        <v>979761.92789274233</v>
      </c>
      <c r="R209" s="102">
        <f t="shared" si="232"/>
        <v>977866.87706926849</v>
      </c>
      <c r="S209" s="102">
        <f t="shared" si="232"/>
        <v>974699.86556988279</v>
      </c>
      <c r="T209" s="102">
        <f t="shared" si="232"/>
        <v>970457.27109377435</v>
      </c>
      <c r="U209" s="102">
        <f t="shared" si="232"/>
        <v>968754.91642064741</v>
      </c>
      <c r="V209" s="102">
        <f t="shared" si="232"/>
        <v>608478.88683525112</v>
      </c>
      <c r="W209" s="102">
        <f t="shared" si="234"/>
        <v>725472.3080918073</v>
      </c>
      <c r="X209" s="102">
        <f t="shared" si="234"/>
        <v>833399.79222030973</v>
      </c>
      <c r="Y209" s="102">
        <f t="shared" si="234"/>
        <v>827190.95930955326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91558.866490351022</v>
      </c>
      <c r="C210" s="28">
        <f t="shared" si="232"/>
        <v>92127.843411578622</v>
      </c>
      <c r="D210" s="28">
        <f t="shared" si="232"/>
        <v>91606.899815277226</v>
      </c>
      <c r="E210" s="28">
        <f t="shared" si="232"/>
        <v>91185.744714465167</v>
      </c>
      <c r="F210" s="28">
        <f t="shared" ref="B210:V219" si="236">IF(F19=0,0,F19*1000000/F73)</f>
        <v>85586.709519508251</v>
      </c>
      <c r="G210" s="28">
        <f t="shared" si="236"/>
        <v>76227.071843001293</v>
      </c>
      <c r="H210" s="28">
        <f t="shared" si="236"/>
        <v>71508.491305227973</v>
      </c>
      <c r="I210" s="28">
        <f t="shared" si="236"/>
        <v>64062.15559244524</v>
      </c>
      <c r="J210" s="28">
        <f t="shared" si="236"/>
        <v>56499.476774587725</v>
      </c>
      <c r="K210" s="28">
        <f t="shared" si="236"/>
        <v>50956.49361268909</v>
      </c>
      <c r="L210" s="28">
        <f t="shared" si="236"/>
        <v>56499.850891256632</v>
      </c>
      <c r="M210" s="28">
        <f t="shared" si="235"/>
        <v>58753.737157174437</v>
      </c>
      <c r="N210" s="28">
        <f t="shared" si="236"/>
        <v>56727.85855479267</v>
      </c>
      <c r="O210" s="28">
        <f t="shared" si="236"/>
        <v>62093.257670406449</v>
      </c>
      <c r="P210" s="28">
        <f t="shared" si="236"/>
        <v>63070.208827685521</v>
      </c>
      <c r="Q210" s="28">
        <f t="shared" si="236"/>
        <v>67926.562970687242</v>
      </c>
      <c r="R210" s="28">
        <f t="shared" si="236"/>
        <v>77100.799484039089</v>
      </c>
      <c r="S210" s="28">
        <f t="shared" si="236"/>
        <v>74629.680320891261</v>
      </c>
      <c r="T210" s="28">
        <f t="shared" si="236"/>
        <v>73726.370269842533</v>
      </c>
      <c r="U210" s="28">
        <f t="shared" si="236"/>
        <v>76336.733781822026</v>
      </c>
      <c r="V210" s="28">
        <f t="shared" si="236"/>
        <v>87462.172378214411</v>
      </c>
      <c r="W210" s="28">
        <f t="shared" ref="W210:Y210" si="237">IF(W19=0,0,W19*1000000/W73)</f>
        <v>93907.264387392701</v>
      </c>
      <c r="X210" s="28">
        <f t="shared" si="237"/>
        <v>96294.825041621283</v>
      </c>
      <c r="Y210" s="28">
        <f t="shared" si="237"/>
        <v>88089.832453894851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1373.5957586396335</v>
      </c>
      <c r="C211" s="137">
        <f t="shared" si="236"/>
        <v>1454.9206537156083</v>
      </c>
      <c r="D211" s="137">
        <f t="shared" si="236"/>
        <v>1496.7130420954209</v>
      </c>
      <c r="E211" s="137">
        <f t="shared" si="236"/>
        <v>1548.4241794484801</v>
      </c>
      <c r="F211" s="137">
        <f t="shared" si="236"/>
        <v>1573.4153971713918</v>
      </c>
      <c r="G211" s="137">
        <f t="shared" si="236"/>
        <v>1595.4774763620658</v>
      </c>
      <c r="H211" s="137">
        <f t="shared" si="236"/>
        <v>1592.3936784211987</v>
      </c>
      <c r="I211" s="137">
        <f t="shared" si="236"/>
        <v>1578.3859066051632</v>
      </c>
      <c r="J211" s="137">
        <f t="shared" si="236"/>
        <v>1656.3393980161898</v>
      </c>
      <c r="K211" s="137">
        <f t="shared" si="236"/>
        <v>1677.1484620238591</v>
      </c>
      <c r="L211" s="137">
        <f t="shared" si="236"/>
        <v>1765.3302779507985</v>
      </c>
      <c r="M211" s="137">
        <f t="shared" si="235"/>
        <v>1792.4554758089735</v>
      </c>
      <c r="N211" s="137">
        <f t="shared" si="236"/>
        <v>1816.765473950097</v>
      </c>
      <c r="O211" s="137">
        <f t="shared" si="236"/>
        <v>1882.5111706516113</v>
      </c>
      <c r="P211" s="137">
        <f t="shared" si="236"/>
        <v>2014.6943397463133</v>
      </c>
      <c r="Q211" s="137">
        <f t="shared" si="236"/>
        <v>2055.6615790697069</v>
      </c>
      <c r="R211" s="137">
        <f t="shared" si="236"/>
        <v>2053.8917167937702</v>
      </c>
      <c r="S211" s="137">
        <f t="shared" si="236"/>
        <v>2061.8879340585136</v>
      </c>
      <c r="T211" s="137">
        <f t="shared" si="236"/>
        <v>2060.1133692342696</v>
      </c>
      <c r="U211" s="137">
        <f t="shared" si="236"/>
        <v>2058.0541816056079</v>
      </c>
      <c r="V211" s="137">
        <f t="shared" si="236"/>
        <v>2004.4091953533846</v>
      </c>
      <c r="W211" s="137">
        <f t="shared" ref="W211:Y211" si="238">IF(W20=0,0,W20*1000000/W74)</f>
        <v>2049.0931598525722</v>
      </c>
      <c r="X211" s="137">
        <f t="shared" si="238"/>
        <v>2044.5850636383736</v>
      </c>
      <c r="Y211" s="137">
        <f t="shared" si="238"/>
        <v>2012.2501376731282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772.72465336533241</v>
      </c>
      <c r="C212" s="84">
        <f t="shared" si="236"/>
        <v>788.71520141725034</v>
      </c>
      <c r="D212" s="84">
        <f t="shared" si="236"/>
        <v>795.147356118586</v>
      </c>
      <c r="E212" s="84">
        <f t="shared" si="236"/>
        <v>796.40553180564098</v>
      </c>
      <c r="F212" s="84">
        <f t="shared" si="236"/>
        <v>794.86761648523907</v>
      </c>
      <c r="G212" s="84">
        <f t="shared" si="236"/>
        <v>794.63714780393354</v>
      </c>
      <c r="H212" s="84">
        <f t="shared" si="236"/>
        <v>793.88078523310367</v>
      </c>
      <c r="I212" s="84">
        <f t="shared" si="236"/>
        <v>790.60644009310556</v>
      </c>
      <c r="J212" s="84">
        <f t="shared" si="236"/>
        <v>802.91045460015812</v>
      </c>
      <c r="K212" s="84">
        <f t="shared" si="236"/>
        <v>805.07541120394137</v>
      </c>
      <c r="L212" s="84">
        <f t="shared" si="236"/>
        <v>818.594365882327</v>
      </c>
      <c r="M212" s="84">
        <f t="shared" si="235"/>
        <v>821.75909835978587</v>
      </c>
      <c r="N212" s="84">
        <f t="shared" si="236"/>
        <v>824.82142268959331</v>
      </c>
      <c r="O212" s="84">
        <f t="shared" si="236"/>
        <v>833.12538223731804</v>
      </c>
      <c r="P212" s="84">
        <f t="shared" si="236"/>
        <v>845.63098380169174</v>
      </c>
      <c r="Q212" s="84">
        <f t="shared" si="236"/>
        <v>846.93392975562517</v>
      </c>
      <c r="R212" s="84">
        <f t="shared" si="236"/>
        <v>858.52885539562544</v>
      </c>
      <c r="S212" s="84">
        <f t="shared" si="236"/>
        <v>853.65273676890934</v>
      </c>
      <c r="T212" s="84">
        <f t="shared" si="236"/>
        <v>853.95806540891942</v>
      </c>
      <c r="U212" s="84">
        <f t="shared" si="236"/>
        <v>853.93147856056919</v>
      </c>
      <c r="V212" s="84">
        <f t="shared" si="236"/>
        <v>846.49568837919981</v>
      </c>
      <c r="W212" s="84">
        <f t="shared" ref="W212:Y212" si="239">IF(W21=0,0,W21*1000000/W75)</f>
        <v>853.08523334892664</v>
      </c>
      <c r="X212" s="84">
        <f t="shared" si="239"/>
        <v>851.54953653852385</v>
      </c>
      <c r="Y212" s="84">
        <f t="shared" si="239"/>
        <v>845.07744517613264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1716.9890050663421</v>
      </c>
      <c r="C213" s="84">
        <f t="shared" si="236"/>
        <v>1825.8026914943014</v>
      </c>
      <c r="D213" s="84">
        <f t="shared" si="236"/>
        <v>1870.8375005204332</v>
      </c>
      <c r="E213" s="84">
        <f t="shared" si="236"/>
        <v>1879.7323376724235</v>
      </c>
      <c r="F213" s="84">
        <f t="shared" si="236"/>
        <v>1868.8636652460241</v>
      </c>
      <c r="G213" s="84">
        <f t="shared" si="236"/>
        <v>1867.2385279389368</v>
      </c>
      <c r="H213" s="84">
        <f t="shared" si="236"/>
        <v>1861.9116986564281</v>
      </c>
      <c r="I213" s="84">
        <f t="shared" si="236"/>
        <v>1838.9683381045038</v>
      </c>
      <c r="J213" s="84">
        <f t="shared" si="236"/>
        <v>1926.1697028590197</v>
      </c>
      <c r="K213" s="84">
        <f t="shared" si="236"/>
        <v>1941.7928450023851</v>
      </c>
      <c r="L213" s="84">
        <f t="shared" si="236"/>
        <v>2041.2653451757546</v>
      </c>
      <c r="M213" s="84">
        <f t="shared" si="235"/>
        <v>2065.0319363352614</v>
      </c>
      <c r="N213" s="84">
        <f t="shared" si="236"/>
        <v>2088.2043943890872</v>
      </c>
      <c r="O213" s="84">
        <f t="shared" si="236"/>
        <v>2171.6653098858014</v>
      </c>
      <c r="P213" s="84">
        <f t="shared" si="236"/>
        <v>2342.8012452309176</v>
      </c>
      <c r="Q213" s="84">
        <f t="shared" si="236"/>
        <v>2400.8900069981169</v>
      </c>
      <c r="R213" s="84">
        <f t="shared" si="236"/>
        <v>2500.8541127170097</v>
      </c>
      <c r="S213" s="84">
        <f t="shared" si="236"/>
        <v>2518.5055506044323</v>
      </c>
      <c r="T213" s="84">
        <f t="shared" si="236"/>
        <v>2521.208922531403</v>
      </c>
      <c r="U213" s="84">
        <f t="shared" si="236"/>
        <v>2520.9734464052362</v>
      </c>
      <c r="V213" s="84">
        <f t="shared" si="236"/>
        <v>2455.689495526879</v>
      </c>
      <c r="W213" s="84">
        <f t="shared" ref="W213:Y213" si="240">IF(W22=0,0,W22*1000000/W76)</f>
        <v>2513.4860251062037</v>
      </c>
      <c r="X213" s="84">
        <f t="shared" si="240"/>
        <v>2499.9363541211537</v>
      </c>
      <c r="Y213" s="84">
        <f t="shared" si="240"/>
        <v>2443.367165533039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889.66915132772829</v>
      </c>
      <c r="C214" s="84">
        <f t="shared" si="236"/>
        <v>908.07971614231974</v>
      </c>
      <c r="D214" s="84">
        <f t="shared" si="236"/>
        <v>915.48531604058041</v>
      </c>
      <c r="E214" s="84">
        <f t="shared" si="236"/>
        <v>916.93390460424109</v>
      </c>
      <c r="F214" s="84">
        <f t="shared" si="236"/>
        <v>915.16324048480715</v>
      </c>
      <c r="G214" s="84">
        <f t="shared" si="236"/>
        <v>914.89789256920517</v>
      </c>
      <c r="H214" s="84">
        <f t="shared" si="236"/>
        <v>914.02706174537218</v>
      </c>
      <c r="I214" s="84">
        <f t="shared" si="236"/>
        <v>910.25717573336374</v>
      </c>
      <c r="J214" s="84">
        <f t="shared" si="236"/>
        <v>924.4232853517633</v>
      </c>
      <c r="K214" s="84">
        <f t="shared" si="236"/>
        <v>926.91588746554453</v>
      </c>
      <c r="L214" s="84">
        <f t="shared" si="236"/>
        <v>942.48080684941078</v>
      </c>
      <c r="M214" s="84">
        <f t="shared" si="235"/>
        <v>946.12449136903604</v>
      </c>
      <c r="N214" s="84">
        <f t="shared" si="236"/>
        <v>949.65026924570225</v>
      </c>
      <c r="O214" s="84">
        <f t="shared" si="236"/>
        <v>959.21095378101415</v>
      </c>
      <c r="P214" s="84">
        <f t="shared" si="236"/>
        <v>965.81246526192967</v>
      </c>
      <c r="Q214" s="84">
        <f t="shared" si="236"/>
        <v>967.30058652046534</v>
      </c>
      <c r="R214" s="84">
        <f t="shared" si="236"/>
        <v>980.54338855989874</v>
      </c>
      <c r="S214" s="84">
        <f t="shared" si="236"/>
        <v>982.8449274164974</v>
      </c>
      <c r="T214" s="84">
        <f t="shared" si="236"/>
        <v>983.19646463075696</v>
      </c>
      <c r="U214" s="84">
        <f t="shared" si="236"/>
        <v>983.16585411677227</v>
      </c>
      <c r="V214" s="84">
        <f t="shared" si="236"/>
        <v>974.60472809173996</v>
      </c>
      <c r="W214" s="84">
        <f t="shared" ref="W214:Y214" si="241">IF(W23=0,0,W23*1000000/W77)</f>
        <v>982.19153777267957</v>
      </c>
      <c r="X214" s="84">
        <f t="shared" si="241"/>
        <v>980.42342791355009</v>
      </c>
      <c r="Y214" s="84">
        <f t="shared" si="241"/>
        <v>972.97184732191579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0</v>
      </c>
      <c r="D215" s="84">
        <f t="shared" si="236"/>
        <v>0</v>
      </c>
      <c r="E215" s="84">
        <f t="shared" si="236"/>
        <v>0</v>
      </c>
      <c r="F215" s="84">
        <f t="shared" si="236"/>
        <v>0</v>
      </c>
      <c r="G215" s="84">
        <f t="shared" si="236"/>
        <v>0</v>
      </c>
      <c r="H215" s="84">
        <f t="shared" si="236"/>
        <v>0</v>
      </c>
      <c r="I215" s="84">
        <f t="shared" si="236"/>
        <v>0</v>
      </c>
      <c r="J215" s="84">
        <f t="shared" si="236"/>
        <v>0</v>
      </c>
      <c r="K215" s="84">
        <f t="shared" si="236"/>
        <v>0</v>
      </c>
      <c r="L215" s="84">
        <f t="shared" si="236"/>
        <v>0</v>
      </c>
      <c r="M215" s="84">
        <f t="shared" si="235"/>
        <v>0</v>
      </c>
      <c r="N215" s="84">
        <f t="shared" si="236"/>
        <v>1038.775621375383</v>
      </c>
      <c r="O215" s="84">
        <f t="shared" si="236"/>
        <v>1069.356730176981</v>
      </c>
      <c r="P215" s="84">
        <f t="shared" si="236"/>
        <v>1096.2761818264994</v>
      </c>
      <c r="Q215" s="84">
        <f t="shared" si="236"/>
        <v>1107.0629667441146</v>
      </c>
      <c r="R215" s="84">
        <f t="shared" si="236"/>
        <v>1112.3000276694777</v>
      </c>
      <c r="S215" s="84">
        <f t="shared" si="236"/>
        <v>1149.1321823908158</v>
      </c>
      <c r="T215" s="84">
        <f t="shared" si="236"/>
        <v>1162.6736160787168</v>
      </c>
      <c r="U215" s="84">
        <f t="shared" si="236"/>
        <v>1171.5826775334046</v>
      </c>
      <c r="V215" s="84">
        <f t="shared" si="236"/>
        <v>1077.3285650097744</v>
      </c>
      <c r="W215" s="84">
        <f t="shared" ref="W215:Y215" si="242">IF(W24=0,0,W24*1000000/W78)</f>
        <v>1178.0557751812112</v>
      </c>
      <c r="X215" s="84">
        <f t="shared" si="242"/>
        <v>1165.2164894809</v>
      </c>
      <c r="Y215" s="84">
        <f t="shared" si="242"/>
        <v>1084.1090143241354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0</v>
      </c>
      <c r="C216" s="84">
        <f t="shared" si="236"/>
        <v>0</v>
      </c>
      <c r="D216" s="84">
        <f t="shared" si="236"/>
        <v>0</v>
      </c>
      <c r="E216" s="84">
        <f t="shared" si="236"/>
        <v>0</v>
      </c>
      <c r="F216" s="84">
        <f t="shared" si="236"/>
        <v>0</v>
      </c>
      <c r="G216" s="84">
        <f t="shared" si="236"/>
        <v>0</v>
      </c>
      <c r="H216" s="84">
        <f t="shared" si="236"/>
        <v>0</v>
      </c>
      <c r="I216" s="84">
        <f t="shared" si="236"/>
        <v>0</v>
      </c>
      <c r="J216" s="84">
        <f t="shared" si="236"/>
        <v>1414.5383511212822</v>
      </c>
      <c r="K216" s="84">
        <f t="shared" si="236"/>
        <v>1415.261751741358</v>
      </c>
      <c r="L216" s="84">
        <f t="shared" si="236"/>
        <v>1418.6742368955654</v>
      </c>
      <c r="M216" s="84">
        <f t="shared" si="235"/>
        <v>1419.6156089850203</v>
      </c>
      <c r="N216" s="84">
        <f t="shared" si="236"/>
        <v>1420.470605704229</v>
      </c>
      <c r="O216" s="84">
        <f t="shared" si="236"/>
        <v>1422.9627253956965</v>
      </c>
      <c r="P216" s="84">
        <f t="shared" si="236"/>
        <v>1427.7439079669687</v>
      </c>
      <c r="Q216" s="84">
        <f t="shared" si="236"/>
        <v>1428.8434165938443</v>
      </c>
      <c r="R216" s="84">
        <f t="shared" si="236"/>
        <v>1419.1619412092082</v>
      </c>
      <c r="S216" s="84">
        <f t="shared" si="236"/>
        <v>1417.4993336809769</v>
      </c>
      <c r="T216" s="84">
        <f t="shared" si="236"/>
        <v>1417.2459009569975</v>
      </c>
      <c r="U216" s="84">
        <f t="shared" si="236"/>
        <v>1417.223838752391</v>
      </c>
      <c r="V216" s="84">
        <f t="shared" si="236"/>
        <v>1327.2459292095682</v>
      </c>
      <c r="W216" s="84">
        <f t="shared" ref="W216:Y216" si="243">IF(W25=0,0,W25*1000000/W79)</f>
        <v>1416.521431009058</v>
      </c>
      <c r="X216" s="84">
        <f t="shared" si="243"/>
        <v>1413.5125525372566</v>
      </c>
      <c r="Y216" s="84">
        <f t="shared" si="243"/>
        <v>1415.534716617929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189080.90354382963</v>
      </c>
      <c r="C217" s="110">
        <f t="shared" si="236"/>
        <v>198162.68904789819</v>
      </c>
      <c r="D217" s="110">
        <f t="shared" si="236"/>
        <v>212679.48788024002</v>
      </c>
      <c r="E217" s="110">
        <f t="shared" si="236"/>
        <v>239900.02321663173</v>
      </c>
      <c r="F217" s="110">
        <f t="shared" si="236"/>
        <v>249064.67089101227</v>
      </c>
      <c r="G217" s="110">
        <f t="shared" si="236"/>
        <v>249216.54194465067</v>
      </c>
      <c r="H217" s="110">
        <f t="shared" si="236"/>
        <v>263284.07146799628</v>
      </c>
      <c r="I217" s="110">
        <f t="shared" si="236"/>
        <v>254915.65404928819</v>
      </c>
      <c r="J217" s="110">
        <f t="shared" si="236"/>
        <v>254537.08885625226</v>
      </c>
      <c r="K217" s="110">
        <f t="shared" si="236"/>
        <v>240562.01937841965</v>
      </c>
      <c r="L217" s="110">
        <f t="shared" si="236"/>
        <v>280631.55519319064</v>
      </c>
      <c r="M217" s="110">
        <f t="shared" si="235"/>
        <v>298462.7643476724</v>
      </c>
      <c r="N217" s="110">
        <f t="shared" si="236"/>
        <v>271529.37689214491</v>
      </c>
      <c r="O217" s="110">
        <f t="shared" si="236"/>
        <v>299252.07304758899</v>
      </c>
      <c r="P217" s="110">
        <f t="shared" si="236"/>
        <v>301173.9948106776</v>
      </c>
      <c r="Q217" s="110">
        <f t="shared" si="236"/>
        <v>320055.22900587507</v>
      </c>
      <c r="R217" s="110">
        <f t="shared" si="236"/>
        <v>301954.29543857637</v>
      </c>
      <c r="S217" s="110">
        <f t="shared" si="236"/>
        <v>281562.82486485265</v>
      </c>
      <c r="T217" s="110">
        <f t="shared" si="236"/>
        <v>270953.37873232056</v>
      </c>
      <c r="U217" s="110">
        <f t="shared" si="236"/>
        <v>275378.84271994594</v>
      </c>
      <c r="V217" s="110">
        <f t="shared" si="236"/>
        <v>332906.28279329679</v>
      </c>
      <c r="W217" s="110">
        <f t="shared" ref="W217:Y217" si="244">IF(W26=0,0,W26*1000000/W80)</f>
        <v>360856.12895622454</v>
      </c>
      <c r="X217" s="110">
        <f t="shared" si="244"/>
        <v>363719.07301170105</v>
      </c>
      <c r="Y217" s="110">
        <f t="shared" si="244"/>
        <v>340281.16823775368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110017.1829285283</v>
      </c>
      <c r="C218" s="163">
        <f t="shared" si="236"/>
        <v>115041.12718380363</v>
      </c>
      <c r="D218" s="163">
        <f t="shared" si="236"/>
        <v>125507.62983017474</v>
      </c>
      <c r="E218" s="163">
        <f t="shared" si="236"/>
        <v>145886.9002604823</v>
      </c>
      <c r="F218" s="163">
        <f t="shared" si="236"/>
        <v>138537.78146152783</v>
      </c>
      <c r="G218" s="163">
        <f t="shared" si="236"/>
        <v>134393.37646253908</v>
      </c>
      <c r="H218" s="163">
        <f t="shared" si="236"/>
        <v>141968.06115873199</v>
      </c>
      <c r="I218" s="163">
        <f t="shared" si="236"/>
        <v>133949.87561978577</v>
      </c>
      <c r="J218" s="163">
        <f t="shared" si="236"/>
        <v>138504.83729111697</v>
      </c>
      <c r="K218" s="163">
        <f t="shared" si="236"/>
        <v>125069.58619409909</v>
      </c>
      <c r="L218" s="163">
        <f t="shared" si="236"/>
        <v>148108.75890438448</v>
      </c>
      <c r="M218" s="163">
        <f t="shared" si="235"/>
        <v>156127.9029787766</v>
      </c>
      <c r="N218" s="163">
        <f t="shared" si="236"/>
        <v>137866.01066324627</v>
      </c>
      <c r="O218" s="163">
        <f t="shared" si="236"/>
        <v>151452.833344813</v>
      </c>
      <c r="P218" s="163">
        <f t="shared" si="236"/>
        <v>158507.03773887301</v>
      </c>
      <c r="Q218" s="163">
        <f t="shared" si="236"/>
        <v>183759.68286187664</v>
      </c>
      <c r="R218" s="163">
        <f t="shared" si="236"/>
        <v>177432.69903901228</v>
      </c>
      <c r="S218" s="163">
        <f t="shared" si="236"/>
        <v>161971.25803421522</v>
      </c>
      <c r="T218" s="163">
        <f t="shared" si="236"/>
        <v>163719.30654167914</v>
      </c>
      <c r="U218" s="163">
        <f t="shared" si="236"/>
        <v>168428.70803086826</v>
      </c>
      <c r="V218" s="163">
        <f t="shared" si="236"/>
        <v>208740.65979503235</v>
      </c>
      <c r="W218" s="163">
        <f t="shared" ref="W218:Y218" si="245">IF(W27=0,0,W27*1000000/W81)</f>
        <v>226340.4841027825</v>
      </c>
      <c r="X218" s="163">
        <f t="shared" si="245"/>
        <v>226626.09861572576</v>
      </c>
      <c r="Y218" s="163">
        <f t="shared" si="245"/>
        <v>207658.55604307938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1211898.023405219</v>
      </c>
      <c r="C219" s="86">
        <f t="shared" si="236"/>
        <v>1210781.7237517899</v>
      </c>
      <c r="D219" s="86">
        <f t="shared" si="236"/>
        <v>1218781.2452026801</v>
      </c>
      <c r="E219" s="86">
        <f t="shared" si="236"/>
        <v>1211630.2440791768</v>
      </c>
      <c r="F219" s="86">
        <f t="shared" si="236"/>
        <v>1189395.6861165599</v>
      </c>
      <c r="G219" s="86">
        <f t="shared" si="236"/>
        <v>1189920.8451036527</v>
      </c>
      <c r="H219" s="86">
        <f t="shared" si="236"/>
        <v>1197516.3170032206</v>
      </c>
      <c r="I219" s="86">
        <f t="shared" si="236"/>
        <v>1199761.4335396837</v>
      </c>
      <c r="J219" s="86">
        <f t="shared" si="236"/>
        <v>1182827.7589206963</v>
      </c>
      <c r="K219" s="86">
        <f t="shared" si="236"/>
        <v>1167218.3469750897</v>
      </c>
      <c r="L219" s="86">
        <f t="shared" si="236"/>
        <v>1205211.3610244459</v>
      </c>
      <c r="M219" s="86">
        <f t="shared" si="235"/>
        <v>1201321.6407818308</v>
      </c>
      <c r="N219" s="86">
        <f t="shared" si="236"/>
        <v>1197336.2809098649</v>
      </c>
      <c r="O219" s="86">
        <f t="shared" si="236"/>
        <v>1198963.898848932</v>
      </c>
      <c r="P219" s="86">
        <f t="shared" si="236"/>
        <v>1201776.6731159436</v>
      </c>
      <c r="Q219" s="86">
        <f t="shared" si="236"/>
        <v>1190493.8116343322</v>
      </c>
      <c r="R219" s="86">
        <f t="shared" si="236"/>
        <v>1184352.5565474776</v>
      </c>
      <c r="S219" s="86">
        <f t="shared" si="236"/>
        <v>1191014.3468966135</v>
      </c>
      <c r="T219" s="86">
        <f t="shared" si="236"/>
        <v>1202416.1884627</v>
      </c>
      <c r="U219" s="86">
        <f t="shared" si="236"/>
        <v>1195239.1984246497</v>
      </c>
      <c r="V219" s="86">
        <f t="shared" si="236"/>
        <v>1178253.6570652993</v>
      </c>
      <c r="W219" s="86">
        <f t="shared" ref="W219:Y219" si="246">IF(W28=0,0,W28*1000000/W82)</f>
        <v>1193943.3900061226</v>
      </c>
      <c r="X219" s="86">
        <f t="shared" si="246"/>
        <v>1189421.8396414784</v>
      </c>
      <c r="Y219" s="86">
        <f t="shared" si="246"/>
        <v>1176166.7504685286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1.8508141965761601E-2</v>
      </c>
      <c r="C223" s="154">
        <f t="shared" si="251"/>
        <v>1.7485566421056125E-2</v>
      </c>
      <c r="D223" s="154">
        <f t="shared" si="251"/>
        <v>1.6926303848035125E-2</v>
      </c>
      <c r="E223" s="154">
        <f t="shared" si="251"/>
        <v>1.6489520867453002E-2</v>
      </c>
      <c r="F223" s="154">
        <f t="shared" si="251"/>
        <v>1.6632967415367485E-2</v>
      </c>
      <c r="G223" s="154">
        <f t="shared" si="251"/>
        <v>1.6912576846494221E-2</v>
      </c>
      <c r="H223" s="154">
        <f t="shared" si="251"/>
        <v>1.7117293228807354E-2</v>
      </c>
      <c r="I223" s="154">
        <f t="shared" si="251"/>
        <v>1.7353262547259232E-2</v>
      </c>
      <c r="J223" s="154">
        <f t="shared" si="251"/>
        <v>1.7714424159292454E-2</v>
      </c>
      <c r="K223" s="154">
        <f t="shared" si="251"/>
        <v>1.7913947104802187E-2</v>
      </c>
      <c r="L223" s="154">
        <f t="shared" ref="L223" si="252">IF(L5=0,0,L5/L$4)</f>
        <v>1.9943086775382469E-2</v>
      </c>
      <c r="M223" s="154">
        <f t="shared" ref="M223:V223" si="253">IF(M5=0,0,M5/M$4)</f>
        <v>2.0066528999610679E-2</v>
      </c>
      <c r="N223" s="154">
        <f t="shared" si="253"/>
        <v>2.0830494227999253E-2</v>
      </c>
      <c r="O223" s="154">
        <f t="shared" si="253"/>
        <v>2.0717164548492872E-2</v>
      </c>
      <c r="P223" s="154">
        <f t="shared" si="253"/>
        <v>2.0388936244023159E-2</v>
      </c>
      <c r="Q223" s="154">
        <f t="shared" si="253"/>
        <v>2.0812730074327958E-2</v>
      </c>
      <c r="R223" s="154">
        <f t="shared" si="253"/>
        <v>2.0775799863883053E-2</v>
      </c>
      <c r="S223" s="154">
        <f t="shared" si="253"/>
        <v>1.9021562382490871E-2</v>
      </c>
      <c r="T223" s="154">
        <f t="shared" si="253"/>
        <v>1.7358025662131325E-2</v>
      </c>
      <c r="U223" s="154">
        <f t="shared" si="253"/>
        <v>1.7841230078720169E-2</v>
      </c>
      <c r="V223" s="154">
        <f t="shared" si="253"/>
        <v>1.9931348625494803E-2</v>
      </c>
      <c r="W223" s="154">
        <f t="shared" ref="W223:Y223" si="254">IF(W5=0,0,W5/W$4)</f>
        <v>1.6658882971125541E-2</v>
      </c>
      <c r="X223" s="154">
        <f t="shared" si="254"/>
        <v>1.5866309599652757E-2</v>
      </c>
      <c r="Y223" s="154">
        <f t="shared" si="254"/>
        <v>1.7440642056374196E-2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0.78336750748907091</v>
      </c>
      <c r="C224" s="156">
        <f t="shared" si="255"/>
        <v>0.76998061594871869</v>
      </c>
      <c r="D224" s="156">
        <f t="shared" si="255"/>
        <v>0.78445966013116264</v>
      </c>
      <c r="E224" s="156">
        <f t="shared" si="255"/>
        <v>0.79070745379076346</v>
      </c>
      <c r="F224" s="156">
        <f t="shared" si="255"/>
        <v>0.8026055755875684</v>
      </c>
      <c r="G224" s="156">
        <f t="shared" si="255"/>
        <v>0.80095908295941665</v>
      </c>
      <c r="H224" s="156">
        <f t="shared" si="255"/>
        <v>0.79908976546793842</v>
      </c>
      <c r="I224" s="156">
        <f t="shared" si="255"/>
        <v>0.80193732436432985</v>
      </c>
      <c r="J224" s="156">
        <f t="shared" si="255"/>
        <v>0.80348424432713117</v>
      </c>
      <c r="K224" s="156">
        <f t="shared" si="255"/>
        <v>0.80354718358151322</v>
      </c>
      <c r="L224" s="156">
        <f t="shared" ref="L224" si="256">IF(L6=0,0,L6/L$4)</f>
        <v>0.77369455146796717</v>
      </c>
      <c r="M224" s="156">
        <f t="shared" ref="M224:V224" si="257">IF(M6=0,0,M6/M$4)</f>
        <v>0.78914945151686233</v>
      </c>
      <c r="N224" s="156">
        <f t="shared" si="257"/>
        <v>0.79145048285843445</v>
      </c>
      <c r="O224" s="156">
        <f t="shared" si="257"/>
        <v>0.78773082436478803</v>
      </c>
      <c r="P224" s="156">
        <f t="shared" si="257"/>
        <v>0.77907694126374172</v>
      </c>
      <c r="Q224" s="156">
        <f t="shared" si="257"/>
        <v>0.80460984628097665</v>
      </c>
      <c r="R224" s="156">
        <f t="shared" si="257"/>
        <v>0.81086726085970329</v>
      </c>
      <c r="S224" s="156">
        <f t="shared" si="257"/>
        <v>0.80970565284230356</v>
      </c>
      <c r="T224" s="156">
        <f t="shared" si="257"/>
        <v>0.81341052287428961</v>
      </c>
      <c r="U224" s="156">
        <f t="shared" si="257"/>
        <v>0.81926291392765693</v>
      </c>
      <c r="V224" s="156">
        <f t="shared" si="257"/>
        <v>0.86873015071367077</v>
      </c>
      <c r="W224" s="156">
        <f t="shared" ref="W224:Y224" si="258">IF(W6=0,0,W6/W$4)</f>
        <v>0.89398621248216548</v>
      </c>
      <c r="X224" s="156">
        <f t="shared" si="258"/>
        <v>0.87151363194009557</v>
      </c>
      <c r="Y224" s="156">
        <f t="shared" si="258"/>
        <v>0.86926370321706625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0.57979971836721234</v>
      </c>
      <c r="C225" s="103">
        <f t="shared" si="259"/>
        <v>0.5426631709642582</v>
      </c>
      <c r="D225" s="103">
        <f t="shared" si="259"/>
        <v>0.53408633964816565</v>
      </c>
      <c r="E225" s="103">
        <f t="shared" si="259"/>
        <v>0.51649170321532978</v>
      </c>
      <c r="F225" s="103">
        <f t="shared" si="259"/>
        <v>0.50756706909032823</v>
      </c>
      <c r="G225" s="103">
        <f t="shared" si="259"/>
        <v>0.47917606401221691</v>
      </c>
      <c r="H225" s="103">
        <f t="shared" si="259"/>
        <v>0.46783243479746434</v>
      </c>
      <c r="I225" s="103">
        <f t="shared" si="259"/>
        <v>0.46925750310194775</v>
      </c>
      <c r="J225" s="103">
        <f t="shared" si="259"/>
        <v>0.45762416003745243</v>
      </c>
      <c r="K225" s="103">
        <f t="shared" si="259"/>
        <v>0.44359546222521917</v>
      </c>
      <c r="L225" s="103">
        <f t="shared" ref="L225" si="260">IF(L7=0,0,L7/L$4)</f>
        <v>0.42249273949771987</v>
      </c>
      <c r="M225" s="103">
        <f t="shared" ref="M225:V225" si="261">IF(M7=0,0,M7/M$4)</f>
        <v>0.40928722323670724</v>
      </c>
      <c r="N225" s="103">
        <f t="shared" si="261"/>
        <v>0.38624119599293233</v>
      </c>
      <c r="O225" s="103">
        <f t="shared" si="261"/>
        <v>0.35943108813107233</v>
      </c>
      <c r="P225" s="103">
        <f t="shared" si="261"/>
        <v>0.34832132564411161</v>
      </c>
      <c r="Q225" s="103">
        <f t="shared" si="261"/>
        <v>0.35713711651109625</v>
      </c>
      <c r="R225" s="103">
        <f t="shared" si="261"/>
        <v>0.35022010631577694</v>
      </c>
      <c r="S225" s="103">
        <f t="shared" si="261"/>
        <v>0.34499019845971601</v>
      </c>
      <c r="T225" s="103">
        <f t="shared" si="261"/>
        <v>0.34405839055374998</v>
      </c>
      <c r="U225" s="103">
        <f t="shared" si="261"/>
        <v>0.3414698970079158</v>
      </c>
      <c r="V225" s="103">
        <f t="shared" si="261"/>
        <v>0.34166929619040981</v>
      </c>
      <c r="W225" s="103">
        <f t="shared" ref="W225:Y225" si="262">IF(W7=0,0,W7/W$4)</f>
        <v>0.33481411382168019</v>
      </c>
      <c r="X225" s="103">
        <f t="shared" si="262"/>
        <v>0.33208305588627013</v>
      </c>
      <c r="Y225" s="103">
        <f t="shared" si="262"/>
        <v>0.34597012373618791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0.18837122159829811</v>
      </c>
      <c r="C226" s="103">
        <f t="shared" si="263"/>
        <v>0.21319543582250169</v>
      </c>
      <c r="D226" s="103">
        <f t="shared" si="263"/>
        <v>0.2363372585871556</v>
      </c>
      <c r="E226" s="103">
        <f t="shared" si="263"/>
        <v>0.26031927081834627</v>
      </c>
      <c r="F226" s="103">
        <f t="shared" si="263"/>
        <v>0.28065320410455152</v>
      </c>
      <c r="G226" s="103">
        <f t="shared" si="263"/>
        <v>0.30742208510709224</v>
      </c>
      <c r="H226" s="103">
        <f t="shared" si="263"/>
        <v>0.31612687664132699</v>
      </c>
      <c r="I226" s="103">
        <f t="shared" si="263"/>
        <v>0.31700114022674869</v>
      </c>
      <c r="J226" s="103">
        <f t="shared" si="263"/>
        <v>0.33055199333607721</v>
      </c>
      <c r="K226" s="103">
        <f t="shared" si="263"/>
        <v>0.34447298234933288</v>
      </c>
      <c r="L226" s="103">
        <f t="shared" ref="L226" si="264">IF(L8=0,0,L8/L$4)</f>
        <v>0.33573263998677116</v>
      </c>
      <c r="M226" s="103">
        <f t="shared" ref="M226:V226" si="265">IF(M8=0,0,M8/M$4)</f>
        <v>0.36411869252437318</v>
      </c>
      <c r="N226" s="103">
        <f t="shared" si="265"/>
        <v>0.38774609285841721</v>
      </c>
      <c r="O226" s="103">
        <f t="shared" si="265"/>
        <v>0.41033504178533431</v>
      </c>
      <c r="P226" s="103">
        <f t="shared" si="265"/>
        <v>0.4117104136638759</v>
      </c>
      <c r="Q226" s="103">
        <f t="shared" si="265"/>
        <v>0.42797861402237569</v>
      </c>
      <c r="R226" s="103">
        <f t="shared" si="265"/>
        <v>0.44144847376510488</v>
      </c>
      <c r="S226" s="103">
        <f t="shared" si="265"/>
        <v>0.44694327771548964</v>
      </c>
      <c r="T226" s="103">
        <f t="shared" si="265"/>
        <v>0.45214306904760759</v>
      </c>
      <c r="U226" s="103">
        <f t="shared" si="265"/>
        <v>0.4610718342107516</v>
      </c>
      <c r="V226" s="103">
        <f t="shared" si="265"/>
        <v>0.51020003131724045</v>
      </c>
      <c r="W226" s="103">
        <f t="shared" ref="W226:Y226" si="266">IF(W8=0,0,W8/W$4)</f>
        <v>0.54219091528496299</v>
      </c>
      <c r="X226" s="103">
        <f t="shared" si="266"/>
        <v>0.5222988456388471</v>
      </c>
      <c r="Y226" s="103">
        <f t="shared" si="266"/>
        <v>0.50846450415885269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1.5196567523560389E-2</v>
      </c>
      <c r="C227" s="103">
        <f t="shared" si="267"/>
        <v>1.4122009161958788E-2</v>
      </c>
      <c r="D227" s="103">
        <f t="shared" si="267"/>
        <v>1.4036061895841482E-2</v>
      </c>
      <c r="E227" s="103">
        <f t="shared" si="267"/>
        <v>1.3896479757087635E-2</v>
      </c>
      <c r="F227" s="103">
        <f t="shared" si="267"/>
        <v>1.4385302392688731E-2</v>
      </c>
      <c r="G227" s="103">
        <f t="shared" si="267"/>
        <v>1.4360933840107525E-2</v>
      </c>
      <c r="H227" s="103">
        <f t="shared" si="267"/>
        <v>1.5130454029147113E-2</v>
      </c>
      <c r="I227" s="103">
        <f t="shared" si="267"/>
        <v>1.5678681035633357E-2</v>
      </c>
      <c r="J227" s="103">
        <f t="shared" si="267"/>
        <v>1.5143501390975282E-2</v>
      </c>
      <c r="K227" s="103">
        <f t="shared" si="267"/>
        <v>1.5231126181351282E-2</v>
      </c>
      <c r="L227" s="103">
        <f t="shared" ref="L227" si="268">IF(L9=0,0,L9/L$4)</f>
        <v>1.5128745998329666E-2</v>
      </c>
      <c r="M227" s="103">
        <f t="shared" ref="M227:V227" si="269">IF(M9=0,0,M9/M$4)</f>
        <v>1.5304748262111541E-2</v>
      </c>
      <c r="N227" s="103">
        <f t="shared" si="269"/>
        <v>1.6905001801491674E-2</v>
      </c>
      <c r="O227" s="103">
        <f t="shared" si="269"/>
        <v>1.7156939503389954E-2</v>
      </c>
      <c r="P227" s="103">
        <f t="shared" si="269"/>
        <v>1.8054799045185289E-2</v>
      </c>
      <c r="Q227" s="103">
        <f t="shared" si="269"/>
        <v>1.803731075920556E-2</v>
      </c>
      <c r="R227" s="103">
        <f t="shared" si="269"/>
        <v>1.683295180024201E-2</v>
      </c>
      <c r="S227" s="103">
        <f t="shared" si="269"/>
        <v>1.4837349358471098E-2</v>
      </c>
      <c r="T227" s="103">
        <f t="shared" si="269"/>
        <v>1.3680012173303689E-2</v>
      </c>
      <c r="U227" s="103">
        <f t="shared" si="269"/>
        <v>1.2801546615201257E-2</v>
      </c>
      <c r="V227" s="103">
        <f t="shared" si="269"/>
        <v>1.2094650129610933E-2</v>
      </c>
      <c r="W227" s="103">
        <f t="shared" ref="W227:Y227" si="270">IF(W9=0,0,W9/W$4)</f>
        <v>1.1478183552844719E-2</v>
      </c>
      <c r="X227" s="103">
        <f t="shared" si="270"/>
        <v>1.1021184635018168E-2</v>
      </c>
      <c r="Y227" s="103">
        <f t="shared" si="270"/>
        <v>7.5203835827498356E-3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0</v>
      </c>
      <c r="D228" s="103">
        <f t="shared" si="271"/>
        <v>0</v>
      </c>
      <c r="E228" s="103">
        <f t="shared" si="271"/>
        <v>0</v>
      </c>
      <c r="F228" s="103">
        <f t="shared" si="271"/>
        <v>0</v>
      </c>
      <c r="G228" s="103">
        <f t="shared" si="271"/>
        <v>0</v>
      </c>
      <c r="H228" s="103">
        <f t="shared" si="271"/>
        <v>0</v>
      </c>
      <c r="I228" s="103">
        <f t="shared" si="271"/>
        <v>0</v>
      </c>
      <c r="J228" s="103">
        <f t="shared" si="271"/>
        <v>1.6458956262622602E-4</v>
      </c>
      <c r="K228" s="103">
        <f t="shared" si="271"/>
        <v>2.4761282560966784E-4</v>
      </c>
      <c r="L228" s="103">
        <f t="shared" ref="L228" si="272">IF(L10=0,0,L10/L$4)</f>
        <v>3.3949665108551781E-4</v>
      </c>
      <c r="M228" s="103">
        <f t="shared" ref="M228:V228" si="273">IF(M10=0,0,M10/M$4)</f>
        <v>4.2917767034043088E-4</v>
      </c>
      <c r="N228" s="103">
        <f t="shared" si="273"/>
        <v>5.4439366791443687E-4</v>
      </c>
      <c r="O228" s="103">
        <f t="shared" si="273"/>
        <v>7.6747660871631684E-4</v>
      </c>
      <c r="P228" s="103">
        <f t="shared" si="273"/>
        <v>9.1762874719019099E-4</v>
      </c>
      <c r="Q228" s="103">
        <f t="shared" si="273"/>
        <v>1.3220699997009572E-3</v>
      </c>
      <c r="R228" s="103">
        <f t="shared" si="273"/>
        <v>2.1305697441114223E-3</v>
      </c>
      <c r="S228" s="103">
        <f t="shared" si="273"/>
        <v>2.5548752032150284E-3</v>
      </c>
      <c r="T228" s="103">
        <f t="shared" si="273"/>
        <v>3.0343468010690226E-3</v>
      </c>
      <c r="U228" s="103">
        <f t="shared" si="273"/>
        <v>3.2871278710279736E-3</v>
      </c>
      <c r="V228" s="103">
        <f t="shared" si="273"/>
        <v>3.5693175958989402E-3</v>
      </c>
      <c r="W228" s="103">
        <f t="shared" ref="W228:Y228" si="274">IF(W10=0,0,W10/W$4)</f>
        <v>3.6941917822255893E-3</v>
      </c>
      <c r="X228" s="103">
        <f t="shared" si="274"/>
        <v>3.5687986351097085E-3</v>
      </c>
      <c r="Y228" s="103">
        <f t="shared" si="274"/>
        <v>3.6019453655836346E-3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0</v>
      </c>
      <c r="N229" s="103">
        <f t="shared" si="277"/>
        <v>2.0543672108944656E-6</v>
      </c>
      <c r="O229" s="103">
        <f t="shared" si="277"/>
        <v>3.5842709558154161E-6</v>
      </c>
      <c r="P229" s="103">
        <f t="shared" si="277"/>
        <v>1.0739587090147396E-5</v>
      </c>
      <c r="Q229" s="103">
        <f t="shared" si="277"/>
        <v>2.8752802914222178E-5</v>
      </c>
      <c r="R229" s="103">
        <f t="shared" si="277"/>
        <v>4.4278787584453829E-5</v>
      </c>
      <c r="S229" s="103">
        <f t="shared" si="277"/>
        <v>6.721846949634983E-5</v>
      </c>
      <c r="T229" s="103">
        <f t="shared" si="277"/>
        <v>9.345281413332083E-5</v>
      </c>
      <c r="U229" s="103">
        <f t="shared" si="277"/>
        <v>1.3495231975510589E-4</v>
      </c>
      <c r="V229" s="103">
        <f t="shared" si="277"/>
        <v>2.7649106618858995E-4</v>
      </c>
      <c r="W229" s="103">
        <f t="shared" ref="W229:Y229" si="278">IF(W11=0,0,W11/W$4)</f>
        <v>5.1480705571349344E-4</v>
      </c>
      <c r="X229" s="103">
        <f t="shared" si="278"/>
        <v>8.3685329924765067E-4</v>
      </c>
      <c r="Y229" s="103">
        <f t="shared" si="278"/>
        <v>1.0353920755110139E-3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0</v>
      </c>
      <c r="J230" s="103">
        <f t="shared" si="279"/>
        <v>0</v>
      </c>
      <c r="K230" s="103">
        <f t="shared" si="279"/>
        <v>0</v>
      </c>
      <c r="L230" s="103">
        <f t="shared" ref="L230" si="280">IF(L12=0,0,L12/L$4)</f>
        <v>9.2933406092557146E-7</v>
      </c>
      <c r="M230" s="103">
        <f t="shared" ref="M230:V230" si="281">IF(M12=0,0,M12/M$4)</f>
        <v>9.6098233299001429E-6</v>
      </c>
      <c r="N230" s="103">
        <f t="shared" si="281"/>
        <v>1.1744170467950937E-5</v>
      </c>
      <c r="O230" s="103">
        <f t="shared" si="281"/>
        <v>3.6694065319250976E-5</v>
      </c>
      <c r="P230" s="103">
        <f t="shared" si="281"/>
        <v>6.2034576288658473E-5</v>
      </c>
      <c r="Q230" s="103">
        <f t="shared" si="281"/>
        <v>1.0598218568385187E-4</v>
      </c>
      <c r="R230" s="103">
        <f t="shared" si="281"/>
        <v>1.908804468835505E-4</v>
      </c>
      <c r="S230" s="103">
        <f t="shared" si="281"/>
        <v>3.1273363591558044E-4</v>
      </c>
      <c r="T230" s="103">
        <f t="shared" si="281"/>
        <v>4.0125148442607861E-4</v>
      </c>
      <c r="U230" s="103">
        <f t="shared" si="281"/>
        <v>4.9755590300528567E-4</v>
      </c>
      <c r="V230" s="103">
        <f t="shared" si="281"/>
        <v>9.2036441432198526E-4</v>
      </c>
      <c r="W230" s="103">
        <f t="shared" ref="W230:Y230" si="282">IF(W12=0,0,W12/W$4)</f>
        <v>1.2940009847386507E-3</v>
      </c>
      <c r="X230" s="103">
        <f t="shared" si="282"/>
        <v>1.704893845602935E-3</v>
      </c>
      <c r="Y230" s="103">
        <f t="shared" si="282"/>
        <v>2.6713542981810848E-3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0.19812435054516758</v>
      </c>
      <c r="C231" s="156">
        <f t="shared" si="283"/>
        <v>0.21253381763022516</v>
      </c>
      <c r="D231" s="156">
        <f t="shared" si="283"/>
        <v>0.1986140360208023</v>
      </c>
      <c r="E231" s="156">
        <f t="shared" si="283"/>
        <v>0.19280302534178351</v>
      </c>
      <c r="F231" s="156">
        <f t="shared" si="283"/>
        <v>0.18076145699706403</v>
      </c>
      <c r="G231" s="156">
        <f t="shared" si="283"/>
        <v>0.18212834019408916</v>
      </c>
      <c r="H231" s="156">
        <f t="shared" si="283"/>
        <v>0.1837929413032541</v>
      </c>
      <c r="I231" s="156">
        <f t="shared" si="283"/>
        <v>0.18070941308841104</v>
      </c>
      <c r="J231" s="156">
        <f t="shared" si="283"/>
        <v>0.17880133151357649</v>
      </c>
      <c r="K231" s="156">
        <f t="shared" si="283"/>
        <v>0.17853886931368465</v>
      </c>
      <c r="L231" s="156">
        <f t="shared" ref="L231" si="284">IF(L13=0,0,L13/L$4)</f>
        <v>0.20636236175665038</v>
      </c>
      <c r="M231" s="156">
        <f t="shared" ref="M231:V231" si="285">IF(M13=0,0,M13/M$4)</f>
        <v>0.19078401948352694</v>
      </c>
      <c r="N231" s="156">
        <f t="shared" si="285"/>
        <v>0.18771902291356626</v>
      </c>
      <c r="O231" s="156">
        <f t="shared" si="285"/>
        <v>0.19155201108671918</v>
      </c>
      <c r="P231" s="156">
        <f t="shared" si="285"/>
        <v>0.20053412249223504</v>
      </c>
      <c r="Q231" s="156">
        <f t="shared" si="285"/>
        <v>0.17457742364469536</v>
      </c>
      <c r="R231" s="156">
        <f t="shared" si="285"/>
        <v>0.16835693927641365</v>
      </c>
      <c r="S231" s="156">
        <f t="shared" si="285"/>
        <v>0.17127278477520552</v>
      </c>
      <c r="T231" s="156">
        <f t="shared" si="285"/>
        <v>0.16923145146357915</v>
      </c>
      <c r="U231" s="156">
        <f t="shared" si="285"/>
        <v>0.16289585599362286</v>
      </c>
      <c r="V231" s="156">
        <f t="shared" si="285"/>
        <v>0.11133850066083442</v>
      </c>
      <c r="W231" s="156">
        <f t="shared" ref="W231:Y231" si="286">IF(W13=0,0,W13/W$4)</f>
        <v>8.9354904546708885E-2</v>
      </c>
      <c r="X231" s="156">
        <f t="shared" si="286"/>
        <v>0.11262005846025172</v>
      </c>
      <c r="Y231" s="156">
        <f t="shared" si="286"/>
        <v>0.11329565472655954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5.3544839957377537E-3</v>
      </c>
      <c r="C232" s="103">
        <f t="shared" si="287"/>
        <v>5.121318962150883E-3</v>
      </c>
      <c r="D232" s="103">
        <f t="shared" si="287"/>
        <v>5.1039199191026006E-3</v>
      </c>
      <c r="E232" s="103">
        <f t="shared" si="287"/>
        <v>4.5666906436664855E-3</v>
      </c>
      <c r="F232" s="103">
        <f t="shared" si="287"/>
        <v>4.0291238375419628E-3</v>
      </c>
      <c r="G232" s="103">
        <f t="shared" si="287"/>
        <v>3.7505433470691879E-3</v>
      </c>
      <c r="H232" s="103">
        <f t="shared" si="287"/>
        <v>3.5551703598181166E-3</v>
      </c>
      <c r="I232" s="103">
        <f t="shared" si="287"/>
        <v>3.4185006354158992E-3</v>
      </c>
      <c r="J232" s="103">
        <f t="shared" si="287"/>
        <v>3.2092937825892675E-3</v>
      </c>
      <c r="K232" s="103">
        <f t="shared" si="287"/>
        <v>2.9700787330009032E-3</v>
      </c>
      <c r="L232" s="103">
        <f t="shared" ref="L232" si="288">IF(L14=0,0,L14/L$4)</f>
        <v>3.3751998343624382E-3</v>
      </c>
      <c r="M232" s="103">
        <f t="shared" ref="M232:V232" si="289">IF(M14=0,0,M14/M$4)</f>
        <v>3.0133893962759595E-3</v>
      </c>
      <c r="N232" s="103">
        <f t="shared" si="289"/>
        <v>2.7673072501601405E-3</v>
      </c>
      <c r="O232" s="103">
        <f t="shared" si="289"/>
        <v>2.7898312577299736E-3</v>
      </c>
      <c r="P232" s="103">
        <f t="shared" si="289"/>
        <v>2.9311763754633316E-3</v>
      </c>
      <c r="Q232" s="103">
        <f t="shared" si="289"/>
        <v>2.4528697144697137E-3</v>
      </c>
      <c r="R232" s="103">
        <f t="shared" si="289"/>
        <v>2.4185794682036171E-3</v>
      </c>
      <c r="S232" s="103">
        <f t="shared" si="289"/>
        <v>2.3263431485697718E-3</v>
      </c>
      <c r="T232" s="103">
        <f t="shared" si="289"/>
        <v>2.0642440619323237E-3</v>
      </c>
      <c r="U232" s="103">
        <f t="shared" si="289"/>
        <v>1.8922026378900942E-3</v>
      </c>
      <c r="V232" s="103">
        <f t="shared" si="289"/>
        <v>1.3474759314521776E-3</v>
      </c>
      <c r="W232" s="103">
        <f t="shared" ref="W232:Y232" si="290">IF(W14=0,0,W14/W$4)</f>
        <v>9.9576589663703352E-4</v>
      </c>
      <c r="X232" s="103">
        <f t="shared" si="290"/>
        <v>1.165319266368509E-3</v>
      </c>
      <c r="Y232" s="103">
        <f t="shared" si="290"/>
        <v>1.1091272582550028E-3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0.18200800516200094</v>
      </c>
      <c r="C233" s="103">
        <f t="shared" si="291"/>
        <v>0.19641181543590999</v>
      </c>
      <c r="D233" s="103">
        <f t="shared" si="291"/>
        <v>0.18177462175777573</v>
      </c>
      <c r="E233" s="103">
        <f t="shared" si="291"/>
        <v>0.17539895315438342</v>
      </c>
      <c r="F233" s="103">
        <f t="shared" si="291"/>
        <v>0.16274660021494627</v>
      </c>
      <c r="G233" s="103">
        <f t="shared" si="291"/>
        <v>0.16430929488345561</v>
      </c>
      <c r="H233" s="103">
        <f t="shared" si="291"/>
        <v>0.16662004112940937</v>
      </c>
      <c r="I233" s="103">
        <f t="shared" si="291"/>
        <v>0.16605040726072332</v>
      </c>
      <c r="J233" s="103">
        <f t="shared" si="291"/>
        <v>0.16456367942423347</v>
      </c>
      <c r="K233" s="103">
        <f t="shared" si="291"/>
        <v>0.16477931397663023</v>
      </c>
      <c r="L233" s="103">
        <f t="shared" ref="L233" si="292">IF(L15=0,0,L15/L$4)</f>
        <v>0.19093526864228227</v>
      </c>
      <c r="M233" s="103">
        <f t="shared" ref="M233:V233" si="293">IF(M15=0,0,M15/M$4)</f>
        <v>0.17598305922350088</v>
      </c>
      <c r="N233" s="103">
        <f t="shared" si="293"/>
        <v>0.17297108954078744</v>
      </c>
      <c r="O233" s="103">
        <f t="shared" si="293"/>
        <v>0.17720143544617639</v>
      </c>
      <c r="P233" s="103">
        <f t="shared" si="293"/>
        <v>0.18482099700255797</v>
      </c>
      <c r="Q233" s="103">
        <f t="shared" si="293"/>
        <v>0.15861836638394725</v>
      </c>
      <c r="R233" s="103">
        <f t="shared" si="293"/>
        <v>0.14884298461775325</v>
      </c>
      <c r="S233" s="103">
        <f t="shared" si="293"/>
        <v>0.14984963101579823</v>
      </c>
      <c r="T233" s="103">
        <f t="shared" si="293"/>
        <v>0.14744322065402041</v>
      </c>
      <c r="U233" s="103">
        <f t="shared" si="293"/>
        <v>0.13926487417434569</v>
      </c>
      <c r="V233" s="103">
        <f t="shared" si="293"/>
        <v>9.2291862347956791E-2</v>
      </c>
      <c r="W233" s="103">
        <f t="shared" ref="W233:Y233" si="294">IF(W15=0,0,W15/W$4)</f>
        <v>7.4102808184217883E-2</v>
      </c>
      <c r="X233" s="103">
        <f t="shared" si="294"/>
        <v>9.3885714023636033E-2</v>
      </c>
      <c r="Y233" s="103">
        <f t="shared" si="294"/>
        <v>9.3941606794718774E-2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0</v>
      </c>
      <c r="C234" s="103">
        <f t="shared" si="295"/>
        <v>0</v>
      </c>
      <c r="D234" s="103">
        <f t="shared" si="295"/>
        <v>0</v>
      </c>
      <c r="E234" s="103">
        <f t="shared" si="295"/>
        <v>0</v>
      </c>
      <c r="F234" s="103">
        <f t="shared" si="295"/>
        <v>0</v>
      </c>
      <c r="G234" s="103">
        <f t="shared" si="295"/>
        <v>0</v>
      </c>
      <c r="H234" s="103">
        <f t="shared" si="295"/>
        <v>0</v>
      </c>
      <c r="I234" s="103">
        <f t="shared" si="295"/>
        <v>0</v>
      </c>
      <c r="J234" s="103">
        <f t="shared" si="295"/>
        <v>0</v>
      </c>
      <c r="K234" s="103">
        <f t="shared" si="295"/>
        <v>0</v>
      </c>
      <c r="L234" s="103">
        <f t="shared" ref="L234" si="296">IF(L16=0,0,L16/L$4)</f>
        <v>0</v>
      </c>
      <c r="M234" s="103">
        <f t="shared" ref="M234:V234" si="297">IF(M16=0,0,M16/M$4)</f>
        <v>0</v>
      </c>
      <c r="N234" s="103">
        <f t="shared" si="297"/>
        <v>0</v>
      </c>
      <c r="O234" s="103">
        <f t="shared" si="297"/>
        <v>0</v>
      </c>
      <c r="P234" s="103">
        <f t="shared" si="297"/>
        <v>0</v>
      </c>
      <c r="Q234" s="103">
        <f t="shared" si="297"/>
        <v>0</v>
      </c>
      <c r="R234" s="103">
        <f t="shared" si="297"/>
        <v>0</v>
      </c>
      <c r="S234" s="103">
        <f t="shared" si="297"/>
        <v>0</v>
      </c>
      <c r="T234" s="103">
        <f t="shared" si="297"/>
        <v>0</v>
      </c>
      <c r="U234" s="103">
        <f t="shared" si="297"/>
        <v>0</v>
      </c>
      <c r="V234" s="103">
        <f t="shared" si="297"/>
        <v>2.1974290588540775E-5</v>
      </c>
      <c r="W234" s="103">
        <f t="shared" ref="W234:Y234" si="298">IF(W16=0,0,W16/W$4)</f>
        <v>1.7104487166721298E-5</v>
      </c>
      <c r="X234" s="103">
        <f t="shared" si="298"/>
        <v>2.0561105559305517E-5</v>
      </c>
      <c r="Y234" s="103">
        <f t="shared" si="298"/>
        <v>1.7216383623224518E-5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2.5544807901685595E-3</v>
      </c>
      <c r="C235" s="103">
        <f t="shared" si="299"/>
        <v>2.9987955200620232E-3</v>
      </c>
      <c r="D235" s="103">
        <f t="shared" si="299"/>
        <v>3.9971822724012918E-3</v>
      </c>
      <c r="E235" s="103">
        <f t="shared" si="299"/>
        <v>4.7366005385352881E-3</v>
      </c>
      <c r="F235" s="103">
        <f t="shared" si="299"/>
        <v>5.7216088713357115E-3</v>
      </c>
      <c r="G235" s="103">
        <f t="shared" si="299"/>
        <v>5.7229416891599102E-3</v>
      </c>
      <c r="H235" s="103">
        <f t="shared" si="299"/>
        <v>5.1673177549616048E-3</v>
      </c>
      <c r="I235" s="103">
        <f t="shared" si="299"/>
        <v>3.0627332938883154E-3</v>
      </c>
      <c r="J235" s="103">
        <f t="shared" si="299"/>
        <v>2.9957227355051465E-3</v>
      </c>
      <c r="K235" s="103">
        <f t="shared" si="299"/>
        <v>2.8956098682247832E-3</v>
      </c>
      <c r="L235" s="103">
        <f t="shared" ref="L235" si="300">IF(L17=0,0,L17/L$4)</f>
        <v>3.1951316965434032E-3</v>
      </c>
      <c r="M235" s="103">
        <f t="shared" ref="M235:V235" si="301">IF(M17=0,0,M17/M$4)</f>
        <v>3.2426103909730295E-3</v>
      </c>
      <c r="N235" s="103">
        <f t="shared" si="301"/>
        <v>3.2924173102440992E-3</v>
      </c>
      <c r="O235" s="103">
        <f t="shared" si="301"/>
        <v>3.1631750933835577E-3</v>
      </c>
      <c r="P235" s="103">
        <f t="shared" si="301"/>
        <v>3.8901976477111124E-3</v>
      </c>
      <c r="Q235" s="103">
        <f t="shared" si="301"/>
        <v>5.2389703472881192E-3</v>
      </c>
      <c r="R235" s="103">
        <f t="shared" si="301"/>
        <v>8.3601387648628202E-3</v>
      </c>
      <c r="S235" s="103">
        <f t="shared" si="301"/>
        <v>1.1005731553104189E-2</v>
      </c>
      <c r="T235" s="103">
        <f t="shared" si="301"/>
        <v>1.1169187757234173E-2</v>
      </c>
      <c r="U235" s="103">
        <f t="shared" si="301"/>
        <v>1.3702309034767815E-2</v>
      </c>
      <c r="V235" s="103">
        <f t="shared" si="301"/>
        <v>1.1381727850765315E-2</v>
      </c>
      <c r="W235" s="103">
        <f t="shared" ref="W235:Y235" si="302">IF(W17=0,0,W17/W$4)</f>
        <v>8.7001195798411101E-3</v>
      </c>
      <c r="X235" s="103">
        <f t="shared" si="302"/>
        <v>1.0846060277396216E-2</v>
      </c>
      <c r="Y235" s="103">
        <f t="shared" si="302"/>
        <v>1.1085437797680276E-2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8.2073805972603248E-3</v>
      </c>
      <c r="C236" s="103">
        <f t="shared" si="303"/>
        <v>8.0018877121022219E-3</v>
      </c>
      <c r="D236" s="103">
        <f t="shared" si="303"/>
        <v>7.7383120715226903E-3</v>
      </c>
      <c r="E236" s="103">
        <f t="shared" si="303"/>
        <v>8.1007810051983205E-3</v>
      </c>
      <c r="F236" s="103">
        <f t="shared" si="303"/>
        <v>8.2641240732400714E-3</v>
      </c>
      <c r="G236" s="103">
        <f t="shared" si="303"/>
        <v>8.3455602744044715E-3</v>
      </c>
      <c r="H236" s="103">
        <f t="shared" si="303"/>
        <v>8.4504120590649847E-3</v>
      </c>
      <c r="I236" s="103">
        <f t="shared" si="303"/>
        <v>8.177771898383486E-3</v>
      </c>
      <c r="J236" s="103">
        <f t="shared" si="303"/>
        <v>8.0326355712486228E-3</v>
      </c>
      <c r="K236" s="103">
        <f t="shared" si="303"/>
        <v>7.8938667358287359E-3</v>
      </c>
      <c r="L236" s="103">
        <f t="shared" ref="L236" si="304">IF(L18=0,0,L18/L$4)</f>
        <v>8.8567615834622589E-3</v>
      </c>
      <c r="M236" s="103">
        <f t="shared" ref="M236:V236" si="305">IF(M18=0,0,M18/M$4)</f>
        <v>8.544960472777037E-3</v>
      </c>
      <c r="N236" s="103">
        <f t="shared" si="305"/>
        <v>8.6882088123745524E-3</v>
      </c>
      <c r="O236" s="103">
        <f t="shared" si="305"/>
        <v>8.3975692894292572E-3</v>
      </c>
      <c r="P236" s="103">
        <f t="shared" si="305"/>
        <v>8.8917514665026141E-3</v>
      </c>
      <c r="Q236" s="103">
        <f t="shared" si="305"/>
        <v>8.2672171989902968E-3</v>
      </c>
      <c r="R236" s="103">
        <f t="shared" si="305"/>
        <v>8.7352364255939893E-3</v>
      </c>
      <c r="S236" s="103">
        <f t="shared" si="305"/>
        <v>8.0910790577333209E-3</v>
      </c>
      <c r="T236" s="103">
        <f t="shared" si="305"/>
        <v>8.5547989903922515E-3</v>
      </c>
      <c r="U236" s="103">
        <f t="shared" si="305"/>
        <v>8.0364701466192779E-3</v>
      </c>
      <c r="V236" s="103">
        <f t="shared" si="305"/>
        <v>6.2954602400715947E-3</v>
      </c>
      <c r="W236" s="103">
        <f t="shared" ref="W236:Y236" si="306">IF(W18=0,0,W18/W$4)</f>
        <v>5.5391063988461534E-3</v>
      </c>
      <c r="X236" s="103">
        <f t="shared" si="306"/>
        <v>6.7024037872916711E-3</v>
      </c>
      <c r="Y236" s="103">
        <f t="shared" si="306"/>
        <v>7.1422664922822544E-3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7.7943538339358036E-3</v>
      </c>
      <c r="C238" s="154">
        <f t="shared" si="311"/>
        <v>8.5128601940356371E-3</v>
      </c>
      <c r="D238" s="154">
        <f t="shared" si="311"/>
        <v>9.36693898309344E-3</v>
      </c>
      <c r="E238" s="154">
        <f t="shared" si="311"/>
        <v>1.0594917850656879E-2</v>
      </c>
      <c r="F238" s="154">
        <f t="shared" si="311"/>
        <v>1.2143291503482243E-2</v>
      </c>
      <c r="G238" s="154">
        <f t="shared" si="311"/>
        <v>1.4622227023542477E-2</v>
      </c>
      <c r="H238" s="154">
        <f t="shared" si="311"/>
        <v>1.6319100730563838E-2</v>
      </c>
      <c r="I238" s="154">
        <f t="shared" si="311"/>
        <v>1.8561483718074947E-2</v>
      </c>
      <c r="J238" s="154">
        <f t="shared" si="311"/>
        <v>2.2958146205760397E-2</v>
      </c>
      <c r="K238" s="154">
        <f t="shared" si="311"/>
        <v>2.6123677670249659E-2</v>
      </c>
      <c r="L238" s="154">
        <f t="shared" ref="L238" si="312">IF(L20=0,0,L20/L$19)</f>
        <v>2.5112274175437131E-2</v>
      </c>
      <c r="M238" s="154">
        <f t="shared" ref="M238:V238" si="313">IF(M20=0,0,M20/M$19)</f>
        <v>2.465035546425999E-2</v>
      </c>
      <c r="N238" s="154">
        <f t="shared" si="313"/>
        <v>2.5505777764242475E-2</v>
      </c>
      <c r="O238" s="154">
        <f t="shared" si="313"/>
        <v>2.4178863081396294E-2</v>
      </c>
      <c r="P238" s="154">
        <f t="shared" si="313"/>
        <v>2.5424281549404043E-2</v>
      </c>
      <c r="Q238" s="154">
        <f t="shared" si="313"/>
        <v>2.3994277402310644E-2</v>
      </c>
      <c r="R238" s="154">
        <f t="shared" si="313"/>
        <v>1.9972905898249051E-2</v>
      </c>
      <c r="S238" s="154">
        <f t="shared" si="313"/>
        <v>2.0455036799624567E-2</v>
      </c>
      <c r="T238" s="154">
        <f t="shared" si="313"/>
        <v>2.0495321238612491E-2</v>
      </c>
      <c r="U238" s="154">
        <f t="shared" si="313"/>
        <v>1.9633400679967595E-2</v>
      </c>
      <c r="V238" s="154">
        <f t="shared" si="313"/>
        <v>1.6998848977806114E-2</v>
      </c>
      <c r="W238" s="154">
        <f t="shared" ref="W238:Y238" si="314">IF(W20=0,0,W20/W$19)</f>
        <v>1.6234153265749739E-2</v>
      </c>
      <c r="X238" s="154">
        <f t="shared" si="314"/>
        <v>1.5699475495808853E-2</v>
      </c>
      <c r="Y238" s="154">
        <f t="shared" si="314"/>
        <v>1.703037650598057E-2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1.4158966851428117E-3</v>
      </c>
      <c r="C239" s="103">
        <f t="shared" si="315"/>
        <v>1.4811639777527385E-3</v>
      </c>
      <c r="D239" s="103">
        <f t="shared" si="315"/>
        <v>1.5687099668559011E-3</v>
      </c>
      <c r="E239" s="103">
        <f t="shared" si="315"/>
        <v>1.508081356781693E-3</v>
      </c>
      <c r="F239" s="103">
        <f t="shared" si="315"/>
        <v>1.5267383283015146E-3</v>
      </c>
      <c r="G239" s="103">
        <f t="shared" si="315"/>
        <v>1.6797827483822371E-3</v>
      </c>
      <c r="H239" s="103">
        <f t="shared" si="315"/>
        <v>1.8840720268927227E-3</v>
      </c>
      <c r="I239" s="103">
        <f t="shared" si="315"/>
        <v>2.1321081450265734E-3</v>
      </c>
      <c r="J239" s="103">
        <f t="shared" si="315"/>
        <v>2.4895160249667702E-3</v>
      </c>
      <c r="K239" s="103">
        <f t="shared" si="315"/>
        <v>2.7082212267016169E-3</v>
      </c>
      <c r="L239" s="103">
        <f t="shared" ref="L239" si="316">IF(L21=0,0,L21/L$19)</f>
        <v>2.4385830831021209E-3</v>
      </c>
      <c r="M239" s="103">
        <f t="shared" ref="M239:V239" si="317">IF(M21=0,0,M21/M$19)</f>
        <v>2.2912846525423658E-3</v>
      </c>
      <c r="N239" s="103">
        <f t="shared" si="317"/>
        <v>2.2657778664144533E-3</v>
      </c>
      <c r="O239" s="103">
        <f t="shared" si="317"/>
        <v>2.0902721086835823E-3</v>
      </c>
      <c r="P239" s="103">
        <f t="shared" si="317"/>
        <v>2.075580491312074E-3</v>
      </c>
      <c r="Q239" s="103">
        <f t="shared" si="317"/>
        <v>1.9131544865533001E-3</v>
      </c>
      <c r="R239" s="103">
        <f t="shared" si="317"/>
        <v>1.9290113205943666E-3</v>
      </c>
      <c r="S239" s="103">
        <f t="shared" si="317"/>
        <v>1.9422003819268162E-3</v>
      </c>
      <c r="T239" s="103">
        <f t="shared" si="317"/>
        <v>1.9371956422394136E-3</v>
      </c>
      <c r="U239" s="103">
        <f t="shared" si="317"/>
        <v>1.8515067595495356E-3</v>
      </c>
      <c r="V239" s="103">
        <f t="shared" si="317"/>
        <v>1.6281185968090119E-3</v>
      </c>
      <c r="W239" s="103">
        <f t="shared" ref="W239:Y239" si="318">IF(W21=0,0,W21/W$19)</f>
        <v>1.5368611318322904E-3</v>
      </c>
      <c r="X239" s="103">
        <f t="shared" si="318"/>
        <v>1.4781582595170361E-3</v>
      </c>
      <c r="Y239" s="103">
        <f t="shared" si="318"/>
        <v>1.5906242148873144E-3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6.1436625169598797E-3</v>
      </c>
      <c r="C240" s="103">
        <f t="shared" si="319"/>
        <v>6.8115661535008091E-3</v>
      </c>
      <c r="D240" s="103">
        <f t="shared" si="319"/>
        <v>7.588158997496766E-3</v>
      </c>
      <c r="E240" s="103">
        <f t="shared" si="319"/>
        <v>8.8815637165388546E-3</v>
      </c>
      <c r="F240" s="103">
        <f t="shared" si="319"/>
        <v>1.0408000204683186E-2</v>
      </c>
      <c r="G240" s="103">
        <f t="shared" si="319"/>
        <v>1.2727958480234957E-2</v>
      </c>
      <c r="H240" s="103">
        <f t="shared" si="319"/>
        <v>1.4215783880058072E-2</v>
      </c>
      <c r="I240" s="103">
        <f t="shared" si="319"/>
        <v>1.6196917412994144E-2</v>
      </c>
      <c r="J240" s="103">
        <f t="shared" si="319"/>
        <v>2.0230122253727324E-2</v>
      </c>
      <c r="K240" s="103">
        <f t="shared" si="319"/>
        <v>2.314171037263521E-2</v>
      </c>
      <c r="L240" s="103">
        <f t="shared" ref="L240" si="320">IF(L22=0,0,L22/L$19)</f>
        <v>2.2429799701731274E-2</v>
      </c>
      <c r="M240" s="103">
        <f t="shared" ref="M240:V240" si="321">IF(M22=0,0,M22/M$19)</f>
        <v>2.2119382924036212E-2</v>
      </c>
      <c r="N240" s="103">
        <f t="shared" si="321"/>
        <v>2.2952206764464082E-2</v>
      </c>
      <c r="O240" s="103">
        <f t="shared" si="321"/>
        <v>2.1801124485960784E-2</v>
      </c>
      <c r="P240" s="103">
        <f t="shared" si="321"/>
        <v>2.3008426194847498E-2</v>
      </c>
      <c r="Q240" s="103">
        <f t="shared" si="321"/>
        <v>2.1700355974867077E-2</v>
      </c>
      <c r="R240" s="103">
        <f t="shared" si="321"/>
        <v>1.7578936796010993E-2</v>
      </c>
      <c r="S240" s="103">
        <f t="shared" si="321"/>
        <v>1.7967469846472319E-2</v>
      </c>
      <c r="T240" s="103">
        <f t="shared" si="321"/>
        <v>1.7951069164428839E-2</v>
      </c>
      <c r="U240" s="103">
        <f t="shared" si="321"/>
        <v>1.7159797363457657E-2</v>
      </c>
      <c r="V240" s="103">
        <f t="shared" si="321"/>
        <v>1.482669569393079E-2</v>
      </c>
      <c r="W240" s="103">
        <f t="shared" ref="W240:Y240" si="322">IF(W22=0,0,W22/W$19)</f>
        <v>1.4138588976201575E-2</v>
      </c>
      <c r="X240" s="103">
        <f t="shared" si="322"/>
        <v>1.3702712085518655E-2</v>
      </c>
      <c r="Y240" s="103">
        <f t="shared" si="322"/>
        <v>1.4936619620669844E-2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2.3479463183311271E-4</v>
      </c>
      <c r="C241" s="103">
        <f t="shared" si="323"/>
        <v>2.2013006278208988E-4</v>
      </c>
      <c r="D241" s="103">
        <f t="shared" si="323"/>
        <v>2.100700187407741E-4</v>
      </c>
      <c r="E241" s="103">
        <f t="shared" si="323"/>
        <v>2.0527277733633161E-4</v>
      </c>
      <c r="F241" s="103">
        <f t="shared" si="323"/>
        <v>2.0855297049754344E-4</v>
      </c>
      <c r="G241" s="103">
        <f t="shared" si="323"/>
        <v>2.1448579492528349E-4</v>
      </c>
      <c r="H241" s="103">
        <f t="shared" si="323"/>
        <v>2.1924482361304393E-4</v>
      </c>
      <c r="I241" s="103">
        <f t="shared" si="323"/>
        <v>2.3245816005423197E-4</v>
      </c>
      <c r="J241" s="103">
        <f t="shared" si="323"/>
        <v>2.3685242342837029E-4</v>
      </c>
      <c r="K241" s="103">
        <f t="shared" si="323"/>
        <v>2.7180809590222102E-4</v>
      </c>
      <c r="L241" s="103">
        <f t="shared" ref="L241" si="324">IF(L23=0,0,L23/L$19)</f>
        <v>2.4194524155306594E-4</v>
      </c>
      <c r="M241" s="103">
        <f t="shared" ref="M241:V241" si="325">IF(M23=0,0,M23/M$19)</f>
        <v>2.3764199018334243E-4</v>
      </c>
      <c r="N241" s="103">
        <f t="shared" si="325"/>
        <v>2.709941027298602E-4</v>
      </c>
      <c r="O241" s="103">
        <f t="shared" si="325"/>
        <v>2.6091046140535391E-4</v>
      </c>
      <c r="P241" s="103">
        <f t="shared" si="325"/>
        <v>2.7912316631012593E-4</v>
      </c>
      <c r="Q241" s="103">
        <f t="shared" si="325"/>
        <v>2.4280578140160671E-4</v>
      </c>
      <c r="R241" s="103">
        <f t="shared" si="325"/>
        <v>2.5791540817250795E-4</v>
      </c>
      <c r="S241" s="103">
        <f t="shared" si="325"/>
        <v>2.5424073396737356E-4</v>
      </c>
      <c r="T241" s="103">
        <f t="shared" si="325"/>
        <v>2.4880172513988769E-4</v>
      </c>
      <c r="U241" s="103">
        <f t="shared" si="325"/>
        <v>2.1589736504191019E-4</v>
      </c>
      <c r="V241" s="103">
        <f t="shared" si="325"/>
        <v>1.7091271666392363E-4</v>
      </c>
      <c r="W241" s="103">
        <f t="shared" ref="W241:Y241" si="326">IF(W23=0,0,W23/W$19)</f>
        <v>1.4419626923169699E-4</v>
      </c>
      <c r="X241" s="103">
        <f t="shared" si="326"/>
        <v>1.2111504831755697E-4</v>
      </c>
      <c r="Y241" s="103">
        <f t="shared" si="326"/>
        <v>1.095136675178628E-4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0</v>
      </c>
      <c r="D242" s="103">
        <f t="shared" si="327"/>
        <v>0</v>
      </c>
      <c r="E242" s="103">
        <f t="shared" si="327"/>
        <v>0</v>
      </c>
      <c r="F242" s="103">
        <f t="shared" si="327"/>
        <v>0</v>
      </c>
      <c r="G242" s="103">
        <f t="shared" si="327"/>
        <v>0</v>
      </c>
      <c r="H242" s="103">
        <f t="shared" si="327"/>
        <v>0</v>
      </c>
      <c r="I242" s="103">
        <f t="shared" si="327"/>
        <v>0</v>
      </c>
      <c r="J242" s="103">
        <f t="shared" si="327"/>
        <v>0</v>
      </c>
      <c r="K242" s="103">
        <f t="shared" si="327"/>
        <v>0</v>
      </c>
      <c r="L242" s="103">
        <f t="shared" ref="L242" si="328">IF(L24=0,0,L24/L$19)</f>
        <v>0</v>
      </c>
      <c r="M242" s="103">
        <f t="shared" ref="M242:V242" si="329">IF(M24=0,0,M24/M$19)</f>
        <v>0</v>
      </c>
      <c r="N242" s="103">
        <f t="shared" si="329"/>
        <v>1.381413861000088E-5</v>
      </c>
      <c r="O242" s="103">
        <f t="shared" si="329"/>
        <v>2.3340384128453269E-5</v>
      </c>
      <c r="P242" s="103">
        <f t="shared" si="329"/>
        <v>5.7654892170592213E-5</v>
      </c>
      <c r="Q242" s="103">
        <f t="shared" si="329"/>
        <v>1.3439907530132068E-4</v>
      </c>
      <c r="R242" s="103">
        <f t="shared" si="329"/>
        <v>2.0290009609372933E-4</v>
      </c>
      <c r="S242" s="103">
        <f t="shared" si="329"/>
        <v>2.8609713190772072E-4</v>
      </c>
      <c r="T242" s="103">
        <f t="shared" si="329"/>
        <v>3.5138543977742542E-4</v>
      </c>
      <c r="U242" s="103">
        <f t="shared" si="329"/>
        <v>3.9575944892437259E-4</v>
      </c>
      <c r="V242" s="103">
        <f t="shared" si="329"/>
        <v>3.6149057509619371E-4</v>
      </c>
      <c r="W242" s="103">
        <f t="shared" ref="W242:Y242" si="330">IF(W24=0,0,W24/W$19)</f>
        <v>3.9569562292460963E-4</v>
      </c>
      <c r="X242" s="103">
        <f t="shared" si="330"/>
        <v>3.7646367461784217E-4</v>
      </c>
      <c r="Y242" s="103">
        <f t="shared" si="330"/>
        <v>3.582471947031076E-4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0</v>
      </c>
      <c r="C243" s="103">
        <f t="shared" si="331"/>
        <v>0</v>
      </c>
      <c r="D243" s="103">
        <f t="shared" si="331"/>
        <v>0</v>
      </c>
      <c r="E243" s="103">
        <f t="shared" si="331"/>
        <v>0</v>
      </c>
      <c r="F243" s="103">
        <f t="shared" si="331"/>
        <v>0</v>
      </c>
      <c r="G243" s="103">
        <f t="shared" si="331"/>
        <v>0</v>
      </c>
      <c r="H243" s="103">
        <f t="shared" si="331"/>
        <v>0</v>
      </c>
      <c r="I243" s="103">
        <f t="shared" si="331"/>
        <v>0</v>
      </c>
      <c r="J243" s="103">
        <f t="shared" si="331"/>
        <v>1.655503637933904E-6</v>
      </c>
      <c r="K243" s="103">
        <f t="shared" si="331"/>
        <v>1.9379750106102416E-6</v>
      </c>
      <c r="L243" s="103">
        <f t="shared" ref="L243" si="332">IF(L25=0,0,L25/L$19)</f>
        <v>1.94614905067014E-6</v>
      </c>
      <c r="M243" s="103">
        <f t="shared" ref="M243:V243" si="333">IF(M25=0,0,M25/M$19)</f>
        <v>2.0458974980709333E-6</v>
      </c>
      <c r="N243" s="103">
        <f t="shared" si="333"/>
        <v>2.9848920240800369E-6</v>
      </c>
      <c r="O243" s="103">
        <f t="shared" si="333"/>
        <v>3.2156412181217305E-6</v>
      </c>
      <c r="P243" s="103">
        <f t="shared" si="333"/>
        <v>3.4968047637545782E-6</v>
      </c>
      <c r="Q243" s="103">
        <f t="shared" si="333"/>
        <v>3.5620841873409304E-6</v>
      </c>
      <c r="R243" s="103">
        <f t="shared" si="333"/>
        <v>4.1422773774578151E-6</v>
      </c>
      <c r="S243" s="103">
        <f t="shared" si="333"/>
        <v>5.0287053503372554E-6</v>
      </c>
      <c r="T243" s="103">
        <f t="shared" si="333"/>
        <v>6.8692670269211501E-6</v>
      </c>
      <c r="U243" s="103">
        <f t="shared" si="333"/>
        <v>1.0439742994120933E-5</v>
      </c>
      <c r="V243" s="103">
        <f t="shared" si="333"/>
        <v>1.1631395306193481E-5</v>
      </c>
      <c r="W243" s="103">
        <f t="shared" ref="W243:Y243" si="334">IF(W25=0,0,W25/W$19)</f>
        <v>1.8811265559564823E-5</v>
      </c>
      <c r="X243" s="103">
        <f t="shared" si="334"/>
        <v>2.1026427837764753E-5</v>
      </c>
      <c r="Y243" s="103">
        <f t="shared" si="334"/>
        <v>3.5371808202439764E-5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0.9922056461660641</v>
      </c>
      <c r="C244" s="156">
        <f t="shared" si="335"/>
        <v>0.99148713980596437</v>
      </c>
      <c r="D244" s="156">
        <f t="shared" si="335"/>
        <v>0.99063306101690662</v>
      </c>
      <c r="E244" s="156">
        <f t="shared" si="335"/>
        <v>0.98940508214934308</v>
      </c>
      <c r="F244" s="156">
        <f t="shared" si="335"/>
        <v>0.98785670849651774</v>
      </c>
      <c r="G244" s="156">
        <f t="shared" si="335"/>
        <v>0.98537777297645746</v>
      </c>
      <c r="H244" s="156">
        <f t="shared" si="335"/>
        <v>0.98368089926943614</v>
      </c>
      <c r="I244" s="156">
        <f t="shared" si="335"/>
        <v>0.98143851628192502</v>
      </c>
      <c r="J244" s="156">
        <f t="shared" si="335"/>
        <v>0.97704185379423958</v>
      </c>
      <c r="K244" s="156">
        <f t="shared" si="335"/>
        <v>0.9738763223297503</v>
      </c>
      <c r="L244" s="156">
        <f t="shared" ref="L244" si="336">IF(L26=0,0,L26/L$19)</f>
        <v>0.97488772582456273</v>
      </c>
      <c r="M244" s="156">
        <f t="shared" ref="M244:V244" si="337">IF(M26=0,0,M26/M$19)</f>
        <v>0.97534964453574002</v>
      </c>
      <c r="N244" s="156">
        <f t="shared" si="337"/>
        <v>0.97449422223575755</v>
      </c>
      <c r="O244" s="156">
        <f t="shared" si="337"/>
        <v>0.97582113691860373</v>
      </c>
      <c r="P244" s="156">
        <f t="shared" si="337"/>
        <v>0.97457571845059587</v>
      </c>
      <c r="Q244" s="156">
        <f t="shared" si="337"/>
        <v>0.97600572259768947</v>
      </c>
      <c r="R244" s="156">
        <f t="shared" si="337"/>
        <v>0.98002709410175104</v>
      </c>
      <c r="S244" s="156">
        <f t="shared" si="337"/>
        <v>0.97954496320037543</v>
      </c>
      <c r="T244" s="156">
        <f t="shared" si="337"/>
        <v>0.97950467876138747</v>
      </c>
      <c r="U244" s="156">
        <f t="shared" si="337"/>
        <v>0.98036659932003234</v>
      </c>
      <c r="V244" s="156">
        <f t="shared" si="337"/>
        <v>0.98300115102219388</v>
      </c>
      <c r="W244" s="156">
        <f t="shared" ref="W244:Y244" si="338">IF(W26=0,0,W26/W$19)</f>
        <v>0.98376584673425027</v>
      </c>
      <c r="X244" s="156">
        <f t="shared" si="338"/>
        <v>0.98430052450419114</v>
      </c>
      <c r="Y244" s="156">
        <f t="shared" si="338"/>
        <v>0.9829696234940194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0.53589277572538774</v>
      </c>
      <c r="C245" s="103">
        <f t="shared" si="339"/>
        <v>0.53193266620838031</v>
      </c>
      <c r="D245" s="103">
        <f t="shared" si="339"/>
        <v>0.53798526464691121</v>
      </c>
      <c r="E245" s="103">
        <f t="shared" si="339"/>
        <v>0.54859674204120956</v>
      </c>
      <c r="F245" s="103">
        <f t="shared" si="339"/>
        <v>0.49168484113558825</v>
      </c>
      <c r="G245" s="103">
        <f t="shared" si="339"/>
        <v>0.47357345630827635</v>
      </c>
      <c r="H245" s="103">
        <f t="shared" si="339"/>
        <v>0.46945834682811977</v>
      </c>
      <c r="I245" s="103">
        <f t="shared" si="339"/>
        <v>0.45718230046492148</v>
      </c>
      <c r="J245" s="103">
        <f t="shared" si="339"/>
        <v>0.47258095102587222</v>
      </c>
      <c r="K245" s="103">
        <f t="shared" si="339"/>
        <v>0.45021238548849207</v>
      </c>
      <c r="L245" s="103">
        <f t="shared" ref="L245" si="340">IF(L27=0,0,L27/L$19)</f>
        <v>0.45001408183051822</v>
      </c>
      <c r="M245" s="103">
        <f t="shared" ref="M245:V245" si="341">IF(M27=0,0,M27/M$19)</f>
        <v>0.44073117635382753</v>
      </c>
      <c r="N245" s="103">
        <f t="shared" si="341"/>
        <v>0.43236576113963149</v>
      </c>
      <c r="O245" s="103">
        <f t="shared" si="341"/>
        <v>0.42418495927620603</v>
      </c>
      <c r="P245" s="103">
        <f t="shared" si="341"/>
        <v>0.44277524679849006</v>
      </c>
      <c r="Q245" s="103">
        <f t="shared" si="341"/>
        <v>0.48450806562786508</v>
      </c>
      <c r="R245" s="103">
        <f t="shared" si="341"/>
        <v>0.50466160816325223</v>
      </c>
      <c r="S245" s="103">
        <f t="shared" si="341"/>
        <v>0.49800420672213214</v>
      </c>
      <c r="T245" s="103">
        <f t="shared" si="341"/>
        <v>0.53074820253813315</v>
      </c>
      <c r="U245" s="103">
        <f t="shared" si="341"/>
        <v>0.53716246538133694</v>
      </c>
      <c r="V245" s="103">
        <f t="shared" si="341"/>
        <v>0.53742845756233693</v>
      </c>
      <c r="W245" s="103">
        <f t="shared" ref="W245:Y245" si="342">IF(W27=0,0,W27/W$19)</f>
        <v>0.53126747096431515</v>
      </c>
      <c r="X245" s="103">
        <f t="shared" si="342"/>
        <v>0.52597020453720689</v>
      </c>
      <c r="Y245" s="103">
        <f t="shared" si="342"/>
        <v>0.51772072013656567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0.45631287044067642</v>
      </c>
      <c r="C246" s="105">
        <f t="shared" si="343"/>
        <v>0.459554473597584</v>
      </c>
      <c r="D246" s="105">
        <f t="shared" si="343"/>
        <v>0.4526477963699953</v>
      </c>
      <c r="E246" s="105">
        <f t="shared" si="343"/>
        <v>0.44080834010813347</v>
      </c>
      <c r="F246" s="105">
        <f t="shared" si="343"/>
        <v>0.4961718673609295</v>
      </c>
      <c r="G246" s="105">
        <f t="shared" si="343"/>
        <v>0.51180431666818116</v>
      </c>
      <c r="H246" s="105">
        <f t="shared" si="343"/>
        <v>0.51422255244131632</v>
      </c>
      <c r="I246" s="105">
        <f t="shared" si="343"/>
        <v>0.52425621581700355</v>
      </c>
      <c r="J246" s="105">
        <f t="shared" si="343"/>
        <v>0.50446090276836741</v>
      </c>
      <c r="K246" s="105">
        <f t="shared" si="343"/>
        <v>0.52366393684125823</v>
      </c>
      <c r="L246" s="105">
        <f t="shared" ref="L246" si="344">IF(L28=0,0,L28/L$19)</f>
        <v>0.52487364399404457</v>
      </c>
      <c r="M246" s="105">
        <f t="shared" ref="M246:V246" si="345">IF(M28=0,0,M28/M$19)</f>
        <v>0.5346184681819125</v>
      </c>
      <c r="N246" s="105">
        <f t="shared" si="345"/>
        <v>0.54212846109612611</v>
      </c>
      <c r="O246" s="105">
        <f t="shared" si="345"/>
        <v>0.5516361776423977</v>
      </c>
      <c r="P246" s="105">
        <f t="shared" si="345"/>
        <v>0.53180047165210576</v>
      </c>
      <c r="Q246" s="105">
        <f t="shared" si="345"/>
        <v>0.49149765696982434</v>
      </c>
      <c r="R246" s="105">
        <f t="shared" si="345"/>
        <v>0.4753654859384987</v>
      </c>
      <c r="S246" s="105">
        <f t="shared" si="345"/>
        <v>0.48154075647824329</v>
      </c>
      <c r="T246" s="105">
        <f t="shared" si="345"/>
        <v>0.44875647622325437</v>
      </c>
      <c r="U246" s="105">
        <f t="shared" si="345"/>
        <v>0.44320413393869545</v>
      </c>
      <c r="V246" s="105">
        <f t="shared" si="345"/>
        <v>0.44557269345985695</v>
      </c>
      <c r="W246" s="105">
        <f t="shared" ref="W246:Y246" si="346">IF(W28=0,0,W28/W$19)</f>
        <v>0.45249837576993523</v>
      </c>
      <c r="X246" s="105">
        <f t="shared" si="346"/>
        <v>0.45833031996698426</v>
      </c>
      <c r="Y246" s="105">
        <f t="shared" si="346"/>
        <v>0.46524890335745372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3.8861662867836211E-2</v>
      </c>
      <c r="C250" s="154">
        <f t="shared" si="351"/>
        <v>3.4222094212248165E-2</v>
      </c>
      <c r="D250" s="154">
        <f t="shared" si="351"/>
        <v>3.1854361008674212E-2</v>
      </c>
      <c r="E250" s="154">
        <f t="shared" si="351"/>
        <v>2.7888204043102771E-2</v>
      </c>
      <c r="F250" s="154">
        <f t="shared" si="351"/>
        <v>2.6916468942676346E-2</v>
      </c>
      <c r="G250" s="154">
        <f t="shared" si="351"/>
        <v>2.6796381064900444E-2</v>
      </c>
      <c r="H250" s="154">
        <f t="shared" si="351"/>
        <v>2.7166732106643228E-2</v>
      </c>
      <c r="I250" s="154">
        <f t="shared" si="351"/>
        <v>2.6862063338502593E-2</v>
      </c>
      <c r="J250" s="154">
        <f t="shared" si="351"/>
        <v>2.7491442511248791E-2</v>
      </c>
      <c r="K250" s="154">
        <f t="shared" si="351"/>
        <v>2.7091505301153805E-2</v>
      </c>
      <c r="L250" s="154">
        <f t="shared" ref="L250" si="352">IF(L32=0,0,L32/L$31)</f>
        <v>2.9435192884685678E-2</v>
      </c>
      <c r="M250" s="154">
        <f t="shared" ref="M250:V250" si="353">IF(M32=0,0,M32/M$31)</f>
        <v>2.9371386999595864E-2</v>
      </c>
      <c r="N250" s="154">
        <f t="shared" si="353"/>
        <v>3.031026036169323E-2</v>
      </c>
      <c r="O250" s="154">
        <f t="shared" si="353"/>
        <v>3.0040405189981353E-2</v>
      </c>
      <c r="P250" s="154">
        <f t="shared" si="353"/>
        <v>2.9706390015142175E-2</v>
      </c>
      <c r="Q250" s="154">
        <f t="shared" si="353"/>
        <v>2.9837473233353135E-2</v>
      </c>
      <c r="R250" s="154">
        <f t="shared" si="353"/>
        <v>2.8741962154441025E-2</v>
      </c>
      <c r="S250" s="154">
        <f t="shared" si="353"/>
        <v>2.6324256698022297E-2</v>
      </c>
      <c r="T250" s="154">
        <f t="shared" si="353"/>
        <v>2.4350911938800936E-2</v>
      </c>
      <c r="U250" s="154">
        <f t="shared" si="353"/>
        <v>2.4889002634373023E-2</v>
      </c>
      <c r="V250" s="154">
        <f t="shared" si="353"/>
        <v>2.3084537017866742E-2</v>
      </c>
      <c r="W250" s="154">
        <f t="shared" ref="W250:Y250" si="354">IF(W32=0,0,W32/W$31)</f>
        <v>2.1718257948041993E-2</v>
      </c>
      <c r="X250" s="154">
        <f t="shared" si="354"/>
        <v>2.1267520638221109E-2</v>
      </c>
      <c r="Y250" s="154">
        <f t="shared" si="354"/>
        <v>2.2349648945570687E-2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0.9398416705085666</v>
      </c>
      <c r="C251" s="156">
        <f t="shared" si="355"/>
        <v>0.94389413793031218</v>
      </c>
      <c r="D251" s="156">
        <f t="shared" si="355"/>
        <v>0.94827286141945932</v>
      </c>
      <c r="E251" s="156">
        <f t="shared" si="355"/>
        <v>0.95600823031502724</v>
      </c>
      <c r="F251" s="156">
        <f t="shared" si="355"/>
        <v>0.95869200423329204</v>
      </c>
      <c r="G251" s="156">
        <f t="shared" si="355"/>
        <v>0.95956640365915868</v>
      </c>
      <c r="H251" s="156">
        <f t="shared" si="355"/>
        <v>0.95899016791139691</v>
      </c>
      <c r="I251" s="156">
        <f t="shared" si="355"/>
        <v>0.95978909138823165</v>
      </c>
      <c r="J251" s="156">
        <f t="shared" si="355"/>
        <v>0.95920747099163706</v>
      </c>
      <c r="K251" s="156">
        <f t="shared" si="355"/>
        <v>0.95982165059549274</v>
      </c>
      <c r="L251" s="156">
        <f t="shared" ref="L251" si="356">IF(L33=0,0,L33/L$31)</f>
        <v>0.95611998535876497</v>
      </c>
      <c r="M251" s="156">
        <f t="shared" ref="M251:V251" si="357">IF(M33=0,0,M33/M$31)</f>
        <v>0.9571594851198445</v>
      </c>
      <c r="N251" s="156">
        <f t="shared" si="357"/>
        <v>0.95659574252125157</v>
      </c>
      <c r="O251" s="156">
        <f t="shared" si="357"/>
        <v>0.95665154856893531</v>
      </c>
      <c r="P251" s="156">
        <f t="shared" si="357"/>
        <v>0.95733437638336771</v>
      </c>
      <c r="Q251" s="156">
        <f t="shared" si="357"/>
        <v>0.95812422347162007</v>
      </c>
      <c r="R251" s="156">
        <f t="shared" si="357"/>
        <v>0.96005299814920109</v>
      </c>
      <c r="S251" s="156">
        <f t="shared" si="357"/>
        <v>0.96227399389901291</v>
      </c>
      <c r="T251" s="156">
        <f t="shared" si="357"/>
        <v>0.96423093840829088</v>
      </c>
      <c r="U251" s="156">
        <f t="shared" si="357"/>
        <v>0.96417561534714502</v>
      </c>
      <c r="V251" s="156">
        <f t="shared" si="357"/>
        <v>0.96853728573912645</v>
      </c>
      <c r="W251" s="156">
        <f t="shared" ref="W251:Y251" si="358">IF(W33=0,0,W33/W$31)</f>
        <v>0.97091789289611086</v>
      </c>
      <c r="X251" s="156">
        <f t="shared" si="358"/>
        <v>0.97037184891687955</v>
      </c>
      <c r="Y251" s="156">
        <f t="shared" si="358"/>
        <v>0.96956104614936722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0.70191377505112396</v>
      </c>
      <c r="C252" s="103">
        <f t="shared" si="359"/>
        <v>0.67225960851256095</v>
      </c>
      <c r="D252" s="103">
        <f t="shared" si="359"/>
        <v>0.65308216709480371</v>
      </c>
      <c r="E252" s="103">
        <f t="shared" si="359"/>
        <v>0.63240391220659942</v>
      </c>
      <c r="F252" s="103">
        <f t="shared" si="359"/>
        <v>0.61448506126271141</v>
      </c>
      <c r="G252" s="103">
        <f t="shared" si="359"/>
        <v>0.582638977792303</v>
      </c>
      <c r="H252" s="103">
        <f t="shared" si="359"/>
        <v>0.57009697473868304</v>
      </c>
      <c r="I252" s="103">
        <f t="shared" si="359"/>
        <v>0.57026491962173409</v>
      </c>
      <c r="J252" s="103">
        <f t="shared" si="359"/>
        <v>0.55508670489097212</v>
      </c>
      <c r="K252" s="103">
        <f t="shared" si="359"/>
        <v>0.53874832523478333</v>
      </c>
      <c r="L252" s="103">
        <f t="shared" ref="L252" si="360">IF(L34=0,0,L34/L$31)</f>
        <v>0.53096949272031224</v>
      </c>
      <c r="M252" s="103">
        <f t="shared" ref="M252:V252" si="361">IF(M34=0,0,M34/M$31)</f>
        <v>0.50541139522598177</v>
      </c>
      <c r="N252" s="103">
        <f t="shared" si="361"/>
        <v>0.47582515818597459</v>
      </c>
      <c r="O252" s="103">
        <f t="shared" si="361"/>
        <v>0.44547168405391552</v>
      </c>
      <c r="P252" s="103">
        <f t="shared" si="361"/>
        <v>0.43693550240176593</v>
      </c>
      <c r="Q252" s="103">
        <f t="shared" si="361"/>
        <v>0.43419603025405057</v>
      </c>
      <c r="R252" s="103">
        <f t="shared" si="361"/>
        <v>0.42356676014959754</v>
      </c>
      <c r="S252" s="103">
        <f t="shared" si="361"/>
        <v>0.4189380681734074</v>
      </c>
      <c r="T252" s="103">
        <f t="shared" si="361"/>
        <v>0.41681476218377445</v>
      </c>
      <c r="U252" s="103">
        <f t="shared" si="361"/>
        <v>0.41081531437035357</v>
      </c>
      <c r="V252" s="103">
        <f t="shared" si="361"/>
        <v>0.38978100618184447</v>
      </c>
      <c r="W252" s="103">
        <f t="shared" ref="W252:Y252" si="362">IF(W34=0,0,W34/W$31)</f>
        <v>0.3723629898607963</v>
      </c>
      <c r="X252" s="103">
        <f t="shared" si="362"/>
        <v>0.37850723888284621</v>
      </c>
      <c r="Y252" s="103">
        <f t="shared" si="362"/>
        <v>0.39476658638840034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0.2191320046783444</v>
      </c>
      <c r="C253" s="103">
        <f t="shared" si="363"/>
        <v>0.25378740499030567</v>
      </c>
      <c r="D253" s="103">
        <f t="shared" si="363"/>
        <v>0.27769882409647378</v>
      </c>
      <c r="E253" s="103">
        <f t="shared" si="363"/>
        <v>0.30628308273616373</v>
      </c>
      <c r="F253" s="103">
        <f t="shared" si="363"/>
        <v>0.32649263486149327</v>
      </c>
      <c r="G253" s="103">
        <f t="shared" si="363"/>
        <v>0.35919061028323968</v>
      </c>
      <c r="H253" s="103">
        <f t="shared" si="363"/>
        <v>0.37017349628471313</v>
      </c>
      <c r="I253" s="103">
        <f t="shared" si="363"/>
        <v>0.37017897403435296</v>
      </c>
      <c r="J253" s="103">
        <f t="shared" si="363"/>
        <v>0.38528061041136225</v>
      </c>
      <c r="K253" s="103">
        <f t="shared" si="363"/>
        <v>0.40201244295458627</v>
      </c>
      <c r="L253" s="103">
        <f t="shared" ref="L253" si="364">IF(L35=0,0,L35/L$31)</f>
        <v>0.40544259850823078</v>
      </c>
      <c r="M253" s="103">
        <f t="shared" ref="M253:V253" si="365">IF(M35=0,0,M35/M$31)</f>
        <v>0.43206124104981108</v>
      </c>
      <c r="N253" s="103">
        <f t="shared" si="365"/>
        <v>0.45900955895093754</v>
      </c>
      <c r="O253" s="103">
        <f t="shared" si="365"/>
        <v>0.48868450031678645</v>
      </c>
      <c r="P253" s="103">
        <f t="shared" si="365"/>
        <v>0.49626610465078891</v>
      </c>
      <c r="Q253" s="103">
        <f t="shared" si="365"/>
        <v>0.49998666406654613</v>
      </c>
      <c r="R253" s="103">
        <f t="shared" si="365"/>
        <v>0.51303418841020099</v>
      </c>
      <c r="S253" s="103">
        <f t="shared" si="365"/>
        <v>0.52153201215265144</v>
      </c>
      <c r="T253" s="103">
        <f t="shared" si="365"/>
        <v>0.52634718957874571</v>
      </c>
      <c r="U253" s="103">
        <f t="shared" si="365"/>
        <v>0.53302586843969924</v>
      </c>
      <c r="V253" s="103">
        <f t="shared" si="365"/>
        <v>0.55929468516052361</v>
      </c>
      <c r="W253" s="103">
        <f t="shared" ref="W253:Y253" si="366">IF(W35=0,0,W35/W$31)</f>
        <v>0.5794293372572793</v>
      </c>
      <c r="X253" s="103">
        <f t="shared" si="366"/>
        <v>0.57204741967870898</v>
      </c>
      <c r="Y253" s="103">
        <f t="shared" si="366"/>
        <v>0.55750391530740584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1.8795890779098236E-2</v>
      </c>
      <c r="C254" s="103">
        <f t="shared" si="367"/>
        <v>1.7847124427445352E-2</v>
      </c>
      <c r="D254" s="103">
        <f t="shared" si="367"/>
        <v>1.7491870228181911E-2</v>
      </c>
      <c r="E254" s="103">
        <f t="shared" si="367"/>
        <v>1.7321235372263967E-2</v>
      </c>
      <c r="F254" s="103">
        <f t="shared" si="367"/>
        <v>1.77143081090874E-2</v>
      </c>
      <c r="G254" s="103">
        <f t="shared" si="367"/>
        <v>1.7736815583615905E-2</v>
      </c>
      <c r="H254" s="103">
        <f t="shared" si="367"/>
        <v>1.8719696888000688E-2</v>
      </c>
      <c r="I254" s="103">
        <f t="shared" si="367"/>
        <v>1.9345197732144534E-2</v>
      </c>
      <c r="J254" s="103">
        <f t="shared" si="367"/>
        <v>1.8637590066057287E-2</v>
      </c>
      <c r="K254" s="103">
        <f t="shared" si="367"/>
        <v>1.8755966162682939E-2</v>
      </c>
      <c r="L254" s="103">
        <f t="shared" ref="L254" si="368">IF(L36=0,0,L36/L$31)</f>
        <v>1.9274097644991075E-2</v>
      </c>
      <c r="M254" s="103">
        <f t="shared" ref="M254:V254" si="369">IF(M36=0,0,M36/M$31)</f>
        <v>1.9137248870820914E-2</v>
      </c>
      <c r="N254" s="103">
        <f t="shared" si="369"/>
        <v>2.1064355824331579E-2</v>
      </c>
      <c r="O254" s="103">
        <f t="shared" si="369"/>
        <v>2.1480482111002574E-2</v>
      </c>
      <c r="P254" s="103">
        <f t="shared" si="369"/>
        <v>2.2872004523040564E-2</v>
      </c>
      <c r="Q254" s="103">
        <f t="shared" si="369"/>
        <v>2.2143003604572709E-2</v>
      </c>
      <c r="R254" s="103">
        <f t="shared" si="369"/>
        <v>2.0546317166011047E-2</v>
      </c>
      <c r="S254" s="103">
        <f t="shared" si="369"/>
        <v>1.8178421369113539E-2</v>
      </c>
      <c r="T254" s="103">
        <f t="shared" si="369"/>
        <v>1.6718065610890974E-2</v>
      </c>
      <c r="U254" s="103">
        <f t="shared" si="369"/>
        <v>1.5531863157552775E-2</v>
      </c>
      <c r="V254" s="103">
        <f t="shared" si="369"/>
        <v>1.3901223478432922E-2</v>
      </c>
      <c r="W254" s="103">
        <f t="shared" ref="W254:Y254" si="370">IF(W36=0,0,W36/W$31)</f>
        <v>1.2851479120482985E-2</v>
      </c>
      <c r="X254" s="103">
        <f t="shared" si="370"/>
        <v>1.2650874519287387E-2</v>
      </c>
      <c r="Y254" s="103">
        <f t="shared" si="370"/>
        <v>8.6475258977003287E-3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0</v>
      </c>
      <c r="D255" s="103">
        <f t="shared" si="371"/>
        <v>0</v>
      </c>
      <c r="E255" s="103">
        <f t="shared" si="371"/>
        <v>0</v>
      </c>
      <c r="F255" s="103">
        <f t="shared" si="371"/>
        <v>0</v>
      </c>
      <c r="G255" s="103">
        <f t="shared" si="371"/>
        <v>0</v>
      </c>
      <c r="H255" s="103">
        <f t="shared" si="371"/>
        <v>0</v>
      </c>
      <c r="I255" s="103">
        <f t="shared" si="371"/>
        <v>0</v>
      </c>
      <c r="J255" s="103">
        <f t="shared" si="371"/>
        <v>2.0256562324531902E-4</v>
      </c>
      <c r="K255" s="103">
        <f t="shared" si="371"/>
        <v>3.0491624344019543E-4</v>
      </c>
      <c r="L255" s="103">
        <f t="shared" ref="L255" si="372">IF(L37=0,0,L37/L$31)</f>
        <v>4.3252042197629525E-4</v>
      </c>
      <c r="M255" s="103">
        <f t="shared" ref="M255:V255" si="373">IF(M37=0,0,M37/M$31)</f>
        <v>5.3664913309530023E-4</v>
      </c>
      <c r="N255" s="103">
        <f t="shared" si="373"/>
        <v>6.7833781173870316E-4</v>
      </c>
      <c r="O255" s="103">
        <f t="shared" si="373"/>
        <v>9.6088043912997555E-4</v>
      </c>
      <c r="P255" s="103">
        <f t="shared" si="373"/>
        <v>1.1624615042061634E-3</v>
      </c>
      <c r="Q255" s="103">
        <f t="shared" si="373"/>
        <v>1.6230025173755509E-3</v>
      </c>
      <c r="R255" s="103">
        <f t="shared" si="373"/>
        <v>2.6005754799458829E-3</v>
      </c>
      <c r="S255" s="103">
        <f t="shared" si="373"/>
        <v>3.1301816023511161E-3</v>
      </c>
      <c r="T255" s="103">
        <f t="shared" si="373"/>
        <v>3.7082137255304995E-3</v>
      </c>
      <c r="U255" s="103">
        <f t="shared" si="373"/>
        <v>3.9882071915871876E-3</v>
      </c>
      <c r="V255" s="103">
        <f t="shared" si="373"/>
        <v>4.1024652250680887E-3</v>
      </c>
      <c r="W255" s="103">
        <f t="shared" ref="W255:Y255" si="374">IF(W37=0,0,W37/W$31)</f>
        <v>4.1361795912878332E-3</v>
      </c>
      <c r="X255" s="103">
        <f t="shared" si="374"/>
        <v>4.0965127808425088E-3</v>
      </c>
      <c r="Y255" s="103">
        <f t="shared" si="374"/>
        <v>4.1417988176072392E-3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0</v>
      </c>
      <c r="N256" s="103">
        <f t="shared" si="377"/>
        <v>2.5598294772321299E-6</v>
      </c>
      <c r="O256" s="103">
        <f t="shared" si="377"/>
        <v>4.4875059524553719E-6</v>
      </c>
      <c r="P256" s="103">
        <f t="shared" si="377"/>
        <v>1.3605019024952455E-5</v>
      </c>
      <c r="Q256" s="103">
        <f t="shared" si="377"/>
        <v>3.5297579948067168E-5</v>
      </c>
      <c r="R256" s="103">
        <f t="shared" si="377"/>
        <v>5.404673073581429E-5</v>
      </c>
      <c r="S256" s="103">
        <f t="shared" si="377"/>
        <v>8.2354713956635204E-5</v>
      </c>
      <c r="T256" s="103">
        <f t="shared" si="377"/>
        <v>1.1420679005331274E-4</v>
      </c>
      <c r="U256" s="103">
        <f t="shared" si="377"/>
        <v>1.6373497876745873E-4</v>
      </c>
      <c r="V256" s="103">
        <f t="shared" si="377"/>
        <v>3.1779043293428616E-4</v>
      </c>
      <c r="W256" s="103">
        <f t="shared" ref="W256:Y256" si="378">IF(W38=0,0,W38/W$31)</f>
        <v>5.7640062097975289E-4</v>
      </c>
      <c r="X256" s="103">
        <f t="shared" si="378"/>
        <v>9.6059783321253032E-4</v>
      </c>
      <c r="Y256" s="103">
        <f t="shared" si="378"/>
        <v>1.1905748807537956E-3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0</v>
      </c>
      <c r="J257" s="103">
        <f t="shared" si="379"/>
        <v>0</v>
      </c>
      <c r="K257" s="103">
        <f t="shared" si="379"/>
        <v>0</v>
      </c>
      <c r="L257" s="103">
        <f t="shared" ref="L257" si="380">IF(L39=0,0,L39/L$31)</f>
        <v>1.2760632546779915E-6</v>
      </c>
      <c r="M257" s="103">
        <f t="shared" ref="M257:V257" si="381">IF(M39=0,0,M39/M$31)</f>
        <v>1.2950840135343343E-5</v>
      </c>
      <c r="N257" s="103">
        <f t="shared" si="381"/>
        <v>1.5771918791868747E-5</v>
      </c>
      <c r="O257" s="103">
        <f t="shared" si="381"/>
        <v>4.9514142148264778E-5</v>
      </c>
      <c r="P257" s="103">
        <f t="shared" si="381"/>
        <v>8.4698284541099539E-5</v>
      </c>
      <c r="Q257" s="103">
        <f t="shared" si="381"/>
        <v>1.4022544912711723E-4</v>
      </c>
      <c r="R257" s="103">
        <f t="shared" si="381"/>
        <v>2.5111021270994837E-4</v>
      </c>
      <c r="S257" s="103">
        <f t="shared" si="381"/>
        <v>4.129558875330862E-4</v>
      </c>
      <c r="T257" s="103">
        <f t="shared" si="381"/>
        <v>5.285005192959643E-4</v>
      </c>
      <c r="U257" s="103">
        <f t="shared" si="381"/>
        <v>6.5062720918493985E-4</v>
      </c>
      <c r="V257" s="103">
        <f t="shared" si="381"/>
        <v>1.1401152603230972E-3</v>
      </c>
      <c r="W257" s="103">
        <f t="shared" ref="W257:Y257" si="382">IF(W39=0,0,W39/W$31)</f>
        <v>1.5615064452847499E-3</v>
      </c>
      <c r="X257" s="103">
        <f t="shared" si="382"/>
        <v>2.1092052219817896E-3</v>
      </c>
      <c r="Y257" s="103">
        <f t="shared" si="382"/>
        <v>3.3106448574997099E-3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2.1296666623597089E-2</v>
      </c>
      <c r="C258" s="156">
        <f t="shared" si="383"/>
        <v>2.1883767857439625E-2</v>
      </c>
      <c r="D258" s="156">
        <f t="shared" si="383"/>
        <v>1.9872777571866576E-2</v>
      </c>
      <c r="E258" s="156">
        <f t="shared" si="383"/>
        <v>1.6103565641870002E-2</v>
      </c>
      <c r="F258" s="156">
        <f t="shared" si="383"/>
        <v>1.4391526824031636E-2</v>
      </c>
      <c r="G258" s="156">
        <f t="shared" si="383"/>
        <v>1.3637215275940893E-2</v>
      </c>
      <c r="H258" s="156">
        <f t="shared" si="383"/>
        <v>1.3843099981959844E-2</v>
      </c>
      <c r="I258" s="156">
        <f t="shared" si="383"/>
        <v>1.3348845273265707E-2</v>
      </c>
      <c r="J258" s="156">
        <f t="shared" si="383"/>
        <v>1.3301086497114022E-2</v>
      </c>
      <c r="K258" s="156">
        <f t="shared" si="383"/>
        <v>1.3086844103353566E-2</v>
      </c>
      <c r="L258" s="156">
        <f t="shared" ref="L258" si="384">IF(L40=0,0,L40/L$31)</f>
        <v>1.4444821756549375E-2</v>
      </c>
      <c r="M258" s="156">
        <f t="shared" ref="M258:V258" si="385">IF(M40=0,0,M40/M$31)</f>
        <v>1.3469127880559607E-2</v>
      </c>
      <c r="N258" s="156">
        <f t="shared" si="385"/>
        <v>1.309399711705533E-2</v>
      </c>
      <c r="O258" s="156">
        <f t="shared" si="385"/>
        <v>1.3308046241083438E-2</v>
      </c>
      <c r="P258" s="156">
        <f t="shared" si="385"/>
        <v>1.2959233601490174E-2</v>
      </c>
      <c r="Q258" s="156">
        <f t="shared" si="385"/>
        <v>1.2038303295026689E-2</v>
      </c>
      <c r="R258" s="156">
        <f t="shared" si="385"/>
        <v>1.1205039696357852E-2</v>
      </c>
      <c r="S258" s="156">
        <f t="shared" si="385"/>
        <v>1.1401749402964775E-2</v>
      </c>
      <c r="T258" s="156">
        <f t="shared" si="385"/>
        <v>1.1418149652908011E-2</v>
      </c>
      <c r="U258" s="156">
        <f t="shared" si="385"/>
        <v>1.0935382018481878E-2</v>
      </c>
      <c r="V258" s="156">
        <f t="shared" si="385"/>
        <v>8.3781772430067403E-3</v>
      </c>
      <c r="W258" s="156">
        <f t="shared" ref="W258:Y258" si="386">IF(W40=0,0,W40/W$31)</f>
        <v>7.3638491558471299E-3</v>
      </c>
      <c r="X258" s="156">
        <f t="shared" si="386"/>
        <v>8.3606304448993977E-3</v>
      </c>
      <c r="Y258" s="156">
        <f t="shared" si="386"/>
        <v>8.0893049050620325E-3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1.4964587479558823E-3</v>
      </c>
      <c r="C259" s="103">
        <f t="shared" si="387"/>
        <v>1.3710371695537429E-3</v>
      </c>
      <c r="D259" s="103">
        <f t="shared" si="387"/>
        <v>1.327779119016728E-3</v>
      </c>
      <c r="E259" s="103">
        <f t="shared" si="387"/>
        <v>9.9170646457275653E-4</v>
      </c>
      <c r="F259" s="103">
        <f t="shared" si="387"/>
        <v>8.3403639440850403E-4</v>
      </c>
      <c r="G259" s="103">
        <f t="shared" si="387"/>
        <v>7.301560763425598E-4</v>
      </c>
      <c r="H259" s="103">
        <f t="shared" si="387"/>
        <v>6.9620685009286903E-4</v>
      </c>
      <c r="I259" s="103">
        <f t="shared" si="387"/>
        <v>6.5655624518377604E-4</v>
      </c>
      <c r="J259" s="103">
        <f t="shared" si="387"/>
        <v>6.2072493516881295E-4</v>
      </c>
      <c r="K259" s="103">
        <f t="shared" si="387"/>
        <v>5.6603522531254542E-4</v>
      </c>
      <c r="L259" s="103">
        <f t="shared" ref="L259" si="388">IF(L41=0,0,L41/L$31)</f>
        <v>6.1426325479712121E-4</v>
      </c>
      <c r="M259" s="103">
        <f t="shared" ref="M259:V259" si="389">IF(M41=0,0,M41/M$31)</f>
        <v>5.5312856302021699E-4</v>
      </c>
      <c r="N259" s="103">
        <f t="shared" si="389"/>
        <v>5.018739856106492E-4</v>
      </c>
      <c r="O259" s="103">
        <f t="shared" si="389"/>
        <v>5.0394004347620194E-4</v>
      </c>
      <c r="P259" s="103">
        <f t="shared" si="389"/>
        <v>4.9250011495425455E-4</v>
      </c>
      <c r="Q259" s="103">
        <f t="shared" si="389"/>
        <v>4.3976942303707673E-4</v>
      </c>
      <c r="R259" s="103">
        <f t="shared" si="389"/>
        <v>4.1851987552684792E-4</v>
      </c>
      <c r="S259" s="103">
        <f t="shared" si="389"/>
        <v>4.0265236689112738E-4</v>
      </c>
      <c r="T259" s="103">
        <f t="shared" si="389"/>
        <v>3.6211710813867582E-4</v>
      </c>
      <c r="U259" s="103">
        <f t="shared" si="389"/>
        <v>3.3026679712800771E-4</v>
      </c>
      <c r="V259" s="103">
        <f t="shared" si="389"/>
        <v>2.6363225214280585E-4</v>
      </c>
      <c r="W259" s="103">
        <f t="shared" ref="W259:Y259" si="390">IF(W41=0,0,W41/W$31)</f>
        <v>2.1336200543084055E-4</v>
      </c>
      <c r="X259" s="103">
        <f t="shared" si="390"/>
        <v>2.249269806910486E-4</v>
      </c>
      <c r="Y259" s="103">
        <f t="shared" si="390"/>
        <v>2.0589826096777881E-4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1.8694811599687004E-2</v>
      </c>
      <c r="C260" s="103">
        <f t="shared" si="391"/>
        <v>1.9424782497814441E-2</v>
      </c>
      <c r="D260" s="103">
        <f t="shared" si="391"/>
        <v>1.7420329991914608E-2</v>
      </c>
      <c r="E260" s="103">
        <f t="shared" si="391"/>
        <v>1.4081257394675105E-2</v>
      </c>
      <c r="F260" s="103">
        <f t="shared" si="391"/>
        <v>1.2484616908646049E-2</v>
      </c>
      <c r="G260" s="103">
        <f t="shared" si="391"/>
        <v>1.1889090646880308E-2</v>
      </c>
      <c r="H260" s="103">
        <f t="shared" si="391"/>
        <v>1.2153589466233919E-2</v>
      </c>
      <c r="I260" s="103">
        <f t="shared" si="391"/>
        <v>1.1887579194125862E-2</v>
      </c>
      <c r="J260" s="103">
        <f t="shared" si="391"/>
        <v>1.1883949762347756E-2</v>
      </c>
      <c r="K260" s="103">
        <f t="shared" si="391"/>
        <v>1.1751349943986527E-2</v>
      </c>
      <c r="L260" s="103">
        <f t="shared" ref="L260" si="392">IF(L42=0,0,L42/L$31)</f>
        <v>1.3009401077373825E-2</v>
      </c>
      <c r="M260" s="103">
        <f t="shared" ref="M260:V260" si="393">IF(M42=0,0,M42/M$31)</f>
        <v>1.2105178918412552E-2</v>
      </c>
      <c r="N260" s="103">
        <f t="shared" si="393"/>
        <v>1.1776442569700825E-2</v>
      </c>
      <c r="O260" s="103">
        <f t="shared" si="393"/>
        <v>1.2019918396136456E-2</v>
      </c>
      <c r="P260" s="103">
        <f t="shared" si="393"/>
        <v>1.1660322670417821E-2</v>
      </c>
      <c r="Q260" s="103">
        <f t="shared" si="393"/>
        <v>1.0688425638387702E-2</v>
      </c>
      <c r="R260" s="103">
        <f t="shared" si="393"/>
        <v>9.6752661990070193E-3</v>
      </c>
      <c r="S260" s="103">
        <f t="shared" si="393"/>
        <v>9.7558173850448415E-3</v>
      </c>
      <c r="T260" s="103">
        <f t="shared" si="393"/>
        <v>9.7515360302680796E-3</v>
      </c>
      <c r="U260" s="103">
        <f t="shared" si="393"/>
        <v>9.1732082230648153E-3</v>
      </c>
      <c r="V260" s="103">
        <f t="shared" si="393"/>
        <v>6.8087961827403443E-3</v>
      </c>
      <c r="W260" s="103">
        <f t="shared" ref="W260:Y260" si="394">IF(W42=0,0,W42/W$31)</f>
        <v>5.9967897585495771E-3</v>
      </c>
      <c r="X260" s="103">
        <f t="shared" si="394"/>
        <v>6.8532422609059382E-3</v>
      </c>
      <c r="Y260" s="103">
        <f t="shared" si="394"/>
        <v>6.6013264148104423E-3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0</v>
      </c>
      <c r="C261" s="103">
        <f t="shared" si="395"/>
        <v>0</v>
      </c>
      <c r="D261" s="103">
        <f t="shared" si="395"/>
        <v>0</v>
      </c>
      <c r="E261" s="103">
        <f t="shared" si="395"/>
        <v>0</v>
      </c>
      <c r="F261" s="103">
        <f t="shared" si="395"/>
        <v>0</v>
      </c>
      <c r="G261" s="103">
        <f t="shared" si="395"/>
        <v>0</v>
      </c>
      <c r="H261" s="103">
        <f t="shared" si="395"/>
        <v>0</v>
      </c>
      <c r="I261" s="103">
        <f t="shared" si="395"/>
        <v>0</v>
      </c>
      <c r="J261" s="103">
        <f t="shared" si="395"/>
        <v>0</v>
      </c>
      <c r="K261" s="103">
        <f t="shared" si="395"/>
        <v>0</v>
      </c>
      <c r="L261" s="103">
        <f t="shared" ref="L261" si="396">IF(L43=0,0,L43/L$31)</f>
        <v>0</v>
      </c>
      <c r="M261" s="103">
        <f t="shared" ref="M261:V261" si="397">IF(M43=0,0,M43/M$31)</f>
        <v>0</v>
      </c>
      <c r="N261" s="103">
        <f t="shared" si="397"/>
        <v>0</v>
      </c>
      <c r="O261" s="103">
        <f t="shared" si="397"/>
        <v>0</v>
      </c>
      <c r="P261" s="103">
        <f t="shared" si="397"/>
        <v>0</v>
      </c>
      <c r="Q261" s="103">
        <f t="shared" si="397"/>
        <v>0</v>
      </c>
      <c r="R261" s="103">
        <f t="shared" si="397"/>
        <v>0</v>
      </c>
      <c r="S261" s="103">
        <f t="shared" si="397"/>
        <v>0</v>
      </c>
      <c r="T261" s="103">
        <f t="shared" si="397"/>
        <v>0</v>
      </c>
      <c r="U261" s="103">
        <f t="shared" si="397"/>
        <v>0</v>
      </c>
      <c r="V261" s="103">
        <f t="shared" si="397"/>
        <v>1.6211447257786953E-6</v>
      </c>
      <c r="W261" s="103">
        <f t="shared" ref="W261:Y261" si="398">IF(W43=0,0,W43/W$31)</f>
        <v>1.3841852418284238E-6</v>
      </c>
      <c r="X261" s="103">
        <f t="shared" si="398"/>
        <v>1.5008698502788828E-6</v>
      </c>
      <c r="Y261" s="103">
        <f t="shared" si="398"/>
        <v>1.2098043865467626E-6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2.6238152033321148E-4</v>
      </c>
      <c r="C262" s="103">
        <f t="shared" si="399"/>
        <v>2.965755934964751E-4</v>
      </c>
      <c r="D262" s="103">
        <f t="shared" si="399"/>
        <v>3.8306906404047007E-4</v>
      </c>
      <c r="E262" s="103">
        <f t="shared" si="399"/>
        <v>3.8026048707466456E-4</v>
      </c>
      <c r="F262" s="103">
        <f t="shared" si="399"/>
        <v>4.3891604964646692E-4</v>
      </c>
      <c r="G262" s="103">
        <f t="shared" si="399"/>
        <v>4.1410056903654519E-4</v>
      </c>
      <c r="H262" s="103">
        <f t="shared" si="399"/>
        <v>3.7691419477329645E-4</v>
      </c>
      <c r="I262" s="103">
        <f t="shared" si="399"/>
        <v>2.1926163977674967E-4</v>
      </c>
      <c r="J262" s="103">
        <f t="shared" si="399"/>
        <v>2.1633581975819379E-4</v>
      </c>
      <c r="K262" s="103">
        <f t="shared" si="399"/>
        <v>2.0650240641004278E-4</v>
      </c>
      <c r="L262" s="103">
        <f t="shared" ref="L262" si="400">IF(L44=0,0,L44/L$31)</f>
        <v>2.1770074240835217E-4</v>
      </c>
      <c r="M262" s="103">
        <f t="shared" ref="M262:V262" si="401">IF(M44=0,0,M44/M$31)</f>
        <v>2.230463495669838E-4</v>
      </c>
      <c r="N262" s="103">
        <f t="shared" si="401"/>
        <v>2.2415863525237055E-4</v>
      </c>
      <c r="O262" s="103">
        <f t="shared" si="401"/>
        <v>2.14564325618628E-4</v>
      </c>
      <c r="P262" s="103">
        <f t="shared" si="401"/>
        <v>2.4543185330498006E-4</v>
      </c>
      <c r="Q262" s="103">
        <f t="shared" si="401"/>
        <v>3.530256063989717E-4</v>
      </c>
      <c r="R262" s="103">
        <f t="shared" si="401"/>
        <v>5.43435541946515E-4</v>
      </c>
      <c r="S262" s="103">
        <f t="shared" si="401"/>
        <v>7.1651766169241143E-4</v>
      </c>
      <c r="T262" s="103">
        <f t="shared" si="401"/>
        <v>7.3870291465671597E-4</v>
      </c>
      <c r="U262" s="103">
        <f t="shared" si="401"/>
        <v>9.0255446434648657E-4</v>
      </c>
      <c r="V262" s="103">
        <f t="shared" si="401"/>
        <v>8.3968253724371828E-4</v>
      </c>
      <c r="W262" s="103">
        <f t="shared" ref="W262:Y262" si="402">IF(W44=0,0,W44/W$31)</f>
        <v>7.0405952585288613E-4</v>
      </c>
      <c r="X262" s="103">
        <f t="shared" si="402"/>
        <v>7.9171447360640995E-4</v>
      </c>
      <c r="Y262" s="103">
        <f t="shared" si="402"/>
        <v>7.7897957944741969E-4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8.4301475562099145E-4</v>
      </c>
      <c r="C263" s="103">
        <f t="shared" si="403"/>
        <v>7.9137259657496893E-4</v>
      </c>
      <c r="D263" s="103">
        <f t="shared" si="403"/>
        <v>7.4159939689477075E-4</v>
      </c>
      <c r="E263" s="103">
        <f t="shared" si="403"/>
        <v>6.5034129554747443E-4</v>
      </c>
      <c r="F263" s="103">
        <f t="shared" si="403"/>
        <v>6.3395747133061504E-4</v>
      </c>
      <c r="G263" s="103">
        <f t="shared" si="403"/>
        <v>6.0386798368147992E-4</v>
      </c>
      <c r="H263" s="103">
        <f t="shared" si="403"/>
        <v>6.1638947085976119E-4</v>
      </c>
      <c r="I263" s="103">
        <f t="shared" si="403"/>
        <v>5.854481941793174E-4</v>
      </c>
      <c r="J263" s="103">
        <f t="shared" si="403"/>
        <v>5.800759798392605E-4</v>
      </c>
      <c r="K263" s="103">
        <f t="shared" si="403"/>
        <v>5.6295652764444862E-4</v>
      </c>
      <c r="L263" s="103">
        <f t="shared" ref="L263" si="404">IF(L45=0,0,L45/L$31)</f>
        <v>6.0345668197007735E-4</v>
      </c>
      <c r="M263" s="103">
        <f t="shared" ref="M263:V263" si="405">IF(M45=0,0,M45/M$31)</f>
        <v>5.8777404955985622E-4</v>
      </c>
      <c r="N263" s="103">
        <f t="shared" si="405"/>
        <v>5.915219264914837E-4</v>
      </c>
      <c r="O263" s="103">
        <f t="shared" si="405"/>
        <v>5.6962347585214946E-4</v>
      </c>
      <c r="P263" s="103">
        <f t="shared" si="405"/>
        <v>5.6097896281311792E-4</v>
      </c>
      <c r="Q263" s="103">
        <f t="shared" si="405"/>
        <v>5.5708262720293876E-4</v>
      </c>
      <c r="R263" s="103">
        <f t="shared" si="405"/>
        <v>5.6781807987746975E-4</v>
      </c>
      <c r="S263" s="103">
        <f t="shared" si="405"/>
        <v>5.2676198933639725E-4</v>
      </c>
      <c r="T263" s="103">
        <f t="shared" si="405"/>
        <v>5.6579359984454001E-4</v>
      </c>
      <c r="U263" s="103">
        <f t="shared" si="405"/>
        <v>5.2935253394256841E-4</v>
      </c>
      <c r="V263" s="103">
        <f t="shared" si="405"/>
        <v>4.6444512615409424E-4</v>
      </c>
      <c r="W263" s="103">
        <f t="shared" ref="W263:Y263" si="406">IF(W45=0,0,W45/W$31)</f>
        <v>4.4825368077199847E-4</v>
      </c>
      <c r="X263" s="103">
        <f t="shared" si="406"/>
        <v>4.8924585984572123E-4</v>
      </c>
      <c r="Y263" s="103">
        <f t="shared" si="406"/>
        <v>5.0189084544984561E-4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0.37755933237477085</v>
      </c>
      <c r="C265" s="154">
        <f t="shared" si="411"/>
        <v>0.38630209675502358</v>
      </c>
      <c r="D265" s="154">
        <f t="shared" si="411"/>
        <v>0.40163064853294517</v>
      </c>
      <c r="E265" s="154">
        <f t="shared" si="411"/>
        <v>0.41020031530397444</v>
      </c>
      <c r="F265" s="154">
        <f t="shared" si="411"/>
        <v>0.42230298974311831</v>
      </c>
      <c r="G265" s="154">
        <f t="shared" si="411"/>
        <v>0.43929809883833471</v>
      </c>
      <c r="H265" s="154">
        <f t="shared" si="411"/>
        <v>0.48080217689676852</v>
      </c>
      <c r="I265" s="154">
        <f t="shared" si="411"/>
        <v>0.51535803007059888</v>
      </c>
      <c r="J265" s="154">
        <f t="shared" si="411"/>
        <v>0.57263554213810819</v>
      </c>
      <c r="K265" s="154">
        <f t="shared" si="411"/>
        <v>0.61304629142304656</v>
      </c>
      <c r="L265" s="154">
        <f t="shared" ref="L265" si="412">IF(L47=0,0,L47/L$46)</f>
        <v>0.62357097354118507</v>
      </c>
      <c r="M265" s="154">
        <f t="shared" ref="M265:V265" si="413">IF(M47=0,0,M47/M$46)</f>
        <v>0.62431929545346943</v>
      </c>
      <c r="N265" s="154">
        <f t="shared" si="413"/>
        <v>0.6349797903663118</v>
      </c>
      <c r="O265" s="154">
        <f t="shared" si="413"/>
        <v>0.62944891144575943</v>
      </c>
      <c r="P265" s="154">
        <f t="shared" si="413"/>
        <v>0.64329688698244025</v>
      </c>
      <c r="Q265" s="154">
        <f t="shared" si="413"/>
        <v>0.63118835497926484</v>
      </c>
      <c r="R265" s="154">
        <f t="shared" si="413"/>
        <v>0.59075120045457008</v>
      </c>
      <c r="S265" s="154">
        <f t="shared" si="413"/>
        <v>0.58751077255254736</v>
      </c>
      <c r="T265" s="154">
        <f t="shared" si="413"/>
        <v>0.58927063852044836</v>
      </c>
      <c r="U265" s="154">
        <f t="shared" si="413"/>
        <v>0.58561458526793986</v>
      </c>
      <c r="V265" s="154">
        <f t="shared" si="413"/>
        <v>0.55346469299977719</v>
      </c>
      <c r="W265" s="154">
        <f t="shared" ref="W265:Y265" si="414">IF(W47=0,0,W47/W$46)</f>
        <v>0.53868354459402734</v>
      </c>
      <c r="X265" s="154">
        <f t="shared" si="414"/>
        <v>0.54179751457590397</v>
      </c>
      <c r="Y265" s="154">
        <f t="shared" si="414"/>
        <v>0.5476448977621633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8.6895399846779159E-2</v>
      </c>
      <c r="C266" s="103">
        <f t="shared" si="415"/>
        <v>8.4851095177763208E-2</v>
      </c>
      <c r="D266" s="103">
        <f t="shared" si="415"/>
        <v>8.4929423136551357E-2</v>
      </c>
      <c r="E266" s="103">
        <f t="shared" si="415"/>
        <v>7.4358096069287477E-2</v>
      </c>
      <c r="F266" s="103">
        <f t="shared" si="415"/>
        <v>6.8089062265220657E-2</v>
      </c>
      <c r="G266" s="103">
        <f t="shared" si="415"/>
        <v>6.5012163930069061E-2</v>
      </c>
      <c r="H266" s="103">
        <f t="shared" si="415"/>
        <v>7.1553720525907555E-2</v>
      </c>
      <c r="I266" s="103">
        <f t="shared" si="415"/>
        <v>7.6478017009413951E-2</v>
      </c>
      <c r="J266" s="103">
        <f t="shared" si="415"/>
        <v>7.9929240064613133E-2</v>
      </c>
      <c r="K266" s="103">
        <f t="shared" si="415"/>
        <v>8.1838280420564194E-2</v>
      </c>
      <c r="L266" s="103">
        <f t="shared" ref="L266" si="416">IF(L48=0,0,L48/L$46)</f>
        <v>7.7601094808072021E-2</v>
      </c>
      <c r="M266" s="103">
        <f t="shared" ref="M266:V266" si="417">IF(M48=0,0,M48/M$46)</f>
        <v>7.4341932528209323E-2</v>
      </c>
      <c r="N266" s="103">
        <f t="shared" si="417"/>
        <v>7.2203703827665389E-2</v>
      </c>
      <c r="O266" s="103">
        <f t="shared" si="417"/>
        <v>6.9250075299761349E-2</v>
      </c>
      <c r="P266" s="103">
        <f t="shared" si="417"/>
        <v>6.601176603075655E-2</v>
      </c>
      <c r="Q266" s="103">
        <f t="shared" si="417"/>
        <v>6.2929449869026557E-2</v>
      </c>
      <c r="R266" s="103">
        <f t="shared" si="417"/>
        <v>7.0460982927357849E-2</v>
      </c>
      <c r="S266" s="103">
        <f t="shared" si="417"/>
        <v>6.8660364661193546E-2</v>
      </c>
      <c r="T266" s="103">
        <f t="shared" si="417"/>
        <v>6.8493253805484058E-2</v>
      </c>
      <c r="U266" s="103">
        <f t="shared" si="417"/>
        <v>6.7879258451792032E-2</v>
      </c>
      <c r="V266" s="103">
        <f t="shared" si="417"/>
        <v>6.5399988123955644E-2</v>
      </c>
      <c r="W266" s="103">
        <f t="shared" ref="W266:Y266" si="418">IF(W48=0,0,W48/W$46)</f>
        <v>6.2659679496652562E-2</v>
      </c>
      <c r="X266" s="103">
        <f t="shared" si="418"/>
        <v>6.2765858245919376E-2</v>
      </c>
      <c r="Y266" s="103">
        <f t="shared" si="418"/>
        <v>6.3251501031880125E-2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0.27622529062907641</v>
      </c>
      <c r="C267" s="103">
        <f t="shared" si="419"/>
        <v>0.288815088511716</v>
      </c>
      <c r="D267" s="103">
        <f t="shared" si="419"/>
        <v>0.30530522242907648</v>
      </c>
      <c r="E267" s="103">
        <f t="shared" si="419"/>
        <v>0.32570058812641917</v>
      </c>
      <c r="F267" s="103">
        <f t="shared" si="419"/>
        <v>0.34489422419656823</v>
      </c>
      <c r="G267" s="103">
        <f t="shared" si="419"/>
        <v>0.36596804819800693</v>
      </c>
      <c r="H267" s="103">
        <f t="shared" si="419"/>
        <v>0.40090517234460626</v>
      </c>
      <c r="I267" s="103">
        <f t="shared" si="419"/>
        <v>0.43052503822055843</v>
      </c>
      <c r="J267" s="103">
        <f t="shared" si="419"/>
        <v>0.48504418727984366</v>
      </c>
      <c r="K267" s="103">
        <f t="shared" si="419"/>
        <v>0.52293122610006415</v>
      </c>
      <c r="L267" s="103">
        <f t="shared" ref="L267" si="420">IF(L49=0,0,L49/L$46)</f>
        <v>0.53820601312986782</v>
      </c>
      <c r="M267" s="103">
        <f t="shared" ref="M267:V267" si="421">IF(M49=0,0,M49/M$46)</f>
        <v>0.54219879862579512</v>
      </c>
      <c r="N267" s="103">
        <f t="shared" si="421"/>
        <v>0.55361142316920831</v>
      </c>
      <c r="O267" s="103">
        <f t="shared" si="421"/>
        <v>0.55068358601626632</v>
      </c>
      <c r="P267" s="103">
        <f t="shared" si="421"/>
        <v>0.56649033617624611</v>
      </c>
      <c r="Q267" s="103">
        <f t="shared" si="421"/>
        <v>0.55575914339249455</v>
      </c>
      <c r="R267" s="103">
        <f t="shared" si="421"/>
        <v>0.50335579360012994</v>
      </c>
      <c r="S267" s="103">
        <f t="shared" si="421"/>
        <v>0.49951621977346372</v>
      </c>
      <c r="T267" s="103">
        <f t="shared" si="421"/>
        <v>0.49922104876648327</v>
      </c>
      <c r="U267" s="103">
        <f t="shared" si="421"/>
        <v>0.49481793789278189</v>
      </c>
      <c r="V267" s="103">
        <f t="shared" si="421"/>
        <v>0.4663998079098628</v>
      </c>
      <c r="W267" s="103">
        <f t="shared" ref="W267:Y267" si="422">IF(W49=0,0,W49/W$46)</f>
        <v>0.45317485513149991</v>
      </c>
      <c r="X267" s="103">
        <f t="shared" si="422"/>
        <v>0.45700821768729599</v>
      </c>
      <c r="Y267" s="103">
        <f t="shared" si="422"/>
        <v>0.46474401365989954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1.4438641898915253E-2</v>
      </c>
      <c r="C268" s="103">
        <f t="shared" si="423"/>
        <v>1.2635913065544381E-2</v>
      </c>
      <c r="D268" s="103">
        <f t="shared" si="423"/>
        <v>1.1396002967317317E-2</v>
      </c>
      <c r="E268" s="103">
        <f t="shared" si="423"/>
        <v>1.0141631108267855E-2</v>
      </c>
      <c r="F268" s="103">
        <f t="shared" si="423"/>
        <v>9.3197032813294289E-3</v>
      </c>
      <c r="G268" s="103">
        <f t="shared" si="423"/>
        <v>8.3178867102587702E-3</v>
      </c>
      <c r="H268" s="103">
        <f t="shared" si="423"/>
        <v>8.3432840262547461E-3</v>
      </c>
      <c r="I268" s="103">
        <f t="shared" si="423"/>
        <v>8.3549748406263873E-3</v>
      </c>
      <c r="J268" s="103">
        <f t="shared" si="423"/>
        <v>7.6197645433458954E-3</v>
      </c>
      <c r="K268" s="103">
        <f t="shared" si="423"/>
        <v>8.2301491741483754E-3</v>
      </c>
      <c r="L268" s="103">
        <f t="shared" ref="L268" si="424">IF(L50=0,0,L50/L$46)</f>
        <v>7.7147230118491013E-3</v>
      </c>
      <c r="M268" s="103">
        <f t="shared" ref="M268:V268" si="425">IF(M50=0,0,M50/M$46)</f>
        <v>7.7259330823139473E-3</v>
      </c>
      <c r="N268" s="103">
        <f t="shared" si="425"/>
        <v>8.6531642470961054E-3</v>
      </c>
      <c r="O268" s="103">
        <f t="shared" si="425"/>
        <v>8.6612760039470136E-3</v>
      </c>
      <c r="P268" s="103">
        <f t="shared" si="425"/>
        <v>8.8772337306853334E-3</v>
      </c>
      <c r="Q268" s="103">
        <f t="shared" si="425"/>
        <v>7.986618099069304E-3</v>
      </c>
      <c r="R268" s="103">
        <f t="shared" si="425"/>
        <v>9.4208742986257657E-3</v>
      </c>
      <c r="S268" s="103">
        <f t="shared" si="425"/>
        <v>9.0059631412855636E-3</v>
      </c>
      <c r="T268" s="103">
        <f t="shared" si="425"/>
        <v>8.8145605022773715E-3</v>
      </c>
      <c r="U268" s="103">
        <f t="shared" si="425"/>
        <v>7.9310756120986141E-3</v>
      </c>
      <c r="V268" s="103">
        <f t="shared" si="425"/>
        <v>6.8792163943912597E-3</v>
      </c>
      <c r="W268" s="103">
        <f t="shared" ref="W268:Y268" si="426">IF(W50=0,0,W50/W$46)</f>
        <v>5.890884762588343E-3</v>
      </c>
      <c r="X268" s="103">
        <f t="shared" si="426"/>
        <v>5.1531597391928684E-3</v>
      </c>
      <c r="Y268" s="103">
        <f t="shared" si="426"/>
        <v>4.3635959606854466E-3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0</v>
      </c>
      <c r="D269" s="103">
        <f t="shared" si="427"/>
        <v>0</v>
      </c>
      <c r="E269" s="103">
        <f t="shared" si="427"/>
        <v>0</v>
      </c>
      <c r="F269" s="103">
        <f t="shared" si="427"/>
        <v>0</v>
      </c>
      <c r="G269" s="103">
        <f t="shared" si="427"/>
        <v>0</v>
      </c>
      <c r="H269" s="103">
        <f t="shared" si="427"/>
        <v>0</v>
      </c>
      <c r="I269" s="103">
        <f t="shared" si="427"/>
        <v>0</v>
      </c>
      <c r="J269" s="103">
        <f t="shared" si="427"/>
        <v>0</v>
      </c>
      <c r="K269" s="103">
        <f t="shared" si="427"/>
        <v>0</v>
      </c>
      <c r="L269" s="103">
        <f t="shared" ref="L269" si="428">IF(L51=0,0,L51/L$46)</f>
        <v>0</v>
      </c>
      <c r="M269" s="103">
        <f t="shared" ref="M269:V269" si="429">IF(M51=0,0,M51/M$46)</f>
        <v>0</v>
      </c>
      <c r="N269" s="103">
        <f t="shared" si="429"/>
        <v>4.3613979170432302E-4</v>
      </c>
      <c r="O269" s="103">
        <f t="shared" si="429"/>
        <v>7.6974661198335112E-4</v>
      </c>
      <c r="P269" s="103">
        <f t="shared" si="429"/>
        <v>1.8298774739809814E-3</v>
      </c>
      <c r="Q269" s="103">
        <f t="shared" si="429"/>
        <v>4.4207929527192184E-3</v>
      </c>
      <c r="R269" s="103">
        <f t="shared" si="429"/>
        <v>7.3948988631858418E-3</v>
      </c>
      <c r="S269" s="103">
        <f t="shared" si="429"/>
        <v>1.0188659871326874E-2</v>
      </c>
      <c r="T269" s="103">
        <f t="shared" si="429"/>
        <v>1.2551126213958402E-2</v>
      </c>
      <c r="U269" s="103">
        <f t="shared" si="429"/>
        <v>1.4685876162383878E-2</v>
      </c>
      <c r="V269" s="103">
        <f t="shared" si="429"/>
        <v>1.44241014941657E-2</v>
      </c>
      <c r="W269" s="103">
        <f t="shared" ref="W269:Y269" si="430">IF(W51=0,0,W51/W$46)</f>
        <v>1.6356013014945107E-2</v>
      </c>
      <c r="X269" s="103">
        <f t="shared" si="430"/>
        <v>1.6169406995253498E-2</v>
      </c>
      <c r="Y269" s="103">
        <f t="shared" si="430"/>
        <v>1.4179125886925105E-2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0</v>
      </c>
      <c r="C270" s="103">
        <f t="shared" si="431"/>
        <v>0</v>
      </c>
      <c r="D270" s="103">
        <f t="shared" si="431"/>
        <v>0</v>
      </c>
      <c r="E270" s="103">
        <f t="shared" si="431"/>
        <v>0</v>
      </c>
      <c r="F270" s="103">
        <f t="shared" si="431"/>
        <v>0</v>
      </c>
      <c r="G270" s="103">
        <f t="shared" si="431"/>
        <v>0</v>
      </c>
      <c r="H270" s="103">
        <f t="shared" si="431"/>
        <v>0</v>
      </c>
      <c r="I270" s="103">
        <f t="shared" si="431"/>
        <v>0</v>
      </c>
      <c r="J270" s="103">
        <f t="shared" si="431"/>
        <v>4.2350250305616335E-5</v>
      </c>
      <c r="K270" s="103">
        <f t="shared" si="431"/>
        <v>4.6635728269714557E-5</v>
      </c>
      <c r="L270" s="103">
        <f t="shared" ref="L270" si="432">IF(L52=0,0,L52/L$46)</f>
        <v>4.9142591396154634E-5</v>
      </c>
      <c r="M270" s="103">
        <f t="shared" ref="M270:V270" si="433">IF(M52=0,0,M52/M$46)</f>
        <v>5.2631217151055788E-5</v>
      </c>
      <c r="N270" s="103">
        <f t="shared" si="433"/>
        <v>7.5359330637725242E-5</v>
      </c>
      <c r="O270" s="103">
        <f t="shared" si="433"/>
        <v>8.4227513801336823E-5</v>
      </c>
      <c r="P270" s="103">
        <f t="shared" si="433"/>
        <v>8.76735707711804E-5</v>
      </c>
      <c r="Q270" s="103">
        <f t="shared" si="433"/>
        <v>9.235066595513729E-5</v>
      </c>
      <c r="R270" s="103">
        <f t="shared" si="433"/>
        <v>1.1865076527053528E-4</v>
      </c>
      <c r="S270" s="103">
        <f t="shared" si="433"/>
        <v>1.3956510527760466E-4</v>
      </c>
      <c r="T270" s="103">
        <f t="shared" si="433"/>
        <v>1.9064923224524201E-4</v>
      </c>
      <c r="U270" s="103">
        <f t="shared" si="433"/>
        <v>3.0043714888349095E-4</v>
      </c>
      <c r="V270" s="103">
        <f t="shared" si="433"/>
        <v>3.615790774017546E-4</v>
      </c>
      <c r="W270" s="103">
        <f t="shared" ref="W270:Y270" si="434">IF(W52=0,0,W52/W$46)</f>
        <v>6.021121883413728E-4</v>
      </c>
      <c r="X270" s="103">
        <f t="shared" si="434"/>
        <v>7.0087190824223245E-4</v>
      </c>
      <c r="Y270" s="103">
        <f t="shared" si="434"/>
        <v>1.1066612227730195E-3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0.6224406676252292</v>
      </c>
      <c r="C271" s="156">
        <f t="shared" si="435"/>
        <v>0.61369790324497642</v>
      </c>
      <c r="D271" s="156">
        <f t="shared" si="435"/>
        <v>0.59836935146705483</v>
      </c>
      <c r="E271" s="156">
        <f t="shared" si="435"/>
        <v>0.58979968469602551</v>
      </c>
      <c r="F271" s="156">
        <f t="shared" si="435"/>
        <v>0.57769701025688169</v>
      </c>
      <c r="G271" s="156">
        <f t="shared" si="435"/>
        <v>0.56070190116166529</v>
      </c>
      <c r="H271" s="156">
        <f t="shared" si="435"/>
        <v>0.51919782310323148</v>
      </c>
      <c r="I271" s="156">
        <f t="shared" si="435"/>
        <v>0.48464196992940123</v>
      </c>
      <c r="J271" s="156">
        <f t="shared" si="435"/>
        <v>0.4273644578618917</v>
      </c>
      <c r="K271" s="156">
        <f t="shared" si="435"/>
        <v>0.38695370857695349</v>
      </c>
      <c r="L271" s="156">
        <f t="shared" ref="L271" si="436">IF(L53=0,0,L53/L$46)</f>
        <v>0.37642902645881499</v>
      </c>
      <c r="M271" s="156">
        <f t="shared" ref="M271:V271" si="437">IF(M53=0,0,M53/M$46)</f>
        <v>0.37568070454653046</v>
      </c>
      <c r="N271" s="156">
        <f t="shared" si="437"/>
        <v>0.36502020963368809</v>
      </c>
      <c r="O271" s="156">
        <f t="shared" si="437"/>
        <v>0.37055108855424046</v>
      </c>
      <c r="P271" s="156">
        <f t="shared" si="437"/>
        <v>0.35670311301755975</v>
      </c>
      <c r="Q271" s="156">
        <f t="shared" si="437"/>
        <v>0.36881164502073521</v>
      </c>
      <c r="R271" s="156">
        <f t="shared" si="437"/>
        <v>0.40924879954543003</v>
      </c>
      <c r="S271" s="156">
        <f t="shared" si="437"/>
        <v>0.41248922744745259</v>
      </c>
      <c r="T271" s="156">
        <f t="shared" si="437"/>
        <v>0.41072936147955169</v>
      </c>
      <c r="U271" s="156">
        <f t="shared" si="437"/>
        <v>0.41438541473206009</v>
      </c>
      <c r="V271" s="156">
        <f t="shared" si="437"/>
        <v>0.44653530700022281</v>
      </c>
      <c r="W271" s="156">
        <f t="shared" ref="W271:Y271" si="438">IF(W53=0,0,W53/W$46)</f>
        <v>0.46131645540597271</v>
      </c>
      <c r="X271" s="156">
        <f t="shared" si="438"/>
        <v>0.45820248542409592</v>
      </c>
      <c r="Y271" s="156">
        <f t="shared" si="438"/>
        <v>0.45235510223783681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0.39496955206241391</v>
      </c>
      <c r="C272" s="104">
        <f t="shared" si="439"/>
        <v>0.4007651173594281</v>
      </c>
      <c r="D272" s="104">
        <f t="shared" si="439"/>
        <v>0.40185119721923257</v>
      </c>
      <c r="E272" s="104">
        <f t="shared" si="439"/>
        <v>0.41454330388604854</v>
      </c>
      <c r="F272" s="104">
        <f t="shared" si="439"/>
        <v>0.39585192013529646</v>
      </c>
      <c r="G272" s="104">
        <f t="shared" si="439"/>
        <v>0.39798254786850124</v>
      </c>
      <c r="H272" s="104">
        <f t="shared" si="439"/>
        <v>0.3597505804628191</v>
      </c>
      <c r="I272" s="104">
        <f t="shared" si="439"/>
        <v>0.33123769639629513</v>
      </c>
      <c r="J272" s="104">
        <f t="shared" si="439"/>
        <v>0.29385875644099368</v>
      </c>
      <c r="K272" s="104">
        <f t="shared" si="439"/>
        <v>0.25485946916282815</v>
      </c>
      <c r="L272" s="104">
        <f t="shared" ref="L272" si="440">IF(L54=0,0,L54/L$46)</f>
        <v>0.24195854367750746</v>
      </c>
      <c r="M272" s="104">
        <f t="shared" ref="M272:V272" si="441">IF(M54=0,0,M54/M$46)</f>
        <v>0.23571632495023631</v>
      </c>
      <c r="N272" s="104">
        <f t="shared" si="441"/>
        <v>0.22528718464444664</v>
      </c>
      <c r="O272" s="104">
        <f t="shared" si="441"/>
        <v>0.22329953779876527</v>
      </c>
      <c r="P272" s="104">
        <f t="shared" si="441"/>
        <v>0.22125083746984656</v>
      </c>
      <c r="Q272" s="104">
        <f t="shared" si="441"/>
        <v>0.23816203642772046</v>
      </c>
      <c r="R272" s="104">
        <f t="shared" si="441"/>
        <v>0.26867805634391839</v>
      </c>
      <c r="S272" s="104">
        <f t="shared" si="441"/>
        <v>0.27525292268401658</v>
      </c>
      <c r="T272" s="104">
        <f t="shared" si="441"/>
        <v>0.28404476215906083</v>
      </c>
      <c r="U272" s="104">
        <f t="shared" si="441"/>
        <v>0.28387141742539118</v>
      </c>
      <c r="V272" s="104">
        <f t="shared" si="441"/>
        <v>0.30037601833747302</v>
      </c>
      <c r="W272" s="104">
        <f t="shared" ref="W272:Y272" si="442">IF(W54=0,0,W54/W$46)</f>
        <v>0.31292601021764038</v>
      </c>
      <c r="X272" s="104">
        <f t="shared" si="442"/>
        <v>0.30100345015398761</v>
      </c>
      <c r="Y272" s="104">
        <f t="shared" si="442"/>
        <v>0.300943722452165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0.22747111556281538</v>
      </c>
      <c r="C273" s="105">
        <f t="shared" si="443"/>
        <v>0.21293278588554834</v>
      </c>
      <c r="D273" s="105">
        <f t="shared" si="443"/>
        <v>0.19651815424782229</v>
      </c>
      <c r="E273" s="105">
        <f t="shared" si="443"/>
        <v>0.17525638080997699</v>
      </c>
      <c r="F273" s="105">
        <f t="shared" si="443"/>
        <v>0.18184509012158523</v>
      </c>
      <c r="G273" s="105">
        <f t="shared" si="443"/>
        <v>0.16271935329316409</v>
      </c>
      <c r="H273" s="105">
        <f t="shared" si="443"/>
        <v>0.15944724264041232</v>
      </c>
      <c r="I273" s="105">
        <f t="shared" si="443"/>
        <v>0.15340427353310618</v>
      </c>
      <c r="J273" s="105">
        <f t="shared" si="443"/>
        <v>0.13350570142089802</v>
      </c>
      <c r="K273" s="105">
        <f t="shared" si="443"/>
        <v>0.13209423941412538</v>
      </c>
      <c r="L273" s="105">
        <f t="shared" ref="L273" si="444">IF(L55=0,0,L55/L$46)</f>
        <v>0.13447048278130752</v>
      </c>
      <c r="M273" s="105">
        <f t="shared" ref="M273:V273" si="445">IF(M55=0,0,M55/M$46)</f>
        <v>0.13996437959629418</v>
      </c>
      <c r="N273" s="105">
        <f t="shared" si="445"/>
        <v>0.13973302498924148</v>
      </c>
      <c r="O273" s="105">
        <f t="shared" si="445"/>
        <v>0.14725155075547514</v>
      </c>
      <c r="P273" s="105">
        <f t="shared" si="445"/>
        <v>0.13545227554771319</v>
      </c>
      <c r="Q273" s="105">
        <f t="shared" si="445"/>
        <v>0.1306496085930148</v>
      </c>
      <c r="R273" s="105">
        <f t="shared" si="445"/>
        <v>0.14057074320151172</v>
      </c>
      <c r="S273" s="105">
        <f t="shared" si="445"/>
        <v>0.13723630476343601</v>
      </c>
      <c r="T273" s="105">
        <f t="shared" si="445"/>
        <v>0.12668459932049092</v>
      </c>
      <c r="U273" s="105">
        <f t="shared" si="445"/>
        <v>0.13051399730666888</v>
      </c>
      <c r="V273" s="105">
        <f t="shared" si="445"/>
        <v>0.14615928866274983</v>
      </c>
      <c r="W273" s="105">
        <f t="shared" ref="W273:Y273" si="446">IF(W55=0,0,W55/W$46)</f>
        <v>0.14839044518833228</v>
      </c>
      <c r="X273" s="105">
        <f t="shared" si="446"/>
        <v>0.15719903527010831</v>
      </c>
      <c r="Y273" s="105">
        <f t="shared" si="446"/>
        <v>0.15141137978567182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3840.3605429720192</v>
      </c>
      <c r="C4" s="145">
        <f t="shared" si="0"/>
        <v>4063.6664177957341</v>
      </c>
      <c r="D4" s="145">
        <f t="shared" si="0"/>
        <v>4276.8713451302074</v>
      </c>
      <c r="E4" s="145">
        <f t="shared" si="0"/>
        <v>4848.0427717753055</v>
      </c>
      <c r="F4" s="145">
        <f t="shared" si="0"/>
        <v>5059.819030276306</v>
      </c>
      <c r="G4" s="145">
        <f t="shared" si="0"/>
        <v>5445.4953515507823</v>
      </c>
      <c r="H4" s="145">
        <f t="shared" si="0"/>
        <v>5665.480973914322</v>
      </c>
      <c r="I4" s="145">
        <f t="shared" si="0"/>
        <v>5956.3056234482419</v>
      </c>
      <c r="J4" s="145">
        <f t="shared" si="0"/>
        <v>5963.8360271815336</v>
      </c>
      <c r="K4" s="145">
        <f t="shared" si="0"/>
        <v>5887.8329576260921</v>
      </c>
      <c r="L4" s="145">
        <f t="shared" ref="L4" si="1">L5+L9+L10+L15</f>
        <v>5591.1793971540174</v>
      </c>
      <c r="M4" s="145">
        <f t="shared" ref="M4:V4" si="2">M5+M9+M10+M15</f>
        <v>5603.9188835740633</v>
      </c>
      <c r="N4" s="145">
        <f t="shared" si="2"/>
        <v>5504.5837993471705</v>
      </c>
      <c r="O4" s="145">
        <f t="shared" si="2"/>
        <v>5461.9879540994179</v>
      </c>
      <c r="P4" s="145">
        <f t="shared" si="2"/>
        <v>5676.9940210606119</v>
      </c>
      <c r="Q4" s="145">
        <f t="shared" si="2"/>
        <v>5907.3750791700786</v>
      </c>
      <c r="R4" s="145">
        <f t="shared" si="2"/>
        <v>6147.5850039581273</v>
      </c>
      <c r="S4" s="145">
        <f t="shared" si="2"/>
        <v>6320.8459051717009</v>
      </c>
      <c r="T4" s="145">
        <f t="shared" si="2"/>
        <v>6380.5938944780528</v>
      </c>
      <c r="U4" s="145">
        <f t="shared" si="2"/>
        <v>6479.2450084515658</v>
      </c>
      <c r="V4" s="145">
        <f t="shared" si="2"/>
        <v>6086.9743700195668</v>
      </c>
      <c r="W4" s="145">
        <f t="shared" ref="W4:Y4" si="3">W5+W9+W10+W15</f>
        <v>6507.7904813319956</v>
      </c>
      <c r="X4" s="145">
        <f t="shared" si="3"/>
        <v>6648.6692091028763</v>
      </c>
      <c r="Y4" s="145">
        <f t="shared" si="3"/>
        <v>6801.8053975182274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3764.8903697334481</v>
      </c>
      <c r="C5" s="97">
        <f t="shared" si="4"/>
        <v>4003.1548581255383</v>
      </c>
      <c r="D5" s="97">
        <f t="shared" si="4"/>
        <v>4196.3213241616495</v>
      </c>
      <c r="E5" s="97">
        <f t="shared" si="4"/>
        <v>4769.3858125537408</v>
      </c>
      <c r="F5" s="97">
        <f t="shared" si="4"/>
        <v>5007.8932072226999</v>
      </c>
      <c r="G5" s="97">
        <f t="shared" si="4"/>
        <v>5424.4076526225272</v>
      </c>
      <c r="H5" s="97">
        <f t="shared" si="4"/>
        <v>5625.6619948409279</v>
      </c>
      <c r="I5" s="97">
        <f t="shared" si="4"/>
        <v>5911.9177987962175</v>
      </c>
      <c r="J5" s="97">
        <f t="shared" si="4"/>
        <v>5838.777128116938</v>
      </c>
      <c r="K5" s="97">
        <f t="shared" si="4"/>
        <v>5676.8755803955282</v>
      </c>
      <c r="L5" s="97">
        <f t="shared" ref="L5" si="5">SUM(L6:L8)</f>
        <v>5341.7147033533965</v>
      </c>
      <c r="M5" s="97">
        <f t="shared" ref="M5:V5" si="6">SUM(M6:M8)</f>
        <v>5284.0450558899392</v>
      </c>
      <c r="N5" s="97">
        <f t="shared" si="6"/>
        <v>5207.3089423903693</v>
      </c>
      <c r="O5" s="97">
        <f t="shared" si="6"/>
        <v>5162.0134135855551</v>
      </c>
      <c r="P5" s="97">
        <f t="shared" si="6"/>
        <v>5326.2136715391225</v>
      </c>
      <c r="Q5" s="97">
        <f t="shared" si="6"/>
        <v>5565.4373172828891</v>
      </c>
      <c r="R5" s="97">
        <f t="shared" si="6"/>
        <v>5794.269733447979</v>
      </c>
      <c r="S5" s="97">
        <f t="shared" si="6"/>
        <v>5947.579535683577</v>
      </c>
      <c r="T5" s="97">
        <f t="shared" si="6"/>
        <v>6005.7184866723983</v>
      </c>
      <c r="U5" s="97">
        <f t="shared" si="6"/>
        <v>6057.3066208082546</v>
      </c>
      <c r="V5" s="97">
        <f t="shared" si="6"/>
        <v>5632.7147893379188</v>
      </c>
      <c r="W5" s="97">
        <f t="shared" ref="W5:Y5" si="7">SUM(W6:W8)</f>
        <v>6077.6096302665519</v>
      </c>
      <c r="X5" s="97">
        <f t="shared" si="7"/>
        <v>6242.1971625107481</v>
      </c>
      <c r="Y5" s="97">
        <f t="shared" si="7"/>
        <v>6409.1667239896815</v>
      </c>
      <c r="DA5" s="175"/>
    </row>
    <row r="6" spans="1:105" ht="11.45" customHeight="1" x14ac:dyDescent="0.25">
      <c r="A6" s="128" t="s">
        <v>52</v>
      </c>
      <c r="B6" s="97">
        <v>68.118830610490107</v>
      </c>
      <c r="C6" s="97">
        <v>66.691143594153047</v>
      </c>
      <c r="D6" s="97">
        <v>67.778761822871886</v>
      </c>
      <c r="E6" s="97">
        <v>68.881255374032676</v>
      </c>
      <c r="F6" s="97">
        <v>72.010060189165941</v>
      </c>
      <c r="G6" s="97">
        <v>74.127944969905414</v>
      </c>
      <c r="H6" s="97">
        <v>78.766981943250201</v>
      </c>
      <c r="I6" s="97">
        <v>84.236887360275148</v>
      </c>
      <c r="J6" s="97">
        <v>81.647721410146161</v>
      </c>
      <c r="K6" s="97">
        <v>83.724075666380045</v>
      </c>
      <c r="L6" s="97">
        <v>80.593637145313835</v>
      </c>
      <c r="M6" s="97">
        <v>81.625365434221834</v>
      </c>
      <c r="N6" s="97">
        <v>89.968443680137582</v>
      </c>
      <c r="O6" s="97">
        <v>93.10687876182287</v>
      </c>
      <c r="P6" s="97">
        <v>102.5221840068788</v>
      </c>
      <c r="Q6" s="97">
        <v>103.56835769561479</v>
      </c>
      <c r="R6" s="97">
        <v>103.56835769561479</v>
      </c>
      <c r="S6" s="97">
        <v>100.42992261392951</v>
      </c>
      <c r="T6" s="97">
        <v>96.245313843508171</v>
      </c>
      <c r="U6" s="97">
        <v>92.06079105760962</v>
      </c>
      <c r="V6" s="97">
        <v>77.414703353396376</v>
      </c>
      <c r="W6" s="97">
        <v>78.46087704213241</v>
      </c>
      <c r="X6" s="97">
        <v>88.922355975924319</v>
      </c>
      <c r="Y6" s="97">
        <v>93.10687876182287</v>
      </c>
      <c r="DA6" s="175" t="s">
        <v>630</v>
      </c>
    </row>
    <row r="7" spans="1:105" ht="11.45" customHeight="1" x14ac:dyDescent="0.25">
      <c r="A7" s="128" t="s">
        <v>53</v>
      </c>
      <c r="B7" s="97">
        <v>1921.548667239897</v>
      </c>
      <c r="C7" s="97">
        <v>1966.01943250215</v>
      </c>
      <c r="D7" s="97">
        <v>1991.874462596732</v>
      </c>
      <c r="E7" s="97">
        <v>2171.8257093723132</v>
      </c>
      <c r="F7" s="97">
        <v>2163.552106620808</v>
      </c>
      <c r="G7" s="97">
        <v>2125.2865864144451</v>
      </c>
      <c r="H7" s="97">
        <v>2103.567669819432</v>
      </c>
      <c r="I7" s="97">
        <v>2194.812295786759</v>
      </c>
      <c r="J7" s="97">
        <v>2110.9062768701629</v>
      </c>
      <c r="K7" s="97">
        <v>2056.9826311263969</v>
      </c>
      <c r="L7" s="97">
        <v>1867.953568357696</v>
      </c>
      <c r="M7" s="97">
        <v>1795.89845227859</v>
      </c>
      <c r="N7" s="97">
        <v>1673.969733447979</v>
      </c>
      <c r="O7" s="97">
        <v>1573.908598452279</v>
      </c>
      <c r="P7" s="97">
        <v>1557.93551160791</v>
      </c>
      <c r="Q7" s="97">
        <v>1570.4544282029231</v>
      </c>
      <c r="R7" s="97">
        <v>1617.4404127257089</v>
      </c>
      <c r="S7" s="97">
        <v>1600.2579535683581</v>
      </c>
      <c r="T7" s="97">
        <v>1601.4112639724849</v>
      </c>
      <c r="U7" s="97">
        <v>1601.6239036973341</v>
      </c>
      <c r="V7" s="97">
        <v>1455.950816852966</v>
      </c>
      <c r="W7" s="97">
        <v>1514.9761822871881</v>
      </c>
      <c r="X7" s="97">
        <v>1582.9203783319001</v>
      </c>
      <c r="Y7" s="97">
        <v>1679.9449699054171</v>
      </c>
      <c r="DA7" s="175" t="s">
        <v>631</v>
      </c>
    </row>
    <row r="8" spans="1:105" ht="11.45" customHeight="1" x14ac:dyDescent="0.25">
      <c r="A8" s="128" t="s">
        <v>54</v>
      </c>
      <c r="B8" s="97">
        <v>1775.2228718830611</v>
      </c>
      <c r="C8" s="97">
        <v>1970.444282029235</v>
      </c>
      <c r="D8" s="97">
        <v>2136.6680997420458</v>
      </c>
      <c r="E8" s="97">
        <v>2528.678847807395</v>
      </c>
      <c r="F8" s="97">
        <v>2772.331040412726</v>
      </c>
      <c r="G8" s="97">
        <v>3224.9931212381771</v>
      </c>
      <c r="H8" s="97">
        <v>3443.327343078246</v>
      </c>
      <c r="I8" s="97">
        <v>3632.8686156491831</v>
      </c>
      <c r="J8" s="97">
        <v>3646.2231298366291</v>
      </c>
      <c r="K8" s="97">
        <v>3536.1688736027509</v>
      </c>
      <c r="L8" s="97">
        <v>3393.167497850387</v>
      </c>
      <c r="M8" s="97">
        <v>3406.521238177128</v>
      </c>
      <c r="N8" s="97">
        <v>3443.3707652622529</v>
      </c>
      <c r="O8" s="97">
        <v>3494.9979363714529</v>
      </c>
      <c r="P8" s="97">
        <v>3665.7559759243331</v>
      </c>
      <c r="Q8" s="97">
        <v>3891.414531384351</v>
      </c>
      <c r="R8" s="97">
        <v>4073.2609630266552</v>
      </c>
      <c r="S8" s="97">
        <v>4246.8916595012897</v>
      </c>
      <c r="T8" s="97">
        <v>4308.0619088564054</v>
      </c>
      <c r="U8" s="97">
        <v>4363.6219260533107</v>
      </c>
      <c r="V8" s="97">
        <v>4099.349269131556</v>
      </c>
      <c r="W8" s="97">
        <v>4484.1725709372313</v>
      </c>
      <c r="X8" s="97">
        <v>4570.3544282029234</v>
      </c>
      <c r="Y8" s="97">
        <v>4636.1148753224415</v>
      </c>
      <c r="DA8" s="175" t="s">
        <v>632</v>
      </c>
    </row>
    <row r="9" spans="1:105" ht="11.45" customHeight="1" x14ac:dyDescent="0.25">
      <c r="A9" s="92" t="s">
        <v>55</v>
      </c>
      <c r="B9" s="97">
        <v>4.062768701633706</v>
      </c>
      <c r="C9" s="97">
        <v>4.901117798796216</v>
      </c>
      <c r="D9" s="97">
        <v>6.5348237317282889</v>
      </c>
      <c r="E9" s="97">
        <v>7.308684436801375</v>
      </c>
      <c r="F9" s="97">
        <v>10.576096302665521</v>
      </c>
      <c r="G9" s="97">
        <v>8.9853826311263969</v>
      </c>
      <c r="H9" s="97">
        <v>12.08082545141874</v>
      </c>
      <c r="I9" s="97">
        <v>4.7291487532244192</v>
      </c>
      <c r="J9" s="97">
        <v>5.5245055889939811</v>
      </c>
      <c r="K9" s="97">
        <v>6.6423043852106618</v>
      </c>
      <c r="L9" s="97">
        <v>8.6414445399828033</v>
      </c>
      <c r="M9" s="97">
        <v>10.2536543422184</v>
      </c>
      <c r="N9" s="97">
        <v>12.46775580395529</v>
      </c>
      <c r="O9" s="97">
        <v>13.585554600171969</v>
      </c>
      <c r="P9" s="97">
        <v>24.634565778159931</v>
      </c>
      <c r="Q9" s="97">
        <v>35.834049871023211</v>
      </c>
      <c r="R9" s="97">
        <v>49.032846087704208</v>
      </c>
      <c r="S9" s="97">
        <v>55.782459157351667</v>
      </c>
      <c r="T9" s="97">
        <v>60.770851246775578</v>
      </c>
      <c r="U9" s="97">
        <v>75.39054170249355</v>
      </c>
      <c r="V9" s="97">
        <v>76.65159336310181</v>
      </c>
      <c r="W9" s="97">
        <v>81.797486318979267</v>
      </c>
      <c r="X9" s="97">
        <v>75.79335307078513</v>
      </c>
      <c r="Y9" s="97">
        <v>77.022669871925302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61.861049011177982</v>
      </c>
      <c r="C10" s="97">
        <f t="shared" ref="C10:W10" si="8">SUM(C11:C13)</f>
        <v>45.953912295786751</v>
      </c>
      <c r="D10" s="97">
        <f t="shared" si="8"/>
        <v>64.512295786758386</v>
      </c>
      <c r="E10" s="97">
        <f t="shared" si="8"/>
        <v>61.861049011177982</v>
      </c>
      <c r="F10" s="97">
        <f t="shared" si="8"/>
        <v>31.81427343078246</v>
      </c>
      <c r="G10" s="97">
        <f t="shared" si="8"/>
        <v>2.6511607910576092</v>
      </c>
      <c r="H10" s="97">
        <f t="shared" si="8"/>
        <v>18.080653482373169</v>
      </c>
      <c r="I10" s="97">
        <f t="shared" si="8"/>
        <v>30.046775580395529</v>
      </c>
      <c r="J10" s="97">
        <f t="shared" si="8"/>
        <v>109.94075666380053</v>
      </c>
      <c r="K10" s="97">
        <f t="shared" si="8"/>
        <v>194.77884780739464</v>
      </c>
      <c r="L10" s="97">
        <f t="shared" si="8"/>
        <v>231.25055889939813</v>
      </c>
      <c r="M10" s="97">
        <f t="shared" si="8"/>
        <v>300.10988822012041</v>
      </c>
      <c r="N10" s="97">
        <f t="shared" si="8"/>
        <v>275.26990541702492</v>
      </c>
      <c r="O10" s="97">
        <f t="shared" si="8"/>
        <v>277.10902837489243</v>
      </c>
      <c r="P10" s="97">
        <f t="shared" si="8"/>
        <v>316.75743766122093</v>
      </c>
      <c r="Q10" s="97">
        <f t="shared" si="8"/>
        <v>296.50326741186586</v>
      </c>
      <c r="R10" s="97">
        <f t="shared" si="8"/>
        <v>294.04316423043855</v>
      </c>
      <c r="S10" s="97">
        <f t="shared" si="8"/>
        <v>307.65743766122102</v>
      </c>
      <c r="T10" s="97">
        <f t="shared" si="8"/>
        <v>303.40593293207218</v>
      </c>
      <c r="U10" s="97">
        <f t="shared" si="8"/>
        <v>335.98452278589843</v>
      </c>
      <c r="V10" s="97">
        <f t="shared" si="8"/>
        <v>368.02011772890165</v>
      </c>
      <c r="W10" s="97">
        <f t="shared" si="8"/>
        <v>337.37964179795972</v>
      </c>
      <c r="X10" s="97">
        <f t="shared" ref="X10:Y10" si="9">SUM(X11:X13)</f>
        <v>317.72521958613663</v>
      </c>
      <c r="Y10" s="97">
        <f t="shared" si="9"/>
        <v>300.39401112549513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6.3602052558825069E-3</v>
      </c>
      <c r="W11" s="97">
        <v>9.8223654575226357E-3</v>
      </c>
      <c r="X11" s="97">
        <v>1.2407892241506851E-2</v>
      </c>
      <c r="Y11" s="97">
        <v>0.11696899307897995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1.2897678417884779</v>
      </c>
      <c r="I12" s="97">
        <v>0</v>
      </c>
      <c r="J12" s="97">
        <v>34.823731728288912</v>
      </c>
      <c r="K12" s="97">
        <v>58.684436801375753</v>
      </c>
      <c r="L12" s="97">
        <v>58.039552880481509</v>
      </c>
      <c r="M12" s="97">
        <v>60.619088564058472</v>
      </c>
      <c r="N12" s="97">
        <v>56.104901117798789</v>
      </c>
      <c r="O12" s="97">
        <v>53.52536543422184</v>
      </c>
      <c r="P12" s="97">
        <v>65.778159931212372</v>
      </c>
      <c r="Q12" s="97">
        <v>63.198624247635422</v>
      </c>
      <c r="R12" s="97">
        <v>48.366294067067933</v>
      </c>
      <c r="S12" s="97">
        <v>59.329320722269991</v>
      </c>
      <c r="T12" s="97">
        <v>61.263972484952703</v>
      </c>
      <c r="U12" s="97">
        <v>73.516766981943249</v>
      </c>
      <c r="V12" s="97">
        <v>65.778159931212372</v>
      </c>
      <c r="W12" s="97">
        <v>55.460017196904552</v>
      </c>
      <c r="X12" s="97">
        <v>63.198624247635422</v>
      </c>
      <c r="Y12" s="97">
        <v>62.553740326741178</v>
      </c>
      <c r="DA12" s="175" t="s">
        <v>635</v>
      </c>
    </row>
    <row r="13" spans="1:105" ht="11.45" customHeight="1" x14ac:dyDescent="0.25">
      <c r="A13" s="128" t="s">
        <v>177</v>
      </c>
      <c r="B13" s="97">
        <v>61.861049011177982</v>
      </c>
      <c r="C13" s="97">
        <v>45.953912295786751</v>
      </c>
      <c r="D13" s="97">
        <v>64.512295786758386</v>
      </c>
      <c r="E13" s="97">
        <v>61.861049011177982</v>
      </c>
      <c r="F13" s="97">
        <v>31.81427343078246</v>
      </c>
      <c r="G13" s="97">
        <v>2.6511607910576092</v>
      </c>
      <c r="H13" s="97">
        <v>16.79088564058469</v>
      </c>
      <c r="I13" s="97">
        <v>30.046775580395529</v>
      </c>
      <c r="J13" s="97">
        <v>75.117024935511608</v>
      </c>
      <c r="K13" s="97">
        <v>136.0944110060189</v>
      </c>
      <c r="L13" s="97">
        <v>173.21100601891661</v>
      </c>
      <c r="M13" s="97">
        <v>239.49079965606191</v>
      </c>
      <c r="N13" s="97">
        <v>219.1650042992261</v>
      </c>
      <c r="O13" s="97">
        <v>223.58366294067059</v>
      </c>
      <c r="P13" s="97">
        <v>250.97927773000859</v>
      </c>
      <c r="Q13" s="97">
        <v>233.30464316423041</v>
      </c>
      <c r="R13" s="97">
        <v>245.67687016337061</v>
      </c>
      <c r="S13" s="97">
        <v>248.32811693895101</v>
      </c>
      <c r="T13" s="97">
        <v>242.14196044711949</v>
      </c>
      <c r="U13" s="97">
        <v>262.46775580395519</v>
      </c>
      <c r="V13" s="97">
        <v>302.23559759243341</v>
      </c>
      <c r="W13" s="97">
        <v>281.90980223559762</v>
      </c>
      <c r="X13" s="97">
        <v>254.51418744625971</v>
      </c>
      <c r="Y13" s="97">
        <v>237.72330180567499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9.5463555257597505</v>
      </c>
      <c r="C15" s="98">
        <v>9.6565295756124865</v>
      </c>
      <c r="D15" s="98">
        <v>9.5029014500716862</v>
      </c>
      <c r="E15" s="98">
        <v>9.4872257735849352</v>
      </c>
      <c r="F15" s="98">
        <v>9.5354533201580587</v>
      </c>
      <c r="G15" s="98">
        <v>9.4511555060704033</v>
      </c>
      <c r="H15" s="98">
        <v>9.6575001396026785</v>
      </c>
      <c r="I15" s="98">
        <v>9.6119003184040928</v>
      </c>
      <c r="J15" s="98">
        <v>9.5936368118018756</v>
      </c>
      <c r="K15" s="98">
        <v>9.5362250379586069</v>
      </c>
      <c r="L15" s="98">
        <v>9.5726903612390863</v>
      </c>
      <c r="M15" s="98">
        <v>9.5102851217849906</v>
      </c>
      <c r="N15" s="98">
        <v>9.5371957358199619</v>
      </c>
      <c r="O15" s="98">
        <v>9.2799575387978912</v>
      </c>
      <c r="P15" s="98">
        <v>9.3883460821075566</v>
      </c>
      <c r="Q15" s="98">
        <v>9.6004446043006784</v>
      </c>
      <c r="R15" s="98">
        <v>10.239260192005764</v>
      </c>
      <c r="S15" s="98">
        <v>9.8264726695519045</v>
      </c>
      <c r="T15" s="98">
        <v>10.698623626806414</v>
      </c>
      <c r="U15" s="98">
        <v>10.563323154919212</v>
      </c>
      <c r="V15" s="98">
        <v>9.5878695896444697</v>
      </c>
      <c r="W15" s="98">
        <v>11.003722948505182</v>
      </c>
      <c r="X15" s="98">
        <v>12.953473935206533</v>
      </c>
      <c r="Y15" s="98">
        <v>15.221992531125991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3840.3605429720201</v>
      </c>
      <c r="C17" s="79">
        <f t="shared" si="10"/>
        <v>4063.6664177957337</v>
      </c>
      <c r="D17" s="79">
        <f t="shared" si="10"/>
        <v>4276.8713451302083</v>
      </c>
      <c r="E17" s="79">
        <f t="shared" si="10"/>
        <v>4848.0427717753046</v>
      </c>
      <c r="F17" s="79">
        <f t="shared" si="10"/>
        <v>5059.819030276306</v>
      </c>
      <c r="G17" s="79">
        <f t="shared" si="10"/>
        <v>5445.4953515507823</v>
      </c>
      <c r="H17" s="79">
        <f t="shared" si="10"/>
        <v>5665.4809739143229</v>
      </c>
      <c r="I17" s="79">
        <f t="shared" si="10"/>
        <v>5956.305623448241</v>
      </c>
      <c r="J17" s="79">
        <f t="shared" si="10"/>
        <v>5963.8360271815345</v>
      </c>
      <c r="K17" s="79">
        <f t="shared" si="10"/>
        <v>5887.8329576260912</v>
      </c>
      <c r="L17" s="79">
        <f t="shared" ref="L17" si="11">L18+L42</f>
        <v>5591.1793971540174</v>
      </c>
      <c r="M17" s="79">
        <f t="shared" ref="M17:V17" si="12">M18+M42</f>
        <v>5603.9188835740642</v>
      </c>
      <c r="N17" s="79">
        <f t="shared" si="12"/>
        <v>5504.5837993471696</v>
      </c>
      <c r="O17" s="79">
        <f t="shared" si="12"/>
        <v>5461.987954099417</v>
      </c>
      <c r="P17" s="79">
        <f t="shared" si="12"/>
        <v>5676.994021060611</v>
      </c>
      <c r="Q17" s="79">
        <f t="shared" si="12"/>
        <v>5907.3750791700786</v>
      </c>
      <c r="R17" s="79">
        <f t="shared" si="12"/>
        <v>6147.5850039581273</v>
      </c>
      <c r="S17" s="79">
        <f t="shared" si="12"/>
        <v>6320.8459051717018</v>
      </c>
      <c r="T17" s="79">
        <f t="shared" si="12"/>
        <v>6380.5938944780528</v>
      </c>
      <c r="U17" s="79">
        <f t="shared" si="12"/>
        <v>6479.2450084515658</v>
      </c>
      <c r="V17" s="79">
        <f t="shared" si="12"/>
        <v>6086.9743700195668</v>
      </c>
      <c r="W17" s="79">
        <f t="shared" ref="W17:Y17" si="13">W18+W42</f>
        <v>6507.7904813319965</v>
      </c>
      <c r="X17" s="79">
        <f t="shared" si="13"/>
        <v>6648.6692091028763</v>
      </c>
      <c r="Y17" s="79">
        <f t="shared" si="13"/>
        <v>6801.8053975182283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2823.1533350121504</v>
      </c>
      <c r="C18" s="32">
        <f t="shared" si="14"/>
        <v>2954.6710012402104</v>
      </c>
      <c r="D18" s="32">
        <f t="shared" si="14"/>
        <v>3050.854420120078</v>
      </c>
      <c r="E18" s="32">
        <f t="shared" si="14"/>
        <v>3375.7502159384467</v>
      </c>
      <c r="F18" s="32">
        <f t="shared" si="14"/>
        <v>3433.0514112590618</v>
      </c>
      <c r="G18" s="32">
        <f t="shared" si="14"/>
        <v>3545.6734425701275</v>
      </c>
      <c r="H18" s="32">
        <f t="shared" si="14"/>
        <v>3613.7860100654293</v>
      </c>
      <c r="I18" s="32">
        <f t="shared" si="14"/>
        <v>3743.5117807301144</v>
      </c>
      <c r="J18" s="32">
        <f t="shared" si="14"/>
        <v>3750.5858031958801</v>
      </c>
      <c r="K18" s="32">
        <f t="shared" si="14"/>
        <v>3806.3341243424775</v>
      </c>
      <c r="L18" s="32">
        <f t="shared" ref="L18" si="15">L19+L21+L33</f>
        <v>3612.2576212698309</v>
      </c>
      <c r="M18" s="32">
        <f t="shared" ref="M18:V18" si="16">M19+M21+M33</f>
        <v>3625.582658303309</v>
      </c>
      <c r="N18" s="32">
        <f t="shared" si="16"/>
        <v>3557.1625191476692</v>
      </c>
      <c r="O18" s="32">
        <f t="shared" si="16"/>
        <v>3561.4850178951001</v>
      </c>
      <c r="P18" s="32">
        <f t="shared" si="16"/>
        <v>3632.0579245829877</v>
      </c>
      <c r="Q18" s="32">
        <f t="shared" si="16"/>
        <v>3671.239319886271</v>
      </c>
      <c r="R18" s="32">
        <f t="shared" si="16"/>
        <v>3866.6760052063892</v>
      </c>
      <c r="S18" s="32">
        <f t="shared" si="16"/>
        <v>3979.0410243909282</v>
      </c>
      <c r="T18" s="32">
        <f t="shared" si="16"/>
        <v>4041.416098898273</v>
      </c>
      <c r="U18" s="32">
        <f t="shared" si="16"/>
        <v>4146.8893848756661</v>
      </c>
      <c r="V18" s="32">
        <f t="shared" si="16"/>
        <v>3870.5874638451869</v>
      </c>
      <c r="W18" s="32">
        <f t="shared" ref="W18:Y18" si="17">W19+W21+W33</f>
        <v>4034.704811540732</v>
      </c>
      <c r="X18" s="32">
        <f t="shared" si="17"/>
        <v>4158.3753555820476</v>
      </c>
      <c r="Y18" s="32">
        <f t="shared" si="17"/>
        <v>4281.0216926575804</v>
      </c>
      <c r="DA18" s="173" t="s">
        <v>391</v>
      </c>
    </row>
    <row r="19" spans="1:105" ht="11.45" customHeight="1" x14ac:dyDescent="0.25">
      <c r="A19" s="107" t="s">
        <v>174</v>
      </c>
      <c r="B19" s="129">
        <v>56.836059025221132</v>
      </c>
      <c r="C19" s="129">
        <v>54.014765340419551</v>
      </c>
      <c r="D19" s="129">
        <v>52.62194966164919</v>
      </c>
      <c r="E19" s="129">
        <v>52.403818311020153</v>
      </c>
      <c r="F19" s="129">
        <v>52.079062963649619</v>
      </c>
      <c r="G19" s="129">
        <v>53.587666717231563</v>
      </c>
      <c r="H19" s="129">
        <v>52.189397073097339</v>
      </c>
      <c r="I19" s="129">
        <v>53.808223949698188</v>
      </c>
      <c r="J19" s="129">
        <v>55.192968930049823</v>
      </c>
      <c r="K19" s="129">
        <v>55.533535178869961</v>
      </c>
      <c r="L19" s="129">
        <v>56.206357992300397</v>
      </c>
      <c r="M19" s="129">
        <v>56.813815495101657</v>
      </c>
      <c r="N19" s="129">
        <v>57.916867299575571</v>
      </c>
      <c r="O19" s="129">
        <v>57.699530132281794</v>
      </c>
      <c r="P19" s="129">
        <v>58.303685917025106</v>
      </c>
      <c r="Q19" s="129">
        <v>59.793986953499683</v>
      </c>
      <c r="R19" s="129">
        <v>60.85399096467863</v>
      </c>
      <c r="S19" s="129">
        <v>57.111250883100034</v>
      </c>
      <c r="T19" s="129">
        <v>53.99301652850329</v>
      </c>
      <c r="U19" s="129">
        <v>56.871214081909258</v>
      </c>
      <c r="V19" s="129">
        <v>50.534384817043829</v>
      </c>
      <c r="W19" s="129">
        <v>52.168920862946713</v>
      </c>
      <c r="X19" s="129">
        <v>53.074685263049972</v>
      </c>
      <c r="Y19" s="129">
        <v>56.142991368163138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3.1979460852229295E-2</v>
      </c>
      <c r="I20" s="97">
        <v>0</v>
      </c>
      <c r="J20" s="97">
        <v>0.89574416893356912</v>
      </c>
      <c r="K20" s="97">
        <v>1.5403908700783491</v>
      </c>
      <c r="L20" s="97">
        <v>1.6937713073534779</v>
      </c>
      <c r="M20" s="97">
        <v>1.8550870850358132</v>
      </c>
      <c r="N20" s="97">
        <v>1.8781964939396478</v>
      </c>
      <c r="O20" s="97">
        <v>1.8977043027526894</v>
      </c>
      <c r="P20" s="97">
        <v>2.3619368636552411</v>
      </c>
      <c r="Q20" s="97">
        <v>2.3131580527907758</v>
      </c>
      <c r="R20" s="97">
        <v>1.7668808812873151</v>
      </c>
      <c r="S20" s="97">
        <v>2.041695410048133</v>
      </c>
      <c r="T20" s="97">
        <v>1.9894604829922227</v>
      </c>
      <c r="U20" s="97">
        <v>2.4959025034861835</v>
      </c>
      <c r="V20" s="97">
        <v>2.1843961028760637</v>
      </c>
      <c r="W20" s="97">
        <v>1.8423475268549325</v>
      </c>
      <c r="X20" s="97">
        <v>2.03766986818375</v>
      </c>
      <c r="Y20" s="97">
        <v>2.015470130673807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2389.7274463059275</v>
      </c>
      <c r="C21" s="130">
        <f t="shared" si="18"/>
        <v>2485.8160718055187</v>
      </c>
      <c r="D21" s="130">
        <f t="shared" si="18"/>
        <v>2605.7154197239897</v>
      </c>
      <c r="E21" s="130">
        <f t="shared" si="18"/>
        <v>2963.2200467361672</v>
      </c>
      <c r="F21" s="130">
        <f t="shared" si="18"/>
        <v>3049.5255304208049</v>
      </c>
      <c r="G21" s="130">
        <f t="shared" si="18"/>
        <v>3166.9296210378297</v>
      </c>
      <c r="H21" s="130">
        <f t="shared" si="18"/>
        <v>3222.9987788784379</v>
      </c>
      <c r="I21" s="130">
        <f t="shared" si="18"/>
        <v>3351.4987795341117</v>
      </c>
      <c r="J21" s="130">
        <f t="shared" si="18"/>
        <v>3356.0233025722373</v>
      </c>
      <c r="K21" s="130">
        <f t="shared" si="18"/>
        <v>3407.6923195838613</v>
      </c>
      <c r="L21" s="130">
        <f t="shared" ref="L21" si="19">L22+L24+L26+L27+L29+L32</f>
        <v>3198.8981873531661</v>
      </c>
      <c r="M21" s="130">
        <f t="shared" ref="M21:V21" si="20">M22+M24+M26+M27+M29+M32</f>
        <v>3228.253850377354</v>
      </c>
      <c r="N21" s="130">
        <f t="shared" si="20"/>
        <v>3167.5916229690274</v>
      </c>
      <c r="O21" s="130">
        <f t="shared" si="20"/>
        <v>3162.6595203439738</v>
      </c>
      <c r="P21" s="130">
        <f t="shared" si="20"/>
        <v>3222.9742124864911</v>
      </c>
      <c r="Q21" s="130">
        <f t="shared" si="20"/>
        <v>3269.895250144195</v>
      </c>
      <c r="R21" s="130">
        <f t="shared" si="20"/>
        <v>3466.8496461246004</v>
      </c>
      <c r="S21" s="130">
        <f t="shared" si="20"/>
        <v>3569.9903885274343</v>
      </c>
      <c r="T21" s="130">
        <f t="shared" si="20"/>
        <v>3625.5483434523826</v>
      </c>
      <c r="U21" s="130">
        <f t="shared" si="20"/>
        <v>3725.3745640302204</v>
      </c>
      <c r="V21" s="130">
        <f t="shared" si="20"/>
        <v>3543.499295895972</v>
      </c>
      <c r="W21" s="130">
        <f t="shared" ref="W21:Y21" si="21">W22+W24+W26+W27+W29+W32</f>
        <v>3713.9467511494186</v>
      </c>
      <c r="X21" s="130">
        <f t="shared" si="21"/>
        <v>3806.4661245267152</v>
      </c>
      <c r="Y21" s="130">
        <f t="shared" si="21"/>
        <v>3928.8542903320194</v>
      </c>
      <c r="DA21" s="176" t="s">
        <v>393</v>
      </c>
    </row>
    <row r="22" spans="1:105" ht="11.45" customHeight="1" x14ac:dyDescent="0.25">
      <c r="A22" s="111" t="s">
        <v>110</v>
      </c>
      <c r="B22" s="96">
        <v>1824.0141125956338</v>
      </c>
      <c r="C22" s="96">
        <v>1868.7931450037379</v>
      </c>
      <c r="D22" s="96">
        <v>1891.788095342886</v>
      </c>
      <c r="E22" s="96">
        <v>2073.6052789052474</v>
      </c>
      <c r="F22" s="96">
        <v>2065.5729583183702</v>
      </c>
      <c r="G22" s="96">
        <v>2022.9802302579392</v>
      </c>
      <c r="H22" s="96">
        <v>1997.5930686922134</v>
      </c>
      <c r="I22" s="96">
        <v>2079.6130626790482</v>
      </c>
      <c r="J22" s="96">
        <v>2022.9273403327641</v>
      </c>
      <c r="K22" s="96">
        <v>1994.5243308193642</v>
      </c>
      <c r="L22" s="96">
        <v>1804.8444289906356</v>
      </c>
      <c r="M22" s="96">
        <v>1736.8218268885794</v>
      </c>
      <c r="N22" s="96">
        <v>1611.5551907927343</v>
      </c>
      <c r="O22" s="96">
        <v>1508.5434034838906</v>
      </c>
      <c r="P22" s="96">
        <v>1501.915056354439</v>
      </c>
      <c r="Q22" s="96">
        <v>1507.4796661486746</v>
      </c>
      <c r="R22" s="96">
        <v>1537.4047046335013</v>
      </c>
      <c r="S22" s="96">
        <v>1535.286851279848</v>
      </c>
      <c r="T22" s="96">
        <v>1541.7121327095133</v>
      </c>
      <c r="U22" s="96">
        <v>1551.5787371337096</v>
      </c>
      <c r="V22" s="96">
        <v>1406.0266915745683</v>
      </c>
      <c r="W22" s="96">
        <v>1453.3387375390166</v>
      </c>
      <c r="X22" s="96">
        <v>1527.6353360892833</v>
      </c>
      <c r="Y22" s="96">
        <v>1620.404669964789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1.2240407615641371</v>
      </c>
      <c r="I23" s="96">
        <v>0</v>
      </c>
      <c r="J23" s="96">
        <v>32.830728341066099</v>
      </c>
      <c r="K23" s="96">
        <v>55.324175913660895</v>
      </c>
      <c r="L23" s="96">
        <v>54.388752754268154</v>
      </c>
      <c r="M23" s="96">
        <v>56.710779094692185</v>
      </c>
      <c r="N23" s="96">
        <v>52.261412784654112</v>
      </c>
      <c r="O23" s="96">
        <v>49.615123400786594</v>
      </c>
      <c r="P23" s="96">
        <v>60.843984078998233</v>
      </c>
      <c r="Q23" s="96">
        <v>58.317548416397479</v>
      </c>
      <c r="R23" s="96">
        <v>44.63817304923824</v>
      </c>
      <c r="S23" s="96">
        <v>54.885649830739069</v>
      </c>
      <c r="T23" s="96">
        <v>56.806890249520599</v>
      </c>
      <c r="U23" s="96">
        <v>68.094014113896478</v>
      </c>
      <c r="V23" s="96">
        <v>60.776820312242968</v>
      </c>
      <c r="W23" s="96">
        <v>51.324715644812706</v>
      </c>
      <c r="X23" s="96">
        <v>58.649740050159068</v>
      </c>
      <c r="Y23" s="96">
        <v>58.170701851315201</v>
      </c>
      <c r="DA23" s="171" t="s">
        <v>642</v>
      </c>
    </row>
    <row r="24" spans="1:105" ht="11.45" customHeight="1" x14ac:dyDescent="0.25">
      <c r="A24" s="111" t="s">
        <v>111</v>
      </c>
      <c r="B24" s="96">
        <v>508.98041910437883</v>
      </c>
      <c r="C24" s="96">
        <v>561.59785535704805</v>
      </c>
      <c r="D24" s="96">
        <v>657.37307303985983</v>
      </c>
      <c r="E24" s="96">
        <v>831.79834559774008</v>
      </c>
      <c r="F24" s="96">
        <v>923.01329422925505</v>
      </c>
      <c r="G24" s="96">
        <v>1080.7934633472905</v>
      </c>
      <c r="H24" s="96">
        <v>1157.7659726561619</v>
      </c>
      <c r="I24" s="96">
        <v>1199.0155365168644</v>
      </c>
      <c r="J24" s="96">
        <v>1261.5776048830103</v>
      </c>
      <c r="K24" s="96">
        <v>1339.1088699466959</v>
      </c>
      <c r="L24" s="96">
        <v>1322.2910250714349</v>
      </c>
      <c r="M24" s="96">
        <v>1418.1363652476621</v>
      </c>
      <c r="N24" s="96">
        <v>1475.0304934021183</v>
      </c>
      <c r="O24" s="96">
        <v>1569.6984668872731</v>
      </c>
      <c r="P24" s="96">
        <v>1628.1374694442427</v>
      </c>
      <c r="Q24" s="96">
        <v>1667.0253011540779</v>
      </c>
      <c r="R24" s="96">
        <v>1831.7424994388634</v>
      </c>
      <c r="S24" s="96">
        <v>1937.6873396954363</v>
      </c>
      <c r="T24" s="96">
        <v>1988.1970297746782</v>
      </c>
      <c r="U24" s="96">
        <v>2079.4303120893237</v>
      </c>
      <c r="V24" s="96">
        <v>2056.0149478688386</v>
      </c>
      <c r="W24" s="96">
        <v>2174.5788476538737</v>
      </c>
      <c r="X24" s="96">
        <v>2179.3413904391819</v>
      </c>
      <c r="Y24" s="96">
        <v>2200.8908092821039</v>
      </c>
      <c r="DA24" s="171" t="s">
        <v>643</v>
      </c>
    </row>
    <row r="25" spans="1:105" ht="11.45" customHeight="1" x14ac:dyDescent="0.25">
      <c r="A25" s="160" t="s">
        <v>131</v>
      </c>
      <c r="B25" s="96">
        <v>17.139153140385329</v>
      </c>
      <c r="C25" s="96">
        <v>12.79887011564136</v>
      </c>
      <c r="D25" s="96">
        <v>19.266320114580907</v>
      </c>
      <c r="E25" s="96">
        <v>19.863009362500563</v>
      </c>
      <c r="F25" s="96">
        <v>10.471995576651333</v>
      </c>
      <c r="G25" s="96">
        <v>0.88775497015310278</v>
      </c>
      <c r="H25" s="96">
        <v>5.6182808680002498</v>
      </c>
      <c r="I25" s="96">
        <v>9.8354853703121581</v>
      </c>
      <c r="J25" s="96">
        <v>25.465545331177243</v>
      </c>
      <c r="K25" s="96">
        <v>49.627496397700938</v>
      </c>
      <c r="L25" s="96">
        <v>64.22070973507671</v>
      </c>
      <c r="M25" s="96">
        <v>93.15125913197609</v>
      </c>
      <c r="N25" s="96">
        <v>88.265367157539345</v>
      </c>
      <c r="O25" s="96">
        <v>94.379785293385282</v>
      </c>
      <c r="P25" s="96">
        <v>104.32892183484354</v>
      </c>
      <c r="Q25" s="96">
        <v>94.291205430745634</v>
      </c>
      <c r="R25" s="96">
        <v>104.19616618444846</v>
      </c>
      <c r="S25" s="96">
        <v>107.04309738200629</v>
      </c>
      <c r="T25" s="96">
        <v>105.80315528114345</v>
      </c>
      <c r="U25" s="96">
        <v>117.97942644849111</v>
      </c>
      <c r="V25" s="96">
        <v>141.17662733846376</v>
      </c>
      <c r="W25" s="96">
        <v>128.62452741867187</v>
      </c>
      <c r="X25" s="96">
        <v>114.96132793265694</v>
      </c>
      <c r="Y25" s="96">
        <v>107.34928224568185</v>
      </c>
      <c r="DA25" s="171" t="s">
        <v>644</v>
      </c>
    </row>
    <row r="26" spans="1:105" ht="11.45" customHeight="1" x14ac:dyDescent="0.25">
      <c r="A26" s="111" t="s">
        <v>112</v>
      </c>
      <c r="B26" s="96">
        <v>56.732914605914686</v>
      </c>
      <c r="C26" s="96">
        <v>55.425071444732716</v>
      </c>
      <c r="D26" s="96">
        <v>56.554251341243983</v>
      </c>
      <c r="E26" s="96">
        <v>57.816422233179971</v>
      </c>
      <c r="F26" s="96">
        <v>60.939277873179932</v>
      </c>
      <c r="G26" s="96">
        <v>63.155927432600173</v>
      </c>
      <c r="H26" s="96">
        <v>67.639737530062561</v>
      </c>
      <c r="I26" s="96">
        <v>72.870180338199333</v>
      </c>
      <c r="J26" s="96">
        <v>70.724920182303265</v>
      </c>
      <c r="K26" s="96">
        <v>72.820205972324146</v>
      </c>
      <c r="L26" s="96">
        <v>70.158684379796455</v>
      </c>
      <c r="M26" s="96">
        <v>71.251985667847805</v>
      </c>
      <c r="N26" s="96">
        <v>78.527645766935422</v>
      </c>
      <c r="O26" s="96">
        <v>81.100393227398882</v>
      </c>
      <c r="P26" s="96">
        <v>89.024519180457744</v>
      </c>
      <c r="Q26" s="96">
        <v>90.097276578189678</v>
      </c>
      <c r="R26" s="96">
        <v>89.008937155878542</v>
      </c>
      <c r="S26" s="96">
        <v>86.246030596490243</v>
      </c>
      <c r="T26" s="96">
        <v>82.403744965758008</v>
      </c>
      <c r="U26" s="96">
        <v>79.47673200030161</v>
      </c>
      <c r="V26" s="96">
        <v>66.128554430098362</v>
      </c>
      <c r="W26" s="96">
        <v>68.298612952177166</v>
      </c>
      <c r="X26" s="96">
        <v>80.040220941316889</v>
      </c>
      <c r="Y26" s="96">
        <v>85.598722409744596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0.79343717415961057</v>
      </c>
      <c r="K27" s="96">
        <v>1.2389128454768841</v>
      </c>
      <c r="L27" s="96">
        <v>1.6033263304429222</v>
      </c>
      <c r="M27" s="96">
        <v>2.0361660294374149</v>
      </c>
      <c r="N27" s="96">
        <v>2.4660925397134861</v>
      </c>
      <c r="O27" s="96">
        <v>3.2831630345839788</v>
      </c>
      <c r="P27" s="96">
        <v>3.8319796020635088</v>
      </c>
      <c r="Q27" s="96">
        <v>5.1450330210568049</v>
      </c>
      <c r="R27" s="96">
        <v>8.4217364060096145</v>
      </c>
      <c r="S27" s="96">
        <v>10.312339151552747</v>
      </c>
      <c r="T27" s="96">
        <v>12.610996963405993</v>
      </c>
      <c r="U27" s="96">
        <v>14.013359046144235</v>
      </c>
      <c r="V27" s="96">
        <v>13.778350889436412</v>
      </c>
      <c r="W27" s="96">
        <v>15.083728377399019</v>
      </c>
      <c r="X27" s="96">
        <v>15.29975148627579</v>
      </c>
      <c r="Y27" s="96">
        <v>15.852983164683769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1.1431708735381561E-3</v>
      </c>
      <c r="W28" s="96">
        <v>1.8110593658119448E-3</v>
      </c>
      <c r="X28" s="96">
        <v>2.5042643903559697E-3</v>
      </c>
      <c r="Y28" s="96">
        <v>2.4038322000912552E-2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3.2412332609290558E-3</v>
      </c>
      <c r="O29" s="96">
        <v>5.9752794013570726E-3</v>
      </c>
      <c r="P29" s="96">
        <v>1.5823694707599641E-2</v>
      </c>
      <c r="Q29" s="96">
        <v>6.1454562380317559E-2</v>
      </c>
      <c r="R29" s="96">
        <v>8.8851374504905434E-2</v>
      </c>
      <c r="S29" s="96">
        <v>0.15139216965795665</v>
      </c>
      <c r="T29" s="96">
        <v>0.21445649697182895</v>
      </c>
      <c r="U29" s="96">
        <v>0.31917582901391084</v>
      </c>
      <c r="V29" s="96">
        <v>0.58509355052076906</v>
      </c>
      <c r="W29" s="96">
        <v>1.1077162684913429</v>
      </c>
      <c r="X29" s="96">
        <v>1.9245905857527847</v>
      </c>
      <c r="Y29" s="96">
        <v>2.4407174949003432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6.7996847944687804E-5</v>
      </c>
      <c r="O30" s="96">
        <v>1.2786020645766367E-4</v>
      </c>
      <c r="P30" s="96">
        <v>3.5329020483678835E-4</v>
      </c>
      <c r="Q30" s="96">
        <v>1.5233453720624767E-3</v>
      </c>
      <c r="R30" s="96">
        <v>1.5474685619493065E-3</v>
      </c>
      <c r="S30" s="96">
        <v>3.371434838654085E-3</v>
      </c>
      <c r="T30" s="96">
        <v>4.7982373048023478E-3</v>
      </c>
      <c r="U30" s="96">
        <v>8.2076595402476443E-3</v>
      </c>
      <c r="V30" s="96">
        <v>1.3615762438583477E-2</v>
      </c>
      <c r="W30" s="96">
        <v>1.8239907634138502E-2</v>
      </c>
      <c r="X30" s="96">
        <v>3.346234598681308E-2</v>
      </c>
      <c r="Y30" s="96">
        <v>3.6952765922963281E-2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1.1444534874020976E-3</v>
      </c>
      <c r="O31" s="96">
        <v>2.0877012235964798E-3</v>
      </c>
      <c r="P31" s="96">
        <v>7.1028345282599077E-3</v>
      </c>
      <c r="Q31" s="96">
        <v>2.2076841003741732E-2</v>
      </c>
      <c r="R31" s="96">
        <v>3.5554268353427246E-2</v>
      </c>
      <c r="S31" s="96">
        <v>5.7084830787141452E-2</v>
      </c>
      <c r="T31" s="96">
        <v>8.4234606001558771E-2</v>
      </c>
      <c r="U31" s="96">
        <v>0.13215748107248751</v>
      </c>
      <c r="V31" s="96">
        <v>0.27010297818688889</v>
      </c>
      <c r="W31" s="96">
        <v>0.59122506146199971</v>
      </c>
      <c r="X31" s="96">
        <v>1.0530051002215075</v>
      </c>
      <c r="Y31" s="96">
        <v>1.4113602314666787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7.2258085627582781E-4</v>
      </c>
      <c r="M32" s="96">
        <v>7.506543827215357E-3</v>
      </c>
      <c r="N32" s="96">
        <v>8.9592342651509289E-3</v>
      </c>
      <c r="O32" s="96">
        <v>2.811843142573987E-2</v>
      </c>
      <c r="P32" s="96">
        <v>4.9364210579918522E-2</v>
      </c>
      <c r="Q32" s="96">
        <v>8.6518679815333316E-2</v>
      </c>
      <c r="R32" s="96">
        <v>0.18291711584310211</v>
      </c>
      <c r="S32" s="96">
        <v>0.30643563444915012</v>
      </c>
      <c r="T32" s="96">
        <v>0.40998254205560791</v>
      </c>
      <c r="U32" s="96">
        <v>0.55624793172729936</v>
      </c>
      <c r="V32" s="96">
        <v>0.96565758250926703</v>
      </c>
      <c r="W32" s="96">
        <v>1.5391083584602938</v>
      </c>
      <c r="X32" s="96">
        <v>2.2248349849044011</v>
      </c>
      <c r="Y32" s="96">
        <v>3.6663880157986206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376.58982968100173</v>
      </c>
      <c r="C33" s="130">
        <f t="shared" si="22"/>
        <v>414.84016409427215</v>
      </c>
      <c r="D33" s="130">
        <f t="shared" si="22"/>
        <v>392.51705073443907</v>
      </c>
      <c r="E33" s="130">
        <f t="shared" si="22"/>
        <v>360.12635089125956</v>
      </c>
      <c r="F33" s="130">
        <f t="shared" si="22"/>
        <v>331.44681787460735</v>
      </c>
      <c r="G33" s="130">
        <f t="shared" si="22"/>
        <v>325.15615481506615</v>
      </c>
      <c r="H33" s="130">
        <f t="shared" si="22"/>
        <v>338.59783411389395</v>
      </c>
      <c r="I33" s="130">
        <f t="shared" si="22"/>
        <v>338.20477724630456</v>
      </c>
      <c r="J33" s="130">
        <f t="shared" si="22"/>
        <v>339.36953169359282</v>
      </c>
      <c r="K33" s="130">
        <f t="shared" si="22"/>
        <v>343.10826957974655</v>
      </c>
      <c r="L33" s="130">
        <f t="shared" ref="L33" si="23">L34+L36+L38+L39+L41</f>
        <v>357.15307592436415</v>
      </c>
      <c r="M33" s="130">
        <f t="shared" ref="M33:V33" si="24">M34+M36+M38+M39+M41</f>
        <v>340.51499243085334</v>
      </c>
      <c r="N33" s="130">
        <f t="shared" si="24"/>
        <v>331.65402887906606</v>
      </c>
      <c r="O33" s="130">
        <f t="shared" si="24"/>
        <v>341.12596741884443</v>
      </c>
      <c r="P33" s="130">
        <f t="shared" si="24"/>
        <v>350.78002617947141</v>
      </c>
      <c r="Q33" s="130">
        <f t="shared" si="24"/>
        <v>341.55008278857605</v>
      </c>
      <c r="R33" s="130">
        <f t="shared" si="24"/>
        <v>338.97236811710985</v>
      </c>
      <c r="S33" s="130">
        <f t="shared" si="24"/>
        <v>351.93938498039387</v>
      </c>
      <c r="T33" s="130">
        <f t="shared" si="24"/>
        <v>361.87473891738716</v>
      </c>
      <c r="U33" s="130">
        <f t="shared" si="24"/>
        <v>364.64360676353641</v>
      </c>
      <c r="V33" s="130">
        <f t="shared" si="24"/>
        <v>276.55378313217108</v>
      </c>
      <c r="W33" s="130">
        <f t="shared" ref="W33:Y33" si="25">W34+W36+W38+W39+W41</f>
        <v>268.58913952836656</v>
      </c>
      <c r="X33" s="130">
        <f t="shared" si="25"/>
        <v>298.83454579228237</v>
      </c>
      <c r="Y33" s="130">
        <f t="shared" si="25"/>
        <v>296.02441095739772</v>
      </c>
      <c r="DA33" s="176" t="s">
        <v>394</v>
      </c>
    </row>
    <row r="34" spans="1:105" ht="11.45" customHeight="1" x14ac:dyDescent="0.25">
      <c r="A34" s="111" t="s">
        <v>110</v>
      </c>
      <c r="B34" s="97">
        <v>10.295483018359121</v>
      </c>
      <c r="C34" s="97">
        <v>10.220045864553629</v>
      </c>
      <c r="D34" s="97">
        <v>10.394710074583463</v>
      </c>
      <c r="E34" s="97">
        <v>8.838769024031258</v>
      </c>
      <c r="F34" s="97">
        <v>7.6765334914742933</v>
      </c>
      <c r="G34" s="97">
        <v>6.9933695577296211</v>
      </c>
      <c r="H34" s="97">
        <v>6.766839486174038</v>
      </c>
      <c r="I34" s="97">
        <v>6.6876689449726827</v>
      </c>
      <c r="J34" s="97">
        <v>6.3649349604277754</v>
      </c>
      <c r="K34" s="97">
        <v>5.9454419223935808</v>
      </c>
      <c r="L34" s="97">
        <v>6.048186133725217</v>
      </c>
      <c r="M34" s="97">
        <v>5.5517854426930215</v>
      </c>
      <c r="N34" s="97">
        <v>5.0162541946656694</v>
      </c>
      <c r="O34" s="97">
        <v>5.0833416687365185</v>
      </c>
      <c r="P34" s="97">
        <v>5.1125241009210738</v>
      </c>
      <c r="Q34" s="97">
        <v>4.7177392704398144</v>
      </c>
      <c r="R34" s="97">
        <v>4.7843637591341404</v>
      </c>
      <c r="S34" s="97">
        <v>4.7428838143163734</v>
      </c>
      <c r="T34" s="97">
        <v>4.3961206694601778</v>
      </c>
      <c r="U34" s="97">
        <v>4.165350469770269</v>
      </c>
      <c r="V34" s="97">
        <v>3.2107585466142252</v>
      </c>
      <c r="W34" s="97">
        <v>2.8604723822377567</v>
      </c>
      <c r="X34" s="97">
        <v>3.121865802689757</v>
      </c>
      <c r="Y34" s="97">
        <v>2.9362087899860243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4.1464337696472857E-3</v>
      </c>
      <c r="I35" s="97">
        <v>0</v>
      </c>
      <c r="J35" s="97">
        <v>0.10329854485034769</v>
      </c>
      <c r="K35" s="97">
        <v>0.16491484697197517</v>
      </c>
      <c r="L35" s="97">
        <v>0.18226130460614931</v>
      </c>
      <c r="M35" s="97">
        <v>0.18127713099145076</v>
      </c>
      <c r="N35" s="97">
        <v>0.16267300840700263</v>
      </c>
      <c r="O35" s="97">
        <v>0.16718817874265832</v>
      </c>
      <c r="P35" s="97">
        <v>0.20711313445047957</v>
      </c>
      <c r="Q35" s="97">
        <v>0.18250792663937618</v>
      </c>
      <c r="R35" s="97">
        <v>0.13891284238111209</v>
      </c>
      <c r="S35" s="97">
        <v>0.16955545473697201</v>
      </c>
      <c r="T35" s="97">
        <v>0.16198221386166323</v>
      </c>
      <c r="U35" s="97">
        <v>0.18280440875455184</v>
      </c>
      <c r="V35" s="97">
        <v>0.1387880446530072</v>
      </c>
      <c r="W35" s="97">
        <v>0.10101769658792398</v>
      </c>
      <c r="X35" s="97">
        <v>0.11985623366631408</v>
      </c>
      <c r="Y35" s="97">
        <v>0.10540658717010451</v>
      </c>
      <c r="DA35" s="175" t="s">
        <v>653</v>
      </c>
    </row>
    <row r="36" spans="1:105" ht="11.45" customHeight="1" x14ac:dyDescent="0.25">
      <c r="A36" s="111" t="s">
        <v>111</v>
      </c>
      <c r="B36" s="97">
        <v>352.68522243524916</v>
      </c>
      <c r="C36" s="97">
        <v>390.06247085530981</v>
      </c>
      <c r="D36" s="97">
        <v>366.08461547805558</v>
      </c>
      <c r="E36" s="97">
        <v>334.49167165684196</v>
      </c>
      <c r="F36" s="97">
        <v>303.65873476030947</v>
      </c>
      <c r="G36" s="97">
        <v>299.7262471201397</v>
      </c>
      <c r="H36" s="97">
        <v>310.09266903669851</v>
      </c>
      <c r="I36" s="97">
        <v>317.17605922970336</v>
      </c>
      <c r="J36" s="97">
        <v>318.68664986159422</v>
      </c>
      <c r="K36" s="97">
        <v>322.23032424166104</v>
      </c>
      <c r="L36" s="97">
        <v>334.50264117996949</v>
      </c>
      <c r="M36" s="97">
        <v>317.25150254967798</v>
      </c>
      <c r="N36" s="97">
        <v>307.62090874733599</v>
      </c>
      <c r="O36" s="97">
        <v>317.39736285391353</v>
      </c>
      <c r="P36" s="97">
        <v>317.76423431702017</v>
      </c>
      <c r="Q36" s="97">
        <v>301.80718646558091</v>
      </c>
      <c r="R36" s="97">
        <v>292.32241656286448</v>
      </c>
      <c r="S36" s="97">
        <v>304.23131979169841</v>
      </c>
      <c r="T36" s="97">
        <v>313.50177140459721</v>
      </c>
      <c r="U36" s="97">
        <v>305.96522718466872</v>
      </c>
      <c r="V36" s="97">
        <v>218.84806945340799</v>
      </c>
      <c r="W36" s="97">
        <v>210.07664064090949</v>
      </c>
      <c r="X36" s="97">
        <v>245.38376464982676</v>
      </c>
      <c r="Y36" s="97">
        <v>239.34202725825111</v>
      </c>
      <c r="DA36" s="175" t="s">
        <v>654</v>
      </c>
    </row>
    <row r="37" spans="1:105" ht="11.45" customHeight="1" x14ac:dyDescent="0.25">
      <c r="A37" s="160" t="s">
        <v>131</v>
      </c>
      <c r="B37" s="97">
        <v>11.876146528986569</v>
      </c>
      <c r="C37" s="97">
        <v>8.8895619059820898</v>
      </c>
      <c r="D37" s="97">
        <v>10.729224667216959</v>
      </c>
      <c r="E37" s="97">
        <v>7.9875263529453786</v>
      </c>
      <c r="F37" s="97">
        <v>3.445143149185979</v>
      </c>
      <c r="G37" s="97">
        <v>0.24619270433239168</v>
      </c>
      <c r="H37" s="97">
        <v>1.504783998582258</v>
      </c>
      <c r="I37" s="97">
        <v>2.6017848771412755</v>
      </c>
      <c r="J37" s="97">
        <v>6.4328419409791389</v>
      </c>
      <c r="K37" s="97">
        <v>11.941885095697705</v>
      </c>
      <c r="L37" s="97">
        <v>16.246043130841649</v>
      </c>
      <c r="M37" s="97">
        <v>20.838882386922521</v>
      </c>
      <c r="N37" s="97">
        <v>18.407939752685067</v>
      </c>
      <c r="O37" s="97">
        <v>19.083853103482912</v>
      </c>
      <c r="P37" s="97">
        <v>20.361916967174519</v>
      </c>
      <c r="Q37" s="97">
        <v>17.070984705391215</v>
      </c>
      <c r="R37" s="97">
        <v>16.628360757559847</v>
      </c>
      <c r="S37" s="97">
        <v>16.806562196064995</v>
      </c>
      <c r="T37" s="97">
        <v>16.683193920973331</v>
      </c>
      <c r="U37" s="97">
        <v>17.359370884692048</v>
      </c>
      <c r="V37" s="97">
        <v>15.027241108821453</v>
      </c>
      <c r="W37" s="97">
        <v>12.425858300466674</v>
      </c>
      <c r="X37" s="97">
        <v>12.944114015828342</v>
      </c>
      <c r="Y37" s="97">
        <v>11.67399796893168</v>
      </c>
      <c r="DA37" s="175" t="s">
        <v>655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4.4535571963591487E-2</v>
      </c>
      <c r="W38" s="97">
        <v>4.1859210007905018E-2</v>
      </c>
      <c r="X38" s="97">
        <v>4.6988529001375172E-2</v>
      </c>
      <c r="Y38" s="97">
        <v>3.8915762994919924E-2</v>
      </c>
      <c r="DA38" s="175" t="s">
        <v>656</v>
      </c>
    </row>
    <row r="39" spans="1:105" ht="11.45" customHeight="1" x14ac:dyDescent="0.25">
      <c r="A39" s="111" t="s">
        <v>113</v>
      </c>
      <c r="B39" s="97">
        <v>4.062768701633706</v>
      </c>
      <c r="C39" s="97">
        <v>4.901117798796216</v>
      </c>
      <c r="D39" s="97">
        <v>6.5348237317282889</v>
      </c>
      <c r="E39" s="97">
        <v>7.308684436801375</v>
      </c>
      <c r="F39" s="97">
        <v>10.576096302665521</v>
      </c>
      <c r="G39" s="97">
        <v>8.9853826311263969</v>
      </c>
      <c r="H39" s="97">
        <v>12.08082545141874</v>
      </c>
      <c r="I39" s="97">
        <v>4.7291487532244192</v>
      </c>
      <c r="J39" s="97">
        <v>4.7310684148343709</v>
      </c>
      <c r="K39" s="97">
        <v>5.4033915397337777</v>
      </c>
      <c r="L39" s="97">
        <v>7.0381182095398813</v>
      </c>
      <c r="M39" s="97">
        <v>8.2174883127809863</v>
      </c>
      <c r="N39" s="97">
        <v>9.5021064134909512</v>
      </c>
      <c r="O39" s="97">
        <v>9.4100711709057396</v>
      </c>
      <c r="P39" s="97">
        <v>18.588098625979825</v>
      </c>
      <c r="Q39" s="97">
        <v>25.553391522976604</v>
      </c>
      <c r="R39" s="97">
        <v>31.868506310705342</v>
      </c>
      <c r="S39" s="97">
        <v>33.531042833391233</v>
      </c>
      <c r="T39" s="97">
        <v>33.815249159259039</v>
      </c>
      <c r="U39" s="97">
        <v>44.714225116845</v>
      </c>
      <c r="V39" s="97">
        <v>46.195608509104403</v>
      </c>
      <c r="W39" s="97">
        <v>46.932497119962939</v>
      </c>
      <c r="X39" s="97">
        <v>40.847551045857728</v>
      </c>
      <c r="Y39" s="97">
        <v>43.946901855274568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3.8327862715027482E-3</v>
      </c>
      <c r="W40" s="97">
        <v>5.6350483344296109E-3</v>
      </c>
      <c r="X40" s="97">
        <v>6.6859300041015946E-3</v>
      </c>
      <c r="Y40" s="97">
        <v>6.6637917088879006E-2</v>
      </c>
      <c r="DA40" s="175" t="s">
        <v>658</v>
      </c>
    </row>
    <row r="41" spans="1:105" ht="11.45" customHeight="1" x14ac:dyDescent="0.25">
      <c r="A41" s="111" t="s">
        <v>115</v>
      </c>
      <c r="B41" s="97">
        <v>9.5463555257597505</v>
      </c>
      <c r="C41" s="97">
        <v>9.6565295756124865</v>
      </c>
      <c r="D41" s="97">
        <v>9.5029014500716862</v>
      </c>
      <c r="E41" s="97">
        <v>9.4872257735849352</v>
      </c>
      <c r="F41" s="97">
        <v>9.5354533201580587</v>
      </c>
      <c r="G41" s="97">
        <v>9.4511555060704033</v>
      </c>
      <c r="H41" s="97">
        <v>9.6575001396026785</v>
      </c>
      <c r="I41" s="97">
        <v>9.6119003184040928</v>
      </c>
      <c r="J41" s="97">
        <v>9.5868784567364056</v>
      </c>
      <c r="K41" s="97">
        <v>9.5291118759581597</v>
      </c>
      <c r="L41" s="97">
        <v>9.5641304011295638</v>
      </c>
      <c r="M41" s="97">
        <v>9.4942161257013495</v>
      </c>
      <c r="N41" s="97">
        <v>9.514759523573467</v>
      </c>
      <c r="O41" s="97">
        <v>9.2351917252886366</v>
      </c>
      <c r="P41" s="97">
        <v>9.3151691355503718</v>
      </c>
      <c r="Q41" s="97">
        <v>9.4717655295786827</v>
      </c>
      <c r="R41" s="97">
        <v>9.997081484405884</v>
      </c>
      <c r="S41" s="97">
        <v>9.4341385409878793</v>
      </c>
      <c r="T41" s="97">
        <v>10.161597684070756</v>
      </c>
      <c r="U41" s="97">
        <v>9.7988039922524095</v>
      </c>
      <c r="V41" s="97">
        <v>8.2548110510808534</v>
      </c>
      <c r="W41" s="97">
        <v>8.6776701752484833</v>
      </c>
      <c r="X41" s="97">
        <v>9.4343757649067665</v>
      </c>
      <c r="Y41" s="97">
        <v>9.7603572908911609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1017.2072079598695</v>
      </c>
      <c r="C42" s="32">
        <f t="shared" si="26"/>
        <v>1108.995416555523</v>
      </c>
      <c r="D42" s="32">
        <f t="shared" si="26"/>
        <v>1226.0169250101301</v>
      </c>
      <c r="E42" s="32">
        <f t="shared" si="26"/>
        <v>1472.2925558368581</v>
      </c>
      <c r="F42" s="32">
        <f t="shared" si="26"/>
        <v>1626.767619017244</v>
      </c>
      <c r="G42" s="32">
        <f t="shared" si="26"/>
        <v>1899.8219089806544</v>
      </c>
      <c r="H42" s="32">
        <f t="shared" si="26"/>
        <v>2051.6949638488936</v>
      </c>
      <c r="I42" s="32">
        <f t="shared" si="26"/>
        <v>2212.7938427181271</v>
      </c>
      <c r="J42" s="32">
        <f t="shared" si="26"/>
        <v>2213.2502239856549</v>
      </c>
      <c r="K42" s="32">
        <f t="shared" si="26"/>
        <v>2081.4988332836137</v>
      </c>
      <c r="L42" s="32">
        <f t="shared" ref="L42" si="27">L43+L52</f>
        <v>1978.921775884186</v>
      </c>
      <c r="M42" s="32">
        <f t="shared" ref="M42:V42" si="28">M43+M52</f>
        <v>1978.336225270755</v>
      </c>
      <c r="N42" s="32">
        <f t="shared" si="28"/>
        <v>1947.4212801995004</v>
      </c>
      <c r="O42" s="32">
        <f t="shared" si="28"/>
        <v>1900.5029362043174</v>
      </c>
      <c r="P42" s="32">
        <f t="shared" si="28"/>
        <v>2044.9360964776236</v>
      </c>
      <c r="Q42" s="32">
        <f t="shared" si="28"/>
        <v>2236.1357592838081</v>
      </c>
      <c r="R42" s="32">
        <f t="shared" si="28"/>
        <v>2280.9089987517377</v>
      </c>
      <c r="S42" s="32">
        <f t="shared" si="28"/>
        <v>2341.8048807807736</v>
      </c>
      <c r="T42" s="32">
        <f t="shared" si="28"/>
        <v>2339.1777955797797</v>
      </c>
      <c r="U42" s="32">
        <f t="shared" si="28"/>
        <v>2332.3556235758997</v>
      </c>
      <c r="V42" s="32">
        <f t="shared" si="28"/>
        <v>2216.3869061743799</v>
      </c>
      <c r="W42" s="32">
        <f t="shared" ref="W42:Y42" si="29">W43+W52</f>
        <v>2473.085669791265</v>
      </c>
      <c r="X42" s="32">
        <f t="shared" si="29"/>
        <v>2490.2938535208282</v>
      </c>
      <c r="Y42" s="32">
        <f t="shared" si="29"/>
        <v>2520.7837048606475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163.18292864622816</v>
      </c>
      <c r="C43" s="141">
        <f t="shared" si="30"/>
        <v>176.46365907232371</v>
      </c>
      <c r="D43" s="141">
        <f t="shared" si="30"/>
        <v>202.93862856354477</v>
      </c>
      <c r="E43" s="141">
        <f t="shared" si="30"/>
        <v>232.26538899729704</v>
      </c>
      <c r="F43" s="141">
        <f t="shared" si="30"/>
        <v>267.28312962020414</v>
      </c>
      <c r="G43" s="141">
        <f t="shared" si="30"/>
        <v>316.98627836042499</v>
      </c>
      <c r="H43" s="141">
        <f t="shared" si="30"/>
        <v>365.97227196696065</v>
      </c>
      <c r="I43" s="141">
        <f t="shared" si="30"/>
        <v>416.88457511997268</v>
      </c>
      <c r="J43" s="141">
        <f t="shared" si="30"/>
        <v>499.07721062436065</v>
      </c>
      <c r="K43" s="141">
        <f t="shared" si="30"/>
        <v>508.83415421335184</v>
      </c>
      <c r="L43" s="141">
        <f t="shared" ref="L43" si="31">L44+L46+L48+L49+L51</f>
        <v>540.96137516958049</v>
      </c>
      <c r="M43" s="141">
        <f t="shared" ref="M43:V43" si="32">M44+M46+M48+M49+M51</f>
        <v>552.95470443607837</v>
      </c>
      <c r="N43" s="141">
        <f t="shared" si="32"/>
        <v>562.19553070756956</v>
      </c>
      <c r="O43" s="141">
        <f t="shared" si="32"/>
        <v>585.46717144804677</v>
      </c>
      <c r="P43" s="141">
        <f t="shared" si="32"/>
        <v>655.52634670279053</v>
      </c>
      <c r="Q43" s="141">
        <f t="shared" si="32"/>
        <v>715.55138022131894</v>
      </c>
      <c r="R43" s="141">
        <f t="shared" si="32"/>
        <v>613.69156928684538</v>
      </c>
      <c r="S43" s="141">
        <f t="shared" si="32"/>
        <v>624.96423817545144</v>
      </c>
      <c r="T43" s="141">
        <f t="shared" si="32"/>
        <v>629.78419457711925</v>
      </c>
      <c r="U43" s="141">
        <f t="shared" si="32"/>
        <v>631.05756123063145</v>
      </c>
      <c r="V43" s="141">
        <f t="shared" si="32"/>
        <v>613.68016966231539</v>
      </c>
      <c r="W43" s="141">
        <f t="shared" ref="W43:Y43" si="33">W44+W46+W48+W49+W51</f>
        <v>627.55848825318753</v>
      </c>
      <c r="X43" s="141">
        <f t="shared" si="33"/>
        <v>631.40282916568583</v>
      </c>
      <c r="Y43" s="141">
        <f t="shared" si="33"/>
        <v>642.38159694164619</v>
      </c>
      <c r="DA43" s="174" t="s">
        <v>400</v>
      </c>
    </row>
    <row r="44" spans="1:105" ht="11.45" customHeight="1" x14ac:dyDescent="0.25">
      <c r="A44" s="111" t="s">
        <v>110</v>
      </c>
      <c r="B44" s="96">
        <v>30.403012600682906</v>
      </c>
      <c r="C44" s="96">
        <v>32.991476293439078</v>
      </c>
      <c r="D44" s="96">
        <v>37.069707517613395</v>
      </c>
      <c r="E44" s="96">
        <v>36.977843132014421</v>
      </c>
      <c r="F44" s="96">
        <v>38.223551847314056</v>
      </c>
      <c r="G44" s="96">
        <v>41.72531988154465</v>
      </c>
      <c r="H44" s="96">
        <v>48.308132409735919</v>
      </c>
      <c r="I44" s="96">
        <v>54.703340213040043</v>
      </c>
      <c r="J44" s="96">
        <v>61.244764375209861</v>
      </c>
      <c r="K44" s="96">
        <v>59.663760007144859</v>
      </c>
      <c r="L44" s="96">
        <v>58.894148121516274</v>
      </c>
      <c r="M44" s="96">
        <v>57.330113016274538</v>
      </c>
      <c r="N44" s="96">
        <v>55.58422549902852</v>
      </c>
      <c r="O44" s="96">
        <v>56.103801023414277</v>
      </c>
      <c r="P44" s="96">
        <v>58.373684306558083</v>
      </c>
      <c r="Q44" s="96">
        <v>61.62228235656783</v>
      </c>
      <c r="R44" s="96">
        <v>62.710350329311275</v>
      </c>
      <c r="S44" s="96">
        <v>62.351980974492918</v>
      </c>
      <c r="T44" s="96">
        <v>62.443744658990724</v>
      </c>
      <c r="U44" s="96">
        <v>62.338350645946733</v>
      </c>
      <c r="V44" s="96">
        <v>61.64215127361819</v>
      </c>
      <c r="W44" s="96">
        <v>61.551577492862158</v>
      </c>
      <c r="X44" s="96">
        <v>61.415529938981194</v>
      </c>
      <c r="Y44" s="96">
        <v>61.985482845786429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2.9601185602464251E-2</v>
      </c>
      <c r="I45" s="96">
        <v>0</v>
      </c>
      <c r="J45" s="96">
        <v>0.99396067343890027</v>
      </c>
      <c r="K45" s="96">
        <v>1.6549551706645345</v>
      </c>
      <c r="L45" s="96">
        <v>1.7747675142537254</v>
      </c>
      <c r="M45" s="96">
        <v>1.8719452533390208</v>
      </c>
      <c r="N45" s="96">
        <v>1.8025508339500815</v>
      </c>
      <c r="O45" s="96">
        <v>1.845221691733447</v>
      </c>
      <c r="P45" s="96">
        <v>2.3647725639035881</v>
      </c>
      <c r="Q45" s="96">
        <v>2.3838865064357275</v>
      </c>
      <c r="R45" s="96">
        <v>1.820779825599314</v>
      </c>
      <c r="S45" s="96">
        <v>2.2290485919071603</v>
      </c>
      <c r="T45" s="96">
        <v>2.3008413012734183</v>
      </c>
      <c r="U45" s="96">
        <v>2.7358382962657961</v>
      </c>
      <c r="V45" s="96">
        <v>2.6645397090017489</v>
      </c>
      <c r="W45" s="96">
        <v>2.1736964210148524</v>
      </c>
      <c r="X45" s="96">
        <v>2.3578957496394852</v>
      </c>
      <c r="Y45" s="96">
        <v>2.2252089916591058</v>
      </c>
      <c r="DA45" s="171" t="s">
        <v>661</v>
      </c>
    </row>
    <row r="46" spans="1:105" ht="11.45" customHeight="1" x14ac:dyDescent="0.25">
      <c r="A46" s="111" t="s">
        <v>111</v>
      </c>
      <c r="B46" s="96">
        <v>121.39400004096983</v>
      </c>
      <c r="C46" s="96">
        <v>132.20611062946432</v>
      </c>
      <c r="D46" s="96">
        <v>154.64441056430346</v>
      </c>
      <c r="E46" s="96">
        <v>184.22271272442993</v>
      </c>
      <c r="F46" s="96">
        <v>217.98879545690411</v>
      </c>
      <c r="G46" s="96">
        <v>264.28894094157511</v>
      </c>
      <c r="H46" s="96">
        <v>306.53689514403709</v>
      </c>
      <c r="I46" s="96">
        <v>350.81452788485677</v>
      </c>
      <c r="J46" s="96">
        <v>426.90288666624241</v>
      </c>
      <c r="K46" s="96">
        <v>438.25941135015063</v>
      </c>
      <c r="L46" s="96">
        <v>471.62443690329366</v>
      </c>
      <c r="M46" s="96">
        <v>485.24264920117344</v>
      </c>
      <c r="N46" s="96">
        <v>494.65861792009417</v>
      </c>
      <c r="O46" s="96">
        <v>516.4500048146665</v>
      </c>
      <c r="P46" s="96">
        <v>581.42380011824582</v>
      </c>
      <c r="Q46" s="96">
        <v>635.30230786643324</v>
      </c>
      <c r="R46" s="96">
        <v>527.65548772340526</v>
      </c>
      <c r="S46" s="96">
        <v>536.46047434778393</v>
      </c>
      <c r="T46" s="96">
        <v>539.11146712158927</v>
      </c>
      <c r="U46" s="96">
        <v>539.39608023800542</v>
      </c>
      <c r="V46" s="96">
        <v>524.01511288967845</v>
      </c>
      <c r="W46" s="96">
        <v>535.89970333996871</v>
      </c>
      <c r="X46" s="96">
        <v>541.25243620503159</v>
      </c>
      <c r="Y46" s="96">
        <v>555.20323266876085</v>
      </c>
      <c r="DA46" s="171" t="s">
        <v>662</v>
      </c>
    </row>
    <row r="47" spans="1:105" ht="11.45" customHeight="1" x14ac:dyDescent="0.25">
      <c r="A47" s="160" t="s">
        <v>131</v>
      </c>
      <c r="B47" s="96">
        <v>4.0877610983291062</v>
      </c>
      <c r="C47" s="96">
        <v>3.0129902069601817</v>
      </c>
      <c r="D47" s="96">
        <v>4.5323254633550993</v>
      </c>
      <c r="E47" s="96">
        <v>4.399164156789765</v>
      </c>
      <c r="F47" s="96">
        <v>2.4731796563021797</v>
      </c>
      <c r="G47" s="96">
        <v>0.21708478893898678</v>
      </c>
      <c r="H47" s="96">
        <v>1.4875289255330457</v>
      </c>
      <c r="I47" s="96">
        <v>2.8777201392468745</v>
      </c>
      <c r="J47" s="96">
        <v>8.6172382660658791</v>
      </c>
      <c r="K47" s="96">
        <v>16.241933606864908</v>
      </c>
      <c r="L47" s="96">
        <v>22.905741241569086</v>
      </c>
      <c r="M47" s="96">
        <v>31.87349599467553</v>
      </c>
      <c r="N47" s="96">
        <v>29.600218248813722</v>
      </c>
      <c r="O47" s="96">
        <v>31.052104335575184</v>
      </c>
      <c r="P47" s="96">
        <v>37.256877465119665</v>
      </c>
      <c r="Q47" s="96">
        <v>35.93431988116177</v>
      </c>
      <c r="R47" s="96">
        <v>30.014960565585294</v>
      </c>
      <c r="S47" s="96">
        <v>29.635529747659408</v>
      </c>
      <c r="T47" s="96">
        <v>28.689155760470516</v>
      </c>
      <c r="U47" s="96">
        <v>30.603401232092146</v>
      </c>
      <c r="V47" s="96">
        <v>35.981589719876169</v>
      </c>
      <c r="W47" s="96">
        <v>31.698021049122914</v>
      </c>
      <c r="X47" s="96">
        <v>28.551331648125529</v>
      </c>
      <c r="Y47" s="96">
        <v>27.080247814254172</v>
      </c>
      <c r="DA47" s="171" t="s">
        <v>663</v>
      </c>
    </row>
    <row r="48" spans="1:105" ht="11.45" customHeight="1" x14ac:dyDescent="0.25">
      <c r="A48" s="111" t="s">
        <v>112</v>
      </c>
      <c r="B48" s="96">
        <v>11.385916004575424</v>
      </c>
      <c r="C48" s="96">
        <v>11.266072149420332</v>
      </c>
      <c r="D48" s="96">
        <v>11.224510481627899</v>
      </c>
      <c r="E48" s="96">
        <v>11.064833140852706</v>
      </c>
      <c r="F48" s="96">
        <v>11.070782315986007</v>
      </c>
      <c r="G48" s="96">
        <v>10.972017537305241</v>
      </c>
      <c r="H48" s="96">
        <v>11.127244413187643</v>
      </c>
      <c r="I48" s="96">
        <v>11.36670702207582</v>
      </c>
      <c r="J48" s="96">
        <v>10.922801227842896</v>
      </c>
      <c r="K48" s="96">
        <v>10.903869694055905</v>
      </c>
      <c r="L48" s="96">
        <v>10.434952765517378</v>
      </c>
      <c r="M48" s="96">
        <v>10.373379766374034</v>
      </c>
      <c r="N48" s="96">
        <v>11.440797913202166</v>
      </c>
      <c r="O48" s="96">
        <v>12.006485534423994</v>
      </c>
      <c r="P48" s="96">
        <v>13.497664826421055</v>
      </c>
      <c r="Q48" s="96">
        <v>13.471081117425122</v>
      </c>
      <c r="R48" s="96">
        <v>14.559420539736257</v>
      </c>
      <c r="S48" s="96">
        <v>14.183892017439268</v>
      </c>
      <c r="T48" s="96">
        <v>13.841568877750159</v>
      </c>
      <c r="U48" s="96">
        <v>12.584059057308016</v>
      </c>
      <c r="V48" s="96">
        <v>11.24161335133442</v>
      </c>
      <c r="W48" s="96">
        <v>10.120404879947346</v>
      </c>
      <c r="X48" s="96">
        <v>8.8351465056060547</v>
      </c>
      <c r="Y48" s="96">
        <v>7.4692405890833582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0.49955685075085232</v>
      </c>
      <c r="O49" s="96">
        <v>0.89232039468225155</v>
      </c>
      <c r="P49" s="96">
        <v>2.2144875501165977</v>
      </c>
      <c r="Q49" s="96">
        <v>5.1356253269898051</v>
      </c>
      <c r="R49" s="96">
        <v>8.7426033709892543</v>
      </c>
      <c r="S49" s="96">
        <v>11.939077172407686</v>
      </c>
      <c r="T49" s="96">
        <v>14.344605124110542</v>
      </c>
      <c r="U49" s="96">
        <v>16.662957539504315</v>
      </c>
      <c r="V49" s="96">
        <v>16.683994169816881</v>
      </c>
      <c r="W49" s="96">
        <v>19.791083187074829</v>
      </c>
      <c r="X49" s="96">
        <v>19.65845843089312</v>
      </c>
      <c r="Y49" s="96">
        <v>17.339753845045941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1.3842481108416024E-3</v>
      </c>
      <c r="W50" s="96">
        <v>2.37625775728108E-3</v>
      </c>
      <c r="X50" s="96">
        <v>3.2176978470492869E-3</v>
      </c>
      <c r="Y50" s="96">
        <v>2.6292753989188407E-2</v>
      </c>
      <c r="DA50" s="171" t="s">
        <v>666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6.7583550654699894E-3</v>
      </c>
      <c r="K51" s="96">
        <v>7.1131620004472439E-3</v>
      </c>
      <c r="L51" s="96">
        <v>7.8373792532461031E-3</v>
      </c>
      <c r="M51" s="96">
        <v>8.5624522564258926E-3</v>
      </c>
      <c r="N51" s="96">
        <v>1.2332524493942667E-2</v>
      </c>
      <c r="O51" s="96">
        <v>1.4559680859917623E-2</v>
      </c>
      <c r="P51" s="96">
        <v>1.6709901449006269E-2</v>
      </c>
      <c r="Q51" s="96">
        <v>2.0083553902920551E-2</v>
      </c>
      <c r="R51" s="96">
        <v>2.3707323403349901E-2</v>
      </c>
      <c r="S51" s="96">
        <v>2.8813663327733316E-2</v>
      </c>
      <c r="T51" s="96">
        <v>4.2808794678490407E-2</v>
      </c>
      <c r="U51" s="96">
        <v>7.6113749867016245E-2</v>
      </c>
      <c r="V51" s="96">
        <v>9.7297977867458377E-2</v>
      </c>
      <c r="W51" s="96">
        <v>0.1957193533344051</v>
      </c>
      <c r="X51" s="96">
        <v>0.24125808517385786</v>
      </c>
      <c r="Y51" s="96">
        <v>0.38388699296953094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854.02427931364127</v>
      </c>
      <c r="C52" s="130">
        <f t="shared" si="34"/>
        <v>932.53175748319927</v>
      </c>
      <c r="D52" s="130">
        <f t="shared" si="34"/>
        <v>1023.0782964465852</v>
      </c>
      <c r="E52" s="130">
        <f t="shared" si="34"/>
        <v>1240.027166839561</v>
      </c>
      <c r="F52" s="130">
        <f t="shared" si="34"/>
        <v>1359.4844893970399</v>
      </c>
      <c r="G52" s="130">
        <f t="shared" si="34"/>
        <v>1582.8356306202295</v>
      </c>
      <c r="H52" s="130">
        <f t="shared" si="34"/>
        <v>1685.7226918819331</v>
      </c>
      <c r="I52" s="130">
        <f t="shared" si="34"/>
        <v>1795.9092675981544</v>
      </c>
      <c r="J52" s="130">
        <f t="shared" si="34"/>
        <v>1714.1730133612941</v>
      </c>
      <c r="K52" s="130">
        <f t="shared" si="34"/>
        <v>1572.6646790702621</v>
      </c>
      <c r="L52" s="130">
        <f t="shared" ref="L52" si="35">L53+L55</f>
        <v>1437.9604007146056</v>
      </c>
      <c r="M52" s="130">
        <f t="shared" ref="M52:V52" si="36">M53+M55</f>
        <v>1425.3815208346766</v>
      </c>
      <c r="N52" s="130">
        <f t="shared" si="36"/>
        <v>1385.2257494919309</v>
      </c>
      <c r="O52" s="130">
        <f t="shared" si="36"/>
        <v>1315.0357647562705</v>
      </c>
      <c r="P52" s="130">
        <f t="shared" si="36"/>
        <v>1389.409749774833</v>
      </c>
      <c r="Q52" s="130">
        <f t="shared" si="36"/>
        <v>1520.584379062489</v>
      </c>
      <c r="R52" s="130">
        <f t="shared" si="36"/>
        <v>1667.2174294648923</v>
      </c>
      <c r="S52" s="130">
        <f t="shared" si="36"/>
        <v>1716.8406426053223</v>
      </c>
      <c r="T52" s="130">
        <f t="shared" si="36"/>
        <v>1709.3936010026603</v>
      </c>
      <c r="U52" s="130">
        <f t="shared" si="36"/>
        <v>1701.2980623452681</v>
      </c>
      <c r="V52" s="130">
        <f t="shared" si="36"/>
        <v>1602.7067365120643</v>
      </c>
      <c r="W52" s="130">
        <f t="shared" ref="W52:Y52" si="37">W53+W55</f>
        <v>1845.5271815380775</v>
      </c>
      <c r="X52" s="130">
        <f t="shared" si="37"/>
        <v>1858.8910243551425</v>
      </c>
      <c r="Y52" s="130">
        <f t="shared" si="37"/>
        <v>1878.4021079190013</v>
      </c>
      <c r="DA52" s="176" t="s">
        <v>401</v>
      </c>
    </row>
    <row r="53" spans="1:105" ht="11.45" customHeight="1" x14ac:dyDescent="0.25">
      <c r="A53" s="128" t="s">
        <v>27</v>
      </c>
      <c r="B53" s="97">
        <v>467.3112275893975</v>
      </c>
      <c r="C53" s="97">
        <v>540.59114409076653</v>
      </c>
      <c r="D53" s="97">
        <v>615.99556372457971</v>
      </c>
      <c r="E53" s="97">
        <v>733.89323089057143</v>
      </c>
      <c r="F53" s="97">
        <v>796.33642219149181</v>
      </c>
      <c r="G53" s="97">
        <v>928.29770186998746</v>
      </c>
      <c r="H53" s="97">
        <v>898.01090443004728</v>
      </c>
      <c r="I53" s="97">
        <v>887.7206524710291</v>
      </c>
      <c r="J53" s="97">
        <v>847.31709556039573</v>
      </c>
      <c r="K53" s="97">
        <v>705.81169759159161</v>
      </c>
      <c r="L53" s="97">
        <v>687.02892529177961</v>
      </c>
      <c r="M53" s="97">
        <v>675.33122058686047</v>
      </c>
      <c r="N53" s="97">
        <v>641.23662849630296</v>
      </c>
      <c r="O53" s="97">
        <v>654.66911090003703</v>
      </c>
      <c r="P53" s="97">
        <v>708.7729294626987</v>
      </c>
      <c r="Q53" s="97">
        <v>840.82578166198891</v>
      </c>
      <c r="R53" s="97">
        <v>871.75430623109003</v>
      </c>
      <c r="S53" s="97">
        <v>914.23111842682567</v>
      </c>
      <c r="T53" s="97">
        <v>949.35557728434446</v>
      </c>
      <c r="U53" s="97">
        <v>953.90971177245672</v>
      </c>
      <c r="V53" s="97">
        <v>1017.6331858020471</v>
      </c>
      <c r="W53" s="97">
        <v>1120.3490855054249</v>
      </c>
      <c r="X53" s="97">
        <v>1081.2244998964718</v>
      </c>
      <c r="Y53" s="97">
        <v>1091.670908669498</v>
      </c>
      <c r="DA53" s="175" t="s">
        <v>668</v>
      </c>
    </row>
    <row r="54" spans="1:105" ht="11.45" customHeight="1" x14ac:dyDescent="0.25">
      <c r="A54" s="160" t="s">
        <v>131</v>
      </c>
      <c r="B54" s="97">
        <v>15.736005538228063</v>
      </c>
      <c r="C54" s="97">
        <v>12.320125108890966</v>
      </c>
      <c r="D54" s="97">
        <v>18.053626177596509</v>
      </c>
      <c r="E54" s="97">
        <v>17.525074669125203</v>
      </c>
      <c r="F54" s="97">
        <v>9.0347902276739909</v>
      </c>
      <c r="G54" s="97">
        <v>0.76249619058990981</v>
      </c>
      <c r="H54" s="97">
        <v>4.3577697071541959</v>
      </c>
      <c r="I54" s="97">
        <v>7.2819435815375417</v>
      </c>
      <c r="J54" s="97">
        <v>17.103499478239094</v>
      </c>
      <c r="K54" s="97">
        <v>26.157445645981127</v>
      </c>
      <c r="L54" s="97">
        <v>33.367454179295727</v>
      </c>
      <c r="M54" s="97">
        <v>44.359594091513301</v>
      </c>
      <c r="N54" s="97">
        <v>38.371400931884992</v>
      </c>
      <c r="O54" s="97">
        <v>39.362674697314432</v>
      </c>
      <c r="P54" s="97">
        <v>45.417243288312733</v>
      </c>
      <c r="Q54" s="97">
        <v>47.55925207330138</v>
      </c>
      <c r="R54" s="97">
        <v>49.588551115612169</v>
      </c>
      <c r="S54" s="97">
        <v>50.504603418013296</v>
      </c>
      <c r="T54" s="97">
        <v>50.520554077992159</v>
      </c>
      <c r="U54" s="97">
        <v>54.121419710133331</v>
      </c>
      <c r="V54" s="97">
        <v>69.8759613533677</v>
      </c>
      <c r="W54" s="97">
        <v>66.267715158983037</v>
      </c>
      <c r="X54" s="97">
        <v>57.035123017772129</v>
      </c>
      <c r="Y54" s="97">
        <v>53.246661760738377</v>
      </c>
      <c r="DA54" s="175" t="s">
        <v>669</v>
      </c>
    </row>
    <row r="55" spans="1:105" ht="11.45" customHeight="1" x14ac:dyDescent="0.25">
      <c r="A55" s="128" t="s">
        <v>116</v>
      </c>
      <c r="B55" s="97">
        <v>386.71305172424377</v>
      </c>
      <c r="C55" s="97">
        <v>391.94061339243279</v>
      </c>
      <c r="D55" s="97">
        <v>407.08273272200557</v>
      </c>
      <c r="E55" s="97">
        <v>506.13393594898963</v>
      </c>
      <c r="F55" s="97">
        <v>563.14806720554805</v>
      </c>
      <c r="G55" s="97">
        <v>654.53792875024192</v>
      </c>
      <c r="H55" s="97">
        <v>787.71178745188581</v>
      </c>
      <c r="I55" s="97">
        <v>908.18861512712533</v>
      </c>
      <c r="J55" s="97">
        <v>866.85591780089828</v>
      </c>
      <c r="K55" s="97">
        <v>866.85298147867059</v>
      </c>
      <c r="L55" s="97">
        <v>750.931475422826</v>
      </c>
      <c r="M55" s="97">
        <v>750.05030024781615</v>
      </c>
      <c r="N55" s="97">
        <v>743.98912099562779</v>
      </c>
      <c r="O55" s="97">
        <v>660.36665385623348</v>
      </c>
      <c r="P55" s="97">
        <v>680.6368203121342</v>
      </c>
      <c r="Q55" s="97">
        <v>679.75859740050009</v>
      </c>
      <c r="R55" s="97">
        <v>795.46312323380232</v>
      </c>
      <c r="S55" s="97">
        <v>802.6095241784966</v>
      </c>
      <c r="T55" s="97">
        <v>760.0380237183158</v>
      </c>
      <c r="U55" s="97">
        <v>747.38835057281153</v>
      </c>
      <c r="V55" s="97">
        <v>585.07355071001723</v>
      </c>
      <c r="W55" s="97">
        <v>725.17809603265243</v>
      </c>
      <c r="X55" s="97">
        <v>777.66652445867066</v>
      </c>
      <c r="Y55" s="97">
        <v>786.73119924950333</v>
      </c>
      <c r="DA55" s="175" t="s">
        <v>670</v>
      </c>
    </row>
    <row r="56" spans="1:105" ht="11.45" customHeight="1" x14ac:dyDescent="0.25">
      <c r="A56" s="161" t="s">
        <v>131</v>
      </c>
      <c r="B56" s="98">
        <v>13.02198270524892</v>
      </c>
      <c r="C56" s="98">
        <v>8.9323649583121494</v>
      </c>
      <c r="D56" s="98">
        <v>11.930799364008909</v>
      </c>
      <c r="E56" s="98">
        <v>12.086274469817072</v>
      </c>
      <c r="F56" s="98">
        <v>6.3891648209689809</v>
      </c>
      <c r="G56" s="98">
        <v>0.53763213704321788</v>
      </c>
      <c r="H56" s="98">
        <v>3.8225221413149413</v>
      </c>
      <c r="I56" s="98">
        <v>7.4498416121576803</v>
      </c>
      <c r="J56" s="98">
        <v>17.497899919050248</v>
      </c>
      <c r="K56" s="98">
        <v>32.125650259774233</v>
      </c>
      <c r="L56" s="98">
        <v>36.471057732133438</v>
      </c>
      <c r="M56" s="98">
        <v>49.267568050974489</v>
      </c>
      <c r="N56" s="98">
        <v>44.520078208302991</v>
      </c>
      <c r="O56" s="98">
        <v>39.705245510912775</v>
      </c>
      <c r="P56" s="98">
        <v>43.614318174558136</v>
      </c>
      <c r="Q56" s="98">
        <v>38.448881073630403</v>
      </c>
      <c r="R56" s="98">
        <v>45.248831540164851</v>
      </c>
      <c r="S56" s="98">
        <v>44.338324195207029</v>
      </c>
      <c r="T56" s="98">
        <v>40.445901406540017</v>
      </c>
      <c r="U56" s="98">
        <v>42.404137528546535</v>
      </c>
      <c r="V56" s="98">
        <v>40.174178071904329</v>
      </c>
      <c r="W56" s="98">
        <v>42.893680308353119</v>
      </c>
      <c r="X56" s="98">
        <v>41.022290831876752</v>
      </c>
      <c r="Y56" s="98">
        <v>38.37311201606893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10.271149661505317</v>
      </c>
      <c r="C60" s="79">
        <f>IF(C17=0,0,C17/TrRoad_act!C30*100)</f>
        <v>9.9741473619391012</v>
      </c>
      <c r="D60" s="79">
        <f>IF(D17=0,0,D17/TrRoad_act!D30*100)</f>
        <v>9.906641421662906</v>
      </c>
      <c r="E60" s="79">
        <f>IF(E17=0,0,E17/TrRoad_act!E30*100)</f>
        <v>9.85632511598285</v>
      </c>
      <c r="F60" s="79">
        <f>IF(F17=0,0,F17/TrRoad_act!F30*100)</f>
        <v>9.8455985813350573</v>
      </c>
      <c r="G60" s="79">
        <f>IF(G17=0,0,G17/TrRoad_act!G30*100)</f>
        <v>10.043480540393052</v>
      </c>
      <c r="H60" s="79">
        <f>IF(H17=0,0,H17/TrRoad_act!H30*100)</f>
        <v>10.228031837056866</v>
      </c>
      <c r="I60" s="79">
        <f>IF(I17=0,0,I17/TrRoad_act!I30*100)</f>
        <v>10.231462942970776</v>
      </c>
      <c r="J60" s="79">
        <f>IF(J17=0,0,J17/TrRoad_act!J30*100)</f>
        <v>10.071771996360388</v>
      </c>
      <c r="K60" s="79">
        <f>IF(K17=0,0,K17/TrRoad_act!K30*100)</f>
        <v>9.8081492609819154</v>
      </c>
      <c r="L60" s="79">
        <f>IF(L17=0,0,L17/TrRoad_act!L30*100)</f>
        <v>9.7747396274325151</v>
      </c>
      <c r="M60" s="79">
        <f>IF(M17=0,0,M17/TrRoad_act!M30*100)</f>
        <v>9.6134730978078338</v>
      </c>
      <c r="N60" s="79">
        <f>IF(N17=0,0,N17/TrRoad_act!N30*100)</f>
        <v>9.4787729309772377</v>
      </c>
      <c r="O60" s="79">
        <f>IF(O17=0,0,O17/TrRoad_act!O30*100)</f>
        <v>9.2598232134053902</v>
      </c>
      <c r="P60" s="79">
        <f>IF(P17=0,0,P17/TrRoad_act!P30*100)</f>
        <v>9.2565689972701257</v>
      </c>
      <c r="Q60" s="79">
        <f>IF(Q17=0,0,Q17/TrRoad_act!Q30*100)</f>
        <v>9.1977283314357461</v>
      </c>
      <c r="R60" s="79">
        <f>IF(R17=0,0,R17/TrRoad_act!R30*100)</f>
        <v>9.2233472537921326</v>
      </c>
      <c r="S60" s="79">
        <f>IF(S17=0,0,S17/TrRoad_act!S30*100)</f>
        <v>9.2090345190854528</v>
      </c>
      <c r="T60" s="79">
        <f>IF(T17=0,0,T17/TrRoad_act!T30*100)</f>
        <v>9.0506169748069922</v>
      </c>
      <c r="U60" s="79">
        <f>IF(U17=0,0,U17/TrRoad_act!U30*100)</f>
        <v>8.8823264909719466</v>
      </c>
      <c r="V60" s="79">
        <f>IF(V17=0,0,V17/TrRoad_act!V30*100)</f>
        <v>8.555055067852436</v>
      </c>
      <c r="W60" s="79">
        <f>IF(W17=0,0,W17/TrRoad_act!W30*100)</f>
        <v>8.3700708903471952</v>
      </c>
      <c r="X60" s="79">
        <f>IF(X17=0,0,X17/TrRoad_act!X30*100)</f>
        <v>8.3018034718267018</v>
      </c>
      <c r="Y60" s="79">
        <f>IF(Y17=0,0,Y17/TrRoad_act!Y30*100)</f>
        <v>8.2901800807981196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8.3878006979701567</v>
      </c>
      <c r="C61" s="32">
        <f>IF(C18=0,0,C18/TrRoad_act!C31*100)</f>
        <v>8.1021658149551374</v>
      </c>
      <c r="D61" s="32">
        <f>IF(D18=0,0,D18/TrRoad_act!D31*100)</f>
        <v>7.9658211543782276</v>
      </c>
      <c r="E61" s="32">
        <f>IF(E18=0,0,E18/TrRoad_act!E31*100)</f>
        <v>7.742073258276287</v>
      </c>
      <c r="F61" s="32">
        <f>IF(F18=0,0,F18/TrRoad_act!F31*100)</f>
        <v>7.6242262120268762</v>
      </c>
      <c r="G61" s="32">
        <f>IF(G18=0,0,G18/TrRoad_act!G31*100)</f>
        <v>7.566997188500042</v>
      </c>
      <c r="H61" s="32">
        <f>IF(H18=0,0,H18/TrRoad_act!H31*100)</f>
        <v>7.5999452316456422</v>
      </c>
      <c r="I61" s="32">
        <f>IF(I18=0,0,I18/TrRoad_act!I31*100)</f>
        <v>7.5122838207542504</v>
      </c>
      <c r="J61" s="32">
        <f>IF(J18=0,0,J18/TrRoad_act!J31*100)</f>
        <v>7.4765275862137202</v>
      </c>
      <c r="K61" s="32">
        <f>IF(K18=0,0,K18/TrRoad_act!K31*100)</f>
        <v>7.4073324949503334</v>
      </c>
      <c r="L61" s="32">
        <f>IF(L18=0,0,L18/TrRoad_act!L31*100)</f>
        <v>7.4990062848356214</v>
      </c>
      <c r="M61" s="32">
        <f>IF(M18=0,0,M18/TrRoad_act!M31*100)</f>
        <v>7.3835774673213477</v>
      </c>
      <c r="N61" s="32">
        <f>IF(N18=0,0,N18/TrRoad_act!N31*100)</f>
        <v>7.2746896381081827</v>
      </c>
      <c r="O61" s="32">
        <f>IF(O18=0,0,O18/TrRoad_act!O31*100)</f>
        <v>7.2169933121403798</v>
      </c>
      <c r="P61" s="32">
        <f>IF(P18=0,0,P18/TrRoad_act!P31*100)</f>
        <v>7.1518656427066629</v>
      </c>
      <c r="Q61" s="32">
        <f>IF(Q18=0,0,Q18/TrRoad_act!Q31*100)</f>
        <v>6.9951882010817643</v>
      </c>
      <c r="R61" s="32">
        <f>IF(R18=0,0,R18/TrRoad_act!R31*100)</f>
        <v>6.9139349947231619</v>
      </c>
      <c r="S61" s="32">
        <f>IF(S18=0,0,S18/TrRoad_act!S31*100)</f>
        <v>6.9049700674119263</v>
      </c>
      <c r="T61" s="32">
        <f>IF(T18=0,0,T18/TrRoad_act!T31*100)</f>
        <v>6.8046942908978298</v>
      </c>
      <c r="U61" s="32">
        <f>IF(U18=0,0,U18/TrRoad_act!U31*100)</f>
        <v>6.7209618519606202</v>
      </c>
      <c r="V61" s="32">
        <f>IF(V18=0,0,V18/TrRoad_act!V31*100)</f>
        <v>6.4962598933941615</v>
      </c>
      <c r="W61" s="32">
        <f>IF(W18=0,0,W18/TrRoad_act!W31*100)</f>
        <v>6.1515804067997362</v>
      </c>
      <c r="X61" s="32">
        <f>IF(X18=0,0,X18/TrRoad_act!X31*100)</f>
        <v>6.1241613532471222</v>
      </c>
      <c r="Y61" s="32">
        <f>IF(Y18=0,0,Y18/TrRoad_act!Y31*100)</f>
        <v>6.1363311102910485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4.3452644514695056</v>
      </c>
      <c r="C62" s="141">
        <f>IF(C19=0,0,C19/TrRoad_act!C32*100)</f>
        <v>4.328106197149002</v>
      </c>
      <c r="D62" s="141">
        <f>IF(D19=0,0,D19/TrRoad_act!D32*100)</f>
        <v>4.3132745624302613</v>
      </c>
      <c r="E62" s="141">
        <f>IF(E19=0,0,E19/TrRoad_act!E32*100)</f>
        <v>4.3095245321562627</v>
      </c>
      <c r="F62" s="141">
        <f>IF(F19=0,0,F19/TrRoad_act!F32*100)</f>
        <v>4.2969523897400679</v>
      </c>
      <c r="G62" s="141">
        <f>IF(G19=0,0,G19/TrRoad_act!G32*100)</f>
        <v>4.2678931759502676</v>
      </c>
      <c r="H62" s="141">
        <f>IF(H19=0,0,H19/TrRoad_act!H32*100)</f>
        <v>4.0401073948818738</v>
      </c>
      <c r="I62" s="141">
        <f>IF(I19=0,0,I19/TrRoad_act!I32*100)</f>
        <v>4.0197780289981004</v>
      </c>
      <c r="J62" s="141">
        <f>IF(J19=0,0,J19/TrRoad_act!J32*100)</f>
        <v>4.0020919490347291</v>
      </c>
      <c r="K62" s="141">
        <f>IF(K19=0,0,K19/TrRoad_act!K32*100)</f>
        <v>3.989120130656544</v>
      </c>
      <c r="L62" s="141">
        <f>IF(L19=0,0,L19/TrRoad_act!L32*100)</f>
        <v>3.9640904987036145</v>
      </c>
      <c r="M62" s="141">
        <f>IF(M19=0,0,M19/TrRoad_act!M32*100)</f>
        <v>3.939295190586539</v>
      </c>
      <c r="N62" s="141">
        <f>IF(N19=0,0,N19/TrRoad_act!N32*100)</f>
        <v>3.9077444783432882</v>
      </c>
      <c r="O62" s="141">
        <f>IF(O19=0,0,O19/TrRoad_act!O32*100)</f>
        <v>3.8921688401040511</v>
      </c>
      <c r="P62" s="141">
        <f>IF(P19=0,0,P19/TrRoad_act!P32*100)</f>
        <v>3.8646726507319649</v>
      </c>
      <c r="Q62" s="141">
        <f>IF(Q19=0,0,Q19/TrRoad_act!Q32*100)</f>
        <v>3.8184066456564483</v>
      </c>
      <c r="R62" s="141">
        <f>IF(R19=0,0,R19/TrRoad_act!R32*100)</f>
        <v>3.7858217419168563</v>
      </c>
      <c r="S62" s="141">
        <f>IF(S19=0,0,S19/TrRoad_act!S32*100)</f>
        <v>3.7648609329698957</v>
      </c>
      <c r="T62" s="141">
        <f>IF(T19=0,0,T19/TrRoad_act!T32*100)</f>
        <v>3.7333388800646121</v>
      </c>
      <c r="U62" s="141">
        <f>IF(U19=0,0,U19/TrRoad_act!U32*100)</f>
        <v>3.7033434045066103</v>
      </c>
      <c r="V62" s="141">
        <f>IF(V19=0,0,V19/TrRoad_act!V32*100)</f>
        <v>3.6741113986613865</v>
      </c>
      <c r="W62" s="141">
        <f>IF(W19=0,0,W19/TrRoad_act!W32*100)</f>
        <v>3.6623665191523438</v>
      </c>
      <c r="X62" s="141">
        <f>IF(X19=0,0,X19/TrRoad_act!X32*100)</f>
        <v>3.6753059757986204</v>
      </c>
      <c r="Y62" s="141">
        <f>IF(Y19=0,0,Y19/TrRoad_act!Y32*100)</f>
        <v>3.6006938750776234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7.5545275726566938</v>
      </c>
      <c r="C63" s="130">
        <f>IF(C21=0,0,C21/TrRoad_act!C33*100)</f>
        <v>7.2216710106191666</v>
      </c>
      <c r="D63" s="130">
        <f>IF(D21=0,0,D21/TrRoad_act!D33*100)</f>
        <v>7.1746831808178531</v>
      </c>
      <c r="E63" s="130">
        <f>IF(E21=0,0,E21/TrRoad_act!E33*100)</f>
        <v>7.1086845758054</v>
      </c>
      <c r="F63" s="130">
        <f>IF(F21=0,0,F21/TrRoad_act!F33*100)</f>
        <v>7.0642918732392941</v>
      </c>
      <c r="G63" s="130">
        <f>IF(G21=0,0,G21/TrRoad_act!G33*100)</f>
        <v>7.043495090176048</v>
      </c>
      <c r="H63" s="130">
        <f>IF(H21=0,0,H21/TrRoad_act!H33*100)</f>
        <v>7.0679589206012112</v>
      </c>
      <c r="I63" s="130">
        <f>IF(I21=0,0,I21/TrRoad_act!I33*100)</f>
        <v>7.0073859718944256</v>
      </c>
      <c r="J63" s="130">
        <f>IF(J21=0,0,J21/TrRoad_act!J33*100)</f>
        <v>6.9745027472697103</v>
      </c>
      <c r="K63" s="130">
        <f>IF(K21=0,0,K21/TrRoad_act!K33*100)</f>
        <v>6.9091522720816538</v>
      </c>
      <c r="L63" s="130">
        <f>IF(L21=0,0,L21/TrRoad_act!L33*100)</f>
        <v>6.9456520525206651</v>
      </c>
      <c r="M63" s="130">
        <f>IF(M21=0,0,M21/TrRoad_act!M33*100)</f>
        <v>6.8686659455322738</v>
      </c>
      <c r="N63" s="130">
        <f>IF(N21=0,0,N21/TrRoad_act!N33*100)</f>
        <v>6.7719150912392205</v>
      </c>
      <c r="O63" s="130">
        <f>IF(O21=0,0,O21/TrRoad_act!O33*100)</f>
        <v>6.6992138626030613</v>
      </c>
      <c r="P63" s="130">
        <f>IF(P21=0,0,P21/TrRoad_act!P33*100)</f>
        <v>6.629179178372774</v>
      </c>
      <c r="Q63" s="130">
        <f>IF(Q21=0,0,Q21/TrRoad_act!Q33*100)</f>
        <v>6.5027750012288807</v>
      </c>
      <c r="R63" s="130">
        <f>IF(R21=0,0,R21/TrRoad_act!R33*100)</f>
        <v>6.4569482764910324</v>
      </c>
      <c r="S63" s="130">
        <f>IF(S21=0,0,S21/TrRoad_act!S33*100)</f>
        <v>6.4380105124070095</v>
      </c>
      <c r="T63" s="130">
        <f>IF(T21=0,0,T21/TrRoad_act!T33*100)</f>
        <v>6.3309325985278999</v>
      </c>
      <c r="U63" s="130">
        <f>IF(U21=0,0,U21/TrRoad_act!U33*100)</f>
        <v>6.2621401137292061</v>
      </c>
      <c r="V63" s="130">
        <f>IF(V21=0,0,V21/TrRoad_act!V33*100)</f>
        <v>6.1404826976127298</v>
      </c>
      <c r="W63" s="130">
        <f>IF(W21=0,0,W21/TrRoad_act!W33*100)</f>
        <v>5.8321422316537133</v>
      </c>
      <c r="X63" s="130">
        <f>IF(X21=0,0,X21/TrRoad_act!X33*100)</f>
        <v>5.7770578498004816</v>
      </c>
      <c r="Y63" s="130">
        <f>IF(Y21=0,0,Y21/TrRoad_act!Y33*100)</f>
        <v>5.8083412097246043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7.7207246568943262</v>
      </c>
      <c r="C64" s="96">
        <f>IF(C22=0,0,C22/TrRoad_act!C34*100)</f>
        <v>7.6228295937066468</v>
      </c>
      <c r="D64" s="96">
        <f>IF(D22=0,0,D22/TrRoad_act!D34*100)</f>
        <v>7.5633418466448195</v>
      </c>
      <c r="E64" s="96">
        <f>IF(E22=0,0,E22/TrRoad_act!E34*100)</f>
        <v>7.5200116642270203</v>
      </c>
      <c r="F64" s="96">
        <f>IF(F22=0,0,F22/TrRoad_act!F34*100)</f>
        <v>7.4652555032636032</v>
      </c>
      <c r="G64" s="96">
        <f>IF(G22=0,0,G22/TrRoad_act!G34*100)</f>
        <v>7.4099783953249512</v>
      </c>
      <c r="H64" s="96">
        <f>IF(H22=0,0,H22/TrRoad_act!H34*100)</f>
        <v>7.3689619889354265</v>
      </c>
      <c r="I64" s="96">
        <f>IF(I22=0,0,I22/TrRoad_act!I34*100)</f>
        <v>7.3181054601223314</v>
      </c>
      <c r="J64" s="96">
        <f>IF(J22=0,0,J22/TrRoad_act!J34*100)</f>
        <v>7.2647436366714278</v>
      </c>
      <c r="K64" s="96">
        <f>IF(K22=0,0,K22/TrRoad_act!K34*100)</f>
        <v>7.2045744955085187</v>
      </c>
      <c r="L64" s="96">
        <f>IF(L22=0,0,L22/TrRoad_act!L34*100)</f>
        <v>7.056595212921807</v>
      </c>
      <c r="M64" s="96">
        <f>IF(M22=0,0,M22/TrRoad_act!M34*100)</f>
        <v>6.9984080954275347</v>
      </c>
      <c r="N64" s="96">
        <f>IF(N22=0,0,N22/TrRoad_act!N34*100)</f>
        <v>6.9264155697272951</v>
      </c>
      <c r="O64" s="96">
        <f>IF(O22=0,0,O22/TrRoad_act!O34*100)</f>
        <v>6.8621923518154295</v>
      </c>
      <c r="P64" s="96">
        <f>IF(P22=0,0,P22/TrRoad_act!P34*100)</f>
        <v>6.7685340500646678</v>
      </c>
      <c r="Q64" s="96">
        <f>IF(Q22=0,0,Q22/TrRoad_act!Q34*100)</f>
        <v>6.6153423098835376</v>
      </c>
      <c r="R64" s="96">
        <f>IF(R22=0,0,R22/TrRoad_act!R34*100)</f>
        <v>6.490136683872116</v>
      </c>
      <c r="S64" s="96">
        <f>IF(S22=0,0,S22/TrRoad_act!S34*100)</f>
        <v>6.3595017070674391</v>
      </c>
      <c r="T64" s="96">
        <f>IF(T22=0,0,T22/TrRoad_act!T34*100)</f>
        <v>6.2278085010429081</v>
      </c>
      <c r="U64" s="96">
        <f>IF(U22=0,0,U22/TrRoad_act!U34*100)</f>
        <v>6.1211944224133878</v>
      </c>
      <c r="V64" s="96">
        <f>IF(V22=0,0,V22/TrRoad_act!V34*100)</f>
        <v>6.0542367290746375</v>
      </c>
      <c r="W64" s="96">
        <f>IF(W22=0,0,W22/TrRoad_act!W34*100)</f>
        <v>5.9507989741879497</v>
      </c>
      <c r="X64" s="96">
        <f>IF(X22=0,0,X22/TrRoad_act!X34*100)</f>
        <v>5.9438582267360101</v>
      </c>
      <c r="Y64" s="96">
        <f>IF(Y22=0,0,Y22/TrRoad_act!Y34*100)</f>
        <v>5.8836178527398015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6.900950290639428</v>
      </c>
      <c r="C65" s="96">
        <f>IF(C24=0,0,C24/TrRoad_act!C35*100)</f>
        <v>6.0680251593519046</v>
      </c>
      <c r="D65" s="96">
        <f>IF(D24=0,0,D24/TrRoad_act!D35*100)</f>
        <v>6.1808319676118657</v>
      </c>
      <c r="E65" s="96">
        <f>IF(E24=0,0,E24/TrRoad_act!E35*100)</f>
        <v>6.2284791499288099</v>
      </c>
      <c r="F65" s="96">
        <f>IF(F24=0,0,F24/TrRoad_act!F35*100)</f>
        <v>6.2784152132424165</v>
      </c>
      <c r="G65" s="96">
        <f>IF(G24=0,0,G24/TrRoad_act!G35*100)</f>
        <v>6.4215899816312909</v>
      </c>
      <c r="H65" s="96">
        <f>IF(H24=0,0,H24/TrRoad_act!H35*100)</f>
        <v>6.5775398918762757</v>
      </c>
      <c r="I65" s="96">
        <f>IF(I24=0,0,I24/TrRoad_act!I35*100)</f>
        <v>6.4998875996307968</v>
      </c>
      <c r="J65" s="96">
        <f>IF(J24=0,0,J24/TrRoad_act!J35*100)</f>
        <v>6.5273613007044045</v>
      </c>
      <c r="K65" s="96">
        <f>IF(K24=0,0,K24/TrRoad_act!K35*100)</f>
        <v>6.4823327766252232</v>
      </c>
      <c r="L65" s="96">
        <f>IF(L24=0,0,L24/TrRoad_act!L35*100)</f>
        <v>6.7705301301291323</v>
      </c>
      <c r="M65" s="96">
        <f>IF(M24=0,0,M24/TrRoad_act!M35*100)</f>
        <v>6.6843889083085903</v>
      </c>
      <c r="N65" s="96">
        <f>IF(N24=0,0,N24/TrRoad_act!N35*100)</f>
        <v>6.5718861429336526</v>
      </c>
      <c r="O65" s="96">
        <f>IF(O24=0,0,O24/TrRoad_act!O35*100)</f>
        <v>6.5089787028604462</v>
      </c>
      <c r="P65" s="96">
        <f>IF(P24=0,0,P24/TrRoad_act!P35*100)</f>
        <v>6.4601564917227101</v>
      </c>
      <c r="Q65" s="96">
        <f>IF(Q24=0,0,Q24/TrRoad_act!Q35*100)</f>
        <v>6.3528774533762373</v>
      </c>
      <c r="R65" s="96">
        <f>IF(R24=0,0,R24/TrRoad_act!R35*100)</f>
        <v>6.3841873476400286</v>
      </c>
      <c r="S65" s="96">
        <f>IF(S24=0,0,S24/TrRoad_act!S35*100)</f>
        <v>6.4474222580409277</v>
      </c>
      <c r="T65" s="96">
        <f>IF(T24=0,0,T24/TrRoad_act!T35*100)</f>
        <v>6.360073929638804</v>
      </c>
      <c r="U65" s="96">
        <f>IF(U24=0,0,U24/TrRoad_act!U35*100)</f>
        <v>6.322736214274352</v>
      </c>
      <c r="V65" s="96">
        <f>IF(V24=0,0,V24/TrRoad_act!V35*100)</f>
        <v>6.1698141327241451</v>
      </c>
      <c r="W65" s="96">
        <f>IF(W24=0,0,W24/TrRoad_act!W35*100)</f>
        <v>5.7220232453170174</v>
      </c>
      <c r="X65" s="96">
        <f>IF(X24=0,0,X24/TrRoad_act!X35*100)</f>
        <v>5.6106886883575093</v>
      </c>
      <c r="Y65" s="96">
        <f>IF(Y24=0,0,Y24/TrRoad_act!Y35*100)</f>
        <v>5.65863826810837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8.9677980333724836</v>
      </c>
      <c r="C66" s="96">
        <f>IF(C26=0,0,C26/TrRoad_act!C36*100)</f>
        <v>8.5158893003504037</v>
      </c>
      <c r="D66" s="96">
        <f>IF(D26=0,0,D26/TrRoad_act!D36*100)</f>
        <v>8.4418586861560634</v>
      </c>
      <c r="E66" s="96">
        <f>IF(E26=0,0,E26/TrRoad_act!E36*100)</f>
        <v>7.6552490188565319</v>
      </c>
      <c r="F66" s="96">
        <f>IF(F26=0,0,F26/TrRoad_act!F36*100)</f>
        <v>7.6399158590100713</v>
      </c>
      <c r="G66" s="96">
        <f>IF(G26=0,0,G26/TrRoad_act!G36*100)</f>
        <v>7.5991200353696691</v>
      </c>
      <c r="H66" s="96">
        <f>IF(H26=0,0,H26/TrRoad_act!H36*100)</f>
        <v>7.5989070402598946</v>
      </c>
      <c r="I66" s="96">
        <f>IF(I26=0,0,I26/TrRoad_act!I36*100)</f>
        <v>7.559088928733547</v>
      </c>
      <c r="J66" s="96">
        <f>IF(J26=0,0,J26/TrRoad_act!J36*100)</f>
        <v>7.5645577976376872</v>
      </c>
      <c r="K66" s="96">
        <f>IF(K26=0,0,K26/TrRoad_act!K36*100)</f>
        <v>7.5555727800955816</v>
      </c>
      <c r="L66" s="96">
        <f>IF(L26=0,0,L26/TrRoad_act!L36*100)</f>
        <v>7.5567035163556646</v>
      </c>
      <c r="M66" s="96">
        <f>IF(M26=0,0,M26/TrRoad_act!M36*100)</f>
        <v>7.5823965206425967</v>
      </c>
      <c r="N66" s="96">
        <f>IF(N26=0,0,N26/TrRoad_act!N36*100)</f>
        <v>7.6240398436993759</v>
      </c>
      <c r="O66" s="96">
        <f>IF(O26=0,0,O26/TrRoad_act!O36*100)</f>
        <v>7.6507518603871576</v>
      </c>
      <c r="P66" s="96">
        <f>IF(P26=0,0,P26/TrRoad_act!P36*100)</f>
        <v>7.6642910648266351</v>
      </c>
      <c r="Q66" s="96">
        <f>IF(Q26=0,0,Q26/TrRoad_act!Q36*100)</f>
        <v>7.7528581869798945</v>
      </c>
      <c r="R66" s="96">
        <f>IF(R26=0,0,R26/TrRoad_act!R36*100)</f>
        <v>7.7461719974031329</v>
      </c>
      <c r="S66" s="96">
        <f>IF(S26=0,0,S26/TrRoad_act!S36*100)</f>
        <v>8.2331557960829258</v>
      </c>
      <c r="T66" s="96">
        <f>IF(T26=0,0,T26/TrRoad_act!T36*100)</f>
        <v>8.2991951272701883</v>
      </c>
      <c r="U66" s="96">
        <f>IF(U26=0,0,U26/TrRoad_act!U36*100)</f>
        <v>8.2932627453204173</v>
      </c>
      <c r="V66" s="96">
        <f>IF(V26=0,0,V26/TrRoad_act!V36*100)</f>
        <v>7.9840364226174705</v>
      </c>
      <c r="W66" s="96">
        <f>IF(W26=0,0,W26/TrRoad_act!W36*100)</f>
        <v>8.1027736606171512</v>
      </c>
      <c r="X66" s="96">
        <f>IF(X26=0,0,X26/TrRoad_act!X36*100)</f>
        <v>9.3177416958357142</v>
      </c>
      <c r="Y66" s="96">
        <f>IF(Y26=0,0,Y26/TrRoad_act!Y36*100)</f>
        <v>14.18850928084527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7.8081407674169183</v>
      </c>
      <c r="K67" s="96">
        <f>IF(K27=0,0,K27/TrRoad_act!K37*100)</f>
        <v>7.9070616721112703</v>
      </c>
      <c r="L67" s="96">
        <f>IF(L27=0,0,L27/TrRoad_act!L37*100)</f>
        <v>7.6955614123126406</v>
      </c>
      <c r="M67" s="96">
        <f>IF(M27=0,0,M27/TrRoad_act!M37*100)</f>
        <v>7.727015445174235</v>
      </c>
      <c r="N67" s="96">
        <f>IF(N27=0,0,N27/TrRoad_act!N37*100)</f>
        <v>7.4348824308253221</v>
      </c>
      <c r="O67" s="96">
        <f>IF(O27=0,0,O27/TrRoad_act!O37*100)</f>
        <v>6.9238600023594676</v>
      </c>
      <c r="P67" s="96">
        <f>IF(P27=0,0,P27/TrRoad_act!P37*100)</f>
        <v>6.4909937324917317</v>
      </c>
      <c r="Q67" s="96">
        <f>IF(Q27=0,0,Q27/TrRoad_act!Q37*100)</f>
        <v>6.0402606572868054</v>
      </c>
      <c r="R67" s="96">
        <f>IF(R27=0,0,R27/TrRoad_act!R37*100)</f>
        <v>5.7905483118609338</v>
      </c>
      <c r="S67" s="96">
        <f>IF(S27=0,0,S27/TrRoad_act!S37*100)</f>
        <v>5.7170374428221811</v>
      </c>
      <c r="T67" s="96">
        <f>IF(T27=0,0,T27/TrRoad_act!T37*100)</f>
        <v>5.7261103826269144</v>
      </c>
      <c r="U67" s="96">
        <f>IF(U27=0,0,U27/TrRoad_act!U37*100)</f>
        <v>5.6947349634798003</v>
      </c>
      <c r="V67" s="96">
        <f>IF(V27=0,0,V27/TrRoad_act!V37*100)</f>
        <v>5.636880626561199</v>
      </c>
      <c r="W67" s="96">
        <f>IF(W27=0,0,W27/TrRoad_act!W37*100)</f>
        <v>5.5601211501100902</v>
      </c>
      <c r="X67" s="96">
        <f>IF(X27=0,0,X27/TrRoad_act!X37*100)</f>
        <v>5.5003838552713171</v>
      </c>
      <c r="Y67" s="96">
        <f>IF(Y27=0,0,Y27/TrRoad_act!Y37*100)</f>
        <v>5.4863480542950347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2.5894648079480724</v>
      </c>
      <c r="O68" s="96">
        <f>IF(O29=0,0,O29/TrRoad_act!O38*100)</f>
        <v>2.6982262369763927</v>
      </c>
      <c r="P68" s="96">
        <f>IF(P29=0,0,P29/TrRoad_act!P38*100)</f>
        <v>2.2902100855933334</v>
      </c>
      <c r="Q68" s="96">
        <f>IF(Q29=0,0,Q29/TrRoad_act!Q38*100)</f>
        <v>3.3173852330734306</v>
      </c>
      <c r="R68" s="96">
        <f>IF(R29=0,0,R29/TrRoad_act!R38*100)</f>
        <v>2.9395593318587565</v>
      </c>
      <c r="S68" s="96">
        <f>IF(S29=0,0,S29/TrRoad_act!S38*100)</f>
        <v>3.1900561945518278</v>
      </c>
      <c r="T68" s="96">
        <f>IF(T29=0,0,T29/TrRoad_act!T38*100)</f>
        <v>3.1617121936260899</v>
      </c>
      <c r="U68" s="96">
        <f>IF(U29=0,0,U29/TrRoad_act!U38*100)</f>
        <v>3.1593482967482727</v>
      </c>
      <c r="V68" s="96">
        <f>IF(V29=0,0,V29/TrRoad_act!V38*100)</f>
        <v>3.0900890695062531</v>
      </c>
      <c r="W68" s="96">
        <f>IF(W29=0,0,W29/TrRoad_act!W38*100)</f>
        <v>2.930076995892577</v>
      </c>
      <c r="X68" s="96">
        <f>IF(X29=0,0,X29/TrRoad_act!X38*100)</f>
        <v>2.9506635417812723</v>
      </c>
      <c r="Y68" s="96">
        <f>IF(Y29=0,0,Y29/TrRoad_act!Y38*100)</f>
        <v>2.9384760540575421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1.1755449765471655</v>
      </c>
      <c r="M69" s="96">
        <f>IF(M32=0,0,M32/TrRoad_act!M39*100)</f>
        <v>1.1804051808933986</v>
      </c>
      <c r="N69" s="96">
        <f>IF(N32=0,0,N32/TrRoad_act!N39*100)</f>
        <v>1.1617083805854094</v>
      </c>
      <c r="O69" s="96">
        <f>IF(O32=0,0,O32/TrRoad_act!O39*100)</f>
        <v>1.1507659738501834</v>
      </c>
      <c r="P69" s="96">
        <f>IF(P32=0,0,P32/TrRoad_act!P39*100)</f>
        <v>1.1476359995432683</v>
      </c>
      <c r="Q69" s="96">
        <f>IF(Q32=0,0,Q32/TrRoad_act!Q39*100)</f>
        <v>1.1756275409021297</v>
      </c>
      <c r="R69" s="96">
        <f>IF(R32=0,0,R32/TrRoad_act!R39*100)</f>
        <v>1.3024992372345974</v>
      </c>
      <c r="S69" s="96">
        <f>IF(S32=0,0,S32/TrRoad_act!S39*100)</f>
        <v>1.2877127265791319</v>
      </c>
      <c r="T69" s="96">
        <f>IF(T32=0,0,T32/TrRoad_act!T39*100)</f>
        <v>1.3061558418862238</v>
      </c>
      <c r="U69" s="96">
        <f>IF(U32=0,0,U32/TrRoad_act!U39*100)</f>
        <v>1.3856232660889531</v>
      </c>
      <c r="V69" s="96">
        <f>IF(V32=0,0,V32/TrRoad_act!V39*100)</f>
        <v>1.4215459483165969</v>
      </c>
      <c r="W69" s="96">
        <f>IF(W32=0,0,W32/TrRoad_act!W39*100)</f>
        <v>1.5027971208283457</v>
      </c>
      <c r="X69" s="96">
        <f>IF(X32=0,0,X32/TrRoad_act!X39*100)</f>
        <v>1.5534665397016147</v>
      </c>
      <c r="Y69" s="96">
        <f>IF(Y32=0,0,Y32/TrRoad_act!Y39*100)</f>
        <v>1.5874029631114168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52.537643649693322</v>
      </c>
      <c r="C70" s="130">
        <f>IF(C33=0,0,C33/TrRoad_act!C40*100)</f>
        <v>51.981725968833047</v>
      </c>
      <c r="D70" s="130">
        <f>IF(D33=0,0,D33/TrRoad_act!D40*100)</f>
        <v>51.57141199706826</v>
      </c>
      <c r="E70" s="130">
        <f>IF(E33=0,0,E33/TrRoad_act!E40*100)</f>
        <v>51.28847958143237</v>
      </c>
      <c r="F70" s="130">
        <f>IF(F33=0,0,F33/TrRoad_act!F40*100)</f>
        <v>51.147268878128315</v>
      </c>
      <c r="G70" s="130">
        <f>IF(G33=0,0,G33/TrRoad_act!G40*100)</f>
        <v>50.885157248054171</v>
      </c>
      <c r="H70" s="130">
        <f>IF(H33=0,0,H33/TrRoad_act!H40*100)</f>
        <v>51.439750145313404</v>
      </c>
      <c r="I70" s="130">
        <f>IF(I33=0,0,I33/TrRoad_act!I40*100)</f>
        <v>50.842725334500351</v>
      </c>
      <c r="J70" s="130">
        <f>IF(J33=0,0,J33/TrRoad_act!J40*100)</f>
        <v>50.861195736609929</v>
      </c>
      <c r="K70" s="130">
        <f>IF(K33=0,0,K33/TrRoad_act!K40*100)</f>
        <v>51.021260932389247</v>
      </c>
      <c r="L70" s="130">
        <f>IF(L33=0,0,L33/TrRoad_act!L40*100)</f>
        <v>51.329520718704615</v>
      </c>
      <c r="M70" s="130">
        <f>IF(M33=0,0,M33/TrRoad_act!M40*100)</f>
        <v>51.485601000789615</v>
      </c>
      <c r="N70" s="130">
        <f>IF(N33=0,0,N33/TrRoad_act!N40*100)</f>
        <v>51.799288978330594</v>
      </c>
      <c r="O70" s="130">
        <f>IF(O33=0,0,O33/TrRoad_act!O40*100)</f>
        <v>51.942836291637363</v>
      </c>
      <c r="P70" s="130">
        <f>IF(P33=0,0,P33/TrRoad_act!P40*100)</f>
        <v>53.29937527498808</v>
      </c>
      <c r="Q70" s="130">
        <f>IF(Q33=0,0,Q33/TrRoad_act!Q40*100)</f>
        <v>54.059972621200316</v>
      </c>
      <c r="R70" s="130">
        <f>IF(R33=0,0,R33/TrRoad_act!R40*100)</f>
        <v>54.092668493714214</v>
      </c>
      <c r="S70" s="130">
        <f>IF(S33=0,0,S33/TrRoad_act!S40*100)</f>
        <v>53.564833926584932</v>
      </c>
      <c r="T70" s="130">
        <f>IF(T33=0,0,T33/TrRoad_act!T40*100)</f>
        <v>53.36267456945599</v>
      </c>
      <c r="U70" s="130">
        <f>IF(U33=0,0,U33/TrRoad_act!U40*100)</f>
        <v>54.043519436828404</v>
      </c>
      <c r="V70" s="130">
        <f>IF(V33=0,0,V33/TrRoad_act!V40*100)</f>
        <v>55.400867547595368</v>
      </c>
      <c r="W70" s="130">
        <f>IF(W33=0,0,W33/TrRoad_act!W40*100)</f>
        <v>55.610718082635422</v>
      </c>
      <c r="X70" s="130">
        <f>IF(X33=0,0,X33/TrRoad_act!X40*100)</f>
        <v>52.639858135683539</v>
      </c>
      <c r="Y70" s="130">
        <f>IF(Y33=0,0,Y33/TrRoad_act!Y40*100)</f>
        <v>52.453887139796649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20.440692882953904</v>
      </c>
      <c r="C71" s="97">
        <f>IF(C34=0,0,C34/TrRoad_act!C41*100)</f>
        <v>20.440692882953908</v>
      </c>
      <c r="D71" s="97">
        <f>IF(D34=0,0,D34/TrRoad_act!D41*100)</f>
        <v>20.440692882953908</v>
      </c>
      <c r="E71" s="97">
        <f>IF(E34=0,0,E34/TrRoad_act!E41*100)</f>
        <v>20.440692882953897</v>
      </c>
      <c r="F71" s="97">
        <f>IF(F34=0,0,F34/TrRoad_act!F41*100)</f>
        <v>20.440692882953908</v>
      </c>
      <c r="G71" s="97">
        <f>IF(G34=0,0,G34/TrRoad_act!G41*100)</f>
        <v>20.440692882953901</v>
      </c>
      <c r="H71" s="97">
        <f>IF(H34=0,0,H34/TrRoad_act!H41*100)</f>
        <v>20.440692882953904</v>
      </c>
      <c r="I71" s="97">
        <f>IF(I34=0,0,I34/TrRoad_act!I41*100)</f>
        <v>20.440692882953904</v>
      </c>
      <c r="J71" s="97">
        <f>IF(J34=0,0,J34/TrRoad_act!J41*100)</f>
        <v>20.440692882953908</v>
      </c>
      <c r="K71" s="97">
        <f>IF(K34=0,0,K34/TrRoad_act!K41*100)</f>
        <v>20.440692882953908</v>
      </c>
      <c r="L71" s="97">
        <f>IF(L34=0,0,L34/TrRoad_act!L41*100)</f>
        <v>20.440692882953904</v>
      </c>
      <c r="M71" s="97">
        <f>IF(M34=0,0,M34/TrRoad_act!M41*100)</f>
        <v>20.440692882953908</v>
      </c>
      <c r="N71" s="97">
        <f>IF(N34=0,0,N34/TrRoad_act!N41*100)</f>
        <v>20.440692882953908</v>
      </c>
      <c r="O71" s="97">
        <f>IF(O34=0,0,O34/TrRoad_act!O41*100)</f>
        <v>20.440692882953901</v>
      </c>
      <c r="P71" s="97">
        <f>IF(P34=0,0,P34/TrRoad_act!P41*100)</f>
        <v>20.440692882953908</v>
      </c>
      <c r="Q71" s="97">
        <f>IF(Q34=0,0,Q34/TrRoad_act!Q41*100)</f>
        <v>20.440692882953904</v>
      </c>
      <c r="R71" s="97">
        <f>IF(R34=0,0,R34/TrRoad_act!R41*100)</f>
        <v>20.440692882953908</v>
      </c>
      <c r="S71" s="97">
        <f>IF(S34=0,0,S34/TrRoad_act!S41*100)</f>
        <v>20.440692882953908</v>
      </c>
      <c r="T71" s="97">
        <f>IF(T34=0,0,T34/TrRoad_act!T41*100)</f>
        <v>20.440692882953901</v>
      </c>
      <c r="U71" s="97">
        <f>IF(U34=0,0,U34/TrRoad_act!U41*100)</f>
        <v>20.440692882953908</v>
      </c>
      <c r="V71" s="97">
        <f>IF(V34=0,0,V34/TrRoad_act!V41*100)</f>
        <v>20.440692882953901</v>
      </c>
      <c r="W71" s="97">
        <f>IF(W34=0,0,W34/TrRoad_act!W41*100)</f>
        <v>20.440692882953901</v>
      </c>
      <c r="X71" s="97">
        <f>IF(X34=0,0,X34/TrRoad_act!X41*100)</f>
        <v>20.440692882953904</v>
      </c>
      <c r="Y71" s="97">
        <f>IF(Y34=0,0,Y34/TrRoad_act!Y41*100)</f>
        <v>20.440692882953901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56.050540655254878</v>
      </c>
      <c r="C72" s="97">
        <f>IF(C36=0,0,C36/TrRoad_act!C42*100)</f>
        <v>55.064284453141433</v>
      </c>
      <c r="D72" s="97">
        <f>IF(D36=0,0,D36/TrRoad_act!D42*100)</f>
        <v>54.869899871803874</v>
      </c>
      <c r="E72" s="97">
        <f>IF(E36=0,0,E36/TrRoad_act!E42*100)</f>
        <v>54.479215380395708</v>
      </c>
      <c r="F72" s="97">
        <f>IF(F36=0,0,F36/TrRoad_act!F42*100)</f>
        <v>54.016448155922362</v>
      </c>
      <c r="G72" s="97">
        <f>IF(G36=0,0,G36/TrRoad_act!G42*100)</f>
        <v>53.802316599641443</v>
      </c>
      <c r="H72" s="97">
        <f>IF(H36=0,0,H36/TrRoad_act!H42*100)</f>
        <v>53.658060042558766</v>
      </c>
      <c r="I72" s="97">
        <f>IF(I36=0,0,I36/TrRoad_act!I42*100)</f>
        <v>53.542637313080036</v>
      </c>
      <c r="J72" s="97">
        <f>IF(J36=0,0,J36/TrRoad_act!J42*100)</f>
        <v>53.45691576832656</v>
      </c>
      <c r="K72" s="97">
        <f>IF(K36=0,0,K36/TrRoad_act!K42*100)</f>
        <v>53.362182016002436</v>
      </c>
      <c r="L72" s="97">
        <f>IF(L36=0,0,L36/TrRoad_act!L42*100)</f>
        <v>53.378608681179287</v>
      </c>
      <c r="M72" s="97">
        <f>IF(M36=0,0,M36/TrRoad_act!M42*100)</f>
        <v>53.372985905541249</v>
      </c>
      <c r="N72" s="97">
        <f>IF(N36=0,0,N36/TrRoad_act!N42*100)</f>
        <v>53.421059151879128</v>
      </c>
      <c r="O72" s="97">
        <f>IF(O36=0,0,O36/TrRoad_act!O42*100)</f>
        <v>53.509017390634341</v>
      </c>
      <c r="P72" s="97">
        <f>IF(P36=0,0,P36/TrRoad_act!P42*100)</f>
        <v>53.661279816038586</v>
      </c>
      <c r="Q72" s="97">
        <f>IF(Q36=0,0,Q36/TrRoad_act!Q42*100)</f>
        <v>53.802510871292817</v>
      </c>
      <c r="R72" s="97">
        <f>IF(R36=0,0,R36/TrRoad_act!R42*100)</f>
        <v>54.023996186623378</v>
      </c>
      <c r="S72" s="97">
        <f>IF(S36=0,0,S36/TrRoad_act!S42*100)</f>
        <v>54.115745116394379</v>
      </c>
      <c r="T72" s="97">
        <f>IF(T36=0,0,T36/TrRoad_act!T42*100)</f>
        <v>54.130497798838647</v>
      </c>
      <c r="U72" s="97">
        <f>IF(U36=0,0,U36/TrRoad_act!U42*100)</f>
        <v>54.057978291692166</v>
      </c>
      <c r="V72" s="97">
        <f>IF(V36=0,0,V36/TrRoad_act!V42*100)</f>
        <v>53.945955700311835</v>
      </c>
      <c r="W72" s="97">
        <f>IF(W36=0,0,W36/TrRoad_act!W42*100)</f>
        <v>53.411389900305629</v>
      </c>
      <c r="X72" s="97">
        <f>IF(X36=0,0,X36/TrRoad_act!X42*100)</f>
        <v>52.731809800616489</v>
      </c>
      <c r="Y72" s="97">
        <f>IF(Y36=0,0,Y36/TrRoad_act!Y42*100)</f>
        <v>51.969568946356638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46.107518811745251</v>
      </c>
      <c r="W73" s="97">
        <f>IF(W38=0,0,W38/TrRoad_act!W43*100)</f>
        <v>46.107518811745251</v>
      </c>
      <c r="X73" s="97">
        <f>IF(X38=0,0,X38/TrRoad_act!X43*100)</f>
        <v>46.107518811745251</v>
      </c>
      <c r="Y73" s="97">
        <f>IF(Y38=0,0,Y38/TrRoad_act!Y43*100)</f>
        <v>46.107518811745244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46.004730382857076</v>
      </c>
      <c r="C74" s="97">
        <f>IF(C39=0,0,C39/TrRoad_act!C44*100)</f>
        <v>45.316016889246455</v>
      </c>
      <c r="D74" s="97">
        <f>IF(D39=0,0,D39/TrRoad_act!D44*100)</f>
        <v>44.541605178103957</v>
      </c>
      <c r="E74" s="97">
        <f>IF(E39=0,0,E39/TrRoad_act!E44*100)</f>
        <v>44.080344823769586</v>
      </c>
      <c r="F74" s="97">
        <f>IF(F39=0,0,F39/TrRoad_act!F44*100)</f>
        <v>53.513012621271741</v>
      </c>
      <c r="G74" s="97">
        <f>IF(G39=0,0,G39/TrRoad_act!G44*100)</f>
        <v>46.307953290865697</v>
      </c>
      <c r="H74" s="97">
        <f>IF(H39=0,0,H39/TrRoad_act!H44*100)</f>
        <v>67.406557240579659</v>
      </c>
      <c r="I74" s="97">
        <f>IF(I39=0,0,I39/TrRoad_act!I44*100)</f>
        <v>43.282576019266386</v>
      </c>
      <c r="J74" s="97">
        <f>IF(J39=0,0,J39/TrRoad_act!J44*100)</f>
        <v>43.594492816306328</v>
      </c>
      <c r="K74" s="97">
        <f>IF(K39=0,0,K39/TrRoad_act!K44*100)</f>
        <v>50.920921274503392</v>
      </c>
      <c r="L74" s="97">
        <f>IF(L39=0,0,L39/TrRoad_act!L44*100)</f>
        <v>67.115317381477084</v>
      </c>
      <c r="M74" s="97">
        <f>IF(M39=0,0,M39/TrRoad_act!M44*100)</f>
        <v>75.029663746428128</v>
      </c>
      <c r="N74" s="97">
        <f>IF(N39=0,0,N39/TrRoad_act!N44*100)</f>
        <v>86.691232603438735</v>
      </c>
      <c r="O74" s="97">
        <f>IF(O39=0,0,O39/TrRoad_act!O44*100)</f>
        <v>88.871103598694319</v>
      </c>
      <c r="P74" s="97">
        <f>IF(P39=0,0,P39/TrRoad_act!P44*100)</f>
        <v>149.13192447521459</v>
      </c>
      <c r="Q74" s="97">
        <f>IF(Q39=0,0,Q39/TrRoad_act!Q44*100)</f>
        <v>137.92057172011889</v>
      </c>
      <c r="R74" s="97">
        <f>IF(R39=0,0,R39/TrRoad_act!R44*100)</f>
        <v>104.8579053814877</v>
      </c>
      <c r="S74" s="97">
        <f>IF(S39=0,0,S39/TrRoad_act!S44*100)</f>
        <v>81.208884310985198</v>
      </c>
      <c r="T74" s="97">
        <f>IF(T39=0,0,T39/TrRoad_act!T44*100)</f>
        <v>77.075762672679332</v>
      </c>
      <c r="U74" s="97">
        <f>IF(U39=0,0,U39/TrRoad_act!U44*100)</f>
        <v>80.293662753390095</v>
      </c>
      <c r="V74" s="97">
        <f>IF(V39=0,0,V39/TrRoad_act!V44*100)</f>
        <v>92.336216752690476</v>
      </c>
      <c r="W74" s="97">
        <f>IF(W39=0,0,W39/TrRoad_act!W44*100)</f>
        <v>101.63404767805805</v>
      </c>
      <c r="X74" s="97">
        <f>IF(X39=0,0,X39/TrRoad_act!X44*100)</f>
        <v>75.983689206613889</v>
      </c>
      <c r="Y74" s="97">
        <f>IF(Y39=0,0,Y39/TrRoad_act!Y44*100)</f>
        <v>80.865550613637581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33.644653806838868</v>
      </c>
      <c r="C75" s="97">
        <f>IF(C41=0,0,C41/TrRoad_act!C45*100)</f>
        <v>33.460472131258882</v>
      </c>
      <c r="D75" s="97">
        <f>IF(D41=0,0,D41/TrRoad_act!D45*100)</f>
        <v>33.457687808174633</v>
      </c>
      <c r="E75" s="97">
        <f>IF(E41=0,0,E41/TrRoad_act!E45*100)</f>
        <v>33.456836684830463</v>
      </c>
      <c r="F75" s="97">
        <f>IF(F41=0,0,F41/TrRoad_act!F45*100)</f>
        <v>33.403862412005253</v>
      </c>
      <c r="G75" s="97">
        <f>IF(G41=0,0,G41/TrRoad_act!G45*100)</f>
        <v>33.401636284399373</v>
      </c>
      <c r="H75" s="97">
        <f>IF(H41=0,0,H41/TrRoad_act!H45*100)</f>
        <v>32.950161069361002</v>
      </c>
      <c r="I75" s="97">
        <f>IF(I41=0,0,I41/TrRoad_act!I45*100)</f>
        <v>32.946825136082452</v>
      </c>
      <c r="J75" s="97">
        <f>IF(J41=0,0,J41/TrRoad_act!J45*100)</f>
        <v>32.945277787243171</v>
      </c>
      <c r="K75" s="97">
        <f>IF(K41=0,0,K41/TrRoad_act!K45*100)</f>
        <v>32.940675242185321</v>
      </c>
      <c r="L75" s="97">
        <f>IF(L41=0,0,L41/TrRoad_act!L45*100)</f>
        <v>32.902158476090719</v>
      </c>
      <c r="M75" s="97">
        <f>IF(M41=0,0,M41/TrRoad_act!M45*100)</f>
        <v>32.895593835299152</v>
      </c>
      <c r="N75" s="97">
        <f>IF(N41=0,0,N41/TrRoad_act!N45*100)</f>
        <v>32.895593835299167</v>
      </c>
      <c r="O75" s="97">
        <f>IF(O41=0,0,O41/TrRoad_act!O45*100)</f>
        <v>32.853619086736146</v>
      </c>
      <c r="P75" s="97">
        <f>IF(P41=0,0,P41/TrRoad_act!P45*100)</f>
        <v>32.697214066639035</v>
      </c>
      <c r="Q75" s="97">
        <f>IF(Q41=0,0,Q41/TrRoad_act!Q45*100)</f>
        <v>32.396495358509902</v>
      </c>
      <c r="R75" s="97">
        <f>IF(R41=0,0,R41/TrRoad_act!R45*100)</f>
        <v>31.481217784942615</v>
      </c>
      <c r="S75" s="97">
        <f>IF(S41=0,0,S41/TrRoad_act!S45*100)</f>
        <v>31.079298235666396</v>
      </c>
      <c r="T75" s="97">
        <f>IF(T41=0,0,T41/TrRoad_act!T45*100)</f>
        <v>30.239807176384602</v>
      </c>
      <c r="U75" s="97">
        <f>IF(U41=0,0,U41/TrRoad_act!U45*100)</f>
        <v>30.001091357292765</v>
      </c>
      <c r="V75" s="97">
        <f>IF(V41=0,0,V41/TrRoad_act!V45*100)</f>
        <v>29.83041069854297</v>
      </c>
      <c r="W75" s="97">
        <f>IF(W41=0,0,W41/TrRoad_act!W45*100)</f>
        <v>29.515776536017981</v>
      </c>
      <c r="X75" s="97">
        <f>IF(X41=0,0,X41/TrRoad_act!X45*100)</f>
        <v>28.39938575665137</v>
      </c>
      <c r="Y75" s="97">
        <f>IF(Y41=0,0,Y41/TrRoad_act!Y45*100)</f>
        <v>27.875187602212591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27.25684364196529</v>
      </c>
      <c r="C76" s="32">
        <f>IF(C42=0,0,C42/TrRoad_act!C46*100)</f>
        <v>25.945515368764855</v>
      </c>
      <c r="D76" s="32">
        <f>IF(D42=0,0,D42/TrRoad_act!D46*100)</f>
        <v>25.162225185207497</v>
      </c>
      <c r="E76" s="32">
        <f>IF(E42=0,0,E42/TrRoad_act!E46*100)</f>
        <v>26.364104552200679</v>
      </c>
      <c r="F76" s="32">
        <f>IF(F42=0,0,F42/TrRoad_act!F46*100)</f>
        <v>25.564076443108398</v>
      </c>
      <c r="G76" s="32">
        <f>IF(G42=0,0,G42/TrRoad_act!G46*100)</f>
        <v>25.805322997696951</v>
      </c>
      <c r="H76" s="32">
        <f>IF(H42=0,0,H42/TrRoad_act!H46*100)</f>
        <v>26.164425883632831</v>
      </c>
      <c r="I76" s="32">
        <f>IF(I42=0,0,I42/TrRoad_act!I46*100)</f>
        <v>26.393976775724099</v>
      </c>
      <c r="J76" s="32">
        <f>IF(J42=0,0,J42/TrRoad_act!J46*100)</f>
        <v>24.459682531522198</v>
      </c>
      <c r="K76" s="32">
        <f>IF(K42=0,0,K42/TrRoad_act!K46*100)</f>
        <v>24.080330808611343</v>
      </c>
      <c r="L76" s="32">
        <f>IF(L42=0,0,L42/TrRoad_act!L46*100)</f>
        <v>21.913822926528351</v>
      </c>
      <c r="M76" s="32">
        <f>IF(M42=0,0,M42/TrRoad_act!M46*100)</f>
        <v>21.529369553866353</v>
      </c>
      <c r="N76" s="32">
        <f>IF(N42=0,0,N42/TrRoad_act!N46*100)</f>
        <v>21.225401912570369</v>
      </c>
      <c r="O76" s="32">
        <f>IF(O42=0,0,O42/TrRoad_act!O46*100)</f>
        <v>19.720326544592023</v>
      </c>
      <c r="P76" s="32">
        <f>IF(P42=0,0,P42/TrRoad_act!P46*100)</f>
        <v>19.39322005649349</v>
      </c>
      <c r="Q76" s="32">
        <f>IF(Q42=0,0,Q42/TrRoad_act!Q46*100)</f>
        <v>19.040495036105778</v>
      </c>
      <c r="R76" s="32">
        <f>IF(R42=0,0,R42/TrRoad_act!R46*100)</f>
        <v>21.264059558708183</v>
      </c>
      <c r="S76" s="32">
        <f>IF(S42=0,0,S42/TrRoad_act!S46*100)</f>
        <v>21.266533744328701</v>
      </c>
      <c r="T76" s="32">
        <f>IF(T42=0,0,T42/TrRoad_act!T46*100)</f>
        <v>21.059626009293648</v>
      </c>
      <c r="U76" s="32">
        <f>IF(U42=0,0,U42/TrRoad_act!U46*100)</f>
        <v>20.742139624203407</v>
      </c>
      <c r="V76" s="32">
        <f>IF(V42=0,0,V42/TrRoad_act!V46*100)</f>
        <v>19.158258243797714</v>
      </c>
      <c r="W76" s="32">
        <f>IF(W42=0,0,W42/TrRoad_act!W46*100)</f>
        <v>20.333495311986375</v>
      </c>
      <c r="X76" s="32">
        <f>IF(X42=0,0,X42/TrRoad_act!X46*100)</f>
        <v>20.435851739559389</v>
      </c>
      <c r="Y76" s="32">
        <f>IF(Y42=0,0,Y42/TrRoad_act!Y46*100)</f>
        <v>20.525271418764145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11.581255625172984</v>
      </c>
      <c r="C77" s="141">
        <f>IF(C43=0,0,C43/TrRoad_act!C47*100)</f>
        <v>10.687121957399192</v>
      </c>
      <c r="D77" s="141">
        <f>IF(D43=0,0,D43/TrRoad_act!D47*100)</f>
        <v>10.370279309671925</v>
      </c>
      <c r="E77" s="141">
        <f>IF(E43=0,0,E43/TrRoad_act!E47*100)</f>
        <v>10.139287027847313</v>
      </c>
      <c r="F77" s="141">
        <f>IF(F43=0,0,F43/TrRoad_act!F47*100)</f>
        <v>9.9460807335606667</v>
      </c>
      <c r="G77" s="141">
        <f>IF(G43=0,0,G43/TrRoad_act!G47*100)</f>
        <v>9.8011615333965665</v>
      </c>
      <c r="H77" s="141">
        <f>IF(H43=0,0,H43/TrRoad_act!H47*100)</f>
        <v>9.7068914719929946</v>
      </c>
      <c r="I77" s="141">
        <f>IF(I43=0,0,I43/TrRoad_act!I47*100)</f>
        <v>9.648741133990578</v>
      </c>
      <c r="J77" s="141">
        <f>IF(J43=0,0,J43/TrRoad_act!J47*100)</f>
        <v>9.6318506095039247</v>
      </c>
      <c r="K77" s="141">
        <f>IF(K43=0,0,K43/TrRoad_act!K47*100)</f>
        <v>9.6021671578047272</v>
      </c>
      <c r="L77" s="141">
        <f>IF(L43=0,0,L43/TrRoad_act!L47*100)</f>
        <v>9.6066039590178391</v>
      </c>
      <c r="M77" s="141">
        <f>IF(M43=0,0,M43/TrRoad_act!M47*100)</f>
        <v>9.6386011384468091</v>
      </c>
      <c r="N77" s="141">
        <f>IF(N43=0,0,N43/TrRoad_act!N47*100)</f>
        <v>9.6499151969694204</v>
      </c>
      <c r="O77" s="141">
        <f>IF(O43=0,0,O43/TrRoad_act!O47*100)</f>
        <v>9.6513400698530845</v>
      </c>
      <c r="P77" s="141">
        <f>IF(P43=0,0,P43/TrRoad_act!P47*100)</f>
        <v>9.6638212007445663</v>
      </c>
      <c r="Q77" s="141">
        <f>IF(Q43=0,0,Q43/TrRoad_act!Q47*100)</f>
        <v>9.6529912984944986</v>
      </c>
      <c r="R77" s="141">
        <f>IF(R43=0,0,R43/TrRoad_act!R47*100)</f>
        <v>9.6846463343157367</v>
      </c>
      <c r="S77" s="141">
        <f>IF(S43=0,0,S43/TrRoad_act!S47*100)</f>
        <v>9.6601825912913935</v>
      </c>
      <c r="T77" s="141">
        <f>IF(T43=0,0,T43/TrRoad_act!T47*100)</f>
        <v>9.6219783780048704</v>
      </c>
      <c r="U77" s="141">
        <f>IF(U43=0,0,U43/TrRoad_act!U47*100)</f>
        <v>9.5833174315083749</v>
      </c>
      <c r="V77" s="141">
        <f>IF(V43=0,0,V43/TrRoad_act!V47*100)</f>
        <v>9.5843489167563245</v>
      </c>
      <c r="W77" s="141">
        <f>IF(W43=0,0,W43/TrRoad_act!W47*100)</f>
        <v>9.578409008989814</v>
      </c>
      <c r="X77" s="141">
        <f>IF(X43=0,0,X43/TrRoad_act!X47*100)</f>
        <v>9.5633854811529684</v>
      </c>
      <c r="Y77" s="141">
        <f>IF(Y43=0,0,Y43/TrRoad_act!Y47*100)</f>
        <v>9.5509675800703278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9.3753171375704163</v>
      </c>
      <c r="C78" s="96">
        <f>IF(C44=0,0,C44/TrRoad_act!C48*100)</f>
        <v>9.0965528699388543</v>
      </c>
      <c r="D78" s="96">
        <f>IF(D44=0,0,D44/TrRoad_act!D48*100)</f>
        <v>8.9580516933497591</v>
      </c>
      <c r="E78" s="96">
        <f>IF(E44=0,0,E44/TrRoad_act!E48*100)</f>
        <v>8.9049651382121251</v>
      </c>
      <c r="F78" s="96">
        <f>IF(F44=0,0,F44/TrRoad_act!F48*100)</f>
        <v>8.8218216998929559</v>
      </c>
      <c r="G78" s="96">
        <f>IF(G44=0,0,G44/TrRoad_act!G48*100)</f>
        <v>8.7176907874082907</v>
      </c>
      <c r="H78" s="96">
        <f>IF(H44=0,0,H44/TrRoad_act!H48*100)</f>
        <v>8.609668793210691</v>
      </c>
      <c r="I78" s="96">
        <f>IF(I44=0,0,I44/TrRoad_act!I48*100)</f>
        <v>8.5318085725026727</v>
      </c>
      <c r="J78" s="96">
        <f>IF(J44=0,0,J44/TrRoad_act!J48*100)</f>
        <v>8.4680533079648228</v>
      </c>
      <c r="K78" s="96">
        <f>IF(K44=0,0,K44/TrRoad_act!K48*100)</f>
        <v>8.4341321353635195</v>
      </c>
      <c r="L78" s="96">
        <f>IF(L44=0,0,L44/TrRoad_act!L48*100)</f>
        <v>8.4041504106322797</v>
      </c>
      <c r="M78" s="96">
        <f>IF(M44=0,0,M44/TrRoad_act!M48*100)</f>
        <v>8.3922837748148673</v>
      </c>
      <c r="N78" s="96">
        <f>IF(N44=0,0,N44/TrRoad_act!N48*100)</f>
        <v>8.3905048681213525</v>
      </c>
      <c r="O78" s="96">
        <f>IF(O44=0,0,O44/TrRoad_act!O48*100)</f>
        <v>8.4065459818337747</v>
      </c>
      <c r="P78" s="96">
        <f>IF(P44=0,0,P44/TrRoad_act!P48*100)</f>
        <v>8.3862139466282777</v>
      </c>
      <c r="Q78" s="96">
        <f>IF(Q44=0,0,Q44/TrRoad_act!Q48*100)</f>
        <v>8.3380388286497897</v>
      </c>
      <c r="R78" s="96">
        <f>IF(R44=0,0,R44/TrRoad_act!R48*100)</f>
        <v>8.297146361208469</v>
      </c>
      <c r="S78" s="96">
        <f>IF(S44=0,0,S44/TrRoad_act!S48*100)</f>
        <v>8.2468890724027641</v>
      </c>
      <c r="T78" s="96">
        <f>IF(T44=0,0,T44/TrRoad_act!T48*100)</f>
        <v>8.2078339678036993</v>
      </c>
      <c r="U78" s="96">
        <f>IF(U44=0,0,U44/TrRoad_act!U48*100)</f>
        <v>8.1672716701398116</v>
      </c>
      <c r="V78" s="96">
        <f>IF(V44=0,0,V44/TrRoad_act!V48*100)</f>
        <v>8.1472410285927133</v>
      </c>
      <c r="W78" s="96">
        <f>IF(W44=0,0,W44/TrRoad_act!W48*100)</f>
        <v>8.076513023196906</v>
      </c>
      <c r="X78" s="96">
        <f>IF(X44=0,0,X44/TrRoad_act!X48*100)</f>
        <v>8.0296548642208521</v>
      </c>
      <c r="Y78" s="96">
        <f>IF(Y44=0,0,Y44/TrRoad_act!Y48*100)</f>
        <v>7.9794411910168517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11.776057478784022</v>
      </c>
      <c r="C79" s="96">
        <f>IF(C46=0,0,C46/TrRoad_act!C49*100)</f>
        <v>10.709376850572951</v>
      </c>
      <c r="D79" s="96">
        <f>IF(D46=0,0,D46/TrRoad_act!D49*100)</f>
        <v>10.395672120993222</v>
      </c>
      <c r="E79" s="96">
        <f>IF(E46=0,0,E46/TrRoad_act!E49*100)</f>
        <v>10.128462846705533</v>
      </c>
      <c r="F79" s="96">
        <f>IF(F46=0,0,F46/TrRoad_act!F49*100)</f>
        <v>9.9323688341643503</v>
      </c>
      <c r="G79" s="96">
        <f>IF(G46=0,0,G46/TrRoad_act!G49*100)</f>
        <v>9.8091692603340075</v>
      </c>
      <c r="H79" s="96">
        <f>IF(H46=0,0,H46/TrRoad_act!H49*100)</f>
        <v>9.7507834602354233</v>
      </c>
      <c r="I79" s="96">
        <f>IF(I46=0,0,I46/TrRoad_act!I49*100)</f>
        <v>9.7194800339616307</v>
      </c>
      <c r="J79" s="96">
        <f>IF(J46=0,0,J46/TrRoad_act!J49*100)</f>
        <v>9.7267574464196969</v>
      </c>
      <c r="K79" s="96">
        <f>IF(K46=0,0,K46/TrRoad_act!K49*100)</f>
        <v>9.6955612041804038</v>
      </c>
      <c r="L79" s="96">
        <f>IF(L46=0,0,L46/TrRoad_act!L49*100)</f>
        <v>9.7036980610135224</v>
      </c>
      <c r="M79" s="96">
        <f>IF(M46=0,0,M46/TrRoad_act!M49*100)</f>
        <v>9.7393870032983383</v>
      </c>
      <c r="N79" s="96">
        <f>IF(N46=0,0,N46/TrRoad_act!N49*100)</f>
        <v>9.7386004491784313</v>
      </c>
      <c r="O79" s="96">
        <f>IF(O46=0,0,O46/TrRoad_act!O49*100)</f>
        <v>9.731319040610769</v>
      </c>
      <c r="P79" s="96">
        <f>IF(P46=0,0,P46/TrRoad_act!P49*100)</f>
        <v>9.7335325190838624</v>
      </c>
      <c r="Q79" s="96">
        <f>IF(Q46=0,0,Q46/TrRoad_act!Q49*100)</f>
        <v>9.7336087462710843</v>
      </c>
      <c r="R79" s="96">
        <f>IF(R46=0,0,R46/TrRoad_act!R49*100)</f>
        <v>9.7726784397006341</v>
      </c>
      <c r="S79" s="96">
        <f>IF(S46=0,0,S46/TrRoad_act!S49*100)</f>
        <v>9.7529082187390692</v>
      </c>
      <c r="T79" s="96">
        <f>IF(T46=0,0,T46/TrRoad_act!T49*100)</f>
        <v>9.722391447654994</v>
      </c>
      <c r="U79" s="96">
        <f>IF(U46=0,0,U46/TrRoad_act!U49*100)</f>
        <v>9.6944044537267811</v>
      </c>
      <c r="V79" s="96">
        <f>IF(V46=0,0,V46/TrRoad_act!V49*100)</f>
        <v>9.7117142777645018</v>
      </c>
      <c r="W79" s="96">
        <f>IF(W46=0,0,W46/TrRoad_act!W49*100)</f>
        <v>9.7227829565941537</v>
      </c>
      <c r="X79" s="96">
        <f>IF(X46=0,0,X46/TrRoad_act!X49*100)</f>
        <v>9.7189198663454039</v>
      </c>
      <c r="Y79" s="96">
        <f>IF(Y46=0,0,Y46/TrRoad_act!Y49*100)</f>
        <v>9.7272820284530859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21.130402231488603</v>
      </c>
      <c r="C80" s="96">
        <f>IF(C48=0,0,C48/TrRoad_act!C50*100)</f>
        <v>20.859238481023773</v>
      </c>
      <c r="D80" s="96">
        <f>IF(D48=0,0,D48/TrRoad_act!D50*100)</f>
        <v>20.214706272787168</v>
      </c>
      <c r="E80" s="96">
        <f>IF(E48=0,0,E48/TrRoad_act!E50*100)</f>
        <v>19.53691417443952</v>
      </c>
      <c r="F80" s="96">
        <f>IF(F48=0,0,F48/TrRoad_act!F50*100)</f>
        <v>18.667270217459933</v>
      </c>
      <c r="G80" s="96">
        <f>IF(G48=0,0,G48/TrRoad_act!G50*100)</f>
        <v>17.917190027817451</v>
      </c>
      <c r="H80" s="96">
        <f>IF(H48=0,0,H48/TrRoad_act!H50*100)</f>
        <v>17.007834315328189</v>
      </c>
      <c r="I80" s="96">
        <f>IF(I48=0,0,I48/TrRoad_act!I50*100)</f>
        <v>16.227566429172644</v>
      </c>
      <c r="J80" s="96">
        <f>IF(J48=0,0,J48/TrRoad_act!J50*100)</f>
        <v>15.84210100975438</v>
      </c>
      <c r="K80" s="96">
        <f>IF(K48=0,0,K48/TrRoad_act!K50*100)</f>
        <v>15.327072894570644</v>
      </c>
      <c r="L80" s="96">
        <f>IF(L48=0,0,L48/TrRoad_act!L50*100)</f>
        <v>14.978201550524856</v>
      </c>
      <c r="M80" s="96">
        <f>IF(M48=0,0,M48/TrRoad_act!M50*100)</f>
        <v>14.611693188932003</v>
      </c>
      <c r="N80" s="96">
        <f>IF(N48=0,0,N48/TrRoad_act!N50*100)</f>
        <v>14.410444541426454</v>
      </c>
      <c r="O80" s="96">
        <f>IF(O48=0,0,O48/TrRoad_act!O50*100)</f>
        <v>14.383996902564672</v>
      </c>
      <c r="P80" s="96">
        <f>IF(P48=0,0,P48/TrRoad_act!P50*100)</f>
        <v>14.419532138706199</v>
      </c>
      <c r="Q80" s="96">
        <f>IF(Q48=0,0,Q48/TrRoad_act!Q50*100)</f>
        <v>14.362154755629103</v>
      </c>
      <c r="R80" s="96">
        <f>IF(R48=0,0,R48/TrRoad_act!R50*100)</f>
        <v>14.407582093622301</v>
      </c>
      <c r="S80" s="96">
        <f>IF(S48=0,0,S48/TrRoad_act!S50*100)</f>
        <v>14.302476861112876</v>
      </c>
      <c r="T80" s="96">
        <f>IF(T48=0,0,T48/TrRoad_act!T50*100)</f>
        <v>14.137482382751134</v>
      </c>
      <c r="U80" s="96">
        <f>IF(U48=0,0,U48/TrRoad_act!U50*100)</f>
        <v>14.110663688509792</v>
      </c>
      <c r="V80" s="96">
        <f>IF(V48=0,0,V48/TrRoad_act!V50*100)</f>
        <v>14.125379355900524</v>
      </c>
      <c r="W80" s="96">
        <f>IF(W48=0,0,W48/TrRoad_act!W50*100)</f>
        <v>14.125057980835475</v>
      </c>
      <c r="X80" s="96">
        <f>IF(X48=0,0,X48/TrRoad_act!X50*100)</f>
        <v>14.069617700685511</v>
      </c>
      <c r="Y80" s="96">
        <f>IF(Y48=0,0,Y48/TrRoad_act!Y50*100)</f>
        <v>13.937511654012003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12.484041924061618</v>
      </c>
      <c r="O81" s="96">
        <f>IF(O49=0,0,O49/TrRoad_act!O51*100)</f>
        <v>12.028697141004956</v>
      </c>
      <c r="P81" s="96">
        <f>IF(P49=0,0,P49/TrRoad_act!P51*100)</f>
        <v>11.476815935665945</v>
      </c>
      <c r="Q81" s="96">
        <f>IF(Q49=0,0,Q49/TrRoad_act!Q51*100)</f>
        <v>9.8917521370447421</v>
      </c>
      <c r="R81" s="96">
        <f>IF(R49=0,0,R49/TrRoad_act!R51*100)</f>
        <v>11.021653632517106</v>
      </c>
      <c r="S81" s="96">
        <f>IF(S49=0,0,S49/TrRoad_act!S51*100)</f>
        <v>10.641422775902777</v>
      </c>
      <c r="T81" s="96">
        <f>IF(T49=0,0,T49/TrRoad_act!T51*100)</f>
        <v>10.289477511848546</v>
      </c>
      <c r="U81" s="96">
        <f>IF(U49=0,0,U49/TrRoad_act!U51*100)</f>
        <v>10.090461031435105</v>
      </c>
      <c r="V81" s="96">
        <f>IF(V49=0,0,V49/TrRoad_act!V51*100)</f>
        <v>9.9981974004761369</v>
      </c>
      <c r="W81" s="96">
        <f>IF(W49=0,0,W49/TrRoad_act!W51*100)</f>
        <v>9.9486693204986221</v>
      </c>
      <c r="X81" s="96">
        <f>IF(X49=0,0,X49/TrRoad_act!X51*100)</f>
        <v>9.9769434913479333</v>
      </c>
      <c r="Y81" s="96">
        <f>IF(Y49=0,0,Y49/TrRoad_act!Y51*100)</f>
        <v>9.9574193063920031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1.7636212467884844</v>
      </c>
      <c r="K82" s="96">
        <f>IF(K51=0,0,K51/TrRoad_act!K52*100)</f>
        <v>1.7645347421092583</v>
      </c>
      <c r="L82" s="96">
        <f>IF(L51=0,0,L51/TrRoad_act!L52*100)</f>
        <v>1.76604729328276</v>
      </c>
      <c r="M82" s="96">
        <f>IF(M51=0,0,M51/TrRoad_act!M52*100)</f>
        <v>1.7704593444435253</v>
      </c>
      <c r="N82" s="96">
        <f>IF(N51=0,0,N51/TrRoad_act!N52*100)</f>
        <v>1.7836554517052243</v>
      </c>
      <c r="O82" s="96">
        <f>IF(O51=0,0,O51/TrRoad_act!O52*100)</f>
        <v>1.7936736625235226</v>
      </c>
      <c r="P82" s="96">
        <f>IF(P51=0,0,P51/TrRoad_act!P52*100)</f>
        <v>1.8074878145683002</v>
      </c>
      <c r="Q82" s="96">
        <f>IF(Q51=0,0,Q51/TrRoad_act!Q52*100)</f>
        <v>1.8517425388490483</v>
      </c>
      <c r="R82" s="96">
        <f>IF(R51=0,0,R51/TrRoad_act!R52*100)</f>
        <v>1.8627312558939373</v>
      </c>
      <c r="S82" s="96">
        <f>IF(S51=0,0,S51/TrRoad_act!S52*100)</f>
        <v>1.8748547722442457</v>
      </c>
      <c r="T82" s="96">
        <f>IF(T51=0,0,T51/TrRoad_act!T52*100)</f>
        <v>2.0215540662567717</v>
      </c>
      <c r="U82" s="96">
        <f>IF(U51=0,0,U51/TrRoad_act!U52*100)</f>
        <v>2.2530367224003163</v>
      </c>
      <c r="V82" s="96">
        <f>IF(V51=0,0,V51/TrRoad_act!V52*100)</f>
        <v>2.3260067431121199</v>
      </c>
      <c r="W82" s="96">
        <f>IF(W51=0,0,W51/TrRoad_act!W52*100)</f>
        <v>2.6725708831064265</v>
      </c>
      <c r="X82" s="96">
        <f>IF(X51=0,0,X51/TrRoad_act!X52*100)</f>
        <v>2.8247848143358811</v>
      </c>
      <c r="Y82" s="96">
        <f>IF(Y51=0,0,Y51/TrRoad_act!Y52*100)</f>
        <v>2.8245029380434943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36.765323492394273</v>
      </c>
      <c r="C83" s="130">
        <f>IF(C52=0,0,C52/TrRoad_act!C53*100)</f>
        <v>35.55015852748636</v>
      </c>
      <c r="D83" s="130">
        <f>IF(D52=0,0,D52/TrRoad_act!D53*100)</f>
        <v>35.090706315616252</v>
      </c>
      <c r="E83" s="130">
        <f>IF(E52=0,0,E52/TrRoad_act!E53*100)</f>
        <v>37.648317543378042</v>
      </c>
      <c r="F83" s="130">
        <f>IF(F52=0,0,F52/TrRoad_act!F53*100)</f>
        <v>36.981006364563932</v>
      </c>
      <c r="G83" s="130">
        <f>IF(G52=0,0,G52/TrRoad_act!G53*100)</f>
        <v>38.344245534258476</v>
      </c>
      <c r="H83" s="130">
        <f>IF(H52=0,0,H52/TrRoad_act!H53*100)</f>
        <v>41.404894967603965</v>
      </c>
      <c r="I83" s="130">
        <f>IF(I52=0,0,I52/TrRoad_act!I53*100)</f>
        <v>44.200506521071745</v>
      </c>
      <c r="J83" s="130">
        <f>IF(J52=0,0,J52/TrRoad_act!J53*100)</f>
        <v>44.327838189290162</v>
      </c>
      <c r="K83" s="130">
        <f>IF(K52=0,0,K52/TrRoad_act!K53*100)</f>
        <v>47.017918266770636</v>
      </c>
      <c r="L83" s="130">
        <f>IF(L52=0,0,L52/TrRoad_act!L53*100)</f>
        <v>42.301263781849116</v>
      </c>
      <c r="M83" s="130">
        <f>IF(M52=0,0,M52/TrRoad_act!M53*100)</f>
        <v>41.289863158337944</v>
      </c>
      <c r="N83" s="130">
        <f>IF(N52=0,0,N52/TrRoad_act!N53*100)</f>
        <v>41.361821579406147</v>
      </c>
      <c r="O83" s="130">
        <f>IF(O52=0,0,O52/TrRoad_act!O53*100)</f>
        <v>36.824344780282004</v>
      </c>
      <c r="P83" s="130">
        <f>IF(P52=0,0,P52/TrRoad_act!P53*100)</f>
        <v>36.939722365279586</v>
      </c>
      <c r="Q83" s="130">
        <f>IF(Q52=0,0,Q52/TrRoad_act!Q53*100)</f>
        <v>35.106373436370049</v>
      </c>
      <c r="R83" s="130">
        <f>IF(R52=0,0,R52/TrRoad_act!R53*100)</f>
        <v>37.978958345136995</v>
      </c>
      <c r="S83" s="130">
        <f>IF(S52=0,0,S52/TrRoad_act!S53*100)</f>
        <v>37.797526261716953</v>
      </c>
      <c r="T83" s="130">
        <f>IF(T52=0,0,T52/TrRoad_act!T53*100)</f>
        <v>37.469141751198983</v>
      </c>
      <c r="U83" s="130">
        <f>IF(U52=0,0,U52/TrRoad_act!U53*100)</f>
        <v>36.511924945144635</v>
      </c>
      <c r="V83" s="130">
        <f>IF(V52=0,0,V52/TrRoad_act!V53*100)</f>
        <v>31.024779666472185</v>
      </c>
      <c r="W83" s="130">
        <f>IF(W52=0,0,W52/TrRoad_act!W53*100)</f>
        <v>32.892310295107499</v>
      </c>
      <c r="X83" s="130">
        <f>IF(X52=0,0,X52/TrRoad_act!X53*100)</f>
        <v>33.291904213091435</v>
      </c>
      <c r="Y83" s="130">
        <f>IF(Y52=0,0,Y52/TrRoad_act!Y53*100)</f>
        <v>33.811341309476852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31.703611098330903</v>
      </c>
      <c r="C84" s="97">
        <f>IF(C53=0,0,C53/TrRoad_act!C54*100)</f>
        <v>31.558152019309198</v>
      </c>
      <c r="D84" s="97">
        <f>IF(D53=0,0,D53/TrRoad_act!D54*100)</f>
        <v>31.46044758552501</v>
      </c>
      <c r="E84" s="97">
        <f>IF(E53=0,0,E53/TrRoad_act!E54*100)</f>
        <v>31.701651442357299</v>
      </c>
      <c r="F84" s="97">
        <f>IF(F53=0,0,F53/TrRoad_act!F54*100)</f>
        <v>31.613196593548704</v>
      </c>
      <c r="G84" s="97">
        <f>IF(G53=0,0,G53/TrRoad_act!G54*100)</f>
        <v>31.682515422183872</v>
      </c>
      <c r="H84" s="97">
        <f>IF(H53=0,0,H53/TrRoad_act!H54*100)</f>
        <v>31.833069990430602</v>
      </c>
      <c r="I84" s="97">
        <f>IF(I53=0,0,I53/TrRoad_act!I54*100)</f>
        <v>31.96689421933846</v>
      </c>
      <c r="J84" s="97">
        <f>IF(J53=0,0,J53/TrRoad_act!J54*100)</f>
        <v>31.866005850334549</v>
      </c>
      <c r="K84" s="97">
        <f>IF(K53=0,0,K53/TrRoad_act!K54*100)</f>
        <v>32.038660807607428</v>
      </c>
      <c r="L84" s="97">
        <f>IF(L53=0,0,L53/TrRoad_act!L54*100)</f>
        <v>31.442971409234765</v>
      </c>
      <c r="M84" s="97">
        <f>IF(M53=0,0,M53/TrRoad_act!M54*100)</f>
        <v>31.178726712228094</v>
      </c>
      <c r="N84" s="97">
        <f>IF(N53=0,0,N53/TrRoad_act!N54*100)</f>
        <v>31.022575157053843</v>
      </c>
      <c r="O84" s="97">
        <f>IF(O53=0,0,O53/TrRoad_act!O54*100)</f>
        <v>30.421427086432946</v>
      </c>
      <c r="P84" s="97">
        <f>IF(P53=0,0,P53/TrRoad_act!P54*100)</f>
        <v>30.380322737363851</v>
      </c>
      <c r="Q84" s="97">
        <f>IF(Q53=0,0,Q53/TrRoad_act!Q54*100)</f>
        <v>30.061701167750766</v>
      </c>
      <c r="R84" s="97">
        <f>IF(R53=0,0,R53/TrRoad_act!R54*100)</f>
        <v>30.248241021203683</v>
      </c>
      <c r="S84" s="97">
        <f>IF(S53=0,0,S53/TrRoad_act!S54*100)</f>
        <v>30.162689489502664</v>
      </c>
      <c r="T84" s="97">
        <f>IF(T53=0,0,T53/TrRoad_act!T54*100)</f>
        <v>30.090509581120266</v>
      </c>
      <c r="U84" s="97">
        <f>IF(U53=0,0,U53/TrRoad_act!U54*100)</f>
        <v>29.88438946655566</v>
      </c>
      <c r="V84" s="97">
        <f>IF(V53=0,0,V53/TrRoad_act!V54*100)</f>
        <v>29.284408224519343</v>
      </c>
      <c r="W84" s="97">
        <f>IF(W53=0,0,W53/TrRoad_act!W54*100)</f>
        <v>29.436392157262869</v>
      </c>
      <c r="X84" s="97">
        <f>IF(X53=0,0,X53/TrRoad_act!X54*100)</f>
        <v>29.4772219164796</v>
      </c>
      <c r="Y84" s="97">
        <f>IF(Y53=0,0,Y53/TrRoad_act!Y54*100)</f>
        <v>29.536550559239664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45.554229600343163</v>
      </c>
      <c r="C85" s="98">
        <f>IF(C55=0,0,C55/TrRoad_act!C55*100)</f>
        <v>43.063594986299925</v>
      </c>
      <c r="D85" s="98">
        <f>IF(D55=0,0,D55/TrRoad_act!D55*100)</f>
        <v>42.514060267246904</v>
      </c>
      <c r="E85" s="98">
        <f>IF(E55=0,0,E55/TrRoad_act!E55*100)</f>
        <v>51.714285362816028</v>
      </c>
      <c r="F85" s="98">
        <f>IF(F55=0,0,F55/TrRoad_act!F55*100)</f>
        <v>48.66599496313794</v>
      </c>
      <c r="G85" s="98">
        <f>IF(G55=0,0,G55/TrRoad_act!G55*100)</f>
        <v>54.637650526098156</v>
      </c>
      <c r="H85" s="98">
        <f>IF(H55=0,0,H55/TrRoad_act!H55*100)</f>
        <v>63.001189356917365</v>
      </c>
      <c r="I85" s="98">
        <f>IF(I55=0,0,I55/TrRoad_act!I55*100)</f>
        <v>70.615895506679095</v>
      </c>
      <c r="J85" s="98">
        <f>IF(J55=0,0,J55/TrRoad_act!J55*100)</f>
        <v>71.757517335026094</v>
      </c>
      <c r="K85" s="98">
        <f>IF(K55=0,0,K55/TrRoad_act!K55*100)</f>
        <v>75.918539682419109</v>
      </c>
      <c r="L85" s="98">
        <f>IF(L55=0,0,L55/TrRoad_act!L55*100)</f>
        <v>61.839057913034964</v>
      </c>
      <c r="M85" s="98">
        <f>IF(M55=0,0,M55/TrRoad_act!M55*100)</f>
        <v>58.318195159821784</v>
      </c>
      <c r="N85" s="98">
        <f>IF(N55=0,0,N55/TrRoad_act!N55*100)</f>
        <v>58.031465122986916</v>
      </c>
      <c r="O85" s="98">
        <f>IF(O55=0,0,O55/TrRoad_act!O55*100)</f>
        <v>46.534045997448096</v>
      </c>
      <c r="P85" s="98">
        <f>IF(P55=0,0,P55/TrRoad_act!P55*100)</f>
        <v>47.653995382158818</v>
      </c>
      <c r="Q85" s="98">
        <f>IF(Q55=0,0,Q55/TrRoad_act!Q55*100)</f>
        <v>44.302339911458674</v>
      </c>
      <c r="R85" s="98">
        <f>IF(R55=0,0,R55/TrRoad_act!R55*100)</f>
        <v>52.75496405893707</v>
      </c>
      <c r="S85" s="98">
        <f>IF(S55=0,0,S55/TrRoad_act!S55*100)</f>
        <v>53.110610794194777</v>
      </c>
      <c r="T85" s="98">
        <f>IF(T55=0,0,T55/TrRoad_act!T55*100)</f>
        <v>54.013077091808327</v>
      </c>
      <c r="U85" s="98">
        <f>IF(U55=0,0,U55/TrRoad_act!U55*100)</f>
        <v>50.926990985329354</v>
      </c>
      <c r="V85" s="98">
        <f>IF(V55=0,0,V55/TrRoad_act!V55*100)</f>
        <v>34.601465410806092</v>
      </c>
      <c r="W85" s="98">
        <f>IF(W55=0,0,W55/TrRoad_act!W55*100)</f>
        <v>40.180156039770928</v>
      </c>
      <c r="X85" s="98">
        <f>IF(X55=0,0,X55/TrRoad_act!X55*100)</f>
        <v>40.596227236121067</v>
      </c>
      <c r="Y85" s="98">
        <f>IF(Y55=0,0,Y55/TrRoad_act!Y55*100)</f>
        <v>42.307872038550904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34.588154383921278</v>
      </c>
      <c r="C88" s="29">
        <f>IF(TrRoad_act!C4=0,0,C18/TrRoad_act!C4*1000)</f>
        <v>35.844326413435553</v>
      </c>
      <c r="D88" s="29">
        <f>IF(TrRoad_act!D4=0,0,D18/TrRoad_act!D4*1000)</f>
        <v>36.656030349472374</v>
      </c>
      <c r="E88" s="29">
        <f>IF(TrRoad_act!E4=0,0,E18/TrRoad_act!E4*1000)</f>
        <v>39.62634884023619</v>
      </c>
      <c r="F88" s="29">
        <f>IF(TrRoad_act!F4=0,0,F18/TrRoad_act!F4*1000)</f>
        <v>40.778247801617482</v>
      </c>
      <c r="G88" s="29">
        <f>IF(TrRoad_act!G4=0,0,G18/TrRoad_act!G4*1000)</f>
        <v>41.374407765654531</v>
      </c>
      <c r="H88" s="29">
        <f>IF(TrRoad_act!H4=0,0,H18/TrRoad_act!H4*1000)</f>
        <v>41.472632704789618</v>
      </c>
      <c r="I88" s="29">
        <f>IF(TrRoad_act!I4=0,0,I18/TrRoad_act!I4*1000)</f>
        <v>41.96340258827307</v>
      </c>
      <c r="J88" s="29">
        <f>IF(TrRoad_act!J4=0,0,J18/TrRoad_act!J4*1000)</f>
        <v>41.634935063068639</v>
      </c>
      <c r="K88" s="29">
        <f>IF(TrRoad_act!K4=0,0,K18/TrRoad_act!K4*1000)</f>
        <v>42.309711791196598</v>
      </c>
      <c r="L88" s="29">
        <f>IF(TrRoad_act!L4=0,0,L18/TrRoad_act!L4*1000)</f>
        <v>43.963882964843606</v>
      </c>
      <c r="M88" s="29">
        <f>IF(TrRoad_act!M4=0,0,M18/TrRoad_act!M4*1000)</f>
        <v>43.687991544191547</v>
      </c>
      <c r="N88" s="29">
        <f>IF(TrRoad_act!N4=0,0,N18/TrRoad_act!N4*1000)</f>
        <v>43.567285567708872</v>
      </c>
      <c r="O88" s="29">
        <f>IF(TrRoad_act!O4=0,0,O18/TrRoad_act!O4*1000)</f>
        <v>43.395073922805082</v>
      </c>
      <c r="P88" s="29">
        <f>IF(TrRoad_act!P4=0,0,P18/TrRoad_act!P4*1000)</f>
        <v>42.705290950450468</v>
      </c>
      <c r="Q88" s="29">
        <f>IF(TrRoad_act!Q4=0,0,Q18/TrRoad_act!Q4*1000)</f>
        <v>42.377380458135995</v>
      </c>
      <c r="R88" s="29">
        <f>IF(TrRoad_act!R4=0,0,R18/TrRoad_act!R4*1000)</f>
        <v>43.392996761105046</v>
      </c>
      <c r="S88" s="29">
        <f>IF(TrRoad_act!S4=0,0,S18/TrRoad_act!S4*1000)</f>
        <v>43.346993829170636</v>
      </c>
      <c r="T88" s="29">
        <f>IF(TrRoad_act!T4=0,0,T18/TrRoad_act!T4*1000)</f>
        <v>42.160936529702276</v>
      </c>
      <c r="U88" s="29">
        <f>IF(TrRoad_act!U4=0,0,U18/TrRoad_act!U4*1000)</f>
        <v>41.850634784721514</v>
      </c>
      <c r="V88" s="29">
        <f>IF(TrRoad_act!V4=0,0,V18/TrRoad_act!V4*1000)</f>
        <v>48.777069032387637</v>
      </c>
      <c r="W88" s="29">
        <f>IF(TrRoad_act!W4=0,0,W18/TrRoad_act!W4*1000)</f>
        <v>41.019531608757454</v>
      </c>
      <c r="X88" s="29">
        <f>IF(TrRoad_act!X4=0,0,X18/TrRoad_act!X4*1000)</f>
        <v>39.71813040838947</v>
      </c>
      <c r="Y88" s="29">
        <f>IF(TrRoad_act!Y4=0,0,Y18/TrRoad_act!Y4*1000)</f>
        <v>41.579181788962252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37.623054919414869</v>
      </c>
      <c r="C89" s="152">
        <f>IF(TrRoad_act!C5=0,0,C19/TrRoad_act!C5*1000)</f>
        <v>37.47521060539701</v>
      </c>
      <c r="D89" s="152">
        <f>IF(TrRoad_act!D5=0,0,D19/TrRoad_act!D5*1000)</f>
        <v>37.35328048097886</v>
      </c>
      <c r="E89" s="152">
        <f>IF(TrRoad_act!E5=0,0,E19/TrRoad_act!E5*1000)</f>
        <v>37.305137916832564</v>
      </c>
      <c r="F89" s="152">
        <f>IF(TrRoad_act!F5=0,0,F19/TrRoad_act!F5*1000)</f>
        <v>37.191327332271293</v>
      </c>
      <c r="G89" s="152">
        <f>IF(TrRoad_act!G5=0,0,G19/TrRoad_act!G5*1000)</f>
        <v>36.973291991329035</v>
      </c>
      <c r="H89" s="152">
        <f>IF(TrRoad_act!H5=0,0,H19/TrRoad_act!H5*1000)</f>
        <v>34.990194965621335</v>
      </c>
      <c r="I89" s="152">
        <f>IF(TrRoad_act!I5=0,0,I19/TrRoad_act!I5*1000)</f>
        <v>34.758338742243374</v>
      </c>
      <c r="J89" s="152">
        <f>IF(TrRoad_act!J5=0,0,J19/TrRoad_act!J5*1000)</f>
        <v>34.587207795160019</v>
      </c>
      <c r="K89" s="152">
        <f>IF(TrRoad_act!K5=0,0,K19/TrRoad_act!K5*1000)</f>
        <v>34.458565333240237</v>
      </c>
      <c r="L89" s="152">
        <f>IF(TrRoad_act!L5=0,0,L19/TrRoad_act!L5*1000)</f>
        <v>34.301285263552849</v>
      </c>
      <c r="M89" s="152">
        <f>IF(TrRoad_act!M5=0,0,M19/TrRoad_act!M5*1000)</f>
        <v>34.116617631006754</v>
      </c>
      <c r="N89" s="152">
        <f>IF(TrRoad_act!N5=0,0,N19/TrRoad_act!N5*1000)</f>
        <v>34.053541433103497</v>
      </c>
      <c r="O89" s="152">
        <f>IF(TrRoad_act!O5=0,0,O19/TrRoad_act!O5*1000)</f>
        <v>33.935267102192682</v>
      </c>
      <c r="P89" s="152">
        <f>IF(TrRoad_act!P5=0,0,P19/TrRoad_act!P5*1000)</f>
        <v>33.622527891988227</v>
      </c>
      <c r="Q89" s="152">
        <f>IF(TrRoad_act!Q5=0,0,Q19/TrRoad_act!Q5*1000)</f>
        <v>33.162699215675786</v>
      </c>
      <c r="R89" s="152">
        <f>IF(TrRoad_act!R5=0,0,R19/TrRoad_act!R5*1000)</f>
        <v>32.871019440053495</v>
      </c>
      <c r="S89" s="152">
        <f>IF(TrRoad_act!S5=0,0,S19/TrRoad_act!S5*1000)</f>
        <v>32.708155492726128</v>
      </c>
      <c r="T89" s="152">
        <f>IF(TrRoad_act!T5=0,0,T19/TrRoad_act!T5*1000)</f>
        <v>32.449943715022819</v>
      </c>
      <c r="U89" s="152">
        <f>IF(TrRoad_act!U5=0,0,U19/TrRoad_act!U5*1000)</f>
        <v>32.169721742624098</v>
      </c>
      <c r="V89" s="152">
        <f>IF(TrRoad_act!V5=0,0,V19/TrRoad_act!V5*1000)</f>
        <v>31.951342623376593</v>
      </c>
      <c r="W89" s="152">
        <f>IF(TrRoad_act!W5=0,0,W19/TrRoad_act!W5*1000)</f>
        <v>31.837936096571546</v>
      </c>
      <c r="X89" s="152">
        <f>IF(TrRoad_act!X5=0,0,X19/TrRoad_act!X5*1000)</f>
        <v>31.950422986902627</v>
      </c>
      <c r="Y89" s="152">
        <f>IF(TrRoad_act!Y5=0,0,Y19/TrRoad_act!Y5*1000)</f>
        <v>31.265227282001476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37.374529970377353</v>
      </c>
      <c r="C90" s="116">
        <f>IF(TrRoad_act!C6=0,0,C21/TrRoad_act!C6*1000)</f>
        <v>39.165213042469176</v>
      </c>
      <c r="D90" s="116">
        <f>IF(TrRoad_act!D6=0,0,D21/TrRoad_act!D6*1000)</f>
        <v>39.90987011370791</v>
      </c>
      <c r="E90" s="116">
        <f>IF(TrRoad_act!E6=0,0,E21/TrRoad_act!E6*1000)</f>
        <v>43.990796418292284</v>
      </c>
      <c r="F90" s="116">
        <f>IF(TrRoad_act!F6=0,0,F21/TrRoad_act!F6*1000)</f>
        <v>45.131353121515538</v>
      </c>
      <c r="G90" s="116">
        <f>IF(TrRoad_act!G6=0,0,G21/TrRoad_act!G6*1000)</f>
        <v>46.138252054746935</v>
      </c>
      <c r="H90" s="116">
        <f>IF(TrRoad_act!H6=0,0,H21/TrRoad_act!H6*1000)</f>
        <v>46.287502209944535</v>
      </c>
      <c r="I90" s="116">
        <f>IF(TrRoad_act!I6=0,0,I21/TrRoad_act!I6*1000)</f>
        <v>46.84790018918244</v>
      </c>
      <c r="J90" s="116">
        <f>IF(TrRoad_act!J6=0,0,J21/TrRoad_act!J6*1000)</f>
        <v>46.366721505557294</v>
      </c>
      <c r="K90" s="116">
        <f>IF(TrRoad_act!K6=0,0,K21/TrRoad_act!K6*1000)</f>
        <v>47.13919379698244</v>
      </c>
      <c r="L90" s="116">
        <f>IF(TrRoad_act!L6=0,0,L21/TrRoad_act!L6*1000)</f>
        <v>50.320877573590785</v>
      </c>
      <c r="M90" s="116">
        <f>IF(TrRoad_act!M6=0,0,M21/TrRoad_act!M6*1000)</f>
        <v>49.293844104097637</v>
      </c>
      <c r="N90" s="116">
        <f>IF(TrRoad_act!N6=0,0,N21/TrRoad_act!N6*1000)</f>
        <v>49.018749968570518</v>
      </c>
      <c r="O90" s="116">
        <f>IF(TrRoad_act!O6=0,0,O21/TrRoad_act!O6*1000)</f>
        <v>48.919714158452798</v>
      </c>
      <c r="P90" s="116">
        <f>IF(TrRoad_act!P6=0,0,P21/TrRoad_act!P6*1000)</f>
        <v>48.641325271453233</v>
      </c>
      <c r="Q90" s="116">
        <f>IF(TrRoad_act!Q6=0,0,Q21/TrRoad_act!Q6*1000)</f>
        <v>46.910483468104076</v>
      </c>
      <c r="R90" s="116">
        <f>IF(TrRoad_act!R6=0,0,R21/TrRoad_act!R6*1000)</f>
        <v>47.980757679393818</v>
      </c>
      <c r="S90" s="116">
        <f>IF(TrRoad_act!S6=0,0,S21/TrRoad_act!S6*1000)</f>
        <v>48.0308688434544</v>
      </c>
      <c r="T90" s="116">
        <f>IF(TrRoad_act!T6=0,0,T21/TrRoad_act!T6*1000)</f>
        <v>46.498676988269779</v>
      </c>
      <c r="U90" s="116">
        <f>IF(TrRoad_act!U6=0,0,U21/TrRoad_act!U6*1000)</f>
        <v>45.890865421232348</v>
      </c>
      <c r="V90" s="116">
        <f>IF(TrRoad_act!V6=0,0,V21/TrRoad_act!V6*1000)</f>
        <v>51.402740163281479</v>
      </c>
      <c r="W90" s="116">
        <f>IF(TrRoad_act!W6=0,0,W21/TrRoad_act!W6*1000)</f>
        <v>42.236097382659743</v>
      </c>
      <c r="X90" s="116">
        <f>IF(TrRoad_act!X6=0,0,X21/TrRoad_act!X6*1000)</f>
        <v>41.716983117175914</v>
      </c>
      <c r="Y90" s="116">
        <f>IF(TrRoad_act!Y6=0,0,Y21/TrRoad_act!Y6*1000)</f>
        <v>43.897813299799104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38.542787101957146</v>
      </c>
      <c r="C91" s="87">
        <f>IF(TrRoad_act!C7=0,0,C22/TrRoad_act!C7*1000)</f>
        <v>41.77747402956124</v>
      </c>
      <c r="D91" s="87">
        <f>IF(TrRoad_act!D7=0,0,D22/TrRoad_act!D7*1000)</f>
        <v>42.55836793470106</v>
      </c>
      <c r="E91" s="87">
        <f>IF(TrRoad_act!E7=0,0,E22/TrRoad_act!E7*1000)</f>
        <v>47.127727067053975</v>
      </c>
      <c r="F91" s="87">
        <f>IF(TrRoad_act!F7=0,0,F22/TrRoad_act!F7*1000)</f>
        <v>48.33874329304259</v>
      </c>
      <c r="G91" s="87">
        <f>IF(TrRoad_act!G7=0,0,G22/TrRoad_act!G7*1000)</f>
        <v>49.263989453760374</v>
      </c>
      <c r="H91" s="87">
        <f>IF(TrRoad_act!H7=0,0,H22/TrRoad_act!H7*1000)</f>
        <v>49.002232603660381</v>
      </c>
      <c r="I91" s="87">
        <f>IF(TrRoad_act!I7=0,0,I22/TrRoad_act!I7*1000)</f>
        <v>49.677851243200848</v>
      </c>
      <c r="J91" s="87">
        <f>IF(TrRoad_act!J7=0,0,J22/TrRoad_act!J7*1000)</f>
        <v>49.071589487493483</v>
      </c>
      <c r="K91" s="87">
        <f>IF(TrRoad_act!K7=0,0,K22/TrRoad_act!K7*1000)</f>
        <v>49.978751406903108</v>
      </c>
      <c r="L91" s="87">
        <f>IF(TrRoad_act!L7=0,0,L22/TrRoad_act!L7*1000)</f>
        <v>51.992158779261558</v>
      </c>
      <c r="M91" s="87">
        <f>IF(TrRoad_act!M7=0,0,M22/TrRoad_act!M7*1000)</f>
        <v>51.134186307221462</v>
      </c>
      <c r="N91" s="87">
        <f>IF(TrRoad_act!N7=0,0,N22/TrRoad_act!N7*1000)</f>
        <v>51.102645667200591</v>
      </c>
      <c r="O91" s="87">
        <f>IF(TrRoad_act!O7=0,0,O22/TrRoad_act!O7*1000)</f>
        <v>51.138911909695857</v>
      </c>
      <c r="P91" s="87">
        <f>IF(TrRoad_act!P7=0,0,P22/TrRoad_act!P7*1000)</f>
        <v>50.69839671536036</v>
      </c>
      <c r="Q91" s="87">
        <f>IF(TrRoad_act!Q7=0,0,Q22/TrRoad_act!Q7*1000)</f>
        <v>48.723433637106069</v>
      </c>
      <c r="R91" s="87">
        <f>IF(TrRoad_act!R7=0,0,R22/TrRoad_act!R7*1000)</f>
        <v>49.263922773443205</v>
      </c>
      <c r="S91" s="87">
        <f>IF(TrRoad_act!S7=0,0,S22/TrRoad_act!S7*1000)</f>
        <v>48.480081491846668</v>
      </c>
      <c r="T91" s="87">
        <f>IF(TrRoad_act!T7=0,0,T22/TrRoad_act!T7*1000)</f>
        <v>46.746362114957428</v>
      </c>
      <c r="U91" s="87">
        <f>IF(TrRoad_act!U7=0,0,U22/TrRoad_act!U7*1000)</f>
        <v>45.856509541901801</v>
      </c>
      <c r="V91" s="87">
        <f>IF(TrRoad_act!V7=0,0,V22/TrRoad_act!V7*1000)</f>
        <v>51.859273325625985</v>
      </c>
      <c r="W91" s="87">
        <f>IF(TrRoad_act!W7=0,0,W22/TrRoad_act!W7*1000)</f>
        <v>44.130822638925679</v>
      </c>
      <c r="X91" s="87">
        <f>IF(TrRoad_act!X7=0,0,X22/TrRoad_act!X7*1000)</f>
        <v>43.937777758124234</v>
      </c>
      <c r="Y91" s="87">
        <f>IF(TrRoad_act!Y7=0,0,Y22/TrRoad_act!Y7*1000)</f>
        <v>45.489734242556835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33.103921446278385</v>
      </c>
      <c r="C92" s="87">
        <f>IF(TrRoad_act!C8=0,0,C24/TrRoad_act!C8*1000)</f>
        <v>31.956472322604178</v>
      </c>
      <c r="D92" s="87">
        <f>IF(TrRoad_act!D8=0,0,D24/TrRoad_act!D8*1000)</f>
        <v>33.419785954825095</v>
      </c>
      <c r="E92" s="87">
        <f>IF(TrRoad_act!E8=0,0,E24/TrRoad_act!E8*1000)</f>
        <v>37.508136467903086</v>
      </c>
      <c r="F92" s="87">
        <f>IF(TrRoad_act!F8=0,0,F24/TrRoad_act!F8*1000)</f>
        <v>39.064853949267722</v>
      </c>
      <c r="G92" s="87">
        <f>IF(TrRoad_act!G8=0,0,G24/TrRoad_act!G8*1000)</f>
        <v>41.024254846599774</v>
      </c>
      <c r="H92" s="87">
        <f>IF(TrRoad_act!H8=0,0,H24/TrRoad_act!H8*1000)</f>
        <v>42.029917156749548</v>
      </c>
      <c r="I92" s="87">
        <f>IF(TrRoad_act!I8=0,0,I24/TrRoad_act!I8*1000)</f>
        <v>42.39898672040767</v>
      </c>
      <c r="J92" s="87">
        <f>IF(TrRoad_act!J8=0,0,J24/TrRoad_act!J8*1000)</f>
        <v>42.367513522390688</v>
      </c>
      <c r="K92" s="87">
        <f>IF(TrRoad_act!K8=0,0,K24/TrRoad_act!K8*1000)</f>
        <v>43.210956536002222</v>
      </c>
      <c r="L92" s="87">
        <f>IF(TrRoad_act!L8=0,0,L24/TrRoad_act!L8*1000)</f>
        <v>47.934788087752388</v>
      </c>
      <c r="M92" s="87">
        <f>IF(TrRoad_act!M8=0,0,M24/TrRoad_act!M8*1000)</f>
        <v>46.930943758155209</v>
      </c>
      <c r="N92" s="87">
        <f>IF(TrRoad_act!N8=0,0,N24/TrRoad_act!N8*1000)</f>
        <v>46.591893758564034</v>
      </c>
      <c r="O92" s="87">
        <f>IF(TrRoad_act!O8=0,0,O24/TrRoad_act!O8*1000)</f>
        <v>46.610840943514468</v>
      </c>
      <c r="P92" s="87">
        <f>IF(TrRoad_act!P8=0,0,P24/TrRoad_act!P8*1000)</f>
        <v>46.497343146452963</v>
      </c>
      <c r="Q92" s="87">
        <f>IF(TrRoad_act!Q8=0,0,Q24/TrRoad_act!Q8*1000)</f>
        <v>44.961576924686575</v>
      </c>
      <c r="R92" s="87">
        <f>IF(TrRoad_act!R8=0,0,R24/TrRoad_act!R8*1000)</f>
        <v>46.565713606660978</v>
      </c>
      <c r="S92" s="87">
        <f>IF(TrRoad_act!S8=0,0,S24/TrRoad_act!S8*1000)</f>
        <v>47.229338110804818</v>
      </c>
      <c r="T92" s="87">
        <f>IF(TrRoad_act!T8=0,0,T24/TrRoad_act!T8*1000)</f>
        <v>45.873325542097604</v>
      </c>
      <c r="U92" s="87">
        <f>IF(TrRoad_act!U8=0,0,U24/TrRoad_act!U8*1000)</f>
        <v>45.51508688363181</v>
      </c>
      <c r="V92" s="87">
        <f>IF(TrRoad_act!V8=0,0,V24/TrRoad_act!V8*1000)</f>
        <v>50.783730645425379</v>
      </c>
      <c r="W92" s="87">
        <f>IF(TrRoad_act!W8=0,0,W24/TrRoad_act!W8*1000)</f>
        <v>40.775740206770259</v>
      </c>
      <c r="X92" s="87">
        <f>IF(TrRoad_act!X8=0,0,X24/TrRoad_act!X8*1000)</f>
        <v>39.853944367207987</v>
      </c>
      <c r="Y92" s="87">
        <f>IF(TrRoad_act!Y8=0,0,Y24/TrRoad_act!Y8*1000)</f>
        <v>42.040354253014286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45.738562741930068</v>
      </c>
      <c r="C93" s="87">
        <f>IF(TrRoad_act!C9=0,0,C26/TrRoad_act!C9*1000)</f>
        <v>47.612508855219211</v>
      </c>
      <c r="D93" s="87">
        <f>IF(TrRoad_act!D9=0,0,D26/TrRoad_act!D9*1000)</f>
        <v>48.410986182828871</v>
      </c>
      <c r="E93" s="87">
        <f>IF(TrRoad_act!E9=0,0,E26/TrRoad_act!E9*1000)</f>
        <v>48.838258421534455</v>
      </c>
      <c r="F93" s="87">
        <f>IF(TrRoad_act!F9=0,0,F26/TrRoad_act!F9*1000)</f>
        <v>50.318369672225764</v>
      </c>
      <c r="G93" s="87">
        <f>IF(TrRoad_act!G9=0,0,G26/TrRoad_act!G9*1000)</f>
        <v>51.317381893621992</v>
      </c>
      <c r="H93" s="87">
        <f>IF(TrRoad_act!H9=0,0,H26/TrRoad_act!H9*1000)</f>
        <v>51.303751877294694</v>
      </c>
      <c r="I93" s="87">
        <f>IF(TrRoad_act!I9=0,0,I26/TrRoad_act!I9*1000)</f>
        <v>52.099290703168755</v>
      </c>
      <c r="J93" s="87">
        <f>IF(TrRoad_act!J9=0,0,J26/TrRoad_act!J9*1000)</f>
        <v>51.844769799429855</v>
      </c>
      <c r="K93" s="87">
        <f>IF(TrRoad_act!K9=0,0,K26/TrRoad_act!K9*1000)</f>
        <v>53.143853896326625</v>
      </c>
      <c r="L93" s="87">
        <f>IF(TrRoad_act!L9=0,0,L26/TrRoad_act!L9*1000)</f>
        <v>56.441147156517268</v>
      </c>
      <c r="M93" s="87">
        <f>IF(TrRoad_act!M9=0,0,M26/TrRoad_act!M9*1000)</f>
        <v>56.098990975294896</v>
      </c>
      <c r="N93" s="87">
        <f>IF(TrRoad_act!N9=0,0,N26/TrRoad_act!N9*1000)</f>
        <v>56.893696405876767</v>
      </c>
      <c r="O93" s="87">
        <f>IF(TrRoad_act!O9=0,0,O26/TrRoad_act!O9*1000)</f>
        <v>57.596016947029163</v>
      </c>
      <c r="P93" s="87">
        <f>IF(TrRoad_act!P9=0,0,P26/TrRoad_act!P9*1000)</f>
        <v>57.97568607631667</v>
      </c>
      <c r="Q93" s="87">
        <f>IF(TrRoad_act!Q9=0,0,Q26/TrRoad_act!Q9*1000)</f>
        <v>57.658227471585988</v>
      </c>
      <c r="R93" s="87">
        <f>IF(TrRoad_act!R9=0,0,R26/TrRoad_act!R9*1000)</f>
        <v>59.341045807811433</v>
      </c>
      <c r="S93" s="87">
        <f>IF(TrRoad_act!S9=0,0,S26/TrRoad_act!S9*1000)</f>
        <v>63.323273940449816</v>
      </c>
      <c r="T93" s="87">
        <f>IF(TrRoad_act!T9=0,0,T26/TrRoad_act!T9*1000)</f>
        <v>62.840140551727913</v>
      </c>
      <c r="U93" s="87">
        <f>IF(TrRoad_act!U9=0,0,U26/TrRoad_act!U9*1000)</f>
        <v>62.655205355750283</v>
      </c>
      <c r="V93" s="87">
        <f>IF(TrRoad_act!V9=0,0,V26/TrRoad_act!V9*1000)</f>
        <v>68.902429299001199</v>
      </c>
      <c r="W93" s="87">
        <f>IF(TrRoad_act!W9=0,0,W26/TrRoad_act!W9*1000)</f>
        <v>60.494744824131871</v>
      </c>
      <c r="X93" s="87">
        <f>IF(TrRoad_act!X9=0,0,X26/TrRoad_act!X9*1000)</f>
        <v>69.365753745160859</v>
      </c>
      <c r="Y93" s="87">
        <f>IF(TrRoad_act!Y9=0,0,Y26/TrRoad_act!Y9*1000)</f>
        <v>110.54924997661368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53.514200231861665</v>
      </c>
      <c r="K94" s="87">
        <f>IF(TrRoad_act!K10=0,0,K27/TrRoad_act!K10*1000)</f>
        <v>55.616131626570024</v>
      </c>
      <c r="L94" s="87">
        <f>IF(TrRoad_act!L10=0,0,L27/TrRoad_act!L10*1000)</f>
        <v>57.478279144372692</v>
      </c>
      <c r="M94" s="87">
        <f>IF(TrRoad_act!M10=0,0,M27/TrRoad_act!M10*1000)</f>
        <v>57.168966110474145</v>
      </c>
      <c r="N94" s="87">
        <f>IF(TrRoad_act!N10=0,0,N27/TrRoad_act!N10*1000)</f>
        <v>55.48212660277936</v>
      </c>
      <c r="O94" s="87">
        <f>IF(TrRoad_act!O10=0,0,O27/TrRoad_act!O10*1000)</f>
        <v>52.123865119652855</v>
      </c>
      <c r="P94" s="87">
        <f>IF(TrRoad_act!P10=0,0,P27/TrRoad_act!P10*1000)</f>
        <v>49.100407562195308</v>
      </c>
      <c r="Q94" s="87">
        <f>IF(TrRoad_act!Q10=0,0,Q27/TrRoad_act!Q10*1000)</f>
        <v>44.921590794785594</v>
      </c>
      <c r="R94" s="87">
        <f>IF(TrRoad_act!R10=0,0,R27/TrRoad_act!R10*1000)</f>
        <v>44.359613076198265</v>
      </c>
      <c r="S94" s="87">
        <f>IF(TrRoad_act!S10=0,0,S27/TrRoad_act!S10*1000)</f>
        <v>43.971174247896052</v>
      </c>
      <c r="T94" s="87">
        <f>IF(TrRoad_act!T10=0,0,T27/TrRoad_act!T10*1000)</f>
        <v>43.357166055371529</v>
      </c>
      <c r="U94" s="87">
        <f>IF(TrRoad_act!U10=0,0,U27/TrRoad_act!U10*1000)</f>
        <v>43.023451630629907</v>
      </c>
      <c r="V94" s="87">
        <f>IF(TrRoad_act!V10=0,0,V27/TrRoad_act!V10*1000)</f>
        <v>48.646417461008035</v>
      </c>
      <c r="W94" s="87">
        <f>IF(TrRoad_act!W10=0,0,W27/TrRoad_act!W10*1000)</f>
        <v>41.511477952544666</v>
      </c>
      <c r="X94" s="87">
        <f>IF(TrRoad_act!X10=0,0,X27/TrRoad_act!X10*1000)</f>
        <v>40.947504713414176</v>
      </c>
      <c r="Y94" s="87">
        <f>IF(TrRoad_act!Y10=0,0,Y27/TrRoad_act!Y10*1000)</f>
        <v>42.746679760908414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19.323643062916393</v>
      </c>
      <c r="O95" s="87">
        <f>IF(TrRoad_act!O11=0,0,O29/TrRoad_act!O11*1000)</f>
        <v>20.312655136085784</v>
      </c>
      <c r="P95" s="87">
        <f>IF(TrRoad_act!P11=0,0,P29/TrRoad_act!P11*1000)</f>
        <v>17.324042086621457</v>
      </c>
      <c r="Q95" s="87">
        <f>IF(TrRoad_act!Q11=0,0,Q29/TrRoad_act!Q11*1000)</f>
        <v>24.671488600249852</v>
      </c>
      <c r="R95" s="87">
        <f>IF(TrRoad_act!R11=0,0,R29/TrRoad_act!R11*1000)</f>
        <v>22.51906167654024</v>
      </c>
      <c r="S95" s="87">
        <f>IF(TrRoad_act!S11=0,0,S29/TrRoad_act!S11*1000)</f>
        <v>24.535525295068719</v>
      </c>
      <c r="T95" s="87">
        <f>IF(TrRoad_act!T11=0,0,T29/TrRoad_act!T11*1000)</f>
        <v>23.93996472967941</v>
      </c>
      <c r="U95" s="87">
        <f>IF(TrRoad_act!U11=0,0,U29/TrRoad_act!U11*1000)</f>
        <v>23.868726025206254</v>
      </c>
      <c r="V95" s="87">
        <f>IF(TrRoad_act!V11=0,0,V29/TrRoad_act!V11*1000)</f>
        <v>26.66754413044994</v>
      </c>
      <c r="W95" s="87">
        <f>IF(TrRoad_act!W11=0,0,W29/TrRoad_act!W11*1000)</f>
        <v>21.875751144711067</v>
      </c>
      <c r="X95" s="87">
        <f>IF(TrRoad_act!X11=0,0,X29/TrRoad_act!X11*1000)</f>
        <v>21.966159537937962</v>
      </c>
      <c r="Y95" s="87">
        <f>IF(TrRoad_act!Y11=0,0,Y29/TrRoad_act!Y11*1000)</f>
        <v>22.895028464255134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9.463067190136222</v>
      </c>
      <c r="M96" s="87">
        <f>IF(TrRoad_act!M12=0,0,M32/TrRoad_act!M12*1000)</f>
        <v>9.4125845345357266</v>
      </c>
      <c r="N96" s="87">
        <f>IF(TrRoad_act!N12=0,0,N32/TrRoad_act!N12*1000)</f>
        <v>9.3434085856515665</v>
      </c>
      <c r="O96" s="87">
        <f>IF(TrRoad_act!O12=0,0,O32/TrRoad_act!O12*1000)</f>
        <v>9.3369400679948491</v>
      </c>
      <c r="P96" s="87">
        <f>IF(TrRoad_act!P12=0,0,P32/TrRoad_act!P12*1000)</f>
        <v>9.3563680015586783</v>
      </c>
      <c r="Q96" s="87">
        <f>IF(TrRoad_act!Q12=0,0,Q32/TrRoad_act!Q12*1000)</f>
        <v>9.4232003194730503</v>
      </c>
      <c r="R96" s="87">
        <f>IF(TrRoad_act!R12=0,0,R32/TrRoad_act!R12*1000)</f>
        <v>10.754117133163849</v>
      </c>
      <c r="S96" s="87">
        <f>IF(TrRoad_act!S12=0,0,S32/TrRoad_act!S12*1000)</f>
        <v>10.674443423714207</v>
      </c>
      <c r="T96" s="87">
        <f>IF(TrRoad_act!T12=0,0,T32/TrRoad_act!T12*1000)</f>
        <v>10.65921921946142</v>
      </c>
      <c r="U96" s="87">
        <f>IF(TrRoad_act!U12=0,0,U32/TrRoad_act!U12*1000)</f>
        <v>11.282520330071705</v>
      </c>
      <c r="V96" s="87">
        <f>IF(TrRoad_act!V12=0,0,V32/TrRoad_act!V12*1000)</f>
        <v>13.222152178849237</v>
      </c>
      <c r="W96" s="87">
        <f>IF(TrRoad_act!W12=0,0,W32/TrRoad_act!W12*1000)</f>
        <v>12.092428289936919</v>
      </c>
      <c r="X96" s="87">
        <f>IF(TrRoad_act!X12=0,0,X32/TrRoad_act!X12*1000)</f>
        <v>12.464233350981607</v>
      </c>
      <c r="Y96" s="87">
        <f>IF(TrRoad_act!Y12=0,0,Y32/TrRoad_act!Y12*1000)</f>
        <v>13.33016248914298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23.287542107375515</v>
      </c>
      <c r="C97" s="116">
        <f>IF(TrRoad_act!C13=0,0,C33/TrRoad_act!C13*1000)</f>
        <v>23.67903763816317</v>
      </c>
      <c r="D97" s="116">
        <f>IF(TrRoad_act!D13=0,0,D33/TrRoad_act!D13*1000)</f>
        <v>23.745019856292252</v>
      </c>
      <c r="E97" s="116">
        <f>IF(TrRoad_act!E13=0,0,E33/TrRoad_act!E13*1000)</f>
        <v>21.925767795727165</v>
      </c>
      <c r="F97" s="116">
        <f>IF(TrRoad_act!F13=0,0,F33/TrRoad_act!F13*1000)</f>
        <v>21.779919692115083</v>
      </c>
      <c r="G97" s="116">
        <f>IF(TrRoad_act!G13=0,0,G33/TrRoad_act!G13*1000)</f>
        <v>20.832793317170541</v>
      </c>
      <c r="H97" s="116">
        <f>IF(TrRoad_act!H13=0,0,H33/TrRoad_act!H13*1000)</f>
        <v>21.14241148128291</v>
      </c>
      <c r="I97" s="116">
        <f>IF(TrRoad_act!I13=0,0,I33/TrRoad_act!I13*1000)</f>
        <v>20.979273939191025</v>
      </c>
      <c r="J97" s="116">
        <f>IF(TrRoad_act!J13=0,0,J33/TrRoad_act!J13*1000)</f>
        <v>21.069822976090549</v>
      </c>
      <c r="K97" s="116">
        <f>IF(TrRoad_act!K13=0,0,K33/TrRoad_act!K13*1000)</f>
        <v>21.361491070834671</v>
      </c>
      <c r="L97" s="116">
        <f>IF(TrRoad_act!L13=0,0,L33/TrRoad_act!L13*1000)</f>
        <v>21.064018726813806</v>
      </c>
      <c r="M97" s="116">
        <f>IF(TrRoad_act!M13=0,0,M33/TrRoad_act!M13*1000)</f>
        <v>21.506934492373642</v>
      </c>
      <c r="N97" s="116">
        <f>IF(TrRoad_act!N13=0,0,N33/TrRoad_act!N13*1000)</f>
        <v>21.638830602543653</v>
      </c>
      <c r="O97" s="116">
        <f>IF(TrRoad_act!O13=0,0,O33/TrRoad_act!O13*1000)</f>
        <v>21.698882851417185</v>
      </c>
      <c r="P97" s="116">
        <f>IF(TrRoad_act!P13=0,0,P33/TrRoad_act!P13*1000)</f>
        <v>20.567215245669757</v>
      </c>
      <c r="Q97" s="116">
        <f>IF(TrRoad_act!Q13=0,0,Q33/TrRoad_act!Q13*1000)</f>
        <v>22.583316767295429</v>
      </c>
      <c r="R97" s="116">
        <f>IF(TrRoad_act!R13=0,0,R33/TrRoad_act!R13*1000)</f>
        <v>22.595145188448864</v>
      </c>
      <c r="S97" s="116">
        <f>IF(TrRoad_act!S13=0,0,S33/TrRoad_act!S13*1000)</f>
        <v>22.385153605164344</v>
      </c>
      <c r="T97" s="116">
        <f>IF(TrRoad_act!T13=0,0,T33/TrRoad_act!T13*1000)</f>
        <v>22.307652503845834</v>
      </c>
      <c r="U97" s="116">
        <f>IF(TrRoad_act!U13=0,0,U33/TrRoad_act!U13*1000)</f>
        <v>22.591140992722664</v>
      </c>
      <c r="V97" s="116">
        <f>IF(TrRoad_act!V13=0,0,V33/TrRoad_act!V13*1000)</f>
        <v>31.302069398095199</v>
      </c>
      <c r="W97" s="116">
        <f>IF(TrRoad_act!W13=0,0,W33/TrRoad_act!W13*1000)</f>
        <v>30.559692744153672</v>
      </c>
      <c r="X97" s="116">
        <f>IF(TrRoad_act!X13=0,0,X33/TrRoad_act!X13*1000)</f>
        <v>25.344291899947621</v>
      </c>
      <c r="Y97" s="116">
        <f>IF(TrRoad_act!Y13=0,0,Y33/TrRoad_act!Y13*1000)</f>
        <v>25.377146245812057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23.557110753064702</v>
      </c>
      <c r="C98" s="101">
        <f>IF(TrRoad_act!C14=0,0,C34/TrRoad_act!C14*1000)</f>
        <v>24.209304529077961</v>
      </c>
      <c r="D98" s="101">
        <f>IF(TrRoad_act!D14=0,0,D34/TrRoad_act!D14*1000)</f>
        <v>24.469915849215667</v>
      </c>
      <c r="E98" s="101">
        <f>IF(TrRoad_act!E14=0,0,E34/TrRoad_act!E14*1000)</f>
        <v>22.719770841753405</v>
      </c>
      <c r="F98" s="101">
        <f>IF(TrRoad_act!F14=0,0,F34/TrRoad_act!F14*1000)</f>
        <v>22.630950076866771</v>
      </c>
      <c r="G98" s="101">
        <f>IF(TrRoad_act!G14=0,0,G34/TrRoad_act!G14*1000)</f>
        <v>21.758319284298082</v>
      </c>
      <c r="H98" s="101">
        <f>IF(TrRoad_act!H14=0,0,H34/TrRoad_act!H14*1000)</f>
        <v>21.8436209458654</v>
      </c>
      <c r="I98" s="101">
        <f>IF(TrRoad_act!I14=0,0,I34/TrRoad_act!I14*1000)</f>
        <v>21.929594075854208</v>
      </c>
      <c r="J98" s="101">
        <f>IF(TrRoad_act!J14=0,0,J34/TrRoad_act!J14*1000)</f>
        <v>22.016246633981822</v>
      </c>
      <c r="K98" s="101">
        <f>IF(TrRoad_act!K14=0,0,K34/TrRoad_act!K14*1000)</f>
        <v>22.250989947244339</v>
      </c>
      <c r="L98" s="101">
        <f>IF(TrRoad_act!L14=0,0,L34/TrRoad_act!L14*1000)</f>
        <v>21.809363155588557</v>
      </c>
      <c r="M98" s="101">
        <f>IF(TrRoad_act!M14=0,0,M34/TrRoad_act!M14*1000)</f>
        <v>22.200445349657198</v>
      </c>
      <c r="N98" s="101">
        <f>IF(TrRoad_act!N14=0,0,N34/TrRoad_act!N14*1000)</f>
        <v>22.201327826768502</v>
      </c>
      <c r="O98" s="101">
        <f>IF(TrRoad_act!O14=0,0,O34/TrRoad_act!O14*1000)</f>
        <v>22.20141607640894</v>
      </c>
      <c r="P98" s="101">
        <f>IF(TrRoad_act!P14=0,0,P34/TrRoad_act!P14*1000)</f>
        <v>20.50795404497423</v>
      </c>
      <c r="Q98" s="101">
        <f>IF(TrRoad_act!Q14=0,0,Q34/TrRoad_act!Q14*1000)</f>
        <v>22.201425783890809</v>
      </c>
      <c r="R98" s="101">
        <f>IF(TrRoad_act!R14=0,0,R34/TrRoad_act!R14*1000)</f>
        <v>22.199627683202909</v>
      </c>
      <c r="S98" s="101">
        <f>IF(TrRoad_act!S14=0,0,S34/TrRoad_act!S14*1000)</f>
        <v>22.21003674875432</v>
      </c>
      <c r="T98" s="101">
        <f>IF(TrRoad_act!T14=0,0,T34/TrRoad_act!T14*1000)</f>
        <v>22.216991209106272</v>
      </c>
      <c r="U98" s="101">
        <f>IF(TrRoad_act!U14=0,0,U34/TrRoad_act!U14*1000)</f>
        <v>22.215879115044935</v>
      </c>
      <c r="V98" s="101">
        <f>IF(TrRoad_act!V14=0,0,V34/TrRoad_act!V14*1000)</f>
        <v>30.027933501329755</v>
      </c>
      <c r="W98" s="101">
        <f>IF(TrRoad_act!W14=0,0,W34/TrRoad_act!W14*1000)</f>
        <v>29.20515002047604</v>
      </c>
      <c r="X98" s="101">
        <f>IF(TrRoad_act!X14=0,0,X34/TrRoad_act!X14*1000)</f>
        <v>25.58788632924001</v>
      </c>
      <c r="Y98" s="101">
        <f>IF(TrRoad_act!Y14=0,0,Y34/TrRoad_act!Y14*1000)</f>
        <v>25.711893826139821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23.740490918311821</v>
      </c>
      <c r="C99" s="101">
        <f>IF(TrRoad_act!C15=0,0,C36/TrRoad_act!C15*1000)</f>
        <v>24.092277197960463</v>
      </c>
      <c r="D99" s="101">
        <f>IF(TrRoad_act!D15=0,0,D36/TrRoad_act!D15*1000)</f>
        <v>24.197593433876275</v>
      </c>
      <c r="E99" s="101">
        <f>IF(TrRoad_act!E15=0,0,E36/TrRoad_act!E15*1000)</f>
        <v>22.385771490269548</v>
      </c>
      <c r="F99" s="101">
        <f>IF(TrRoad_act!F15=0,0,F36/TrRoad_act!F15*1000)</f>
        <v>22.162671367977438</v>
      </c>
      <c r="G99" s="101">
        <f>IF(TrRoad_act!G15=0,0,G36/TrRoad_act!G15*1000)</f>
        <v>21.28608048057156</v>
      </c>
      <c r="H99" s="101">
        <f>IF(TrRoad_act!H15=0,0,H36/TrRoad_act!H15*1000)</f>
        <v>21.35814029716769</v>
      </c>
      <c r="I99" s="101">
        <f>IF(TrRoad_act!I15=0,0,I36/TrRoad_act!I15*1000)</f>
        <v>21.411739212341651</v>
      </c>
      <c r="J99" s="101">
        <f>IF(TrRoad_act!J15=0,0,J36/TrRoad_act!J15*1000)</f>
        <v>21.497535162889932</v>
      </c>
      <c r="K99" s="101">
        <f>IF(TrRoad_act!K15=0,0,K36/TrRoad_act!K15*1000)</f>
        <v>21.736863410040915</v>
      </c>
      <c r="L99" s="101">
        <f>IF(TrRoad_act!L15=0,0,L36/TrRoad_act!L15*1000)</f>
        <v>21.322136617876339</v>
      </c>
      <c r="M99" s="101">
        <f>IF(TrRoad_act!M15=0,0,M36/TrRoad_act!M15*1000)</f>
        <v>21.722864498184844</v>
      </c>
      <c r="N99" s="101">
        <f>IF(TrRoad_act!N15=0,0,N36/TrRoad_act!N15*1000)</f>
        <v>21.782068749884864</v>
      </c>
      <c r="O99" s="101">
        <f>IF(TrRoad_act!O15=0,0,O36/TrRoad_act!O15*1000)</f>
        <v>21.824554594075749</v>
      </c>
      <c r="P99" s="101">
        <f>IF(TrRoad_act!P15=0,0,P36/TrRoad_act!P15*1000)</f>
        <v>20.215413273464808</v>
      </c>
      <c r="Q99" s="101">
        <f>IF(TrRoad_act!Q15=0,0,Q36/TrRoad_act!Q15*1000)</f>
        <v>21.963296036411887</v>
      </c>
      <c r="R99" s="101">
        <f>IF(TrRoad_act!R15=0,0,R36/TrRoad_act!R15*1000)</f>
        <v>22.04020404512281</v>
      </c>
      <c r="S99" s="101">
        <f>IF(TrRoad_act!S15=0,0,S36/TrRoad_act!S15*1000)</f>
        <v>22.11713204184754</v>
      </c>
      <c r="T99" s="101">
        <f>IF(TrRoad_act!T15=0,0,T36/TrRoad_act!T15*1000)</f>
        <v>22.181549087578489</v>
      </c>
      <c r="U99" s="101">
        <f>IF(TrRoad_act!U15=0,0,U36/TrRoad_act!U15*1000)</f>
        <v>22.172265963272977</v>
      </c>
      <c r="V99" s="101">
        <f>IF(TrRoad_act!V15=0,0,V36/TrRoad_act!V15*1000)</f>
        <v>29.882582347561101</v>
      </c>
      <c r="W99" s="101">
        <f>IF(TrRoad_act!W15=0,0,W36/TrRoad_act!W15*1000)</f>
        <v>28.821861604728252</v>
      </c>
      <c r="X99" s="101">
        <f>IF(TrRoad_act!X15=0,0,X36/TrRoad_act!X15*1000)</f>
        <v>24.963841736323552</v>
      </c>
      <c r="Y99" s="101">
        <f>IF(TrRoad_act!Y15=0,0,Y36/TrRoad_act!Y15*1000)</f>
        <v>24.745115853244723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25.54059354120842</v>
      </c>
      <c r="W100" s="101">
        <f>IF(TrRoad_act!W16=0,0,W38/TrRoad_act!W16*1000)</f>
        <v>24.880545677803482</v>
      </c>
      <c r="X100" s="101">
        <f>IF(TrRoad_act!X16=0,0,X38/TrRoad_act!X16*1000)</f>
        <v>21.827826634873297</v>
      </c>
      <c r="Y100" s="101">
        <f>IF(TrRoad_act!Y16=0,0,Y38/TrRoad_act!Y16*1000)</f>
        <v>21.953922609594457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19.485537000814073</v>
      </c>
      <c r="C101" s="101">
        <f>IF(TrRoad_act!C17=0,0,C39/TrRoad_act!C17*1000)</f>
        <v>19.827117545352898</v>
      </c>
      <c r="D101" s="101">
        <f>IF(TrRoad_act!D17=0,0,D39/TrRoad_act!D17*1000)</f>
        <v>19.642821574490409</v>
      </c>
      <c r="E101" s="101">
        <f>IF(TrRoad_act!E17=0,0,E39/TrRoad_act!E17*1000)</f>
        <v>18.112825589486761</v>
      </c>
      <c r="F101" s="101">
        <f>IF(TrRoad_act!F17=0,0,F39/TrRoad_act!F17*1000)</f>
        <v>21.956114352654684</v>
      </c>
      <c r="G101" s="101">
        <f>IF(TrRoad_act!G17=0,0,G39/TrRoad_act!G17*1000)</f>
        <v>18.321047920202098</v>
      </c>
      <c r="H101" s="101">
        <f>IF(TrRoad_act!H17=0,0,H39/TrRoad_act!H17*1000)</f>
        <v>26.830614177096365</v>
      </c>
      <c r="I101" s="101">
        <f>IF(TrRoad_act!I17=0,0,I39/TrRoad_act!I17*1000)</f>
        <v>17.30873331367421</v>
      </c>
      <c r="J101" s="101">
        <f>IF(TrRoad_act!J17=0,0,J39/TrRoad_act!J17*1000)</f>
        <v>17.531391939790463</v>
      </c>
      <c r="K101" s="101">
        <f>IF(TrRoad_act!K17=0,0,K39/TrRoad_act!K17*1000)</f>
        <v>20.742425977359716</v>
      </c>
      <c r="L101" s="101">
        <f>IF(TrRoad_act!L17=0,0,L39/TrRoad_act!L17*1000)</f>
        <v>26.809278130633526</v>
      </c>
      <c r="M101" s="101">
        <f>IF(TrRoad_act!M17=0,0,M39/TrRoad_act!M17*1000)</f>
        <v>30.537156414530219</v>
      </c>
      <c r="N101" s="101">
        <f>IF(TrRoad_act!N17=0,0,N39/TrRoad_act!N17*1000)</f>
        <v>35.347752713246969</v>
      </c>
      <c r="O101" s="101">
        <f>IF(TrRoad_act!O17=0,0,O39/TrRoad_act!O17*1000)</f>
        <v>36.247577453458312</v>
      </c>
      <c r="P101" s="101">
        <f>IF(TrRoad_act!P17=0,0,P39/TrRoad_act!P17*1000)</f>
        <v>56.181356387115734</v>
      </c>
      <c r="Q101" s="101">
        <f>IF(TrRoad_act!Q17=0,0,Q39/TrRoad_act!Q17*1000)</f>
        <v>56.302025633090309</v>
      </c>
      <c r="R101" s="101">
        <f>IF(TrRoad_act!R17=0,0,R39/TrRoad_act!R17*1000)</f>
        <v>42.778946273589575</v>
      </c>
      <c r="S101" s="101">
        <f>IF(TrRoad_act!S17=0,0,S39/TrRoad_act!S17*1000)</f>
        <v>33.190111554669329</v>
      </c>
      <c r="T101" s="101">
        <f>IF(TrRoad_act!T17=0,0,T39/TrRoad_act!T17*1000)</f>
        <v>31.584040101387469</v>
      </c>
      <c r="U101" s="101">
        <f>IF(TrRoad_act!U17=0,0,U39/TrRoad_act!U17*1000)</f>
        <v>32.933019361678802</v>
      </c>
      <c r="V101" s="101">
        <f>IF(TrRoad_act!V17=0,0,V39/TrRoad_act!V17*1000)</f>
        <v>51.148312509339299</v>
      </c>
      <c r="W101" s="101">
        <f>IF(TrRoad_act!W17=0,0,W39/TrRoad_act!W17*1000)</f>
        <v>54.843778863889462</v>
      </c>
      <c r="X101" s="101">
        <f>IF(TrRoad_act!X17=0,0,X39/TrRoad_act!X17*1000)</f>
        <v>35.971547327278145</v>
      </c>
      <c r="Y101" s="101">
        <f>IF(TrRoad_act!Y17=0,0,Y39/TrRoad_act!Y17*1000)</f>
        <v>38.503829434035943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14.250363846867186</v>
      </c>
      <c r="C102" s="101">
        <f>IF(TrRoad_act!C18=0,0,C41/TrRoad_act!C18*1000)</f>
        <v>14.639960870588038</v>
      </c>
      <c r="D102" s="101">
        <f>IF(TrRoad_act!D18=0,0,D41/TrRoad_act!D18*1000)</f>
        <v>14.754820561205316</v>
      </c>
      <c r="E102" s="101">
        <f>IF(TrRoad_act!E18=0,0,E41/TrRoad_act!E18*1000)</f>
        <v>13.747575026262101</v>
      </c>
      <c r="F102" s="101">
        <f>IF(TrRoad_act!F18=0,0,F41/TrRoad_act!F18*1000)</f>
        <v>13.705433258429416</v>
      </c>
      <c r="G102" s="101">
        <f>IF(TrRoad_act!G18=0,0,G41/TrRoad_act!G18*1000)</f>
        <v>13.21485696281789</v>
      </c>
      <c r="H102" s="101">
        <f>IF(TrRoad_act!H18=0,0,H41/TrRoad_act!H18*1000)</f>
        <v>13.115534970431364</v>
      </c>
      <c r="I102" s="101">
        <f>IF(TrRoad_act!I18=0,0,I41/TrRoad_act!I18*1000)</f>
        <v>13.175459093720896</v>
      </c>
      <c r="J102" s="101">
        <f>IF(TrRoad_act!J18=0,0,J41/TrRoad_act!J18*1000)</f>
        <v>13.2488426895379</v>
      </c>
      <c r="K102" s="101">
        <f>IF(TrRoad_act!K18=0,0,K41/TrRoad_act!K18*1000)</f>
        <v>13.418247367755203</v>
      </c>
      <c r="L102" s="101">
        <f>IF(TrRoad_act!L18=0,0,L41/TrRoad_act!L18*1000)</f>
        <v>13.142798873616599</v>
      </c>
      <c r="M102" s="101">
        <f>IF(TrRoad_act!M18=0,0,M41/TrRoad_act!M18*1000)</f>
        <v>13.388543199291741</v>
      </c>
      <c r="N102" s="101">
        <f>IF(TrRoad_act!N18=0,0,N41/TrRoad_act!N18*1000)</f>
        <v>13.412951706023421</v>
      </c>
      <c r="O102" s="101">
        <f>IF(TrRoad_act!O18=0,0,O41/TrRoad_act!O18*1000)</f>
        <v>13.399902265761678</v>
      </c>
      <c r="P102" s="101">
        <f>IF(TrRoad_act!P18=0,0,P41/TrRoad_act!P18*1000)</f>
        <v>12.31777731567437</v>
      </c>
      <c r="Q102" s="101">
        <f>IF(TrRoad_act!Q18=0,0,Q41/TrRoad_act!Q18*1000)</f>
        <v>13.22491843927765</v>
      </c>
      <c r="R102" s="101">
        <f>IF(TrRoad_act!R18=0,0,R41/TrRoad_act!R18*1000)</f>
        <v>12.843412419403469</v>
      </c>
      <c r="S102" s="101">
        <f>IF(TrRoad_act!S18=0,0,S41/TrRoad_act!S18*1000)</f>
        <v>12.702124702667167</v>
      </c>
      <c r="T102" s="101">
        <f>IF(TrRoad_act!T18=0,0,T41/TrRoad_act!T18*1000)</f>
        <v>12.39164231917103</v>
      </c>
      <c r="U102" s="101">
        <f>IF(TrRoad_act!U18=0,0,U41/TrRoad_act!U18*1000)</f>
        <v>12.305161935080632</v>
      </c>
      <c r="V102" s="101">
        <f>IF(TrRoad_act!V18=0,0,V41/TrRoad_act!V18*1000)</f>
        <v>16.524124794690128</v>
      </c>
      <c r="W102" s="101">
        <f>IF(TrRoad_act!W18=0,0,W41/TrRoad_act!W18*1000)</f>
        <v>15.927307416359289</v>
      </c>
      <c r="X102" s="101">
        <f>IF(TrRoad_act!X18=0,0,X41/TrRoad_act!X18*1000)</f>
        <v>13.444593957963445</v>
      </c>
      <c r="Y102" s="101">
        <f>IF(TrRoad_act!Y18=0,0,Y41/TrRoad_act!Y18*1000)</f>
        <v>13.272666305153928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38.350499096769816</v>
      </c>
      <c r="C103" s="29">
        <f>IF(TrRoad_act!C19=0,0,C42/TrRoad_act!C19*1000)</f>
        <v>39.309048360182096</v>
      </c>
      <c r="D103" s="29">
        <f>IF(TrRoad_act!D19=0,0,D42/TrRoad_act!D19*1000)</f>
        <v>40.420335817083412</v>
      </c>
      <c r="E103" s="29">
        <f>IF(TrRoad_act!E19=0,0,E42/TrRoad_act!E19*1000)</f>
        <v>46.520844341874557</v>
      </c>
      <c r="F103" s="29">
        <f>IF(TrRoad_act!F19=0,0,F42/TrRoad_act!F19*1000)</f>
        <v>49.847748867070472</v>
      </c>
      <c r="G103" s="29">
        <f>IF(TrRoad_act!G19=0,0,G42/TrRoad_act!G19*1000)</f>
        <v>57.978169081463861</v>
      </c>
      <c r="H103" s="29">
        <f>IF(TrRoad_act!H19=0,0,H42/TrRoad_act!H19*1000)</f>
        <v>59.892135674921072</v>
      </c>
      <c r="I103" s="29">
        <f>IF(TrRoad_act!I19=0,0,I42/TrRoad_act!I19*1000)</f>
        <v>63.903112846218619</v>
      </c>
      <c r="J103" s="29">
        <f>IF(TrRoad_act!J19=0,0,J42/TrRoad_act!J19*1000)</f>
        <v>66.417316212177141</v>
      </c>
      <c r="K103" s="29">
        <f>IF(TrRoad_act!K19=0,0,K42/TrRoad_act!K19*1000)</f>
        <v>69.519032279238047</v>
      </c>
      <c r="L103" s="29">
        <f>IF(TrRoad_act!L19=0,0,L42/TrRoad_act!L19*1000)</f>
        <v>60.326694620575836</v>
      </c>
      <c r="M103" s="29">
        <f>IF(TrRoad_act!M19=0,0,M42/TrRoad_act!M19*1000)</f>
        <v>58.185815935066437</v>
      </c>
      <c r="N103" s="29">
        <f>IF(TrRoad_act!N19=0,0,N42/TrRoad_act!N19*1000)</f>
        <v>58.459923909808552</v>
      </c>
      <c r="O103" s="29">
        <f>IF(TrRoad_act!O19=0,0,O42/TrRoad_act!O19*1000)</f>
        <v>52.375569165679465</v>
      </c>
      <c r="P103" s="29">
        <f>IF(TrRoad_act!P19=0,0,P42/TrRoad_act!P19*1000)</f>
        <v>53.853987081723709</v>
      </c>
      <c r="Q103" s="29">
        <f>IF(TrRoad_act!Q19=0,0,Q42/TrRoad_act!Q19*1000)</f>
        <v>51.143590030772998</v>
      </c>
      <c r="R103" s="29">
        <f>IF(TrRoad_act!R19=0,0,R42/TrRoad_act!R19*1000)</f>
        <v>51.609003021165961</v>
      </c>
      <c r="S103" s="29">
        <f>IF(TrRoad_act!S19=0,0,S42/TrRoad_act!S19*1000)</f>
        <v>53.25488296046607</v>
      </c>
      <c r="T103" s="29">
        <f>IF(TrRoad_act!T19=0,0,T42/TrRoad_act!T19*1000)</f>
        <v>52.733908610673268</v>
      </c>
      <c r="U103" s="29">
        <f>IF(TrRoad_act!U19=0,0,U42/TrRoad_act!U19*1000)</f>
        <v>50.090112622183582</v>
      </c>
      <c r="V103" s="29">
        <f>IF(TrRoad_act!V19=0,0,V42/TrRoad_act!V19*1000)</f>
        <v>42.133260102106647</v>
      </c>
      <c r="W103" s="29">
        <f>IF(TrRoad_act!W19=0,0,W42/TrRoad_act!W19*1000)</f>
        <v>44.142923305607262</v>
      </c>
      <c r="X103" s="29">
        <f>IF(TrRoad_act!X19=0,0,X42/TrRoad_act!X19*1000)</f>
        <v>42.579168048049517</v>
      </c>
      <c r="Y103" s="29">
        <f>IF(TrRoad_act!Y19=0,0,Y42/TrRoad_act!Y19*1000)</f>
        <v>45.578945796422822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789.32561611627114</v>
      </c>
      <c r="C104" s="152">
        <f>IF(TrRoad_act!C20=0,0,C43/TrRoad_act!C20*1000)</f>
        <v>734.75501342482528</v>
      </c>
      <c r="D104" s="152">
        <f>IF(TrRoad_act!D20=0,0,D43/TrRoad_act!D20*1000)</f>
        <v>714.28327578703727</v>
      </c>
      <c r="E104" s="152">
        <f>IF(TrRoad_act!E20=0,0,E43/TrRoad_act!E20*1000)</f>
        <v>692.69232679480922</v>
      </c>
      <c r="F104" s="152">
        <f>IF(TrRoad_act!F20=0,0,F43/TrRoad_act!F20*1000)</f>
        <v>674.45838525388695</v>
      </c>
      <c r="G104" s="152">
        <f>IF(TrRoad_act!G20=0,0,G43/TrRoad_act!G20*1000)</f>
        <v>661.57417711136236</v>
      </c>
      <c r="H104" s="152">
        <f>IF(TrRoad_act!H20=0,0,H43/TrRoad_act!H20*1000)</f>
        <v>654.64968964124148</v>
      </c>
      <c r="I104" s="152">
        <f>IF(TrRoad_act!I20=0,0,I43/TrRoad_act!I20*1000)</f>
        <v>648.61083213378799</v>
      </c>
      <c r="J104" s="152">
        <f>IF(TrRoad_act!J20=0,0,J43/TrRoad_act!J20*1000)</f>
        <v>652.35159359919987</v>
      </c>
      <c r="K104" s="152">
        <f>IF(TrRoad_act!K20=0,0,K43/TrRoad_act!K20*1000)</f>
        <v>650.53322773265904</v>
      </c>
      <c r="L104" s="152">
        <f>IF(TrRoad_act!L20=0,0,L43/TrRoad_act!L20*1000)</f>
        <v>656.69107823267939</v>
      </c>
      <c r="M104" s="152">
        <f>IF(TrRoad_act!M20=0,0,M43/TrRoad_act!M20*1000)</f>
        <v>659.75607271566071</v>
      </c>
      <c r="N104" s="152">
        <f>IF(TrRoad_act!N20=0,0,N43/TrRoad_act!N20*1000)</f>
        <v>661.67869584925506</v>
      </c>
      <c r="O104" s="152">
        <f>IF(TrRoad_act!O20=0,0,O43/TrRoad_act!O20*1000)</f>
        <v>667.30884717490767</v>
      </c>
      <c r="P104" s="152">
        <f>IF(TrRoad_act!P20=0,0,P43/TrRoad_act!P20*1000)</f>
        <v>679.01533557403843</v>
      </c>
      <c r="Q104" s="152">
        <f>IF(TrRoad_act!Q20=0,0,Q43/TrRoad_act!Q20*1000)</f>
        <v>682.0656710468661</v>
      </c>
      <c r="R104" s="152">
        <f>IF(TrRoad_act!R20=0,0,R43/TrRoad_act!R20*1000)</f>
        <v>695.22665104217981</v>
      </c>
      <c r="S104" s="152">
        <f>IF(TrRoad_act!S20=0,0,S43/TrRoad_act!S20*1000)</f>
        <v>694.80611073958551</v>
      </c>
      <c r="T104" s="152">
        <f>IF(TrRoad_act!T20=0,0,T43/TrRoad_act!T20*1000)</f>
        <v>692.72961849078092</v>
      </c>
      <c r="U104" s="152">
        <f>IF(TrRoad_act!U20=0,0,U43/TrRoad_act!U20*1000)</f>
        <v>690.2885717368747</v>
      </c>
      <c r="V104" s="152">
        <f>IF(TrRoad_act!V20=0,0,V43/TrRoad_act!V20*1000)</f>
        <v>686.28113819156715</v>
      </c>
      <c r="W104" s="152">
        <f>IF(TrRoad_act!W20=0,0,W43/TrRoad_act!W20*1000)</f>
        <v>689.99587712286313</v>
      </c>
      <c r="X104" s="152">
        <f>IF(TrRoad_act!X20=0,0,X43/TrRoad_act!X20*1000)</f>
        <v>687.6508039913881</v>
      </c>
      <c r="Y104" s="152">
        <f>IF(TrRoad_act!Y20=0,0,Y43/TrRoad_act!Y20*1000)</f>
        <v>682.02066623687449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809.55553386161375</v>
      </c>
      <c r="C105" s="87">
        <f>IF(TrRoad_act!C21=0,0,C44/TrRoad_act!C21*1000)</f>
        <v>789.51682070163997</v>
      </c>
      <c r="D105" s="87">
        <f>IF(TrRoad_act!D21=0,0,D44/TrRoad_act!D21*1000)</f>
        <v>779.07623236169275</v>
      </c>
      <c r="E105" s="87">
        <f>IF(TrRoad_act!E21=0,0,E44/TrRoad_act!E21*1000)</f>
        <v>774.76550594031983</v>
      </c>
      <c r="F105" s="87">
        <f>IF(TrRoad_act!F21=0,0,F44/TrRoad_act!F21*1000)</f>
        <v>767.16090554802554</v>
      </c>
      <c r="G105" s="87">
        <f>IF(TrRoad_act!G21=0,0,G44/TrRoad_act!G21*1000)</f>
        <v>758.05054252297839</v>
      </c>
      <c r="H105" s="87">
        <f>IF(TrRoad_act!H21=0,0,H44/TrRoad_act!H21*1000)</f>
        <v>748.47923066737098</v>
      </c>
      <c r="I105" s="87">
        <f>IF(TrRoad_act!I21=0,0,I44/TrRoad_act!I21*1000)</f>
        <v>740.94449523294929</v>
      </c>
      <c r="J105" s="87">
        <f>IF(TrRoad_act!J21=0,0,J44/TrRoad_act!J21*1000)</f>
        <v>738.2523665066692</v>
      </c>
      <c r="K105" s="87">
        <f>IF(TrRoad_act!K21=0,0,K44/TrRoad_act!K21*1000)</f>
        <v>735.79024818999244</v>
      </c>
      <c r="L105" s="87">
        <f>IF(TrRoad_act!L21=0,0,L44/TrRoad_act!L21*1000)</f>
        <v>736.23335716787392</v>
      </c>
      <c r="M105" s="87">
        <f>IF(TrRoad_act!M21=0,0,M44/TrRoad_act!M21*1000)</f>
        <v>735.90334524658613</v>
      </c>
      <c r="N105" s="87">
        <f>IF(TrRoad_act!N21=0,0,N44/TrRoad_act!N21*1000)</f>
        <v>736.4318498776945</v>
      </c>
      <c r="O105" s="87">
        <f>IF(TrRoad_act!O21=0,0,O44/TrRoad_act!O21*1000)</f>
        <v>739.68986908016007</v>
      </c>
      <c r="P105" s="87">
        <f>IF(TrRoad_act!P21=0,0,P44/TrRoad_act!P21*1000)</f>
        <v>740.65446590306772</v>
      </c>
      <c r="Q105" s="87">
        <f>IF(TrRoad_act!Q21=0,0,Q44/TrRoad_act!Q21*1000)</f>
        <v>736.68322803958699</v>
      </c>
      <c r="R105" s="87">
        <f>IF(TrRoad_act!R21=0,0,R44/TrRoad_act!R21*1000)</f>
        <v>735.56653317828</v>
      </c>
      <c r="S105" s="87">
        <f>IF(TrRoad_act!S21=0,0,S44/TrRoad_act!S21*1000)</f>
        <v>730.07074921834669</v>
      </c>
      <c r="T105" s="87">
        <f>IF(TrRoad_act!T21=0,0,T44/TrRoad_act!T21*1000)</f>
        <v>726.67828935073533</v>
      </c>
      <c r="U105" s="87">
        <f>IF(TrRoad_act!U21=0,0,U44/TrRoad_act!U21*1000)</f>
        <v>723.08148949431916</v>
      </c>
      <c r="V105" s="87">
        <f>IF(TrRoad_act!V21=0,0,V44/TrRoad_act!V21*1000)</f>
        <v>719.73270644154957</v>
      </c>
      <c r="W105" s="87">
        <f>IF(TrRoad_act!W21=0,0,W44/TrRoad_act!W21*1000)</f>
        <v>714.86904216433902</v>
      </c>
      <c r="X105" s="87">
        <f>IF(TrRoad_act!X21=0,0,X44/TrRoad_act!X21*1000)</f>
        <v>710.40145790913414</v>
      </c>
      <c r="Y105" s="87">
        <f>IF(TrRoad_act!Y21=0,0,Y44/TrRoad_act!Y21*1000)</f>
        <v>704.6137149207965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744.95744076451467</v>
      </c>
      <c r="C106" s="87">
        <f>IF(TrRoad_act!C22=0,0,C46/TrRoad_act!C22*1000)</f>
        <v>687.96655985796917</v>
      </c>
      <c r="D106" s="87">
        <f>IF(TrRoad_act!D22=0,0,D46/TrRoad_act!D22*1000)</f>
        <v>671.89476460971696</v>
      </c>
      <c r="E106" s="87">
        <f>IF(TrRoad_act!E22=0,0,E46/TrRoad_act!E22*1000)</f>
        <v>655.40116581346297</v>
      </c>
      <c r="F106" s="87">
        <f>IF(TrRoad_act!F22=0,0,F46/TrRoad_act!F22*1000)</f>
        <v>641.78108132560681</v>
      </c>
      <c r="G106" s="87">
        <f>IF(TrRoad_act!G22=0,0,G46/TrRoad_act!G22*1000)</f>
        <v>633.68269231325428</v>
      </c>
      <c r="H106" s="87">
        <f>IF(TrRoad_act!H22=0,0,H46/TrRoad_act!H22*1000)</f>
        <v>629.46117653584145</v>
      </c>
      <c r="I106" s="87">
        <f>IF(TrRoad_act!I22=0,0,I46/TrRoad_act!I22*1000)</f>
        <v>625.49848473963152</v>
      </c>
      <c r="J106" s="87">
        <f>IF(TrRoad_act!J22=0,0,J46/TrRoad_act!J22*1000)</f>
        <v>633.25902801490042</v>
      </c>
      <c r="K106" s="87">
        <f>IF(TrRoad_act!K22=0,0,K46/TrRoad_act!K22*1000)</f>
        <v>632.5040975719196</v>
      </c>
      <c r="L106" s="87">
        <f>IF(TrRoad_act!L22=0,0,L46/TrRoad_act!L22*1000)</f>
        <v>640.99081628676845</v>
      </c>
      <c r="M106" s="87">
        <f>IF(TrRoad_act!M22=0,0,M46/TrRoad_act!M22*1000)</f>
        <v>645.21281319619595</v>
      </c>
      <c r="N106" s="87">
        <f>IF(TrRoad_act!N22=0,0,N46/TrRoad_act!N22*1000)</f>
        <v>646.96303360230104</v>
      </c>
      <c r="O106" s="87">
        <f>IF(TrRoad_act!O22=0,0,O46/TrRoad_act!O22*1000)</f>
        <v>652.84427742268588</v>
      </c>
      <c r="P106" s="87">
        <f>IF(TrRoad_act!P22=0,0,P46/TrRoad_act!P22*1000)</f>
        <v>665.4937983867419</v>
      </c>
      <c r="Q106" s="87">
        <f>IF(TrRoad_act!Q22=0,0,Q46/TrRoad_act!Q22*1000)</f>
        <v>669.58639104492386</v>
      </c>
      <c r="R106" s="87">
        <f>IF(TrRoad_act!R22=0,0,R46/TrRoad_act!R22*1000)</f>
        <v>679.16510715684831</v>
      </c>
      <c r="S106" s="87">
        <f>IF(TrRoad_act!S22=0,0,S46/TrRoad_act!S22*1000)</f>
        <v>678.98398736191962</v>
      </c>
      <c r="T106" s="87">
        <f>IF(TrRoad_act!T22=0,0,T46/TrRoad_act!T22*1000)</f>
        <v>677.04101465536075</v>
      </c>
      <c r="U106" s="87">
        <f>IF(TrRoad_act!U22=0,0,U46/TrRoad_act!U22*1000)</f>
        <v>675.07631254821183</v>
      </c>
      <c r="V106" s="87">
        <f>IF(TrRoad_act!V22=0,0,V46/TrRoad_act!V22*1000)</f>
        <v>671.86021864488055</v>
      </c>
      <c r="W106" s="87">
        <f>IF(TrRoad_act!W22=0,0,W46/TrRoad_act!W22*1000)</f>
        <v>676.54918741745871</v>
      </c>
      <c r="X106" s="87">
        <f>IF(TrRoad_act!X22=0,0,X46/TrRoad_act!X22*1000)</f>
        <v>675.36710914183629</v>
      </c>
      <c r="Y106" s="87">
        <f>IF(TrRoad_act!Y22=0,0,Y46/TrRoad_act!Y22*1000)</f>
        <v>672.0914308084125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1828.2745072115954</v>
      </c>
      <c r="C107" s="87">
        <f>IF(TrRoad_act!C23=0,0,C48/TrRoad_act!C23*1000)</f>
        <v>1814.077970920102</v>
      </c>
      <c r="D107" s="87">
        <f>IF(TrRoad_act!D23=0,0,D48/TrRoad_act!D23*1000)</f>
        <v>1761.5979142050082</v>
      </c>
      <c r="E107" s="87">
        <f>IF(TrRoad_act!E23=0,0,E48/TrRoad_act!E23*1000)</f>
        <v>1703.2052338156871</v>
      </c>
      <c r="F107" s="87">
        <f>IF(TrRoad_act!F23=0,0,F48/TrRoad_act!F23*1000)</f>
        <v>1626.6044737852037</v>
      </c>
      <c r="G107" s="87">
        <f>IF(TrRoad_act!G23=0,0,G48/TrRoad_act!G23*1000)</f>
        <v>1561.1317738491043</v>
      </c>
      <c r="H107" s="87">
        <f>IF(TrRoad_act!H23=0,0,H48/TrRoad_act!H23*1000)</f>
        <v>1481.546498584089</v>
      </c>
      <c r="I107" s="87">
        <f>IF(TrRoad_act!I23=0,0,I48/TrRoad_act!I23*1000)</f>
        <v>1412.1178080485656</v>
      </c>
      <c r="J107" s="87">
        <f>IF(TrRoad_act!J23=0,0,J48/TrRoad_act!J23*1000)</f>
        <v>1383.9073108001583</v>
      </c>
      <c r="K107" s="87">
        <f>IF(TrRoad_act!K23=0,0,K48/TrRoad_act!K23*1000)</f>
        <v>1339.8180085223735</v>
      </c>
      <c r="L107" s="87">
        <f>IF(TrRoad_act!L23=0,0,L48/TrRoad_act!L23*1000)</f>
        <v>1314.7836822135853</v>
      </c>
      <c r="M107" s="87">
        <f>IF(TrRoad_act!M23=0,0,M48/TrRoad_act!M23*1000)</f>
        <v>1283.8495172181126</v>
      </c>
      <c r="N107" s="87">
        <f>IF(TrRoad_act!N23=0,0,N48/TrRoad_act!N23*1000)</f>
        <v>1267.3448628112844</v>
      </c>
      <c r="O107" s="87">
        <f>IF(TrRoad_act!O23=0,0,O48/TrRoad_act!O23*1000)</f>
        <v>1268.1908625166279</v>
      </c>
      <c r="P107" s="87">
        <f>IF(TrRoad_act!P23=0,0,P48/TrRoad_act!P23*1000)</f>
        <v>1273.5056537711475</v>
      </c>
      <c r="Q107" s="87">
        <f>IF(TrRoad_act!Q23=0,0,Q48/TrRoad_act!Q23*1000)</f>
        <v>1268.9265119066699</v>
      </c>
      <c r="R107" s="87">
        <f>IF(TrRoad_act!R23=0,0,R48/TrRoad_act!R23*1000)</f>
        <v>1277.2747099695221</v>
      </c>
      <c r="S107" s="87">
        <f>IF(TrRoad_act!S23=0,0,S48/TrRoad_act!S23*1000)</f>
        <v>1268.7002060949467</v>
      </c>
      <c r="T107" s="87">
        <f>IF(TrRoad_act!T23=0,0,T48/TrRoad_act!T23*1000)</f>
        <v>1254.1765037160958</v>
      </c>
      <c r="U107" s="87">
        <f>IF(TrRoad_act!U23=0,0,U48/TrRoad_act!U23*1000)</f>
        <v>1251.7875972576635</v>
      </c>
      <c r="V107" s="87">
        <f>IF(TrRoad_act!V23=0,0,V48/TrRoad_act!V23*1000)</f>
        <v>1250.3562092309865</v>
      </c>
      <c r="W107" s="87">
        <f>IF(TrRoad_act!W23=0,0,W48/TrRoad_act!W23*1000)</f>
        <v>1252.7539843133991</v>
      </c>
      <c r="X107" s="87">
        <f>IF(TrRoad_act!X23=0,0,X48/TrRoad_act!X23*1000)</f>
        <v>1247.2750171190064</v>
      </c>
      <c r="Y107" s="87">
        <f>IF(TrRoad_act!Y23=0,0,Y48/TrRoad_act!Y23*1000)</f>
        <v>1233.2093776208321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1085.5740271984407</v>
      </c>
      <c r="O108" s="87">
        <f>IF(TrRoad_act!O24=0,0,O49/TrRoad_act!O24*1000)</f>
        <v>1053.5933736690254</v>
      </c>
      <c r="P108" s="87">
        <f>IF(TrRoad_act!P24=0,0,P49/TrRoad_act!P24*1000)</f>
        <v>1011.5216896479479</v>
      </c>
      <c r="Q108" s="87">
        <f>IF(TrRoad_act!Q24=0,0,Q49/TrRoad_act!Q24*1000)</f>
        <v>873.95705933233569</v>
      </c>
      <c r="R108" s="87">
        <f>IF(TrRoad_act!R24=0,0,R49/TrRoad_act!R24*1000)</f>
        <v>974.93583604046751</v>
      </c>
      <c r="S108" s="87">
        <f>IF(TrRoad_act!S24=0,0,S49/TrRoad_act!S24*1000)</f>
        <v>948.99949886462173</v>
      </c>
      <c r="T108" s="87">
        <f>IF(TrRoad_act!T24=0,0,T49/TrRoad_act!T24*1000)</f>
        <v>920.30454140496306</v>
      </c>
      <c r="U108" s="87">
        <f>IF(TrRoad_act!U24=0,0,U49/TrRoad_act!U24*1000)</f>
        <v>904.22817139716767</v>
      </c>
      <c r="V108" s="87">
        <f>IF(TrRoad_act!V24=0,0,V49/TrRoad_act!V24*1000)</f>
        <v>877.36951281077233</v>
      </c>
      <c r="W108" s="87">
        <f>IF(TrRoad_act!W24=0,0,W49/TrRoad_act!W24*1000)</f>
        <v>892.75079869021351</v>
      </c>
      <c r="X108" s="87">
        <f>IF(TrRoad_act!X24=0,0,X49/TrRoad_act!X24*1000)</f>
        <v>892.83859698929462</v>
      </c>
      <c r="Y108" s="87">
        <f>IF(TrRoad_act!Y24=0,0,Y49/TrRoad_act!Y24*1000)</f>
        <v>875.16274737706135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122.50721614405603</v>
      </c>
      <c r="K109" s="87">
        <f>IF(TrRoad_act!K25=0,0,K51/TrRoad_act!K25*1000)</f>
        <v>122.5863384600076</v>
      </c>
      <c r="L109" s="87">
        <f>IF(TrRoad_act!L25=0,0,L51/TrRoad_act!L25*1000)</f>
        <v>122.76531065129217</v>
      </c>
      <c r="M109" s="87">
        <f>IF(TrRoad_act!M25=0,0,M51/TrRoad_act!M25*1000)</f>
        <v>123.09242198700868</v>
      </c>
      <c r="N109" s="87">
        <f>IF(TrRoad_act!N25=0,0,N51/TrRoad_act!N25*1000)</f>
        <v>124.02855830634637</v>
      </c>
      <c r="O109" s="87">
        <f>IF(TrRoad_act!O25=0,0,O51/TrRoad_act!O25*1000)</f>
        <v>124.77985578164534</v>
      </c>
      <c r="P109" s="87">
        <f>IF(TrRoad_act!P25=0,0,P51/TrRoad_act!P25*1000)</f>
        <v>125.84635008009498</v>
      </c>
      <c r="Q109" s="87">
        <f>IF(TrRoad_act!Q25=0,0,Q51/TrRoad_act!Q25*1000)</f>
        <v>128.95240021430794</v>
      </c>
      <c r="R109" s="87">
        <f>IF(TrRoad_act!R25=0,0,R51/TrRoad_act!R25*1000)</f>
        <v>129.49734309008653</v>
      </c>
      <c r="S109" s="87">
        <f>IF(TrRoad_act!S25=0,0,S51/TrRoad_act!S25*1000)</f>
        <v>130.30198015679764</v>
      </c>
      <c r="T109" s="87">
        <f>IF(TrRoad_act!T25=0,0,T51/TrRoad_act!T25*1000)</f>
        <v>140.49126745666464</v>
      </c>
      <c r="U109" s="87">
        <f>IF(TrRoad_act!U25=0,0,U51/TrRoad_act!U25*1000)</f>
        <v>156.5779308962409</v>
      </c>
      <c r="V109" s="87">
        <f>IF(TrRoad_act!V25=0,0,V51/TrRoad_act!V25*1000)</f>
        <v>159.01990405467711</v>
      </c>
      <c r="W109" s="87">
        <f>IF(TrRoad_act!W25=0,0,W51/TrRoad_act!W25*1000)</f>
        <v>185.71102504778369</v>
      </c>
      <c r="X109" s="87">
        <f>IF(TrRoad_act!X25=0,0,X51/TrRoad_act!X25*1000)</f>
        <v>196.18371508638472</v>
      </c>
      <c r="Y109" s="87">
        <f>IF(TrRoad_act!Y25=0,0,Y51/TrRoad_act!Y25*1000)</f>
        <v>196.23425879307356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32.451151713342746</v>
      </c>
      <c r="C110" s="116">
        <f>IF(TrRoad_act!C26=0,0,C52/TrRoad_act!C26*1000)</f>
        <v>33.337983244541668</v>
      </c>
      <c r="D110" s="116">
        <f>IF(TrRoad_act!D26=0,0,D52/TrRoad_act!D26*1000)</f>
        <v>34.048619295542046</v>
      </c>
      <c r="E110" s="116">
        <f>IF(TrRoad_act!E26=0,0,E52/TrRoad_act!E26*1000)</f>
        <v>39.601399619442205</v>
      </c>
      <c r="F110" s="116">
        <f>IF(TrRoad_act!F26=0,0,F52/TrRoad_act!F26*1000)</f>
        <v>42.169682839291504</v>
      </c>
      <c r="G110" s="116">
        <f>IF(TrRoad_act!G26=0,0,G52/TrRoad_act!G26*1000)</f>
        <v>49.021281579062268</v>
      </c>
      <c r="H110" s="116">
        <f>IF(TrRoad_act!H26=0,0,H52/TrRoad_act!H26*1000)</f>
        <v>50.025207852444737</v>
      </c>
      <c r="I110" s="116">
        <f>IF(TrRoad_act!I26=0,0,I52/TrRoad_act!I26*1000)</f>
        <v>52.8448115554719</v>
      </c>
      <c r="J110" s="116">
        <f>IF(TrRoad_act!J26=0,0,J52/TrRoad_act!J26*1000)</f>
        <v>52.64926241286593</v>
      </c>
      <c r="K110" s="116">
        <f>IF(TrRoad_act!K26=0,0,K52/TrRoad_act!K26*1000)</f>
        <v>53.933657405810003</v>
      </c>
      <c r="L110" s="116">
        <f>IF(TrRoad_act!L26=0,0,L52/TrRoad_act!L26*1000)</f>
        <v>44.96485805927756</v>
      </c>
      <c r="M110" s="116">
        <f>IF(TrRoad_act!M26=0,0,M52/TrRoad_act!M26*1000)</f>
        <v>42.982118728177845</v>
      </c>
      <c r="N110" s="116">
        <f>IF(TrRoad_act!N26=0,0,N52/TrRoad_act!N26*1000)</f>
        <v>42.671668228817367</v>
      </c>
      <c r="O110" s="116">
        <f>IF(TrRoad_act!O26=0,0,O52/TrRoad_act!O26*1000)</f>
        <v>37.138773229766521</v>
      </c>
      <c r="P110" s="116">
        <f>IF(TrRoad_act!P26=0,0,P52/TrRoad_act!P26*1000)</f>
        <v>37.545066351436255</v>
      </c>
      <c r="Q110" s="116">
        <f>IF(TrRoad_act!Q26=0,0,Q52/TrRoad_act!Q26*1000)</f>
        <v>35.632902869173883</v>
      </c>
      <c r="R110" s="116">
        <f>IF(TrRoad_act!R26=0,0,R52/TrRoad_act!R26*1000)</f>
        <v>38.492105747873396</v>
      </c>
      <c r="S110" s="116">
        <f>IF(TrRoad_act!S26=0,0,S52/TrRoad_act!S26*1000)</f>
        <v>39.857893066106534</v>
      </c>
      <c r="T110" s="116">
        <f>IF(TrRoad_act!T26=0,0,T52/TrRoad_act!T26*1000)</f>
        <v>39.342530345984031</v>
      </c>
      <c r="U110" s="116">
        <f>IF(TrRoad_act!U26=0,0,U52/TrRoad_act!U26*1000)</f>
        <v>37.269120075911147</v>
      </c>
      <c r="V110" s="116">
        <f>IF(TrRoad_act!V26=0,0,V52/TrRoad_act!V26*1000)</f>
        <v>30.994135302882697</v>
      </c>
      <c r="W110" s="116">
        <f>IF(TrRoad_act!W26=0,0,W52/TrRoad_act!W26*1000)</f>
        <v>33.485025520059459</v>
      </c>
      <c r="X110" s="116">
        <f>IF(TrRoad_act!X26=0,0,X52/TrRoad_act!X26*1000)</f>
        <v>32.290352702111285</v>
      </c>
      <c r="Y110" s="116">
        <f>IF(TrRoad_act!Y26=0,0,Y52/TrRoad_act!Y26*1000)</f>
        <v>34.552316016463124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32.876827605839139</v>
      </c>
      <c r="C111" s="101">
        <f>IF(TrRoad_act!C27=0,0,C53/TrRoad_act!C27*1000)</f>
        <v>36.022599059823186</v>
      </c>
      <c r="D111" s="101">
        <f>IF(TrRoad_act!D27=0,0,D53/TrRoad_act!D27*1000)</f>
        <v>37.749452366992259</v>
      </c>
      <c r="E111" s="101">
        <f>IF(TrRoad_act!E27=0,0,E53/TrRoad_act!E27*1000)</f>
        <v>42.270085870900324</v>
      </c>
      <c r="F111" s="101">
        <f>IF(TrRoad_act!F27=0,0,F53/TrRoad_act!F27*1000)</f>
        <v>49.62834489539398</v>
      </c>
      <c r="G111" s="101">
        <f>IF(TrRoad_act!G27=0,0,G53/TrRoad_act!G27*1000)</f>
        <v>59.820705108260569</v>
      </c>
      <c r="H111" s="101">
        <f>IF(TrRoad_act!H27=0,0,H53/TrRoad_act!H27*1000)</f>
        <v>55.83950406852675</v>
      </c>
      <c r="I111" s="101">
        <f>IF(TrRoad_act!I27=0,0,I53/TrRoad_act!I27*1000)</f>
        <v>56.074831183818404</v>
      </c>
      <c r="J111" s="101">
        <f>IF(TrRoad_act!J27=0,0,J53/TrRoad_act!J27*1000)</f>
        <v>53.804743177571481</v>
      </c>
      <c r="K111" s="101">
        <f>IF(TrRoad_act!K27=0,0,K53/TrRoad_act!K27*1000)</f>
        <v>52.3599182189608</v>
      </c>
      <c r="L111" s="101">
        <f>IF(TrRoad_act!L27=0,0,L53/TrRoad_act!L27*1000)</f>
        <v>46.540368872224605</v>
      </c>
      <c r="M111" s="101">
        <f>IF(TrRoad_act!M27=0,0,M53/TrRoad_act!M27*1000)</f>
        <v>45.067148520978343</v>
      </c>
      <c r="N111" s="101">
        <f>IF(TrRoad_act!N27=0,0,N53/TrRoad_act!N27*1000)</f>
        <v>44.521046205394917</v>
      </c>
      <c r="O111" s="101">
        <f>IF(TrRoad_act!O27=0,0,O53/TrRoad_act!O27*1000)</f>
        <v>42.533076331863107</v>
      </c>
      <c r="P111" s="101">
        <f>IF(TrRoad_act!P27=0,0,P53/TrRoad_act!P27*1000)</f>
        <v>42.156243945916771</v>
      </c>
      <c r="Q111" s="101">
        <f>IF(TrRoad_act!Q27=0,0,Q53/TrRoad_act!Q27*1000)</f>
        <v>39.691549360932257</v>
      </c>
      <c r="R111" s="101">
        <f>IF(TrRoad_act!R27=0,0,R53/TrRoad_act!R27*1000)</f>
        <v>39.085110573488613</v>
      </c>
      <c r="S111" s="101">
        <f>IF(TrRoad_act!S27=0,0,S53/TrRoad_act!S27*1000)</f>
        <v>41.747619454168031</v>
      </c>
      <c r="T111" s="101">
        <f>IF(TrRoad_act!T27=0,0,T53/TrRoad_act!T27*1000)</f>
        <v>40.32432473704899</v>
      </c>
      <c r="U111" s="101">
        <f>IF(TrRoad_act!U27=0,0,U53/TrRoad_act!U27*1000)</f>
        <v>38.138082191446379</v>
      </c>
      <c r="V111" s="101">
        <f>IF(TrRoad_act!V27=0,0,V53/TrRoad_act!V27*1000)</f>
        <v>35.995655824061657</v>
      </c>
      <c r="W111" s="101">
        <f>IF(TrRoad_act!W27=0,0,W53/TrRoad_act!W27*1000)</f>
        <v>37.641079340996669</v>
      </c>
      <c r="X111" s="101">
        <f>IF(TrRoad_act!X27=0,0,X53/TrRoad_act!X27*1000)</f>
        <v>35.148056039804686</v>
      </c>
      <c r="Y111" s="101">
        <f>IF(TrRoad_act!Y27=0,0,Y53/TrRoad_act!Y27*1000)</f>
        <v>38.126319584727341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31.951238933392059</v>
      </c>
      <c r="C112" s="88">
        <f>IF(TrRoad_act!C28=0,0,C55/TrRoad_act!C28*1000)</f>
        <v>30.230550001234015</v>
      </c>
      <c r="D112" s="88">
        <f>IF(TrRoad_act!D28=0,0,D55/TrRoad_act!D28*1000)</f>
        <v>29.650069970161617</v>
      </c>
      <c r="E112" s="88">
        <f>IF(TrRoad_act!E28=0,0,E55/TrRoad_act!E28*1000)</f>
        <v>36.280154420857819</v>
      </c>
      <c r="F112" s="88">
        <f>IF(TrRoad_act!F28=0,0,F55/TrRoad_act!F28*1000)</f>
        <v>34.77847162926318</v>
      </c>
      <c r="G112" s="88">
        <f>IF(TrRoad_act!G28=0,0,G55/TrRoad_act!G28*1000)</f>
        <v>39.028555530651197</v>
      </c>
      <c r="H112" s="88">
        <f>IF(TrRoad_act!H28=0,0,H55/TrRoad_act!H28*1000)</f>
        <v>44.717058926241513</v>
      </c>
      <c r="I112" s="88">
        <f>IF(TrRoad_act!I28=0,0,I55/TrRoad_act!I28*1000)</f>
        <v>50.028044181654515</v>
      </c>
      <c r="J112" s="88">
        <f>IF(TrRoad_act!J28=0,0,J55/TrRoad_act!J28*1000)</f>
        <v>51.566803503404344</v>
      </c>
      <c r="K112" s="88">
        <f>IF(TrRoad_act!K28=0,0,K55/TrRoad_act!K28*1000)</f>
        <v>55.28665657875645</v>
      </c>
      <c r="L112" s="88">
        <f>IF(TrRoad_act!L28=0,0,L55/TrRoad_act!L28*1000)</f>
        <v>43.614052851175963</v>
      </c>
      <c r="M112" s="88">
        <f>IF(TrRoad_act!M28=0,0,M55/TrRoad_act!M28*1000)</f>
        <v>41.263252493648409</v>
      </c>
      <c r="N112" s="88">
        <f>IF(TrRoad_act!N28=0,0,N55/TrRoad_act!N28*1000)</f>
        <v>41.196726819430545</v>
      </c>
      <c r="O112" s="88">
        <f>IF(TrRoad_act!O28=0,0,O55/TrRoad_act!O28*1000)</f>
        <v>32.990781610606099</v>
      </c>
      <c r="P112" s="88">
        <f>IF(TrRoad_act!P28=0,0,P55/TrRoad_act!P28*1000)</f>
        <v>33.705815718421718</v>
      </c>
      <c r="Q112" s="88">
        <f>IF(TrRoad_act!Q28=0,0,Q55/TrRoad_act!Q28*1000)</f>
        <v>31.631974415287264</v>
      </c>
      <c r="R112" s="88">
        <f>IF(TrRoad_act!R28=0,0,R55/TrRoad_act!R28*1000)</f>
        <v>37.862554849047172</v>
      </c>
      <c r="S112" s="88">
        <f>IF(TrRoad_act!S28=0,0,S55/TrRoad_act!S28*1000)</f>
        <v>37.903558613315596</v>
      </c>
      <c r="T112" s="88">
        <f>IF(TrRoad_act!T28=0,0,T55/TrRoad_act!T28*1000)</f>
        <v>38.18135354758946</v>
      </c>
      <c r="U112" s="88">
        <f>IF(TrRoad_act!U28=0,0,U55/TrRoad_act!U28*1000)</f>
        <v>36.215939844590373</v>
      </c>
      <c r="V112" s="88">
        <f>IF(TrRoad_act!V28=0,0,V55/TrRoad_act!V28*1000)</f>
        <v>24.9615406250274</v>
      </c>
      <c r="W112" s="88">
        <f>IF(TrRoad_act!W28=0,0,W55/TrRoad_act!W28*1000)</f>
        <v>28.605502585012523</v>
      </c>
      <c r="X112" s="88">
        <f>IF(TrRoad_act!X28=0,0,X55/TrRoad_act!X28*1000)</f>
        <v>29.010912648611157</v>
      </c>
      <c r="Y112" s="88">
        <f>IF(TrRoad_act!Y28=0,0,Y55/TrRoad_act!Y28*1000)</f>
        <v>30.57522829464472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48.223365879196614</v>
      </c>
      <c r="C116" s="152">
        <f>IF(C19=0,0,1000000*C19/TrRoad_act!C59)</f>
        <v>45.257448965579854</v>
      </c>
      <c r="D116" s="152">
        <f>IF(D19=0,0,1000000*D19/TrRoad_act!D59)</f>
        <v>43.705938257183711</v>
      </c>
      <c r="E116" s="152">
        <f>IF(E19=0,0,1000000*E19/TrRoad_act!E59)</f>
        <v>44.036822110100964</v>
      </c>
      <c r="F116" s="152">
        <f>IF(F19=0,0,1000000*F19/TrRoad_act!F59)</f>
        <v>43.544367026462886</v>
      </c>
      <c r="G116" s="152">
        <f>IF(G19=0,0,1000000*G19/TrRoad_act!G59)</f>
        <v>42.733386536867279</v>
      </c>
      <c r="H116" s="152">
        <f>IF(H19=0,0,1000000*H19/TrRoad_act!H59)</f>
        <v>40.394270180415901</v>
      </c>
      <c r="I116" s="152">
        <f>IF(I19=0,0,1000000*I19/TrRoad_act!I59)</f>
        <v>40.275616728816011</v>
      </c>
      <c r="J116" s="152">
        <f>IF(J19=0,0,1000000*J19/TrRoad_act!J59)</f>
        <v>40.257453632421459</v>
      </c>
      <c r="K116" s="152">
        <f>IF(K19=0,0,1000000*K19/TrRoad_act!K59)</f>
        <v>40.358673821853174</v>
      </c>
      <c r="L116" s="152">
        <f>IF(L19=0,0,1000000*L19/TrRoad_act!L59)</f>
        <v>40.090126955991728</v>
      </c>
      <c r="M116" s="152">
        <f>IF(M19=0,0,1000000*M19/TrRoad_act!M59)</f>
        <v>39.869344207088886</v>
      </c>
      <c r="N116" s="152">
        <f>IF(N19=0,0,1000000*N19/TrRoad_act!N59)</f>
        <v>39.72350294895444</v>
      </c>
      <c r="O116" s="152">
        <f>IF(O19=0,0,1000000*O19/TrRoad_act!O59)</f>
        <v>39.599941342388405</v>
      </c>
      <c r="P116" s="152">
        <f>IF(P19=0,0,1000000*P19/TrRoad_act!P59)</f>
        <v>39.458716080356083</v>
      </c>
      <c r="Q116" s="152">
        <f>IF(Q19=0,0,1000000*Q19/TrRoad_act!Q59)</f>
        <v>39.037840450729803</v>
      </c>
      <c r="R116" s="152">
        <f>IF(R19=0,0,1000000*R19/TrRoad_act!R59)</f>
        <v>39.010844088452096</v>
      </c>
      <c r="S116" s="152">
        <f>IF(S19=0,0,1000000*S19/TrRoad_act!S59)</f>
        <v>35.979013363223864</v>
      </c>
      <c r="T116" s="152">
        <f>IF(T19=0,0,1000000*T19/TrRoad_act!T59)</f>
        <v>33.395483683888983</v>
      </c>
      <c r="U116" s="152">
        <f>IF(U19=0,0,1000000*U19/TrRoad_act!U59)</f>
        <v>34.527019126910197</v>
      </c>
      <c r="V116" s="152">
        <f>IF(V19=0,0,1000000*V19/TrRoad_act!V59)</f>
        <v>30.074441512008988</v>
      </c>
      <c r="W116" s="152">
        <f>IF(W19=0,0,1000000*W19/TrRoad_act!W59)</f>
        <v>30.668531896900994</v>
      </c>
      <c r="X116" s="152">
        <f>IF(X19=0,0,1000000*X19/TrRoad_act!X59)</f>
        <v>30.327577066815905</v>
      </c>
      <c r="Y116" s="152">
        <f>IF(Y19=0,0,1000000*Y19/TrRoad_act!Y59)</f>
        <v>31.400287234211145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680.67888979888551</v>
      </c>
      <c r="C117" s="116">
        <f>IF(C21=0,0,1000000*C21/TrRoad_act!C60)</f>
        <v>704.23708759859448</v>
      </c>
      <c r="D117" s="116">
        <f>IF(D21=0,0,1000000*D21/TrRoad_act!D60)</f>
        <v>714.46229051136243</v>
      </c>
      <c r="E117" s="116">
        <f>IF(E21=0,0,1000000*E21/TrRoad_act!E60)</f>
        <v>799.57108793392126</v>
      </c>
      <c r="F117" s="116">
        <f>IF(F21=0,0,1000000*F21/TrRoad_act!F60)</f>
        <v>799.14191048763234</v>
      </c>
      <c r="G117" s="116">
        <f>IF(G21=0,0,1000000*G21/TrRoad_act!G60)</f>
        <v>799.93170523814854</v>
      </c>
      <c r="H117" s="116">
        <f>IF(H21=0,0,1000000*H21/TrRoad_act!H60)</f>
        <v>784.37546334349918</v>
      </c>
      <c r="I117" s="116">
        <f>IF(I21=0,0,1000000*I21/TrRoad_act!I60)</f>
        <v>783.06046250796999</v>
      </c>
      <c r="J117" s="116">
        <f>IF(J21=0,0,1000000*J21/TrRoad_act!J60)</f>
        <v>758.76629043007858</v>
      </c>
      <c r="K117" s="116">
        <f>IF(K21=0,0,1000000*K21/TrRoad_act!K60)</f>
        <v>768.36354443830021</v>
      </c>
      <c r="L117" s="116">
        <f>IF(L21=0,0,1000000*L21/TrRoad_act!L60)</f>
        <v>711.49870715150496</v>
      </c>
      <c r="M117" s="116">
        <f>IF(M21=0,0,1000000*M21/TrRoad_act!M60)</f>
        <v>704.55125499287522</v>
      </c>
      <c r="N117" s="116">
        <f>IF(N21=0,0,1000000*N21/TrRoad_act!N60)</f>
        <v>673.09639247110658</v>
      </c>
      <c r="O117" s="116">
        <f>IF(O21=0,0,1000000*O21/TrRoad_act!O60)</f>
        <v>668.7536056094176</v>
      </c>
      <c r="P117" s="116">
        <f>IF(P21=0,0,1000000*P21/TrRoad_act!P60)</f>
        <v>666.81498487530087</v>
      </c>
      <c r="Q117" s="116">
        <f>IF(Q21=0,0,1000000*Q21/TrRoad_act!Q60)</f>
        <v>639.23621730196044</v>
      </c>
      <c r="R117" s="116">
        <f>IF(R21=0,0,1000000*R21/TrRoad_act!R60)</f>
        <v>653.1603340069197</v>
      </c>
      <c r="S117" s="116">
        <f>IF(S21=0,0,1000000*S21/TrRoad_act!S60)</f>
        <v>644.60947728845724</v>
      </c>
      <c r="T117" s="116">
        <f>IF(T21=0,0,1000000*T21/TrRoad_act!T60)</f>
        <v>630.75908481084923</v>
      </c>
      <c r="U117" s="116">
        <f>IF(U21=0,0,1000000*U21/TrRoad_act!U60)</f>
        <v>628.75573127575979</v>
      </c>
      <c r="V117" s="116">
        <f>IF(V21=0,0,1000000*V21/TrRoad_act!V60)</f>
        <v>585.77449551985683</v>
      </c>
      <c r="W117" s="116">
        <f>IF(W21=0,0,1000000*W21/TrRoad_act!W60)</f>
        <v>609.97067551844441</v>
      </c>
      <c r="X117" s="116">
        <f>IF(X21=0,0,1000000*X21/TrRoad_act!X60)</f>
        <v>603.63240790764939</v>
      </c>
      <c r="Y117" s="116">
        <f>IF(Y21=0,0,1000000*Y21/TrRoad_act!Y60)</f>
        <v>603.25358907464306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597.0963509628051</v>
      </c>
      <c r="C118" s="87">
        <f>IF(C22=0,0,1000000*C22/TrRoad_act!C61)</f>
        <v>616.42854904686692</v>
      </c>
      <c r="D118" s="87">
        <f>IF(D22=0,0,1000000*D22/TrRoad_act!D61)</f>
        <v>615.21343999838894</v>
      </c>
      <c r="E118" s="87">
        <f>IF(E22=0,0,1000000*E22/TrRoad_act!E61)</f>
        <v>678.0642645101974</v>
      </c>
      <c r="F118" s="87">
        <f>IF(F22=0,0,1000000*F22/TrRoad_act!F61)</f>
        <v>668.0233508259588</v>
      </c>
      <c r="G118" s="87">
        <f>IF(G22=0,0,1000000*G22/TrRoad_act!G61)</f>
        <v>640.7026674324577</v>
      </c>
      <c r="H118" s="87">
        <f>IF(H22=0,0,1000000*H22/TrRoad_act!H61)</f>
        <v>621.93559404059761</v>
      </c>
      <c r="I118" s="87">
        <f>IF(I22=0,0,1000000*I22/TrRoad_act!I61)</f>
        <v>634.44617878818008</v>
      </c>
      <c r="J118" s="87">
        <f>IF(J22=0,0,1000000*J22/TrRoad_act!J61)</f>
        <v>610.27480860206572</v>
      </c>
      <c r="K118" s="87">
        <f>IF(K22=0,0,1000000*K22/TrRoad_act!K61)</f>
        <v>617.72221106837048</v>
      </c>
      <c r="L118" s="87">
        <f>IF(L22=0,0,1000000*L22/TrRoad_act!L61)</f>
        <v>566.07972124228218</v>
      </c>
      <c r="M118" s="87">
        <f>IF(M22=0,0,1000000*M22/TrRoad_act!M61)</f>
        <v>549.50804236694876</v>
      </c>
      <c r="N118" s="87">
        <f>IF(N22=0,0,1000000*N22/TrRoad_act!N61)</f>
        <v>519.06836644898681</v>
      </c>
      <c r="O118" s="87">
        <f>IF(O22=0,0,1000000*O22/TrRoad_act!O61)</f>
        <v>489.64564874928607</v>
      </c>
      <c r="P118" s="87">
        <f>IF(P22=0,0,1000000*P22/TrRoad_act!P61)</f>
        <v>489.72371640929362</v>
      </c>
      <c r="Q118" s="87">
        <f>IF(Q22=0,0,1000000*Q22/TrRoad_act!Q61)</f>
        <v>475.23965363268462</v>
      </c>
      <c r="R118" s="87">
        <f>IF(R22=0,0,1000000*R22/TrRoad_act!R61)</f>
        <v>478.1111664562851</v>
      </c>
      <c r="S118" s="87">
        <f>IF(S22=0,0,1000000*S22/TrRoad_act!S61)</f>
        <v>464.52307424743105</v>
      </c>
      <c r="T118" s="87">
        <f>IF(T22=0,0,1000000*T22/TrRoad_act!T61)</f>
        <v>459.07024571380384</v>
      </c>
      <c r="U118" s="87">
        <f>IF(U22=0,0,1000000*U22/TrRoad_act!U61)</f>
        <v>451.48459665505436</v>
      </c>
      <c r="V118" s="87">
        <f>IF(V22=0,0,1000000*V22/TrRoad_act!V61)</f>
        <v>403.64139972330372</v>
      </c>
      <c r="W118" s="87">
        <f>IF(W22=0,0,1000000*W22/TrRoad_act!W61)</f>
        <v>415.9278215868074</v>
      </c>
      <c r="X118" s="87">
        <f>IF(X22=0,0,1000000*X22/TrRoad_act!X61)</f>
        <v>422.82567454836618</v>
      </c>
      <c r="Y118" s="87">
        <f>IF(Y22=0,0,1000000*Y22/TrRoad_act!Y61)</f>
        <v>422.57661199181268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1325.4940040687691</v>
      </c>
      <c r="C119" s="87">
        <f>IF(C24=0,0,1000000*C24/TrRoad_act!C62)</f>
        <v>1325.4047629721845</v>
      </c>
      <c r="D119" s="87">
        <f>IF(D24=0,0,1000000*D24/TrRoad_act!D62)</f>
        <v>1334.4912790444616</v>
      </c>
      <c r="E119" s="87">
        <f>IF(E24=0,0,1000000*E24/TrRoad_act!E62)</f>
        <v>1475.3534001620089</v>
      </c>
      <c r="F119" s="87">
        <f>IF(F24=0,0,1000000*F24/TrRoad_act!F62)</f>
        <v>1462.0533621662394</v>
      </c>
      <c r="G119" s="87">
        <f>IF(G24=0,0,1000000*G24/TrRoad_act!G62)</f>
        <v>1541.781509276409</v>
      </c>
      <c r="H119" s="87">
        <f>IF(H24=0,0,1000000*H24/TrRoad_act!H62)</f>
        <v>1476.7743339538765</v>
      </c>
      <c r="I119" s="87">
        <f>IF(I24=0,0,1000000*I24/TrRoad_act!I62)</f>
        <v>1369.8009490425391</v>
      </c>
      <c r="J119" s="87">
        <f>IF(J24=0,0,1000000*J24/TrRoad_act!J62)</f>
        <v>1287.5172141974463</v>
      </c>
      <c r="K119" s="87">
        <f>IF(K24=0,0,1000000*K24/TrRoad_act!K62)</f>
        <v>1252.4821916438411</v>
      </c>
      <c r="L119" s="87">
        <f>IF(L24=0,0,1000000*L24/TrRoad_act!L62)</f>
        <v>1129.6843603664045</v>
      </c>
      <c r="M119" s="87">
        <f>IF(M24=0,0,1000000*M24/TrRoad_act!M62)</f>
        <v>1111.9446223653931</v>
      </c>
      <c r="N119" s="87">
        <f>IF(N24=0,0,1000000*N24/TrRoad_act!N62)</f>
        <v>1030.5889910233141</v>
      </c>
      <c r="O119" s="87">
        <f>IF(O24=0,0,1000000*O24/TrRoad_act!O62)</f>
        <v>1067.7095047034313</v>
      </c>
      <c r="P119" s="87">
        <f>IF(P24=0,0,1000000*P24/TrRoad_act!P62)</f>
        <v>1038.6159438609411</v>
      </c>
      <c r="Q119" s="87">
        <f>IF(Q24=0,0,1000000*Q24/TrRoad_act!Q62)</f>
        <v>957.47007802319479</v>
      </c>
      <c r="R119" s="87">
        <f>IF(R24=0,0,1000000*R24/TrRoad_act!R62)</f>
        <v>973.32465760876175</v>
      </c>
      <c r="S119" s="87">
        <f>IF(S24=0,0,1000000*S24/TrRoad_act!S62)</f>
        <v>957.2045412286484</v>
      </c>
      <c r="T119" s="87">
        <f>IF(T24=0,0,1000000*T24/TrRoad_act!T62)</f>
        <v>910.43500091340286</v>
      </c>
      <c r="U119" s="87">
        <f>IF(U24=0,0,1000000*U24/TrRoad_act!U62)</f>
        <v>909.34468230438756</v>
      </c>
      <c r="V119" s="87">
        <f>IF(V24=0,0,1000000*V24/TrRoad_act!V62)</f>
        <v>868.99047281818343</v>
      </c>
      <c r="W119" s="87">
        <f>IF(W24=0,0,1000000*W24/TrRoad_act!W62)</f>
        <v>908.28316174408849</v>
      </c>
      <c r="X119" s="87">
        <f>IF(X24=0,0,1000000*X24/TrRoad_act!X62)</f>
        <v>875.13839414137908</v>
      </c>
      <c r="Y119" s="87">
        <f>IF(Y24=0,0,1000000*Y24/TrRoad_act!Y62)</f>
        <v>874.18215002365457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787.95714730437066</v>
      </c>
      <c r="C120" s="87">
        <f>IF(C26=0,0,1000000*C26/TrRoad_act!C63)</f>
        <v>744.60034720743613</v>
      </c>
      <c r="D120" s="87">
        <f>IF(D26=0,0,1000000*D26/TrRoad_act!D63)</f>
        <v>711.49057507823898</v>
      </c>
      <c r="E120" s="87">
        <f>IF(E26=0,0,1000000*E26/TrRoad_act!E63)</f>
        <v>687.54589948008675</v>
      </c>
      <c r="F120" s="87">
        <f>IF(F26=0,0,1000000*F26/TrRoad_act!F63)</f>
        <v>657.94944799373718</v>
      </c>
      <c r="G120" s="87">
        <f>IF(G26=0,0,1000000*G26/TrRoad_act!G63)</f>
        <v>628.06097469693975</v>
      </c>
      <c r="H120" s="87">
        <f>IF(H26=0,0,1000000*H26/TrRoad_act!H63)</f>
        <v>597.94676034355155</v>
      </c>
      <c r="I120" s="87">
        <f>IF(I26=0,0,1000000*I26/TrRoad_act!I63)</f>
        <v>574.50926243662695</v>
      </c>
      <c r="J120" s="87">
        <f>IF(J26=0,0,1000000*J26/TrRoad_act!J63)</f>
        <v>554.24447269174857</v>
      </c>
      <c r="K120" s="87">
        <f>IF(K26=0,0,1000000*K26/TrRoad_act!K63)</f>
        <v>536.12467309389262</v>
      </c>
      <c r="L120" s="87">
        <f>IF(L26=0,0,1000000*L26/TrRoad_act!L63)</f>
        <v>517.82977119256941</v>
      </c>
      <c r="M120" s="87">
        <f>IF(M26=0,0,1000000*M26/TrRoad_act!M63)</f>
        <v>496.04211658125337</v>
      </c>
      <c r="N120" s="87">
        <f>IF(N26=0,0,1000000*N26/TrRoad_act!N63)</f>
        <v>470.51280283128273</v>
      </c>
      <c r="O120" s="87">
        <f>IF(O26=0,0,1000000*O26/TrRoad_act!O63)</f>
        <v>468.03089350991974</v>
      </c>
      <c r="P120" s="87">
        <f>IF(P26=0,0,1000000*P26/TrRoad_act!P63)</f>
        <v>462.07856899142922</v>
      </c>
      <c r="Q120" s="87">
        <f>IF(Q26=0,0,1000000*Q26/TrRoad_act!Q63)</f>
        <v>467.58842970750015</v>
      </c>
      <c r="R120" s="87">
        <f>IF(R26=0,0,1000000*R26/TrRoad_act!R63)</f>
        <v>457.36612930281041</v>
      </c>
      <c r="S120" s="87">
        <f>IF(S26=0,0,1000000*S26/TrRoad_act!S63)</f>
        <v>456.87451977756604</v>
      </c>
      <c r="T120" s="87">
        <f>IF(T26=0,0,1000000*T26/TrRoad_act!T63)</f>
        <v>454.70908750963184</v>
      </c>
      <c r="U120" s="87">
        <f>IF(U26=0,0,1000000*U26/TrRoad_act!U63)</f>
        <v>456.83108970479276</v>
      </c>
      <c r="V120" s="87">
        <f>IF(V26=0,0,1000000*V26/TrRoad_act!V63)</f>
        <v>395.94380403016714</v>
      </c>
      <c r="W120" s="87">
        <f>IF(W26=0,0,1000000*W26/TrRoad_act!W63)</f>
        <v>420.4544013308124</v>
      </c>
      <c r="X120" s="87">
        <f>IF(X26=0,0,1000000*X26/TrRoad_act!X63)</f>
        <v>509.0354234084221</v>
      </c>
      <c r="Y120" s="87">
        <f>IF(Y26=0,0,1000000*Y26/TrRoad_act!Y63)</f>
        <v>822.55844874062689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1043.9962817889611</v>
      </c>
      <c r="K121" s="87">
        <f>IF(K27=0,0,1000000*K27/TrRoad_act!K64)</f>
        <v>1057.0928715673074</v>
      </c>
      <c r="L121" s="87">
        <f>IF(L27=0,0,1000000*L27/TrRoad_act!L64)</f>
        <v>948.71380499581198</v>
      </c>
      <c r="M121" s="87">
        <f>IF(M27=0,0,1000000*M27/TrRoad_act!M64)</f>
        <v>906.5743675144322</v>
      </c>
      <c r="N121" s="87">
        <f>IF(N27=0,0,1000000*N27/TrRoad_act!N64)</f>
        <v>807.49592001096471</v>
      </c>
      <c r="O121" s="87">
        <f>IF(O27=0,0,1000000*O27/TrRoad_act!O64)</f>
        <v>714.04154732143945</v>
      </c>
      <c r="P121" s="87">
        <f>IF(P27=0,0,1000000*P27/TrRoad_act!P64)</f>
        <v>664.81256107972047</v>
      </c>
      <c r="Q121" s="87">
        <f>IF(Q27=0,0,1000000*Q27/TrRoad_act!Q64)</f>
        <v>598.25965361125634</v>
      </c>
      <c r="R121" s="87">
        <f>IF(R27=0,0,1000000*R27/TrRoad_act!R64)</f>
        <v>602.84440987899893</v>
      </c>
      <c r="S121" s="87">
        <f>IF(S27=0,0,1000000*S27/TrRoad_act!S64)</f>
        <v>600.60216374797585</v>
      </c>
      <c r="T121" s="87">
        <f>IF(T27=0,0,1000000*T27/TrRoad_act!T64)</f>
        <v>610.40643578925426</v>
      </c>
      <c r="U121" s="87">
        <f>IF(U27=0,0,1000000*U27/TrRoad_act!U64)</f>
        <v>624.25868879829977</v>
      </c>
      <c r="V121" s="87">
        <f>IF(V27=0,0,1000000*V27/TrRoad_act!V64)</f>
        <v>597.29282510128371</v>
      </c>
      <c r="W121" s="87">
        <f>IF(W27=0,0,1000000*W27/TrRoad_act!W64)</f>
        <v>661.88636523757168</v>
      </c>
      <c r="X121" s="87">
        <f>IF(X27=0,0,1000000*X27/TrRoad_act!X64)</f>
        <v>669.66128972187994</v>
      </c>
      <c r="Y121" s="87">
        <f>IF(Y27=0,0,1000000*Y27/TrRoad_act!Y64)</f>
        <v>688.57156602891757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202.57707880806598</v>
      </c>
      <c r="O122" s="87">
        <f>IF(O29=0,0,1000000*O29/TrRoad_act!O65)</f>
        <v>221.3066444947064</v>
      </c>
      <c r="P122" s="87">
        <f>IF(P29=0,0,1000000*P29/TrRoad_act!P65)</f>
        <v>200.2999330075904</v>
      </c>
      <c r="Q122" s="87">
        <f>IF(Q29=0,0,1000000*Q29/TrRoad_act!Q65)</f>
        <v>301.24785480547826</v>
      </c>
      <c r="R122" s="87">
        <f>IF(R29=0,0,1000000*R29/TrRoad_act!R65)</f>
        <v>261.32757207325125</v>
      </c>
      <c r="S122" s="87">
        <f>IF(S29=0,0,1000000*S29/TrRoad_act!S65)</f>
        <v>266.53550996119128</v>
      </c>
      <c r="T122" s="87">
        <f>IF(T29=0,0,1000000*T29/TrRoad_act!T65)</f>
        <v>249.65832010690215</v>
      </c>
      <c r="U122" s="87">
        <f>IF(U29=0,0,1000000*U29/TrRoad_act!U65)</f>
        <v>240.70575340415598</v>
      </c>
      <c r="V122" s="87">
        <f>IF(V29=0,0,1000000*V29/TrRoad_act!V65)</f>
        <v>214.63446460776564</v>
      </c>
      <c r="W122" s="87">
        <f>IF(W29=0,0,1000000*W29/TrRoad_act!W65)</f>
        <v>214.71530693765126</v>
      </c>
      <c r="X122" s="87">
        <f>IF(X29=0,0,1000000*X29/TrRoad_act!X65)</f>
        <v>220.7605627153917</v>
      </c>
      <c r="Y122" s="87">
        <f>IF(Y29=0,0,1000000*Y29/TrRoad_act!Y65)</f>
        <v>221.94393879242912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120.43014271263797</v>
      </c>
      <c r="M123" s="87">
        <f>IF(M32=0,0,1000000*M32/TrRoad_act!M66)</f>
        <v>121.07328753573157</v>
      </c>
      <c r="N123" s="87">
        <f>IF(N32=0,0,1000000*N32/TrRoad_act!N66)</f>
        <v>119.45645686867907</v>
      </c>
      <c r="O123" s="87">
        <f>IF(O32=0,0,1000000*O32/TrRoad_act!O66)</f>
        <v>118.64317057274206</v>
      </c>
      <c r="P123" s="87">
        <f>IF(P32=0,0,1000000*P32/TrRoad_act!P66)</f>
        <v>118.37940187030821</v>
      </c>
      <c r="Q123" s="87">
        <f>IF(Q32=0,0,1000000*Q32/TrRoad_act!Q66)</f>
        <v>121.34457197101447</v>
      </c>
      <c r="R123" s="87">
        <f>IF(R32=0,0,1000000*R32/TrRoad_act!R66)</f>
        <v>134.30037873942885</v>
      </c>
      <c r="S123" s="87">
        <f>IF(S32=0,0,1000000*S32/TrRoad_act!S66)</f>
        <v>132.71357057130797</v>
      </c>
      <c r="T123" s="87">
        <f>IF(T32=0,0,1000000*T32/TrRoad_act!T66)</f>
        <v>134.55285266019294</v>
      </c>
      <c r="U123" s="87">
        <f>IF(U32=0,0,1000000*U32/TrRoad_act!U66)</f>
        <v>142.73747285791617</v>
      </c>
      <c r="V123" s="87">
        <f>IF(V32=0,0,1000000*V32/TrRoad_act!V66)</f>
        <v>135.8359238302528</v>
      </c>
      <c r="W123" s="87">
        <f>IF(W32=0,0,1000000*W32/TrRoad_act!W66)</f>
        <v>154.38944311970045</v>
      </c>
      <c r="X123" s="87">
        <f>IF(X32=0,0,1000000*X32/TrRoad_act!X66)</f>
        <v>159.73829587194149</v>
      </c>
      <c r="Y123" s="87">
        <f>IF(Y32=0,0,1000000*Y32/TrRoad_act!Y66)</f>
        <v>163.3062231436738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16941.375216204135</v>
      </c>
      <c r="C124" s="116">
        <f>IF(C33=0,0,1000000*C33/TrRoad_act!C67)</f>
        <v>16962.021674541935</v>
      </c>
      <c r="D124" s="116">
        <f>IF(D33=0,0,1000000*D33/TrRoad_act!D67)</f>
        <v>17442.876537992226</v>
      </c>
      <c r="E124" s="116">
        <f>IF(E33=0,0,1000000*E33/TrRoad_act!E67)</f>
        <v>16496.099623986971</v>
      </c>
      <c r="F124" s="116">
        <f>IF(F33=0,0,1000000*F33/TrRoad_act!F67)</f>
        <v>15643.876805333804</v>
      </c>
      <c r="G124" s="116">
        <f>IF(G33=0,0,1000000*G33/TrRoad_act!G67)</f>
        <v>15293.549448053533</v>
      </c>
      <c r="H124" s="116">
        <f>IF(H33=0,0,1000000*H33/TrRoad_act!H67)</f>
        <v>15781.032537001021</v>
      </c>
      <c r="I124" s="116">
        <f>IF(I33=0,0,1000000*I33/TrRoad_act!I67)</f>
        <v>15836.522628128141</v>
      </c>
      <c r="J124" s="116">
        <f>IF(J33=0,0,1000000*J33/TrRoad_act!J67)</f>
        <v>15948.565801663275</v>
      </c>
      <c r="K124" s="116">
        <f>IF(K33=0,0,1000000*K33/TrRoad_act!K67)</f>
        <v>16491.625550576617</v>
      </c>
      <c r="L124" s="116">
        <f>IF(L33=0,0,1000000*L33/TrRoad_act!L67)</f>
        <v>17450.191817284613</v>
      </c>
      <c r="M124" s="116">
        <f>IF(M33=0,0,1000000*M33/TrRoad_act!M67)</f>
        <v>16668.216380187645</v>
      </c>
      <c r="N124" s="116">
        <f>IF(N33=0,0,1000000*N33/TrRoad_act!N67)</f>
        <v>16173.511600461623</v>
      </c>
      <c r="O124" s="116">
        <f>IF(O33=0,0,1000000*O33/TrRoad_act!O67)</f>
        <v>16789.347741846854</v>
      </c>
      <c r="P124" s="116">
        <f>IF(P33=0,0,1000000*P33/TrRoad_act!P67)</f>
        <v>17102.044082661567</v>
      </c>
      <c r="Q124" s="116">
        <f>IF(Q33=0,0,1000000*Q33/TrRoad_act!Q67)</f>
        <v>16526.350355086663</v>
      </c>
      <c r="R124" s="116">
        <f>IF(R33=0,0,1000000*R33/TrRoad_act!R67)</f>
        <v>16237.419434619173</v>
      </c>
      <c r="S124" s="116">
        <f>IF(S33=0,0,1000000*S33/TrRoad_act!S67)</f>
        <v>16413.552139744141</v>
      </c>
      <c r="T124" s="116">
        <f>IF(T33=0,0,1000000*T33/TrRoad_act!T67)</f>
        <v>16428.689286665784</v>
      </c>
      <c r="U124" s="116">
        <f>IF(U33=0,0,1000000*U33/TrRoad_act!U67)</f>
        <v>16420.949597565359</v>
      </c>
      <c r="V124" s="116">
        <f>IF(V33=0,0,1000000*V33/TrRoad_act!V67)</f>
        <v>13849.848914872351</v>
      </c>
      <c r="W124" s="116">
        <f>IF(W33=0,0,1000000*W33/TrRoad_act!W67)</f>
        <v>13066.851837916154</v>
      </c>
      <c r="X124" s="116">
        <f>IF(X33=0,0,1000000*X33/TrRoad_act!X67)</f>
        <v>13884.428090520947</v>
      </c>
      <c r="Y124" s="116">
        <f>IF(Y33=0,0,1000000*Y33/TrRoad_act!Y67)</f>
        <v>13368.154396558783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3171.7446144051514</v>
      </c>
      <c r="C125" s="101">
        <f>IF(C34=0,0,1000000*C34/TrRoad_act!C68)</f>
        <v>3148.5045793449258</v>
      </c>
      <c r="D125" s="101">
        <f>IF(D34=0,0,1000000*D34/TrRoad_act!D68)</f>
        <v>3205.2760020300534</v>
      </c>
      <c r="E125" s="101">
        <f>IF(E34=0,0,1000000*E34/TrRoad_act!E68)</f>
        <v>3102.4110298460009</v>
      </c>
      <c r="F125" s="101">
        <f>IF(F34=0,0,1000000*F34/TrRoad_act!F68)</f>
        <v>2914.4014774010225</v>
      </c>
      <c r="G125" s="101">
        <f>IF(G34=0,0,1000000*G34/TrRoad_act!G68)</f>
        <v>2805.2023897832419</v>
      </c>
      <c r="H125" s="101">
        <f>IF(H34=0,0,1000000*H34/TrRoad_act!H68)</f>
        <v>2810.149288278255</v>
      </c>
      <c r="I125" s="101">
        <f>IF(I34=0,0,1000000*I34/TrRoad_act!I68)</f>
        <v>2845.8165723288012</v>
      </c>
      <c r="J125" s="101">
        <f>IF(J34=0,0,1000000*J34/TrRoad_act!J68)</f>
        <v>2873.5598015475284</v>
      </c>
      <c r="K125" s="101">
        <f>IF(K34=0,0,1000000*K34/TrRoad_act!K68)</f>
        <v>2931.6774765254345</v>
      </c>
      <c r="L125" s="101">
        <f>IF(L34=0,0,1000000*L34/TrRoad_act!L68)</f>
        <v>3056.1829882391189</v>
      </c>
      <c r="M125" s="101">
        <f>IF(M34=0,0,1000000*M34/TrRoad_act!M68)</f>
        <v>2847.0694577912927</v>
      </c>
      <c r="N125" s="101">
        <f>IF(N34=0,0,1000000*N34/TrRoad_act!N68)</f>
        <v>2685.3609179152404</v>
      </c>
      <c r="O125" s="101">
        <f>IF(O34=0,0,1000000*O34/TrRoad_act!O68)</f>
        <v>2753.7062127500099</v>
      </c>
      <c r="P125" s="101">
        <f>IF(P34=0,0,1000000*P34/TrRoad_act!P68)</f>
        <v>2823.0392605859051</v>
      </c>
      <c r="Q125" s="101">
        <f>IF(Q34=0,0,1000000*Q34/TrRoad_act!Q68)</f>
        <v>2651.905154828451</v>
      </c>
      <c r="R125" s="101">
        <f>IF(R34=0,0,1000000*R34/TrRoad_act!R68)</f>
        <v>2741.7557358934905</v>
      </c>
      <c r="S125" s="101">
        <f>IF(S34=0,0,1000000*S34/TrRoad_act!S68)</f>
        <v>2770.3760597642367</v>
      </c>
      <c r="T125" s="101">
        <f>IF(T34=0,0,1000000*T34/TrRoad_act!T68)</f>
        <v>2618.2970038476342</v>
      </c>
      <c r="U125" s="101">
        <f>IF(U34=0,0,1000000*U34/TrRoad_act!U68)</f>
        <v>2521.3985894493153</v>
      </c>
      <c r="V125" s="101">
        <f>IF(V34=0,0,1000000*V34/TrRoad_act!V68)</f>
        <v>1962.5663487862012</v>
      </c>
      <c r="W125" s="101">
        <f>IF(W34=0,0,1000000*W34/TrRoad_act!W68)</f>
        <v>1772.2877213368999</v>
      </c>
      <c r="X125" s="101">
        <f>IF(X34=0,0,1000000*X34/TrRoad_act!X68)</f>
        <v>1960.9709815890435</v>
      </c>
      <c r="Y125" s="101">
        <f>IF(Y34=0,0,1000000*Y34/TrRoad_act!Y68)</f>
        <v>1853.6671653952174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19630.703686699831</v>
      </c>
      <c r="C126" s="101">
        <f>IF(C36=0,0,1000000*C36/TrRoad_act!C69)</f>
        <v>19399.337089337532</v>
      </c>
      <c r="D126" s="101">
        <f>IF(D36=0,0,1000000*D36/TrRoad_act!D69)</f>
        <v>20322.228015879627</v>
      </c>
      <c r="E126" s="101">
        <f>IF(E36=0,0,1000000*E36/TrRoad_act!E69)</f>
        <v>18941.710836221868</v>
      </c>
      <c r="F126" s="101">
        <f>IF(F36=0,0,1000000*F36/TrRoad_act!F69)</f>
        <v>17626.907456917019</v>
      </c>
      <c r="G126" s="101">
        <f>IF(G36=0,0,1000000*G36/TrRoad_act!G69)</f>
        <v>17177.273604226015</v>
      </c>
      <c r="H126" s="101">
        <f>IF(H36=0,0,1000000*H36/TrRoad_act!H69)</f>
        <v>17515.401549745737</v>
      </c>
      <c r="I126" s="101">
        <f>IF(I36=0,0,1000000*I36/TrRoad_act!I69)</f>
        <v>17802.877145807328</v>
      </c>
      <c r="J126" s="101">
        <f>IF(J36=0,0,1000000*J36/TrRoad_act!J69)</f>
        <v>17827.626418751075</v>
      </c>
      <c r="K126" s="101">
        <f>IF(K36=0,0,1000000*K36/TrRoad_act!K69)</f>
        <v>18314.784826739855</v>
      </c>
      <c r="L126" s="101">
        <f>IF(L36=0,0,1000000*L36/TrRoad_act!L69)</f>
        <v>19332.060404552361</v>
      </c>
      <c r="M126" s="101">
        <f>IF(M36=0,0,1000000*M36/TrRoad_act!M69)</f>
        <v>18337.177189161204</v>
      </c>
      <c r="N126" s="101">
        <f>IF(N36=0,0,1000000*N36/TrRoad_act!N69)</f>
        <v>17618.608748415576</v>
      </c>
      <c r="O126" s="101">
        <f>IF(O36=0,0,1000000*O36/TrRoad_act!O69)</f>
        <v>18329.716034529542</v>
      </c>
      <c r="P126" s="101">
        <f>IF(P36=0,0,1000000*P36/TrRoad_act!P69)</f>
        <v>18191.220192181143</v>
      </c>
      <c r="Q126" s="101">
        <f>IF(Q36=0,0,1000000*Q36/TrRoad_act!Q69)</f>
        <v>17408.270546552514</v>
      </c>
      <c r="R126" s="101">
        <f>IF(R36=0,0,1000000*R36/TrRoad_act!R69)</f>
        <v>16882.611409925757</v>
      </c>
      <c r="S126" s="101">
        <f>IF(S36=0,0,1000000*S36/TrRoad_act!S69)</f>
        <v>17045.681297159255</v>
      </c>
      <c r="T126" s="101">
        <f>IF(T36=0,0,1000000*T36/TrRoad_act!T69)</f>
        <v>17160.313722951294</v>
      </c>
      <c r="U126" s="101">
        <f>IF(U36=0,0,1000000*U36/TrRoad_act!U69)</f>
        <v>16868.741161355647</v>
      </c>
      <c r="V126" s="101">
        <f>IF(V36=0,0,1000000*V36/TrRoad_act!V69)</f>
        <v>13938.479679855294</v>
      </c>
      <c r="W126" s="101">
        <f>IF(W36=0,0,1000000*W36/TrRoad_act!W69)</f>
        <v>12827.541102821609</v>
      </c>
      <c r="X126" s="101">
        <f>IF(X36=0,0,1000000*X36/TrRoad_act!X69)</f>
        <v>14241.657843866904</v>
      </c>
      <c r="Y126" s="101">
        <f>IF(Y36=0,0,1000000*Y36/TrRoad_act!Y69)</f>
        <v>13503.8381436612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6362.2245662273554</v>
      </c>
      <c r="W127" s="101">
        <f>IF(W38=0,0,1000000*W38/TrRoad_act!W70)</f>
        <v>5979.8871439864306</v>
      </c>
      <c r="X127" s="101">
        <f>IF(X38=0,0,1000000*X38/TrRoad_act!X70)</f>
        <v>6712.6470001964535</v>
      </c>
      <c r="Y127" s="101">
        <f>IF(Y38=0,0,1000000*Y38/TrRoad_act!Y70)</f>
        <v>6485.9604991533206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14009.547247012779</v>
      </c>
      <c r="C128" s="101">
        <f>IF(C39=0,0,1000000*C39/TrRoad_act!C71)</f>
        <v>13427.719996701962</v>
      </c>
      <c r="D128" s="101">
        <f>IF(D39=0,0,1000000*D39/TrRoad_act!D71)</f>
        <v>12566.968714862094</v>
      </c>
      <c r="E128" s="101">
        <f>IF(E39=0,0,1000000*E39/TrRoad_act!E71)</f>
        <v>12181.140728002292</v>
      </c>
      <c r="F128" s="101">
        <f>IF(F39=0,0,1000000*F39/TrRoad_act!F71)</f>
        <v>17626.827171109202</v>
      </c>
      <c r="G128" s="101">
        <f>IF(G39=0,0,1000000*G39/TrRoad_act!G71)</f>
        <v>14975.637718543994</v>
      </c>
      <c r="H128" s="101">
        <f>IF(H39=0,0,1000000*H39/TrRoad_act!H71)</f>
        <v>20134.709085697898</v>
      </c>
      <c r="I128" s="101">
        <f>IF(I39=0,0,1000000*I39/TrRoad_act!I71)</f>
        <v>10509.219451609821</v>
      </c>
      <c r="J128" s="101">
        <f>IF(J39=0,0,1000000*J39/TrRoad_act!J71)</f>
        <v>10513.485366298602</v>
      </c>
      <c r="K128" s="101">
        <f>IF(K39=0,0,1000000*K39/TrRoad_act!K71)</f>
        <v>12007.53675496395</v>
      </c>
      <c r="L128" s="101">
        <f>IF(L39=0,0,1000000*L39/TrRoad_act!L71)</f>
        <v>15640.262687866401</v>
      </c>
      <c r="M128" s="101">
        <f>IF(M39=0,0,1000000*M39/TrRoad_act!M71)</f>
        <v>18261.085139513303</v>
      </c>
      <c r="N128" s="101">
        <f>IF(N39=0,0,1000000*N39/TrRoad_act!N71)</f>
        <v>21115.79202997989</v>
      </c>
      <c r="O128" s="101">
        <f>IF(O39=0,0,1000000*O39/TrRoad_act!O71)</f>
        <v>20911.269268679422</v>
      </c>
      <c r="P128" s="101">
        <f>IF(P39=0,0,1000000*P39/TrRoad_act!P71)</f>
        <v>35884.360281814334</v>
      </c>
      <c r="Q128" s="101">
        <f>IF(Q39=0,0,1000000*Q39/TrRoad_act!Q71)</f>
        <v>31162.672588995858</v>
      </c>
      <c r="R128" s="101">
        <f>IF(R39=0,0,1000000*R39/TrRoad_act!R71)</f>
        <v>31243.633637946412</v>
      </c>
      <c r="S128" s="101">
        <f>IF(S39=0,0,1000000*S39/TrRoad_act!S71)</f>
        <v>29938.431101242175</v>
      </c>
      <c r="T128" s="101">
        <f>IF(T39=0,0,1000000*T39/TrRoad_act!T71)</f>
        <v>27402.957179302299</v>
      </c>
      <c r="U128" s="101">
        <f>IF(U39=0,0,1000000*U39/TrRoad_act!U71)</f>
        <v>28051.584138547678</v>
      </c>
      <c r="V128" s="101">
        <f>IF(V39=0,0,1000000*V39/TrRoad_act!V71)</f>
        <v>25621.524408821075</v>
      </c>
      <c r="W128" s="101">
        <f>IF(W39=0,0,1000000*W39/TrRoad_act!W71)</f>
        <v>25986.986223678261</v>
      </c>
      <c r="X128" s="101">
        <f>IF(X39=0,0,1000000*X39/TrRoad_act!X71)</f>
        <v>22055.913091715836</v>
      </c>
      <c r="Y128" s="101">
        <f>IF(Y39=0,0,1000000*Y39/TrRoad_act!Y71)</f>
        <v>22641.37138344903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13131.163034057428</v>
      </c>
      <c r="C129" s="101">
        <f>IF(C41=0,0,1000000*C41/TrRoad_act!C72)</f>
        <v>13067.022429786857</v>
      </c>
      <c r="D129" s="101">
        <f>IF(D41=0,0,1000000*D41/TrRoad_act!D72)</f>
        <v>13089.395936737861</v>
      </c>
      <c r="E129" s="101">
        <f>IF(E41=0,0,1000000*E41/TrRoad_act!E72)</f>
        <v>13122.027349356758</v>
      </c>
      <c r="F129" s="101">
        <f>IF(F41=0,0,1000000*F41/TrRoad_act!F72)</f>
        <v>13134.233223358207</v>
      </c>
      <c r="G129" s="101">
        <f>IF(G41=0,0,1000000*G41/TrRoad_act!G72)</f>
        <v>13144.86162179472</v>
      </c>
      <c r="H129" s="101">
        <f>IF(H41=0,0,1000000*H41/TrRoad_act!H72)</f>
        <v>12980.510940326179</v>
      </c>
      <c r="I129" s="101">
        <f>IF(I41=0,0,1000000*I41/TrRoad_act!I72)</f>
        <v>12989.054484329856</v>
      </c>
      <c r="J129" s="101">
        <f>IF(J41=0,0,1000000*J41/TrRoad_act!J72)</f>
        <v>12990.350212379954</v>
      </c>
      <c r="K129" s="101">
        <f>IF(K41=0,0,1000000*K41/TrRoad_act!K72)</f>
        <v>13000.1526275009</v>
      </c>
      <c r="L129" s="101">
        <f>IF(L41=0,0,1000000*L41/TrRoad_act!L72)</f>
        <v>13012.422314461992</v>
      </c>
      <c r="M129" s="101">
        <f>IF(M41=0,0,1000000*M41/TrRoad_act!M72)</f>
        <v>13041.505667172183</v>
      </c>
      <c r="N129" s="101">
        <f>IF(N41=0,0,1000000*N41/TrRoad_act!N72)</f>
        <v>13069.724620293224</v>
      </c>
      <c r="O129" s="101">
        <f>IF(O41=0,0,1000000*O41/TrRoad_act!O72)</f>
        <v>13081.008109473991</v>
      </c>
      <c r="P129" s="101">
        <f>IF(P41=0,0,1000000*P41/TrRoad_act!P72)</f>
        <v>13046.455371919288</v>
      </c>
      <c r="Q129" s="101">
        <f>IF(Q41=0,0,1000000*Q41/TrRoad_act!Q72)</f>
        <v>12957.271586290946</v>
      </c>
      <c r="R129" s="101">
        <f>IF(R41=0,0,1000000*R41/TrRoad_act!R72)</f>
        <v>12559.147593474729</v>
      </c>
      <c r="S129" s="101">
        <f>IF(S41=0,0,1000000*S41/TrRoad_act!S72)</f>
        <v>12380.759240141573</v>
      </c>
      <c r="T129" s="101">
        <f>IF(T41=0,0,1000000*T41/TrRoad_act!T72)</f>
        <v>12025.559389432849</v>
      </c>
      <c r="U129" s="101">
        <f>IF(U41=0,0,1000000*U41/TrRoad_act!U72)</f>
        <v>11920.686121961569</v>
      </c>
      <c r="V129" s="101">
        <f>IF(V41=0,0,1000000*V41/TrRoad_act!V72)</f>
        <v>10054.581060999823</v>
      </c>
      <c r="W129" s="101">
        <f>IF(W41=0,0,1000000*W41/TrRoad_act!W72)</f>
        <v>11554.820473033933</v>
      </c>
      <c r="X129" s="101">
        <f>IF(X41=0,0,1000000*X41/TrRoad_act!X72)</f>
        <v>11204.721811053167</v>
      </c>
      <c r="Y129" s="101">
        <f>IF(Y41=0,0,1000000*Y41/TrRoad_act!Y72)</f>
        <v>10979.029573555861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1084.2143184829256</v>
      </c>
      <c r="C131" s="152">
        <f>IF(C43=0,0,1000000*C43/TrRoad_act!C74)</f>
        <v>1069.0102444528673</v>
      </c>
      <c r="D131" s="152">
        <f>IF(D43=0,0,1000000*D43/TrRoad_act!D74)</f>
        <v>1069.0770946210991</v>
      </c>
      <c r="E131" s="152">
        <f>IF(E43=0,0,1000000*E43/TrRoad_act!E74)</f>
        <v>1072.581547727511</v>
      </c>
      <c r="F131" s="152">
        <f>IF(F43=0,0,1000000*F43/TrRoad_act!F74)</f>
        <v>1061.20320810982</v>
      </c>
      <c r="G131" s="152">
        <f>IF(G43=0,0,1000000*G43/TrRoad_act!G74)</f>
        <v>1055.5266985239468</v>
      </c>
      <c r="H131" s="152">
        <f>IF(H43=0,0,1000000*H43/TrRoad_act!H74)</f>
        <v>1042.4600273651126</v>
      </c>
      <c r="I131" s="152">
        <f>IF(I43=0,0,1000000*I43/TrRoad_act!I74)</f>
        <v>1023.7581963114185</v>
      </c>
      <c r="J131" s="152">
        <f>IF(J43=0,0,1000000*J43/TrRoad_act!J74)</f>
        <v>1080.5156458370009</v>
      </c>
      <c r="K131" s="152">
        <f>IF(K43=0,0,1000000*K43/TrRoad_act!K74)</f>
        <v>1091.040802387246</v>
      </c>
      <c r="L131" s="152">
        <f>IF(L43=0,0,1000000*L43/TrRoad_act!L74)</f>
        <v>1159.2766436643053</v>
      </c>
      <c r="M131" s="152">
        <f>IF(M43=0,0,1000000*M43/TrRoad_act!M74)</f>
        <v>1182.5833852374096</v>
      </c>
      <c r="N131" s="152">
        <f>IF(N43=0,0,1000000*N43/TrRoad_act!N74)</f>
        <v>1202.1150094672539</v>
      </c>
      <c r="O131" s="152">
        <f>IF(O43=0,0,1000000*O43/TrRoad_act!O74)</f>
        <v>1256.2163590814125</v>
      </c>
      <c r="P131" s="152">
        <f>IF(P43=0,0,1000000*P43/TrRoad_act!P74)</f>
        <v>1368.0083531819587</v>
      </c>
      <c r="Q131" s="152">
        <f>IF(Q43=0,0,1000000*Q43/TrRoad_act!Q74)</f>
        <v>1402.0961943734401</v>
      </c>
      <c r="R131" s="152">
        <f>IF(R43=0,0,1000000*R43/TrRoad_act!R74)</f>
        <v>1427.9202598698062</v>
      </c>
      <c r="S131" s="152">
        <f>IF(S43=0,0,1000000*S43/TrRoad_act!S74)</f>
        <v>1432.6123362440746</v>
      </c>
      <c r="T131" s="152">
        <f>IF(T43=0,0,1000000*T43/TrRoad_act!T74)</f>
        <v>1427.1015483174128</v>
      </c>
      <c r="U131" s="152">
        <f>IF(U43=0,0,1000000*U43/TrRoad_act!U74)</f>
        <v>1420.651281577638</v>
      </c>
      <c r="V131" s="152">
        <f>IF(V43=0,0,1000000*V43/TrRoad_act!V74)</f>
        <v>1375.588223988764</v>
      </c>
      <c r="W131" s="152">
        <f>IF(W43=0,0,1000000*W43/TrRoad_act!W74)</f>
        <v>1413.8658321389346</v>
      </c>
      <c r="X131" s="152">
        <f>IF(X43=0,0,1000000*X43/TrRoad_act!X74)</f>
        <v>1405.960562839711</v>
      </c>
      <c r="Y131" s="152">
        <f>IF(Y43=0,0,1000000*Y43/TrRoad_act!Y74)</f>
        <v>1372.3961795310693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625.56351928320214</v>
      </c>
      <c r="C132" s="87">
        <f>IF(C44=0,0,1000000*C44/TrRoad_act!C75)</f>
        <v>622.70391826200103</v>
      </c>
      <c r="D132" s="87">
        <f>IF(D44=0,0,1000000*D44/TrRoad_act!D75)</f>
        <v>619.4804063772292</v>
      </c>
      <c r="E132" s="87">
        <f>IF(E44=0,0,1000000*E44/TrRoad_act!E75)</f>
        <v>617.02753478306704</v>
      </c>
      <c r="F132" s="87">
        <f>IF(F44=0,0,1000000*F44/TrRoad_act!F75)</f>
        <v>609.79136045361668</v>
      </c>
      <c r="G132" s="87">
        <f>IF(G44=0,0,1000000*G44/TrRoad_act!G75)</f>
        <v>602.37512100168408</v>
      </c>
      <c r="H132" s="87">
        <f>IF(H44=0,0,1000000*H44/TrRoad_act!H75)</f>
        <v>594.20327937288175</v>
      </c>
      <c r="I132" s="87">
        <f>IF(I44=0,0,1000000*I44/TrRoad_act!I75)</f>
        <v>585.79548968270501</v>
      </c>
      <c r="J132" s="87">
        <f>IF(J44=0,0,1000000*J44/TrRoad_act!J75)</f>
        <v>592.7505432015123</v>
      </c>
      <c r="K132" s="87">
        <f>IF(K44=0,0,1000000*K44/TrRoad_act!K75)</f>
        <v>592.36663662140825</v>
      </c>
      <c r="L132" s="87">
        <f>IF(L44=0,0,1000000*L44/TrRoad_act!L75)</f>
        <v>602.67647815225257</v>
      </c>
      <c r="M132" s="87">
        <f>IF(M44=0,0,1000000*M44/TrRoad_act!M75)</f>
        <v>604.73526946978484</v>
      </c>
      <c r="N132" s="87">
        <f>IF(N44=0,0,1000000*N44/TrRoad_act!N75)</f>
        <v>607.42476613004897</v>
      </c>
      <c r="O132" s="87">
        <f>IF(O44=0,0,1000000*O44/TrRoad_act!O75)</f>
        <v>616.25440491448023</v>
      </c>
      <c r="P132" s="87">
        <f>IF(P44=0,0,1000000*P44/TrRoad_act!P75)</f>
        <v>626.32036465872773</v>
      </c>
      <c r="Q132" s="87">
        <f>IF(Q44=0,0,1000000*Q44/TrRoad_act!Q75)</f>
        <v>623.92202130862677</v>
      </c>
      <c r="R132" s="87">
        <f>IF(R44=0,0,1000000*R44/TrRoad_act!R75)</f>
        <v>631.50509379687696</v>
      </c>
      <c r="S132" s="87">
        <f>IF(S44=0,0,1000000*S44/TrRoad_act!S75)</f>
        <v>623.22689310516967</v>
      </c>
      <c r="T132" s="87">
        <f>IF(T44=0,0,1000000*T44/TrRoad_act!T75)</f>
        <v>620.55278614861686</v>
      </c>
      <c r="U132" s="87">
        <f>IF(U44=0,0,1000000*U44/TrRoad_act!U75)</f>
        <v>617.46204544366265</v>
      </c>
      <c r="V132" s="87">
        <f>IF(V44=0,0,1000000*V44/TrRoad_act!V75)</f>
        <v>609.25063278826406</v>
      </c>
      <c r="W132" s="87">
        <f>IF(W44=0,0,1000000*W44/TrRoad_act!W75)</f>
        <v>609.84422364868874</v>
      </c>
      <c r="X132" s="87">
        <f>IF(X44=0,0,1000000*X44/TrRoad_act!X75)</f>
        <v>604.94203223881482</v>
      </c>
      <c r="Y132" s="87">
        <f>IF(Y44=0,0,1000000*Y44/TrRoad_act!Y75)</f>
        <v>595.45315804133054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1279.0837350350325</v>
      </c>
      <c r="C133" s="87">
        <f>IF(C46=0,0,1000000*C46/TrRoad_act!C76)</f>
        <v>1256.0911966467556</v>
      </c>
      <c r="D133" s="87">
        <f>IF(D46=0,0,1000000*D46/TrRoad_act!D76)</f>
        <v>1257.0059220352077</v>
      </c>
      <c r="E133" s="87">
        <f>IF(E46=0,0,1000000*E46/TrRoad_act!E76)</f>
        <v>1231.9787655277726</v>
      </c>
      <c r="F133" s="87">
        <f>IF(F46=0,0,1000000*F46/TrRoad_act!F76)</f>
        <v>1199.4013439317303</v>
      </c>
      <c r="G133" s="87">
        <f>IF(G46=0,0,1000000*G46/TrRoad_act!G76)</f>
        <v>1183.2367375753829</v>
      </c>
      <c r="H133" s="87">
        <f>IF(H46=0,0,1000000*H46/TrRoad_act!H76)</f>
        <v>1172.0011284421223</v>
      </c>
      <c r="I133" s="87">
        <f>IF(I46=0,0,1000000*I46/TrRoad_act!I76)</f>
        <v>1150.2719089685254</v>
      </c>
      <c r="J133" s="87">
        <f>IF(J46=0,0,1000000*J46/TrRoad_act!J76)</f>
        <v>1219.7643538242523</v>
      </c>
      <c r="K133" s="87">
        <f>IF(K46=0,0,1000000*K46/TrRoad_act!K76)</f>
        <v>1228.1919310998439</v>
      </c>
      <c r="L133" s="87">
        <f>IF(L46=0,0,1000000*L46/TrRoad_act!L76)</f>
        <v>1308.4323398620993</v>
      </c>
      <c r="M133" s="87">
        <f>IF(M46=0,0,1000000*M46/TrRoad_act!M76)</f>
        <v>1332.3850649828619</v>
      </c>
      <c r="N133" s="87">
        <f>IF(N46=0,0,1000000*N46/TrRoad_act!N76)</f>
        <v>1350.9910497756196</v>
      </c>
      <c r="O133" s="87">
        <f>IF(O46=0,0,1000000*O46/TrRoad_act!O76)</f>
        <v>1417.7592700363095</v>
      </c>
      <c r="P133" s="87">
        <f>IF(P46=0,0,1000000*P46/TrRoad_act!P76)</f>
        <v>1559.1196995539121</v>
      </c>
      <c r="Q133" s="87">
        <f>IF(Q46=0,0,1000000*Q46/TrRoad_act!Q76)</f>
        <v>1607.6032750816912</v>
      </c>
      <c r="R133" s="87">
        <f>IF(R46=0,0,1000000*R46/TrRoad_act!R76)</f>
        <v>1698.4928514470926</v>
      </c>
      <c r="S133" s="87">
        <f>IF(S46=0,0,1000000*S46/TrRoad_act!S76)</f>
        <v>1710.0249409425239</v>
      </c>
      <c r="T133" s="87">
        <f>IF(T46=0,0,1000000*T46/TrRoad_act!T76)</f>
        <v>1706.9618470688099</v>
      </c>
      <c r="U133" s="87">
        <f>IF(U46=0,0,1000000*U46/TrRoad_act!U76)</f>
        <v>1701.8494582312039</v>
      </c>
      <c r="V133" s="87">
        <f>IF(V46=0,0,1000000*V46/TrRoad_act!V76)</f>
        <v>1649.8800813886253</v>
      </c>
      <c r="W133" s="87">
        <f>IF(W46=0,0,1000000*W46/TrRoad_act!W76)</f>
        <v>1700.4969278707401</v>
      </c>
      <c r="X133" s="87">
        <f>IF(X46=0,0,1000000*X46/TrRoad_act!X76)</f>
        <v>1688.3747885213854</v>
      </c>
      <c r="Y133" s="87">
        <f>IF(Y46=0,0,1000000*Y46/TrRoad_act!Y76)</f>
        <v>1642.1661342733958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1626.5594292250605</v>
      </c>
      <c r="C134" s="87">
        <f>IF(C48=0,0,1000000*C48/TrRoad_act!C77)</f>
        <v>1647.3274088931616</v>
      </c>
      <c r="D134" s="87">
        <f>IF(D48=0,0,1000000*D48/TrRoad_act!D77)</f>
        <v>1612.7170232223991</v>
      </c>
      <c r="E134" s="87">
        <f>IF(E48=0,0,1000000*E48/TrRoad_act!E77)</f>
        <v>1561.7266253849973</v>
      </c>
      <c r="F134" s="87">
        <f>IF(F48=0,0,1000000*F48/TrRoad_act!F77)</f>
        <v>1488.6086212163516</v>
      </c>
      <c r="G134" s="87">
        <f>IF(G48=0,0,1000000*G48/TrRoad_act!G77)</f>
        <v>1428.2761699173707</v>
      </c>
      <c r="H134" s="87">
        <f>IF(H48=0,0,1000000*H48/TrRoad_act!H77)</f>
        <v>1354.173592939959</v>
      </c>
      <c r="I134" s="87">
        <f>IF(I48=0,0,1000000*I48/TrRoad_act!I77)</f>
        <v>1285.3903677570756</v>
      </c>
      <c r="J134" s="87">
        <f>IF(J48=0,0,1000000*J48/TrRoad_act!J77)</f>
        <v>1279.3161428722062</v>
      </c>
      <c r="K134" s="87">
        <f>IF(K48=0,0,1000000*K48/TrRoad_act!K77)</f>
        <v>1241.8985984118342</v>
      </c>
      <c r="L134" s="87">
        <f>IF(L48=0,0,1000000*L48/TrRoad_act!L77)</f>
        <v>1239.1583856450989</v>
      </c>
      <c r="M134" s="87">
        <f>IF(M48=0,0,1000000*M48/TrRoad_act!M77)</f>
        <v>1214.6814714723694</v>
      </c>
      <c r="N134" s="87">
        <f>IF(N48=0,0,1000000*N48/TrRoad_act!N77)</f>
        <v>1203.5343901958938</v>
      </c>
      <c r="O134" s="87">
        <f>IF(O48=0,0,1000000*O48/TrRoad_act!O77)</f>
        <v>1216.4625668109416</v>
      </c>
      <c r="P134" s="87">
        <f>IF(P48=0,0,1000000*P48/TrRoad_act!P77)</f>
        <v>1229.9676349937174</v>
      </c>
      <c r="Q134" s="87">
        <f>IF(Q48=0,0,1000000*Q48/TrRoad_act!Q77)</f>
        <v>1227.4333592186899</v>
      </c>
      <c r="R134" s="87">
        <f>IF(R48=0,0,1000000*R48/TrRoad_act!R77)</f>
        <v>1252.4232722353768</v>
      </c>
      <c r="S134" s="87">
        <f>IF(S48=0,0,1000000*S48/TrRoad_act!S77)</f>
        <v>1246.935561972683</v>
      </c>
      <c r="T134" s="87">
        <f>IF(T48=0,0,1000000*T48/TrRoad_act!T77)</f>
        <v>1233.101904476629</v>
      </c>
      <c r="U134" s="87">
        <f>IF(U48=0,0,1000000*U48/TrRoad_act!U77)</f>
        <v>1230.7148222306128</v>
      </c>
      <c r="V134" s="87">
        <f>IF(V48=0,0,1000000*V48/TrRoad_act!V77)</f>
        <v>1218.6030733153843</v>
      </c>
      <c r="W134" s="87">
        <f>IF(W48=0,0,1000000*W48/TrRoad_act!W77)</f>
        <v>1230.4443623036286</v>
      </c>
      <c r="X134" s="87">
        <f>IF(X48=0,0,1000000*X48/TrRoad_act!X77)</f>
        <v>1222.8576478347481</v>
      </c>
      <c r="Y134" s="87">
        <f>IF(Y48=0,0,1000000*Y48/TrRoad_act!Y77)</f>
        <v>1199.8780062784513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1127.6678346520368</v>
      </c>
      <c r="O135" s="87">
        <f>IF(O49=0,0,1000000*O49/TrRoad_act!O78)</f>
        <v>1126.6671650028427</v>
      </c>
      <c r="P135" s="87">
        <f>IF(P49=0,0,1000000*P49/TrRoad_act!P78)</f>
        <v>1108.9071357619418</v>
      </c>
      <c r="Q135" s="87">
        <f>IF(Q49=0,0,1000000*Q49/TrRoad_act!Q78)</f>
        <v>967.5254949114177</v>
      </c>
      <c r="R135" s="87">
        <f>IF(R49=0,0,1000000*R49/TrRoad_act!R78)</f>
        <v>1084.4211574037774</v>
      </c>
      <c r="S135" s="87">
        <f>IF(S49=0,0,1000000*S49/TrRoad_act!S78)</f>
        <v>1090.5258652180933</v>
      </c>
      <c r="T135" s="87">
        <f>IF(T49=0,0,1000000*T49/TrRoad_act!T78)</f>
        <v>1070.0138090489738</v>
      </c>
      <c r="U135" s="87">
        <f>IF(U49=0,0,1000000*U49/TrRoad_act!U78)</f>
        <v>1059.3780621466283</v>
      </c>
      <c r="V135" s="87">
        <f>IF(V49=0,0,1000000*V49/TrRoad_act!V78)</f>
        <v>945.21523821975416</v>
      </c>
      <c r="W135" s="87">
        <f>IF(W49=0,0,1000000*W49/TrRoad_act!W78)</f>
        <v>1051.710234194645</v>
      </c>
      <c r="X135" s="87">
        <f>IF(X49=0,0,1000000*X49/TrRoad_act!X78)</f>
        <v>1040.3502556569179</v>
      </c>
      <c r="Y135" s="87">
        <f>IF(Y49=0,0,1000000*Y49/TrRoad_act!Y78)</f>
        <v>948.77182343214815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173.29115552487153</v>
      </c>
      <c r="K136" s="87">
        <f>IF(K51=0,0,1000000*K51/TrRoad_act!K79)</f>
        <v>173.49175610846936</v>
      </c>
      <c r="L136" s="87">
        <f>IF(L51=0,0,1000000*L51/TrRoad_act!L79)</f>
        <v>174.16398340546897</v>
      </c>
      <c r="M136" s="87">
        <f>IF(M51=0,0,1000000*M51/TrRoad_act!M79)</f>
        <v>174.74392360052843</v>
      </c>
      <c r="N136" s="87">
        <f>IF(N51=0,0,1000000*N51/TrRoad_act!N79)</f>
        <v>176.17892134203808</v>
      </c>
      <c r="O136" s="87">
        <f>IF(O51=0,0,1000000*O51/TrRoad_act!O79)</f>
        <v>177.55708365753199</v>
      </c>
      <c r="P136" s="87">
        <f>IF(P51=0,0,1000000*P51/TrRoad_act!P79)</f>
        <v>179.67635966673407</v>
      </c>
      <c r="Q136" s="87">
        <f>IF(Q51=0,0,1000000*Q51/TrRoad_act!Q79)</f>
        <v>184.25278810018852</v>
      </c>
      <c r="R136" s="87">
        <f>IF(R51=0,0,1000000*R51/TrRoad_act!R79)</f>
        <v>183.77770080116201</v>
      </c>
      <c r="S136" s="87">
        <f>IF(S51=0,0,1000000*S51/TrRoad_act!S79)</f>
        <v>184.70297004957254</v>
      </c>
      <c r="T136" s="87">
        <f>IF(T51=0,0,1000000*T51/TrRoad_act!T79)</f>
        <v>199.11067292321118</v>
      </c>
      <c r="U136" s="87">
        <f>IF(U51=0,0,1000000*U51/TrRoad_act!U79)</f>
        <v>221.9059762886771</v>
      </c>
      <c r="V136" s="87">
        <f>IF(V51=0,0,1000000*V51/TrRoad_act!V79)</f>
        <v>211.05852031986635</v>
      </c>
      <c r="W136" s="87">
        <f>IF(W51=0,0,1000000*W51/TrRoad_act!W79)</f>
        <v>263.06364695484558</v>
      </c>
      <c r="X136" s="87">
        <f>IF(X51=0,0,1000000*X51/TrRoad_act!X79)</f>
        <v>277.30814387799757</v>
      </c>
      <c r="Y136" s="87">
        <f>IF(Y51=0,0,1000000*Y51/TrRoad_act!Y79)</f>
        <v>277.77640591138271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6135.8930869967407</v>
      </c>
      <c r="C137" s="116">
        <f>IF(C52=0,0,1000000*C52/TrRoad_act!C80)</f>
        <v>6606.3444071721506</v>
      </c>
      <c r="D137" s="116">
        <f>IF(D52=0,0,1000000*D52/TrRoad_act!D80)</f>
        <v>7241.4429148051413</v>
      </c>
      <c r="E137" s="116">
        <f>IF(E52=0,0,1000000*E52/TrRoad_act!E80)</f>
        <v>9500.3766881152969</v>
      </c>
      <c r="F137" s="116">
        <f>IF(F52=0,0,1000000*F52/TrRoad_act!F80)</f>
        <v>10502.978177946507</v>
      </c>
      <c r="G137" s="116">
        <f>IF(G52=0,0,1000000*G52/TrRoad_act!G80)</f>
        <v>12216.914276828902</v>
      </c>
      <c r="H137" s="116">
        <f>IF(H52=0,0,1000000*H52/TrRoad_act!H80)</f>
        <v>13170.840399424427</v>
      </c>
      <c r="I137" s="116">
        <f>IF(I52=0,0,1000000*I52/TrRoad_act!I80)</f>
        <v>13470.969700774504</v>
      </c>
      <c r="J137" s="116">
        <f>IF(J52=0,0,1000000*J52/TrRoad_act!J80)</f>
        <v>13401.189984999797</v>
      </c>
      <c r="K137" s="116">
        <f>IF(K52=0,0,1000000*K52/TrRoad_act!K80)</f>
        <v>12974.389538005513</v>
      </c>
      <c r="L137" s="116">
        <f>IF(L52=0,0,1000000*L52/TrRoad_act!L80)</f>
        <v>12618.558046216132</v>
      </c>
      <c r="M137" s="116">
        <f>IF(M52=0,0,1000000*M52/TrRoad_act!M80)</f>
        <v>12828.56197313182</v>
      </c>
      <c r="N137" s="116">
        <f>IF(N52=0,0,1000000*N52/TrRoad_act!N80)</f>
        <v>11586.611485119118</v>
      </c>
      <c r="O137" s="116">
        <f>IF(O52=0,0,1000000*O52/TrRoad_act!O80)</f>
        <v>11113.854879451932</v>
      </c>
      <c r="P137" s="116">
        <f>IF(P52=0,0,1000000*P52/TrRoad_act!P80)</f>
        <v>11307.59761849401</v>
      </c>
      <c r="Q137" s="116">
        <f>IF(Q52=0,0,1000000*Q52/TrRoad_act!Q80)</f>
        <v>11404.496887937546</v>
      </c>
      <c r="R137" s="116">
        <f>IF(R52=0,0,1000000*R52/TrRoad_act!R80)</f>
        <v>11622.856671046286</v>
      </c>
      <c r="S137" s="116">
        <f>IF(S52=0,0,1000000*S52/TrRoad_act!S80)</f>
        <v>11222.500964854182</v>
      </c>
      <c r="T137" s="116">
        <f>IF(T52=0,0,1000000*T52/TrRoad_act!T80)</f>
        <v>10659.991525123227</v>
      </c>
      <c r="U137" s="116">
        <f>IF(U52=0,0,1000000*U52/TrRoad_act!U80)</f>
        <v>10263.127155695118</v>
      </c>
      <c r="V137" s="116">
        <f>IF(V52=0,0,1000000*V52/TrRoad_act!V80)</f>
        <v>10318.14237207517</v>
      </c>
      <c r="W137" s="116">
        <f>IF(W52=0,0,1000000*W52/TrRoad_act!W80)</f>
        <v>12083.276687169047</v>
      </c>
      <c r="X137" s="116">
        <f>IF(X52=0,0,1000000*X52/TrRoad_act!X80)</f>
        <v>11744.617152032793</v>
      </c>
      <c r="Y137" s="116">
        <f>IF(Y52=0,0,1000000*Y52/TrRoad_act!Y80)</f>
        <v>11757.50245940212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3617.0159568212935</v>
      </c>
      <c r="C138" s="101">
        <f>IF(C53=0,0,1000000*C53/TrRoad_act!C81)</f>
        <v>4144.0803999322843</v>
      </c>
      <c r="D138" s="101">
        <f>IF(D53=0,0,1000000*D53/TrRoad_act!D81)</f>
        <v>4737.8442939682782</v>
      </c>
      <c r="E138" s="101">
        <f>IF(E53=0,0,1000000*E53/TrRoad_act!E81)</f>
        <v>6166.6518014500589</v>
      </c>
      <c r="F138" s="101">
        <f>IF(F53=0,0,1000000*F53/TrRoad_act!F81)</f>
        <v>6875.4007994154217</v>
      </c>
      <c r="G138" s="101">
        <f>IF(G53=0,0,1000000*G53/TrRoad_act!G81)</f>
        <v>8039.5065418689974</v>
      </c>
      <c r="H138" s="101">
        <f>IF(H53=0,0,1000000*H53/TrRoad_act!H81)</f>
        <v>7927.4261286738692</v>
      </c>
      <c r="I138" s="101">
        <f>IF(I53=0,0,1000000*I53/TrRoad_act!I81)</f>
        <v>7511.216662472958</v>
      </c>
      <c r="J138" s="101">
        <f>IF(J53=0,0,1000000*J53/TrRoad_act!J81)</f>
        <v>7452.2171992998747</v>
      </c>
      <c r="K138" s="101">
        <f>IF(K53=0,0,1000000*K53/TrRoad_act!K81)</f>
        <v>6548.6333048022971</v>
      </c>
      <c r="L138" s="101">
        <f>IF(L53=0,0,1000000*L53/TrRoad_act!L81)</f>
        <v>6893.0362726174335</v>
      </c>
      <c r="M138" s="101">
        <f>IF(M53=0,0,1000000*M53/TrRoad_act!M81)</f>
        <v>7036.2393918134221</v>
      </c>
      <c r="N138" s="101">
        <f>IF(N53=0,0,1000000*N53/TrRoad_act!N81)</f>
        <v>6137.9390308918546</v>
      </c>
      <c r="O138" s="101">
        <f>IF(O53=0,0,1000000*O53/TrRoad_act!O81)</f>
        <v>6441.7549213318744</v>
      </c>
      <c r="P138" s="101">
        <f>IF(P53=0,0,1000000*P53/TrRoad_act!P81)</f>
        <v>6682.0613500645668</v>
      </c>
      <c r="Q138" s="101">
        <f>IF(Q53=0,0,1000000*Q53/TrRoad_act!Q81)</f>
        <v>7293.7065228614329</v>
      </c>
      <c r="R138" s="101">
        <f>IF(R53=0,0,1000000*R53/TrRoad_act!R81)</f>
        <v>6934.9766612923222</v>
      </c>
      <c r="S138" s="101">
        <f>IF(S53=0,0,1000000*S53/TrRoad_act!S81)</f>
        <v>6761.9144429252729</v>
      </c>
      <c r="T138" s="101">
        <f>IF(T53=0,0,1000000*T53/TrRoad_act!T81)</f>
        <v>6601.8704827111387</v>
      </c>
      <c r="U138" s="101">
        <f>IF(U53=0,0,1000000*U53/TrRoad_act!U81)</f>
        <v>6423.5479102803783</v>
      </c>
      <c r="V138" s="101">
        <f>IF(V53=0,0,1000000*V53/TrRoad_act!V81)</f>
        <v>7513.7569464695289</v>
      </c>
      <c r="W138" s="101">
        <f>IF(W53=0,0,1000000*W53/TrRoad_act!W81)</f>
        <v>8519.7001201924322</v>
      </c>
      <c r="X138" s="101">
        <f>IF(X53=0,0,1000000*X53/TrRoad_act!X81)</f>
        <v>7965.4668142278324</v>
      </c>
      <c r="Y138" s="101">
        <f>IF(Y53=0,0,1000000*Y53/TrRoad_act!Y81)</f>
        <v>7917.2564722014577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38721.643308725717</v>
      </c>
      <c r="C139" s="88">
        <f>IF(C55=0,0,1000000*C55/TrRoad_act!C82)</f>
        <v>36602.597440458798</v>
      </c>
      <c r="D139" s="88">
        <f>IF(D55=0,0,1000000*D55/TrRoad_act!D82)</f>
        <v>36136.949198580165</v>
      </c>
      <c r="E139" s="88">
        <f>IF(E55=0,0,1000000*E55/TrRoad_act!E82)</f>
        <v>43958.132356174188</v>
      </c>
      <c r="F139" s="88">
        <f>IF(F55=0,0,1000000*F55/TrRoad_act!F82)</f>
        <v>41365.3641255728</v>
      </c>
      <c r="G139" s="88">
        <f>IF(G55=0,0,1000000*G55/TrRoad_act!G82)</f>
        <v>46440.891780207312</v>
      </c>
      <c r="H139" s="88">
        <f>IF(H55=0,0,1000000*H55/TrRoad_act!H82)</f>
        <v>53549.407712568718</v>
      </c>
      <c r="I139" s="88">
        <f>IF(I55=0,0,1000000*I55/TrRoad_act!I82)</f>
        <v>60021.718004568458</v>
      </c>
      <c r="J139" s="88">
        <f>IF(J55=0,0,1000000*J55/TrRoad_act!J82)</f>
        <v>60994.646622635679</v>
      </c>
      <c r="K139" s="88">
        <f>IF(K55=0,0,1000000*K55/TrRoad_act!K82)</f>
        <v>64531.599901635571</v>
      </c>
      <c r="L139" s="88">
        <f>IF(L55=0,0,1000000*L55/TrRoad_act!L82)</f>
        <v>52564.151996557892</v>
      </c>
      <c r="M139" s="88">
        <f>IF(M55=0,0,1000000*M55/TrRoad_act!M82)</f>
        <v>49570.438189664674</v>
      </c>
      <c r="N139" s="88">
        <f>IF(N55=0,0,1000000*N55/TrRoad_act!N82)</f>
        <v>49326.335675636663</v>
      </c>
      <c r="O139" s="88">
        <f>IF(O55=0,0,1000000*O55/TrRoad_act!O82)</f>
        <v>39554.756145925938</v>
      </c>
      <c r="P139" s="88">
        <f>IF(P55=0,0,1000000*P55/TrRoad_act!P82)</f>
        <v>40506.863078743925</v>
      </c>
      <c r="Q139" s="88">
        <f>IF(Q55=0,0,1000000*Q55/TrRoad_act!Q82)</f>
        <v>37657.669791175009</v>
      </c>
      <c r="R139" s="88">
        <f>IF(R55=0,0,1000000*R55/TrRoad_act!R82)</f>
        <v>44842.613632888118</v>
      </c>
      <c r="S139" s="88">
        <f>IF(S55=0,0,1000000*S55/TrRoad_act!S82)</f>
        <v>45143.682106895583</v>
      </c>
      <c r="T139" s="88">
        <f>IF(T55=0,0,1000000*T55/TrRoad_act!T82)</f>
        <v>45909.877603039313</v>
      </c>
      <c r="U139" s="88">
        <f>IF(U55=0,0,1000000*U55/TrRoad_act!U82)</f>
        <v>43286.710910043526</v>
      </c>
      <c r="V139" s="88">
        <f>IF(V55=0,0,1000000*V55/TrRoad_act!V82)</f>
        <v>29411.026527422571</v>
      </c>
      <c r="W139" s="88">
        <f>IF(W55=0,0,1000000*W55/TrRoad_act!W82)</f>
        <v>34153.350729178746</v>
      </c>
      <c r="X139" s="88">
        <f>IF(X55=0,0,1000000*X55/TrRoad_act!X82)</f>
        <v>34506.213092189319</v>
      </c>
      <c r="Y139" s="88">
        <f>IF(Y55=0,0,1000000*Y55/TrRoad_act!Y82)</f>
        <v>35961.566908145694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0.7351271588753846</v>
      </c>
      <c r="C142" s="46">
        <f t="shared" si="42"/>
        <v>0.7270948688851584</v>
      </c>
      <c r="D142" s="46">
        <f t="shared" si="42"/>
        <v>0.71333789911494183</v>
      </c>
      <c r="E142" s="46">
        <f t="shared" si="42"/>
        <v>0.6963119705939147</v>
      </c>
      <c r="F142" s="46">
        <f t="shared" si="42"/>
        <v>0.67849292449330745</v>
      </c>
      <c r="G142" s="46">
        <f t="shared" si="42"/>
        <v>0.65112046079708463</v>
      </c>
      <c r="H142" s="46">
        <f t="shared" si="42"/>
        <v>0.63786040879926165</v>
      </c>
      <c r="I142" s="46">
        <f t="shared" si="42"/>
        <v>0.6284955839057349</v>
      </c>
      <c r="J142" s="46">
        <f t="shared" si="42"/>
        <v>0.62888814952351724</v>
      </c>
      <c r="K142" s="46">
        <f t="shared" si="42"/>
        <v>0.64647454364553658</v>
      </c>
      <c r="L142" s="46">
        <f t="shared" ref="L142" si="43">IF(L18=0,0,L18/L$17)</f>
        <v>0.64606362355472202</v>
      </c>
      <c r="M142" s="46">
        <f t="shared" ref="M142:V142" si="44">IF(M18=0,0,M18/M$17)</f>
        <v>0.64697272277270845</v>
      </c>
      <c r="N142" s="46">
        <f t="shared" si="44"/>
        <v>0.64621825169952729</v>
      </c>
      <c r="O142" s="46">
        <f t="shared" si="44"/>
        <v>0.65204922600059534</v>
      </c>
      <c r="P142" s="46">
        <f t="shared" si="44"/>
        <v>0.63978540599280465</v>
      </c>
      <c r="Q142" s="46">
        <f t="shared" si="44"/>
        <v>0.62146711029597257</v>
      </c>
      <c r="R142" s="46">
        <f t="shared" si="44"/>
        <v>0.62897479298241943</v>
      </c>
      <c r="S142" s="46">
        <f t="shared" si="44"/>
        <v>0.62951084144216929</v>
      </c>
      <c r="T142" s="46">
        <f t="shared" si="44"/>
        <v>0.63339183871204052</v>
      </c>
      <c r="U142" s="46">
        <f t="shared" si="44"/>
        <v>0.64002663573710195</v>
      </c>
      <c r="V142" s="46">
        <f t="shared" si="44"/>
        <v>0.63588036166361328</v>
      </c>
      <c r="W142" s="46">
        <f t="shared" ref="W142:Y142" si="45">IF(W18=0,0,W18/W$17)</f>
        <v>0.61998074816860416</v>
      </c>
      <c r="X142" s="46">
        <f t="shared" si="45"/>
        <v>0.62544476568163465</v>
      </c>
      <c r="Y142" s="46">
        <f t="shared" si="45"/>
        <v>0.62939490950734855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1.4799667476334455E-2</v>
      </c>
      <c r="C143" s="154">
        <f t="shared" si="46"/>
        <v>1.3292125826046258E-2</v>
      </c>
      <c r="D143" s="154">
        <f t="shared" si="46"/>
        <v>1.2303842088111054E-2</v>
      </c>
      <c r="E143" s="154">
        <f t="shared" si="46"/>
        <v>1.0809273098023927E-2</v>
      </c>
      <c r="F143" s="154">
        <f t="shared" si="46"/>
        <v>1.0292673048586422E-2</v>
      </c>
      <c r="G143" s="154">
        <f t="shared" si="46"/>
        <v>9.8407331670884134E-3</v>
      </c>
      <c r="H143" s="154">
        <f t="shared" si="46"/>
        <v>9.2118210816334797E-3</v>
      </c>
      <c r="I143" s="154">
        <f t="shared" si="46"/>
        <v>9.0338252184157374E-3</v>
      </c>
      <c r="J143" s="154">
        <f t="shared" si="46"/>
        <v>9.2546087247361193E-3</v>
      </c>
      <c r="K143" s="154">
        <f t="shared" si="46"/>
        <v>9.4319141827794769E-3</v>
      </c>
      <c r="L143" s="154">
        <f t="shared" ref="L143" si="47">IF(L19=0,0,L19/L$17)</f>
        <v>1.0052683700492629E-2</v>
      </c>
      <c r="M143" s="154">
        <f t="shared" ref="M143:V143" si="48">IF(M19=0,0,M19/M$17)</f>
        <v>1.0138229456110003E-2</v>
      </c>
      <c r="N143" s="154">
        <f t="shared" si="48"/>
        <v>1.0521570641988295E-2</v>
      </c>
      <c r="O143" s="154">
        <f t="shared" si="48"/>
        <v>1.0563833281429381E-2</v>
      </c>
      <c r="P143" s="154">
        <f t="shared" si="48"/>
        <v>1.0270168631626012E-2</v>
      </c>
      <c r="Q143" s="154">
        <f t="shared" si="48"/>
        <v>1.0121921522189867E-2</v>
      </c>
      <c r="R143" s="154">
        <f t="shared" si="48"/>
        <v>9.8988449814842311E-3</v>
      </c>
      <c r="S143" s="154">
        <f t="shared" si="48"/>
        <v>9.0353809822150133E-3</v>
      </c>
      <c r="T143" s="154">
        <f t="shared" si="48"/>
        <v>8.4620675475413631E-3</v>
      </c>
      <c r="U143" s="154">
        <f t="shared" si="48"/>
        <v>8.7774445954314287E-3</v>
      </c>
      <c r="V143" s="154">
        <f t="shared" si="48"/>
        <v>8.3020531622316294E-3</v>
      </c>
      <c r="W143" s="154">
        <f t="shared" ref="W143:Y143" si="49">IF(W19=0,0,W19/W$17)</f>
        <v>8.0163799084491914E-3</v>
      </c>
      <c r="X143" s="154">
        <f t="shared" si="49"/>
        <v>7.9827531786938587E-3</v>
      </c>
      <c r="Y143" s="154">
        <f t="shared" si="49"/>
        <v>8.2541307913113777E-3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0.62226643034316231</v>
      </c>
      <c r="C144" s="156">
        <f t="shared" si="50"/>
        <v>0.61171755164733899</v>
      </c>
      <c r="D144" s="156">
        <f t="shared" si="50"/>
        <v>0.60925737751988873</v>
      </c>
      <c r="E144" s="156">
        <f t="shared" si="50"/>
        <v>0.61121986464056421</v>
      </c>
      <c r="F144" s="156">
        <f t="shared" si="50"/>
        <v>0.60269458495915351</v>
      </c>
      <c r="G144" s="156">
        <f t="shared" si="50"/>
        <v>0.58156869423016644</v>
      </c>
      <c r="H144" s="156">
        <f t="shared" si="50"/>
        <v>0.56888352352044769</v>
      </c>
      <c r="I144" s="156">
        <f t="shared" si="50"/>
        <v>0.56268079434007501</v>
      </c>
      <c r="J144" s="156">
        <f t="shared" si="50"/>
        <v>0.56272896962230357</v>
      </c>
      <c r="K144" s="156">
        <f t="shared" si="50"/>
        <v>0.57876851196502099</v>
      </c>
      <c r="L144" s="156">
        <f t="shared" ref="L144" si="51">IF(L21=0,0,L21/L$17)</f>
        <v>0.57213299022053321</v>
      </c>
      <c r="M144" s="156">
        <f t="shared" ref="M144:V144" si="52">IF(M21=0,0,M21/M$17)</f>
        <v>0.57607076716257533</v>
      </c>
      <c r="N144" s="156">
        <f t="shared" si="52"/>
        <v>0.5754461624046302</v>
      </c>
      <c r="O144" s="156">
        <f t="shared" si="52"/>
        <v>0.57903084864372223</v>
      </c>
      <c r="P144" s="156">
        <f t="shared" si="52"/>
        <v>0.56772549002691308</v>
      </c>
      <c r="Q144" s="156">
        <f t="shared" si="52"/>
        <v>0.55352761697393005</v>
      </c>
      <c r="R144" s="156">
        <f t="shared" si="52"/>
        <v>0.56393683761875057</v>
      </c>
      <c r="S144" s="156">
        <f t="shared" si="52"/>
        <v>0.56479630133151582</v>
      </c>
      <c r="T144" s="156">
        <f t="shared" si="52"/>
        <v>0.5682148720654413</v>
      </c>
      <c r="U144" s="156">
        <f t="shared" si="52"/>
        <v>0.57497047251197009</v>
      </c>
      <c r="V144" s="156">
        <f t="shared" si="52"/>
        <v>0.5821446059225942</v>
      </c>
      <c r="W144" s="156">
        <f t="shared" ref="W144:Y144" si="53">IF(W21=0,0,W21/W$17)</f>
        <v>0.57069242806803733</v>
      </c>
      <c r="X144" s="156">
        <f t="shared" si="53"/>
        <v>0.57251549217024933</v>
      </c>
      <c r="Y144" s="156">
        <f t="shared" si="53"/>
        <v>0.57761933203286564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0.47495908058258662</v>
      </c>
      <c r="C145" s="103">
        <f t="shared" si="54"/>
        <v>0.45987858078602645</v>
      </c>
      <c r="D145" s="103">
        <f t="shared" si="54"/>
        <v>0.44232990489576929</v>
      </c>
      <c r="E145" s="103">
        <f t="shared" si="54"/>
        <v>0.42772008757379709</v>
      </c>
      <c r="F145" s="103">
        <f t="shared" si="54"/>
        <v>0.40823059994016697</v>
      </c>
      <c r="G145" s="103">
        <f t="shared" si="54"/>
        <v>0.37149608982437743</v>
      </c>
      <c r="H145" s="103">
        <f t="shared" si="54"/>
        <v>0.35259019982412215</v>
      </c>
      <c r="I145" s="103">
        <f t="shared" si="54"/>
        <v>0.34914478775102087</v>
      </c>
      <c r="J145" s="103">
        <f t="shared" si="54"/>
        <v>0.33919902074986874</v>
      </c>
      <c r="K145" s="103">
        <f t="shared" si="54"/>
        <v>0.33875355248249678</v>
      </c>
      <c r="L145" s="103">
        <f t="shared" ref="L145" si="55">IF(L22=0,0,L22/L$17)</f>
        <v>0.32280209608536703</v>
      </c>
      <c r="M145" s="103">
        <f t="shared" ref="M145:V145" si="56">IF(M22=0,0,M22/M$17)</f>
        <v>0.30992986568372133</v>
      </c>
      <c r="N145" s="103">
        <f t="shared" si="56"/>
        <v>0.292766038185096</v>
      </c>
      <c r="O145" s="103">
        <f t="shared" si="56"/>
        <v>0.27618944167602472</v>
      </c>
      <c r="P145" s="103">
        <f t="shared" si="56"/>
        <v>0.26456167661664048</v>
      </c>
      <c r="Q145" s="103">
        <f t="shared" si="56"/>
        <v>0.25518604218380847</v>
      </c>
      <c r="R145" s="103">
        <f t="shared" si="56"/>
        <v>0.25008270786717746</v>
      </c>
      <c r="S145" s="103">
        <f t="shared" si="56"/>
        <v>0.24289262454945781</v>
      </c>
      <c r="T145" s="103">
        <f t="shared" si="56"/>
        <v>0.24162517756282134</v>
      </c>
      <c r="U145" s="103">
        <f t="shared" si="56"/>
        <v>0.23946906392794548</v>
      </c>
      <c r="V145" s="103">
        <f t="shared" si="56"/>
        <v>0.23098942201888203</v>
      </c>
      <c r="W145" s="103">
        <f t="shared" ref="W145:Y145" si="57">IF(W22=0,0,W22/W$17)</f>
        <v>0.22332291454496109</v>
      </c>
      <c r="X145" s="103">
        <f t="shared" si="57"/>
        <v>0.22976557985434976</v>
      </c>
      <c r="Y145" s="103">
        <f t="shared" si="57"/>
        <v>0.2382315540159419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0.13253454028836664</v>
      </c>
      <c r="C146" s="103">
        <f t="shared" si="58"/>
        <v>0.13819979240857008</v>
      </c>
      <c r="D146" s="103">
        <f t="shared" si="58"/>
        <v>0.15370419636035282</v>
      </c>
      <c r="E146" s="103">
        <f t="shared" si="58"/>
        <v>0.17157405261363728</v>
      </c>
      <c r="F146" s="103">
        <f t="shared" si="58"/>
        <v>0.18242021872842579</v>
      </c>
      <c r="G146" s="103">
        <f t="shared" si="58"/>
        <v>0.19847477475846148</v>
      </c>
      <c r="H146" s="103">
        <f t="shared" si="58"/>
        <v>0.20435440132742214</v>
      </c>
      <c r="I146" s="103">
        <f t="shared" si="58"/>
        <v>0.20130188279739866</v>
      </c>
      <c r="J146" s="103">
        <f t="shared" si="58"/>
        <v>0.21153794288325239</v>
      </c>
      <c r="K146" s="103">
        <f t="shared" si="58"/>
        <v>0.22743662729294034</v>
      </c>
      <c r="L146" s="103">
        <f t="shared" ref="L146" si="59">IF(L24=0,0,L24/L$17)</f>
        <v>0.2364959038417723</v>
      </c>
      <c r="M146" s="103">
        <f t="shared" ref="M146:V146" si="60">IF(M24=0,0,M24/M$17)</f>
        <v>0.25306154402135167</v>
      </c>
      <c r="N146" s="103">
        <f t="shared" si="60"/>
        <v>0.26796403636857219</v>
      </c>
      <c r="O146" s="103">
        <f t="shared" si="60"/>
        <v>0.28738592616432967</v>
      </c>
      <c r="P146" s="103">
        <f t="shared" si="60"/>
        <v>0.28679569916828346</v>
      </c>
      <c r="Q146" s="103">
        <f t="shared" si="60"/>
        <v>0.28219391503210195</v>
      </c>
      <c r="R146" s="103">
        <f t="shared" si="60"/>
        <v>0.29796131298054351</v>
      </c>
      <c r="S146" s="103">
        <f t="shared" si="60"/>
        <v>0.30655506695868429</v>
      </c>
      <c r="T146" s="103">
        <f t="shared" si="60"/>
        <v>0.31160062255259974</v>
      </c>
      <c r="U146" s="103">
        <f t="shared" si="60"/>
        <v>0.32093713223946657</v>
      </c>
      <c r="V146" s="103">
        <f t="shared" si="60"/>
        <v>0.33777289386914727</v>
      </c>
      <c r="W146" s="103">
        <f t="shared" ref="W146:Y146" si="61">IF(W24=0,0,W24/W$17)</f>
        <v>0.33415010115826393</v>
      </c>
      <c r="X146" s="103">
        <f t="shared" si="61"/>
        <v>0.32778610604591146</v>
      </c>
      <c r="Y146" s="103">
        <f t="shared" si="61"/>
        <v>0.32357450421694539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1.4772809472208982E-2</v>
      </c>
      <c r="C147" s="103">
        <f t="shared" si="62"/>
        <v>1.3639178452742462E-2</v>
      </c>
      <c r="D147" s="103">
        <f t="shared" si="62"/>
        <v>1.322327626376664E-2</v>
      </c>
      <c r="E147" s="103">
        <f t="shared" si="62"/>
        <v>1.192572445312981E-2</v>
      </c>
      <c r="F147" s="103">
        <f t="shared" si="62"/>
        <v>1.2043766290560825E-2</v>
      </c>
      <c r="G147" s="103">
        <f t="shared" si="62"/>
        <v>1.1597829647327577E-2</v>
      </c>
      <c r="H147" s="103">
        <f t="shared" si="62"/>
        <v>1.193892236890344E-2</v>
      </c>
      <c r="I147" s="103">
        <f t="shared" si="62"/>
        <v>1.2234123791655459E-2</v>
      </c>
      <c r="J147" s="103">
        <f t="shared" si="62"/>
        <v>1.1858964575813018E-2</v>
      </c>
      <c r="K147" s="103">
        <f t="shared" si="62"/>
        <v>1.2367913032927558E-2</v>
      </c>
      <c r="L147" s="103">
        <f t="shared" ref="L147" si="63">IF(L26=0,0,L26/L$17)</f>
        <v>1.2548101106451374E-2</v>
      </c>
      <c r="M147" s="103">
        <f t="shared" ref="M147:V147" si="64">IF(M26=0,0,M26/M$17)</f>
        <v>1.2714671134283933E-2</v>
      </c>
      <c r="N147" s="103">
        <f t="shared" si="64"/>
        <v>1.4265864346773795E-2</v>
      </c>
      <c r="O147" s="103">
        <f t="shared" si="64"/>
        <v>1.4848145750034132E-2</v>
      </c>
      <c r="P147" s="103">
        <f t="shared" si="64"/>
        <v>1.5681629899590002E-2</v>
      </c>
      <c r="Q147" s="103">
        <f t="shared" si="64"/>
        <v>1.5251660064024132E-2</v>
      </c>
      <c r="R147" s="103">
        <f t="shared" si="64"/>
        <v>1.447868343399401E-2</v>
      </c>
      <c r="S147" s="103">
        <f t="shared" si="64"/>
        <v>1.3644697543713879E-2</v>
      </c>
      <c r="T147" s="103">
        <f t="shared" si="64"/>
        <v>1.2914745293078839E-2</v>
      </c>
      <c r="U147" s="103">
        <f t="shared" si="64"/>
        <v>1.226635694384634E-2</v>
      </c>
      <c r="V147" s="103">
        <f t="shared" si="64"/>
        <v>1.086394494378096E-2</v>
      </c>
      <c r="W147" s="103">
        <f t="shared" ref="W147:Y147" si="65">IF(W26=0,0,W26/W$17)</f>
        <v>1.0494900404076623E-2</v>
      </c>
      <c r="X147" s="103">
        <f t="shared" si="65"/>
        <v>1.2038532588105243E-2</v>
      </c>
      <c r="Y147" s="103">
        <f t="shared" si="65"/>
        <v>1.2584706178300391E-2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0</v>
      </c>
      <c r="D148" s="103">
        <f t="shared" si="66"/>
        <v>0</v>
      </c>
      <c r="E148" s="103">
        <f t="shared" si="66"/>
        <v>0</v>
      </c>
      <c r="F148" s="103">
        <f t="shared" si="66"/>
        <v>0</v>
      </c>
      <c r="G148" s="103">
        <f t="shared" si="66"/>
        <v>0</v>
      </c>
      <c r="H148" s="103">
        <f t="shared" si="66"/>
        <v>0</v>
      </c>
      <c r="I148" s="103">
        <f t="shared" si="66"/>
        <v>0</v>
      </c>
      <c r="J148" s="103">
        <f t="shared" si="66"/>
        <v>1.3304141336940533E-4</v>
      </c>
      <c r="K148" s="103">
        <f t="shared" si="66"/>
        <v>2.1041915665630568E-4</v>
      </c>
      <c r="L148" s="103">
        <f t="shared" ref="L148" si="67">IF(L27=0,0,L27/L$17)</f>
        <v>2.8675995108635505E-4</v>
      </c>
      <c r="M148" s="103">
        <f t="shared" ref="M148:V148" si="68">IF(M27=0,0,M27/M$17)</f>
        <v>3.6334680635826587E-4</v>
      </c>
      <c r="N148" s="103">
        <f t="shared" si="68"/>
        <v>4.4800708456940172E-4</v>
      </c>
      <c r="O148" s="103">
        <f t="shared" si="68"/>
        <v>6.0109305662599418E-4</v>
      </c>
      <c r="P148" s="103">
        <f t="shared" si="68"/>
        <v>6.7500152155305514E-4</v>
      </c>
      <c r="Q148" s="103">
        <f t="shared" si="68"/>
        <v>8.7095079491374117E-4</v>
      </c>
      <c r="R148" s="103">
        <f t="shared" si="68"/>
        <v>1.3699259791588522E-3</v>
      </c>
      <c r="S148" s="103">
        <f t="shared" si="68"/>
        <v>1.6314808660523135E-3</v>
      </c>
      <c r="T148" s="103">
        <f t="shared" si="68"/>
        <v>1.9764613093962787E-3</v>
      </c>
      <c r="U148" s="103">
        <f t="shared" si="68"/>
        <v>2.1628073992980856E-3</v>
      </c>
      <c r="V148" s="103">
        <f t="shared" si="68"/>
        <v>2.2635795802426091E-3</v>
      </c>
      <c r="W148" s="103">
        <f t="shared" ref="W148:Y148" si="69">IF(W27=0,0,W27/W$17)</f>
        <v>2.3177956359639474E-3</v>
      </c>
      <c r="X148" s="103">
        <f t="shared" si="69"/>
        <v>2.3011750179010981E-3</v>
      </c>
      <c r="Y148" s="103">
        <f t="shared" si="69"/>
        <v>2.3307022530324141E-3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0</v>
      </c>
      <c r="N149" s="103">
        <f t="shared" si="72"/>
        <v>5.8882440145855503E-7</v>
      </c>
      <c r="O149" s="103">
        <f t="shared" si="72"/>
        <v>1.0939752067509435E-6</v>
      </c>
      <c r="P149" s="103">
        <f t="shared" si="72"/>
        <v>2.7873368632936066E-6</v>
      </c>
      <c r="Q149" s="103">
        <f t="shared" si="72"/>
        <v>1.0403023602989375E-5</v>
      </c>
      <c r="R149" s="103">
        <f t="shared" si="72"/>
        <v>1.4453053426296409E-5</v>
      </c>
      <c r="S149" s="103">
        <f t="shared" si="72"/>
        <v>2.3951251451026188E-5</v>
      </c>
      <c r="T149" s="103">
        <f t="shared" si="72"/>
        <v>3.361074227861856E-5</v>
      </c>
      <c r="U149" s="103">
        <f t="shared" si="72"/>
        <v>4.9261268650525791E-5</v>
      </c>
      <c r="V149" s="103">
        <f t="shared" si="72"/>
        <v>9.6122230019984179E-5</v>
      </c>
      <c r="W149" s="103">
        <f t="shared" ref="W149:Y149" si="73">IF(W29=0,0,W29/W$17)</f>
        <v>1.7021388006711283E-4</v>
      </c>
      <c r="X149" s="103">
        <f t="shared" si="73"/>
        <v>2.8947004659485461E-4</v>
      </c>
      <c r="Y149" s="103">
        <f t="shared" si="73"/>
        <v>3.5883377313189327E-4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0</v>
      </c>
      <c r="J150" s="103">
        <f t="shared" si="74"/>
        <v>0</v>
      </c>
      <c r="K150" s="103">
        <f t="shared" si="74"/>
        <v>0</v>
      </c>
      <c r="L150" s="103">
        <f t="shared" ref="L150" si="75">IF(L32=0,0,L32/L$17)</f>
        <v>1.2923585614935389E-7</v>
      </c>
      <c r="M150" s="103">
        <f t="shared" ref="M150:V150" si="76">IF(M32=0,0,M32/M$17)</f>
        <v>1.3395168601062686E-6</v>
      </c>
      <c r="N150" s="103">
        <f t="shared" si="76"/>
        <v>1.6275952173193316E-6</v>
      </c>
      <c r="O150" s="103">
        <f t="shared" si="76"/>
        <v>5.1480215009694378E-6</v>
      </c>
      <c r="P150" s="103">
        <f t="shared" si="76"/>
        <v>8.6954839826827921E-6</v>
      </c>
      <c r="Q150" s="103">
        <f t="shared" si="76"/>
        <v>1.4645875478671695E-5</v>
      </c>
      <c r="R150" s="103">
        <f t="shared" si="76"/>
        <v>2.9754304450500607E-5</v>
      </c>
      <c r="S150" s="103">
        <f t="shared" si="76"/>
        <v>4.8480162156528002E-5</v>
      </c>
      <c r="T150" s="103">
        <f t="shared" si="76"/>
        <v>6.4254605266512649E-5</v>
      </c>
      <c r="U150" s="103">
        <f t="shared" si="76"/>
        <v>8.5850732763111486E-5</v>
      </c>
      <c r="V150" s="103">
        <f t="shared" si="76"/>
        <v>1.5864328052134756E-4</v>
      </c>
      <c r="W150" s="103">
        <f t="shared" ref="W150:Y150" si="77">IF(W32=0,0,W32/W$17)</f>
        <v>2.3650244470459249E-4</v>
      </c>
      <c r="X150" s="103">
        <f t="shared" si="77"/>
        <v>3.3462861738681751E-4</v>
      </c>
      <c r="Y150" s="103">
        <f t="shared" si="77"/>
        <v>5.3903159551379901E-4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9.8061061055887813E-2</v>
      </c>
      <c r="C151" s="156">
        <f t="shared" si="78"/>
        <v>0.10208519141177319</v>
      </c>
      <c r="D151" s="156">
        <f t="shared" si="78"/>
        <v>9.1776679506942002E-2</v>
      </c>
      <c r="E151" s="156">
        <f t="shared" si="78"/>
        <v>7.4282832855326664E-2</v>
      </c>
      <c r="F151" s="156">
        <f t="shared" si="78"/>
        <v>6.5505666485567521E-2</v>
      </c>
      <c r="G151" s="156">
        <f t="shared" si="78"/>
        <v>5.9711033399829701E-2</v>
      </c>
      <c r="H151" s="156">
        <f t="shared" si="78"/>
        <v>5.9765064197180452E-2</v>
      </c>
      <c r="I151" s="156">
        <f t="shared" si="78"/>
        <v>5.6780964347244174E-2</v>
      </c>
      <c r="J151" s="156">
        <f t="shared" si="78"/>
        <v>5.6904571176477563E-2</v>
      </c>
      <c r="K151" s="156">
        <f t="shared" si="78"/>
        <v>5.8274117497736214E-2</v>
      </c>
      <c r="L151" s="156">
        <f t="shared" ref="L151" si="79">IF(L33=0,0,L33/L$17)</f>
        <v>6.3877949633696196E-2</v>
      </c>
      <c r="M151" s="156">
        <f t="shared" ref="M151:V151" si="80">IF(M33=0,0,M33/M$17)</f>
        <v>6.0763726154023111E-2</v>
      </c>
      <c r="N151" s="156">
        <f t="shared" si="80"/>
        <v>6.0250518652908772E-2</v>
      </c>
      <c r="O151" s="156">
        <f t="shared" si="80"/>
        <v>6.2454544075443666E-2</v>
      </c>
      <c r="P151" s="156">
        <f t="shared" si="80"/>
        <v>6.1789747334265559E-2</v>
      </c>
      <c r="Q151" s="156">
        <f t="shared" si="80"/>
        <v>5.7817571799852613E-2</v>
      </c>
      <c r="R151" s="156">
        <f t="shared" si="80"/>
        <v>5.5139110382184588E-2</v>
      </c>
      <c r="S151" s="156">
        <f t="shared" si="80"/>
        <v>5.5679159128438467E-2</v>
      </c>
      <c r="T151" s="156">
        <f t="shared" si="80"/>
        <v>5.6714899099057824E-2</v>
      </c>
      <c r="U151" s="156">
        <f t="shared" si="80"/>
        <v>5.6278718629700394E-2</v>
      </c>
      <c r="V151" s="156">
        <f t="shared" si="80"/>
        <v>4.5433702578787448E-2</v>
      </c>
      <c r="W151" s="156">
        <f t="shared" ref="W151:Y151" si="81">IF(W33=0,0,W33/W$17)</f>
        <v>4.1271940192117627E-2</v>
      </c>
      <c r="X151" s="156">
        <f t="shared" si="81"/>
        <v>4.4946520332691503E-2</v>
      </c>
      <c r="Y151" s="156">
        <f t="shared" si="81"/>
        <v>4.3521446683171504E-2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2.68086365932495E-3</v>
      </c>
      <c r="C152" s="103">
        <f t="shared" si="82"/>
        <v>2.5149815004001531E-3</v>
      </c>
      <c r="D152" s="103">
        <f t="shared" si="82"/>
        <v>2.4304472208216492E-3</v>
      </c>
      <c r="E152" s="103">
        <f t="shared" si="82"/>
        <v>1.8231623440885176E-3</v>
      </c>
      <c r="F152" s="103">
        <f t="shared" si="82"/>
        <v>1.5171557412509069E-3</v>
      </c>
      <c r="G152" s="103">
        <f t="shared" si="82"/>
        <v>1.2842485589007126E-3</v>
      </c>
      <c r="H152" s="103">
        <f t="shared" si="82"/>
        <v>1.1943980603466361E-3</v>
      </c>
      <c r="I152" s="103">
        <f t="shared" si="82"/>
        <v>1.1227880783426017E-3</v>
      </c>
      <c r="J152" s="103">
        <f t="shared" si="82"/>
        <v>1.067255191359746E-3</v>
      </c>
      <c r="K152" s="103">
        <f t="shared" si="82"/>
        <v>1.0097844088278478E-3</v>
      </c>
      <c r="L152" s="103">
        <f t="shared" ref="L152" si="83">IF(L34=0,0,L34/L$17)</f>
        <v>1.0817370905329602E-3</v>
      </c>
      <c r="M152" s="103">
        <f t="shared" ref="M152:V152" si="84">IF(M34=0,0,M34/M$17)</f>
        <v>9.906969672537813E-4</v>
      </c>
      <c r="N152" s="103">
        <f t="shared" si="84"/>
        <v>9.1128673438681869E-4</v>
      </c>
      <c r="O152" s="103">
        <f t="shared" si="84"/>
        <v>9.3067610391218253E-4</v>
      </c>
      <c r="P152" s="103">
        <f t="shared" si="84"/>
        <v>9.0056887182803839E-4</v>
      </c>
      <c r="Q152" s="103">
        <f t="shared" si="84"/>
        <v>7.9861854160487896E-4</v>
      </c>
      <c r="R152" s="103">
        <f t="shared" si="84"/>
        <v>7.78250932041399E-4</v>
      </c>
      <c r="S152" s="103">
        <f t="shared" si="84"/>
        <v>7.5035586778594886E-4</v>
      </c>
      <c r="T152" s="103">
        <f t="shared" si="84"/>
        <v>6.8898299157774416E-4</v>
      </c>
      <c r="U152" s="103">
        <f t="shared" si="84"/>
        <v>6.4287590056201938E-4</v>
      </c>
      <c r="V152" s="103">
        <f t="shared" si="84"/>
        <v>5.2748021454276375E-4</v>
      </c>
      <c r="W152" s="103">
        <f t="shared" ref="W152:Y152" si="85">IF(W34=0,0,W34/W$17)</f>
        <v>4.3954586283058748E-4</v>
      </c>
      <c r="X152" s="103">
        <f t="shared" si="85"/>
        <v>4.6954746950194552E-4</v>
      </c>
      <c r="Y152" s="103">
        <f t="shared" si="85"/>
        <v>4.3168079919742448E-4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9.1836487352906004E-2</v>
      </c>
      <c r="C153" s="103">
        <f t="shared" si="86"/>
        <v>9.5987817589341537E-2</v>
      </c>
      <c r="D153" s="103">
        <f t="shared" si="86"/>
        <v>8.5596359099015695E-2</v>
      </c>
      <c r="E153" s="103">
        <f t="shared" si="86"/>
        <v>6.8995198145571326E-2</v>
      </c>
      <c r="F153" s="103">
        <f t="shared" si="86"/>
        <v>6.0013754038101892E-2</v>
      </c>
      <c r="G153" s="103">
        <f t="shared" si="86"/>
        <v>5.5041135428530459E-2</v>
      </c>
      <c r="H153" s="103">
        <f t="shared" si="86"/>
        <v>5.47336881836624E-2</v>
      </c>
      <c r="I153" s="103">
        <f t="shared" si="86"/>
        <v>5.3250467534955485E-2</v>
      </c>
      <c r="J153" s="103">
        <f t="shared" si="86"/>
        <v>5.3436521126521183E-2</v>
      </c>
      <c r="K153" s="103">
        <f t="shared" si="86"/>
        <v>5.4728170204675901E-2</v>
      </c>
      <c r="L153" s="103">
        <f t="shared" ref="L153" si="87">IF(L36=0,0,L36/L$17)</f>
        <v>5.9826848222798157E-2</v>
      </c>
      <c r="M153" s="103">
        <f t="shared" ref="M153:V153" si="88">IF(M36=0,0,M36/M$17)</f>
        <v>5.6612436607458794E-2</v>
      </c>
      <c r="N153" s="103">
        <f t="shared" si="88"/>
        <v>5.588449916664346E-2</v>
      </c>
      <c r="O153" s="103">
        <f t="shared" si="88"/>
        <v>5.8110227543745403E-2</v>
      </c>
      <c r="P153" s="103">
        <f t="shared" si="88"/>
        <v>5.5974030118434666E-2</v>
      </c>
      <c r="Q153" s="103">
        <f t="shared" si="88"/>
        <v>5.1089897360636446E-2</v>
      </c>
      <c r="R153" s="103">
        <f t="shared" si="88"/>
        <v>4.7550772600078318E-2</v>
      </c>
      <c r="S153" s="103">
        <f t="shared" si="88"/>
        <v>4.8131424868746921E-2</v>
      </c>
      <c r="T153" s="103">
        <f t="shared" si="88"/>
        <v>4.9133634985907899E-2</v>
      </c>
      <c r="U153" s="103">
        <f t="shared" si="88"/>
        <v>4.7222357973122769E-2</v>
      </c>
      <c r="V153" s="103">
        <f t="shared" si="88"/>
        <v>3.5953505986703292E-2</v>
      </c>
      <c r="W153" s="103">
        <f t="shared" ref="W153:Y153" si="89">IF(W36=0,0,W36/W$17)</f>
        <v>3.2280793495661465E-2</v>
      </c>
      <c r="X153" s="103">
        <f t="shared" si="89"/>
        <v>3.6907200062512524E-2</v>
      </c>
      <c r="Y153" s="103">
        <f t="shared" si="89"/>
        <v>3.5188014544723631E-2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0</v>
      </c>
      <c r="C154" s="103">
        <f t="shared" si="90"/>
        <v>0</v>
      </c>
      <c r="D154" s="103">
        <f t="shared" si="90"/>
        <v>0</v>
      </c>
      <c r="E154" s="103">
        <f t="shared" si="90"/>
        <v>0</v>
      </c>
      <c r="F154" s="103">
        <f t="shared" si="90"/>
        <v>0</v>
      </c>
      <c r="G154" s="103">
        <f t="shared" si="90"/>
        <v>0</v>
      </c>
      <c r="H154" s="103">
        <f t="shared" si="90"/>
        <v>0</v>
      </c>
      <c r="I154" s="103">
        <f t="shared" si="90"/>
        <v>0</v>
      </c>
      <c r="J154" s="103">
        <f t="shared" si="90"/>
        <v>0</v>
      </c>
      <c r="K154" s="103">
        <f t="shared" si="90"/>
        <v>0</v>
      </c>
      <c r="L154" s="103">
        <f t="shared" ref="L154" si="91">IF(L38=0,0,L38/L$17)</f>
        <v>0</v>
      </c>
      <c r="M154" s="103">
        <f t="shared" ref="M154:V154" si="92">IF(M38=0,0,M38/M$17)</f>
        <v>0</v>
      </c>
      <c r="N154" s="103">
        <f t="shared" si="92"/>
        <v>0</v>
      </c>
      <c r="O154" s="103">
        <f t="shared" si="92"/>
        <v>0</v>
      </c>
      <c r="P154" s="103">
        <f t="shared" si="92"/>
        <v>0</v>
      </c>
      <c r="Q154" s="103">
        <f t="shared" si="92"/>
        <v>0</v>
      </c>
      <c r="R154" s="103">
        <f t="shared" si="92"/>
        <v>0</v>
      </c>
      <c r="S154" s="103">
        <f t="shared" si="92"/>
        <v>0</v>
      </c>
      <c r="T154" s="103">
        <f t="shared" si="92"/>
        <v>0</v>
      </c>
      <c r="U154" s="103">
        <f t="shared" si="92"/>
        <v>0</v>
      </c>
      <c r="V154" s="103">
        <f t="shared" si="92"/>
        <v>7.3165367974842196E-6</v>
      </c>
      <c r="W154" s="103">
        <f t="shared" ref="W154:Y154" si="93">IF(W38=0,0,W38/W$17)</f>
        <v>6.4321692789558569E-6</v>
      </c>
      <c r="X154" s="103">
        <f t="shared" si="93"/>
        <v>7.0673585229720681E-6</v>
      </c>
      <c r="Y154" s="103">
        <f t="shared" si="93"/>
        <v>5.7213872965432239E-6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1.0579133537523449E-3</v>
      </c>
      <c r="C155" s="103">
        <f t="shared" si="94"/>
        <v>1.2060827082983705E-3</v>
      </c>
      <c r="D155" s="103">
        <f t="shared" si="94"/>
        <v>1.5279448934485864E-3</v>
      </c>
      <c r="E155" s="103">
        <f t="shared" si="94"/>
        <v>1.5075536212988089E-3</v>
      </c>
      <c r="F155" s="103">
        <f t="shared" si="94"/>
        <v>2.0902123651817608E-3</v>
      </c>
      <c r="G155" s="103">
        <f t="shared" si="94"/>
        <v>1.6500579012646694E-3</v>
      </c>
      <c r="H155" s="103">
        <f t="shared" si="94"/>
        <v>2.1323565478452234E-3</v>
      </c>
      <c r="I155" s="103">
        <f t="shared" si="94"/>
        <v>7.939734882990452E-4</v>
      </c>
      <c r="J155" s="103">
        <f t="shared" si="94"/>
        <v>7.9329283925169203E-4</v>
      </c>
      <c r="K155" s="103">
        <f t="shared" si="94"/>
        <v>9.177216097367622E-4</v>
      </c>
      <c r="L155" s="103">
        <f t="shared" ref="L155" si="95">IF(L39=0,0,L39/L$17)</f>
        <v>1.2587895521868561E-3</v>
      </c>
      <c r="M155" s="103">
        <f t="shared" ref="M155:V155" si="96">IF(M39=0,0,M39/M$17)</f>
        <v>1.4663824519065918E-3</v>
      </c>
      <c r="N155" s="103">
        <f t="shared" si="96"/>
        <v>1.7262170510725767E-3</v>
      </c>
      <c r="O155" s="103">
        <f t="shared" si="96"/>
        <v>1.7228289864394785E-3</v>
      </c>
      <c r="P155" s="103">
        <f t="shared" si="96"/>
        <v>3.2742853976983899E-3</v>
      </c>
      <c r="Q155" s="103">
        <f t="shared" si="96"/>
        <v>4.3256761557396448E-3</v>
      </c>
      <c r="R155" s="103">
        <f t="shared" si="96"/>
        <v>5.1839065730993191E-3</v>
      </c>
      <c r="S155" s="103">
        <f t="shared" si="96"/>
        <v>5.3048347225101962E-3</v>
      </c>
      <c r="T155" s="103">
        <f t="shared" si="96"/>
        <v>5.2997024600678188E-3</v>
      </c>
      <c r="U155" s="103">
        <f t="shared" si="96"/>
        <v>6.9011474421046739E-3</v>
      </c>
      <c r="V155" s="103">
        <f t="shared" si="96"/>
        <v>7.5892562874313374E-3</v>
      </c>
      <c r="W155" s="103">
        <f t="shared" ref="W155:Y155" si="97">IF(W39=0,0,W39/W$17)</f>
        <v>7.2117406444770675E-3</v>
      </c>
      <c r="X155" s="103">
        <f t="shared" si="97"/>
        <v>6.1437183534311223E-3</v>
      </c>
      <c r="Y155" s="103">
        <f t="shared" si="97"/>
        <v>6.4610642743924218E-3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2.4857966899045143E-3</v>
      </c>
      <c r="C156" s="103">
        <f t="shared" si="98"/>
        <v>2.3763096137331334E-3</v>
      </c>
      <c r="D156" s="103">
        <f t="shared" si="98"/>
        <v>2.2219282936560658E-3</v>
      </c>
      <c r="E156" s="103">
        <f t="shared" si="98"/>
        <v>1.9569187443680097E-3</v>
      </c>
      <c r="F156" s="103">
        <f t="shared" si="98"/>
        <v>1.8845443410329535E-3</v>
      </c>
      <c r="G156" s="103">
        <f t="shared" si="98"/>
        <v>1.7355915111338547E-3</v>
      </c>
      <c r="H156" s="103">
        <f t="shared" si="98"/>
        <v>1.7046214053261994E-3</v>
      </c>
      <c r="I156" s="103">
        <f t="shared" si="98"/>
        <v>1.6137352456470399E-3</v>
      </c>
      <c r="J156" s="103">
        <f t="shared" si="98"/>
        <v>1.6075020193449373E-3</v>
      </c>
      <c r="K156" s="103">
        <f t="shared" si="98"/>
        <v>1.6184412744957002E-3</v>
      </c>
      <c r="L156" s="103">
        <f t="shared" ref="L156" si="99">IF(L41=0,0,L41/L$17)</f>
        <v>1.7105747681782184E-3</v>
      </c>
      <c r="M156" s="103">
        <f t="shared" ref="M156:V156" si="100">IF(M41=0,0,M41/M$17)</f>
        <v>1.6942101274039381E-3</v>
      </c>
      <c r="N156" s="103">
        <f t="shared" si="100"/>
        <v>1.7285157008059165E-3</v>
      </c>
      <c r="O156" s="103">
        <f t="shared" si="100"/>
        <v>1.6908114413466064E-3</v>
      </c>
      <c r="P156" s="103">
        <f t="shared" si="100"/>
        <v>1.6408629463044696E-3</v>
      </c>
      <c r="Q156" s="103">
        <f t="shared" si="100"/>
        <v>1.6033797418716406E-3</v>
      </c>
      <c r="R156" s="103">
        <f t="shared" si="100"/>
        <v>1.6261802769655491E-3</v>
      </c>
      <c r="S156" s="103">
        <f t="shared" si="100"/>
        <v>1.4925436693954031E-3</v>
      </c>
      <c r="T156" s="103">
        <f t="shared" si="100"/>
        <v>1.5925786615043611E-3</v>
      </c>
      <c r="U156" s="103">
        <f t="shared" si="100"/>
        <v>1.5123373139109249E-3</v>
      </c>
      <c r="V156" s="103">
        <f t="shared" si="100"/>
        <v>1.3561435533125661E-3</v>
      </c>
      <c r="W156" s="103">
        <f t="shared" ref="W156:Y156" si="101">IF(W41=0,0,W41/W$17)</f>
        <v>1.3334280198695583E-3</v>
      </c>
      <c r="X156" s="103">
        <f t="shared" si="101"/>
        <v>1.4189870887229437E-3</v>
      </c>
      <c r="Y156" s="103">
        <f t="shared" si="101"/>
        <v>1.4349656775614924E-3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0.26487284112461534</v>
      </c>
      <c r="C157" s="46">
        <f t="shared" si="102"/>
        <v>0.27290513111484149</v>
      </c>
      <c r="D157" s="46">
        <f t="shared" si="102"/>
        <v>0.28666210088505811</v>
      </c>
      <c r="E157" s="46">
        <f t="shared" si="102"/>
        <v>0.30368802940608536</v>
      </c>
      <c r="F157" s="46">
        <f t="shared" si="102"/>
        <v>0.3215070755066925</v>
      </c>
      <c r="G157" s="46">
        <f t="shared" si="102"/>
        <v>0.34887953920291531</v>
      </c>
      <c r="H157" s="46">
        <f t="shared" si="102"/>
        <v>0.3621395912007383</v>
      </c>
      <c r="I157" s="46">
        <f t="shared" si="102"/>
        <v>0.37150441609426521</v>
      </c>
      <c r="J157" s="46">
        <f t="shared" si="102"/>
        <v>0.37111185047648282</v>
      </c>
      <c r="K157" s="46">
        <f t="shared" si="102"/>
        <v>0.35352545635446336</v>
      </c>
      <c r="L157" s="46">
        <f t="shared" ref="L157" si="103">IF(L42=0,0,L42/L$17)</f>
        <v>0.35393637644527787</v>
      </c>
      <c r="M157" s="46">
        <f t="shared" ref="M157:V157" si="104">IF(M42=0,0,M42/M$17)</f>
        <v>0.35302727722729149</v>
      </c>
      <c r="N157" s="46">
        <f t="shared" si="104"/>
        <v>0.35378174830047276</v>
      </c>
      <c r="O157" s="46">
        <f t="shared" si="104"/>
        <v>0.34795077399940477</v>
      </c>
      <c r="P157" s="46">
        <f t="shared" si="104"/>
        <v>0.36021459400719535</v>
      </c>
      <c r="Q157" s="46">
        <f t="shared" si="104"/>
        <v>0.37853288970402749</v>
      </c>
      <c r="R157" s="46">
        <f t="shared" si="104"/>
        <v>0.37102520701758052</v>
      </c>
      <c r="S157" s="46">
        <f t="shared" si="104"/>
        <v>0.37048915855783071</v>
      </c>
      <c r="T157" s="46">
        <f t="shared" si="104"/>
        <v>0.36660816128795953</v>
      </c>
      <c r="U157" s="46">
        <f t="shared" si="104"/>
        <v>0.35997336426289811</v>
      </c>
      <c r="V157" s="46">
        <f t="shared" si="104"/>
        <v>0.36411963833638666</v>
      </c>
      <c r="W157" s="46">
        <f t="shared" ref="W157:Y157" si="105">IF(W42=0,0,W42/W$17)</f>
        <v>0.3800192518313959</v>
      </c>
      <c r="X157" s="46">
        <f t="shared" si="105"/>
        <v>0.37455523431836529</v>
      </c>
      <c r="Y157" s="46">
        <f t="shared" si="105"/>
        <v>0.37060509049265139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4.2491564742497427E-2</v>
      </c>
      <c r="C158" s="154">
        <f t="shared" si="106"/>
        <v>4.3424740352591099E-2</v>
      </c>
      <c r="D158" s="154">
        <f t="shared" si="106"/>
        <v>4.7450253277928879E-2</v>
      </c>
      <c r="E158" s="154">
        <f t="shared" si="106"/>
        <v>4.7909104752440909E-2</v>
      </c>
      <c r="F158" s="154">
        <f t="shared" si="106"/>
        <v>5.2824642150414693E-2</v>
      </c>
      <c r="G158" s="154">
        <f t="shared" si="106"/>
        <v>5.8210733440467045E-2</v>
      </c>
      <c r="H158" s="154">
        <f t="shared" si="106"/>
        <v>6.4596858351835165E-2</v>
      </c>
      <c r="I158" s="154">
        <f t="shared" si="106"/>
        <v>6.9990460778039915E-2</v>
      </c>
      <c r="J158" s="154">
        <f t="shared" si="106"/>
        <v>8.3683925639421189E-2</v>
      </c>
      <c r="K158" s="154">
        <f t="shared" si="106"/>
        <v>8.6421295895342129E-2</v>
      </c>
      <c r="L158" s="154">
        <f t="shared" ref="L158" si="107">IF(L43=0,0,L43/L$17)</f>
        <v>9.6752641391713676E-2</v>
      </c>
      <c r="M158" s="154">
        <f t="shared" ref="M158:V158" si="108">IF(M43=0,0,M43/M$17)</f>
        <v>9.8672860175915894E-2</v>
      </c>
      <c r="N158" s="154">
        <f t="shared" si="108"/>
        <v>0.10213225035728307</v>
      </c>
      <c r="O158" s="154">
        <f t="shared" si="108"/>
        <v>0.10718939264753097</v>
      </c>
      <c r="P158" s="154">
        <f t="shared" si="108"/>
        <v>0.11547067766337388</v>
      </c>
      <c r="Q158" s="154">
        <f t="shared" si="108"/>
        <v>0.12112848272397933</v>
      </c>
      <c r="R158" s="154">
        <f t="shared" si="108"/>
        <v>9.9826447115691705E-2</v>
      </c>
      <c r="S158" s="154">
        <f t="shared" si="108"/>
        <v>9.8873512746783951E-2</v>
      </c>
      <c r="T158" s="154">
        <f t="shared" si="108"/>
        <v>9.8703068239800115E-2</v>
      </c>
      <c r="U158" s="154">
        <f t="shared" si="108"/>
        <v>9.7396773915398513E-2</v>
      </c>
      <c r="V158" s="154">
        <f t="shared" si="108"/>
        <v>0.10081858939391965</v>
      </c>
      <c r="W158" s="154">
        <f t="shared" ref="W158:Y158" si="109">IF(W43=0,0,W43/W$17)</f>
        <v>9.6431882687892032E-2</v>
      </c>
      <c r="X158" s="154">
        <f t="shared" si="109"/>
        <v>9.4966798513786005E-2</v>
      </c>
      <c r="Y158" s="154">
        <f t="shared" si="109"/>
        <v>9.4442807372294379E-2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7.9167078873157801E-3</v>
      </c>
      <c r="C159" s="103">
        <f t="shared" si="110"/>
        <v>8.1186477681735349E-3</v>
      </c>
      <c r="D159" s="103">
        <f t="shared" si="110"/>
        <v>8.6674824950772091E-3</v>
      </c>
      <c r="E159" s="103">
        <f t="shared" si="110"/>
        <v>7.6273755972811903E-3</v>
      </c>
      <c r="F159" s="103">
        <f t="shared" si="110"/>
        <v>7.5543318088249394E-3</v>
      </c>
      <c r="G159" s="103">
        <f t="shared" si="110"/>
        <v>7.6623552473811226E-3</v>
      </c>
      <c r="H159" s="103">
        <f t="shared" si="110"/>
        <v>8.5267486789139223E-3</v>
      </c>
      <c r="I159" s="103">
        <f t="shared" si="110"/>
        <v>9.1841056640359284E-3</v>
      </c>
      <c r="J159" s="103">
        <f t="shared" si="110"/>
        <v>1.0269357523592695E-2</v>
      </c>
      <c r="K159" s="103">
        <f t="shared" si="110"/>
        <v>1.0133398898463422E-2</v>
      </c>
      <c r="L159" s="103">
        <f t="shared" ref="L159" si="111">IF(L44=0,0,L44/L$17)</f>
        <v>1.0533403408857557E-2</v>
      </c>
      <c r="M159" s="103">
        <f t="shared" ref="M159:V159" si="112">IF(M44=0,0,M44/M$17)</f>
        <v>1.0230360968342671E-2</v>
      </c>
      <c r="N159" s="103">
        <f t="shared" si="112"/>
        <v>1.0097807123150832E-2</v>
      </c>
      <c r="O159" s="103">
        <f t="shared" si="112"/>
        <v>1.0271681573612107E-2</v>
      </c>
      <c r="P159" s="103">
        <f t="shared" si="112"/>
        <v>1.0282498817156118E-2</v>
      </c>
      <c r="Q159" s="103">
        <f t="shared" si="112"/>
        <v>1.0431415227696205E-2</v>
      </c>
      <c r="R159" s="103">
        <f t="shared" si="112"/>
        <v>1.0200810609196158E-2</v>
      </c>
      <c r="S159" s="103">
        <f t="shared" si="112"/>
        <v>9.8644994530679292E-3</v>
      </c>
      <c r="T159" s="103">
        <f t="shared" si="112"/>
        <v>9.7865097970004505E-3</v>
      </c>
      <c r="U159" s="103">
        <f t="shared" si="112"/>
        <v>9.6212368207456607E-3</v>
      </c>
      <c r="V159" s="103">
        <f t="shared" si="112"/>
        <v>1.0126895157835212E-2</v>
      </c>
      <c r="W159" s="103">
        <f t="shared" ref="W159:Y159" si="113">IF(W44=0,0,W44/W$17)</f>
        <v>9.4581375459807295E-3</v>
      </c>
      <c r="X159" s="103">
        <f t="shared" si="113"/>
        <v>9.237266587860244E-3</v>
      </c>
      <c r="Y159" s="103">
        <f t="shared" si="113"/>
        <v>9.1130926604285154E-3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3.1610052931911471E-2</v>
      </c>
      <c r="C160" s="103">
        <f t="shared" si="114"/>
        <v>3.2533701597774668E-2</v>
      </c>
      <c r="D160" s="103">
        <f t="shared" si="114"/>
        <v>3.6158303134459925E-2</v>
      </c>
      <c r="E160" s="103">
        <f t="shared" si="114"/>
        <v>3.7999399220846684E-2</v>
      </c>
      <c r="F160" s="103">
        <f t="shared" si="114"/>
        <v>4.3082330445521927E-2</v>
      </c>
      <c r="G160" s="103">
        <f t="shared" si="114"/>
        <v>4.8533498585451959E-2</v>
      </c>
      <c r="H160" s="103">
        <f t="shared" si="114"/>
        <v>5.4106067349873825E-2</v>
      </c>
      <c r="I160" s="103">
        <f t="shared" si="114"/>
        <v>5.8898006593852761E-2</v>
      </c>
      <c r="J160" s="103">
        <f t="shared" si="114"/>
        <v>7.1581928933078603E-2</v>
      </c>
      <c r="K160" s="103">
        <f t="shared" si="114"/>
        <v>7.4434756302402288E-2</v>
      </c>
      <c r="L160" s="103">
        <f t="shared" ref="L160" si="115">IF(L46=0,0,L46/L$17)</f>
        <v>8.4351512159197867E-2</v>
      </c>
      <c r="M160" s="103">
        <f t="shared" ref="M160:V160" si="116">IF(M46=0,0,M46/M$17)</f>
        <v>8.65898774201556E-2</v>
      </c>
      <c r="N160" s="103">
        <f t="shared" si="116"/>
        <v>8.9863037052639566E-2</v>
      </c>
      <c r="O160" s="103">
        <f t="shared" si="116"/>
        <v>9.4553486597686892E-2</v>
      </c>
      <c r="P160" s="103">
        <f t="shared" si="116"/>
        <v>0.10241754667369204</v>
      </c>
      <c r="Q160" s="103">
        <f t="shared" si="116"/>
        <v>0.1075439259150083</v>
      </c>
      <c r="R160" s="103">
        <f t="shared" si="116"/>
        <v>8.5831344728649353E-2</v>
      </c>
      <c r="S160" s="103">
        <f t="shared" si="116"/>
        <v>8.4871626740473646E-2</v>
      </c>
      <c r="T160" s="103">
        <f t="shared" si="116"/>
        <v>8.4492364823304564E-2</v>
      </c>
      <c r="U160" s="103">
        <f t="shared" si="116"/>
        <v>8.3249835364215111E-2</v>
      </c>
      <c r="V160" s="103">
        <f t="shared" si="116"/>
        <v>8.6087944689012055E-2</v>
      </c>
      <c r="W160" s="103">
        <f t="shared" ref="W160:Y160" si="117">IF(W46=0,0,W46/W$17)</f>
        <v>8.2347411902277817E-2</v>
      </c>
      <c r="X160" s="103">
        <f t="shared" si="117"/>
        <v>8.140763499919472E-2</v>
      </c>
      <c r="Y160" s="103">
        <f t="shared" si="117"/>
        <v>8.1625862579270139E-2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2.964803923270175E-3</v>
      </c>
      <c r="C161" s="103">
        <f t="shared" si="118"/>
        <v>2.7723909866428998E-3</v>
      </c>
      <c r="D161" s="103">
        <f t="shared" si="118"/>
        <v>2.6244676483917406E-3</v>
      </c>
      <c r="E161" s="103">
        <f t="shared" si="118"/>
        <v>2.2823299343130332E-3</v>
      </c>
      <c r="F161" s="103">
        <f t="shared" si="118"/>
        <v>2.187979896067835E-3</v>
      </c>
      <c r="G161" s="103">
        <f t="shared" si="118"/>
        <v>2.014879607633969E-3</v>
      </c>
      <c r="H161" s="103">
        <f t="shared" si="118"/>
        <v>1.9640423230474196E-3</v>
      </c>
      <c r="I161" s="103">
        <f t="shared" si="118"/>
        <v>1.9083485201512166E-3</v>
      </c>
      <c r="J161" s="103">
        <f t="shared" si="118"/>
        <v>1.8315059599324586E-3</v>
      </c>
      <c r="K161" s="103">
        <f t="shared" si="118"/>
        <v>1.8519325824169141E-3</v>
      </c>
      <c r="L161" s="103">
        <f t="shared" ref="L161" si="119">IF(L48=0,0,L48/L$17)</f>
        <v>1.8663240837575171E-3</v>
      </c>
      <c r="M161" s="103">
        <f t="shared" ref="M161:V161" si="120">IF(M48=0,0,M48/M$17)</f>
        <v>1.8510938473395792E-3</v>
      </c>
      <c r="N161" s="103">
        <f t="shared" si="120"/>
        <v>2.0784128882839455E-3</v>
      </c>
      <c r="O161" s="103">
        <f t="shared" si="120"/>
        <v>2.1981896766016663E-3</v>
      </c>
      <c r="P161" s="103">
        <f t="shared" si="120"/>
        <v>2.377607722739743E-3</v>
      </c>
      <c r="Q161" s="103">
        <f t="shared" si="120"/>
        <v>2.2803835776274528E-3</v>
      </c>
      <c r="R161" s="103">
        <f t="shared" si="120"/>
        <v>2.3683154491336293E-3</v>
      </c>
      <c r="S161" s="103">
        <f t="shared" si="120"/>
        <v>2.2439863635710594E-3</v>
      </c>
      <c r="T161" s="103">
        <f t="shared" si="120"/>
        <v>2.1693229668995305E-3</v>
      </c>
      <c r="U161" s="103">
        <f t="shared" si="120"/>
        <v>1.9422107114167306E-3</v>
      </c>
      <c r="V161" s="103">
        <f t="shared" si="120"/>
        <v>1.8468310638374323E-3</v>
      </c>
      <c r="W161" s="103">
        <f t="shared" ref="W161:Y161" si="121">IF(W48=0,0,W48/W$17)</f>
        <v>1.5551214976847149E-3</v>
      </c>
      <c r="X161" s="103">
        <f t="shared" si="121"/>
        <v>1.3288593894112844E-3</v>
      </c>
      <c r="Y161" s="103">
        <f t="shared" si="121"/>
        <v>1.0981261815882965E-3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0</v>
      </c>
      <c r="D162" s="103">
        <f t="shared" si="122"/>
        <v>0</v>
      </c>
      <c r="E162" s="103">
        <f t="shared" si="122"/>
        <v>0</v>
      </c>
      <c r="F162" s="103">
        <f t="shared" si="122"/>
        <v>0</v>
      </c>
      <c r="G162" s="103">
        <f t="shared" si="122"/>
        <v>0</v>
      </c>
      <c r="H162" s="103">
        <f t="shared" si="122"/>
        <v>0</v>
      </c>
      <c r="I162" s="103">
        <f t="shared" si="122"/>
        <v>0</v>
      </c>
      <c r="J162" s="103">
        <f t="shared" si="122"/>
        <v>0</v>
      </c>
      <c r="K162" s="103">
        <f t="shared" si="122"/>
        <v>0</v>
      </c>
      <c r="L162" s="103">
        <f t="shared" ref="L162" si="123">IF(L49=0,0,L49/L$17)</f>
        <v>0</v>
      </c>
      <c r="M162" s="103">
        <f t="shared" ref="M162:V162" si="124">IF(M49=0,0,M49/M$17)</f>
        <v>0</v>
      </c>
      <c r="N162" s="103">
        <f t="shared" si="124"/>
        <v>9.075288322617571E-5</v>
      </c>
      <c r="O162" s="103">
        <f t="shared" si="124"/>
        <v>1.633691619573297E-4</v>
      </c>
      <c r="P162" s="103">
        <f t="shared" si="124"/>
        <v>3.9008100799494473E-4</v>
      </c>
      <c r="Q162" s="103">
        <f t="shared" si="124"/>
        <v>8.6935826118413734E-4</v>
      </c>
      <c r="R162" s="103">
        <f t="shared" si="124"/>
        <v>1.422119965052996E-3</v>
      </c>
      <c r="S162" s="103">
        <f t="shared" si="124"/>
        <v>1.8888416758648015E-3</v>
      </c>
      <c r="T162" s="103">
        <f t="shared" si="124"/>
        <v>2.248161434709827E-3</v>
      </c>
      <c r="U162" s="103">
        <f t="shared" si="124"/>
        <v>2.5717437012752341E-3</v>
      </c>
      <c r="V162" s="103">
        <f t="shared" si="124"/>
        <v>2.7409338623128211E-3</v>
      </c>
      <c r="W162" s="103">
        <f t="shared" ref="W162:Y162" si="125">IF(W49=0,0,W49/W$17)</f>
        <v>3.0411371177124997E-3</v>
      </c>
      <c r="X162" s="103">
        <f t="shared" si="125"/>
        <v>2.9567508643651851E-3</v>
      </c>
      <c r="Y162" s="103">
        <f t="shared" si="125"/>
        <v>2.5492869659829859E-3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0</v>
      </c>
      <c r="C163" s="103">
        <f t="shared" si="126"/>
        <v>0</v>
      </c>
      <c r="D163" s="103">
        <f t="shared" si="126"/>
        <v>0</v>
      </c>
      <c r="E163" s="103">
        <f t="shared" si="126"/>
        <v>0</v>
      </c>
      <c r="F163" s="103">
        <f t="shared" si="126"/>
        <v>0</v>
      </c>
      <c r="G163" s="103">
        <f t="shared" si="126"/>
        <v>0</v>
      </c>
      <c r="H163" s="103">
        <f t="shared" si="126"/>
        <v>0</v>
      </c>
      <c r="I163" s="103">
        <f t="shared" si="126"/>
        <v>0</v>
      </c>
      <c r="J163" s="103">
        <f t="shared" si="126"/>
        <v>1.1332228174395229E-6</v>
      </c>
      <c r="K163" s="103">
        <f t="shared" si="126"/>
        <v>1.208112059502991E-6</v>
      </c>
      <c r="L163" s="103">
        <f t="shared" ref="L163" si="127">IF(L51=0,0,L51/L$17)</f>
        <v>1.401739900750713E-6</v>
      </c>
      <c r="M163" s="103">
        <f t="shared" ref="M163:V163" si="128">IF(M51=0,0,M51/M$17)</f>
        <v>1.5279400780628246E-6</v>
      </c>
      <c r="N163" s="103">
        <f t="shared" si="128"/>
        <v>2.2404099825685778E-6</v>
      </c>
      <c r="O163" s="103">
        <f t="shared" si="128"/>
        <v>2.665637672999638E-6</v>
      </c>
      <c r="P163" s="103">
        <f t="shared" si="128"/>
        <v>2.9434417910280662E-6</v>
      </c>
      <c r="Q163" s="103">
        <f t="shared" si="128"/>
        <v>3.3997424632366617E-6</v>
      </c>
      <c r="R163" s="103">
        <f t="shared" si="128"/>
        <v>3.856363659564841E-6</v>
      </c>
      <c r="S163" s="103">
        <f t="shared" si="128"/>
        <v>4.5585138065394134E-6</v>
      </c>
      <c r="T163" s="103">
        <f t="shared" si="128"/>
        <v>6.7092178857423215E-6</v>
      </c>
      <c r="U163" s="103">
        <f t="shared" si="128"/>
        <v>1.1747317745776401E-5</v>
      </c>
      <c r="V163" s="103">
        <f t="shared" si="128"/>
        <v>1.5984620922125817E-5</v>
      </c>
      <c r="W163" s="103">
        <f t="shared" ref="W163:Y163" si="129">IF(W51=0,0,W51/W$17)</f>
        <v>3.0074624236265486E-5</v>
      </c>
      <c r="X163" s="103">
        <f t="shared" si="129"/>
        <v>3.6286672954573337E-5</v>
      </c>
      <c r="Y163" s="103">
        <f t="shared" si="129"/>
        <v>5.6438985024417139E-5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0.22238127638211794</v>
      </c>
      <c r="C164" s="156">
        <f t="shared" si="130"/>
        <v>0.22948039076225041</v>
      </c>
      <c r="D164" s="156">
        <f t="shared" si="130"/>
        <v>0.23921184760712924</v>
      </c>
      <c r="E164" s="156">
        <f t="shared" si="130"/>
        <v>0.25577892465364438</v>
      </c>
      <c r="F164" s="156">
        <f t="shared" si="130"/>
        <v>0.26868243335627784</v>
      </c>
      <c r="G164" s="156">
        <f t="shared" si="130"/>
        <v>0.2906688057624483</v>
      </c>
      <c r="H164" s="156">
        <f t="shared" si="130"/>
        <v>0.29754273284890315</v>
      </c>
      <c r="I164" s="156">
        <f t="shared" si="130"/>
        <v>0.30151395531622532</v>
      </c>
      <c r="J164" s="156">
        <f t="shared" si="130"/>
        <v>0.28742792483706159</v>
      </c>
      <c r="K164" s="156">
        <f t="shared" si="130"/>
        <v>0.26710416045912128</v>
      </c>
      <c r="L164" s="156">
        <f t="shared" ref="L164" si="131">IF(L52=0,0,L52/L$17)</f>
        <v>0.25718373505356418</v>
      </c>
      <c r="M164" s="156">
        <f t="shared" ref="M164:V164" si="132">IF(M52=0,0,M52/M$17)</f>
        <v>0.25435441705137557</v>
      </c>
      <c r="N164" s="156">
        <f t="shared" si="132"/>
        <v>0.25164949794318969</v>
      </c>
      <c r="O164" s="156">
        <f t="shared" si="132"/>
        <v>0.24076138135187375</v>
      </c>
      <c r="P164" s="156">
        <f t="shared" si="132"/>
        <v>0.2447439163438215</v>
      </c>
      <c r="Q164" s="156">
        <f t="shared" si="132"/>
        <v>0.25740440698004813</v>
      </c>
      <c r="R164" s="156">
        <f t="shared" si="132"/>
        <v>0.2711987599018888</v>
      </c>
      <c r="S164" s="156">
        <f t="shared" si="132"/>
        <v>0.27161564581104675</v>
      </c>
      <c r="T164" s="156">
        <f t="shared" si="132"/>
        <v>0.26790509304815935</v>
      </c>
      <c r="U164" s="156">
        <f t="shared" si="132"/>
        <v>0.26257659034749958</v>
      </c>
      <c r="V164" s="156">
        <f t="shared" si="132"/>
        <v>0.26330104894246703</v>
      </c>
      <c r="W164" s="156">
        <f t="shared" ref="W164:Y164" si="133">IF(W52=0,0,W52/W$17)</f>
        <v>0.28358736914350385</v>
      </c>
      <c r="X164" s="156">
        <f t="shared" si="133"/>
        <v>0.27958843580457926</v>
      </c>
      <c r="Y164" s="156">
        <f t="shared" si="133"/>
        <v>0.27616228312035701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0.12168420708430401</v>
      </c>
      <c r="C165" s="104">
        <f t="shared" si="134"/>
        <v>0.13303039386387452</v>
      </c>
      <c r="D165" s="104">
        <f t="shared" si="134"/>
        <v>0.14402948183745889</v>
      </c>
      <c r="E165" s="104">
        <f t="shared" si="134"/>
        <v>0.15137928137994275</v>
      </c>
      <c r="F165" s="104">
        <f t="shared" si="134"/>
        <v>0.15738436837888362</v>
      </c>
      <c r="G165" s="104">
        <f t="shared" si="134"/>
        <v>0.17047075462209776</v>
      </c>
      <c r="H165" s="104">
        <f t="shared" si="134"/>
        <v>0.15850567825834649</v>
      </c>
      <c r="I165" s="104">
        <f t="shared" si="134"/>
        <v>0.14903880166530262</v>
      </c>
      <c r="J165" s="104">
        <f t="shared" si="134"/>
        <v>0.14207585381263937</v>
      </c>
      <c r="K165" s="104">
        <f t="shared" si="134"/>
        <v>0.1198763114835661</v>
      </c>
      <c r="L165" s="104">
        <f t="shared" ref="L165" si="135">IF(L53=0,0,L53/L$17)</f>
        <v>0.12287728160564589</v>
      </c>
      <c r="M165" s="104">
        <f t="shared" ref="M165:V165" si="136">IF(M53=0,0,M53/M$17)</f>
        <v>0.12051052747504228</v>
      </c>
      <c r="N165" s="104">
        <f t="shared" si="136"/>
        <v>0.11649139187822921</v>
      </c>
      <c r="O165" s="104">
        <f t="shared" si="136"/>
        <v>0.11985912755605484</v>
      </c>
      <c r="P165" s="104">
        <f t="shared" si="136"/>
        <v>0.12485003979804815</v>
      </c>
      <c r="Q165" s="104">
        <f t="shared" si="136"/>
        <v>0.14233492378481505</v>
      </c>
      <c r="R165" s="104">
        <f t="shared" si="136"/>
        <v>0.14180435173646405</v>
      </c>
      <c r="S165" s="104">
        <f t="shared" si="136"/>
        <v>0.14463746342539435</v>
      </c>
      <c r="T165" s="104">
        <f t="shared" si="136"/>
        <v>0.14878796440969919</v>
      </c>
      <c r="U165" s="104">
        <f t="shared" si="136"/>
        <v>0.14722544224337422</v>
      </c>
      <c r="V165" s="104">
        <f t="shared" si="136"/>
        <v>0.16718210459604349</v>
      </c>
      <c r="W165" s="104">
        <f t="shared" ref="W165:Y165" si="137">IF(W53=0,0,W53/W$17)</f>
        <v>0.17215506379918288</v>
      </c>
      <c r="X165" s="104">
        <f t="shared" si="137"/>
        <v>0.16262269424024547</v>
      </c>
      <c r="Y165" s="104">
        <f t="shared" si="137"/>
        <v>0.16049722755488058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0.10069706929781391</v>
      </c>
      <c r="C166" s="105">
        <f t="shared" si="138"/>
        <v>9.6449996898375898E-2</v>
      </c>
      <c r="D166" s="105">
        <f t="shared" si="138"/>
        <v>9.518236576967036E-2</v>
      </c>
      <c r="E166" s="105">
        <f t="shared" si="138"/>
        <v>0.10439964327370166</v>
      </c>
      <c r="F166" s="105">
        <f t="shared" si="138"/>
        <v>0.11129806497739421</v>
      </c>
      <c r="G166" s="105">
        <f t="shared" si="138"/>
        <v>0.12019805114035051</v>
      </c>
      <c r="H166" s="105">
        <f t="shared" si="138"/>
        <v>0.13903705459055665</v>
      </c>
      <c r="I166" s="105">
        <f t="shared" si="138"/>
        <v>0.15247515365092268</v>
      </c>
      <c r="J166" s="105">
        <f t="shared" si="138"/>
        <v>0.14535207102442219</v>
      </c>
      <c r="K166" s="105">
        <f t="shared" si="138"/>
        <v>0.14722784897555519</v>
      </c>
      <c r="L166" s="105">
        <f t="shared" ref="L166" si="139">IF(L55=0,0,L55/L$17)</f>
        <v>0.13430645344791831</v>
      </c>
      <c r="M166" s="105">
        <f t="shared" ref="M166:V166" si="140">IF(M55=0,0,M55/M$17)</f>
        <v>0.13384388957633331</v>
      </c>
      <c r="N166" s="105">
        <f t="shared" si="140"/>
        <v>0.13515810606496045</v>
      </c>
      <c r="O166" s="105">
        <f t="shared" si="140"/>
        <v>0.12090225379581893</v>
      </c>
      <c r="P166" s="105">
        <f t="shared" si="140"/>
        <v>0.11989387654577333</v>
      </c>
      <c r="Q166" s="105">
        <f t="shared" si="140"/>
        <v>0.11506948319523309</v>
      </c>
      <c r="R166" s="105">
        <f t="shared" si="140"/>
        <v>0.12939440816542477</v>
      </c>
      <c r="S166" s="105">
        <f t="shared" si="140"/>
        <v>0.12697818238565242</v>
      </c>
      <c r="T166" s="105">
        <f t="shared" si="140"/>
        <v>0.11911712863846018</v>
      </c>
      <c r="U166" s="105">
        <f t="shared" si="140"/>
        <v>0.11535114810412536</v>
      </c>
      <c r="V166" s="105">
        <f t="shared" si="140"/>
        <v>9.611894434642354E-2</v>
      </c>
      <c r="W166" s="105">
        <f t="shared" ref="W166:Y166" si="141">IF(W55=0,0,W55/W$17)</f>
        <v>0.11143230534432094</v>
      </c>
      <c r="X166" s="105">
        <f t="shared" si="141"/>
        <v>0.1169657415643338</v>
      </c>
      <c r="Y166" s="105">
        <f t="shared" si="141"/>
        <v>0.11566505556547642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11272.270563720002</v>
      </c>
      <c r="C4" s="146">
        <f t="shared" si="0"/>
        <v>12005.156290680003</v>
      </c>
      <c r="D4" s="146">
        <f t="shared" si="0"/>
        <v>12602.579913719996</v>
      </c>
      <c r="E4" s="146">
        <f t="shared" si="0"/>
        <v>14345.611690680003</v>
      </c>
      <c r="F4" s="146">
        <f t="shared" si="0"/>
        <v>15093.4577472</v>
      </c>
      <c r="G4" s="146">
        <f t="shared" si="0"/>
        <v>16388.638429319999</v>
      </c>
      <c r="H4" s="146">
        <f t="shared" si="0"/>
        <v>17022.512517480001</v>
      </c>
      <c r="I4" s="146">
        <f t="shared" si="0"/>
        <v>17872.474067280004</v>
      </c>
      <c r="J4" s="146">
        <f t="shared" si="0"/>
        <v>17665.48393128</v>
      </c>
      <c r="K4" s="146">
        <f t="shared" si="0"/>
        <v>17175.703586039996</v>
      </c>
      <c r="L4" s="146">
        <f t="shared" ref="L4" si="1">L5+L9+L10+L15</f>
        <v>16180.019957520002</v>
      </c>
      <c r="M4" s="146">
        <f t="shared" ref="M4:V4" si="2">M5+M9+M10+M15</f>
        <v>16018.896805920003</v>
      </c>
      <c r="N4" s="146">
        <f t="shared" si="2"/>
        <v>15806.690902439999</v>
      </c>
      <c r="O4" s="146">
        <f t="shared" si="2"/>
        <v>15687.454208400002</v>
      </c>
      <c r="P4" s="146">
        <f t="shared" si="2"/>
        <v>16221.697889399999</v>
      </c>
      <c r="Q4" s="146">
        <f t="shared" si="2"/>
        <v>16987.177420559998</v>
      </c>
      <c r="R4" s="146">
        <f t="shared" si="2"/>
        <v>17718.670070280001</v>
      </c>
      <c r="S4" s="146">
        <f t="shared" si="2"/>
        <v>18215.053236000003</v>
      </c>
      <c r="T4" s="146">
        <f t="shared" si="2"/>
        <v>18408.836756520002</v>
      </c>
      <c r="U4" s="146">
        <f t="shared" si="2"/>
        <v>18605.107846800001</v>
      </c>
      <c r="V4" s="146">
        <f t="shared" si="2"/>
        <v>17326.828740342968</v>
      </c>
      <c r="W4" s="146">
        <f t="shared" ref="W4:Y4" si="3">W5+W9+W10+W15</f>
        <v>18706.821577079088</v>
      </c>
      <c r="X4" s="146">
        <f t="shared" si="3"/>
        <v>19184.866040727225</v>
      </c>
      <c r="Y4" s="146">
        <f t="shared" si="3"/>
        <v>19684.337103717295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11262.727953720001</v>
      </c>
      <c r="C5" s="101">
        <f t="shared" si="4"/>
        <v>11993.644570680002</v>
      </c>
      <c r="D5" s="101">
        <f t="shared" si="4"/>
        <v>12587.230953719996</v>
      </c>
      <c r="E5" s="101">
        <f t="shared" si="4"/>
        <v>14328.445090680003</v>
      </c>
      <c r="F5" s="101">
        <f t="shared" si="4"/>
        <v>15068.6166672</v>
      </c>
      <c r="G5" s="101">
        <f t="shared" si="4"/>
        <v>16367.533609319999</v>
      </c>
      <c r="H5" s="101">
        <f t="shared" si="4"/>
        <v>16994.13713748</v>
      </c>
      <c r="I5" s="101">
        <f t="shared" si="4"/>
        <v>17861.366267280002</v>
      </c>
      <c r="J5" s="101">
        <f t="shared" si="4"/>
        <v>17652.508001279999</v>
      </c>
      <c r="K5" s="101">
        <f t="shared" si="4"/>
        <v>17160.102176039996</v>
      </c>
      <c r="L5" s="101">
        <f t="shared" ref="L5" si="5">SUM(L6:L8)</f>
        <v>16159.722977520003</v>
      </c>
      <c r="M5" s="101">
        <f t="shared" ref="M5:V5" si="6">SUM(M6:M8)</f>
        <v>15994.813075920003</v>
      </c>
      <c r="N5" s="101">
        <f t="shared" si="6"/>
        <v>15777.406702439999</v>
      </c>
      <c r="O5" s="101">
        <f t="shared" si="6"/>
        <v>15655.544528400002</v>
      </c>
      <c r="P5" s="101">
        <f t="shared" si="6"/>
        <v>16163.836349399999</v>
      </c>
      <c r="Q5" s="101">
        <f t="shared" si="6"/>
        <v>16903.010590559999</v>
      </c>
      <c r="R5" s="101">
        <f t="shared" si="6"/>
        <v>17603.501976359999</v>
      </c>
      <c r="S5" s="101">
        <f t="shared" si="6"/>
        <v>18084.031686000002</v>
      </c>
      <c r="T5" s="101">
        <f t="shared" si="6"/>
        <v>18266.098497120001</v>
      </c>
      <c r="U5" s="101">
        <f t="shared" si="6"/>
        <v>18428.030934480001</v>
      </c>
      <c r="V5" s="101">
        <f t="shared" si="6"/>
        <v>17146.789876439998</v>
      </c>
      <c r="W5" s="101">
        <f t="shared" ref="W5:Y5" si="7">SUM(W6:W8)</f>
        <v>18514.696066559998</v>
      </c>
      <c r="X5" s="101">
        <f t="shared" si="7"/>
        <v>19006.843007160001</v>
      </c>
      <c r="Y5" s="101">
        <f t="shared" si="7"/>
        <v>19503.426657240001</v>
      </c>
      <c r="DA5" s="175"/>
    </row>
    <row r="6" spans="1:105" ht="11.45" customHeight="1" x14ac:dyDescent="0.25">
      <c r="A6" s="128" t="s">
        <v>52</v>
      </c>
      <c r="B6" s="101">
        <v>179.96114952000002</v>
      </c>
      <c r="C6" s="101">
        <v>176.18938488000001</v>
      </c>
      <c r="D6" s="101">
        <v>179.06273172000004</v>
      </c>
      <c r="E6" s="101">
        <v>181.97537724000003</v>
      </c>
      <c r="F6" s="101">
        <v>190.24127532</v>
      </c>
      <c r="G6" s="101">
        <v>195.83645328000003</v>
      </c>
      <c r="H6" s="101">
        <v>208.09218959999998</v>
      </c>
      <c r="I6" s="101">
        <v>222.54297300000002</v>
      </c>
      <c r="J6" s="101">
        <v>215.70273108000001</v>
      </c>
      <c r="K6" s="101">
        <v>221.18819076000003</v>
      </c>
      <c r="L6" s="101">
        <v>212.91797664000001</v>
      </c>
      <c r="M6" s="101">
        <v>215.64366948000003</v>
      </c>
      <c r="N6" s="101">
        <v>237.68500428000004</v>
      </c>
      <c r="O6" s="101">
        <v>245.97634428000003</v>
      </c>
      <c r="P6" s="101">
        <v>270.85036428000012</v>
      </c>
      <c r="Q6" s="101">
        <v>273.61422000000005</v>
      </c>
      <c r="R6" s="101">
        <v>273.61422000000005</v>
      </c>
      <c r="S6" s="101">
        <v>265.32288000000005</v>
      </c>
      <c r="T6" s="101">
        <v>254.26768428000005</v>
      </c>
      <c r="U6" s="101">
        <v>243.21271572000001</v>
      </c>
      <c r="V6" s="101">
        <v>204.51964427999999</v>
      </c>
      <c r="W6" s="101">
        <v>207.2835</v>
      </c>
      <c r="X6" s="101">
        <v>234.92137571999999</v>
      </c>
      <c r="Y6" s="101">
        <v>245.97634428000003</v>
      </c>
      <c r="DA6" s="175" t="s">
        <v>741</v>
      </c>
    </row>
    <row r="7" spans="1:105" ht="11.45" customHeight="1" x14ac:dyDescent="0.25">
      <c r="A7" s="128" t="s">
        <v>53</v>
      </c>
      <c r="B7" s="101">
        <v>5575.2819922800008</v>
      </c>
      <c r="C7" s="101">
        <v>5704.3118008800011</v>
      </c>
      <c r="D7" s="101">
        <v>5779.3289399999985</v>
      </c>
      <c r="E7" s="101">
        <v>6301.4489168400014</v>
      </c>
      <c r="F7" s="101">
        <v>6277.4434522799993</v>
      </c>
      <c r="G7" s="101">
        <v>6166.4178668399991</v>
      </c>
      <c r="H7" s="101">
        <v>6103.4014641599988</v>
      </c>
      <c r="I7" s="101">
        <v>6368.143403160002</v>
      </c>
      <c r="J7" s="101">
        <v>6124.6940831999991</v>
      </c>
      <c r="K7" s="101">
        <v>5968.2371918399995</v>
      </c>
      <c r="L7" s="101">
        <v>5419.7783640000016</v>
      </c>
      <c r="M7" s="101">
        <v>5210.7138745200009</v>
      </c>
      <c r="N7" s="101">
        <v>4856.943500639999</v>
      </c>
      <c r="O7" s="101">
        <v>4566.6208803600011</v>
      </c>
      <c r="P7" s="101">
        <v>4520.2757291999988</v>
      </c>
      <c r="Q7" s="101">
        <v>4556.598769799999</v>
      </c>
      <c r="R7" s="101">
        <v>4692.9263673599989</v>
      </c>
      <c r="S7" s="101">
        <v>4643.0722800000012</v>
      </c>
      <c r="T7" s="101">
        <v>4646.4185552400004</v>
      </c>
      <c r="U7" s="101">
        <v>4647.0355192799989</v>
      </c>
      <c r="V7" s="101">
        <v>4224.3719918399993</v>
      </c>
      <c r="W7" s="101">
        <v>4395.6312800399992</v>
      </c>
      <c r="X7" s="101">
        <v>4592.76813072</v>
      </c>
      <c r="Y7" s="101">
        <v>4874.2803648000008</v>
      </c>
      <c r="DA7" s="175" t="s">
        <v>742</v>
      </c>
    </row>
    <row r="8" spans="1:105" ht="11.45" customHeight="1" x14ac:dyDescent="0.25">
      <c r="A8" s="128" t="s">
        <v>54</v>
      </c>
      <c r="B8" s="101">
        <v>5507.4848119200005</v>
      </c>
      <c r="C8" s="101">
        <v>6113.1433849200012</v>
      </c>
      <c r="D8" s="101">
        <v>6628.8392819999981</v>
      </c>
      <c r="E8" s="101">
        <v>7845.0207966000016</v>
      </c>
      <c r="F8" s="101">
        <v>8600.931939600001</v>
      </c>
      <c r="G8" s="101">
        <v>10005.2792892</v>
      </c>
      <c r="H8" s="101">
        <v>10682.643483720001</v>
      </c>
      <c r="I8" s="101">
        <v>11270.67989112</v>
      </c>
      <c r="J8" s="101">
        <v>11312.111187</v>
      </c>
      <c r="K8" s="101">
        <v>10970.676793439998</v>
      </c>
      <c r="L8" s="101">
        <v>10527.02663688</v>
      </c>
      <c r="M8" s="101">
        <v>10568.455531920001</v>
      </c>
      <c r="N8" s="101">
        <v>10682.778197520001</v>
      </c>
      <c r="O8" s="101">
        <v>10842.94730376</v>
      </c>
      <c r="P8" s="101">
        <v>11372.710255919999</v>
      </c>
      <c r="Q8" s="101">
        <v>12072.797600760001</v>
      </c>
      <c r="R8" s="101">
        <v>12636.961389</v>
      </c>
      <c r="S8" s="101">
        <v>13175.636526</v>
      </c>
      <c r="T8" s="101">
        <v>13365.412257599999</v>
      </c>
      <c r="U8" s="101">
        <v>13537.782699480002</v>
      </c>
      <c r="V8" s="101">
        <v>12717.898240319999</v>
      </c>
      <c r="W8" s="101">
        <v>13911.781286520001</v>
      </c>
      <c r="X8" s="101">
        <v>14179.15350072</v>
      </c>
      <c r="Y8" s="101">
        <v>14383.169948159999</v>
      </c>
      <c r="DA8" s="175" t="s">
        <v>743</v>
      </c>
    </row>
    <row r="9" spans="1:105" ht="11.45" customHeight="1" x14ac:dyDescent="0.25">
      <c r="A9" s="92" t="s">
        <v>55</v>
      </c>
      <c r="B9" s="101">
        <v>9.5426100000000016</v>
      </c>
      <c r="C9" s="101">
        <v>11.51172</v>
      </c>
      <c r="D9" s="101">
        <v>15.348960000000002</v>
      </c>
      <c r="E9" s="101">
        <v>17.166599999999999</v>
      </c>
      <c r="F9" s="101">
        <v>24.841080000000005</v>
      </c>
      <c r="G9" s="101">
        <v>21.10482</v>
      </c>
      <c r="H9" s="101">
        <v>28.375379999999993</v>
      </c>
      <c r="I9" s="101">
        <v>11.107800000000001</v>
      </c>
      <c r="J9" s="101">
        <v>12.975930000000002</v>
      </c>
      <c r="K9" s="101">
        <v>15.601410000000001</v>
      </c>
      <c r="L9" s="101">
        <v>20.296980000000001</v>
      </c>
      <c r="M9" s="101">
        <v>24.083730000000003</v>
      </c>
      <c r="N9" s="101">
        <v>29.284200000000009</v>
      </c>
      <c r="O9" s="101">
        <v>31.909680000000005</v>
      </c>
      <c r="P9" s="101">
        <v>57.861540000000005</v>
      </c>
      <c r="Q9" s="101">
        <v>84.166830000000004</v>
      </c>
      <c r="R9" s="101">
        <v>115.16809392</v>
      </c>
      <c r="S9" s="101">
        <v>131.02154999999999</v>
      </c>
      <c r="T9" s="101">
        <v>142.7382594</v>
      </c>
      <c r="U9" s="101">
        <v>177.07691232000002</v>
      </c>
      <c r="V9" s="101">
        <v>180.03886390296807</v>
      </c>
      <c r="W9" s="101">
        <v>192.12551051908966</v>
      </c>
      <c r="X9" s="101">
        <v>178.02303356722416</v>
      </c>
      <c r="Y9" s="101">
        <v>180.91044647729484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11272.27056372</v>
      </c>
      <c r="C17" s="79">
        <f t="shared" si="12"/>
        <v>12005.156290680003</v>
      </c>
      <c r="D17" s="79">
        <f t="shared" si="12"/>
        <v>12602.579913719997</v>
      </c>
      <c r="E17" s="79">
        <f t="shared" si="12"/>
        <v>14345.611690680002</v>
      </c>
      <c r="F17" s="79">
        <f t="shared" si="12"/>
        <v>15093.457747200002</v>
      </c>
      <c r="G17" s="79">
        <f t="shared" si="12"/>
        <v>16388.638429319999</v>
      </c>
      <c r="H17" s="79">
        <f t="shared" si="12"/>
        <v>17022.512517479998</v>
      </c>
      <c r="I17" s="79">
        <f t="shared" si="12"/>
        <v>17872.474067280004</v>
      </c>
      <c r="J17" s="79">
        <f t="shared" si="12"/>
        <v>17665.483931279996</v>
      </c>
      <c r="K17" s="79">
        <f t="shared" si="12"/>
        <v>17175.703586039996</v>
      </c>
      <c r="L17" s="79">
        <f t="shared" ref="L17" si="13">SUM(L18,L33)</f>
        <v>16180.019957520002</v>
      </c>
      <c r="M17" s="79">
        <f t="shared" ref="M17:V17" si="14">SUM(M18,M33)</f>
        <v>16018.896805920001</v>
      </c>
      <c r="N17" s="79">
        <f t="shared" si="14"/>
        <v>15806.690902439997</v>
      </c>
      <c r="O17" s="79">
        <f t="shared" si="14"/>
        <v>15687.454208400002</v>
      </c>
      <c r="P17" s="79">
        <f t="shared" si="14"/>
        <v>16221.697889399999</v>
      </c>
      <c r="Q17" s="79">
        <f t="shared" si="14"/>
        <v>16987.177420560001</v>
      </c>
      <c r="R17" s="79">
        <f t="shared" si="14"/>
        <v>17718.670070279997</v>
      </c>
      <c r="S17" s="79">
        <f t="shared" si="14"/>
        <v>18215.053236000003</v>
      </c>
      <c r="T17" s="79">
        <f t="shared" si="14"/>
        <v>18408.836756520002</v>
      </c>
      <c r="U17" s="79">
        <f t="shared" si="14"/>
        <v>18605.107846800001</v>
      </c>
      <c r="V17" s="79">
        <f t="shared" si="14"/>
        <v>17326.828740342968</v>
      </c>
      <c r="W17" s="79">
        <f t="shared" ref="W17:Y17" si="15">SUM(W18,W33)</f>
        <v>18706.821577079092</v>
      </c>
      <c r="X17" s="79">
        <f t="shared" si="15"/>
        <v>19184.866040727225</v>
      </c>
      <c r="Y17" s="79">
        <f t="shared" si="15"/>
        <v>19684.337103717298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8229.7228133434874</v>
      </c>
      <c r="C18" s="32">
        <f t="shared" si="16"/>
        <v>8651.6884886555581</v>
      </c>
      <c r="D18" s="32">
        <f t="shared" si="16"/>
        <v>8918.6665652052488</v>
      </c>
      <c r="E18" s="32">
        <f t="shared" si="16"/>
        <v>9895.9856329853719</v>
      </c>
      <c r="F18" s="32">
        <f t="shared" si="16"/>
        <v>10114.84798616845</v>
      </c>
      <c r="G18" s="32">
        <f t="shared" si="16"/>
        <v>10512.740780801201</v>
      </c>
      <c r="H18" s="32">
        <f t="shared" si="16"/>
        <v>10702.207946746288</v>
      </c>
      <c r="I18" s="32">
        <f t="shared" si="16"/>
        <v>11078.321357046856</v>
      </c>
      <c r="J18" s="32">
        <f t="shared" si="16"/>
        <v>10953.380652184354</v>
      </c>
      <c r="K18" s="32">
        <f t="shared" si="16"/>
        <v>10971.066334211648</v>
      </c>
      <c r="L18" s="32">
        <f t="shared" ref="L18" si="17">SUM(L19,L20,L27)</f>
        <v>10350.12261071305</v>
      </c>
      <c r="M18" s="32">
        <f t="shared" ref="M18:V18" si="18">SUM(M19,M20,M27)</f>
        <v>10292.381699226025</v>
      </c>
      <c r="N18" s="32">
        <f t="shared" si="18"/>
        <v>10136.055220476424</v>
      </c>
      <c r="O18" s="32">
        <f t="shared" si="18"/>
        <v>10155.812613082337</v>
      </c>
      <c r="P18" s="32">
        <f t="shared" si="18"/>
        <v>10295.778804881222</v>
      </c>
      <c r="Q18" s="32">
        <f t="shared" si="18"/>
        <v>10457.501819431616</v>
      </c>
      <c r="R18" s="32">
        <f t="shared" si="18"/>
        <v>11060.932445420131</v>
      </c>
      <c r="S18" s="32">
        <f t="shared" si="18"/>
        <v>11370.595516028012</v>
      </c>
      <c r="T18" s="32">
        <f t="shared" si="18"/>
        <v>11559.492237269938</v>
      </c>
      <c r="U18" s="32">
        <f t="shared" si="18"/>
        <v>11802.626305890517</v>
      </c>
      <c r="V18" s="32">
        <f t="shared" si="18"/>
        <v>10941.894824171912</v>
      </c>
      <c r="W18" s="32">
        <f t="shared" ref="W18:Y18" si="19">SUM(W19,W20,W27)</f>
        <v>11510.144430952058</v>
      </c>
      <c r="X18" s="32">
        <f t="shared" si="19"/>
        <v>11890.548841014594</v>
      </c>
      <c r="Y18" s="32">
        <f t="shared" si="19"/>
        <v>12268.74119585207</v>
      </c>
      <c r="DA18" s="173" t="s">
        <v>403</v>
      </c>
    </row>
    <row r="19" spans="1:105" ht="11.45" customHeight="1" x14ac:dyDescent="0.25">
      <c r="A19" s="136" t="s">
        <v>173</v>
      </c>
      <c r="B19" s="141">
        <v>164.90711986526952</v>
      </c>
      <c r="C19" s="141">
        <v>156.72127053239714</v>
      </c>
      <c r="D19" s="141">
        <v>152.68008213847125</v>
      </c>
      <c r="E19" s="141">
        <v>152.04718440767337</v>
      </c>
      <c r="F19" s="141">
        <v>151.10492222563232</v>
      </c>
      <c r="G19" s="141">
        <v>155.48206420711165</v>
      </c>
      <c r="H19" s="141">
        <v>151.33226450885087</v>
      </c>
      <c r="I19" s="141">
        <v>156.12200051858929</v>
      </c>
      <c r="J19" s="141">
        <v>157.54081309648018</v>
      </c>
      <c r="K19" s="141">
        <v>156.65853813828977</v>
      </c>
      <c r="L19" s="141">
        <v>158.1656754672473</v>
      </c>
      <c r="M19" s="141">
        <v>159.46013444633374</v>
      </c>
      <c r="N19" s="141">
        <v>162.59353590182229</v>
      </c>
      <c r="O19" s="141">
        <v>161.90634147746923</v>
      </c>
      <c r="P19" s="141">
        <v>162.31232205109774</v>
      </c>
      <c r="Q19" s="141">
        <v>166.77788896795124</v>
      </c>
      <c r="R19" s="141">
        <v>171.43843736051994</v>
      </c>
      <c r="S19" s="141">
        <v>159.78169389421959</v>
      </c>
      <c r="T19" s="141">
        <v>150.8858424967826</v>
      </c>
      <c r="U19" s="141">
        <v>157.76737827996342</v>
      </c>
      <c r="V19" s="141">
        <v>140.28519079469501</v>
      </c>
      <c r="W19" s="141">
        <v>146.02015698977951</v>
      </c>
      <c r="X19" s="141">
        <v>148.08147080627157</v>
      </c>
      <c r="Y19" s="141">
        <v>157.04842640056441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6968.0687452632255</v>
      </c>
      <c r="C20" s="130">
        <f t="shared" si="20"/>
        <v>7271.2445227462595</v>
      </c>
      <c r="D20" s="130">
        <f t="shared" si="20"/>
        <v>7618.0165214406798</v>
      </c>
      <c r="E20" s="130">
        <f t="shared" si="20"/>
        <v>8688.1739823111384</v>
      </c>
      <c r="F20" s="130">
        <f t="shared" si="20"/>
        <v>8985.2405967904288</v>
      </c>
      <c r="G20" s="130">
        <f t="shared" si="20"/>
        <v>9386.7504166621038</v>
      </c>
      <c r="H20" s="130">
        <f t="shared" si="20"/>
        <v>9545.5098142555853</v>
      </c>
      <c r="I20" s="130">
        <f t="shared" si="20"/>
        <v>9915.7464606697231</v>
      </c>
      <c r="J20" s="130">
        <f t="shared" si="20"/>
        <v>9797.8176061262566</v>
      </c>
      <c r="K20" s="130">
        <f t="shared" si="20"/>
        <v>9822.2997269371281</v>
      </c>
      <c r="L20" s="130">
        <f t="shared" ref="L20" si="21">SUM(L21:L26)</f>
        <v>9171.0408851081247</v>
      </c>
      <c r="M20" s="130">
        <f t="shared" ref="M20:V20" si="22">SUM(M21:M26)</f>
        <v>9178.4420113811739</v>
      </c>
      <c r="N20" s="130">
        <f t="shared" si="22"/>
        <v>9039.8009994472613</v>
      </c>
      <c r="O20" s="130">
        <f t="shared" si="22"/>
        <v>9032.0465190849827</v>
      </c>
      <c r="P20" s="130">
        <f t="shared" si="22"/>
        <v>9152.9074965041564</v>
      </c>
      <c r="Q20" s="130">
        <f t="shared" si="22"/>
        <v>9334.1745540837019</v>
      </c>
      <c r="R20" s="130">
        <f t="shared" si="22"/>
        <v>9945.8444496631364</v>
      </c>
      <c r="S20" s="130">
        <f t="shared" si="22"/>
        <v>10227.07501699312</v>
      </c>
      <c r="T20" s="130">
        <f t="shared" si="22"/>
        <v>10396.040627228804</v>
      </c>
      <c r="U20" s="130">
        <f t="shared" si="22"/>
        <v>10632.902985968089</v>
      </c>
      <c r="V20" s="130">
        <f t="shared" si="22"/>
        <v>10051.746227656065</v>
      </c>
      <c r="W20" s="130">
        <f t="shared" ref="W20:Y20" si="23">SUM(W21:W26)</f>
        <v>10632.59018833542</v>
      </c>
      <c r="X20" s="130">
        <f t="shared" si="23"/>
        <v>10916.581091112785</v>
      </c>
      <c r="Y20" s="130">
        <f t="shared" si="23"/>
        <v>11293.98921120153</v>
      </c>
      <c r="DA20" s="176" t="s">
        <v>405</v>
      </c>
    </row>
    <row r="21" spans="1:105" ht="11.45" customHeight="1" x14ac:dyDescent="0.25">
      <c r="A21" s="111" t="s">
        <v>110</v>
      </c>
      <c r="B21" s="96">
        <v>5292.2901246244719</v>
      </c>
      <c r="C21" s="96">
        <v>5422.2143556746432</v>
      </c>
      <c r="D21" s="96">
        <v>5488.9331095240459</v>
      </c>
      <c r="E21" s="96">
        <v>6016.4670131323001</v>
      </c>
      <c r="F21" s="96">
        <v>5993.1616172879358</v>
      </c>
      <c r="G21" s="96">
        <v>5869.5808442344505</v>
      </c>
      <c r="H21" s="96">
        <v>5792.36970737505</v>
      </c>
      <c r="I21" s="96">
        <v>6033.8983117814751</v>
      </c>
      <c r="J21" s="96">
        <v>5774.1705910951814</v>
      </c>
      <c r="K21" s="96">
        <v>5626.4969435315252</v>
      </c>
      <c r="L21" s="96">
        <v>5078.8638229096314</v>
      </c>
      <c r="M21" s="96">
        <v>4874.7622318880885</v>
      </c>
      <c r="N21" s="96">
        <v>4524.2166745066115</v>
      </c>
      <c r="O21" s="96">
        <v>4233.0109596749944</v>
      </c>
      <c r="P21" s="96">
        <v>4181.199121224151</v>
      </c>
      <c r="Q21" s="96">
        <v>4204.6749044833978</v>
      </c>
      <c r="R21" s="96">
        <v>4331.1910357048364</v>
      </c>
      <c r="S21" s="96">
        <v>4295.3136189074003</v>
      </c>
      <c r="T21" s="96">
        <v>4308.3818795081279</v>
      </c>
      <c r="U21" s="96">
        <v>4304.2603099691723</v>
      </c>
      <c r="V21" s="96">
        <v>3903.1784675737658</v>
      </c>
      <c r="W21" s="96">
        <v>4067.8769486585902</v>
      </c>
      <c r="X21" s="96">
        <v>4262.1917831931478</v>
      </c>
      <c r="Y21" s="96">
        <v>4532.7474961443622</v>
      </c>
      <c r="DA21" s="171" t="s">
        <v>751</v>
      </c>
    </row>
    <row r="22" spans="1:105" ht="11.45" customHeight="1" x14ac:dyDescent="0.25">
      <c r="A22" s="111" t="s">
        <v>111</v>
      </c>
      <c r="B22" s="96">
        <v>1525.8975901424938</v>
      </c>
      <c r="C22" s="96">
        <v>1702.6042892338628</v>
      </c>
      <c r="D22" s="96">
        <v>1979.6743866823404</v>
      </c>
      <c r="E22" s="96">
        <v>2518.9634515205285</v>
      </c>
      <c r="F22" s="96">
        <v>2831.0852807162523</v>
      </c>
      <c r="G22" s="96">
        <v>3350.3197718965489</v>
      </c>
      <c r="H22" s="96">
        <v>3574.4446593801986</v>
      </c>
      <c r="I22" s="96">
        <v>3689.3345472620254</v>
      </c>
      <c r="J22" s="96">
        <v>3834.9372924603263</v>
      </c>
      <c r="K22" s="96">
        <v>4000.5112555482242</v>
      </c>
      <c r="L22" s="96">
        <v>3903.0609980214458</v>
      </c>
      <c r="M22" s="96">
        <v>4110.6587029332995</v>
      </c>
      <c r="N22" s="96">
        <v>4302.3261988455552</v>
      </c>
      <c r="O22" s="96">
        <v>4577.0564137680913</v>
      </c>
      <c r="P22" s="96">
        <v>4727.4922857040947</v>
      </c>
      <c r="Q22" s="96">
        <v>4879.2798259730662</v>
      </c>
      <c r="R22" s="96">
        <v>5359.5722221595624</v>
      </c>
      <c r="S22" s="96">
        <v>5679.4251134649403</v>
      </c>
      <c r="T22" s="96">
        <v>5839.9741452335829</v>
      </c>
      <c r="U22" s="96">
        <v>6085.2421028887693</v>
      </c>
      <c r="V22" s="96">
        <v>5940.6304045738616</v>
      </c>
      <c r="W22" s="96">
        <v>6347.4071470389108</v>
      </c>
      <c r="X22" s="96">
        <v>6404.5715162654187</v>
      </c>
      <c r="Y22" s="96">
        <v>6495.0425920585039</v>
      </c>
      <c r="DA22" s="171" t="s">
        <v>752</v>
      </c>
    </row>
    <row r="23" spans="1:105" ht="11.45" customHeight="1" x14ac:dyDescent="0.25">
      <c r="A23" s="111" t="s">
        <v>112</v>
      </c>
      <c r="B23" s="96">
        <v>149.88103049625954</v>
      </c>
      <c r="C23" s="96">
        <v>146.42587783775321</v>
      </c>
      <c r="D23" s="96">
        <v>149.40902523429332</v>
      </c>
      <c r="E23" s="96">
        <v>152.74351765830897</v>
      </c>
      <c r="F23" s="96">
        <v>160.9936987862402</v>
      </c>
      <c r="G23" s="96">
        <v>166.84980053110539</v>
      </c>
      <c r="H23" s="96">
        <v>178.69544750033643</v>
      </c>
      <c r="I23" s="96">
        <v>192.51360162622296</v>
      </c>
      <c r="J23" s="96">
        <v>186.84610146195769</v>
      </c>
      <c r="K23" s="96">
        <v>192.38157580826879</v>
      </c>
      <c r="L23" s="96">
        <v>185.3501796294004</v>
      </c>
      <c r="M23" s="96">
        <v>188.23854037790565</v>
      </c>
      <c r="N23" s="96">
        <v>207.45989434441032</v>
      </c>
      <c r="O23" s="96">
        <v>214.25676073598291</v>
      </c>
      <c r="P23" s="96">
        <v>235.19127770689124</v>
      </c>
      <c r="Q23" s="96">
        <v>238.02536415144326</v>
      </c>
      <c r="R23" s="96">
        <v>235.15011201115061</v>
      </c>
      <c r="S23" s="96">
        <v>227.85086984877418</v>
      </c>
      <c r="T23" s="96">
        <v>217.70004763568312</v>
      </c>
      <c r="U23" s="96">
        <v>209.96725755102244</v>
      </c>
      <c r="V23" s="96">
        <v>174.70309699508752</v>
      </c>
      <c r="W23" s="96">
        <v>180.43611123885867</v>
      </c>
      <c r="X23" s="96">
        <v>211.45592253041363</v>
      </c>
      <c r="Y23" s="96">
        <v>226.14076525160991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1.8636211087927879</v>
      </c>
      <c r="K24" s="96">
        <v>2.9099520491093092</v>
      </c>
      <c r="L24" s="96">
        <v>3.7658845476474179</v>
      </c>
      <c r="M24" s="96">
        <v>4.782536181879248</v>
      </c>
      <c r="N24" s="96">
        <v>5.7923453335978303</v>
      </c>
      <c r="O24" s="96">
        <v>7.7114762631830702</v>
      </c>
      <c r="P24" s="96">
        <v>9.0005337630328395</v>
      </c>
      <c r="Q24" s="96">
        <v>12.084626805686515</v>
      </c>
      <c r="R24" s="96">
        <v>19.780930677406072</v>
      </c>
      <c r="S24" s="96">
        <v>24.221568575003506</v>
      </c>
      <c r="T24" s="96">
        <v>29.620644090463792</v>
      </c>
      <c r="U24" s="96">
        <v>32.914504858116544</v>
      </c>
      <c r="V24" s="96">
        <v>32.359833847880346</v>
      </c>
      <c r="W24" s="96">
        <v>35.424328970626348</v>
      </c>
      <c r="X24" s="96">
        <v>35.930094729078959</v>
      </c>
      <c r="Y24" s="96">
        <v>37.178943335980314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5.8864170885097001E-3</v>
      </c>
      <c r="O25" s="96">
        <v>1.0908642731160014E-2</v>
      </c>
      <c r="P25" s="96">
        <v>2.4278105984689512E-2</v>
      </c>
      <c r="Q25" s="96">
        <v>0.1098326701087977</v>
      </c>
      <c r="R25" s="96">
        <v>0.15014911018326882</v>
      </c>
      <c r="S25" s="96">
        <v>0.26384619700028356</v>
      </c>
      <c r="T25" s="96">
        <v>0.36391076094444041</v>
      </c>
      <c r="U25" s="96">
        <v>0.51881070100724336</v>
      </c>
      <c r="V25" s="96">
        <v>0.87442466547025266</v>
      </c>
      <c r="W25" s="96">
        <v>1.4456524284333352</v>
      </c>
      <c r="X25" s="96">
        <v>2.4317743947268204</v>
      </c>
      <c r="Y25" s="96">
        <v>2.8794144110732187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1096.7469482149936</v>
      </c>
      <c r="C27" s="130">
        <f t="shared" si="24"/>
        <v>1223.7226953769018</v>
      </c>
      <c r="D27" s="130">
        <f t="shared" si="24"/>
        <v>1147.9699616260975</v>
      </c>
      <c r="E27" s="130">
        <f t="shared" si="24"/>
        <v>1055.7644662665616</v>
      </c>
      <c r="F27" s="130">
        <f t="shared" si="24"/>
        <v>978.50246715239041</v>
      </c>
      <c r="G27" s="130">
        <f t="shared" si="24"/>
        <v>970.50829993198533</v>
      </c>
      <c r="H27" s="130">
        <f t="shared" si="24"/>
        <v>1005.3658679818527</v>
      </c>
      <c r="I27" s="130">
        <f t="shared" si="24"/>
        <v>1006.452895858543</v>
      </c>
      <c r="J27" s="130">
        <f t="shared" si="24"/>
        <v>998.02223296161696</v>
      </c>
      <c r="K27" s="130">
        <f t="shared" si="24"/>
        <v>992.10806913623014</v>
      </c>
      <c r="L27" s="130">
        <f t="shared" ref="L27" si="25">SUM(L28:L32)</f>
        <v>1020.9160501376772</v>
      </c>
      <c r="M27" s="130">
        <f t="shared" ref="M27:V27" si="26">SUM(M28:M32)</f>
        <v>954.47955339851887</v>
      </c>
      <c r="N27" s="130">
        <f t="shared" si="26"/>
        <v>933.66068512734137</v>
      </c>
      <c r="O27" s="130">
        <f t="shared" si="26"/>
        <v>961.85975251988373</v>
      </c>
      <c r="P27" s="130">
        <f t="shared" si="26"/>
        <v>980.55898632596836</v>
      </c>
      <c r="Q27" s="130">
        <f t="shared" si="26"/>
        <v>956.54937637996227</v>
      </c>
      <c r="R27" s="130">
        <f t="shared" si="26"/>
        <v>943.64955839647348</v>
      </c>
      <c r="S27" s="130">
        <f t="shared" si="26"/>
        <v>983.7388051406723</v>
      </c>
      <c r="T27" s="130">
        <f t="shared" si="26"/>
        <v>1012.5657675443521</v>
      </c>
      <c r="U27" s="130">
        <f t="shared" si="26"/>
        <v>1011.9559416424656</v>
      </c>
      <c r="V27" s="130">
        <f t="shared" si="26"/>
        <v>749.86340572115091</v>
      </c>
      <c r="W27" s="130">
        <f t="shared" ref="W27:Y27" si="27">SUM(W28:W32)</f>
        <v>731.53408562685706</v>
      </c>
      <c r="X27" s="130">
        <f t="shared" si="27"/>
        <v>825.88627909553668</v>
      </c>
      <c r="Y27" s="130">
        <f t="shared" si="27"/>
        <v>817.70355824997489</v>
      </c>
      <c r="DA27" s="176" t="s">
        <v>406</v>
      </c>
    </row>
    <row r="28" spans="1:105" ht="11.45" customHeight="1" x14ac:dyDescent="0.25">
      <c r="A28" s="111" t="s">
        <v>110</v>
      </c>
      <c r="B28" s="97">
        <v>29.871853912777318</v>
      </c>
      <c r="C28" s="97">
        <v>29.652976601819205</v>
      </c>
      <c r="D28" s="97">
        <v>30.15975649320437</v>
      </c>
      <c r="E28" s="97">
        <v>25.645267597821153</v>
      </c>
      <c r="F28" s="97">
        <v>22.273096522518468</v>
      </c>
      <c r="G28" s="97">
        <v>20.290928887361549</v>
      </c>
      <c r="H28" s="97">
        <v>19.621631987362047</v>
      </c>
      <c r="I28" s="97">
        <v>19.403953110796458</v>
      </c>
      <c r="J28" s="97">
        <v>18.167840005904527</v>
      </c>
      <c r="K28" s="97">
        <v>16.771924156247</v>
      </c>
      <c r="L28" s="97">
        <v>17.019701673667107</v>
      </c>
      <c r="M28" s="97">
        <v>15.582274230206471</v>
      </c>
      <c r="N28" s="97">
        <v>14.082434781465055</v>
      </c>
      <c r="O28" s="97">
        <v>14.263985342311063</v>
      </c>
      <c r="P28" s="97">
        <v>14.232816421652425</v>
      </c>
      <c r="Q28" s="97">
        <v>13.158757867025008</v>
      </c>
      <c r="R28" s="97">
        <v>13.478554711495276</v>
      </c>
      <c r="S28" s="97">
        <v>13.269294544889716</v>
      </c>
      <c r="T28" s="97">
        <v>12.285151183928603</v>
      </c>
      <c r="U28" s="97">
        <v>11.555167826844599</v>
      </c>
      <c r="V28" s="97">
        <v>8.9131761856445824</v>
      </c>
      <c r="W28" s="97">
        <v>8.0064264203699516</v>
      </c>
      <c r="X28" s="97">
        <v>8.7101878688660346</v>
      </c>
      <c r="Y28" s="97">
        <v>8.2134378452855383</v>
      </c>
      <c r="DA28" s="175" t="s">
        <v>757</v>
      </c>
    </row>
    <row r="29" spans="1:105" ht="11.45" customHeight="1" x14ac:dyDescent="0.25">
      <c r="A29" s="111" t="s">
        <v>111</v>
      </c>
      <c r="B29" s="97">
        <v>1057.3324843022162</v>
      </c>
      <c r="C29" s="97">
        <v>1182.5579987750828</v>
      </c>
      <c r="D29" s="97">
        <v>1102.4612451328931</v>
      </c>
      <c r="E29" s="97">
        <v>1012.9525986687405</v>
      </c>
      <c r="F29" s="97">
        <v>931.3882906298719</v>
      </c>
      <c r="G29" s="97">
        <v>929.11255104462373</v>
      </c>
      <c r="H29" s="97">
        <v>957.36885599449067</v>
      </c>
      <c r="I29" s="97">
        <v>975.94114274774654</v>
      </c>
      <c r="J29" s="97">
        <v>968.74208406450521</v>
      </c>
      <c r="K29" s="97">
        <v>962.64468702909244</v>
      </c>
      <c r="L29" s="97">
        <v>987.3652530116575</v>
      </c>
      <c r="M29" s="97">
        <v>919.59608535019163</v>
      </c>
      <c r="N29" s="97">
        <v>897.25975221282215</v>
      </c>
      <c r="O29" s="97">
        <v>925.49344094371929</v>
      </c>
      <c r="P29" s="97">
        <v>922.66654050972738</v>
      </c>
      <c r="Q29" s="97">
        <v>883.3709453814057</v>
      </c>
      <c r="R29" s="97">
        <v>855.31842177862632</v>
      </c>
      <c r="S29" s="97">
        <v>891.71197155013601</v>
      </c>
      <c r="T29" s="97">
        <v>920.85553497445142</v>
      </c>
      <c r="U29" s="97">
        <v>895.37623437514605</v>
      </c>
      <c r="V29" s="97">
        <v>632.33756968781825</v>
      </c>
      <c r="W29" s="97">
        <v>613.19550296769785</v>
      </c>
      <c r="X29" s="97">
        <v>721.12514199234863</v>
      </c>
      <c r="Y29" s="97">
        <v>706.32157422613534</v>
      </c>
      <c r="DA29" s="175" t="s">
        <v>758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0.11765722713191103</v>
      </c>
      <c r="W30" s="97">
        <v>0.11058662463095205</v>
      </c>
      <c r="X30" s="97">
        <v>0.12413762270368625</v>
      </c>
      <c r="Y30" s="97">
        <v>0.10281041791599951</v>
      </c>
      <c r="DA30" s="175" t="s">
        <v>759</v>
      </c>
    </row>
    <row r="31" spans="1:105" ht="11.45" customHeight="1" x14ac:dyDescent="0.25">
      <c r="A31" s="111" t="s">
        <v>113</v>
      </c>
      <c r="B31" s="97">
        <v>9.5426100000000016</v>
      </c>
      <c r="C31" s="97">
        <v>11.51172</v>
      </c>
      <c r="D31" s="97">
        <v>15.348960000000002</v>
      </c>
      <c r="E31" s="97">
        <v>17.166599999999999</v>
      </c>
      <c r="F31" s="97">
        <v>24.841080000000005</v>
      </c>
      <c r="G31" s="97">
        <v>21.10482</v>
      </c>
      <c r="H31" s="97">
        <v>28.375379999999993</v>
      </c>
      <c r="I31" s="97">
        <v>11.107800000000001</v>
      </c>
      <c r="J31" s="97">
        <v>11.112308891207215</v>
      </c>
      <c r="K31" s="97">
        <v>12.691457950890692</v>
      </c>
      <c r="L31" s="97">
        <v>16.531095452352584</v>
      </c>
      <c r="M31" s="97">
        <v>19.301193818120758</v>
      </c>
      <c r="N31" s="97">
        <v>22.318498133054199</v>
      </c>
      <c r="O31" s="97">
        <v>22.102326233853315</v>
      </c>
      <c r="P31" s="97">
        <v>43.659629394588563</v>
      </c>
      <c r="Q31" s="97">
        <v>60.019673131531533</v>
      </c>
      <c r="R31" s="97">
        <v>74.852581906351901</v>
      </c>
      <c r="S31" s="97">
        <v>78.75753904564661</v>
      </c>
      <c r="T31" s="97">
        <v>79.425081385972007</v>
      </c>
      <c r="U31" s="97">
        <v>105.02453944047494</v>
      </c>
      <c r="V31" s="97">
        <v>108.49500262055618</v>
      </c>
      <c r="W31" s="97">
        <v>110.2215696141583</v>
      </c>
      <c r="X31" s="97">
        <v>95.926811611618405</v>
      </c>
      <c r="Y31" s="97">
        <v>103.06573576063809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3042.5477503765128</v>
      </c>
      <c r="C33" s="32">
        <f t="shared" si="28"/>
        <v>3353.4678020244442</v>
      </c>
      <c r="D33" s="32">
        <f t="shared" si="28"/>
        <v>3683.913348514749</v>
      </c>
      <c r="E33" s="32">
        <f t="shared" si="28"/>
        <v>4449.6260576946306</v>
      </c>
      <c r="F33" s="32">
        <f t="shared" si="28"/>
        <v>4978.609761031551</v>
      </c>
      <c r="G33" s="32">
        <f t="shared" si="28"/>
        <v>5875.8976485187986</v>
      </c>
      <c r="H33" s="32">
        <f t="shared" si="28"/>
        <v>6320.3045707337114</v>
      </c>
      <c r="I33" s="32">
        <f t="shared" si="28"/>
        <v>6794.1527102331474</v>
      </c>
      <c r="J33" s="32">
        <f t="shared" si="28"/>
        <v>6712.1032790956433</v>
      </c>
      <c r="K33" s="32">
        <f t="shared" si="28"/>
        <v>6204.6372518283479</v>
      </c>
      <c r="L33" s="32">
        <f t="shared" ref="L33" si="29">L34+L40</f>
        <v>5829.8973468069526</v>
      </c>
      <c r="M33" s="32">
        <f t="shared" ref="M33:V33" si="30">M34+M40</f>
        <v>5726.5151066939761</v>
      </c>
      <c r="N33" s="32">
        <f t="shared" si="30"/>
        <v>5670.6356819635721</v>
      </c>
      <c r="O33" s="32">
        <f t="shared" si="30"/>
        <v>5531.6415953176656</v>
      </c>
      <c r="P33" s="32">
        <f t="shared" si="30"/>
        <v>5925.9190845187768</v>
      </c>
      <c r="Q33" s="32">
        <f t="shared" si="30"/>
        <v>6529.6756011283833</v>
      </c>
      <c r="R33" s="32">
        <f t="shared" si="30"/>
        <v>6657.7376248598666</v>
      </c>
      <c r="S33" s="32">
        <f t="shared" si="30"/>
        <v>6844.4577199719915</v>
      </c>
      <c r="T33" s="32">
        <f t="shared" si="30"/>
        <v>6849.3445192500631</v>
      </c>
      <c r="U33" s="32">
        <f t="shared" si="30"/>
        <v>6802.4815409094845</v>
      </c>
      <c r="V33" s="32">
        <f t="shared" si="30"/>
        <v>6384.9339161710568</v>
      </c>
      <c r="W33" s="32">
        <f t="shared" ref="W33:Y33" si="31">W34+W40</f>
        <v>7196.6771461270346</v>
      </c>
      <c r="X33" s="32">
        <f t="shared" si="31"/>
        <v>7294.3171997126301</v>
      </c>
      <c r="Y33" s="32">
        <f t="shared" si="31"/>
        <v>7415.5959078652277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482.22609395416282</v>
      </c>
      <c r="C34" s="141">
        <f t="shared" si="32"/>
        <v>526.29787074282956</v>
      </c>
      <c r="D34" s="141">
        <f t="shared" si="32"/>
        <v>602.92025325436623</v>
      </c>
      <c r="E34" s="141">
        <f t="shared" si="32"/>
        <v>694.40926904285777</v>
      </c>
      <c r="F34" s="141">
        <f t="shared" si="32"/>
        <v>808.7710909310382</v>
      </c>
      <c r="G34" s="141">
        <f t="shared" si="32"/>
        <v>969.31217333880409</v>
      </c>
      <c r="H34" s="141">
        <f t="shared" si="32"/>
        <v>1115.8654910727723</v>
      </c>
      <c r="I34" s="141">
        <f t="shared" si="32"/>
        <v>1268.1942026848844</v>
      </c>
      <c r="J34" s="141">
        <f t="shared" si="32"/>
        <v>1501.3687279873723</v>
      </c>
      <c r="K34" s="141">
        <f t="shared" si="32"/>
        <v>1506.3913578450197</v>
      </c>
      <c r="L34" s="141">
        <f t="shared" ref="L34" si="33">SUM(L35:L39)</f>
        <v>1585.4102782924679</v>
      </c>
      <c r="M34" s="141">
        <f t="shared" ref="M34:V34" si="34">SUM(M35:M39)</f>
        <v>1594.8553473053857</v>
      </c>
      <c r="N34" s="141">
        <f t="shared" si="34"/>
        <v>1630.249357740043</v>
      </c>
      <c r="O34" s="141">
        <f t="shared" si="34"/>
        <v>1697.1517181963384</v>
      </c>
      <c r="P34" s="141">
        <f t="shared" si="34"/>
        <v>1891.6013459898049</v>
      </c>
      <c r="Q34" s="141">
        <f t="shared" si="34"/>
        <v>2079.0192857665352</v>
      </c>
      <c r="R34" s="141">
        <f t="shared" si="34"/>
        <v>1779.5562068943873</v>
      </c>
      <c r="S34" s="141">
        <f t="shared" si="34"/>
        <v>1812.3415154234519</v>
      </c>
      <c r="T34" s="141">
        <f t="shared" si="34"/>
        <v>1828.3057165642867</v>
      </c>
      <c r="U34" s="141">
        <f t="shared" si="34"/>
        <v>1823.8051513437083</v>
      </c>
      <c r="V34" s="141">
        <f t="shared" si="34"/>
        <v>1754.0880274249664</v>
      </c>
      <c r="W34" s="141">
        <f t="shared" ref="W34:Y34" si="35">SUM(W35:W39)</f>
        <v>1809.7432877443885</v>
      </c>
      <c r="X34" s="141">
        <f t="shared" si="35"/>
        <v>1831.4739028085082</v>
      </c>
      <c r="Y34" s="141">
        <f t="shared" si="35"/>
        <v>1872.2488029146023</v>
      </c>
      <c r="DA34" s="174" t="s">
        <v>412</v>
      </c>
    </row>
    <row r="35" spans="1:105" ht="11.45" customHeight="1" x14ac:dyDescent="0.25">
      <c r="A35" s="111" t="s">
        <v>110</v>
      </c>
      <c r="B35" s="96">
        <v>88.212893877481662</v>
      </c>
      <c r="C35" s="96">
        <v>95.723198071141923</v>
      </c>
      <c r="D35" s="96">
        <v>107.55599184427743</v>
      </c>
      <c r="E35" s="96">
        <v>107.28945170220676</v>
      </c>
      <c r="F35" s="96">
        <v>110.90381624391381</v>
      </c>
      <c r="G35" s="96">
        <v>121.06402951107545</v>
      </c>
      <c r="H35" s="96">
        <v>140.07786028873696</v>
      </c>
      <c r="I35" s="96">
        <v>158.71913774914157</v>
      </c>
      <c r="J35" s="96">
        <v>174.81483900243225</v>
      </c>
      <c r="K35" s="96">
        <v>168.30978601393744</v>
      </c>
      <c r="L35" s="96">
        <v>165.7291639494554</v>
      </c>
      <c r="M35" s="96">
        <v>160.90923395537189</v>
      </c>
      <c r="N35" s="96">
        <v>156.04496903301106</v>
      </c>
      <c r="O35" s="96">
        <v>157.42868522249574</v>
      </c>
      <c r="P35" s="96">
        <v>162.50719139711308</v>
      </c>
      <c r="Q35" s="96">
        <v>171.87738581151584</v>
      </c>
      <c r="R35" s="96">
        <v>176.66819047296428</v>
      </c>
      <c r="S35" s="96">
        <v>174.44382645649117</v>
      </c>
      <c r="T35" s="96">
        <v>174.50177129021696</v>
      </c>
      <c r="U35" s="96">
        <v>172.93385250301139</v>
      </c>
      <c r="V35" s="96">
        <v>171.12073262042415</v>
      </c>
      <c r="W35" s="96">
        <v>172.28209554282591</v>
      </c>
      <c r="X35" s="96">
        <v>171.35291445698758</v>
      </c>
      <c r="Y35" s="96">
        <v>173.39158999871498</v>
      </c>
      <c r="DA35" s="171" t="s">
        <v>762</v>
      </c>
    </row>
    <row r="36" spans="1:105" ht="11.45" customHeight="1" x14ac:dyDescent="0.25">
      <c r="A36" s="111" t="s">
        <v>111</v>
      </c>
      <c r="B36" s="96">
        <v>363.93308105294068</v>
      </c>
      <c r="C36" s="96">
        <v>400.81116562944078</v>
      </c>
      <c r="D36" s="96">
        <v>465.71055492438205</v>
      </c>
      <c r="E36" s="96">
        <v>557.88795775895994</v>
      </c>
      <c r="F36" s="96">
        <v>668.61969815336454</v>
      </c>
      <c r="G36" s="96">
        <v>819.26149107883407</v>
      </c>
      <c r="H36" s="96">
        <v>946.39088868437182</v>
      </c>
      <c r="I36" s="96">
        <v>1079.4456935619658</v>
      </c>
      <c r="J36" s="96">
        <v>1297.6972593668977</v>
      </c>
      <c r="K36" s="96">
        <v>1309.2749568793511</v>
      </c>
      <c r="L36" s="96">
        <v>1392.1133173324129</v>
      </c>
      <c r="M36" s="96">
        <v>1406.5409842479194</v>
      </c>
      <c r="N36" s="96">
        <v>1442.8059222380944</v>
      </c>
      <c r="O36" s="96">
        <v>1505.9075719268619</v>
      </c>
      <c r="P36" s="96">
        <v>1688.2336911772045</v>
      </c>
      <c r="Q36" s="96">
        <v>1859.4905140436806</v>
      </c>
      <c r="R36" s="96">
        <v>1543.8893270963313</v>
      </c>
      <c r="S36" s="96">
        <v>1572.3832364363848</v>
      </c>
      <c r="T36" s="96">
        <v>1583.5437747061885</v>
      </c>
      <c r="U36" s="96">
        <v>1578.4879726503107</v>
      </c>
      <c r="V36" s="96">
        <v>1514.0843773122301</v>
      </c>
      <c r="W36" s="96">
        <v>1564.2447781307471</v>
      </c>
      <c r="X36" s="96">
        <v>1590.6135455581111</v>
      </c>
      <c r="Y36" s="96">
        <v>1638.4586769247367</v>
      </c>
      <c r="DA36" s="171" t="s">
        <v>763</v>
      </c>
    </row>
    <row r="37" spans="1:105" ht="11.45" customHeight="1" x14ac:dyDescent="0.25">
      <c r="A37" s="111" t="s">
        <v>112</v>
      </c>
      <c r="B37" s="96">
        <v>30.080119023740483</v>
      </c>
      <c r="C37" s="96">
        <v>29.763507042246815</v>
      </c>
      <c r="D37" s="96">
        <v>29.653706485706689</v>
      </c>
      <c r="E37" s="96">
        <v>29.231859581691054</v>
      </c>
      <c r="F37" s="96">
        <v>29.247576533759808</v>
      </c>
      <c r="G37" s="96">
        <v>28.986652748894631</v>
      </c>
      <c r="H37" s="96">
        <v>29.396742099663573</v>
      </c>
      <c r="I37" s="96">
        <v>30.029371373777071</v>
      </c>
      <c r="J37" s="96">
        <v>28.856629618042298</v>
      </c>
      <c r="K37" s="96">
        <v>28.806614951731234</v>
      </c>
      <c r="L37" s="96">
        <v>27.567797010599612</v>
      </c>
      <c r="M37" s="96">
        <v>27.405129102094389</v>
      </c>
      <c r="N37" s="96">
        <v>30.225109935589742</v>
      </c>
      <c r="O37" s="96">
        <v>31.719583544017151</v>
      </c>
      <c r="P37" s="96">
        <v>35.659086573108851</v>
      </c>
      <c r="Q37" s="96">
        <v>35.588855848556804</v>
      </c>
      <c r="R37" s="96">
        <v>38.464107988849463</v>
      </c>
      <c r="S37" s="96">
        <v>37.472010151225902</v>
      </c>
      <c r="T37" s="96">
        <v>36.56763664431692</v>
      </c>
      <c r="U37" s="96">
        <v>33.245458168977578</v>
      </c>
      <c r="V37" s="96">
        <v>29.698890057780552</v>
      </c>
      <c r="W37" s="96">
        <v>26.736802136510402</v>
      </c>
      <c r="X37" s="96">
        <v>23.341315566882678</v>
      </c>
      <c r="Y37" s="96">
        <v>19.732768610474125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1.1733565333479781</v>
      </c>
      <c r="O38" s="96">
        <v>2.0958775029636203</v>
      </c>
      <c r="P38" s="96">
        <v>5.2013768423786049</v>
      </c>
      <c r="Q38" s="96">
        <v>12.062530062781956</v>
      </c>
      <c r="R38" s="96">
        <v>20.534581336242034</v>
      </c>
      <c r="S38" s="96">
        <v>28.042442379349879</v>
      </c>
      <c r="T38" s="96">
        <v>33.692533923564199</v>
      </c>
      <c r="U38" s="96">
        <v>39.137868021408536</v>
      </c>
      <c r="V38" s="96">
        <v>39.184027434531558</v>
      </c>
      <c r="W38" s="96">
        <v>46.479611934305034</v>
      </c>
      <c r="X38" s="96">
        <v>46.166127226526804</v>
      </c>
      <c r="Y38" s="96">
        <v>40.665767380676428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2560.3216564223499</v>
      </c>
      <c r="C40" s="130">
        <f t="shared" si="36"/>
        <v>2827.1699312816145</v>
      </c>
      <c r="D40" s="130">
        <f t="shared" si="36"/>
        <v>3080.9930952603827</v>
      </c>
      <c r="E40" s="130">
        <f t="shared" si="36"/>
        <v>3755.2167886517727</v>
      </c>
      <c r="F40" s="130">
        <f t="shared" si="36"/>
        <v>4169.8386701005129</v>
      </c>
      <c r="G40" s="130">
        <f t="shared" si="36"/>
        <v>4906.5854751799943</v>
      </c>
      <c r="H40" s="130">
        <f t="shared" si="36"/>
        <v>5204.4390796609396</v>
      </c>
      <c r="I40" s="130">
        <f t="shared" si="36"/>
        <v>5525.9585075482628</v>
      </c>
      <c r="J40" s="130">
        <f t="shared" si="36"/>
        <v>5210.7345511082713</v>
      </c>
      <c r="K40" s="130">
        <f t="shared" si="36"/>
        <v>4698.2458939833286</v>
      </c>
      <c r="L40" s="130">
        <f t="shared" ref="L40" si="37">SUM(L41:L42)</f>
        <v>4244.4870685144842</v>
      </c>
      <c r="M40" s="130">
        <f t="shared" ref="M40:V40" si="38">SUM(M41:M42)</f>
        <v>4131.6597593885899</v>
      </c>
      <c r="N40" s="130">
        <f t="shared" si="38"/>
        <v>4040.3863242235293</v>
      </c>
      <c r="O40" s="130">
        <f t="shared" si="38"/>
        <v>3834.4898771213275</v>
      </c>
      <c r="P40" s="130">
        <f t="shared" si="38"/>
        <v>4034.3177385289719</v>
      </c>
      <c r="Q40" s="130">
        <f t="shared" si="38"/>
        <v>4450.6563153618481</v>
      </c>
      <c r="R40" s="130">
        <f t="shared" si="38"/>
        <v>4878.1814179654793</v>
      </c>
      <c r="S40" s="130">
        <f t="shared" si="38"/>
        <v>5032.1162045485398</v>
      </c>
      <c r="T40" s="130">
        <f t="shared" si="38"/>
        <v>5021.0388026857763</v>
      </c>
      <c r="U40" s="130">
        <f t="shared" si="38"/>
        <v>4978.6763895657759</v>
      </c>
      <c r="V40" s="130">
        <f t="shared" si="38"/>
        <v>4630.8458887460902</v>
      </c>
      <c r="W40" s="130">
        <f t="shared" ref="W40:Y40" si="39">SUM(W41:W42)</f>
        <v>5386.9338583826457</v>
      </c>
      <c r="X40" s="130">
        <f t="shared" si="39"/>
        <v>5462.8432969041214</v>
      </c>
      <c r="Y40" s="130">
        <f t="shared" si="39"/>
        <v>5543.3471049506252</v>
      </c>
      <c r="DA40" s="176" t="s">
        <v>413</v>
      </c>
    </row>
    <row r="41" spans="1:105" ht="11.45" customHeight="1" x14ac:dyDescent="0.25">
      <c r="A41" s="128" t="s">
        <v>27</v>
      </c>
      <c r="B41" s="97">
        <v>1400.9754585057226</v>
      </c>
      <c r="C41" s="97">
        <v>1638.9179407845279</v>
      </c>
      <c r="D41" s="97">
        <v>1855.0663083541867</v>
      </c>
      <c r="E41" s="97">
        <v>2222.4740355827521</v>
      </c>
      <c r="F41" s="97">
        <v>2442.5393842752296</v>
      </c>
      <c r="G41" s="97">
        <v>2877.6026597616301</v>
      </c>
      <c r="H41" s="97">
        <v>2772.4862858432366</v>
      </c>
      <c r="I41" s="97">
        <v>2731.4896027064856</v>
      </c>
      <c r="J41" s="97">
        <v>2575.6702685008891</v>
      </c>
      <c r="K41" s="97">
        <v>2108.5721287359984</v>
      </c>
      <c r="L41" s="97">
        <v>2027.9316368150271</v>
      </c>
      <c r="M41" s="97">
        <v>1957.5382363057433</v>
      </c>
      <c r="N41" s="97">
        <v>1870.3404158621286</v>
      </c>
      <c r="O41" s="97">
        <v>1908.9382554363272</v>
      </c>
      <c r="P41" s="97">
        <v>2058.0071518743152</v>
      </c>
      <c r="Q41" s="97">
        <v>2461.0449948067003</v>
      </c>
      <c r="R41" s="97">
        <v>2550.7024953864548</v>
      </c>
      <c r="S41" s="97">
        <v>2679.6413782218219</v>
      </c>
      <c r="T41" s="97">
        <v>2788.5626740938237</v>
      </c>
      <c r="U41" s="97">
        <v>2791.5201133140431</v>
      </c>
      <c r="V41" s="97">
        <v>2940.3398309654026</v>
      </c>
      <c r="W41" s="97">
        <v>3270.2018600925639</v>
      </c>
      <c r="X41" s="97">
        <v>3177.4643775887635</v>
      </c>
      <c r="Y41" s="97">
        <v>3221.6269059855781</v>
      </c>
      <c r="DA41" s="175" t="s">
        <v>767</v>
      </c>
    </row>
    <row r="42" spans="1:105" ht="11.45" customHeight="1" x14ac:dyDescent="0.25">
      <c r="A42" s="138" t="s">
        <v>116</v>
      </c>
      <c r="B42" s="98">
        <v>1159.3461979166273</v>
      </c>
      <c r="C42" s="98">
        <v>1188.2519904970866</v>
      </c>
      <c r="D42" s="98">
        <v>1225.926786906196</v>
      </c>
      <c r="E42" s="98">
        <v>1532.7427530690209</v>
      </c>
      <c r="F42" s="98">
        <v>1727.2992858252831</v>
      </c>
      <c r="G42" s="98">
        <v>2028.982815418364</v>
      </c>
      <c r="H42" s="98">
        <v>2431.952793817703</v>
      </c>
      <c r="I42" s="98">
        <v>2794.4689048417777</v>
      </c>
      <c r="J42" s="98">
        <v>2635.0642826073818</v>
      </c>
      <c r="K42" s="98">
        <v>2589.6737652473307</v>
      </c>
      <c r="L42" s="98">
        <v>2216.5554316994571</v>
      </c>
      <c r="M42" s="98">
        <v>2174.1215230828466</v>
      </c>
      <c r="N42" s="98">
        <v>2170.045908361401</v>
      </c>
      <c r="O42" s="98">
        <v>1925.5516216850001</v>
      </c>
      <c r="P42" s="98">
        <v>1976.3105866546564</v>
      </c>
      <c r="Q42" s="98">
        <v>1989.6113205551474</v>
      </c>
      <c r="R42" s="98">
        <v>2327.478922579025</v>
      </c>
      <c r="S42" s="98">
        <v>2352.4748263267174</v>
      </c>
      <c r="T42" s="98">
        <v>2232.4761285919531</v>
      </c>
      <c r="U42" s="98">
        <v>2187.1562762517328</v>
      </c>
      <c r="V42" s="98">
        <v>1690.5060577806873</v>
      </c>
      <c r="W42" s="98">
        <v>2116.7319982900817</v>
      </c>
      <c r="X42" s="98">
        <v>2285.378919315358</v>
      </c>
      <c r="Y42" s="98">
        <v>2321.7201989650471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2.93521153485149</v>
      </c>
      <c r="C47" s="145">
        <f>IF(C4=0,0,C4/TrRoad_ene!C4)</f>
        <v>2.9542671706778512</v>
      </c>
      <c r="D47" s="145">
        <f>IF(D4=0,0,D4/TrRoad_ene!D4)</f>
        <v>2.9466820244826222</v>
      </c>
      <c r="E47" s="145">
        <f>IF(E4=0,0,E4/TrRoad_ene!E4)</f>
        <v>2.9590522126162639</v>
      </c>
      <c r="F47" s="145">
        <f>IF(F4=0,0,F4/TrRoad_ene!F4)</f>
        <v>2.9830034744099887</v>
      </c>
      <c r="G47" s="145">
        <f>IF(G4=0,0,G4/TrRoad_ene!G4)</f>
        <v>3.0095771589728382</v>
      </c>
      <c r="H47" s="145">
        <f>IF(H4=0,0,H4/TrRoad_ene!H4)</f>
        <v>3.0046014797079135</v>
      </c>
      <c r="I47" s="145">
        <f>IF(I4=0,0,I4/TrRoad_ene!I4)</f>
        <v>3.0005972153143508</v>
      </c>
      <c r="J47" s="145">
        <f>IF(J4=0,0,J4/TrRoad_ene!J4)</f>
        <v>2.9621008778184974</v>
      </c>
      <c r="K47" s="145">
        <f>IF(K4=0,0,K4/TrRoad_ene!K4)</f>
        <v>2.9171519826821046</v>
      </c>
      <c r="L47" s="145">
        <f>IF(L4=0,0,L4/TrRoad_ene!L4)</f>
        <v>2.8938473993082465</v>
      </c>
      <c r="M47" s="145">
        <f>IF(M4=0,0,M4/TrRoad_ene!M4)</f>
        <v>2.8585168948240525</v>
      </c>
      <c r="N47" s="145">
        <f>IF(N4=0,0,N4/TrRoad_ene!N4)</f>
        <v>2.8715505983058396</v>
      </c>
      <c r="O47" s="145">
        <f>IF(O4=0,0,O4/TrRoad_ene!O4)</f>
        <v>2.8721143913592861</v>
      </c>
      <c r="P47" s="145">
        <f>IF(P4=0,0,P4/TrRoad_ene!P4)</f>
        <v>2.8574449487211822</v>
      </c>
      <c r="Q47" s="145">
        <f>IF(Q4=0,0,Q4/TrRoad_ene!Q4)</f>
        <v>2.8755880899552615</v>
      </c>
      <c r="R47" s="145">
        <f>IF(R4=0,0,R4/TrRoad_ene!R4)</f>
        <v>2.8822163595740151</v>
      </c>
      <c r="S47" s="145">
        <f>IF(S4=0,0,S4/TrRoad_ene!S4)</f>
        <v>2.8817429675190294</v>
      </c>
      <c r="T47" s="145">
        <f>IF(T4=0,0,T4/TrRoad_ene!T4)</f>
        <v>2.8851290429957519</v>
      </c>
      <c r="U47" s="145">
        <f>IF(U4=0,0,U4/TrRoad_ene!U4)</f>
        <v>2.8714931789940632</v>
      </c>
      <c r="V47" s="145">
        <f>IF(V4=0,0,V4/TrRoad_ene!V4)</f>
        <v>2.8465420892329583</v>
      </c>
      <c r="W47" s="145">
        <f>IF(W4=0,0,W4/TrRoad_ene!W4)</f>
        <v>2.8745273270153331</v>
      </c>
      <c r="X47" s="145">
        <f>IF(X4=0,0,X4/TrRoad_ene!X4)</f>
        <v>2.8855197088856062</v>
      </c>
      <c r="Y47" s="145">
        <f>IF(Y4=0,0,Y4/TrRoad_ene!Y4)</f>
        <v>2.8939871039091347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2.9014523999999997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2.8996745123706327</v>
      </c>
      <c r="I48" s="97">
        <f>IF(I7=0,0,(I7+I12)/(TrRoad_ene!I7+TrRoad_ene!I12))</f>
        <v>2.9014524000000002</v>
      </c>
      <c r="J48" s="97">
        <f>IF(J7=0,0,(J7+J12)/(TrRoad_ene!J7+TrRoad_ene!J12))</f>
        <v>2.854363810291551</v>
      </c>
      <c r="K48" s="97">
        <f>IF(K7=0,0,(K7+K12)/(TrRoad_ene!K7+TrRoad_ene!K12))</f>
        <v>2.8209718260093233</v>
      </c>
      <c r="L48" s="97">
        <f>IF(L7=0,0,(L7+L12)/(TrRoad_ene!L7+TrRoad_ene!L12))</f>
        <v>2.8140175082846342</v>
      </c>
      <c r="M48" s="97">
        <f>IF(M7=0,0,(M7+M12)/(TrRoad_ene!M7+TrRoad_ene!M12))</f>
        <v>2.8067140546137406</v>
      </c>
      <c r="N48" s="97">
        <f>IF(N7=0,0,(N7+N12)/(TrRoad_ene!N7+TrRoad_ene!N12))</f>
        <v>2.8073606788986982</v>
      </c>
      <c r="O48" s="97">
        <f>IF(O7=0,0,(O7+O12)/(TrRoad_ene!O7+TrRoad_ene!O12))</f>
        <v>2.806025302221407</v>
      </c>
      <c r="P48" s="97">
        <f>IF(P7=0,0,(P7+P12)/(TrRoad_ene!P7+TrRoad_ene!P12))</f>
        <v>2.7839118487653165</v>
      </c>
      <c r="Q48" s="97">
        <f>IF(Q7=0,0,(Q7+Q12)/(TrRoad_ene!Q7+TrRoad_ene!Q12))</f>
        <v>2.7892083713643361</v>
      </c>
      <c r="R48" s="97">
        <f>IF(R7=0,0,(R7+R12)/(TrRoad_ene!R7+TrRoad_ene!R12))</f>
        <v>2.8172094326570569</v>
      </c>
      <c r="S48" s="97">
        <f>IF(S7=0,0,(S7+S12)/(TrRoad_ene!S7+TrRoad_ene!S12))</f>
        <v>2.7977270927102222</v>
      </c>
      <c r="T48" s="97">
        <f>IF(T7=0,0,(T7+T12)/(TrRoad_ene!T7+TrRoad_ene!T12))</f>
        <v>2.7945436687562903</v>
      </c>
      <c r="U48" s="97">
        <f>IF(U7=0,0,(U7+U12)/(TrRoad_ene!U7+TrRoad_ene!U12))</f>
        <v>2.7741165865166444</v>
      </c>
      <c r="V48" s="97">
        <f>IF(V7=0,0,(V7+V12)/(TrRoad_ene!V7+TrRoad_ene!V12))</f>
        <v>2.7760344031610873</v>
      </c>
      <c r="W48" s="97">
        <f>IF(W7=0,0,(W7+W12)/(TrRoad_ene!W7+TrRoad_ene!W12))</f>
        <v>2.7989874924457405</v>
      </c>
      <c r="X48" s="97">
        <f>IF(X7=0,0,(X7+X12)/(TrRoad_ene!X7+TrRoad_ene!X12))</f>
        <v>2.7900583879555154</v>
      </c>
      <c r="Y48" s="97">
        <f>IF(Y7=0,0,(Y7+Y12)/(TrRoad_ene!Y7+TrRoad_ene!Y12))</f>
        <v>2.7972935280684288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2.9979494944570182</v>
      </c>
      <c r="C49" s="97">
        <f>IF(C8=0,0,(C8+C13+C14)/(TrRoad_ene!C8+TrRoad_ene!C13+TrRoad_ene!C14))</f>
        <v>3.0317143717569848</v>
      </c>
      <c r="D49" s="97">
        <f>IF(D8=0,0,(D8+D13+D14)/(TrRoad_ene!D8+TrRoad_ene!D13+TrRoad_ene!D14))</f>
        <v>3.0114929678026265</v>
      </c>
      <c r="E49" s="97">
        <f>IF(E8=0,0,(E8+E13+E14)/(TrRoad_ene!E8+TrRoad_ene!E13+TrRoad_ene!E14))</f>
        <v>3.0283342890161342</v>
      </c>
      <c r="F49" s="97">
        <f>IF(F8=0,0,(F8+F13+F14)/(TrRoad_ene!F8+TrRoad_ene!F13+TrRoad_ene!F14))</f>
        <v>3.067220481456117</v>
      </c>
      <c r="G49" s="97">
        <f>IF(G8=0,0,(G8+G13+G14)/(TrRoad_ene!G8+TrRoad_ene!G13+TrRoad_ene!G14))</f>
        <v>3.0998704984025176</v>
      </c>
      <c r="H49" s="97">
        <f>IF(H8=0,0,(H8+H13+H14)/(TrRoad_ene!H8+TrRoad_ene!H13+TrRoad_ene!H14))</f>
        <v>3.0873637192667363</v>
      </c>
      <c r="I49" s="97">
        <f>IF(I8=0,0,(I8+I13+I14)/(TrRoad_ene!I8+TrRoad_ene!I13+TrRoad_ene!I14))</f>
        <v>3.0769697596909613</v>
      </c>
      <c r="J49" s="97">
        <f>IF(J8=0,0,(J8+J13+J14)/(TrRoad_ene!J8+TrRoad_ene!J13+TrRoad_ene!J14))</f>
        <v>3.039794997641823</v>
      </c>
      <c r="K49" s="97">
        <f>IF(K8=0,0,(K8+K13+K14)/(TrRoad_ene!K8+TrRoad_ene!K13+TrRoad_ene!K14))</f>
        <v>2.9874428773722239</v>
      </c>
      <c r="L49" s="97">
        <f>IF(L8=0,0,(L8+L13+L14)/(TrRoad_ene!L8+TrRoad_ene!L13+TrRoad_ene!L14))</f>
        <v>2.951741276328022</v>
      </c>
      <c r="M49" s="97">
        <f>IF(M8=0,0,(M8+M13+M14)/(TrRoad_ene!M8+TrRoad_ene!M13+TrRoad_ene!M14))</f>
        <v>2.8986342947459907</v>
      </c>
      <c r="N49" s="97">
        <f>IF(N8=0,0,(N8+N13+N14)/(TrRoad_ene!N8+TrRoad_ene!N13+TrRoad_ene!N14))</f>
        <v>2.9167710214060425</v>
      </c>
      <c r="O49" s="97">
        <f>IF(O8=0,0,(O8+O13+O14)/(TrRoad_ene!O8+TrRoad_ene!O13+TrRoad_ene!O14))</f>
        <v>2.9158825789289571</v>
      </c>
      <c r="P49" s="97">
        <f>IF(P8=0,0,(P8+P13+P14)/(TrRoad_ene!P8+TrRoad_ene!P13+TrRoad_ene!P14))</f>
        <v>2.9036198566929383</v>
      </c>
      <c r="Q49" s="97">
        <f>IF(Q8=0,0,(Q8+Q13+Q14)/(TrRoad_ene!Q8+TrRoad_ene!Q13+TrRoad_ene!Q14))</f>
        <v>2.9269380750221075</v>
      </c>
      <c r="R49" s="97">
        <f>IF(R8=0,0,(R8+R13+R14)/(TrRoad_ene!R8+TrRoad_ene!R13+TrRoad_ene!R14))</f>
        <v>2.9259419507935287</v>
      </c>
      <c r="S49" s="97">
        <f>IF(S8=0,0,(S8+S13+S14)/(TrRoad_ene!S8+TrRoad_ene!S13+TrRoad_ene!S14))</f>
        <v>2.9310327817684079</v>
      </c>
      <c r="T49" s="97">
        <f>IF(T8=0,0,(T8+T13+T14)/(TrRoad_ene!T8+TrRoad_ene!T13+TrRoad_ene!T14))</f>
        <v>2.9373216325020994</v>
      </c>
      <c r="U49" s="97">
        <f>IF(U8=0,0,(U8+U13+U14)/(TrRoad_ene!U8+TrRoad_ene!U13+TrRoad_ene!U14))</f>
        <v>2.9263986715546988</v>
      </c>
      <c r="V49" s="97">
        <f>IF(V8=0,0,(V8+V13+V14)/(TrRoad_ene!V8+TrRoad_ene!V13+TrRoad_ene!V14))</f>
        <v>2.8893906684538546</v>
      </c>
      <c r="W49" s="97">
        <f>IF(W8=0,0,(W8+W13+W14)/(TrRoad_ene!W8+TrRoad_ene!W13+TrRoad_ene!W14))</f>
        <v>2.9189133122889754</v>
      </c>
      <c r="X49" s="97">
        <f>IF(X8=0,0,(X8+X13+X14)/(TrRoad_ene!X8+TrRoad_ene!X13+TrRoad_ene!X14))</f>
        <v>2.9387646856809186</v>
      </c>
      <c r="Y49" s="97">
        <f>IF(Y8=0,0,(Y8+Y13+Y14)/(TrRoad_ene!Y8+TrRoad_ene!Y13+TrRoad_ene!Y14))</f>
        <v>2.9510971487845348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X50" s="97">
        <f>IF(X6=0,0,X6/TrRoad_ene!X6)</f>
        <v>2.6418708000000004</v>
      </c>
      <c r="Y50" s="97">
        <f>IF(Y6=0,0,Y6/TrRoad_ene!Y6)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2.348599923717285</v>
      </c>
      <c r="W51" s="97">
        <f>IF(W9=0,0,(W9+W11)/(TrRoad_ene!W9+TrRoad_ene!W11))</f>
        <v>2.348512787044418</v>
      </c>
      <c r="X51" s="97">
        <f>IF(X9=0,0,(X9+X11)/(TrRoad_ene!X9+TrRoad_ene!X11))</f>
        <v>2.348410349103319</v>
      </c>
      <c r="Y51" s="97">
        <f>IF(Y9=0,0,(Y9+Y11)/(TrRoad_ene!Y9+TrRoad_ene!Y11))</f>
        <v>2.3452332567163205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301.4799696263637</v>
      </c>
      <c r="C54" s="62">
        <f>IF(TrRoad_act!C30=0,0,C17/TrRoad_act!C30*1000
)</f>
        <v>294.66296106879787</v>
      </c>
      <c r="D54" s="62">
        <f>IF(TrRoad_act!D30=0,0,D17/TrRoad_act!D30*1000
)</f>
        <v>291.91722200209051</v>
      </c>
      <c r="E54" s="62">
        <f>IF(TrRoad_act!E30=0,0,E17/TrRoad_act!E30*1000
)</f>
        <v>291.65380642714314</v>
      </c>
      <c r="F54" s="62">
        <f>IF(TrRoad_act!F30=0,0,F17/TrRoad_act!F30*1000
)</f>
        <v>293.69454775768537</v>
      </c>
      <c r="G54" s="62">
        <f>IF(TrRoad_act!G30=0,0,G17/TrRoad_act!G30*1000
)</f>
        <v>302.26629630955102</v>
      </c>
      <c r="H54" s="62">
        <f>IF(TrRoad_act!H30=0,0,H17/TrRoad_act!H30*1000
)</f>
        <v>307.31159592120696</v>
      </c>
      <c r="I54" s="62">
        <f>IF(TrRoad_act!I30=0,0,I17/TrRoad_act!I30*1000
)</f>
        <v>307.00499215270088</v>
      </c>
      <c r="J54" s="62">
        <f>IF(TrRoad_act!J30=0,0,J17/TrRoad_act!J30*1000
)</f>
        <v>298.33604671606855</v>
      </c>
      <c r="K54" s="62">
        <f>IF(TrRoad_act!K30=0,0,K17/TrRoad_act!K30*1000
)</f>
        <v>286.11862063115422</v>
      </c>
      <c r="L54" s="62">
        <f>IF(TrRoad_act!L30=0,0,L17/TrRoad_act!L30*1000
)</f>
        <v>282.86604849760846</v>
      </c>
      <c r="M54" s="62">
        <f>IF(TrRoad_act!M30=0,0,M17/TrRoad_act!M30*1000
)</f>
        <v>274.8027526802021</v>
      </c>
      <c r="N54" s="62">
        <f>IF(TrRoad_act!N30=0,0,N17/TrRoad_act!N30*1000
)</f>
        <v>272.18776081152885</v>
      </c>
      <c r="O54" s="62">
        <f>IF(TrRoad_act!O30=0,0,O17/TrRoad_act!O30*1000
)</f>
        <v>265.95271512664419</v>
      </c>
      <c r="P54" s="62">
        <f>IF(TrRoad_act!P30=0,0,P17/TrRoad_act!P30*1000
)</f>
        <v>264.50136323738627</v>
      </c>
      <c r="Q54" s="62">
        <f>IF(TrRoad_act!Q30=0,0,Q17/TrRoad_act!Q30*1000
)</f>
        <v>264.48878044520717</v>
      </c>
      <c r="R54" s="62">
        <f>IF(TrRoad_act!R30=0,0,R17/TrRoad_act!R30*1000
)</f>
        <v>265.83682344911745</v>
      </c>
      <c r="S54" s="62">
        <f>IF(TrRoad_act!S30=0,0,S17/TrRoad_act!S30*1000
)</f>
        <v>265.38070463014486</v>
      </c>
      <c r="T54" s="62">
        <f>IF(TrRoad_act!T30=0,0,T17/TrRoad_act!T30*1000
)</f>
        <v>261.12197891046009</v>
      </c>
      <c r="U54" s="62">
        <f>IF(TrRoad_act!U30=0,0,U17/TrRoad_act!U30*1000
)</f>
        <v>255.05539932424216</v>
      </c>
      <c r="V54" s="62">
        <f>IF(TrRoad_act!V30=0,0,V17/TrRoad_act!V30*1000
)</f>
        <v>243.52324326347681</v>
      </c>
      <c r="W54" s="62">
        <f>IF(TrRoad_act!W30=0,0,W17/TrRoad_act!W30*1000
)</f>
        <v>240.59997503358574</v>
      </c>
      <c r="X54" s="62">
        <f>IF(TrRoad_act!X30=0,0,X17/TrRoad_act!X30*1000
)</f>
        <v>239.55017537250899</v>
      </c>
      <c r="Y54" s="62">
        <f>IF(TrRoad_act!Y30=0,0,Y17/TrRoad_act!Y30*1000
)</f>
        <v>239.91674242914146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244.511248828666</v>
      </c>
      <c r="C55" s="29">
        <f>IF(TrRoad_act!C31=0,0,C18/TrRoad_act!C31*1000
)</f>
        <v>237.24270717451401</v>
      </c>
      <c r="D55" s="29">
        <f>IF(TrRoad_act!D31=0,0,D18/TrRoad_act!D31*1000
)</f>
        <v>232.86756105249216</v>
      </c>
      <c r="E55" s="29">
        <f>IF(TrRoad_act!E31=0,0,E18/TrRoad_act!E31*1000
)</f>
        <v>226.95827840485987</v>
      </c>
      <c r="F55" s="29">
        <f>IF(TrRoad_act!F31=0,0,F18/TrRoad_act!F31*1000
)</f>
        <v>224.63365650131638</v>
      </c>
      <c r="G55" s="29">
        <f>IF(TrRoad_act!G31=0,0,G18/TrRoad_act!G31*1000
)</f>
        <v>224.35760433168846</v>
      </c>
      <c r="H55" s="29">
        <f>IF(TrRoad_act!H31=0,0,H18/TrRoad_act!H31*1000
)</f>
        <v>225.07197168401768</v>
      </c>
      <c r="I55" s="29">
        <f>IF(TrRoad_act!I31=0,0,I18/TrRoad_act!I31*1000
)</f>
        <v>222.31396390965253</v>
      </c>
      <c r="J55" s="29">
        <f>IF(TrRoad_act!J31=0,0,J18/TrRoad_act!J31*1000
)</f>
        <v>218.34789791657232</v>
      </c>
      <c r="K55" s="29">
        <f>IF(TrRoad_act!K31=0,0,K18/TrRoad_act!K31*1000
)</f>
        <v>213.50289676868519</v>
      </c>
      <c r="L55" s="29">
        <f>IF(TrRoad_act!L31=0,0,L18/TrRoad_act!L31*1000
)</f>
        <v>214.86738390290085</v>
      </c>
      <c r="M55" s="29">
        <f>IF(TrRoad_act!M31=0,0,M18/TrRoad_act!M31*1000
)</f>
        <v>209.60657847762226</v>
      </c>
      <c r="N55" s="29">
        <f>IF(TrRoad_act!N31=0,0,N18/TrRoad_act!N31*1000
)</f>
        <v>207.29065789594625</v>
      </c>
      <c r="O55" s="29">
        <f>IF(TrRoad_act!O31=0,0,O18/TrRoad_act!O31*1000
)</f>
        <v>205.79738884114252</v>
      </c>
      <c r="P55" s="29">
        <f>IF(TrRoad_act!P31=0,0,P18/TrRoad_act!P31*1000
)</f>
        <v>202.73362437630098</v>
      </c>
      <c r="Q55" s="29">
        <f>IF(TrRoad_act!Q31=0,0,Q18/TrRoad_act!Q31*1000
)</f>
        <v>199.25749036253313</v>
      </c>
      <c r="R55" s="29">
        <f>IF(TrRoad_act!R31=0,0,R18/TrRoad_act!R31*1000
)</f>
        <v>197.77857727331653</v>
      </c>
      <c r="S55" s="29">
        <f>IF(TrRoad_act!S31=0,0,S18/TrRoad_act!S31*1000
)</f>
        <v>197.31794974101774</v>
      </c>
      <c r="T55" s="29">
        <f>IF(TrRoad_act!T31=0,0,T18/TrRoad_act!T31*1000
)</f>
        <v>194.63180456491881</v>
      </c>
      <c r="U55" s="29">
        <f>IF(TrRoad_act!U31=0,0,U18/TrRoad_act!U31*1000
)</f>
        <v>191.28796018564509</v>
      </c>
      <c r="V55" s="29">
        <f>IF(TrRoad_act!V31=0,0,V18/TrRoad_act!V31*1000
)</f>
        <v>183.64497164311649</v>
      </c>
      <c r="W55" s="29">
        <f>IF(TrRoad_act!W31=0,0,W18/TrRoad_act!W31*1000
)</f>
        <v>175.49134885493956</v>
      </c>
      <c r="X55" s="29">
        <f>IF(TrRoad_act!X31=0,0,X18/TrRoad_act!X31*1000
)</f>
        <v>175.11560033484849</v>
      </c>
      <c r="Y55" s="29">
        <f>IF(TrRoad_act!Y31=0,0,Y18/TrRoad_act!Y31*1000
)</f>
        <v>175.85768932995256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126.07577971350881</v>
      </c>
      <c r="C56" s="152">
        <f>IF(TrRoad_act!C32=0,0,C19/TrRoad_act!C32*1000
)</f>
        <v>125.57794113172849</v>
      </c>
      <c r="D56" s="152">
        <f>IF(TrRoad_act!D32=0,0,D19/TrRoad_act!D32*1000
)</f>
        <v>125.14760831022234</v>
      </c>
      <c r="E56" s="152">
        <f>IF(TrRoad_act!E32=0,0,E19/TrRoad_act!E32*1000
)</f>
        <v>125.03880296683664</v>
      </c>
      <c r="F56" s="152">
        <f>IF(TrRoad_act!F32=0,0,F19/TrRoad_act!F32*1000
)</f>
        <v>124.67402823897056</v>
      </c>
      <c r="G56" s="152">
        <f>IF(TrRoad_act!G32=0,0,G19/TrRoad_act!G32*1000
)</f>
        <v>123.83088898304528</v>
      </c>
      <c r="H56" s="152">
        <f>IF(TrRoad_act!H32=0,0,H19/TrRoad_act!H32*1000
)</f>
        <v>117.14996440179084</v>
      </c>
      <c r="I56" s="152">
        <f>IF(TrRoad_act!I32=0,0,I19/TrRoad_act!I32*1000
)</f>
        <v>116.63194609703807</v>
      </c>
      <c r="J56" s="152">
        <f>IF(TrRoad_act!J32=0,0,J19/TrRoad_act!J32*1000
)</f>
        <v>114.23426424783908</v>
      </c>
      <c r="K56" s="152">
        <f>IF(TrRoad_act!K32=0,0,K19/TrRoad_act!K32*1000
)</f>
        <v>112.5319549914874</v>
      </c>
      <c r="L56" s="152">
        <f>IF(TrRoad_act!L32=0,0,L19/TrRoad_act!L32*1000
)</f>
        <v>111.55020067776738</v>
      </c>
      <c r="M56" s="152">
        <f>IF(TrRoad_act!M32=0,0,M19/TrRoad_act!M32*1000
)</f>
        <v>110.56475176691553</v>
      </c>
      <c r="N56" s="152">
        <f>IF(TrRoad_act!N32=0,0,N19/TrRoad_act!N32*1000
)</f>
        <v>109.70448191684454</v>
      </c>
      <c r="O56" s="152">
        <f>IF(TrRoad_act!O32=0,0,O19/TrRoad_act!O32*1000
)</f>
        <v>109.21524245849714</v>
      </c>
      <c r="P56" s="152">
        <f>IF(TrRoad_act!P32=0,0,P19/TrRoad_act!P32*1000
)</f>
        <v>107.58907983971983</v>
      </c>
      <c r="Q56" s="152">
        <f>IF(TrRoad_act!Q32=0,0,Q19/TrRoad_act!Q32*1000
)</f>
        <v>106.50331781338183</v>
      </c>
      <c r="R56" s="152">
        <f>IF(TrRoad_act!R32=0,0,R19/TrRoad_act!R32*1000
)</f>
        <v>106.65452721686336</v>
      </c>
      <c r="S56" s="152">
        <f>IF(TrRoad_act!S32=0,0,S19/TrRoad_act!S32*1000
)</f>
        <v>105.33053432456161</v>
      </c>
      <c r="T56" s="152">
        <f>IF(TrRoad_act!T32=0,0,T19/TrRoad_act!T32*1000
)</f>
        <v>104.32978530606262</v>
      </c>
      <c r="U56" s="152">
        <f>IF(TrRoad_act!U32=0,0,U19/TrRoad_act!U32*1000
)</f>
        <v>102.73506364008806</v>
      </c>
      <c r="V56" s="152">
        <f>IF(TrRoad_act!V32=0,0,V19/TrRoad_act!V32*1000
)</f>
        <v>101.99459643730313</v>
      </c>
      <c r="W56" s="152">
        <f>IF(TrRoad_act!W32=0,0,W19/TrRoad_act!W32*1000
)</f>
        <v>102.50918079859454</v>
      </c>
      <c r="X56" s="152">
        <f>IF(TrRoad_act!X32=0,0,X19/TrRoad_act!X32*1000
)</f>
        <v>102.54318266079973</v>
      </c>
      <c r="Y56" s="152">
        <f>IF(TrRoad_act!Y32=0,0,Y19/TrRoad_act!Y32*1000
)</f>
        <v>100.72197673310268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220.27812228390607</v>
      </c>
      <c r="C57" s="116">
        <f>IF(TrRoad_act!C33=0,0,C20/TrRoad_act!C33*1000
)</f>
        <v>211.24063190604514</v>
      </c>
      <c r="D57" s="116">
        <f>IF(TrRoad_act!D33=0,0,D20/TrRoad_act!D33*1000
)</f>
        <v>209.75757595724903</v>
      </c>
      <c r="E57" s="116">
        <f>IF(TrRoad_act!E33=0,0,E20/TrRoad_act!E33*1000
)</f>
        <v>208.42693895782747</v>
      </c>
      <c r="F57" s="116">
        <f>IF(TrRoad_act!F33=0,0,F20/TrRoad_act!F33*1000
)</f>
        <v>208.14504254452845</v>
      </c>
      <c r="G57" s="116">
        <f>IF(TrRoad_act!G33=0,0,G20/TrRoad_act!G33*1000
)</f>
        <v>208.76854993323434</v>
      </c>
      <c r="H57" s="116">
        <f>IF(TrRoad_act!H33=0,0,H20/TrRoad_act!H33*1000
)</f>
        <v>209.33073783798301</v>
      </c>
      <c r="I57" s="116">
        <f>IF(TrRoad_act!I33=0,0,I20/TrRoad_act!I33*1000
)</f>
        <v>207.3205667674975</v>
      </c>
      <c r="J57" s="116">
        <f>IF(TrRoad_act!J33=0,0,J20/TrRoad_act!J33*1000
)</f>
        <v>203.61868691078382</v>
      </c>
      <c r="K57" s="116">
        <f>IF(TrRoad_act!K33=0,0,K20/TrRoad_act!K33*1000
)</f>
        <v>199.14874381535131</v>
      </c>
      <c r="L57" s="116">
        <f>IF(TrRoad_act!L33=0,0,L20/TrRoad_act!L33*1000
)</f>
        <v>199.1274970839504</v>
      </c>
      <c r="M57" s="116">
        <f>IF(TrRoad_act!M33=0,0,M20/TrRoad_act!M33*1000
)</f>
        <v>195.28715831701828</v>
      </c>
      <c r="N57" s="116">
        <f>IF(TrRoad_act!N33=0,0,N20/TrRoad_act!N33*1000
)</f>
        <v>193.25964990580755</v>
      </c>
      <c r="O57" s="116">
        <f>IF(TrRoad_act!O33=0,0,O20/TrRoad_act!O33*1000
)</f>
        <v>191.31876466344681</v>
      </c>
      <c r="P57" s="116">
        <f>IF(TrRoad_act!P33=0,0,P20/TrRoad_act!P33*1000
)</f>
        <v>188.26171044845663</v>
      </c>
      <c r="Q57" s="116">
        <f>IF(TrRoad_act!Q33=0,0,Q20/TrRoad_act!Q33*1000
)</f>
        <v>185.62685439151477</v>
      </c>
      <c r="R57" s="116">
        <f>IF(TrRoad_act!R33=0,0,R20/TrRoad_act!R33*1000
)</f>
        <v>185.2396548240506</v>
      </c>
      <c r="S57" s="116">
        <f>IF(TrRoad_act!S33=0,0,S20/TrRoad_act!S33*1000
)</f>
        <v>184.4319152291489</v>
      </c>
      <c r="T57" s="116">
        <f>IF(TrRoad_act!T33=0,0,T20/TrRoad_act!T33*1000
)</f>
        <v>181.53566376078223</v>
      </c>
      <c r="U57" s="116">
        <f>IF(TrRoad_act!U33=0,0,U20/TrRoad_act!U33*1000
)</f>
        <v>178.73297615955292</v>
      </c>
      <c r="V57" s="116">
        <f>IF(TrRoad_act!V33=0,0,V20/TrRoad_act!V33*1000
)</f>
        <v>174.18537055503936</v>
      </c>
      <c r="W57" s="116">
        <f>IF(TrRoad_act!W33=0,0,W20/TrRoad_act!W33*1000
)</f>
        <v>166.96733266320089</v>
      </c>
      <c r="X57" s="116">
        <f>IF(TrRoad_act!X33=0,0,X20/TrRoad_act!X33*1000
)</f>
        <v>165.6804984524538</v>
      </c>
      <c r="Y57" s="116">
        <f>IF(TrRoad_act!Y33=0,0,Y20/TrRoad_act!Y33*1000
)</f>
        <v>166.96812380909972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224.0131508548522</v>
      </c>
      <c r="C58" s="87">
        <f>IF(TrRoad_act!C34=0,0,C21/TrRoad_act!C34*1000
)</f>
        <v>221.17277219451177</v>
      </c>
      <c r="D58" s="87">
        <f>IF(TrRoad_act!D34=0,0,D21/TrRoad_act!D34*1000
)</f>
        <v>219.44676352968045</v>
      </c>
      <c r="E58" s="87">
        <f>IF(TrRoad_act!E34=0,0,E21/TrRoad_act!E34*1000
)</f>
        <v>218.18955891199485</v>
      </c>
      <c r="F58" s="87">
        <f>IF(TrRoad_act!F34=0,0,F21/TrRoad_act!F34*1000
)</f>
        <v>216.60083496557391</v>
      </c>
      <c r="G58" s="87">
        <f>IF(TrRoad_act!G34=0,0,G21/TrRoad_act!G34*1000
)</f>
        <v>214.99699599063726</v>
      </c>
      <c r="H58" s="87">
        <f>IF(TrRoad_act!H34=0,0,H21/TrRoad_act!H34*1000
)</f>
        <v>213.67591261944062</v>
      </c>
      <c r="I58" s="87">
        <f>IF(TrRoad_act!I34=0,0,I21/TrRoad_act!I34*1000
)</f>
        <v>212.33134650725043</v>
      </c>
      <c r="J58" s="87">
        <f>IF(TrRoad_act!J34=0,0,J21/TrRoad_act!J34*1000
)</f>
        <v>207.36221327560753</v>
      </c>
      <c r="K58" s="87">
        <f>IF(TrRoad_act!K34=0,0,K21/TrRoad_act!K34*1000
)</f>
        <v>203.2390167021486</v>
      </c>
      <c r="L58" s="87">
        <f>IF(TrRoad_act!L34=0,0,L21/TrRoad_act!L34*1000
)</f>
        <v>198.57382478039497</v>
      </c>
      <c r="M58" s="87">
        <f>IF(TrRoad_act!M34=0,0,M21/TrRoad_act!M34*1000
)</f>
        <v>196.42530361359039</v>
      </c>
      <c r="N58" s="87">
        <f>IF(TrRoad_act!N34=0,0,N21/TrRoad_act!N34*1000
)</f>
        <v>194.44946716164134</v>
      </c>
      <c r="O58" s="87">
        <f>IF(TrRoad_act!O34=0,0,O21/TrRoad_act!O34*1000
)</f>
        <v>192.55485367904319</v>
      </c>
      <c r="P58" s="87">
        <f>IF(TrRoad_act!P34=0,0,P21/TrRoad_act!P34*1000
)</f>
        <v>188.43002140746523</v>
      </c>
      <c r="Q58" s="87">
        <f>IF(TrRoad_act!Q34=0,0,Q21/TrRoad_act!Q34*1000
)</f>
        <v>184.51568150167847</v>
      </c>
      <c r="R58" s="87">
        <f>IF(TrRoad_act!R34=0,0,R21/TrRoad_act!R34*1000
)</f>
        <v>182.84074285038119</v>
      </c>
      <c r="S58" s="87">
        <f>IF(TrRoad_act!S34=0,0,S21/TrRoad_act!S34*1000
)</f>
        <v>177.92150221999481</v>
      </c>
      <c r="T58" s="87">
        <f>IF(TrRoad_act!T34=0,0,T21/TrRoad_act!T34*1000
)</f>
        <v>174.03882816816062</v>
      </c>
      <c r="U58" s="87">
        <f>IF(TrRoad_act!U34=0,0,U21/TrRoad_act!U34*1000
)</f>
        <v>169.8090697651015</v>
      </c>
      <c r="V58" s="87">
        <f>IF(TrRoad_act!V34=0,0,V21/TrRoad_act!V34*1000
)</f>
        <v>168.0676944479265</v>
      </c>
      <c r="W58" s="87">
        <f>IF(TrRoad_act!W34=0,0,W21/TrRoad_act!W34*1000
)</f>
        <v>166.56211898811017</v>
      </c>
      <c r="X58" s="87">
        <f>IF(TrRoad_act!X34=0,0,X21/TrRoad_act!X34*1000
)</f>
        <v>165.83711502323197</v>
      </c>
      <c r="Y58" s="87">
        <f>IF(TrRoad_act!Y34=0,0,Y21/TrRoad_act!Y34*1000
)</f>
        <v>164.58206141096909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206.88700435095487</v>
      </c>
      <c r="C59" s="87">
        <f>IF(TrRoad_act!C35=0,0,C22/TrRoad_act!C35*1000
)</f>
        <v>183.96519083790136</v>
      </c>
      <c r="D59" s="87">
        <f>IF(TrRoad_act!D35=0,0,D22/TrRoad_act!D35*1000
)</f>
        <v>186.13532005632808</v>
      </c>
      <c r="E59" s="87">
        <f>IF(TrRoad_act!E35=0,0,E22/TrRoad_act!E35*1000
)</f>
        <v>188.61916978151476</v>
      </c>
      <c r="F59" s="87">
        <f>IF(TrRoad_act!F35=0,0,F22/TrRoad_act!F35*1000
)</f>
        <v>192.57283733142813</v>
      </c>
      <c r="G59" s="87">
        <f>IF(TrRoad_act!G35=0,0,G22/TrRoad_act!G35*1000
)</f>
        <v>199.06097336896005</v>
      </c>
      <c r="H59" s="87">
        <f>IF(TrRoad_act!H35=0,0,H22/TrRoad_act!H35*1000
)</f>
        <v>203.07258024208463</v>
      </c>
      <c r="I59" s="87">
        <f>IF(TrRoad_act!I35=0,0,I22/TrRoad_act!I35*1000
)</f>
        <v>199.99957585454234</v>
      </c>
      <c r="J59" s="87">
        <f>IF(TrRoad_act!J35=0,0,J22/TrRoad_act!J35*1000
)</f>
        <v>198.41840229682066</v>
      </c>
      <c r="K59" s="87">
        <f>IF(TrRoad_act!K35=0,0,K22/TrRoad_act!K35*1000
)</f>
        <v>193.65598882285531</v>
      </c>
      <c r="L59" s="87">
        <f>IF(TrRoad_act!L35=0,0,L22/TrRoad_act!L35*1000
)</f>
        <v>199.84853247724692</v>
      </c>
      <c r="M59" s="87">
        <f>IF(TrRoad_act!M35=0,0,M22/TrRoad_act!M35*1000
)</f>
        <v>193.75598929042991</v>
      </c>
      <c r="N59" s="87">
        <f>IF(TrRoad_act!N35=0,0,N22/TrRoad_act!N35*1000
)</f>
        <v>191.68687057688805</v>
      </c>
      <c r="O59" s="87">
        <f>IF(TrRoad_act!O35=0,0,O22/TrRoad_act!O35*1000
)</f>
        <v>189.79417606290372</v>
      </c>
      <c r="P59" s="87">
        <f>IF(TrRoad_act!P35=0,0,P22/TrRoad_act!P35*1000
)</f>
        <v>187.5783866670985</v>
      </c>
      <c r="Q59" s="87">
        <f>IF(TrRoad_act!Q35=0,0,Q22/TrRoad_act!Q35*1000
)</f>
        <v>185.94478904236396</v>
      </c>
      <c r="R59" s="87">
        <f>IF(TrRoad_act!R35=0,0,R22/TrRoad_act!R35*1000
)</f>
        <v>186.7976158218523</v>
      </c>
      <c r="S59" s="87">
        <f>IF(TrRoad_act!S35=0,0,S22/TrRoad_act!S35*1000
)</f>
        <v>188.97605996221247</v>
      </c>
      <c r="T59" s="87">
        <f>IF(TrRoad_act!T35=0,0,T22/TrRoad_act!T35*1000
)</f>
        <v>186.81582737840696</v>
      </c>
      <c r="U59" s="87">
        <f>IF(TrRoad_act!U35=0,0,U22/TrRoad_act!U35*1000
)</f>
        <v>185.02846858043247</v>
      </c>
      <c r="V59" s="87">
        <f>IF(TrRoad_act!V35=0,0,V22/TrRoad_act!V35*1000
)</f>
        <v>178.27003381187859</v>
      </c>
      <c r="W59" s="87">
        <f>IF(TrRoad_act!W35=0,0,W22/TrRoad_act!W35*1000
)</f>
        <v>167.02089823982809</v>
      </c>
      <c r="X59" s="87">
        <f>IF(TrRoad_act!X35=0,0,X22/TrRoad_act!X35*1000
)</f>
        <v>164.88493779694443</v>
      </c>
      <c r="Y59" s="87">
        <f>IF(TrRoad_act!Y35=0,0,Y22/TrRoad_act!Y35*1000
)</f>
        <v>166.9919125901767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236.91763764664191</v>
      </c>
      <c r="C60" s="87">
        <f>IF(TrRoad_act!C36=0,0,C23/TrRoad_act!C36*1000
)</f>
        <v>224.9787927862817</v>
      </c>
      <c r="D60" s="87">
        <f>IF(TrRoad_act!D36=0,0,D23/TrRoad_act!D36*1000
)</f>
        <v>223.02299960682069</v>
      </c>
      <c r="E60" s="87">
        <f>IF(TrRoad_act!E36=0,0,E23/TrRoad_act!E36*1000
)</f>
        <v>202.24178849645725</v>
      </c>
      <c r="F60" s="87">
        <f>IF(TrRoad_act!F36=0,0,F23/TrRoad_act!F36*1000
)</f>
        <v>201.83670622375629</v>
      </c>
      <c r="G60" s="87">
        <f>IF(TrRoad_act!G36=0,0,G23/TrRoad_act!G36*1000
)</f>
        <v>200.75893327138101</v>
      </c>
      <c r="H60" s="87">
        <f>IF(TrRoad_act!H36=0,0,H23/TrRoad_act!H36*1000
)</f>
        <v>200.75330621577044</v>
      </c>
      <c r="I60" s="87">
        <f>IF(TrRoad_act!I36=0,0,I23/TrRoad_act!I36*1000
)</f>
        <v>199.7013631542444</v>
      </c>
      <c r="J60" s="87">
        <f>IF(TrRoad_act!J36=0,0,J23/TrRoad_act!J36*1000
)</f>
        <v>199.84584360491317</v>
      </c>
      <c r="K60" s="87">
        <f>IF(TrRoad_act!K36=0,0,K23/TrRoad_act!K36*1000
)</f>
        <v>199.60847105009344</v>
      </c>
      <c r="L60" s="87">
        <f>IF(TrRoad_act!L36=0,0,L23/TrRoad_act!L36*1000
)</f>
        <v>199.63834364117355</v>
      </c>
      <c r="M60" s="87">
        <f>IF(TrRoad_act!M36=0,0,M23/TrRoad_act!M36*1000
)</f>
        <v>200.31711961907277</v>
      </c>
      <c r="N60" s="87">
        <f>IF(TrRoad_act!N36=0,0,N23/TrRoad_act!N36*1000
)</f>
        <v>201.41728241105949</v>
      </c>
      <c r="O60" s="87">
        <f>IF(TrRoad_act!O36=0,0,O23/TrRoad_act!O36*1000
)</f>
        <v>202.1229793800251</v>
      </c>
      <c r="P60" s="87">
        <f>IF(TrRoad_act!P36=0,0,P23/TrRoad_act!P36*1000
)</f>
        <v>202.48066766866393</v>
      </c>
      <c r="Q60" s="87">
        <f>IF(TrRoad_act!Q36=0,0,Q23/TrRoad_act!Q36*1000
)</f>
        <v>204.82049660723123</v>
      </c>
      <c r="R60" s="87">
        <f>IF(TrRoad_act!R36=0,0,R23/TrRoad_act!R36*1000
)</f>
        <v>204.64385611717015</v>
      </c>
      <c r="S60" s="87">
        <f>IF(TrRoad_act!S36=0,0,S23/TrRoad_act!S36*1000
)</f>
        <v>217.50933889522238</v>
      </c>
      <c r="T60" s="87">
        <f>IF(TrRoad_act!T36=0,0,T23/TrRoad_act!T36*1000
)</f>
        <v>219.25401270237396</v>
      </c>
      <c r="U60" s="87">
        <f>IF(TrRoad_act!U36=0,0,U23/TrRoad_act!U36*1000
)</f>
        <v>219.0972868358985</v>
      </c>
      <c r="V60" s="87">
        <f>IF(TrRoad_act!V36=0,0,V23/TrRoad_act!V36*1000
)</f>
        <v>210.92792691049556</v>
      </c>
      <c r="W60" s="87">
        <f>IF(TrRoad_act!W36=0,0,W23/TrRoad_act!W36*1000
)</f>
        <v>214.06481132993565</v>
      </c>
      <c r="X60" s="87">
        <f>IF(TrRoad_act!X36=0,0,X23/TrRoad_act!X36*1000
)</f>
        <v>246.16269708170856</v>
      </c>
      <c r="Y60" s="87">
        <f>IF(TrRoad_act!Y36=0,0,Y23/TrRoad_act!Y36*1000
)</f>
        <v>374.84208364594122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183.3972043217687</v>
      </c>
      <c r="K61" s="87">
        <f>IF(TrRoad_act!K37=0,0,K24/TrRoad_act!K37*1000
)</f>
        <v>185.72065338734259</v>
      </c>
      <c r="L61" s="87">
        <f>IF(TrRoad_act!L37=0,0,L24/TrRoad_act!L37*1000
)</f>
        <v>180.75294628320589</v>
      </c>
      <c r="M61" s="87">
        <f>IF(TrRoad_act!M37=0,0,M24/TrRoad_act!M37*1000
)</f>
        <v>181.49173697144931</v>
      </c>
      <c r="N61" s="87">
        <f>IF(TrRoad_act!N37=0,0,N24/TrRoad_act!N37*1000
)</f>
        <v>174.63013192133877</v>
      </c>
      <c r="O61" s="87">
        <f>IF(TrRoad_act!O37=0,0,O24/TrRoad_act!O37*1000
)</f>
        <v>162.62726369469911</v>
      </c>
      <c r="P61" s="87">
        <f>IF(TrRoad_act!P37=0,0,P24/TrRoad_act!P37*1000
)</f>
        <v>152.46012325709171</v>
      </c>
      <c r="Q61" s="87">
        <f>IF(TrRoad_act!Q37=0,0,Q24/TrRoad_act!Q37*1000
)</f>
        <v>141.87332822479831</v>
      </c>
      <c r="R61" s="87">
        <f>IF(TrRoad_act!R37=0,0,R24/TrRoad_act!R37*1000
)</f>
        <v>136.00809764047742</v>
      </c>
      <c r="S61" s="87">
        <f>IF(TrRoad_act!S37=0,0,S24/TrRoad_act!S37*1000
)</f>
        <v>134.28147817106037</v>
      </c>
      <c r="T61" s="87">
        <f>IF(TrRoad_act!T37=0,0,T24/TrRoad_act!T37*1000
)</f>
        <v>134.49458290940109</v>
      </c>
      <c r="U61" s="87">
        <f>IF(TrRoad_act!U37=0,0,U24/TrRoad_act!U37*1000
)</f>
        <v>133.75763869599547</v>
      </c>
      <c r="V61" s="87">
        <f>IF(TrRoad_act!V37=0,0,V24/TrRoad_act!V37*1000
)</f>
        <v>132.38777409545074</v>
      </c>
      <c r="W61" s="87">
        <f>IF(TrRoad_act!W37=0,0,W24/TrRoad_act!W37*1000
)</f>
        <v>130.58015618549663</v>
      </c>
      <c r="X61" s="87">
        <f>IF(TrRoad_act!X37=0,0,X24/TrRoad_act!X37*1000
)</f>
        <v>129.17158369759977</v>
      </c>
      <c r="Y61" s="87">
        <f>IF(TrRoad_act!Y37=0,0,Y24/TrRoad_act!Y37*1000
)</f>
        <v>128.6676591485359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47.027377138635551</v>
      </c>
      <c r="O62" s="87">
        <f>IF(TrRoad_act!O38=0,0,O25/TrRoad_act!O38*1000
)</f>
        <v>49.259597836266671</v>
      </c>
      <c r="P62" s="87">
        <f>IF(TrRoad_act!P38=0,0,P25/TrRoad_act!P38*1000
)</f>
        <v>35.138420079942421</v>
      </c>
      <c r="Q62" s="87">
        <f>IF(TrRoad_act!Q38=0,0,Q25/TrRoad_act!Q38*1000
)</f>
        <v>59.288889842399414</v>
      </c>
      <c r="R62" s="87">
        <f>IF(TrRoad_act!R38=0,0,R25/TrRoad_act!R38*1000
)</f>
        <v>49.675339348312342</v>
      </c>
      <c r="S62" s="87">
        <f>IF(TrRoad_act!S38=0,0,S25/TrRoad_act!S38*1000
)</f>
        <v>55.596283285412333</v>
      </c>
      <c r="T62" s="87">
        <f>IF(TrRoad_act!T38=0,0,T25/TrRoad_act!T38*1000
)</f>
        <v>53.651025103749923</v>
      </c>
      <c r="U62" s="87">
        <f>IF(TrRoad_act!U38=0,0,U25/TrRoad_act!U38*1000
)</f>
        <v>51.354255415455462</v>
      </c>
      <c r="V62" s="87">
        <f>IF(TrRoad_act!V38=0,0,V25/TrRoad_act!V38*1000
)</f>
        <v>46.181505478419652</v>
      </c>
      <c r="W62" s="87">
        <f>IF(TrRoad_act!W38=0,0,W25/TrRoad_act!W38*1000
)</f>
        <v>38.239692284900848</v>
      </c>
      <c r="X62" s="87">
        <f>IF(TrRoad_act!X38=0,0,X25/TrRoad_act!X38*1000
)</f>
        <v>37.282464652351408</v>
      </c>
      <c r="Y62" s="87">
        <f>IF(TrRoad_act!Y38=0,0,Y25/TrRoad_act!Y38*1000
)</f>
        <v>34.666405736532518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1530.0599165945782</v>
      </c>
      <c r="C64" s="116">
        <f>IF(TrRoad_act!C40=0,0,C27/TrRoad_act!C40*1000
)</f>
        <v>1533.391009807533</v>
      </c>
      <c r="D64" s="116">
        <f>IF(TrRoad_act!D40=0,0,D27/TrRoad_act!D40*1000
)</f>
        <v>1508.2766911782401</v>
      </c>
      <c r="E64" s="116">
        <f>IF(TrRoad_act!E40=0,0,E27/TrRoad_act!E40*1000
)</f>
        <v>1503.5987823969199</v>
      </c>
      <c r="F64" s="116">
        <f>IF(TrRoad_act!F40=0,0,F27/TrRoad_act!F40*1000
)</f>
        <v>1509.9776521097644</v>
      </c>
      <c r="G64" s="116">
        <f>IF(TrRoad_act!G40=0,0,G27/TrRoad_act!G40*1000
)</f>
        <v>1518.792331661949</v>
      </c>
      <c r="H64" s="116">
        <f>IF(TrRoad_act!H40=0,0,H27/TrRoad_act!H40*1000
)</f>
        <v>1527.350852345294</v>
      </c>
      <c r="I64" s="116">
        <f>IF(TrRoad_act!I40=0,0,I27/TrRoad_act!I40*1000
)</f>
        <v>1513.0125766668932</v>
      </c>
      <c r="J64" s="116">
        <f>IF(TrRoad_act!J40=0,0,J27/TrRoad_act!J40*1000
)</f>
        <v>1495.732509834726</v>
      </c>
      <c r="K64" s="116">
        <f>IF(TrRoad_act!K40=0,0,K27/TrRoad_act!K40*1000
)</f>
        <v>1475.2953850552267</v>
      </c>
      <c r="L64" s="116">
        <f>IF(TrRoad_act!L40=0,0,L27/TrRoad_act!L40*1000
)</f>
        <v>1467.2457016357216</v>
      </c>
      <c r="M64" s="116">
        <f>IF(TrRoad_act!M40=0,0,M27/TrRoad_act!M40*1000
)</f>
        <v>1443.1656327046164</v>
      </c>
      <c r="N64" s="116">
        <f>IF(TrRoad_act!N40=0,0,N27/TrRoad_act!N40*1000
)</f>
        <v>1458.2352519604788</v>
      </c>
      <c r="O64" s="116">
        <f>IF(TrRoad_act!O40=0,0,O27/TrRoad_act!O40*1000
)</f>
        <v>1464.61215013018</v>
      </c>
      <c r="P64" s="116">
        <f>IF(TrRoad_act!P40=0,0,P27/TrRoad_act!P40*1000
)</f>
        <v>1489.9132644659196</v>
      </c>
      <c r="Q64" s="116">
        <f>IF(TrRoad_act!Q40=0,0,Q27/TrRoad_act!Q40*1000
)</f>
        <v>1514.0102639043071</v>
      </c>
      <c r="R64" s="116">
        <f>IF(TrRoad_act!R40=0,0,R27/TrRoad_act!R40*1000
)</f>
        <v>1505.8608765108884</v>
      </c>
      <c r="S64" s="116">
        <f>IF(TrRoad_act!S40=0,0,S27/TrRoad_act!S40*1000
)</f>
        <v>1497.2409446994038</v>
      </c>
      <c r="T64" s="116">
        <f>IF(TrRoad_act!T40=0,0,T27/TrRoad_act!T40*1000
)</f>
        <v>1493.1469849288371</v>
      </c>
      <c r="U64" s="116">
        <f>IF(TrRoad_act!U40=0,0,U27/TrRoad_act!U40*1000
)</f>
        <v>1499.8113112904143</v>
      </c>
      <c r="V64" s="116">
        <f>IF(TrRoad_act!V40=0,0,V27/TrRoad_act!V40*1000
)</f>
        <v>1502.1701293918625</v>
      </c>
      <c r="W64" s="116">
        <f>IF(TrRoad_act!W40=0,0,W27/TrRoad_act!W40*1000
)</f>
        <v>1514.6232597143849</v>
      </c>
      <c r="X64" s="116">
        <f>IF(TrRoad_act!X40=0,0,X27/TrRoad_act!X40*1000
)</f>
        <v>1454.8029061544783</v>
      </c>
      <c r="Y64" s="116">
        <f>IF(TrRoad_act!Y40=0,0,Y27/TrRoad_act!Y40*1000
)</f>
        <v>1448.925445693297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593.07697422909519</v>
      </c>
      <c r="C65" s="101">
        <f>IF(TrRoad_act!C41=0,0,C28/TrRoad_act!C41*1000
)</f>
        <v>593.07697422909541</v>
      </c>
      <c r="D65" s="101">
        <f>IF(TrRoad_act!D41=0,0,D28/TrRoad_act!D41*1000
)</f>
        <v>593.0769742290953</v>
      </c>
      <c r="E65" s="101">
        <f>IF(TrRoad_act!E41=0,0,E28/TrRoad_act!E41*1000
)</f>
        <v>593.07697422909507</v>
      </c>
      <c r="F65" s="101">
        <f>IF(TrRoad_act!F41=0,0,F28/TrRoad_act!F41*1000
)</f>
        <v>593.0769742290953</v>
      </c>
      <c r="G65" s="101">
        <f>IF(TrRoad_act!G41=0,0,G28/TrRoad_act!G41*1000
)</f>
        <v>593.07697422909507</v>
      </c>
      <c r="H65" s="101">
        <f>IF(TrRoad_act!H41=0,0,H28/TrRoad_act!H41*1000
)</f>
        <v>592.71356167897227</v>
      </c>
      <c r="I65" s="101">
        <f>IF(TrRoad_act!I41=0,0,I28/TrRoad_act!I41*1000
)</f>
        <v>593.07697422909519</v>
      </c>
      <c r="J65" s="101">
        <f>IF(TrRoad_act!J41=0,0,J28/TrRoad_act!J41*1000
)</f>
        <v>583.45174022387698</v>
      </c>
      <c r="K65" s="101">
        <f>IF(TrRoad_act!K41=0,0,K28/TrRoad_act!K41*1000
)</f>
        <v>576.62618726922256</v>
      </c>
      <c r="L65" s="101">
        <f>IF(TrRoad_act!L41=0,0,L28/TrRoad_act!L41*1000
)</f>
        <v>575.2046765410139</v>
      </c>
      <c r="M65" s="101">
        <f>IF(TrRoad_act!M41=0,0,M28/TrRoad_act!M41*1000
)</f>
        <v>573.71180000629784</v>
      </c>
      <c r="N65" s="101">
        <f>IF(TrRoad_act!N41=0,0,N28/TrRoad_act!N41*1000
)</f>
        <v>573.84397449049277</v>
      </c>
      <c r="O65" s="101">
        <f>IF(TrRoad_act!O41=0,0,O28/TrRoad_act!O41*1000
)</f>
        <v>573.57101424505686</v>
      </c>
      <c r="P65" s="101">
        <f>IF(TrRoad_act!P41=0,0,P28/TrRoad_act!P41*1000
)</f>
        <v>569.05087113828256</v>
      </c>
      <c r="Q65" s="101">
        <f>IF(TrRoad_act!Q41=0,0,Q28/TrRoad_act!Q41*1000
)</f>
        <v>570.13351705622438</v>
      </c>
      <c r="R65" s="101">
        <f>IF(TrRoad_act!R41=0,0,R28/TrRoad_act!R41*1000
)</f>
        <v>575.85712799903717</v>
      </c>
      <c r="S65" s="101">
        <f>IF(TrRoad_act!S41=0,0,S28/TrRoad_act!S41*1000
)</f>
        <v>571.87480272409164</v>
      </c>
      <c r="T65" s="101">
        <f>IF(TrRoad_act!T41=0,0,T28/TrRoad_act!T41*1000
)</f>
        <v>571.2240888105058</v>
      </c>
      <c r="U65" s="101">
        <f>IF(TrRoad_act!U41=0,0,U28/TrRoad_act!U41*1000
)</f>
        <v>567.04865166495154</v>
      </c>
      <c r="V65" s="101">
        <f>IF(TrRoad_act!V41=0,0,V28/TrRoad_act!V41*1000
)</f>
        <v>567.44066667530035</v>
      </c>
      <c r="W65" s="101">
        <f>IF(TrRoad_act!W41=0,0,W28/TrRoad_act!W41*1000
)</f>
        <v>572.13243716312638</v>
      </c>
      <c r="X65" s="101">
        <f>IF(TrRoad_act!X41=0,0,X28/TrRoad_act!X41*1000
)</f>
        <v>570.3072663370815</v>
      </c>
      <c r="Y65" s="101">
        <f>IF(TrRoad_act!Y41=0,0,Y28/TrRoad_act!Y41*1000
)</f>
        <v>571.78617910721346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1680.3669002146391</v>
      </c>
      <c r="C66" s="101">
        <f>IF(TrRoad_act!C42=0,0,C29/TrRoad_act!C42*1000
)</f>
        <v>1669.3918254710359</v>
      </c>
      <c r="D66" s="101">
        <f>IF(TrRoad_act!D42=0,0,D29/TrRoad_act!D42*1000
)</f>
        <v>1652.4031760797163</v>
      </c>
      <c r="E66" s="101">
        <f>IF(TrRoad_act!E42=0,0,E29/TrRoad_act!E42*1000
)</f>
        <v>1649.8127597514745</v>
      </c>
      <c r="F66" s="101">
        <f>IF(TrRoad_act!F42=0,0,F29/TrRoad_act!F42*1000
)</f>
        <v>1656.8035611935759</v>
      </c>
      <c r="G66" s="101">
        <f>IF(TrRoad_act!G42=0,0,G29/TrRoad_act!G42*1000
)</f>
        <v>1667.8021397294058</v>
      </c>
      <c r="H66" s="101">
        <f>IF(TrRoad_act!H42=0,0,H29/TrRoad_act!H42*1000
)</f>
        <v>1656.6194782163209</v>
      </c>
      <c r="I66" s="101">
        <f>IF(TrRoad_act!I42=0,0,I29/TrRoad_act!I42*1000
)</f>
        <v>1647.4907586644817</v>
      </c>
      <c r="J66" s="101">
        <f>IF(TrRoad_act!J42=0,0,J29/TrRoad_act!J42*1000
)</f>
        <v>1624.9806514191935</v>
      </c>
      <c r="K66" s="101">
        <f>IF(TrRoad_act!K42=0,0,K29/TrRoad_act!K42*1000
)</f>
        <v>1594.1647058474664</v>
      </c>
      <c r="L66" s="101">
        <f>IF(TrRoad_act!L42=0,0,L29/TrRoad_act!L42*1000
)</f>
        <v>1575.5984251719819</v>
      </c>
      <c r="M66" s="101">
        <f>IF(TrRoad_act!M42=0,0,M29/TrRoad_act!M42*1000
)</f>
        <v>1547.0876735879624</v>
      </c>
      <c r="N66" s="101">
        <f>IF(TrRoad_act!N42=0,0,N29/TrRoad_act!N42*1000
)</f>
        <v>1558.1699726701906</v>
      </c>
      <c r="O66" s="101">
        <f>IF(TrRoad_act!O42=0,0,O29/TrRoad_act!O42*1000
)</f>
        <v>1560.2601162495725</v>
      </c>
      <c r="P66" s="101">
        <f>IF(TrRoad_act!P42=0,0,P29/TrRoad_act!P42*1000
)</f>
        <v>1558.1195760940564</v>
      </c>
      <c r="Q66" s="101">
        <f>IF(TrRoad_act!Q42=0,0,Q29/TrRoad_act!Q42*1000
)</f>
        <v>1574.7661760097783</v>
      </c>
      <c r="R66" s="101">
        <f>IF(TrRoad_act!R42=0,0,R29/TrRoad_act!R42*1000
)</f>
        <v>1580.7107679195099</v>
      </c>
      <c r="S66" s="101">
        <f>IF(TrRoad_act!S42=0,0,S29/TrRoad_act!S42*1000
)</f>
        <v>1586.1502294597556</v>
      </c>
      <c r="T66" s="101">
        <f>IF(TrRoad_act!T42=0,0,T29/TrRoad_act!T42*1000
)</f>
        <v>1589.9868216263603</v>
      </c>
      <c r="U66" s="101">
        <f>IF(TrRoad_act!U42=0,0,U29/TrRoad_act!U42*1000
)</f>
        <v>1581.9519585974069</v>
      </c>
      <c r="V66" s="101">
        <f>IF(TrRoad_act!V42=0,0,V29/TrRoad_act!V42*1000
)</f>
        <v>1558.7094100130607</v>
      </c>
      <c r="W66" s="101">
        <f>IF(TrRoad_act!W42=0,0,W29/TrRoad_act!W42*1000
)</f>
        <v>1559.0321700785903</v>
      </c>
      <c r="X66" s="101">
        <f>IF(TrRoad_act!X42=0,0,X29/TrRoad_act!X42*1000
)</f>
        <v>1549.663804540947</v>
      </c>
      <c r="Y66" s="101">
        <f>IF(TrRoad_act!Y42=0,0,Y29/TrRoad_act!Y42*1000
)</f>
        <v>1533.6724674115439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1218.1010760920049</v>
      </c>
      <c r="W67" s="101">
        <f>IF(TrRoad_act!W43=0,0,W30/TrRoad_act!W43*1000
)</f>
        <v>1218.1010760920051</v>
      </c>
      <c r="X67" s="101">
        <f>IF(TrRoad_act!X43=0,0,X30/TrRoad_act!X43*1000
)</f>
        <v>1218.1010760920051</v>
      </c>
      <c r="Y67" s="101">
        <f>IF(TrRoad_act!Y43=0,0,Y30/TrRoad_act!Y43*1000
)</f>
        <v>1218.1010760920049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1080.5567149865674</v>
      </c>
      <c r="C68" s="101">
        <f>IF(TrRoad_act!C44=0,0,C31/TrRoad_act!C44*1000
)</f>
        <v>1064.3802482617427</v>
      </c>
      <c r="D68" s="101">
        <f>IF(TrRoad_act!D44=0,0,D31/TrRoad_act!D44*1000
)</f>
        <v>1046.1909062598365</v>
      </c>
      <c r="E68" s="101">
        <f>IF(TrRoad_act!E44=0,0,E31/TrRoad_act!E44*1000
)</f>
        <v>1035.3568470427692</v>
      </c>
      <c r="F68" s="101">
        <f>IF(TrRoad_act!F44=0,0,F31/TrRoad_act!F44*1000
)</f>
        <v>1256.9108577717745</v>
      </c>
      <c r="G68" s="101">
        <f>IF(TrRoad_act!G44=0,0,G31/TrRoad_act!G44*1000
)</f>
        <v>1087.6787988822823</v>
      </c>
      <c r="H68" s="101">
        <f>IF(TrRoad_act!H44=0,0,H31/TrRoad_act!H44*1000
)</f>
        <v>1583.2417113257586</v>
      </c>
      <c r="I68" s="101">
        <f>IF(TrRoad_act!I44=0,0,I31/TrRoad_act!I44*1000
)</f>
        <v>1016.6188948465762</v>
      </c>
      <c r="J68" s="101">
        <f>IF(TrRoad_act!J44=0,0,J31/TrRoad_act!J44*1000
)</f>
        <v>1023.9451803557769</v>
      </c>
      <c r="K68" s="101">
        <f>IF(TrRoad_act!K44=0,0,K31/TrRoad_act!K44*1000
)</f>
        <v>1196.0279510076296</v>
      </c>
      <c r="L68" s="101">
        <f>IF(TrRoad_act!L44=0,0,L31/TrRoad_act!L44*1000
)</f>
        <v>1576.40108465963</v>
      </c>
      <c r="M68" s="101">
        <f>IF(TrRoad_act!M44=0,0,M31/TrRoad_act!M44*1000
)</f>
        <v>1762.2928405335895</v>
      </c>
      <c r="N68" s="101">
        <f>IF(TrRoad_act!N44=0,0,N31/TrRoad_act!N44*1000
)</f>
        <v>2036.1991634454735</v>
      </c>
      <c r="O68" s="101">
        <f>IF(TrRoad_act!O44=0,0,O31/TrRoad_act!O44*1000
)</f>
        <v>2087.3998600287455</v>
      </c>
      <c r="P68" s="101">
        <f>IF(TrRoad_act!P44=0,0,P31/TrRoad_act!P44*1000
)</f>
        <v>3502.8028872137684</v>
      </c>
      <c r="Q68" s="101">
        <f>IF(TrRoad_act!Q44=0,0,Q31/TrRoad_act!Q44*1000
)</f>
        <v>3239.4712166924232</v>
      </c>
      <c r="R68" s="101">
        <f>IF(TrRoad_act!R44=0,0,R31/TrRoad_act!R44*1000
)</f>
        <v>2462.8970289893032</v>
      </c>
      <c r="S68" s="101">
        <f>IF(TrRoad_act!S44=0,0,S31/TrRoad_act!S44*1000
)</f>
        <v>1907.4300518344364</v>
      </c>
      <c r="T68" s="101">
        <f>IF(TrRoad_act!T44=0,0,T31/TrRoad_act!T44*1000
)</f>
        <v>1810.3515057162331</v>
      </c>
      <c r="U68" s="101">
        <f>IF(TrRoad_act!U44=0,0,U31/TrRoad_act!U44*1000
)</f>
        <v>1885.9333754811635</v>
      </c>
      <c r="V68" s="101">
        <f>IF(TrRoad_act!V44=0,0,V31/TrRoad_act!V44*1000
)</f>
        <v>2168.6083162171153</v>
      </c>
      <c r="W68" s="101">
        <f>IF(TrRoad_act!W44=0,0,W31/TrRoad_act!W44*1000
)</f>
        <v>2386.888605710014</v>
      </c>
      <c r="X68" s="101">
        <f>IF(TrRoad_act!X44=0,0,X31/TrRoad_act!X44*1000
)</f>
        <v>1784.4088209586225</v>
      </c>
      <c r="Y68" s="101">
        <f>IF(TrRoad_act!Y44=0,0,Y31/TrRoad_act!Y44*1000
)</f>
        <v>1896.4857862177976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815.27389558664606</v>
      </c>
      <c r="C70" s="29">
        <f>IF(TrRoad_act!C46=0,0,C33/TrRoad_act!C46*1000
)</f>
        <v>784.56095577314056</v>
      </c>
      <c r="D70" s="29">
        <f>IF(TrRoad_act!D46=0,0,D33/TrRoad_act!D46*1000
)</f>
        <v>756.06996402071707</v>
      </c>
      <c r="E70" s="29">
        <f>IF(TrRoad_act!E46=0,0,E33/TrRoad_act!E46*1000
)</f>
        <v>796.78733780310381</v>
      </c>
      <c r="F70" s="29">
        <f>IF(TrRoad_act!F46=0,0,F33/TrRoad_act!F46*1000
)</f>
        <v>782.37087475532712</v>
      </c>
      <c r="G70" s="29">
        <f>IF(TrRoad_act!G46=0,0,G33/TrRoad_act!G46*1000
)</f>
        <v>798.1244768505278</v>
      </c>
      <c r="H70" s="29">
        <f>IF(TrRoad_act!H46=0,0,H33/TrRoad_act!H46*1000
)</f>
        <v>806.00256576506968</v>
      </c>
      <c r="I70" s="29">
        <f>IF(TrRoad_act!I46=0,0,I33/TrRoad_act!I46*1000
)</f>
        <v>810.39952924100578</v>
      </c>
      <c r="J70" s="29">
        <f>IF(TrRoad_act!J46=0,0,J33/TrRoad_act!J46*1000
)</f>
        <v>741.78650722021882</v>
      </c>
      <c r="K70" s="29">
        <f>IF(TrRoad_act!K46=0,0,K33/TrRoad_act!K46*1000
)</f>
        <v>717.79870919150312</v>
      </c>
      <c r="L70" s="29">
        <f>IF(TrRoad_act!L46=0,0,L33/TrRoad_act!L46*1000
)</f>
        <v>645.5805363033295</v>
      </c>
      <c r="M70" s="29">
        <f>IF(TrRoad_act!M46=0,0,M33/TrRoad_act!M46*1000
)</f>
        <v>623.19164160753201</v>
      </c>
      <c r="N70" s="29">
        <f>IF(TrRoad_act!N46=0,0,N33/TrRoad_act!N46*1000
)</f>
        <v>618.05590127426933</v>
      </c>
      <c r="O70" s="29">
        <f>IF(TrRoad_act!O46=0,0,O33/TrRoad_act!O46*1000
)</f>
        <v>573.98374140467445</v>
      </c>
      <c r="P70" s="29">
        <f>IF(TrRoad_act!P46=0,0,P33/TrRoad_act!P46*1000
)</f>
        <v>561.98652388698065</v>
      </c>
      <c r="Q70" s="29">
        <f>IF(TrRoad_act!Q46=0,0,Q33/TrRoad_act!Q46*1000
)</f>
        <v>555.99600943050962</v>
      </c>
      <c r="R70" s="29">
        <f>IF(TrRoad_act!R46=0,0,R33/TrRoad_act!R46*1000
)</f>
        <v>620.67592112946727</v>
      </c>
      <c r="S70" s="29">
        <f>IF(TrRoad_act!S46=0,0,S33/TrRoad_act!S46*1000
)</f>
        <v>621.56284777613689</v>
      </c>
      <c r="T70" s="29">
        <f>IF(TrRoad_act!T46=0,0,T33/TrRoad_act!T46*1000
)</f>
        <v>616.64673055969922</v>
      </c>
      <c r="U70" s="29">
        <f>IF(TrRoad_act!U46=0,0,U33/TrRoad_act!U46*1000
)</f>
        <v>604.95929731454714</v>
      </c>
      <c r="V70" s="29">
        <f>IF(TrRoad_act!V46=0,0,V33/TrRoad_act!V46*1000
)</f>
        <v>551.90820923377009</v>
      </c>
      <c r="W70" s="29">
        <f>IF(TrRoad_act!W46=0,0,W33/TrRoad_act!W46*1000
)</f>
        <v>591.70453656384848</v>
      </c>
      <c r="X70" s="29">
        <f>IF(TrRoad_act!X46=0,0,X33/TrRoad_act!X46*1000
)</f>
        <v>598.58632596267046</v>
      </c>
      <c r="Y70" s="29">
        <f>IF(TrRoad_act!Y46=0,0,Y33/TrRoad_act!Y46*1000
)</f>
        <v>603.8087220546546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342.24068102855023</v>
      </c>
      <c r="C71" s="152">
        <f>IF(TrRoad_act!C47=0,0,C34/TrRoad_act!C47*1000
)</f>
        <v>318.74038882095755</v>
      </c>
      <c r="D71" s="152">
        <f>IF(TrRoad_act!D47=0,0,D34/TrRoad_act!D47*1000
)</f>
        <v>308.09567759289968</v>
      </c>
      <c r="E71" s="152">
        <f>IF(TrRoad_act!E47=0,0,E34/TrRoad_act!E47*1000
)</f>
        <v>303.13663710373652</v>
      </c>
      <c r="F71" s="152">
        <f>IF(TrRoad_act!F47=0,0,F34/TrRoad_act!F47*1000
)</f>
        <v>300.95811048008551</v>
      </c>
      <c r="G71" s="152">
        <f>IF(TrRoad_act!G47=0,0,G34/TrRoad_act!G47*1000
)</f>
        <v>299.70966681336989</v>
      </c>
      <c r="H71" s="152">
        <f>IF(TrRoad_act!H47=0,0,H34/TrRoad_act!H47*1000
)</f>
        <v>295.96737372943448</v>
      </c>
      <c r="I71" s="152">
        <f>IF(TrRoad_act!I47=0,0,I34/TrRoad_act!I47*1000
)</f>
        <v>293.52195546723135</v>
      </c>
      <c r="J71" s="152">
        <f>IF(TrRoad_act!J47=0,0,J34/TrRoad_act!J47*1000
)</f>
        <v>289.75394968774879</v>
      </c>
      <c r="K71" s="152">
        <f>IF(TrRoad_act!K47=0,0,K34/TrRoad_act!K47*1000
)</f>
        <v>284.26986481405424</v>
      </c>
      <c r="L71" s="152">
        <f>IF(TrRoad_act!L47=0,0,L34/TrRoad_act!L47*1000
)</f>
        <v>281.54336622161924</v>
      </c>
      <c r="M71" s="152">
        <f>IF(TrRoad_act!M47=0,0,M34/TrRoad_act!M47*1000
)</f>
        <v>278.00061095189932</v>
      </c>
      <c r="N71" s="152">
        <f>IF(TrRoad_act!N47=0,0,N34/TrRoad_act!N47*1000
)</f>
        <v>279.82734107305242</v>
      </c>
      <c r="O71" s="152">
        <f>IF(TrRoad_act!O47=0,0,O34/TrRoad_act!O47*1000
)</f>
        <v>279.77296048787667</v>
      </c>
      <c r="P71" s="152">
        <f>IF(TrRoad_act!P47=0,0,P34/TrRoad_act!P47*1000
)</f>
        <v>278.86136511033715</v>
      </c>
      <c r="Q71" s="152">
        <f>IF(TrRoad_act!Q47=0,0,Q34/TrRoad_act!Q47*1000
)</f>
        <v>280.46560498142532</v>
      </c>
      <c r="R71" s="152">
        <f>IF(TrRoad_act!R47=0,0,R34/TrRoad_act!R47*1000
)</f>
        <v>280.83117576205507</v>
      </c>
      <c r="S71" s="152">
        <f>IF(TrRoad_act!S47=0,0,S34/TrRoad_act!S47*1000
)</f>
        <v>280.13682843486566</v>
      </c>
      <c r="T71" s="152">
        <f>IF(TrRoad_act!T47=0,0,T34/TrRoad_act!T47*1000
)</f>
        <v>279.33247967546572</v>
      </c>
      <c r="U71" s="152">
        <f>IF(TrRoad_act!U47=0,0,U34/TrRoad_act!U47*1000
)</f>
        <v>276.96528450531054</v>
      </c>
      <c r="V71" s="152">
        <f>IF(TrRoad_act!V47=0,0,V34/TrRoad_act!V47*1000
)</f>
        <v>273.95038191956894</v>
      </c>
      <c r="W71" s="152">
        <f>IF(TrRoad_act!W47=0,0,W34/TrRoad_act!W47*1000
)</f>
        <v>276.22065091558659</v>
      </c>
      <c r="X71" s="152">
        <f>IF(TrRoad_act!X47=0,0,X34/TrRoad_act!X47*1000
)</f>
        <v>277.3996270237385</v>
      </c>
      <c r="Y71" s="152">
        <f>IF(TrRoad_act!Y47=0,0,Y34/TrRoad_act!Y47*1000
)</f>
        <v>278.36705944873484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272.02036409564812</v>
      </c>
      <c r="C72" s="87">
        <f>IF(TrRoad_act!C48=0,0,C35/TrRoad_act!C48*1000
)</f>
        <v>263.93215156210982</v>
      </c>
      <c r="D72" s="87">
        <f>IF(TrRoad_act!D48=0,0,D35/TrRoad_act!D48*1000
)</f>
        <v>259.9136058499372</v>
      </c>
      <c r="E72" s="87">
        <f>IF(TrRoad_act!E48=0,0,E35/TrRoad_act!E48*1000
)</f>
        <v>258.37332472181907</v>
      </c>
      <c r="F72" s="87">
        <f>IF(TrRoad_act!F48=0,0,F35/TrRoad_act!F48*1000
)</f>
        <v>255.96095743526504</v>
      </c>
      <c r="G72" s="87">
        <f>IF(TrRoad_act!G48=0,0,G35/TrRoad_act!G48*1000
)</f>
        <v>252.93964857583677</v>
      </c>
      <c r="H72" s="87">
        <f>IF(TrRoad_act!H48=0,0,H35/TrRoad_act!H48*1000
)</f>
        <v>249.65237159625863</v>
      </c>
      <c r="I72" s="87">
        <f>IF(TrRoad_act!I48=0,0,I35/TrRoad_act!I48*1000
)</f>
        <v>247.54636459028461</v>
      </c>
      <c r="J72" s="87">
        <f>IF(TrRoad_act!J48=0,0,J35/TrRoad_act!J48*1000
)</f>
        <v>241.70904905874445</v>
      </c>
      <c r="K72" s="87">
        <f>IF(TrRoad_act!K48=0,0,K35/TrRoad_act!K48*1000
)</f>
        <v>237.92449130700336</v>
      </c>
      <c r="L72" s="87">
        <f>IF(TrRoad_act!L48=0,0,L35/TrRoad_act!L48*1000
)</f>
        <v>236.49426397776736</v>
      </c>
      <c r="M72" s="87">
        <f>IF(TrRoad_act!M48=0,0,M35/TrRoad_act!M48*1000
)</f>
        <v>235.54740821079741</v>
      </c>
      <c r="N72" s="87">
        <f>IF(TrRoad_act!N48=0,0,N35/TrRoad_act!N48*1000
)</f>
        <v>235.55173442871995</v>
      </c>
      <c r="O72" s="87">
        <f>IF(TrRoad_act!O48=0,0,O35/TrRoad_act!O48*1000
)</f>
        <v>235.88980729313272</v>
      </c>
      <c r="P72" s="87">
        <f>IF(TrRoad_act!P48=0,0,P35/TrRoad_act!P48*1000
)</f>
        <v>233.46480372299413</v>
      </c>
      <c r="Q72" s="87">
        <f>IF(TrRoad_act!Q48=0,0,Q35/TrRoad_act!Q48*1000
)</f>
        <v>232.56527701630878</v>
      </c>
      <c r="R72" s="87">
        <f>IF(TrRoad_act!R48=0,0,R35/TrRoad_act!R48*1000
)</f>
        <v>233.74798992932671</v>
      </c>
      <c r="S72" s="87">
        <f>IF(TrRoad_act!S48=0,0,S35/TrRoad_act!S48*1000
)</f>
        <v>230.72544988437087</v>
      </c>
      <c r="T72" s="87">
        <f>IF(TrRoad_act!T48=0,0,T35/TrRoad_act!T48*1000
)</f>
        <v>229.37150448928656</v>
      </c>
      <c r="U72" s="87">
        <f>IF(TrRoad_act!U48=0,0,U35/TrRoad_act!U48*1000
)</f>
        <v>226.56963806722348</v>
      </c>
      <c r="V72" s="87">
        <f>IF(TrRoad_act!V48=0,0,V35/TrRoad_act!V48*1000
)</f>
        <v>226.170213862189</v>
      </c>
      <c r="W72" s="87">
        <f>IF(TrRoad_act!W48=0,0,W35/TrRoad_act!W48*1000
)</f>
        <v>226.0605893450327</v>
      </c>
      <c r="X72" s="87">
        <f>IF(TrRoad_act!X48=0,0,X35/TrRoad_act!X48*1000
)</f>
        <v>224.03205906307196</v>
      </c>
      <c r="Y72" s="87">
        <f>IF(TrRoad_act!Y48=0,0,Y35/TrRoad_act!Y48*1000
)</f>
        <v>223.20839201234074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353.04025565217341</v>
      </c>
      <c r="C73" s="87">
        <f>IF(TrRoad_act!C49=0,0,C36/TrRoad_act!C49*1000
)</f>
        <v>324.67771710443566</v>
      </c>
      <c r="D73" s="87">
        <f>IF(TrRoad_act!D49=0,0,D36/TrRoad_act!D49*1000
)</f>
        <v>313.06493487952901</v>
      </c>
      <c r="E73" s="87">
        <f>IF(TrRoad_act!E49=0,0,E36/TrRoad_act!E49*1000
)</f>
        <v>306.72371333704325</v>
      </c>
      <c r="F73" s="87">
        <f>IF(TrRoad_act!F49=0,0,F36/TrRoad_act!F49*1000
)</f>
        <v>304.64765117525315</v>
      </c>
      <c r="G73" s="87">
        <f>IF(TrRoad_act!G49=0,0,G36/TrRoad_act!G49*1000
)</f>
        <v>304.07154403946242</v>
      </c>
      <c r="H73" s="87">
        <f>IF(TrRoad_act!H49=0,0,H36/TrRoad_act!H49*1000
)</f>
        <v>301.0421508955701</v>
      </c>
      <c r="I73" s="87">
        <f>IF(TrRoad_act!I49=0,0,I36/TrRoad_act!I49*1000
)</f>
        <v>299.06546144420014</v>
      </c>
      <c r="J73" s="87">
        <f>IF(TrRoad_act!J49=0,0,J36/TrRoad_act!J49*1000
)</f>
        <v>295.67348628901948</v>
      </c>
      <c r="K73" s="87">
        <f>IF(TrRoad_act!K49=0,0,K36/TrRoad_act!K49*1000
)</f>
        <v>289.64935261555206</v>
      </c>
      <c r="L73" s="87">
        <f>IF(TrRoad_act!L49=0,0,L36/TrRoad_act!L49*1000
)</f>
        <v>286.42806099717808</v>
      </c>
      <c r="M73" s="87">
        <f>IF(TrRoad_act!M49=0,0,M36/TrRoad_act!M49*1000
)</f>
        <v>282.30921177563943</v>
      </c>
      <c r="N73" s="87">
        <f>IF(TrRoad_act!N49=0,0,N36/TrRoad_act!N49*1000
)</f>
        <v>284.05267579215513</v>
      </c>
      <c r="O73" s="87">
        <f>IF(TrRoad_act!O49=0,0,O36/TrRoad_act!O49*1000
)</f>
        <v>283.75383660516593</v>
      </c>
      <c r="P73" s="87">
        <f>IF(TrRoad_act!P49=0,0,P36/TrRoad_act!P49*1000
)</f>
        <v>282.62478298178337</v>
      </c>
      <c r="Q73" s="87">
        <f>IF(TrRoad_act!Q49=0,0,Q36/TrRoad_act!Q49*1000
)</f>
        <v>284.89670046829042</v>
      </c>
      <c r="R73" s="87">
        <f>IF(TrRoad_act!R49=0,0,R36/TrRoad_act!R49*1000
)</f>
        <v>285.94289818335534</v>
      </c>
      <c r="S73" s="87">
        <f>IF(TrRoad_act!S49=0,0,S36/TrRoad_act!S49*1000
)</f>
        <v>285.86093706702741</v>
      </c>
      <c r="T73" s="87">
        <f>IF(TrRoad_act!T49=0,0,T36/TrRoad_act!T49*1000
)</f>
        <v>285.57790718850413</v>
      </c>
      <c r="U73" s="87">
        <f>IF(TrRoad_act!U49=0,0,U36/TrRoad_act!U49*1000
)</f>
        <v>283.69692314900004</v>
      </c>
      <c r="V73" s="87">
        <f>IF(TrRoad_act!V49=0,0,V36/TrRoad_act!V49*1000
)</f>
        <v>280.60936608862818</v>
      </c>
      <c r="W73" s="87">
        <f>IF(TrRoad_act!W49=0,0,W36/TrRoad_act!W49*1000
)</f>
        <v>283.79960604499036</v>
      </c>
      <c r="X73" s="87">
        <f>IF(TrRoad_act!X49=0,0,X36/TrRoad_act!X49*1000
)</f>
        <v>285.61618486178588</v>
      </c>
      <c r="Y73" s="87">
        <f>IF(TrRoad_act!Y49=0,0,Y36/TrRoad_act!Y49*1000
)</f>
        <v>287.06154259590943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558.23792647624578</v>
      </c>
      <c r="C74" s="87">
        <f>IF(TrRoad_act!C50=0,0,C37/TrRoad_act!C50*1000
)</f>
        <v>551.07413053253072</v>
      </c>
      <c r="D74" s="87">
        <f>IF(TrRoad_act!D50=0,0,D37/TrRoad_act!D50*1000
)</f>
        <v>534.04642232653271</v>
      </c>
      <c r="E74" s="87">
        <f>IF(TrRoad_act!E50=0,0,E37/TrRoad_act!E50*1000
)</f>
        <v>516.14003079557881</v>
      </c>
      <c r="F74" s="87">
        <f>IF(TrRoad_act!F50=0,0,F37/TrRoad_act!F50*1000
)</f>
        <v>493.16516103217049</v>
      </c>
      <c r="G74" s="87">
        <f>IF(TrRoad_act!G50=0,0,G37/TrRoad_act!G50*1000
)</f>
        <v>473.34901152542119</v>
      </c>
      <c r="H74" s="87">
        <f>IF(TrRoad_act!H50=0,0,H37/TrRoad_act!H50*1000
)</f>
        <v>449.32500848903533</v>
      </c>
      <c r="I74" s="87">
        <f>IF(TrRoad_act!I50=0,0,I37/TrRoad_act!I50*1000
)</f>
        <v>428.7113390429148</v>
      </c>
      <c r="J74" s="87">
        <f>IF(TrRoad_act!J50=0,0,J37/TrRoad_act!J50*1000
)</f>
        <v>418.52784068320614</v>
      </c>
      <c r="K74" s="87">
        <f>IF(TrRoad_act!K50=0,0,K37/TrRoad_act!K50*1000
)</f>
        <v>404.92146329637671</v>
      </c>
      <c r="L74" s="87">
        <f>IF(TrRoad_act!L50=0,0,L37/TrRoad_act!L50*1000
)</f>
        <v>395.70473312846349</v>
      </c>
      <c r="M74" s="87">
        <f>IF(TrRoad_act!M50=0,0,M37/TrRoad_act!M50*1000
)</f>
        <v>386.02205574398351</v>
      </c>
      <c r="N74" s="87">
        <f>IF(TrRoad_act!N50=0,0,N37/TrRoad_act!N50*1000
)</f>
        <v>380.70532649013944</v>
      </c>
      <c r="O74" s="87">
        <f>IF(TrRoad_act!O50=0,0,O37/TrRoad_act!O50*1000
)</f>
        <v>380.00661404176054</v>
      </c>
      <c r="P74" s="87">
        <f>IF(TrRoad_act!P50=0,0,P37/TrRoad_act!P50*1000
)</f>
        <v>380.94540906909452</v>
      </c>
      <c r="Q74" s="87">
        <f>IF(TrRoad_act!Q50=0,0,Q37/TrRoad_act!Q50*1000
)</f>
        <v>379.42957273977669</v>
      </c>
      <c r="R74" s="87">
        <f>IF(TrRoad_act!R50=0,0,R37/TrRoad_act!R50*1000
)</f>
        <v>380.62970431743634</v>
      </c>
      <c r="S74" s="87">
        <f>IF(TrRoad_act!S50=0,0,S37/TrRoad_act!S50*1000
)</f>
        <v>377.85295987049773</v>
      </c>
      <c r="T74" s="87">
        <f>IF(TrRoad_act!T50=0,0,T37/TrRoad_act!T50*1000
)</f>
        <v>373.49401892504653</v>
      </c>
      <c r="U74" s="87">
        <f>IF(TrRoad_act!U50=0,0,U37/TrRoad_act!U50*1000
)</f>
        <v>372.78550367294321</v>
      </c>
      <c r="V74" s="87">
        <f>IF(TrRoad_act!V50=0,0,V37/TrRoad_act!V50*1000
)</f>
        <v>373.17427259276417</v>
      </c>
      <c r="W74" s="87">
        <f>IF(TrRoad_act!W50=0,0,W37/TrRoad_act!W50*1000
)</f>
        <v>373.16578227876215</v>
      </c>
      <c r="X74" s="87">
        <f>IF(TrRoad_act!X50=0,0,X37/TrRoad_act!X50*1000
)</f>
        <v>371.70112170604204</v>
      </c>
      <c r="Y74" s="87">
        <f>IF(TrRoad_act!Y50=0,0,Y37/TrRoad_act!Y50*1000
)</f>
        <v>368.21105063394015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293.2245275421792</v>
      </c>
      <c r="O75" s="87">
        <f>IF(TrRoad_act!O51=0,0,O38/TrRoad_act!O51*1000
)</f>
        <v>282.52941295567314</v>
      </c>
      <c r="P75" s="87">
        <f>IF(TrRoad_act!P51=0,0,P38/TrRoad_act!P51*1000
)</f>
        <v>269.5668559024931</v>
      </c>
      <c r="Q75" s="87">
        <f>IF(TrRoad_act!Q51=0,0,Q38/TrRoad_act!Q51*1000
)</f>
        <v>232.33695982379578</v>
      </c>
      <c r="R75" s="87">
        <f>IF(TrRoad_act!R51=0,0,R38/TrRoad_act!R51*1000
)</f>
        <v>258.87602739457293</v>
      </c>
      <c r="S75" s="87">
        <f>IF(TrRoad_act!S51=0,0,S38/TrRoad_act!S51*1000
)</f>
        <v>249.94518480642009</v>
      </c>
      <c r="T75" s="87">
        <f>IF(TrRoad_act!T51=0,0,T38/TrRoad_act!T51*1000
)</f>
        <v>241.67871274546803</v>
      </c>
      <c r="U75" s="87">
        <f>IF(TrRoad_act!U51=0,0,U38/TrRoad_act!U51*1000
)</f>
        <v>237.00422400237414</v>
      </c>
      <c r="V75" s="87">
        <f>IF(TrRoad_act!V51=0,0,V38/TrRoad_act!V51*1000
)</f>
        <v>234.81765652068614</v>
      </c>
      <c r="W75" s="87">
        <f>IF(TrRoad_act!W51=0,0,W38/TrRoad_act!W51*1000
)</f>
        <v>233.64577113267518</v>
      </c>
      <c r="X75" s="87">
        <f>IF(TrRoad_act!X51=0,0,X38/TrRoad_act!X51*1000
)</f>
        <v>234.29957347500491</v>
      </c>
      <c r="Y75" s="87">
        <f>IF(TrRoad_act!Y51=0,0,Y38/TrRoad_act!Y51*1000
)</f>
        <v>233.52470908419681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1102.2058297757214</v>
      </c>
      <c r="C77" s="116">
        <f>IF(TrRoad_act!C53=0,0,C40/TrRoad_act!C53*1000
)</f>
        <v>1077.7792652601952</v>
      </c>
      <c r="D77" s="116">
        <f>IF(TrRoad_act!D53=0,0,D40/TrRoad_act!D53*1000
)</f>
        <v>1056.7541530470558</v>
      </c>
      <c r="E77" s="116">
        <f>IF(TrRoad_act!E53=0,0,E40/TrRoad_act!E53*1000
)</f>
        <v>1140.1169094037937</v>
      </c>
      <c r="F77" s="116">
        <f>IF(TrRoad_act!F53=0,0,F40/TrRoad_act!F53*1000
)</f>
        <v>1134.2890014624954</v>
      </c>
      <c r="G77" s="116">
        <f>IF(TrRoad_act!G53=0,0,G40/TrRoad_act!G53*1000
)</f>
        <v>1188.6219551515035</v>
      </c>
      <c r="H77" s="116">
        <f>IF(TrRoad_act!H53=0,0,H40/TrRoad_act!H53*1000
)</f>
        <v>1278.3197052303037</v>
      </c>
      <c r="I77" s="116">
        <f>IF(TrRoad_act!I53=0,0,I40/TrRoad_act!I53*1000
)</f>
        <v>1360.0362192836089</v>
      </c>
      <c r="J77" s="116">
        <f>IF(TrRoad_act!J53=0,0,J40/TrRoad_act!J53*1000
)</f>
        <v>1347.4754078408041</v>
      </c>
      <c r="K77" s="116">
        <f>IF(TrRoad_act!K53=0,0,K40/TrRoad_act!K53*1000
)</f>
        <v>1404.6334503493329</v>
      </c>
      <c r="L77" s="116">
        <f>IF(TrRoad_act!L53=0,0,L40/TrRoad_act!L53*1000
)</f>
        <v>1248.6238634572367</v>
      </c>
      <c r="M77" s="116">
        <f>IF(TrRoad_act!M53=0,0,M40/TrRoad_act!M53*1000
)</f>
        <v>1196.8421337612735</v>
      </c>
      <c r="N77" s="116">
        <f>IF(TrRoad_act!N53=0,0,N40/TrRoad_act!N53*1000
)</f>
        <v>1206.4296257537897</v>
      </c>
      <c r="O77" s="116">
        <f>IF(TrRoad_act!O53=0,0,O40/TrRoad_act!O53*1000
)</f>
        <v>1073.7546542529776</v>
      </c>
      <c r="P77" s="116">
        <f>IF(TrRoad_act!P53=0,0,P40/TrRoad_act!P53*1000
)</f>
        <v>1072.5891136055004</v>
      </c>
      <c r="Q77" s="116">
        <f>IF(TrRoad_act!Q53=0,0,Q40/TrRoad_act!Q53*1000
)</f>
        <v>1027.5418108685619</v>
      </c>
      <c r="R77" s="116">
        <f>IF(TrRoad_act!R53=0,0,R40/TrRoad_act!R53*1000
)</f>
        <v>1111.2422746947632</v>
      </c>
      <c r="S77" s="116">
        <f>IF(TrRoad_act!S53=0,0,S40/TrRoad_act!S53*1000
)</f>
        <v>1107.8578854284472</v>
      </c>
      <c r="T77" s="116">
        <f>IF(TrRoad_act!T53=0,0,T40/TrRoad_act!T53*1000
)</f>
        <v>1100.5892061708437</v>
      </c>
      <c r="U77" s="116">
        <f>IF(TrRoad_act!U53=0,0,U40/TrRoad_act!U53*1000
)</f>
        <v>1068.4844865537614</v>
      </c>
      <c r="V77" s="116">
        <f>IF(TrRoad_act!V53=0,0,V40/TrRoad_act!V53*1000
)</f>
        <v>896.42708859141635</v>
      </c>
      <c r="W77" s="116">
        <f>IF(TrRoad_act!W53=0,0,W40/TrRoad_act!W53*1000
)</f>
        <v>960.09802392328993</v>
      </c>
      <c r="X77" s="116">
        <f>IF(TrRoad_act!X53=0,0,X40/TrRoad_act!X53*1000
)</f>
        <v>978.37072420504899</v>
      </c>
      <c r="Y77" s="116">
        <f>IF(TrRoad_act!Y53=0,0,Y40/TrRoad_act!Y53*1000
)</f>
        <v>997.80552934977902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950.45824864703025</v>
      </c>
      <c r="C78" s="101">
        <f>IF(TrRoad_act!C54=0,0,C41/TrRoad_act!C54*1000
)</f>
        <v>956.75303023031404</v>
      </c>
      <c r="D78" s="101">
        <f>IF(TrRoad_act!D54=0,0,D41/TrRoad_act!D54*1000
)</f>
        <v>947.42916667731697</v>
      </c>
      <c r="E78" s="101">
        <f>IF(TrRoad_act!E54=0,0,E41/TrRoad_act!E54*1000
)</f>
        <v>960.03198081328389</v>
      </c>
      <c r="F78" s="101">
        <f>IF(TrRoad_act!F54=0,0,F41/TrRoad_act!F54*1000
)</f>
        <v>969.64644076031345</v>
      </c>
      <c r="G78" s="101">
        <f>IF(TrRoad_act!G54=0,0,G41/TrRoad_act!G54*1000
)</f>
        <v>982.11694872410578</v>
      </c>
      <c r="H78" s="101">
        <f>IF(TrRoad_act!H54=0,0,H41/TrRoad_act!H54*1000
)</f>
        <v>982.80265361334159</v>
      </c>
      <c r="I78" s="101">
        <f>IF(TrRoad_act!I54=0,0,I41/TrRoad_act!I54*1000
)</f>
        <v>983.61166824144243</v>
      </c>
      <c r="J78" s="101">
        <f>IF(TrRoad_act!J54=0,0,J41/TrRoad_act!J54*1000
)</f>
        <v>968.6612517867203</v>
      </c>
      <c r="K78" s="101">
        <f>IF(TrRoad_act!K54=0,0,K41/TrRoad_act!K54*1000
)</f>
        <v>957.13669030231426</v>
      </c>
      <c r="L78" s="101">
        <f>IF(TrRoad_act!L54=0,0,L41/TrRoad_act!L54*1000
)</f>
        <v>928.11516559040138</v>
      </c>
      <c r="M78" s="101">
        <f>IF(TrRoad_act!M54=0,0,M41/TrRoad_act!M54*1000
)</f>
        <v>903.75726514577264</v>
      </c>
      <c r="N78" s="101">
        <f>IF(TrRoad_act!N54=0,0,N41/TrRoad_act!N54*1000
)</f>
        <v>904.85748227485658</v>
      </c>
      <c r="O78" s="101">
        <f>IF(TrRoad_act!O54=0,0,O41/TrRoad_act!O54*1000
)</f>
        <v>887.05309267487326</v>
      </c>
      <c r="P78" s="101">
        <f>IF(TrRoad_act!P54=0,0,P41/TrRoad_act!P54*1000
)</f>
        <v>882.12908352949648</v>
      </c>
      <c r="Q78" s="101">
        <f>IF(TrRoad_act!Q54=0,0,Q41/TrRoad_act!Q54*1000
)</f>
        <v>879.88737747826247</v>
      </c>
      <c r="R78" s="101">
        <f>IF(TrRoad_act!R54=0,0,R41/TrRoad_act!R54*1000
)</f>
        <v>885.04597341653539</v>
      </c>
      <c r="S78" s="101">
        <f>IF(TrRoad_act!S54=0,0,S41/TrRoad_act!S54*1000
)</f>
        <v>884.07831680033712</v>
      </c>
      <c r="T78" s="101">
        <f>IF(TrRoad_act!T54=0,0,T41/TrRoad_act!T54*1000
)</f>
        <v>883.85504725636258</v>
      </c>
      <c r="U78" s="101">
        <f>IF(TrRoad_act!U54=0,0,U41/TrRoad_act!U54*1000
)</f>
        <v>874.53637635151722</v>
      </c>
      <c r="V78" s="101">
        <f>IF(TrRoad_act!V54=0,0,V41/TrRoad_act!V54*1000
)</f>
        <v>846.14095855119501</v>
      </c>
      <c r="W78" s="101">
        <f>IF(TrRoad_act!W54=0,0,W41/TrRoad_act!W54*1000
)</f>
        <v>859.22276933593378</v>
      </c>
      <c r="X78" s="101">
        <f>IF(TrRoad_act!X54=0,0,X41/TrRoad_act!X54*1000
)</f>
        <v>866.26618800129859</v>
      </c>
      <c r="Y78" s="101">
        <f>IF(TrRoad_act!Y54=0,0,Y41/TrRoad_act!Y54*1000
)</f>
        <v>871.65230140302447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1365.6927960072771</v>
      </c>
      <c r="C79" s="88">
        <f>IF(TrRoad_act!C55=0,0,C42/TrRoad_act!C55*1000
)</f>
        <v>1305.5651981948749</v>
      </c>
      <c r="D79" s="88">
        <f>IF(TrRoad_act!D55=0,0,D42/TrRoad_act!D55*1000
)</f>
        <v>1280.3079352755112</v>
      </c>
      <c r="E79" s="88">
        <f>IF(TrRoad_act!E55=0,0,E42/TrRoad_act!E55*1000
)</f>
        <v>1566.0814359618091</v>
      </c>
      <c r="F79" s="88">
        <f>IF(TrRoad_act!F55=0,0,F42/TrRoad_act!F55*1000
)</f>
        <v>1492.6933650137692</v>
      </c>
      <c r="G79" s="88">
        <f>IF(TrRoad_act!G55=0,0,G42/TrRoad_act!G55*1000
)</f>
        <v>1693.6964096787849</v>
      </c>
      <c r="H79" s="88">
        <f>IF(TrRoad_act!H55=0,0,H42/TrRoad_act!H55*1000
)</f>
        <v>1945.0758629120032</v>
      </c>
      <c r="I79" s="88">
        <f>IF(TrRoad_act!I55=0,0,I42/TrRoad_act!I55*1000
)</f>
        <v>2172.829750275484</v>
      </c>
      <c r="J79" s="88">
        <f>IF(TrRoad_act!J55=0,0,J42/TrRoad_act!J55*1000
)</f>
        <v>2181.2814223820874</v>
      </c>
      <c r="K79" s="88">
        <f>IF(TrRoad_act!K55=0,0,K42/TrRoad_act!K55*1000
)</f>
        <v>2268.0230063474351</v>
      </c>
      <c r="L79" s="88">
        <f>IF(TrRoad_act!L55=0,0,L42/TrRoad_act!L55*1000
)</f>
        <v>1825.3289973114431</v>
      </c>
      <c r="M79" s="88">
        <f>IF(TrRoad_act!M55=0,0,M42/TrRoad_act!M55*1000
)</f>
        <v>1690.4312049794903</v>
      </c>
      <c r="N79" s="88">
        <f>IF(TrRoad_act!N55=0,0,N42/TrRoad_act!N55*1000
)</f>
        <v>1692.6449580046365</v>
      </c>
      <c r="O79" s="88">
        <f>IF(TrRoad_act!O55=0,0,O42/TrRoad_act!O55*1000
)</f>
        <v>1356.8781405103769</v>
      </c>
      <c r="P79" s="88">
        <f>IF(TrRoad_act!P55=0,0,P42/TrRoad_act!P55*1000
)</f>
        <v>1383.6908724238995</v>
      </c>
      <c r="Q79" s="88">
        <f>IF(TrRoad_act!Q55=0,0,Q42/TrRoad_act!Q55*1000
)</f>
        <v>1296.7020549941994</v>
      </c>
      <c r="R79" s="88">
        <f>IF(TrRoad_act!R55=0,0,R42/TrRoad_act!R55*1000
)</f>
        <v>1543.5796245264885</v>
      </c>
      <c r="S79" s="88">
        <f>IF(TrRoad_act!S55=0,0,S42/TrRoad_act!S55*1000
)</f>
        <v>1556.68941297528</v>
      </c>
      <c r="T79" s="88">
        <f>IF(TrRoad_act!T55=0,0,T42/TrRoad_act!T55*1000
)</f>
        <v>1586.5377977977221</v>
      </c>
      <c r="U79" s="88">
        <f>IF(TrRoad_act!U55=0,0,U42/TrRoad_act!U55*1000
)</f>
        <v>1490.3267876574594</v>
      </c>
      <c r="V79" s="88">
        <f>IF(TrRoad_act!V55=0,0,V42/TrRoad_act!V55*1000
)</f>
        <v>999.77151272811955</v>
      </c>
      <c r="W79" s="88">
        <f>IF(TrRoad_act!W55=0,0,W42/TrRoad_act!W55*1000
)</f>
        <v>1172.8239235433559</v>
      </c>
      <c r="X79" s="88">
        <f>IF(TrRoad_act!X55=0,0,X42/TrRoad_act!X55*1000
)</f>
        <v>1193.0275897339047</v>
      </c>
      <c r="Y79" s="88">
        <f>IF(TrRoad_act!Y55=0,0,Y42/TrRoad_act!Y55*1000
)</f>
        <v>1248.546405441085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100.82729821105463</v>
      </c>
      <c r="C82" s="29">
        <f>IF(TrRoad_act!C4=0,0,C18/TrRoad_act!C4*1000)</f>
        <v>104.95718341722775</v>
      </c>
      <c r="D82" s="29">
        <f>IF(TrRoad_act!D4=0,0,D18/TrRoad_act!D4*1000)</f>
        <v>107.15782114510755</v>
      </c>
      <c r="E82" s="29">
        <f>IF(TrRoad_act!E4=0,0,E18/TrRoad_act!E4*1000)</f>
        <v>116.16433495557959</v>
      </c>
      <c r="F82" s="29">
        <f>IF(TrRoad_act!F4=0,0,F18/TrRoad_act!F4*1000)</f>
        <v>120.14552893176685</v>
      </c>
      <c r="G82" s="29">
        <f>IF(TrRoad_act!G4=0,0,G18/TrRoad_act!G4*1000)</f>
        <v>122.67300721416947</v>
      </c>
      <c r="H82" s="29">
        <f>IF(TrRoad_act!H4=0,0,H18/TrRoad_act!H4*1000)</f>
        <v>122.82098001083726</v>
      </c>
      <c r="I82" s="29">
        <f>IF(TrRoad_act!I4=0,0,I18/TrRoad_act!I4*1000)</f>
        <v>124.18394447188101</v>
      </c>
      <c r="J82" s="29">
        <f>IF(TrRoad_act!J4=0,0,J18/TrRoad_act!J4*1000)</f>
        <v>121.59255009875332</v>
      </c>
      <c r="K82" s="29">
        <f>IF(TrRoad_act!K4=0,0,K18/TrRoad_act!K4*1000)</f>
        <v>121.9500546927891</v>
      </c>
      <c r="L82" s="29">
        <f>IF(TrRoad_act!L4=0,0,L18/TrRoad_act!L4*1000)</f>
        <v>125.96875052594145</v>
      </c>
      <c r="M82" s="29">
        <f>IF(TrRoad_act!M4=0,0,M18/TrRoad_act!M4*1000)</f>
        <v>124.02240605812202</v>
      </c>
      <c r="N82" s="29">
        <f>IF(TrRoad_act!N4=0,0,N18/TrRoad_act!N4*1000)</f>
        <v>124.1440080242312</v>
      </c>
      <c r="O82" s="29">
        <f>IF(TrRoad_act!O4=0,0,O18/TrRoad_act!O4*1000)</f>
        <v>123.74395424280991</v>
      </c>
      <c r="P82" s="29">
        <f>IF(TrRoad_act!P4=0,0,P18/TrRoad_act!P4*1000)</f>
        <v>121.0565025541039</v>
      </c>
      <c r="Q82" s="29">
        <f>IF(TrRoad_act!Q4=0,0,Q18/TrRoad_act!Q4*1000)</f>
        <v>120.71169832029132</v>
      </c>
      <c r="R82" s="29">
        <f>IF(TrRoad_act!R4=0,0,R18/TrRoad_act!R4*1000)</f>
        <v>124.12909825717308</v>
      </c>
      <c r="S82" s="29">
        <f>IF(TrRoad_act!S4=0,0,S18/TrRoad_act!S4*1000)</f>
        <v>123.86932696747121</v>
      </c>
      <c r="T82" s="29">
        <f>IF(TrRoad_act!T4=0,0,T18/TrRoad_act!T4*1000)</f>
        <v>120.59115087505656</v>
      </c>
      <c r="U82" s="29">
        <f>IF(TrRoad_act!U4=0,0,U18/TrRoad_act!U4*1000)</f>
        <v>119.11275107309876</v>
      </c>
      <c r="V82" s="29">
        <f>IF(TrRoad_act!V4=0,0,V18/TrRoad_act!V4*1000)</f>
        <v>137.88954885250084</v>
      </c>
      <c r="W82" s="29">
        <f>IF(TrRoad_act!W4=0,0,W18/TrRoad_act!W4*1000)</f>
        <v>117.01989497628333</v>
      </c>
      <c r="X82" s="29">
        <f>IF(TrRoad_act!X4=0,0,X18/TrRoad_act!X4*1000)</f>
        <v>113.57088504787906</v>
      </c>
      <c r="Y82" s="29">
        <f>IF(TrRoad_act!Y4=0,0,Y18/TrRoad_act!Y4*1000)</f>
        <v>119.15945704713015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109.16150299126808</v>
      </c>
      <c r="C83" s="152">
        <f>IF(TrRoad_act!C5=0,0,C19/TrRoad_act!C5*1000)</f>
        <v>108.73253975153463</v>
      </c>
      <c r="D83" s="152">
        <f>IF(TrRoad_act!D5=0,0,D19/TrRoad_act!D5*1000)</f>
        <v>108.3787652994093</v>
      </c>
      <c r="E83" s="152">
        <f>IF(TrRoad_act!E5=0,0,E19/TrRoad_act!E5*1000)</f>
        <v>108.23908194112484</v>
      </c>
      <c r="F83" s="152">
        <f>IF(TrRoad_act!F5=0,0,F19/TrRoad_act!F5*1000)</f>
        <v>107.90886594740415</v>
      </c>
      <c r="G83" s="152">
        <f>IF(TrRoad_act!G5=0,0,G19/TrRoad_act!G5*1000)</f>
        <v>107.2762467841424</v>
      </c>
      <c r="H83" s="152">
        <f>IF(TrRoad_act!H5=0,0,H19/TrRoad_act!H5*1000)</f>
        <v>101.46017652469143</v>
      </c>
      <c r="I83" s="152">
        <f>IF(TrRoad_act!I5=0,0,I19/TrRoad_act!I5*1000)</f>
        <v>100.84966536369504</v>
      </c>
      <c r="J83" s="152">
        <f>IF(TrRoad_act!J5=0,0,J19/TrRoad_act!J5*1000)</f>
        <v>98.724474229538572</v>
      </c>
      <c r="K83" s="152">
        <f>IF(TrRoad_act!K5=0,0,K19/TrRoad_act!K5*1000)</f>
        <v>97.206641969772264</v>
      </c>
      <c r="L83" s="152">
        <f>IF(TrRoad_act!L5=0,0,L19/TrRoad_act!L5*1000)</f>
        <v>96.524417288303425</v>
      </c>
      <c r="M83" s="152">
        <f>IF(TrRoad_act!M5=0,0,M19/TrRoad_act!M5*1000)</f>
        <v>95.755590200829587</v>
      </c>
      <c r="N83" s="152">
        <f>IF(TrRoad_act!N5=0,0,N19/TrRoad_act!N5*1000)</f>
        <v>95.600573196542371</v>
      </c>
      <c r="O83" s="152">
        <f>IF(TrRoad_act!O5=0,0,O19/TrRoad_act!O5*1000)</f>
        <v>95.223218126394414</v>
      </c>
      <c r="P83" s="152">
        <f>IF(TrRoad_act!P5=0,0,P19/TrRoad_act!P5*1000)</f>
        <v>93.602153783948367</v>
      </c>
      <c r="Q83" s="152">
        <f>IF(TrRoad_act!Q5=0,0,Q19/TrRoad_act!Q5*1000)</f>
        <v>92.497678269400438</v>
      </c>
      <c r="R83" s="152">
        <f>IF(TrRoad_act!R5=0,0,R19/TrRoad_act!R5*1000)</f>
        <v>92.604546027572184</v>
      </c>
      <c r="S83" s="152">
        <f>IF(TrRoad_act!S5=0,0,S19/TrRoad_act!S5*1000)</f>
        <v>91.508492774578571</v>
      </c>
      <c r="T83" s="152">
        <f>IF(TrRoad_act!T5=0,0,T19/TrRoad_act!T5*1000)</f>
        <v>90.682784760314988</v>
      </c>
      <c r="U83" s="152">
        <f>IF(TrRoad_act!U5=0,0,U19/TrRoad_act!U5*1000)</f>
        <v>89.242558669838644</v>
      </c>
      <c r="V83" s="152">
        <f>IF(TrRoad_act!V5=0,0,V19/TrRoad_act!V5*1000)</f>
        <v>88.698026349680674</v>
      </c>
      <c r="W83" s="152">
        <f>IF(TrRoad_act!W5=0,0,W19/TrRoad_act!W5*1000)</f>
        <v>89.113984919590521</v>
      </c>
      <c r="X83" s="152">
        <f>IF(TrRoad_act!X5=0,0,X19/TrRoad_act!X5*1000)</f>
        <v>89.1435456533344</v>
      </c>
      <c r="Y83" s="152">
        <f>IF(TrRoad_act!Y5=0,0,Y19/TrRoad_act!Y5*1000)</f>
        <v>87.458017929531195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108.97824124590595</v>
      </c>
      <c r="C84" s="116">
        <f>IF(TrRoad_act!C6=0,0,C20/TrRoad_act!C6*1000)</f>
        <v>114.56191149749895</v>
      </c>
      <c r="D84" s="116">
        <f>IF(TrRoad_act!D6=0,0,D20/TrRoad_act!D6*1000)</f>
        <v>116.67968328137049</v>
      </c>
      <c r="E84" s="116">
        <f>IF(TrRoad_act!E6=0,0,E20/TrRoad_act!E6*1000)</f>
        <v>128.98120520058106</v>
      </c>
      <c r="F84" s="116">
        <f>IF(TrRoad_act!F6=0,0,F20/TrRoad_act!F6*1000)</f>
        <v>132.97677366864627</v>
      </c>
      <c r="G84" s="116">
        <f>IF(TrRoad_act!G6=0,0,G20/TrRoad_act!G6*1000)</f>
        <v>136.75335688610289</v>
      </c>
      <c r="H84" s="116">
        <f>IF(TrRoad_act!H6=0,0,H20/TrRoad_act!H6*1000)</f>
        <v>137.08903941197164</v>
      </c>
      <c r="I84" s="116">
        <f>IF(TrRoad_act!I6=0,0,I20/TrRoad_act!I6*1000)</f>
        <v>138.60422785392402</v>
      </c>
      <c r="J84" s="116">
        <f>IF(TrRoad_act!J6=0,0,J20/TrRoad_act!J6*1000)</f>
        <v>135.3663664841981</v>
      </c>
      <c r="K84" s="116">
        <f>IF(TrRoad_act!K6=0,0,K20/TrRoad_act!K6*1000)</f>
        <v>135.87356103108488</v>
      </c>
      <c r="L84" s="116">
        <f>IF(TrRoad_act!L6=0,0,L20/TrRoad_act!L6*1000)</f>
        <v>144.26680643555332</v>
      </c>
      <c r="M84" s="116">
        <f>IF(TrRoad_act!M6=0,0,M20/TrRoad_act!M6*1000)</f>
        <v>140.15028265966063</v>
      </c>
      <c r="N84" s="116">
        <f>IF(TrRoad_act!N6=0,0,N20/TrRoad_act!N6*1000)</f>
        <v>139.89168987074063</v>
      </c>
      <c r="O84" s="116">
        <f>IF(TrRoad_act!O6=0,0,O20/TrRoad_act!O6*1000)</f>
        <v>139.70682937486436</v>
      </c>
      <c r="P84" s="116">
        <f>IF(TrRoad_act!P6=0,0,P20/TrRoad_act!P6*1000)</f>
        <v>138.13624353311434</v>
      </c>
      <c r="Q84" s="116">
        <f>IF(TrRoad_act!Q6=0,0,Q20/TrRoad_act!Q6*1000)</f>
        <v>133.90968444277601</v>
      </c>
      <c r="R84" s="116">
        <f>IF(TrRoad_act!R6=0,0,R20/TrRoad_act!R6*1000)</f>
        <v>137.64922081050634</v>
      </c>
      <c r="S84" s="116">
        <f>IF(TrRoad_act!S6=0,0,S20/TrRoad_act!S6*1000)</f>
        <v>137.5956922382596</v>
      </c>
      <c r="T84" s="116">
        <f>IF(TrRoad_act!T6=0,0,T20/TrRoad_act!T6*1000)</f>
        <v>133.33214435147434</v>
      </c>
      <c r="U84" s="116">
        <f>IF(TrRoad_act!U6=0,0,U20/TrRoad_act!U6*1000)</f>
        <v>130.98095549302272</v>
      </c>
      <c r="V84" s="116">
        <f>IF(TrRoad_act!V6=0,0,V20/TrRoad_act!V6*1000)</f>
        <v>145.8127281486606</v>
      </c>
      <c r="W84" s="116">
        <f>IF(TrRoad_act!W6=0,0,W20/TrRoad_act!W6*1000)</f>
        <v>120.91695027276928</v>
      </c>
      <c r="X84" s="116">
        <f>IF(TrRoad_act!X6=0,0,X20/TrRoad_act!X6*1000)</f>
        <v>119.64032101608623</v>
      </c>
      <c r="Y84" s="116">
        <f>IF(TrRoad_act!Y6=0,0,Y20/TrRoad_act!Y6*1000)</f>
        <v>126.18982358884389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111.83006213966262</v>
      </c>
      <c r="C85" s="87">
        <f>IF(TrRoad_act!C7=0,0,C21/TrRoad_act!C7*1000)</f>
        <v>121.21535228900812</v>
      </c>
      <c r="D85" s="87">
        <f>IF(TrRoad_act!D7=0,0,D21/TrRoad_act!D7*1000)</f>
        <v>123.48107878422145</v>
      </c>
      <c r="E85" s="87">
        <f>IF(TrRoad_act!E7=0,0,E21/TrRoad_act!E7*1000)</f>
        <v>136.73885680524876</v>
      </c>
      <c r="F85" s="87">
        <f>IF(TrRoad_act!F7=0,0,F21/TrRoad_act!F7*1000)</f>
        <v>140.25256274058236</v>
      </c>
      <c r="G85" s="87">
        <f>IF(TrRoad_act!G7=0,0,G21/TrRoad_act!G7*1000)</f>
        <v>142.9371204341877</v>
      </c>
      <c r="H85" s="87">
        <f>IF(TrRoad_act!H7=0,0,H21/TrRoad_act!H7*1000)</f>
        <v>142.09052493009122</v>
      </c>
      <c r="I85" s="87">
        <f>IF(TrRoad_act!I7=0,0,I21/TrRoad_act!I7*1000)</f>
        <v>144.13792071642808</v>
      </c>
      <c r="J85" s="87">
        <f>IF(TrRoad_act!J7=0,0,J21/TrRoad_act!J7*1000)</f>
        <v>140.06816914658472</v>
      </c>
      <c r="K85" s="87">
        <f>IF(TrRoad_act!K7=0,0,K21/TrRoad_act!K7*1000)</f>
        <v>140.98864961799748</v>
      </c>
      <c r="L85" s="87">
        <f>IF(TrRoad_act!L7=0,0,L21/TrRoad_act!L7*1000)</f>
        <v>146.30684509835666</v>
      </c>
      <c r="M85" s="87">
        <f>IF(TrRoad_act!M7=0,0,M21/TrRoad_act!M7*1000)</f>
        <v>143.51903937971593</v>
      </c>
      <c r="N85" s="87">
        <f>IF(TrRoad_act!N7=0,0,N21/TrRoad_act!N7*1000)</f>
        <v>143.46355803379186</v>
      </c>
      <c r="O85" s="87">
        <f>IF(TrRoad_act!O7=0,0,O21/TrRoad_act!O7*1000)</f>
        <v>143.49708074667825</v>
      </c>
      <c r="P85" s="87">
        <f>IF(TrRoad_act!P7=0,0,P21/TrRoad_act!P7*1000)</f>
        <v>141.13986732929632</v>
      </c>
      <c r="Q85" s="87">
        <f>IF(TrRoad_act!Q7=0,0,Q21/TrRoad_act!Q7*1000)</f>
        <v>135.89980898223095</v>
      </c>
      <c r="R85" s="87">
        <f>IF(TrRoad_act!R7=0,0,R21/TrRoad_act!R7*1000)</f>
        <v>138.786787927033</v>
      </c>
      <c r="S85" s="87">
        <f>IF(TrRoad_act!S7=0,0,S21/TrRoad_act!S7*1000)</f>
        <v>135.63403744653885</v>
      </c>
      <c r="T85" s="87">
        <f>IF(TrRoad_act!T7=0,0,T21/TrRoad_act!T7*1000)</f>
        <v>130.63475028574317</v>
      </c>
      <c r="U85" s="87">
        <f>IF(TrRoad_act!U7=0,0,U21/TrRoad_act!U7*1000)</f>
        <v>127.21130371994855</v>
      </c>
      <c r="V85" s="87">
        <f>IF(TrRoad_act!V7=0,0,V21/TrRoad_act!V7*1000)</f>
        <v>143.96312687487188</v>
      </c>
      <c r="W85" s="87">
        <f>IF(TrRoad_act!W7=0,0,W21/TrRoad_act!W7*1000)</f>
        <v>123.52162059769429</v>
      </c>
      <c r="X85" s="87">
        <f>IF(TrRoad_act!X7=0,0,X21/TrRoad_act!X7*1000)</f>
        <v>122.58896538217979</v>
      </c>
      <c r="Y85" s="87">
        <f>IF(TrRoad_act!Y7=0,0,Y21/TrRoad_act!Y7*1000)</f>
        <v>127.24813919025702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99.243884564415112</v>
      </c>
      <c r="C86" s="87">
        <f>IF(TrRoad_act!C8=0,0,C22/TrRoad_act!C8*1000)</f>
        <v>96.882896411093398</v>
      </c>
      <c r="D86" s="87">
        <f>IF(TrRoad_act!D8=0,0,D22/TrRoad_act!D8*1000)</f>
        <v>100.64345038842475</v>
      </c>
      <c r="E86" s="87">
        <f>IF(TrRoad_act!E8=0,0,E22/TrRoad_act!E8*1000)</f>
        <v>113.58717578284742</v>
      </c>
      <c r="F86" s="87">
        <f>IF(TrRoad_act!F8=0,0,F22/TrRoad_act!F8*1000)</f>
        <v>119.82052013828583</v>
      </c>
      <c r="G86" s="87">
        <f>IF(TrRoad_act!G8=0,0,G22/TrRoad_act!G8*1000)</f>
        <v>127.16987731792115</v>
      </c>
      <c r="H86" s="87">
        <f>IF(TrRoad_act!H8=0,0,H22/TrRoad_act!H8*1000)</f>
        <v>129.76164135353511</v>
      </c>
      <c r="I86" s="87">
        <f>IF(TrRoad_act!I8=0,0,I22/TrRoad_act!I8*1000)</f>
        <v>130.46039998023306</v>
      </c>
      <c r="J86" s="87">
        <f>IF(TrRoad_act!J8=0,0,J22/TrRoad_act!J8*1000)</f>
        <v>128.78855566788548</v>
      </c>
      <c r="K86" s="87">
        <f>IF(TrRoad_act!K8=0,0,K22/TrRoad_act!K8*1000)</f>
        <v>129.09026432792058</v>
      </c>
      <c r="L86" s="87">
        <f>IF(TrRoad_act!L8=0,0,L22/TrRoad_act!L8*1000)</f>
        <v>141.4910925706555</v>
      </c>
      <c r="M86" s="87">
        <f>IF(TrRoad_act!M8=0,0,M22/TrRoad_act!M8*1000)</f>
        <v>136.03564306218396</v>
      </c>
      <c r="N86" s="87">
        <f>IF(TrRoad_act!N8=0,0,N22/TrRoad_act!N8*1000)</f>
        <v>135.89788554740861</v>
      </c>
      <c r="O86" s="87">
        <f>IF(TrRoad_act!O8=0,0,O22/TrRoad_act!O8*1000)</f>
        <v>135.91173909642237</v>
      </c>
      <c r="P86" s="87">
        <f>IF(TrRoad_act!P8=0,0,P22/TrRoad_act!P8*1000)</f>
        <v>135.01060884350611</v>
      </c>
      <c r="Q86" s="87">
        <f>IF(TrRoad_act!Q8=0,0,Q22/TrRoad_act!Q8*1000)</f>
        <v>131.59975141390055</v>
      </c>
      <c r="R86" s="87">
        <f>IF(TrRoad_act!R8=0,0,R22/TrRoad_act!R8*1000)</f>
        <v>136.24857491036641</v>
      </c>
      <c r="S86" s="87">
        <f>IF(TrRoad_act!S8=0,0,S22/TrRoad_act!S8*1000)</f>
        <v>138.43073826399294</v>
      </c>
      <c r="T86" s="87">
        <f>IF(TrRoad_act!T8=0,0,T22/TrRoad_act!T8*1000)</f>
        <v>134.7447114696144</v>
      </c>
      <c r="U86" s="87">
        <f>IF(TrRoad_act!U8=0,0,U22/TrRoad_act!U8*1000)</f>
        <v>133.19528979195681</v>
      </c>
      <c r="V86" s="87">
        <f>IF(TrRoad_act!V8=0,0,V22/TrRoad_act!V8*1000)</f>
        <v>146.73403743616618</v>
      </c>
      <c r="W86" s="87">
        <f>IF(TrRoad_act!W8=0,0,W22/TrRoad_act!W8*1000)</f>
        <v>119.02085090797851</v>
      </c>
      <c r="X86" s="87">
        <f>IF(TrRoad_act!X8=0,0,X22/TrRoad_act!X8*1000)</f>
        <v>117.1213642914428</v>
      </c>
      <c r="Y86" s="87">
        <f>IF(TrRoad_act!Y8=0,0,Y22/TrRoad_act!Y8*1000)</f>
        <v>124.06516956996226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120.83537334187301</v>
      </c>
      <c r="C87" s="87">
        <f>IF(TrRoad_act!C9=0,0,C23/TrRoad_act!C9*1000)</f>
        <v>125.78609685934508</v>
      </c>
      <c r="D87" s="87">
        <f>IF(TrRoad_act!D9=0,0,D23/TrRoad_act!D9*1000)</f>
        <v>127.89557079561908</v>
      </c>
      <c r="E87" s="87">
        <f>IF(TrRoad_act!E9=0,0,E23/TrRoad_act!E9*1000)</f>
        <v>129.02436884670598</v>
      </c>
      <c r="F87" s="87">
        <f>IF(TrRoad_act!F9=0,0,F23/TrRoad_act!F9*1000)</f>
        <v>132.93463154065881</v>
      </c>
      <c r="G87" s="87">
        <f>IF(TrRoad_act!G9=0,0,G23/TrRoad_act!G9*1000)</f>
        <v>135.57389275720865</v>
      </c>
      <c r="H87" s="87">
        <f>IF(TrRoad_act!H9=0,0,H23/TrRoad_act!H9*1000)</f>
        <v>135.53788401507006</v>
      </c>
      <c r="I87" s="87">
        <f>IF(TrRoad_act!I9=0,0,I23/TrRoad_act!I9*1000)</f>
        <v>137.63959480941301</v>
      </c>
      <c r="J87" s="87">
        <f>IF(TrRoad_act!J9=0,0,J23/TrRoad_act!J9*1000)</f>
        <v>136.96718346583557</v>
      </c>
      <c r="K87" s="87">
        <f>IF(TrRoad_act!K9=0,0,K23/TrRoad_act!K9*1000)</f>
        <v>140.39919580817156</v>
      </c>
      <c r="L87" s="87">
        <f>IF(TrRoad_act!L9=0,0,L23/TrRoad_act!L9*1000)</f>
        <v>149.11021859130602</v>
      </c>
      <c r="M87" s="87">
        <f>IF(TrRoad_act!M9=0,0,M23/TrRoad_act!M9*1000)</f>
        <v>148.20628616709513</v>
      </c>
      <c r="N87" s="87">
        <f>IF(TrRoad_act!N9=0,0,N23/TrRoad_act!N9*1000)</f>
        <v>150.30579523875082</v>
      </c>
      <c r="O87" s="87">
        <f>IF(TrRoad_act!O9=0,0,O23/TrRoad_act!O9*1000)</f>
        <v>152.16123536866152</v>
      </c>
      <c r="P87" s="87">
        <f>IF(TrRoad_act!P9=0,0,P23/TrRoad_act!P9*1000)</f>
        <v>153.16427215498757</v>
      </c>
      <c r="Q87" s="87">
        <f>IF(TrRoad_act!Q9=0,0,Q23/TrRoad_act!Q9*1000)</f>
        <v>152.32558753694087</v>
      </c>
      <c r="R87" s="87">
        <f>IF(TrRoad_act!R9=0,0,R23/TrRoad_act!R9*1000)</f>
        <v>156.77137616111946</v>
      </c>
      <c r="S87" s="87">
        <f>IF(TrRoad_act!S9=0,0,S23/TrRoad_act!S9*1000)</f>
        <v>167.29190838367532</v>
      </c>
      <c r="T87" s="87">
        <f>IF(TrRoad_act!T9=0,0,T23/TrRoad_act!T9*1000)</f>
        <v>166.0155323915059</v>
      </c>
      <c r="U87" s="87">
        <f>IF(TrRoad_act!U9=0,0,U23/TrRoad_act!U9*1000)</f>
        <v>165.52695749736029</v>
      </c>
      <c r="V87" s="87">
        <f>IF(TrRoad_act!V9=0,0,V23/TrRoad_act!V9*1000)</f>
        <v>182.03131601409578</v>
      </c>
      <c r="W87" s="87">
        <f>IF(TrRoad_act!W9=0,0,W23/TrRoad_act!W9*1000)</f>
        <v>159.81929990432513</v>
      </c>
      <c r="X87" s="87">
        <f>IF(TrRoad_act!X9=0,0,X23/TrRoad_act!X9*1000)</f>
        <v>183.25535933933116</v>
      </c>
      <c r="Y87" s="87">
        <f>IF(TrRoad_act!Y9=0,0,Y23/TrRoad_act!Y9*1000)</f>
        <v>292.05683547511643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125.69387523075548</v>
      </c>
      <c r="K88" s="87">
        <f>IF(TrRoad_act!K10=0,0,K24/TrRoad_act!K10*1000)</f>
        <v>130.63088076060322</v>
      </c>
      <c r="L88" s="87">
        <f>IF(TrRoad_act!L10=0,0,L24/TrRoad_act!L10*1000)</f>
        <v>135.00468316725107</v>
      </c>
      <c r="M88" s="87">
        <f>IF(TrRoad_act!M10=0,0,M24/TrRoad_act!M10*1000)</f>
        <v>134.27817032165794</v>
      </c>
      <c r="N88" s="87">
        <f>IF(TrRoad_act!N10=0,0,N24/TrRoad_act!N10*1000)</f>
        <v>130.31613045754983</v>
      </c>
      <c r="O88" s="87">
        <f>IF(TrRoad_act!O10=0,0,O24/TrRoad_act!O10*1000)</f>
        <v>122.42826334894201</v>
      </c>
      <c r="P88" s="87">
        <f>IF(TrRoad_act!P10=0,0,P24/TrRoad_act!P10*1000)</f>
        <v>115.32678195996502</v>
      </c>
      <c r="Q88" s="87">
        <f>IF(TrRoad_act!Q10=0,0,Q24/TrRoad_act!Q10*1000)</f>
        <v>105.51159886652029</v>
      </c>
      <c r="R88" s="87">
        <f>IF(TrRoad_act!R10=0,0,R24/TrRoad_act!R10*1000)</f>
        <v>104.1916285233865</v>
      </c>
      <c r="S88" s="87">
        <f>IF(TrRoad_act!S10=0,0,S24/TrRoad_act!S10*1000)</f>
        <v>103.27926542335217</v>
      </c>
      <c r="T88" s="87">
        <f>IF(TrRoad_act!T10=0,0,T24/TrRoad_act!T10*1000)</f>
        <v>101.83708617359318</v>
      </c>
      <c r="U88" s="87">
        <f>IF(TrRoad_act!U10=0,0,U24/TrRoad_act!U10*1000)</f>
        <v>101.05325946807505</v>
      </c>
      <c r="V88" s="87">
        <f>IF(TrRoad_act!V10=0,0,V24/TrRoad_act!V10*1000)</f>
        <v>114.25097233804269</v>
      </c>
      <c r="W88" s="87">
        <f>IF(TrRoad_act!W10=0,0,W24/TrRoad_act!W10*1000)</f>
        <v>97.490236780663594</v>
      </c>
      <c r="X88" s="87">
        <f>IF(TrRoad_act!X10=0,0,X24/TrRoad_act!X10*1000)</f>
        <v>96.161543838938812</v>
      </c>
      <c r="Y88" s="87">
        <f>IF(TrRoad_act!Y10=0,0,Y24/TrRoad_act!Y10*1000)</f>
        <v>100.25093498948488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35.093747836343297</v>
      </c>
      <c r="O89" s="87">
        <f>IF(TrRoad_act!O11=0,0,O25/TrRoad_act!O11*1000)</f>
        <v>37.083370151778588</v>
      </c>
      <c r="P89" s="87">
        <f>IF(TrRoad_act!P11=0,0,P25/TrRoad_act!P11*1000)</f>
        <v>26.580071066475924</v>
      </c>
      <c r="Q89" s="87">
        <f>IF(TrRoad_act!Q11=0,0,Q25/TrRoad_act!Q11*1000)</f>
        <v>44.093316485678351</v>
      </c>
      <c r="R89" s="87">
        <f>IF(TrRoad_act!R11=0,0,R25/TrRoad_act!R11*1000)</f>
        <v>38.054752576821322</v>
      </c>
      <c r="S89" s="87">
        <f>IF(TrRoad_act!S11=0,0,S25/TrRoad_act!S11*1000)</f>
        <v>42.760501121914601</v>
      </c>
      <c r="T89" s="87">
        <f>IF(TrRoad_act!T11=0,0,T25/TrRoad_act!T11*1000)</f>
        <v>40.623673820920004</v>
      </c>
      <c r="U89" s="87">
        <f>IF(TrRoad_act!U11=0,0,U25/TrRoad_act!U11*1000)</f>
        <v>38.797895566043564</v>
      </c>
      <c r="V89" s="87">
        <f>IF(TrRoad_act!V11=0,0,V25/TrRoad_act!V11*1000)</f>
        <v>39.854752004062881</v>
      </c>
      <c r="W89" s="87">
        <f>IF(TrRoad_act!W11=0,0,W25/TrRoad_act!W11*1000)</f>
        <v>28.549488407556076</v>
      </c>
      <c r="X89" s="87">
        <f>IF(TrRoad_act!X11=0,0,X25/TrRoad_act!X11*1000)</f>
        <v>27.754861065138392</v>
      </c>
      <c r="Y89" s="87">
        <f>IF(TrRoad_act!Y11=0,0,Y25/TrRoad_act!Y11*1000)</f>
        <v>27.010202958617921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67.820580176917957</v>
      </c>
      <c r="C91" s="116">
        <f>IF(TrRoad_act!C13=0,0,C27/TrRoad_act!C13*1000)</f>
        <v>69.849976618751981</v>
      </c>
      <c r="D91" s="116">
        <f>IF(TrRoad_act!D13=0,0,D27/TrRoad_act!D13*1000)</f>
        <v>69.445567988028031</v>
      </c>
      <c r="E91" s="116">
        <f>IF(TrRoad_act!E13=0,0,E27/TrRoad_act!E13*1000)</f>
        <v>64.278680182806582</v>
      </c>
      <c r="F91" s="116">
        <f>IF(TrRoad_act!F13=0,0,F27/TrRoad_act!F13*1000)</f>
        <v>64.299018737836136</v>
      </c>
      <c r="G91" s="116">
        <f>IF(TrRoad_act!G13=0,0,G27/TrRoad_act!G13*1000)</f>
        <v>62.180581624176554</v>
      </c>
      <c r="H91" s="116">
        <f>IF(TrRoad_act!H13=0,0,H27/TrRoad_act!H13*1000)</f>
        <v>62.776121783932204</v>
      </c>
      <c r="I91" s="116">
        <f>IF(TrRoad_act!I13=0,0,I27/TrRoad_act!I13*1000)</f>
        <v>62.431557534538577</v>
      </c>
      <c r="J91" s="116">
        <f>IF(TrRoad_act!J13=0,0,J27/TrRoad_act!J13*1000)</f>
        <v>61.962403253364528</v>
      </c>
      <c r="K91" s="116">
        <f>IF(TrRoad_act!K13=0,0,K27/TrRoad_act!K13*1000)</f>
        <v>61.767405624220522</v>
      </c>
      <c r="L91" s="116">
        <f>IF(TrRoad_act!L13=0,0,L27/TrRoad_act!L13*1000)</f>
        <v>60.211142639462906</v>
      </c>
      <c r="M91" s="116">
        <f>IF(TrRoad_act!M13=0,0,M27/TrRoad_act!M13*1000)</f>
        <v>60.284949812952789</v>
      </c>
      <c r="N91" s="116">
        <f>IF(TrRoad_act!N13=0,0,N27/TrRoad_act!N13*1000)</f>
        <v>60.916870131230354</v>
      </c>
      <c r="O91" s="116">
        <f>IF(TrRoad_act!O13=0,0,O27/TrRoad_act!O13*1000)</f>
        <v>61.183504285370674</v>
      </c>
      <c r="P91" s="116">
        <f>IF(TrRoad_act!P13=0,0,P27/TrRoad_act!P13*1000)</f>
        <v>57.492919287609617</v>
      </c>
      <c r="Q91" s="116">
        <f>IF(TrRoad_act!Q13=0,0,Q27/TrRoad_act!Q13*1000)</f>
        <v>63.247115603012574</v>
      </c>
      <c r="R91" s="116">
        <f>IF(TrRoad_act!R13=0,0,R27/TrRoad_act!R13*1000)</f>
        <v>62.901583681940643</v>
      </c>
      <c r="S91" s="116">
        <f>IF(TrRoad_act!S13=0,0,S27/TrRoad_act!S13*1000)</f>
        <v>62.57084373112022</v>
      </c>
      <c r="T91" s="116">
        <f>IF(TrRoad_act!T13=0,0,T27/TrRoad_act!T13*1000)</f>
        <v>62.419292784142023</v>
      </c>
      <c r="U91" s="116">
        <f>IF(TrRoad_act!U13=0,0,U27/TrRoad_act!U13*1000)</f>
        <v>62.694748878165285</v>
      </c>
      <c r="V91" s="116">
        <f>IF(TrRoad_act!V13=0,0,V27/TrRoad_act!V13*1000)</f>
        <v>84.87418287732325</v>
      </c>
      <c r="W91" s="116">
        <f>IF(TrRoad_act!W13=0,0,W27/TrRoad_act!W13*1000)</f>
        <v>83.232914509825605</v>
      </c>
      <c r="X91" s="116">
        <f>IF(TrRoad_act!X13=0,0,X27/TrRoad_act!X13*1000)</f>
        <v>70.043785861719684</v>
      </c>
      <c r="Y91" s="116">
        <f>IF(TrRoad_act!Y13=0,0,Y27/TrRoad_act!Y13*1000)</f>
        <v>70.098890548647631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68.349835531545395</v>
      </c>
      <c r="C92" s="101">
        <f>IF(TrRoad_act!C14=0,0,C28/TrRoad_act!C14*1000)</f>
        <v>70.242144728224133</v>
      </c>
      <c r="D92" s="101">
        <f>IF(TrRoad_act!D14=0,0,D28/TrRoad_act!D14*1000)</f>
        <v>70.998296068504843</v>
      </c>
      <c r="E92" s="101">
        <f>IF(TrRoad_act!E14=0,0,E28/TrRoad_act!E14*1000)</f>
        <v>65.92033363625545</v>
      </c>
      <c r="F92" s="101">
        <f>IF(TrRoad_act!F14=0,0,F28/TrRoad_act!F14*1000)</f>
        <v>65.662624414805279</v>
      </c>
      <c r="G92" s="101">
        <f>IF(TrRoad_act!G14=0,0,G28/TrRoad_act!G14*1000)</f>
        <v>63.130727707392964</v>
      </c>
      <c r="H92" s="101">
        <f>IF(TrRoad_act!H14=0,0,H28/TrRoad_act!H14*1000)</f>
        <v>63.339390914611187</v>
      </c>
      <c r="I92" s="101">
        <f>IF(TrRoad_act!I14=0,0,I28/TrRoad_act!I14*1000)</f>
        <v>63.62767336241297</v>
      </c>
      <c r="J92" s="101">
        <f>IF(TrRoad_act!J14=0,0,J28/TrRoad_act!J14*1000)</f>
        <v>62.842377630490873</v>
      </c>
      <c r="K92" s="101">
        <f>IF(TrRoad_act!K14=0,0,K28/TrRoad_act!K14*1000)</f>
        <v>62.769415741992951</v>
      </c>
      <c r="L92" s="101">
        <f>IF(TrRoad_act!L14=0,0,L28/TrRoad_act!L14*1000)</f>
        <v>61.371929764364012</v>
      </c>
      <c r="M92" s="101">
        <f>IF(TrRoad_act!M14=0,0,M28/TrRoad_act!M14*1000)</f>
        <v>62.310301981567115</v>
      </c>
      <c r="N92" s="101">
        <f>IF(TrRoad_act!N14=0,0,N28/TrRoad_act!N14*1000)</f>
        <v>62.327134760209383</v>
      </c>
      <c r="O92" s="101">
        <f>IF(TrRoad_act!O14=0,0,O28/TrRoad_act!O14*1000)</f>
        <v>62.297735255548602</v>
      </c>
      <c r="P92" s="101">
        <f>IF(TrRoad_act!P14=0,0,P28/TrRoad_act!P14*1000)</f>
        <v>57.092336259738367</v>
      </c>
      <c r="Q92" s="101">
        <f>IF(TrRoad_act!Q14=0,0,Q28/TrRoad_act!Q14*1000)</f>
        <v>61.924402652652269</v>
      </c>
      <c r="R92" s="101">
        <f>IF(TrRoad_act!R14=0,0,R28/TrRoad_act!R14*1000)</f>
        <v>62.541000510593967</v>
      </c>
      <c r="S92" s="101">
        <f>IF(TrRoad_act!S14=0,0,S28/TrRoad_act!S14*1000)</f>
        <v>62.137621542079607</v>
      </c>
      <c r="T92" s="101">
        <f>IF(TrRoad_act!T14=0,0,T28/TrRoad_act!T14*1000)</f>
        <v>62.086352122222088</v>
      </c>
      <c r="U92" s="101">
        <f>IF(TrRoad_act!U14=0,0,U28/TrRoad_act!U14*1000)</f>
        <v>61.629438737094866</v>
      </c>
      <c r="V92" s="101">
        <f>IF(TrRoad_act!V14=0,0,V28/TrRoad_act!V14*1000)</f>
        <v>83.358576455524769</v>
      </c>
      <c r="W92" s="101">
        <f>IF(TrRoad_act!W14=0,0,W28/TrRoad_act!W14*1000)</f>
        <v>81.744849622313893</v>
      </c>
      <c r="X92" s="101">
        <f>IF(TrRoad_act!X14=0,0,X28/TrRoad_act!X14*1000)</f>
        <v>71.391696882948352</v>
      </c>
      <c r="Y92" s="101">
        <f>IF(TrRoad_act!Y14=0,0,Y28/TrRoad_act!Y14*1000)</f>
        <v>71.923714194243516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71.17279274671435</v>
      </c>
      <c r="C93" s="101">
        <f>IF(TrRoad_act!C15=0,0,C29/TrRoad_act!C15*1000)</f>
        <v>73.040903029409833</v>
      </c>
      <c r="D93" s="101">
        <f>IF(TrRoad_act!D15=0,0,D29/TrRoad_act!D15*1000)</f>
        <v>72.870882463865414</v>
      </c>
      <c r="E93" s="101">
        <f>IF(TrRoad_act!E15=0,0,E29/TrRoad_act!E15*1000)</f>
        <v>67.79159939006307</v>
      </c>
      <c r="F93" s="101">
        <f>IF(TrRoad_act!F15=0,0,F29/TrRoad_act!F15*1000)</f>
        <v>67.977799543641467</v>
      </c>
      <c r="G93" s="101">
        <f>IF(TrRoad_act!G15=0,0,G29/TrRoad_act!G15*1000)</f>
        <v>65.984092908345474</v>
      </c>
      <c r="H93" s="101">
        <f>IF(TrRoad_act!H15=0,0,H29/TrRoad_act!H15*1000)</f>
        <v>65.94034746448439</v>
      </c>
      <c r="I93" s="101">
        <f>IF(TrRoad_act!I15=0,0,I29/TrRoad_act!I15*1000)</f>
        <v>65.883274058764428</v>
      </c>
      <c r="J93" s="101">
        <f>IF(TrRoad_act!J15=0,0,J29/TrRoad_act!J15*1000)</f>
        <v>65.348099849782002</v>
      </c>
      <c r="K93" s="101">
        <f>IF(TrRoad_act!K15=0,0,K29/TrRoad_act!K15*1000)</f>
        <v>64.937637770739627</v>
      </c>
      <c r="L93" s="101">
        <f>IF(TrRoad_act!L15=0,0,L29/TrRoad_act!L15*1000)</f>
        <v>62.937430754490748</v>
      </c>
      <c r="M93" s="101">
        <f>IF(TrRoad_act!M15=0,0,M29/TrRoad_act!M15*1000)</f>
        <v>62.966640014558749</v>
      </c>
      <c r="N93" s="101">
        <f>IF(TrRoad_act!N15=0,0,N29/TrRoad_act!N15*1000)</f>
        <v>63.533306915938311</v>
      </c>
      <c r="O93" s="101">
        <f>IF(TrRoad_act!O15=0,0,O29/TrRoad_act!O15*1000)</f>
        <v>63.637838533749409</v>
      </c>
      <c r="P93" s="101">
        <f>IF(TrRoad_act!P15=0,0,P29/TrRoad_act!P15*1000)</f>
        <v>58.697875392086409</v>
      </c>
      <c r="Q93" s="101">
        <f>IF(TrRoad_act!Q15=0,0,Q29/TrRoad_act!Q15*1000)</f>
        <v>64.285207421956088</v>
      </c>
      <c r="R93" s="101">
        <f>IF(TrRoad_act!R15=0,0,R29/TrRoad_act!R15*1000)</f>
        <v>64.488357619674062</v>
      </c>
      <c r="S93" s="101">
        <f>IF(TrRoad_act!S15=0,0,S29/TrRoad_act!S15*1000)</f>
        <v>64.826039053355601</v>
      </c>
      <c r="T93" s="101">
        <f>IF(TrRoad_act!T15=0,0,T29/TrRoad_act!T15*1000)</f>
        <v>65.154343977351502</v>
      </c>
      <c r="U93" s="101">
        <f>IF(TrRoad_act!U15=0,0,U29/TrRoad_act!U15*1000)</f>
        <v>64.884889660279498</v>
      </c>
      <c r="V93" s="101">
        <f>IF(TrRoad_act!V15=0,0,V29/TrRoad_act!V15*1000)</f>
        <v>86.342454584346925</v>
      </c>
      <c r="W93" s="101">
        <f>IF(TrRoad_act!W15=0,0,W29/TrRoad_act!W15*1000)</f>
        <v>84.128515522991776</v>
      </c>
      <c r="X93" s="101">
        <f>IF(TrRoad_act!X15=0,0,X29/TrRoad_act!X15*1000)</f>
        <v>73.36285651363508</v>
      </c>
      <c r="Y93" s="101">
        <f>IF(TrRoad_act!Y15=0,0,Y29/TrRoad_act!Y15*1000)</f>
        <v>73.025240840853499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67.474948291187118</v>
      </c>
      <c r="W94" s="101">
        <f>IF(TrRoad_act!W16=0,0,W30/TrRoad_act!W16*1000)</f>
        <v>65.731187114255235</v>
      </c>
      <c r="X94" s="101">
        <f>IF(TrRoad_act!X16=0,0,X30/TrRoad_act!X16*1000)</f>
        <v>57.666297814134033</v>
      </c>
      <c r="Y94" s="101">
        <f>IF(TrRoad_act!Y16=0,0,Y30/TrRoad_act!Y16*1000)</f>
        <v>57.999427087747399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45.767527982719699</v>
      </c>
      <c r="C95" s="101">
        <f>IF(TrRoad_act!C17=0,0,C31/TrRoad_act!C17*1000)</f>
        <v>46.569830589513664</v>
      </c>
      <c r="D95" s="101">
        <f>IF(TrRoad_act!D17=0,0,D31/TrRoad_act!D17*1000)</f>
        <v>46.136957171490891</v>
      </c>
      <c r="E95" s="101">
        <f>IF(TrRoad_act!E17=0,0,E31/TrRoad_act!E17*1000)</f>
        <v>42.543310557893442</v>
      </c>
      <c r="F95" s="101">
        <f>IF(TrRoad_act!F17=0,0,F31/TrRoad_act!F17*1000)</f>
        <v>51.570407219720693</v>
      </c>
      <c r="G95" s="101">
        <f>IF(TrRoad_act!G17=0,0,G31/TrRoad_act!G17*1000)</f>
        <v>43.032382085521505</v>
      </c>
      <c r="H95" s="101">
        <f>IF(TrRoad_act!H17=0,0,H31/TrRoad_act!H17*1000)</f>
        <v>63.019607059970227</v>
      </c>
      <c r="I95" s="101">
        <f>IF(TrRoad_act!I17=0,0,I31/TrRoad_act!I17*1000)</f>
        <v>40.65466280174477</v>
      </c>
      <c r="J95" s="101">
        <f>IF(TrRoad_act!J17=0,0,J31/TrRoad_act!J17*1000)</f>
        <v>41.177642224941764</v>
      </c>
      <c r="K95" s="101">
        <f>IF(TrRoad_act!K17=0,0,K31/TrRoad_act!K17*1000)</f>
        <v>48.719702275007428</v>
      </c>
      <c r="L95" s="101">
        <f>IF(TrRoad_act!L17=0,0,L31/TrRoad_act!L17*1000)</f>
        <v>62.969493064985755</v>
      </c>
      <c r="M95" s="101">
        <f>IF(TrRoad_act!M17=0,0,M31/TrRoad_act!M17*1000)</f>
        <v>71.725514193235242</v>
      </c>
      <c r="N95" s="101">
        <f>IF(TrRoad_act!N17=0,0,N31/TrRoad_act!N17*1000)</f>
        <v>83.024617764560389</v>
      </c>
      <c r="O95" s="101">
        <f>IF(TrRoad_act!O17=0,0,O31/TrRoad_act!O17*1000)</f>
        <v>85.138121435280141</v>
      </c>
      <c r="P95" s="101">
        <f>IF(TrRoad_act!P17=0,0,P31/TrRoad_act!P17*1000)</f>
        <v>131.95847773900422</v>
      </c>
      <c r="Q95" s="101">
        <f>IF(TrRoad_act!Q17=0,0,Q31/TrRoad_act!Q17*1000)</f>
        <v>132.24190503646923</v>
      </c>
      <c r="R95" s="101">
        <f>IF(TrRoad_act!R17=0,0,R31/TrRoad_act!R17*1000)</f>
        <v>100.47896655688658</v>
      </c>
      <c r="S95" s="101">
        <f>IF(TrRoad_act!S17=0,0,S31/TrRoad_act!S17*1000)</f>
        <v>77.956761431027246</v>
      </c>
      <c r="T95" s="101">
        <f>IF(TrRoad_act!T17=0,0,T31/TrRoad_act!T17*1000)</f>
        <v>74.184429153130367</v>
      </c>
      <c r="U95" s="101">
        <f>IF(TrRoad_act!U17=0,0,U31/TrRoad_act!U17*1000)</f>
        <v>77.352904625010495</v>
      </c>
      <c r="V95" s="101">
        <f>IF(TrRoad_act!V17=0,0,V31/TrRoad_act!V17*1000)</f>
        <v>120.12692285770214</v>
      </c>
      <c r="W95" s="101">
        <f>IF(TrRoad_act!W17=0,0,W31/TrRoad_act!W17*1000)</f>
        <v>128.80131595168081</v>
      </c>
      <c r="X95" s="101">
        <f>IF(TrRoad_act!X17=0,0,X31/TrRoad_act!X17*1000)</f>
        <v>84.475954016639832</v>
      </c>
      <c r="Y95" s="101">
        <f>IF(TrRoad_act!Y17=0,0,Y31/TrRoad_act!Y17*1000)</f>
        <v>90.300461299633838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114.70939631534428</v>
      </c>
      <c r="C97" s="29">
        <f>IF(TrRoad_act!C19=0,0,C33/TrRoad_act!C19*1000)</f>
        <v>118.86580055806087</v>
      </c>
      <c r="D97" s="29">
        <f>IF(TrRoad_act!D19=0,0,D33/TrRoad_act!D19*1000)</f>
        <v>121.45428960270841</v>
      </c>
      <c r="E97" s="29">
        <f>IF(TrRoad_act!E19=0,0,E33/TrRoad_act!E19*1000)</f>
        <v>140.59730207078363</v>
      </c>
      <c r="F97" s="29">
        <f>IF(TrRoad_act!F19=0,0,F33/TrRoad_act!F19*1000)</f>
        <v>152.55558702660397</v>
      </c>
      <c r="G97" s="29">
        <f>IF(TrRoad_act!G19=0,0,G33/TrRoad_act!G19*1000)</f>
        <v>179.31880128384591</v>
      </c>
      <c r="H97" s="29">
        <f>IF(TrRoad_act!H19=0,0,H33/TrRoad_act!H19*1000)</f>
        <v>184.49942390416973</v>
      </c>
      <c r="I97" s="29">
        <f>IF(TrRoad_act!I19=0,0,I33/TrRoad_act!I19*1000)</f>
        <v>196.20784320474834</v>
      </c>
      <c r="J97" s="29">
        <f>IF(TrRoad_act!J19=0,0,J33/TrRoad_act!J19*1000)</f>
        <v>201.42317443604867</v>
      </c>
      <c r="K97" s="29">
        <f>IF(TrRoad_act!K19=0,0,K33/TrRoad_act!K19*1000)</f>
        <v>207.22585595225536</v>
      </c>
      <c r="L97" s="29">
        <f>IF(TrRoad_act!L19=0,0,L33/TrRoad_act!L19*1000)</f>
        <v>177.72225319668777</v>
      </c>
      <c r="M97" s="29">
        <f>IF(TrRoad_act!M19=0,0,M33/TrRoad_act!M19*1000)</f>
        <v>168.42534130004671</v>
      </c>
      <c r="N97" s="29">
        <f>IF(TrRoad_act!N19=0,0,N33/TrRoad_act!N19*1000)</f>
        <v>170.22764096214212</v>
      </c>
      <c r="O97" s="29">
        <f>IF(TrRoad_act!O19=0,0,O33/TrRoad_act!O19*1000)</f>
        <v>152.44537193609611</v>
      </c>
      <c r="P97" s="29">
        <f>IF(TrRoad_act!P19=0,0,P33/TrRoad_act!P19*1000)</f>
        <v>156.06080325674679</v>
      </c>
      <c r="Q97" s="29">
        <f>IF(TrRoad_act!Q19=0,0,Q33/TrRoad_act!Q19*1000)</f>
        <v>149.34292365370942</v>
      </c>
      <c r="R97" s="29">
        <f>IF(TrRoad_act!R19=0,0,R33/TrRoad_act!R19*1000)</f>
        <v>150.64134578957908</v>
      </c>
      <c r="S97" s="29">
        <f>IF(TrRoad_act!S19=0,0,S33/TrRoad_act!S19*1000)</f>
        <v>155.64951537868509</v>
      </c>
      <c r="T97" s="29">
        <f>IF(TrRoad_act!T19=0,0,T33/TrRoad_act!T19*1000)</f>
        <v>154.41011307634474</v>
      </c>
      <c r="U97" s="29">
        <f>IF(TrRoad_act!U19=0,0,U33/TrRoad_act!U19*1000)</f>
        <v>146.09138634359405</v>
      </c>
      <c r="V97" s="29">
        <f>IF(TrRoad_act!V19=0,0,V33/TrRoad_act!V19*1000)</f>
        <v>121.37685919158369</v>
      </c>
      <c r="W97" s="29">
        <f>IF(TrRoad_act!W19=0,0,W33/TrRoad_act!W19*1000)</f>
        <v>128.4558683903237</v>
      </c>
      <c r="X97" s="29">
        <f>IF(TrRoad_act!X19=0,0,X33/TrRoad_act!X19*1000)</f>
        <v>124.71859792900716</v>
      </c>
      <c r="Y97" s="29">
        <f>IF(TrRoad_act!Y19=0,0,Y33/TrRoad_act!Y19*1000)</f>
        <v>134.08331832716638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2332.5565478905287</v>
      </c>
      <c r="C98" s="152">
        <f>IF(TrRoad_act!C20=0,0,C34/TrRoad_act!C20*1000)</f>
        <v>2191.3860401399447</v>
      </c>
      <c r="D98" s="152">
        <f>IF(TrRoad_act!D20=0,0,D34/TrRoad_act!D20*1000)</f>
        <v>2122.0989645055697</v>
      </c>
      <c r="E98" s="152">
        <f>IF(TrRoad_act!E20=0,0,E34/TrRoad_act!E20*1000)</f>
        <v>2070.9584600518224</v>
      </c>
      <c r="F98" s="152">
        <f>IF(TrRoad_act!F20=0,0,F34/TrRoad_act!F20*1000)</f>
        <v>2040.8412787012619</v>
      </c>
      <c r="G98" s="152">
        <f>IF(TrRoad_act!G20=0,0,G34/TrRoad_act!G20*1000)</f>
        <v>2023.0273271056105</v>
      </c>
      <c r="H98" s="152">
        <f>IF(TrRoad_act!H20=0,0,H34/TrRoad_act!H20*1000)</f>
        <v>1996.0555849928169</v>
      </c>
      <c r="I98" s="152">
        <f>IF(TrRoad_act!I20=0,0,I34/TrRoad_act!I20*1000)</f>
        <v>1973.1228886891961</v>
      </c>
      <c r="J98" s="152">
        <f>IF(TrRoad_act!J20=0,0,J34/TrRoad_act!J20*1000)</f>
        <v>1962.4624435511323</v>
      </c>
      <c r="K98" s="152">
        <f>IF(TrRoad_act!K20=0,0,K34/TrRoad_act!K20*1000)</f>
        <v>1925.8880799039521</v>
      </c>
      <c r="L98" s="152">
        <f>IF(TrRoad_act!L20=0,0,L34/TrRoad_act!L20*1000)</f>
        <v>1924.5824801570748</v>
      </c>
      <c r="M98" s="152">
        <f>IF(TrRoad_act!M20=0,0,M34/TrRoad_act!M20*1000)</f>
        <v>1902.8963711609197</v>
      </c>
      <c r="N98" s="152">
        <f>IF(TrRoad_act!N20=0,0,N34/TrRoad_act!N20*1000)</f>
        <v>1918.7297123847331</v>
      </c>
      <c r="O98" s="152">
        <f>IF(TrRoad_act!O20=0,0,O34/TrRoad_act!O20*1000)</f>
        <v>1934.3942953273006</v>
      </c>
      <c r="P98" s="152">
        <f>IF(TrRoad_act!P20=0,0,P34/TrRoad_act!P20*1000)</f>
        <v>1959.381692559059</v>
      </c>
      <c r="Q98" s="152">
        <f>IF(TrRoad_act!Q20=0,0,Q34/TrRoad_act!Q20*1000)</f>
        <v>1981.7272713905386</v>
      </c>
      <c r="R98" s="152">
        <f>IF(TrRoad_act!R20=0,0,R34/TrRoad_act!R20*1000)</f>
        <v>2015.9881021312067</v>
      </c>
      <c r="S98" s="152">
        <f>IF(TrRoad_act!S20=0,0,S34/TrRoad_act!S20*1000)</f>
        <v>2014.8768245355861</v>
      </c>
      <c r="T98" s="152">
        <f>IF(TrRoad_act!T20=0,0,T34/TrRoad_act!T20*1000)</f>
        <v>2011.0404999454179</v>
      </c>
      <c r="U98" s="152">
        <f>IF(TrRoad_act!U20=0,0,U34/TrRoad_act!U20*1000)</f>
        <v>1994.9873520131966</v>
      </c>
      <c r="V98" s="152">
        <f>IF(TrRoad_act!V20=0,0,V34/TrRoad_act!V20*1000)</f>
        <v>1961.6040854176699</v>
      </c>
      <c r="W98" s="152">
        <f>IF(TrRoad_act!W20=0,0,W34/TrRoad_act!W20*1000)</f>
        <v>1989.7992467127799</v>
      </c>
      <c r="X98" s="152">
        <f>IF(TrRoad_act!X20=0,0,X34/TrRoad_act!X20*1000)</f>
        <v>1994.6291710787286</v>
      </c>
      <c r="Y98" s="152">
        <f>IF(TrRoad_act!Y20=0,0,Y34/TrRoad_act!Y20*1000)</f>
        <v>1987.7785758563725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2348.8868466560607</v>
      </c>
      <c r="C99" s="87">
        <f>IF(TrRoad_act!C21=0,0,C35/TrRoad_act!C21*1000)</f>
        <v>2290.745474265143</v>
      </c>
      <c r="D99" s="87">
        <f>IF(TrRoad_act!D21=0,0,D35/TrRoad_act!D21*1000)</f>
        <v>2260.4526041687914</v>
      </c>
      <c r="E99" s="87">
        <f>IF(TrRoad_act!E21=0,0,E35/TrRoad_act!E21*1000)</f>
        <v>2247.9452366477553</v>
      </c>
      <c r="F99" s="87">
        <f>IF(TrRoad_act!F21=0,0,F35/TrRoad_act!F21*1000)</f>
        <v>2225.8808505884922</v>
      </c>
      <c r="G99" s="87">
        <f>IF(TrRoad_act!G21=0,0,G35/TrRoad_act!G21*1000)</f>
        <v>2199.4475659245982</v>
      </c>
      <c r="H99" s="87">
        <f>IF(TrRoad_act!H21=0,0,H35/TrRoad_act!H21*1000)</f>
        <v>2170.3461482049552</v>
      </c>
      <c r="I99" s="87">
        <f>IF(TrRoad_act!I21=0,0,I35/TrRoad_act!I21*1000)</f>
        <v>2149.8151839604293</v>
      </c>
      <c r="J99" s="87">
        <f>IF(TrRoad_act!J21=0,0,J35/TrRoad_act!J21*1000)</f>
        <v>2107.2408378187311</v>
      </c>
      <c r="K99" s="87">
        <f>IF(TrRoad_act!K21=0,0,K35/TrRoad_act!K21*1000)</f>
        <v>2075.6435599963756</v>
      </c>
      <c r="L99" s="87">
        <f>IF(TrRoad_act!L21=0,0,L35/TrRoad_act!L21*1000)</f>
        <v>2071.7735572535721</v>
      </c>
      <c r="M99" s="87">
        <f>IF(TrRoad_act!M21=0,0,M35/TrRoad_act!M21*1000)</f>
        <v>2065.4702619408608</v>
      </c>
      <c r="N99" s="87">
        <f>IF(TrRoad_act!N21=0,0,N35/TrRoad_act!N21*1000)</f>
        <v>2067.4298180352689</v>
      </c>
      <c r="O99" s="87">
        <f>IF(TrRoad_act!O21=0,0,O35/TrRoad_act!O21*1000)</f>
        <v>2075.5884884357692</v>
      </c>
      <c r="P99" s="87">
        <f>IF(TrRoad_act!P21=0,0,P35/TrRoad_act!P21*1000)</f>
        <v>2061.9167434684973</v>
      </c>
      <c r="Q99" s="87">
        <f>IF(TrRoad_act!Q21=0,0,Q35/TrRoad_act!Q21*1000)</f>
        <v>2054.7630266917186</v>
      </c>
      <c r="R99" s="87">
        <f>IF(TrRoad_act!R21=0,0,R35/TrRoad_act!R21*1000)</f>
        <v>2072.2449756167002</v>
      </c>
      <c r="S99" s="87">
        <f>IF(TrRoad_act!S21=0,0,S35/TrRoad_act!S21*1000)</f>
        <v>2042.5387146834191</v>
      </c>
      <c r="T99" s="87">
        <f>IF(TrRoad_act!T21=0,0,T35/TrRoad_act!T21*1000)</f>
        <v>2030.7342127277491</v>
      </c>
      <c r="U99" s="87">
        <f>IF(TrRoad_act!U21=0,0,U35/TrRoad_act!U21*1000)</f>
        <v>2005.9123534093515</v>
      </c>
      <c r="V99" s="87">
        <f>IF(TrRoad_act!V21=0,0,V35/TrRoad_act!V21*1000)</f>
        <v>1998.0027541619811</v>
      </c>
      <c r="W99" s="87">
        <f>IF(TrRoad_act!W21=0,0,W35/TrRoad_act!W21*1000)</f>
        <v>2000.9095077546513</v>
      </c>
      <c r="X99" s="87">
        <f>IF(TrRoad_act!X21=0,0,X35/TrRoad_act!X21*1000)</f>
        <v>1982.0615464552068</v>
      </c>
      <c r="Y99" s="87">
        <f>IF(TrRoad_act!Y21=0,0,Y35/TrRoad_act!Y21*1000)</f>
        <v>1971.0113845361971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2233.3447829319707</v>
      </c>
      <c r="C100" s="87">
        <f>IF(TrRoad_act!C22=0,0,C36/TrRoad_act!C22*1000)</f>
        <v>2085.7181068096165</v>
      </c>
      <c r="D100" s="87">
        <f>IF(TrRoad_act!D22=0,0,D36/TrRoad_act!D22*1000)</f>
        <v>2023.4063587255635</v>
      </c>
      <c r="E100" s="87">
        <f>IF(TrRoad_act!E22=0,0,E36/TrRoad_act!E22*1000)</f>
        <v>1984.7738234940587</v>
      </c>
      <c r="F100" s="87">
        <f>IF(TrRoad_act!F22=0,0,F36/TrRoad_act!F22*1000)</f>
        <v>1968.4840772529556</v>
      </c>
      <c r="G100" s="87">
        <f>IF(TrRoad_act!G22=0,0,G36/TrRoad_act!G22*1000)</f>
        <v>1964.3342832501367</v>
      </c>
      <c r="H100" s="87">
        <f>IF(TrRoad_act!H22=0,0,H36/TrRoad_act!H22*1000)</f>
        <v>1943.3755991237113</v>
      </c>
      <c r="I100" s="87">
        <f>IF(TrRoad_act!I22=0,0,I36/TrRoad_act!I22*1000)</f>
        <v>1924.6399222763644</v>
      </c>
      <c r="J100" s="87">
        <f>IF(TrRoad_act!J22=0,0,J36/TrRoad_act!J22*1000)</f>
        <v>1924.9776255712172</v>
      </c>
      <c r="K100" s="87">
        <f>IF(TrRoad_act!K22=0,0,K36/TrRoad_act!K22*1000)</f>
        <v>1889.5698611999774</v>
      </c>
      <c r="L100" s="87">
        <f>IF(TrRoad_act!L22=0,0,L36/TrRoad_act!L22*1000)</f>
        <v>1892.0390501808467</v>
      </c>
      <c r="M100" s="87">
        <f>IF(TrRoad_act!M22=0,0,M36/TrRoad_act!M22*1000)</f>
        <v>1870.2359877400318</v>
      </c>
      <c r="N100" s="87">
        <f>IF(TrRoad_act!N22=0,0,N36/TrRoad_act!N22*1000)</f>
        <v>1887.043028332135</v>
      </c>
      <c r="O100" s="87">
        <f>IF(TrRoad_act!O22=0,0,O36/TrRoad_act!O22*1000)</f>
        <v>1903.6172552902729</v>
      </c>
      <c r="P100" s="87">
        <f>IF(TrRoad_act!P22=0,0,P36/TrRoad_act!P22*1000)</f>
        <v>1932.3410075017507</v>
      </c>
      <c r="Q100" s="87">
        <f>IF(TrRoad_act!Q22=0,0,Q36/TrRoad_act!Q22*1000)</f>
        <v>1959.8379024660298</v>
      </c>
      <c r="R100" s="87">
        <f>IF(TrRoad_act!R22=0,0,R36/TrRoad_act!R22*1000)</f>
        <v>1987.1976785454049</v>
      </c>
      <c r="S100" s="87">
        <f>IF(TrRoad_act!S22=0,0,S36/TrRoad_act!S22*1000)</f>
        <v>1990.1243252536128</v>
      </c>
      <c r="T100" s="87">
        <f>IF(TrRoad_act!T22=0,0,T36/TrRoad_act!T22*1000)</f>
        <v>1988.6872184383622</v>
      </c>
      <c r="U100" s="87">
        <f>IF(TrRoad_act!U22=0,0,U36/TrRoad_act!U22*1000)</f>
        <v>1975.5424242391318</v>
      </c>
      <c r="V100" s="87">
        <f>IF(TrRoad_act!V22=0,0,V36/TrRoad_act!V22*1000)</f>
        <v>1941.2666462578843</v>
      </c>
      <c r="W100" s="87">
        <f>IF(TrRoad_act!W22=0,0,W36/TrRoad_act!W22*1000)</f>
        <v>1974.788429571109</v>
      </c>
      <c r="X100" s="87">
        <f>IF(TrRoad_act!X22=0,0,X36/TrRoad_act!X22*1000)</f>
        <v>1984.7450102164389</v>
      </c>
      <c r="Y100" s="87">
        <f>IF(TrRoad_act!Y22=0,0,Y36/TrRoad_act!Y22*1000)</f>
        <v>1983.4071051812246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4830.0650349867037</v>
      </c>
      <c r="C101" s="87">
        <f>IF(TrRoad_act!C23=0,0,C37/TrRoad_act!C23*1000)</f>
        <v>4792.5596202970664</v>
      </c>
      <c r="D101" s="87">
        <f>IF(TrRoad_act!D23=0,0,D37/TrRoad_act!D23*1000)</f>
        <v>4653.9140908791169</v>
      </c>
      <c r="E101" s="87">
        <f>IF(TrRoad_act!E23=0,0,E37/TrRoad_act!E23*1000)</f>
        <v>4499.648173624837</v>
      </c>
      <c r="F101" s="87">
        <f>IF(TrRoad_act!F23=0,0,F37/TrRoad_act!F23*1000)</f>
        <v>4297.2788624424957</v>
      </c>
      <c r="G101" s="87">
        <f>IF(TrRoad_act!G23=0,0,G37/TrRoad_act!G23*1000)</f>
        <v>4124.3084482841532</v>
      </c>
      <c r="H101" s="87">
        <f>IF(TrRoad_act!H23=0,0,H37/TrRoad_act!H23*1000)</f>
        <v>3914.0544334515462</v>
      </c>
      <c r="I101" s="87">
        <f>IF(TrRoad_act!I23=0,0,I37/TrRoad_act!I23*1000)</f>
        <v>3730.6328032435113</v>
      </c>
      <c r="J101" s="87">
        <f>IF(TrRoad_act!J23=0,0,J37/TrRoad_act!J23*1000)</f>
        <v>3656.1043143094635</v>
      </c>
      <c r="K101" s="87">
        <f>IF(TrRoad_act!K23=0,0,K37/TrRoad_act!K23*1000)</f>
        <v>3539.6260740294097</v>
      </c>
      <c r="L101" s="87">
        <f>IF(TrRoad_act!L23=0,0,L37/TrRoad_act!L23*1000)</f>
        <v>3473.4886183565504</v>
      </c>
      <c r="M101" s="87">
        <f>IF(TrRoad_act!M23=0,0,M37/TrRoad_act!M23*1000)</f>
        <v>3391.76455113263</v>
      </c>
      <c r="N101" s="87">
        <f>IF(TrRoad_act!N23=0,0,N37/TrRoad_act!N23*1000)</f>
        <v>3348.161386591139</v>
      </c>
      <c r="O101" s="87">
        <f>IF(TrRoad_act!O23=0,0,O37/TrRoad_act!O23*1000)</f>
        <v>3350.396408509494</v>
      </c>
      <c r="P101" s="87">
        <f>IF(TrRoad_act!P23=0,0,P37/TrRoad_act!P23*1000)</f>
        <v>3364.4374003329044</v>
      </c>
      <c r="Q101" s="87">
        <f>IF(TrRoad_act!Q23=0,0,Q37/TrRoad_act!Q23*1000)</f>
        <v>3352.3398991520835</v>
      </c>
      <c r="R101" s="87">
        <f>IF(TrRoad_act!R23=0,0,R37/TrRoad_act!R23*1000)</f>
        <v>3374.3947598469495</v>
      </c>
      <c r="S101" s="87">
        <f>IF(TrRoad_act!S23=0,0,S37/TrRoad_act!S23*1000)</f>
        <v>3351.742028436222</v>
      </c>
      <c r="T101" s="87">
        <f>IF(TrRoad_act!T23=0,0,T37/TrRoad_act!T23*1000)</f>
        <v>3313.372283213645</v>
      </c>
      <c r="U101" s="87">
        <f>IF(TrRoad_act!U23=0,0,U37/TrRoad_act!U23*1000)</f>
        <v>3307.0611009971817</v>
      </c>
      <c r="V101" s="87">
        <f>IF(TrRoad_act!V23=0,0,V37/TrRoad_act!V23*1000)</f>
        <v>3303.2795587660348</v>
      </c>
      <c r="W101" s="87">
        <f>IF(TrRoad_act!W23=0,0,W37/TrRoad_act!W23*1000)</f>
        <v>3309.6141707412271</v>
      </c>
      <c r="X101" s="87">
        <f>IF(TrRoad_act!X23=0,0,X37/TrRoad_act!X23*1000)</f>
        <v>3295.1394472962038</v>
      </c>
      <c r="Y101" s="87">
        <f>IF(TrRoad_act!Y23=0,0,Y37/TrRoad_act!Y23*1000)</f>
        <v>3257.9798450226504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2549.7906300987556</v>
      </c>
      <c r="O102" s="87">
        <f>IF(TrRoad_act!O24=0,0,O38/TrRoad_act!O24*1000)</f>
        <v>2474.6746373882638</v>
      </c>
      <c r="P102" s="87">
        <f>IF(TrRoad_act!P24=0,0,P38/TrRoad_act!P24*1000)</f>
        <v>2375.8568847323145</v>
      </c>
      <c r="Q102" s="87">
        <f>IF(TrRoad_act!Q24=0,0,Q38/TrRoad_act!Q24*1000)</f>
        <v>2052.7457963830821</v>
      </c>
      <c r="R102" s="87">
        <f>IF(TrRoad_act!R24=0,0,R38/TrRoad_act!R24*1000)</f>
        <v>2289.9242220255028</v>
      </c>
      <c r="S102" s="87">
        <f>IF(TrRoad_act!S24=0,0,S38/TrRoad_act!S24*1000)</f>
        <v>2229.0050881358297</v>
      </c>
      <c r="T102" s="87">
        <f>IF(TrRoad_act!T24=0,0,T38/TrRoad_act!T24*1000)</f>
        <v>2161.606521268362</v>
      </c>
      <c r="U102" s="87">
        <f>IF(TrRoad_act!U24=0,0,U38/TrRoad_act!U24*1000)</f>
        <v>2123.8464269911765</v>
      </c>
      <c r="V102" s="87">
        <f>IF(TrRoad_act!V24=0,0,V38/TrRoad_act!V24*1000)</f>
        <v>2060.5899708592519</v>
      </c>
      <c r="W102" s="87">
        <f>IF(TrRoad_act!W24=0,0,W38/TrRoad_act!W24*1000)</f>
        <v>2096.6366663680842</v>
      </c>
      <c r="X102" s="87">
        <f>IF(TrRoad_act!X24=0,0,X38/TrRoad_act!X24*1000)</f>
        <v>2096.7514012485472</v>
      </c>
      <c r="Y102" s="87">
        <f>IF(TrRoad_act!Y24=0,0,Y38/TrRoad_act!Y24*1000)</f>
        <v>2052.4607801879074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97.286913873563861</v>
      </c>
      <c r="C104" s="116">
        <f>IF(TrRoad_act!C26=0,0,C40/TrRoad_act!C26*1000)</f>
        <v>101.07124292787053</v>
      </c>
      <c r="D104" s="116">
        <f>IF(TrRoad_act!D26=0,0,D40/TrRoad_act!D26*1000)</f>
        <v>102.5371775719137</v>
      </c>
      <c r="E104" s="116">
        <f>IF(TrRoad_act!E26=0,0,E40/TrRoad_act!E26*1000)</f>
        <v>119.92627636058731</v>
      </c>
      <c r="F104" s="116">
        <f>IF(TrRoad_act!F26=0,0,F40/TrRoad_act!F26*1000)</f>
        <v>129.34371490118346</v>
      </c>
      <c r="G104" s="116">
        <f>IF(TrRoad_act!G26=0,0,G40/TrRoad_act!G26*1000)</f>
        <v>151.95962456081793</v>
      </c>
      <c r="H104" s="116">
        <f>IF(TrRoad_act!H26=0,0,H40/TrRoad_act!H26*1000)</f>
        <v>154.44601177241532</v>
      </c>
      <c r="I104" s="116">
        <f>IF(TrRoad_act!I26=0,0,I40/TrRoad_act!I26*1000)</f>
        <v>162.6018871127545</v>
      </c>
      <c r="J104" s="116">
        <f>IF(TrRoad_act!J26=0,0,J40/TrRoad_act!J26*1000)</f>
        <v>160.04296451216152</v>
      </c>
      <c r="K104" s="116">
        <f>IF(TrRoad_act!K26=0,0,K40/TrRoad_act!K26*1000)</f>
        <v>161.1237206676208</v>
      </c>
      <c r="L104" s="116">
        <f>IF(TrRoad_act!L26=0,0,L40/TrRoad_act!L26*1000)</f>
        <v>132.72462751780029</v>
      </c>
      <c r="M104" s="116">
        <f>IF(TrRoad_act!M26=0,0,M40/TrRoad_act!M26*1000)</f>
        <v>124.58944340634021</v>
      </c>
      <c r="N104" s="116">
        <f>IF(TrRoad_act!N26=0,0,N40/TrRoad_act!N26*1000)</f>
        <v>124.46348532486738</v>
      </c>
      <c r="O104" s="116">
        <f>IF(TrRoad_act!O26=0,0,O40/TrRoad_act!O26*1000)</f>
        <v>108.29230186346932</v>
      </c>
      <c r="P104" s="116">
        <f>IF(TrRoad_act!P26=0,0,P40/TrRoad_act!P26*1000)</f>
        <v>109.0166001788842</v>
      </c>
      <c r="Q104" s="116">
        <f>IF(TrRoad_act!Q26=0,0,Q40/TrRoad_act!Q26*1000)</f>
        <v>104.29530013134952</v>
      </c>
      <c r="R104" s="116">
        <f>IF(TrRoad_act!R26=0,0,R40/TrRoad_act!R26*1000)</f>
        <v>112.62566698208347</v>
      </c>
      <c r="S104" s="116">
        <f>IF(TrRoad_act!S26=0,0,S40/TrRoad_act!S26*1000)</f>
        <v>116.82479118897801</v>
      </c>
      <c r="T104" s="116">
        <f>IF(TrRoad_act!T26=0,0,T40/TrRoad_act!T26*1000)</f>
        <v>115.56166546262921</v>
      </c>
      <c r="U104" s="116">
        <f>IF(TrRoad_act!U26=0,0,U40/TrRoad_act!U26*1000)</f>
        <v>109.06430348015896</v>
      </c>
      <c r="V104" s="116">
        <f>IF(TrRoad_act!V26=0,0,V40/TrRoad_act!V26*1000)</f>
        <v>89.554165320945472</v>
      </c>
      <c r="W104" s="116">
        <f>IF(TrRoad_act!W26=0,0,W40/TrRoad_act!W26*1000)</f>
        <v>97.73988675283762</v>
      </c>
      <c r="X104" s="116">
        <f>IF(TrRoad_act!X26=0,0,X40/TrRoad_act!X26*1000)</f>
        <v>94.893748209146082</v>
      </c>
      <c r="Y104" s="116">
        <f>IF(TrRoad_act!Y26=0,0,Y40/TrRoad_act!Y26*1000)</f>
        <v>101.96724128008655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98.563068700275963</v>
      </c>
      <c r="C105" s="101">
        <f>IF(TrRoad_act!C27=0,0,C41/TrRoad_act!C27*1000)</f>
        <v>109.2102312777056</v>
      </c>
      <c r="D105" s="101">
        <f>IF(TrRoad_act!D27=0,0,D41/TrRoad_act!D27*1000)</f>
        <v>113.68221034159743</v>
      </c>
      <c r="E105" s="101">
        <f>IF(TrRoad_act!E27=0,0,E41/TrRoad_act!E27*1000)</f>
        <v>128.00795044250387</v>
      </c>
      <c r="F105" s="101">
        <f>IF(TrRoad_act!F27=0,0,F41/TrRoad_act!F27*1000)</f>
        <v>152.22107592392058</v>
      </c>
      <c r="G105" s="101">
        <f>IF(TrRoad_act!G27=0,0,G41/TrRoad_act!G27*1000)</f>
        <v>185.43643895873373</v>
      </c>
      <c r="H105" s="101">
        <f>IF(TrRoad_act!H27=0,0,H41/TrRoad_act!H27*1000)</f>
        <v>172.39685896301683</v>
      </c>
      <c r="I105" s="101">
        <f>IF(TrRoad_act!I27=0,0,I41/TrRoad_act!I27*1000)</f>
        <v>172.54055983238493</v>
      </c>
      <c r="J105" s="101">
        <f>IF(TrRoad_act!J27=0,0,J41/TrRoad_act!J27*1000)</f>
        <v>163.55538916058475</v>
      </c>
      <c r="K105" s="101">
        <f>IF(TrRoad_act!K27=0,0,K41/TrRoad_act!K27*1000)</f>
        <v>156.4222647430266</v>
      </c>
      <c r="L105" s="101">
        <f>IF(TrRoad_act!L27=0,0,L41/TrRoad_act!L27*1000)</f>
        <v>137.37512781567722</v>
      </c>
      <c r="M105" s="101">
        <f>IF(TrRoad_act!M27=0,0,M41/TrRoad_act!M27*1000)</f>
        <v>130.63318226931889</v>
      </c>
      <c r="N105" s="101">
        <f>IF(TrRoad_act!N27=0,0,N41/TrRoad_act!N27*1000)</f>
        <v>129.85769741457534</v>
      </c>
      <c r="O105" s="101">
        <f>IF(TrRoad_act!O27=0,0,O41/TrRoad_act!O27*1000)</f>
        <v>124.02145630433519</v>
      </c>
      <c r="P105" s="101">
        <f>IF(TrRoad_act!P27=0,0,P41/TrRoad_act!P27*1000)</f>
        <v>122.4057070049554</v>
      </c>
      <c r="Q105" s="101">
        <f>IF(TrRoad_act!Q27=0,0,Q41/TrRoad_act!Q27*1000)</f>
        <v>116.17470708113201</v>
      </c>
      <c r="R105" s="101">
        <f>IF(TrRoad_act!R27=0,0,R41/TrRoad_act!R27*1000)</f>
        <v>114.36076467837404</v>
      </c>
      <c r="S105" s="101">
        <f>IF(TrRoad_act!S27=0,0,S41/TrRoad_act!S27*1000)</f>
        <v>122.36364118095904</v>
      </c>
      <c r="T105" s="101">
        <f>IF(TrRoad_act!T27=0,0,T41/TrRoad_act!T27*1000)</f>
        <v>118.44551136617353</v>
      </c>
      <c r="U105" s="101">
        <f>IF(TrRoad_act!U27=0,0,U41/TrRoad_act!U27*1000)</f>
        <v>111.60723306069259</v>
      </c>
      <c r="V105" s="101">
        <f>IF(TrRoad_act!V27=0,0,V41/TrRoad_act!V27*1000)</f>
        <v>104.0055120429204</v>
      </c>
      <c r="W105" s="101">
        <f>IF(TrRoad_act!W27=0,0,W41/TrRoad_act!W27*1000)</f>
        <v>109.8710475773607</v>
      </c>
      <c r="X105" s="101">
        <f>IF(TrRoad_act!X27=0,0,X41/TrRoad_act!X27*1000)</f>
        <v>103.29186586011194</v>
      </c>
      <c r="Y105" s="101">
        <f>IF(TrRoad_act!Y27=0,0,Y41/TrRoad_act!Y27*1000)</f>
        <v>112.51447302013685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95.788200607638117</v>
      </c>
      <c r="C106" s="88">
        <f>IF(TrRoad_act!C28=0,0,C42/TrRoad_act!C28*1000)</f>
        <v>91.650392904859302</v>
      </c>
      <c r="D106" s="88">
        <f>IF(TrRoad_act!D28=0,0,D42/TrRoad_act!D28*1000)</f>
        <v>89.290977209997536</v>
      </c>
      <c r="E106" s="88">
        <f>IF(TrRoad_act!E28=0,0,E42/TrRoad_act!E28*1000)</f>
        <v>109.86843564348402</v>
      </c>
      <c r="F106" s="88">
        <f>IF(TrRoad_act!F28=0,0,F42/TrRoad_act!F28*1000)</f>
        <v>106.67324049501654</v>
      </c>
      <c r="G106" s="88">
        <f>IF(TrRoad_act!G28=0,0,G42/TrRoad_act!G28*1000)</f>
        <v>120.98346788473006</v>
      </c>
      <c r="H106" s="88">
        <f>IF(TrRoad_act!H28=0,0,H42/TrRoad_act!H28*1000)</f>
        <v>138.05782536119079</v>
      </c>
      <c r="I106" s="88">
        <f>IF(TrRoad_act!I28=0,0,I42/TrRoad_act!I28*1000)</f>
        <v>153.93477908343428</v>
      </c>
      <c r="J106" s="88">
        <f>IF(TrRoad_act!J28=0,0,J42/TrRoad_act!J28*1000)</f>
        <v>156.75251133402733</v>
      </c>
      <c r="K106" s="88">
        <f>IF(TrRoad_act!K28=0,0,K42/TrRoad_act!K28*1000)</f>
        <v>165.16572840993015</v>
      </c>
      <c r="L106" s="88">
        <f>IF(TrRoad_act!L28=0,0,L42/TrRoad_act!L28*1000)</f>
        <v>128.73740002876792</v>
      </c>
      <c r="M106" s="88">
        <f>IF(TrRoad_act!M28=0,0,M42/TrRoad_act!M28*1000)</f>
        <v>119.60707879085227</v>
      </c>
      <c r="N106" s="88">
        <f>IF(TrRoad_act!N28=0,0,N42/TrRoad_act!N28*1000)</f>
        <v>120.16141896369615</v>
      </c>
      <c r="O106" s="88">
        <f>IF(TrRoad_act!O28=0,0,O42/TrRoad_act!O28*1000)</f>
        <v>96.197245363616119</v>
      </c>
      <c r="P106" s="88">
        <f>IF(TrRoad_act!P28=0,0,P42/TrRoad_act!P28*1000)</f>
        <v>97.868875806042254</v>
      </c>
      <c r="Q106" s="88">
        <f>IF(TrRoad_act!Q28=0,0,Q42/TrRoad_act!Q28*1000)</f>
        <v>92.584830304229456</v>
      </c>
      <c r="R106" s="88">
        <f>IF(TrRoad_act!R28=0,0,R42/TrRoad_act!R28*1000)</f>
        <v>110.78363759704808</v>
      </c>
      <c r="S106" s="88">
        <f>IF(TrRoad_act!S28=0,0,S42/TrRoad_act!S28*1000)</f>
        <v>111.09657284130832</v>
      </c>
      <c r="T106" s="88">
        <f>IF(TrRoad_act!T28=0,0,T42/TrRoad_act!T28*1000)</f>
        <v>112.15091573354532</v>
      </c>
      <c r="U106" s="88">
        <f>IF(TrRoad_act!U28=0,0,U42/TrRoad_act!U28*1000)</f>
        <v>105.98227825031412</v>
      </c>
      <c r="V106" s="88">
        <f>IF(TrRoad_act!V28=0,0,V42/TrRoad_act!V28*1000)</f>
        <v>72.123642552185999</v>
      </c>
      <c r="W106" s="88">
        <f>IF(TrRoad_act!W28=0,0,W42/TrRoad_act!W28*1000)</f>
        <v>83.496982300109721</v>
      </c>
      <c r="X106" s="88">
        <f>IF(TrRoad_act!X28=0,0,X42/TrRoad_act!X28*1000)</f>
        <v>85.256245591112361</v>
      </c>
      <c r="Y106" s="88">
        <f>IF(TrRoad_act!Y28=0,0,Y42/TrRoad_act!Y28*1000)</f>
        <v>90.230469043762284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139.91780066627314</v>
      </c>
      <c r="C110" s="152">
        <f>IF(C19=0,0,1000000*C19/TrRoad_act!C59)</f>
        <v>131.3123339190592</v>
      </c>
      <c r="D110" s="152">
        <f>IF(D19=0,0,1000000*D19/TrRoad_act!D59)</f>
        <v>126.81069945055751</v>
      </c>
      <c r="E110" s="152">
        <f>IF(E19=0,0,1000000*E19/TrRoad_act!E59)</f>
        <v>127.77074319972552</v>
      </c>
      <c r="F110" s="152">
        <f>IF(F19=0,0,1000000*F19/TrRoad_act!F59)</f>
        <v>126.34190821541164</v>
      </c>
      <c r="G110" s="152">
        <f>IF(G19=0,0,1000000*G19/TrRoad_act!G59)</f>
        <v>123.98888692752126</v>
      </c>
      <c r="H110" s="152">
        <f>IF(H19=0,0,1000000*H19/TrRoad_act!H59)</f>
        <v>117.13023568796507</v>
      </c>
      <c r="I110" s="152">
        <f>IF(I19=0,0,1000000*I19/TrRoad_act!I59)</f>
        <v>116.85778481930336</v>
      </c>
      <c r="J110" s="152">
        <f>IF(J19=0,0,1000000*J19/TrRoad_act!J59)</f>
        <v>114.90941874287395</v>
      </c>
      <c r="K110" s="152">
        <f>IF(K19=0,0,1000000*K19/TrRoad_act!K59)</f>
        <v>113.85068178654781</v>
      </c>
      <c r="L110" s="152">
        <f>IF(L19=0,0,1000000*L19/TrRoad_act!L59)</f>
        <v>112.81431916351448</v>
      </c>
      <c r="M110" s="152">
        <f>IF(M19=0,0,1000000*M19/TrRoad_act!M59)</f>
        <v>111.90184873426929</v>
      </c>
      <c r="N110" s="152">
        <f>IF(N19=0,0,1000000*N19/TrRoad_act!N59)</f>
        <v>111.51820020701118</v>
      </c>
      <c r="O110" s="152">
        <f>IF(O19=0,0,1000000*O19/TrRoad_act!O59)</f>
        <v>111.11843737322545</v>
      </c>
      <c r="P110" s="152">
        <f>IF(P19=0,0,1000000*P19/TrRoad_act!P59)</f>
        <v>109.84958723316986</v>
      </c>
      <c r="Q110" s="152">
        <f>IF(Q19=0,0,1000000*Q19/TrRoad_act!Q59)</f>
        <v>108.88467138516089</v>
      </c>
      <c r="R110" s="152">
        <f>IF(R19=0,0,1000000*R19/TrRoad_act!R59)</f>
        <v>109.90171794190101</v>
      </c>
      <c r="S110" s="152">
        <f>IF(S19=0,0,1000000*S19/TrRoad_act!S59)</f>
        <v>100.65946045527454</v>
      </c>
      <c r="T110" s="152">
        <f>IF(T19=0,0,1000000*T19/TrRoad_act!T59)</f>
        <v>93.325137493865938</v>
      </c>
      <c r="U110" s="152">
        <f>IF(U19=0,0,1000000*U19/TrRoad_act!U59)</f>
        <v>95.781976442939012</v>
      </c>
      <c r="V110" s="152">
        <f>IF(V19=0,0,1000000*V19/TrRoad_act!V59)</f>
        <v>83.487684293192927</v>
      </c>
      <c r="W110" s="152">
        <f>IF(W19=0,0,1000000*W19/TrRoad_act!W59)</f>
        <v>85.840837191099126</v>
      </c>
      <c r="X110" s="152">
        <f>IF(X19=0,0,1000000*X19/TrRoad_act!X59)</f>
        <v>84.615710781637048</v>
      </c>
      <c r="Y110" s="152">
        <f>IF(Y19=0,0,1000000*Y19/TrRoad_act!Y59)</f>
        <v>87.83582025974853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1984.7524055096346</v>
      </c>
      <c r="C111" s="116">
        <f>IF(C20=0,0,1000000*C20/TrRoad_act!C60)</f>
        <v>2059.9593525826563</v>
      </c>
      <c r="D111" s="116">
        <f>IF(D20=0,0,1000000*D20/TrRoad_act!D60)</f>
        <v>2088.7873986018149</v>
      </c>
      <c r="E111" s="116">
        <f>IF(E20=0,0,1000000*E20/TrRoad_act!E60)</f>
        <v>2344.3458850945808</v>
      </c>
      <c r="F111" s="116">
        <f>IF(F20=0,0,1000000*F20/TrRoad_act!F60)</f>
        <v>2354.6227979010555</v>
      </c>
      <c r="G111" s="116">
        <f>IF(G20=0,0,1000000*G20/TrRoad_act!G60)</f>
        <v>2370.9902542718119</v>
      </c>
      <c r="H111" s="116">
        <f>IF(H20=0,0,1000000*H20/TrRoad_act!H60)</f>
        <v>2323.0736953651945</v>
      </c>
      <c r="I111" s="116">
        <f>IF(I20=0,0,1000000*I20/TrRoad_act!I60)</f>
        <v>2316.7631917452627</v>
      </c>
      <c r="J111" s="116">
        <f>IF(J20=0,0,1000000*J20/TrRoad_act!J60)</f>
        <v>2215.1972882944283</v>
      </c>
      <c r="K111" s="116">
        <f>IF(K20=0,0,1000000*K20/TrRoad_act!K60)</f>
        <v>2214.7237264796231</v>
      </c>
      <c r="L111" s="116">
        <f>IF(L20=0,0,1000000*L20/TrRoad_act!L60)</f>
        <v>2039.8222609226254</v>
      </c>
      <c r="M111" s="116">
        <f>IF(M20=0,0,1000000*M20/TrRoad_act!M60)</f>
        <v>2003.1519012180649</v>
      </c>
      <c r="N111" s="116">
        <f>IF(N20=0,0,1000000*N20/TrRoad_act!N60)</f>
        <v>1920.9096896403021</v>
      </c>
      <c r="O111" s="116">
        <f>IF(O20=0,0,1000000*O20/TrRoad_act!O60)</f>
        <v>1909.8526530649535</v>
      </c>
      <c r="P111" s="116">
        <f>IF(P20=0,0,1000000*P20/TrRoad_act!P60)</f>
        <v>1893.6843646470934</v>
      </c>
      <c r="Q111" s="116">
        <f>IF(Q20=0,0,1000000*Q20/TrRoad_act!Q60)</f>
        <v>1824.750329028295</v>
      </c>
      <c r="R111" s="116">
        <f>IF(R20=0,0,1000000*R20/TrRoad_act!R60)</f>
        <v>1873.8139076739656</v>
      </c>
      <c r="S111" s="116">
        <f>IF(S20=0,0,1000000*S20/TrRoad_act!S60)</f>
        <v>1846.6350783686751</v>
      </c>
      <c r="T111" s="116">
        <f>IF(T20=0,0,1000000*T20/TrRoad_act!T60)</f>
        <v>1808.6635318295187</v>
      </c>
      <c r="U111" s="116">
        <f>IF(U20=0,0,1000000*U20/TrRoad_act!U60)</f>
        <v>1794.5842968589996</v>
      </c>
      <c r="V111" s="116">
        <f>IF(V20=0,0,1000000*V20/TrRoad_act!V60)</f>
        <v>1661.6502739024995</v>
      </c>
      <c r="W111" s="116">
        <f>IF(W20=0,0,1000000*W20/TrRoad_act!W60)</f>
        <v>1746.2738844283488</v>
      </c>
      <c r="X111" s="116">
        <f>IF(X20=0,0,1000000*X20/TrRoad_act!X60)</f>
        <v>1731.1600614774568</v>
      </c>
      <c r="Y111" s="116">
        <f>IF(Y20=0,0,1000000*Y20/TrRoad_act!Y60)</f>
        <v>1734.1288383723327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1732.446640532273</v>
      </c>
      <c r="C112" s="87">
        <f>IF(C21=0,0,1000000*C21/TrRoad_act!C61)</f>
        <v>1788.5380930605497</v>
      </c>
      <c r="D112" s="87">
        <f>IF(D21=0,0,1000000*D21/TrRoad_act!D61)</f>
        <v>1785.0125119955817</v>
      </c>
      <c r="E112" s="87">
        <f>IF(E21=0,0,1000000*E21/TrRoad_act!E61)</f>
        <v>1967.3711876173475</v>
      </c>
      <c r="F112" s="87">
        <f>IF(F21=0,0,1000000*F21/TrRoad_act!F61)</f>
        <v>1938.2379545100207</v>
      </c>
      <c r="G112" s="87">
        <f>IF(G21=0,0,1000000*G21/TrRoad_act!G61)</f>
        <v>1858.9682921083063</v>
      </c>
      <c r="H112" s="87">
        <f>IF(H21=0,0,1000000*H21/TrRoad_act!H61)</f>
        <v>1803.4107903756096</v>
      </c>
      <c r="I112" s="87">
        <f>IF(I21=0,0,1000000*I21/TrRoad_act!I61)</f>
        <v>1840.8153881157943</v>
      </c>
      <c r="J112" s="87">
        <f>IF(J21=0,0,1000000*J21/TrRoad_act!J61)</f>
        <v>1741.9463280063394</v>
      </c>
      <c r="K112" s="87">
        <f>IF(K21=0,0,1000000*K21/TrRoad_act!K61)</f>
        <v>1742.5769537240578</v>
      </c>
      <c r="L112" s="87">
        <f>IF(L21=0,0,1000000*L21/TrRoad_act!L61)</f>
        <v>1592.9582466606671</v>
      </c>
      <c r="M112" s="87">
        <f>IF(M21=0,0,1000000*M21/TrRoad_act!M61)</f>
        <v>1542.3119456345976</v>
      </c>
      <c r="N112" s="87">
        <f>IF(N21=0,0,1000000*N21/TrRoad_act!N61)</f>
        <v>1457.2121216290657</v>
      </c>
      <c r="O112" s="87">
        <f>IF(O21=0,0,1000000*O21/TrRoad_act!O61)</f>
        <v>1373.9580795131126</v>
      </c>
      <c r="P112" s="87">
        <f>IF(P21=0,0,1000000*P21/TrRoad_act!P61)</f>
        <v>1363.3476567332182</v>
      </c>
      <c r="Q112" s="87">
        <f>IF(Q21=0,0,1000000*Q21/TrRoad_act!Q61)</f>
        <v>1325.5424203165715</v>
      </c>
      <c r="R112" s="87">
        <f>IF(R21=0,0,1000000*R21/TrRoad_act!R61)</f>
        <v>1346.939287999315</v>
      </c>
      <c r="S112" s="87">
        <f>IF(S21=0,0,1000000*S21/TrRoad_act!S61)</f>
        <v>1299.6087900110799</v>
      </c>
      <c r="T112" s="87">
        <f>IF(T21=0,0,1000000*T21/TrRoad_act!T61)</f>
        <v>1282.8918486739053</v>
      </c>
      <c r="U112" s="87">
        <f>IF(U21=0,0,1000000*U21/TrRoad_act!U61)</f>
        <v>1252.4709081375634</v>
      </c>
      <c r="V112" s="87">
        <f>IF(V21=0,0,1000000*V21/TrRoad_act!V61)</f>
        <v>1120.5224121719875</v>
      </c>
      <c r="W112" s="87">
        <f>IF(W21=0,0,1000000*W21/TrRoad_act!W61)</f>
        <v>1164.1767703816772</v>
      </c>
      <c r="X112" s="87">
        <f>IF(X21=0,0,1000000*X21/TrRoad_act!X61)</f>
        <v>1179.7083199166179</v>
      </c>
      <c r="Y112" s="87">
        <f>IF(Y21=0,0,1000000*Y21/TrRoad_act!Y61)</f>
        <v>1182.0708218377811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3973.7640794037748</v>
      </c>
      <c r="C113" s="87">
        <f>IF(C22=0,0,1000000*C22/TrRoad_act!C62)</f>
        <v>4018.2486682979315</v>
      </c>
      <c r="D113" s="87">
        <f>IF(D22=0,0,1000000*D22/TrRoad_act!D62)</f>
        <v>4018.8111024363288</v>
      </c>
      <c r="E113" s="87">
        <f>IF(E22=0,0,1000000*E22/TrRoad_act!E62)</f>
        <v>4467.863290127153</v>
      </c>
      <c r="F113" s="87">
        <f>IF(F22=0,0,1000000*F22/TrRoad_act!F62)</f>
        <v>4484.4400174180673</v>
      </c>
      <c r="G113" s="87">
        <f>IF(G22=0,0,1000000*G22/TrRoad_act!G62)</f>
        <v>4779.3230155884476</v>
      </c>
      <c r="H113" s="87">
        <f>IF(H22=0,0,1000000*H22/TrRoad_act!H62)</f>
        <v>4559.3395001934969</v>
      </c>
      <c r="I113" s="87">
        <f>IF(I22=0,0,1000000*I22/TrRoad_act!I62)</f>
        <v>4214.8360969998721</v>
      </c>
      <c r="J113" s="87">
        <f>IF(J22=0,0,1000000*J22/TrRoad_act!J62)</f>
        <v>3913.7883870951318</v>
      </c>
      <c r="K113" s="87">
        <f>IF(K22=0,0,1000000*K22/TrRoad_act!K62)</f>
        <v>3741.7190024619458</v>
      </c>
      <c r="L113" s="87">
        <f>IF(L22=0,0,1000000*L22/TrRoad_act!L62)</f>
        <v>3334.5359557157358</v>
      </c>
      <c r="M113" s="87">
        <f>IF(M22=0,0,1000000*M22/TrRoad_act!M62)</f>
        <v>3223.1208162467083</v>
      </c>
      <c r="N113" s="87">
        <f>IF(N22=0,0,1000000*N22/TrRoad_act!N62)</f>
        <v>3005.9921039968945</v>
      </c>
      <c r="O113" s="87">
        <f>IF(O22=0,0,1000000*O22/TrRoad_act!O62)</f>
        <v>3113.3155441216004</v>
      </c>
      <c r="P113" s="87">
        <f>IF(P22=0,0,1000000*P22/TrRoad_act!P62)</f>
        <v>3015.745878072506</v>
      </c>
      <c r="Q113" s="87">
        <f>IF(Q22=0,0,1000000*Q22/TrRoad_act!Q62)</f>
        <v>2802.4556270604771</v>
      </c>
      <c r="R113" s="87">
        <f>IF(R22=0,0,1000000*R22/TrRoad_act!R62)</f>
        <v>2847.8914474392236</v>
      </c>
      <c r="S113" s="87">
        <f>IF(S22=0,0,1000000*S22/TrRoad_act!S62)</f>
        <v>2805.5978891987579</v>
      </c>
      <c r="T113" s="87">
        <f>IF(T22=0,0,1000000*T22/TrRoad_act!T62)</f>
        <v>2674.2404231700066</v>
      </c>
      <c r="U113" s="87">
        <f>IF(U22=0,0,1000000*U22/TrRoad_act!U62)</f>
        <v>2661.1050702808893</v>
      </c>
      <c r="V113" s="87">
        <f>IF(V22=0,0,1000000*V22/TrRoad_act!V62)</f>
        <v>2510.8529631361625</v>
      </c>
      <c r="W113" s="87">
        <f>IF(W22=0,0,1000000*W22/TrRoad_act!W62)</f>
        <v>2651.19981214274</v>
      </c>
      <c r="X113" s="87">
        <f>IF(X22=0,0,1000000*X22/TrRoad_act!X62)</f>
        <v>2571.8258077861942</v>
      </c>
      <c r="Y113" s="87">
        <f>IF(Y22=0,0,1000000*Y22/TrRoad_act!Y62)</f>
        <v>2579.796450453141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2081.6809791147157</v>
      </c>
      <c r="C114" s="87">
        <f>IF(C23=0,0,1000000*C23/TrRoad_act!C63)</f>
        <v>1967.1379149571874</v>
      </c>
      <c r="D114" s="87">
        <f>IF(D23=0,0,1000000*D23/TrRoad_act!D63)</f>
        <v>1879.6661747744072</v>
      </c>
      <c r="E114" s="87">
        <f>IF(E23=0,0,1000000*E23/TrRoad_act!E63)</f>
        <v>1816.4074354961765</v>
      </c>
      <c r="F114" s="87">
        <f>IF(F23=0,0,1000000*F23/TrRoad_act!F63)</f>
        <v>1738.2174345307728</v>
      </c>
      <c r="G114" s="87">
        <f>IF(G23=0,0,1000000*G23/TrRoad_act!G63)</f>
        <v>1659.2559496713843</v>
      </c>
      <c r="H114" s="87">
        <f>IF(H23=0,0,1000000*H23/TrRoad_act!H63)</f>
        <v>1579.6980861062273</v>
      </c>
      <c r="I114" s="87">
        <f>IF(I23=0,0,1000000*I23/TrRoad_act!I63)</f>
        <v>1517.779244760862</v>
      </c>
      <c r="J114" s="87">
        <f>IF(J23=0,0,1000000*J23/TrRoad_act!J63)</f>
        <v>1464.2422884657281</v>
      </c>
      <c r="K114" s="87">
        <f>IF(K23=0,0,1000000*K23/TrRoad_act!K63)</f>
        <v>1416.3721190063006</v>
      </c>
      <c r="L114" s="87">
        <f>IF(L23=0,0,1000000*L23/TrRoad_act!L63)</f>
        <v>1368.0393518843305</v>
      </c>
      <c r="M114" s="87">
        <f>IF(M23=0,0,1000000*M23/TrRoad_act!M63)</f>
        <v>1310.4791833662091</v>
      </c>
      <c r="N114" s="87">
        <f>IF(N23=0,0,1000000*N23/TrRoad_act!N63)</f>
        <v>1243.0340348261234</v>
      </c>
      <c r="O114" s="87">
        <f>IF(O23=0,0,1000000*O23/TrRoad_act!O63)</f>
        <v>1236.4771510617666</v>
      </c>
      <c r="P114" s="87">
        <f>IF(P23=0,0,1000000*P23/TrRoad_act!P63)</f>
        <v>1220.7518787242423</v>
      </c>
      <c r="Q114" s="87">
        <f>IF(Q23=0,0,1000000*Q23/TrRoad_act!Q63)</f>
        <v>1235.3082188620974</v>
      </c>
      <c r="R114" s="87">
        <f>IF(R23=0,0,1000000*R23/TrRoad_act!R63)</f>
        <v>1208.3022219141194</v>
      </c>
      <c r="S114" s="87">
        <f>IF(S23=0,0,1000000*S23/TrRoad_act!S63)</f>
        <v>1207.0034530643743</v>
      </c>
      <c r="T114" s="87">
        <f>IF(T23=0,0,1000000*T23/TrRoad_act!T63)</f>
        <v>1201.2826607863412</v>
      </c>
      <c r="U114" s="87">
        <f>IF(U23=0,0,1000000*U23/TrRoad_act!U63)</f>
        <v>1206.8887164232726</v>
      </c>
      <c r="V114" s="87">
        <f>IF(V23=0,0,1000000*V23/TrRoad_act!V63)</f>
        <v>1046.0323743082211</v>
      </c>
      <c r="W114" s="87">
        <f>IF(W23=0,0,1000000*W23/TrRoad_act!W63)</f>
        <v>1110.7862056073545</v>
      </c>
      <c r="X114" s="87">
        <f>IF(X23=0,0,1000000*X23/TrRoad_act!X63)</f>
        <v>1344.805821268347</v>
      </c>
      <c r="Y114" s="87">
        <f>IF(Y23=0,0,1000000*Y23/TrRoad_act!Y63)</f>
        <v>2173.093147021159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2452.1330378852472</v>
      </c>
      <c r="K115" s="87">
        <f>IF(K24=0,0,1000000*K24/TrRoad_act!K64)</f>
        <v>2482.8942398543591</v>
      </c>
      <c r="L115" s="87">
        <f>IF(L24=0,0,1000000*L24/TrRoad_act!L64)</f>
        <v>2228.3340518623777</v>
      </c>
      <c r="M115" s="87">
        <f>IF(M24=0,0,1000000*M24/TrRoad_act!M64)</f>
        <v>2129.3571602311881</v>
      </c>
      <c r="N115" s="87">
        <f>IF(N24=0,0,1000000*N24/TrRoad_act!N64)</f>
        <v>1896.6422179429701</v>
      </c>
      <c r="O115" s="87">
        <f>IF(O24=0,0,1000000*O24/TrRoad_act!O64)</f>
        <v>1677.1370733325512</v>
      </c>
      <c r="P115" s="87">
        <f>IF(P24=0,0,1000000*P24/TrRoad_act!P64)</f>
        <v>1561.5082864387298</v>
      </c>
      <c r="Q115" s="87">
        <f>IF(Q24=0,0,1000000*Q24/TrRoad_act!Q64)</f>
        <v>1405.1891634519204</v>
      </c>
      <c r="R115" s="87">
        <f>IF(R24=0,0,1000000*R24/TrRoad_act!R64)</f>
        <v>1415.9578151328612</v>
      </c>
      <c r="S115" s="87">
        <f>IF(S24=0,0,1000000*S24/TrRoad_act!S64)</f>
        <v>1410.6912390799944</v>
      </c>
      <c r="T115" s="87">
        <f>IF(T24=0,0,1000000*T24/TrRoad_act!T64)</f>
        <v>1433.7194622683346</v>
      </c>
      <c r="U115" s="87">
        <f>IF(U24=0,0,1000000*U24/TrRoad_act!U64)</f>
        <v>1466.2555621042652</v>
      </c>
      <c r="V115" s="87">
        <f>IF(V24=0,0,1000000*V24/TrRoad_act!V64)</f>
        <v>1402.8018834697566</v>
      </c>
      <c r="W115" s="87">
        <f>IF(W24=0,0,1000000*W24/TrRoad_act!W64)</f>
        <v>1554.4485923307889</v>
      </c>
      <c r="X115" s="87">
        <f>IF(X24=0,0,1000000*X24/TrRoad_act!X64)</f>
        <v>1572.639503176739</v>
      </c>
      <c r="Y115" s="87">
        <f>IF(Y24=0,0,1000000*Y24/TrRoad_act!Y64)</f>
        <v>1614.8609362802549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367.90106803185625</v>
      </c>
      <c r="O116" s="87">
        <f>IF(O25=0,0,1000000*O25/TrRoad_act!O65)</f>
        <v>404.02380485777832</v>
      </c>
      <c r="P116" s="87">
        <f>IF(P25=0,0,1000000*P25/TrRoad_act!P65)</f>
        <v>307.3177972745508</v>
      </c>
      <c r="Q116" s="87">
        <f>IF(Q25=0,0,1000000*Q25/TrRoad_act!Q65)</f>
        <v>538.39544170979264</v>
      </c>
      <c r="R116" s="87">
        <f>IF(R25=0,0,1000000*R25/TrRoad_act!R65)</f>
        <v>441.61502995079064</v>
      </c>
      <c r="S116" s="87">
        <f>IF(S25=0,0,1000000*S25/TrRoad_act!S65)</f>
        <v>464.51795246528798</v>
      </c>
      <c r="T116" s="87">
        <f>IF(T25=0,0,1000000*T25/TrRoad_act!T65)</f>
        <v>423.64465767688063</v>
      </c>
      <c r="U116" s="87">
        <f>IF(U25=0,0,1000000*U25/TrRoad_act!U65)</f>
        <v>391.25995551074158</v>
      </c>
      <c r="V116" s="87">
        <f>IF(V25=0,0,1000000*V25/TrRoad_act!V65)</f>
        <v>320.77207097221299</v>
      </c>
      <c r="W116" s="87">
        <f>IF(W25=0,0,1000000*W25/TrRoad_act!W65)</f>
        <v>280.21950541448638</v>
      </c>
      <c r="X116" s="87">
        <f>IF(X25=0,0,1000000*X25/TrRoad_act!X65)</f>
        <v>278.93718682344809</v>
      </c>
      <c r="Y116" s="87">
        <f>IF(Y25=0,0,1000000*Y25/TrRoad_act!Y65)</f>
        <v>261.8363563765771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49338.564407530423</v>
      </c>
      <c r="C118" s="116">
        <f>IF(C27=0,0,1000000*C27/TrRoad_act!C67)</f>
        <v>50035.682846502103</v>
      </c>
      <c r="D118" s="116">
        <f>IF(D27=0,0,1000000*D27/TrRoad_act!D67)</f>
        <v>51014.085305341396</v>
      </c>
      <c r="E118" s="116">
        <f>IF(E27=0,0,1000000*E27/TrRoad_act!E67)</f>
        <v>48360.792738150412</v>
      </c>
      <c r="F118" s="116">
        <f>IF(F27=0,0,1000000*F27/TrRoad_act!F67)</f>
        <v>46184.097189427026</v>
      </c>
      <c r="G118" s="116">
        <f>IF(G27=0,0,1000000*G27/TrRoad_act!G67)</f>
        <v>45647.349604063093</v>
      </c>
      <c r="H118" s="116">
        <f>IF(H27=0,0,1000000*H27/TrRoad_act!H67)</f>
        <v>46857.096755306338</v>
      </c>
      <c r="I118" s="116">
        <f>IF(I27=0,0,1000000*I27/TrRoad_act!I67)</f>
        <v>47127.406623831383</v>
      </c>
      <c r="J118" s="116">
        <f>IF(J27=0,0,1000000*J27/TrRoad_act!J67)</f>
        <v>46901.745052005121</v>
      </c>
      <c r="K118" s="116">
        <f>IF(K27=0,0,1000000*K27/TrRoad_act!K67)</f>
        <v>47686.040333392462</v>
      </c>
      <c r="L118" s="116">
        <f>IF(L27=0,0,1000000*L27/TrRoad_act!L67)</f>
        <v>49881.079305109553</v>
      </c>
      <c r="M118" s="116">
        <f>IF(M27=0,0,1000000*M27/TrRoad_act!M67)</f>
        <v>46721.795163665323</v>
      </c>
      <c r="N118" s="116">
        <f>IF(N27=0,0,1000000*N27/TrRoad_act!N67)</f>
        <v>45531.097489873275</v>
      </c>
      <c r="O118" s="116">
        <f>IF(O27=0,0,1000000*O27/TrRoad_act!O67)</f>
        <v>47340.277218224423</v>
      </c>
      <c r="P118" s="116">
        <f>IF(P27=0,0,1000000*P27/TrRoad_act!P67)</f>
        <v>47806.493409681068</v>
      </c>
      <c r="Q118" s="116">
        <f>IF(Q27=0,0,1000000*Q27/TrRoad_act!Q67)</f>
        <v>46283.90072966383</v>
      </c>
      <c r="R118" s="116">
        <f>IF(R27=0,0,1000000*R27/TrRoad_act!R67)</f>
        <v>45202.603870304345</v>
      </c>
      <c r="S118" s="116">
        <f>IF(S27=0,0,1000000*S27/TrRoad_act!S67)</f>
        <v>45879.060028946566</v>
      </c>
      <c r="T118" s="116">
        <f>IF(T27=0,0,1000000*T27/TrRoad_act!T67)</f>
        <v>45969.299838577746</v>
      </c>
      <c r="U118" s="116">
        <f>IF(U27=0,0,1000000*U27/TrRoad_act!U67)</f>
        <v>45571.284411531371</v>
      </c>
      <c r="V118" s="116">
        <f>IF(V27=0,0,1000000*V27/TrRoad_act!V67)</f>
        <v>37553.255494849305</v>
      </c>
      <c r="W118" s="116">
        <f>IF(W27=0,0,1000000*W27/TrRoad_act!W67)</f>
        <v>35589.106573916666</v>
      </c>
      <c r="X118" s="116">
        <f>IF(X27=0,0,1000000*X27/TrRoad_act!X67)</f>
        <v>38372.265906032466</v>
      </c>
      <c r="Y118" s="116">
        <f>IF(Y27=0,0,1000000*Y27/TrRoad_act!Y67)</f>
        <v>36926.641900739472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9202.6660236529024</v>
      </c>
      <c r="C119" s="101">
        <f>IF(C28=0,0,1000000*C28/TrRoad_act!C68)</f>
        <v>9135.2361681513266</v>
      </c>
      <c r="D119" s="101">
        <f>IF(D28=0,0,1000000*D28/TrRoad_act!D68)</f>
        <v>9299.9557487525035</v>
      </c>
      <c r="E119" s="101">
        <f>IF(E28=0,0,1000000*E28/TrRoad_act!E68)</f>
        <v>9001.4979283331541</v>
      </c>
      <c r="F119" s="101">
        <f>IF(F28=0,0,1000000*F28/TrRoad_act!F68)</f>
        <v>8455.9971611687415</v>
      </c>
      <c r="G119" s="101">
        <f>IF(G28=0,0,1000000*G28/TrRoad_act!G68)</f>
        <v>8139.161206322322</v>
      </c>
      <c r="H119" s="101">
        <f>IF(H28=0,0,1000000*H28/TrRoad_act!H68)</f>
        <v>8148.5182671769289</v>
      </c>
      <c r="I119" s="101">
        <f>IF(I28=0,0,1000000*I28/TrRoad_act!I68)</f>
        <v>8257.001323743174</v>
      </c>
      <c r="J119" s="101">
        <f>IF(J28=0,0,1000000*J28/TrRoad_act!J68)</f>
        <v>8202.1851042458347</v>
      </c>
      <c r="K119" s="101">
        <f>IF(K28=0,0,1000000*K28/TrRoad_act!K68)</f>
        <v>8270.1795642243578</v>
      </c>
      <c r="L119" s="101">
        <f>IF(L28=0,0,1000000*L28/TrRoad_act!L68)</f>
        <v>8600.1524374265318</v>
      </c>
      <c r="M119" s="101">
        <f>IF(M28=0,0,1000000*M28/TrRoad_act!M68)</f>
        <v>7990.9098616443443</v>
      </c>
      <c r="N119" s="101">
        <f>IF(N28=0,0,1000000*N28/TrRoad_act!N68)</f>
        <v>7538.7766496065606</v>
      </c>
      <c r="O119" s="101">
        <f>IF(O28=0,0,1000000*O28/TrRoad_act!O68)</f>
        <v>7726.9693078608143</v>
      </c>
      <c r="P119" s="101">
        <f>IF(P28=0,0,1000000*P28/TrRoad_act!P68)</f>
        <v>7859.0924470747796</v>
      </c>
      <c r="Q119" s="101">
        <f>IF(Q28=0,0,1000000*Q28/TrRoad_act!Q68)</f>
        <v>7396.7160579117526</v>
      </c>
      <c r="R119" s="101">
        <f>IF(R28=0,0,1000000*R28/TrRoad_act!R68)</f>
        <v>7724.1001212007313</v>
      </c>
      <c r="S119" s="101">
        <f>IF(S28=0,0,1000000*S28/TrRoad_act!S68)</f>
        <v>7750.7561593981991</v>
      </c>
      <c r="T119" s="101">
        <f>IF(T28=0,0,1000000*T28/TrRoad_act!T68)</f>
        <v>7316.9453150259696</v>
      </c>
      <c r="U119" s="101">
        <f>IF(U28=0,0,1000000*U28/TrRoad_act!U68)</f>
        <v>6994.6536482110168</v>
      </c>
      <c r="V119" s="101">
        <f>IF(V28=0,0,1000000*V28/TrRoad_act!V68)</f>
        <v>5448.1517027167374</v>
      </c>
      <c r="W119" s="101">
        <f>IF(W28=0,0,1000000*W28/TrRoad_act!W68)</f>
        <v>4960.6111650371449</v>
      </c>
      <c r="X119" s="101">
        <f>IF(X28=0,0,1000000*X28/TrRoad_act!X68)</f>
        <v>5471.2235357198706</v>
      </c>
      <c r="Y119" s="101">
        <f>IF(Y28=0,0,1000000*Y28/TrRoad_act!Y68)</f>
        <v>5185.2511649529915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58851.858193377288</v>
      </c>
      <c r="C120" s="101">
        <f>IF(C29=0,0,1000000*C29/TrRoad_act!C69)</f>
        <v>58813.249056302921</v>
      </c>
      <c r="D120" s="101">
        <f>IF(D29=0,0,1000000*D29/TrRoad_act!D69)</f>
        <v>61200.246759903028</v>
      </c>
      <c r="E120" s="101">
        <f>IF(E29=0,0,1000000*E29/TrRoad_act!E69)</f>
        <v>57361.832417959144</v>
      </c>
      <c r="F120" s="101">
        <f>IF(F29=0,0,1000000*F29/TrRoad_act!F69)</f>
        <v>54065.611576587442</v>
      </c>
      <c r="G120" s="101">
        <f>IF(G29=0,0,1000000*G29/TrRoad_act!G69)</f>
        <v>53247.323688728509</v>
      </c>
      <c r="H120" s="101">
        <f>IF(H29=0,0,1000000*H29/TrRoad_act!H69)</f>
        <v>54076.415273073355</v>
      </c>
      <c r="I120" s="101">
        <f>IF(I29=0,0,1000000*I29/TrRoad_act!I69)</f>
        <v>54778.914613142486</v>
      </c>
      <c r="J120" s="101">
        <f>IF(J29=0,0,1000000*J29/TrRoad_act!J69)</f>
        <v>54192.329607546722</v>
      </c>
      <c r="K120" s="101">
        <f>IF(K29=0,0,1000000*K29/TrRoad_act!K69)</f>
        <v>54714.373481248862</v>
      </c>
      <c r="L120" s="101">
        <f>IF(L29=0,0,1000000*L29/TrRoad_act!L69)</f>
        <v>57063.240652583801</v>
      </c>
      <c r="M120" s="101">
        <f>IF(M29=0,0,1000000*M29/TrRoad_act!M69)</f>
        <v>53152.770669336547</v>
      </c>
      <c r="N120" s="101">
        <f>IF(N29=0,0,1000000*N29/TrRoad_act!N69)</f>
        <v>51389.447434869544</v>
      </c>
      <c r="O120" s="101">
        <f>IF(O29=0,0,1000000*O29/TrRoad_act!O69)</f>
        <v>53447.29966179945</v>
      </c>
      <c r="P120" s="101">
        <f>IF(P29=0,0,1000000*P29/TrRoad_act!P69)</f>
        <v>52820.388167490688</v>
      </c>
      <c r="Q120" s="101">
        <f>IF(Q29=0,0,1000000*Q29/TrRoad_act!Q69)</f>
        <v>50952.929882990466</v>
      </c>
      <c r="R120" s="101">
        <f>IF(R29=0,0,1000000*R29/TrRoad_act!R69)</f>
        <v>49397.540963247258</v>
      </c>
      <c r="S120" s="101">
        <f>IF(S29=0,0,1000000*S29/TrRoad_act!S69)</f>
        <v>49961.450669550424</v>
      </c>
      <c r="T120" s="101">
        <f>IF(T29=0,0,1000000*T29/TrRoad_act!T69)</f>
        <v>50405.360718947471</v>
      </c>
      <c r="U120" s="101">
        <f>IF(U29=0,0,1000000*U29/TrRoad_act!U69)</f>
        <v>49364.661725391226</v>
      </c>
      <c r="V120" s="101">
        <f>IF(V29=0,0,1000000*V29/TrRoad_act!V69)</f>
        <v>40273.71311940757</v>
      </c>
      <c r="W120" s="101">
        <f>IF(W29=0,0,1000000*W29/TrRoad_act!W69)</f>
        <v>37442.480488959998</v>
      </c>
      <c r="X120" s="101">
        <f>IF(X29=0,0,1000000*X29/TrRoad_act!X69)</f>
        <v>41852.881137106713</v>
      </c>
      <c r="Y120" s="101">
        <f>IF(Y29=0,0,1000000*Y29/TrRoad_act!Y69)</f>
        <v>39851.138243406422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16808.175304558717</v>
      </c>
      <c r="W121" s="101">
        <f>IF(W30=0,0,1000000*W30/TrRoad_act!W70)</f>
        <v>15798.08923299315</v>
      </c>
      <c r="X121" s="101">
        <f>IF(X30=0,0,1000000*X30/TrRoad_act!X70)</f>
        <v>17733.946100526609</v>
      </c>
      <c r="Y121" s="101">
        <f>IF(Y30=0,0,1000000*Y30/TrRoad_act!Y70)</f>
        <v>17135.069652666585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32905.551724137935</v>
      </c>
      <c r="C122" s="101">
        <f>IF(C31=0,0,1000000*C31/TrRoad_act!C71)</f>
        <v>31538.95890410959</v>
      </c>
      <c r="D122" s="101">
        <f>IF(D31=0,0,1000000*D31/TrRoad_act!D71)</f>
        <v>29517.230769230773</v>
      </c>
      <c r="E122" s="101">
        <f>IF(E31=0,0,1000000*E31/TrRoad_act!E71)</f>
        <v>28611</v>
      </c>
      <c r="F122" s="101">
        <f>IF(F31=0,0,1000000*F31/TrRoad_act!F71)</f>
        <v>41401.800000000003</v>
      </c>
      <c r="G122" s="101">
        <f>IF(G31=0,0,1000000*G31/TrRoad_act!G71)</f>
        <v>35174.699999999997</v>
      </c>
      <c r="H122" s="101">
        <f>IF(H31=0,0,1000000*H31/TrRoad_act!H71)</f>
        <v>47292.299999999988</v>
      </c>
      <c r="I122" s="101">
        <f>IF(I31=0,0,1000000*I31/TrRoad_act!I71)</f>
        <v>24684.000000000004</v>
      </c>
      <c r="J122" s="101">
        <f>IF(J31=0,0,1000000*J31/TrRoad_act!J71)</f>
        <v>24694.019758238253</v>
      </c>
      <c r="K122" s="101">
        <f>IF(K31=0,0,1000000*K31/TrRoad_act!K71)</f>
        <v>28203.239890868204</v>
      </c>
      <c r="L122" s="101">
        <f>IF(L31=0,0,1000000*L31/TrRoad_act!L71)</f>
        <v>36735.767671894631</v>
      </c>
      <c r="M122" s="101">
        <f>IF(M31=0,0,1000000*M31/TrRoad_act!M71)</f>
        <v>42891.541818046127</v>
      </c>
      <c r="N122" s="101">
        <f>IF(N31=0,0,1000000*N31/TrRoad_act!N71)</f>
        <v>49596.662517898221</v>
      </c>
      <c r="O122" s="101">
        <f>IF(O31=0,0,1000000*O31/TrRoad_act!O71)</f>
        <v>49116.28051967403</v>
      </c>
      <c r="P122" s="101">
        <f>IF(P31=0,0,1000000*P31/TrRoad_act!P71)</f>
        <v>84284.998831252044</v>
      </c>
      <c r="Q122" s="101">
        <f>IF(Q31=0,0,1000000*Q31/TrRoad_act!Q71)</f>
        <v>73194.723331136018</v>
      </c>
      <c r="R122" s="101">
        <f>IF(R31=0,0,1000000*R31/TrRoad_act!R71)</f>
        <v>73384.884221913628</v>
      </c>
      <c r="S122" s="101">
        <f>IF(S31=0,0,1000000*S31/TrRoad_act!S71)</f>
        <v>70319.231290755895</v>
      </c>
      <c r="T122" s="101">
        <f>IF(T31=0,0,1000000*T31/TrRoad_act!T71)</f>
        <v>64363.923327367913</v>
      </c>
      <c r="U122" s="101">
        <f>IF(U31=0,0,1000000*U31/TrRoad_act!U71)</f>
        <v>65887.414956383276</v>
      </c>
      <c r="V122" s="101">
        <f>IF(V31=0,0,1000000*V31/TrRoad_act!V71)</f>
        <v>60174.710272077748</v>
      </c>
      <c r="W122" s="101">
        <f>IF(W31=0,0,1000000*W31/TrRoad_act!W71)</f>
        <v>61030.769443055542</v>
      </c>
      <c r="X122" s="101">
        <f>IF(X31=0,0,1000000*X31/TrRoad_act!X71)</f>
        <v>51796.334563508855</v>
      </c>
      <c r="Y122" s="101">
        <f>IF(Y31=0,0,1000000*Y31/TrRoad_act!Y71)</f>
        <v>53099.297146129873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3203.9897809695353</v>
      </c>
      <c r="C125" s="152">
        <f>IF(C34=0,0,1000000*C34/TrRoad_act!C74)</f>
        <v>3188.2928100636664</v>
      </c>
      <c r="D125" s="152">
        <f>IF(D34=0,0,1000000*D34/TrRoad_act!D74)</f>
        <v>3176.1731967926748</v>
      </c>
      <c r="E125" s="152">
        <f>IF(E34=0,0,1000000*E34/TrRoad_act!E74)</f>
        <v>3206.7221541776316</v>
      </c>
      <c r="F125" s="152">
        <f>IF(F34=0,0,1000000*F34/TrRoad_act!F74)</f>
        <v>3211.0910910915172</v>
      </c>
      <c r="G125" s="152">
        <f>IF(G34=0,0,1000000*G34/TrRoad_act!G74)</f>
        <v>3227.6945344619548</v>
      </c>
      <c r="H125" s="152">
        <f>IF(H34=0,0,1000000*H34/TrRoad_act!H74)</f>
        <v>3178.5062953198894</v>
      </c>
      <c r="I125" s="152">
        <f>IF(I34=0,0,1000000*I34/TrRoad_act!I74)</f>
        <v>3114.3493595070959</v>
      </c>
      <c r="J125" s="152">
        <f>IF(J34=0,0,1000000*J34/TrRoad_act!J74)</f>
        <v>3250.5038623808632</v>
      </c>
      <c r="K125" s="152">
        <f>IF(K34=0,0,1000000*K34/TrRoad_act!K74)</f>
        <v>3230.0002312409961</v>
      </c>
      <c r="L125" s="152">
        <f>IF(L34=0,0,1000000*L34/TrRoad_act!L74)</f>
        <v>3397.5237246349257</v>
      </c>
      <c r="M125" s="152">
        <f>IF(M34=0,0,1000000*M34/TrRoad_act!M74)</f>
        <v>3410.8570203844156</v>
      </c>
      <c r="N125" s="152">
        <f>IF(N34=0,0,1000000*N34/TrRoad_act!N74)</f>
        <v>3485.8818953027826</v>
      </c>
      <c r="O125" s="152">
        <f>IF(O34=0,0,1000000*O34/TrRoad_act!O74)</f>
        <v>3641.5188693983951</v>
      </c>
      <c r="P125" s="152">
        <f>IF(P34=0,0,1000000*P34/TrRoad_act!P74)</f>
        <v>3947.5552054012874</v>
      </c>
      <c r="Q125" s="152">
        <f>IF(Q34=0,0,1000000*Q34/TrRoad_act!Q74)</f>
        <v>4073.7606119921766</v>
      </c>
      <c r="R125" s="152">
        <f>IF(R34=0,0,1000000*R34/TrRoad_act!R74)</f>
        <v>4140.6212641220791</v>
      </c>
      <c r="S125" s="152">
        <f>IF(S34=0,0,1000000*S34/TrRoad_act!S74)</f>
        <v>4154.450213124057</v>
      </c>
      <c r="T125" s="152">
        <f>IF(T34=0,0,1000000*T34/TrRoad_act!T74)</f>
        <v>4142.9714200091248</v>
      </c>
      <c r="U125" s="152">
        <f>IF(U34=0,0,1000000*U34/TrRoad_act!U74)</f>
        <v>4105.7920620610585</v>
      </c>
      <c r="V125" s="152">
        <f>IF(V34=0,0,1000000*V34/TrRoad_act!V74)</f>
        <v>3931.8572664539438</v>
      </c>
      <c r="W125" s="152">
        <f>IF(W34=0,0,1000000*W34/TrRoad_act!W74)</f>
        <v>4077.284025918957</v>
      </c>
      <c r="X125" s="152">
        <f>IF(X34=0,0,1000000*X34/TrRoad_act!X74)</f>
        <v>4078.1890106849587</v>
      </c>
      <c r="Y125" s="152">
        <f>IF(Y34=0,0,1000000*Y34/TrRoad_act!Y74)</f>
        <v>3999.9077129306802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1815.0427743766932</v>
      </c>
      <c r="C126" s="87">
        <f>IF(C35=0,0,1000000*C35/TrRoad_act!C75)</f>
        <v>1806.7457781306871</v>
      </c>
      <c r="D126" s="87">
        <f>IF(D35=0,0,1000000*D35/TrRoad_act!D75)</f>
        <v>1797.3929118361868</v>
      </c>
      <c r="E126" s="87">
        <f>IF(E35=0,0,1000000*E35/TrRoad_act!E75)</f>
        <v>1790.2760216624131</v>
      </c>
      <c r="F126" s="87">
        <f>IF(F35=0,0,1000000*F35/TrRoad_act!F75)</f>
        <v>1769.2806062874115</v>
      </c>
      <c r="G126" s="87">
        <f>IF(G35=0,0,1000000*G35/TrRoad_act!G75)</f>
        <v>1747.7627405306266</v>
      </c>
      <c r="H126" s="87">
        <f>IF(H35=0,0,1000000*H35/TrRoad_act!H75)</f>
        <v>1722.9961043645922</v>
      </c>
      <c r="I126" s="87">
        <f>IF(I35=0,0,1000000*I35/TrRoad_act!I75)</f>
        <v>1699.6577294490601</v>
      </c>
      <c r="J126" s="87">
        <f>IF(J35=0,0,1000000*J35/TrRoad_act!J75)</f>
        <v>1691.9256990450554</v>
      </c>
      <c r="K126" s="87">
        <f>IF(K35=0,0,1000000*K35/TrRoad_act!K75)</f>
        <v>1671.0495925768951</v>
      </c>
      <c r="L126" s="87">
        <f>IF(L35=0,0,1000000*L35/TrRoad_act!L75)</f>
        <v>1695.9421613517607</v>
      </c>
      <c r="M126" s="87">
        <f>IF(M35=0,0,1000000*M35/TrRoad_act!M75)</f>
        <v>1697.3189801414726</v>
      </c>
      <c r="N126" s="87">
        <f>IF(N35=0,0,1000000*N35/TrRoad_act!N75)</f>
        <v>1705.2604038227373</v>
      </c>
      <c r="O126" s="87">
        <f>IF(O35=0,0,1000000*O35/TrRoad_act!O75)</f>
        <v>1729.2254527954276</v>
      </c>
      <c r="P126" s="87">
        <f>IF(P35=0,0,1000000*P35/TrRoad_act!P75)</f>
        <v>1743.6206842964461</v>
      </c>
      <c r="Q126" s="87">
        <f>IF(Q35=0,0,1000000*Q35/TrRoad_act!Q75)</f>
        <v>1740.2485249125796</v>
      </c>
      <c r="R126" s="87">
        <f>IF(R35=0,0,1000000*R35/TrRoad_act!R75)</f>
        <v>1779.0821070155412</v>
      </c>
      <c r="S126" s="87">
        <f>IF(S35=0,0,1000000*S35/TrRoad_act!S75)</f>
        <v>1743.6187637459511</v>
      </c>
      <c r="T126" s="87">
        <f>IF(T35=0,0,1000000*T35/TrRoad_act!T75)</f>
        <v>1734.1618596606936</v>
      </c>
      <c r="U126" s="87">
        <f>IF(U35=0,0,1000000*U35/TrRoad_act!U75)</f>
        <v>1712.9117018097584</v>
      </c>
      <c r="V126" s="87">
        <f>IF(V35=0,0,1000000*V35/TrRoad_act!V75)</f>
        <v>1691.3007167678836</v>
      </c>
      <c r="W126" s="87">
        <f>IF(W35=0,0,1000000*W35/TrRoad_act!W75)</f>
        <v>1706.9463543329625</v>
      </c>
      <c r="X126" s="87">
        <f>IF(X35=0,0,1000000*X35/TrRoad_act!X75)</f>
        <v>1687.8235912747614</v>
      </c>
      <c r="Y126" s="87">
        <f>IF(Y35=0,0,1000000*Y35/TrRoad_act!Y75)</f>
        <v>1665.6572652569212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3834.6284368164693</v>
      </c>
      <c r="C127" s="87">
        <f>IF(C36=0,0,1000000*C36/TrRoad_act!C76)</f>
        <v>3808.1097331113974</v>
      </c>
      <c r="D127" s="87">
        <f>IF(D36=0,0,1000000*D36/TrRoad_act!D76)</f>
        <v>3785.464494695284</v>
      </c>
      <c r="E127" s="87">
        <f>IF(E36=0,0,1000000*E36/TrRoad_act!E76)</f>
        <v>3730.8435389875203</v>
      </c>
      <c r="F127" s="87">
        <f>IF(F36=0,0,1000000*F36/TrRoad_act!F76)</f>
        <v>3678.8283675933958</v>
      </c>
      <c r="G127" s="87">
        <f>IF(G36=0,0,1000000*G36/TrRoad_act!G76)</f>
        <v>3667.8806554359717</v>
      </c>
      <c r="H127" s="87">
        <f>IF(H36=0,0,1000000*H36/TrRoad_act!H76)</f>
        <v>3618.3937628918825</v>
      </c>
      <c r="I127" s="87">
        <f>IF(I36=0,0,1000000*I36/TrRoad_act!I76)</f>
        <v>3539.351879318147</v>
      </c>
      <c r="J127" s="87">
        <f>IF(J36=0,0,1000000*J36/TrRoad_act!J76)</f>
        <v>3707.8335810567723</v>
      </c>
      <c r="K127" s="87">
        <f>IF(K36=0,0,1000000*K36/TrRoad_act!K76)</f>
        <v>3669.153236610266</v>
      </c>
      <c r="L127" s="87">
        <f>IF(L36=0,0,1000000*L36/TrRoad_act!L76)</f>
        <v>3862.1537448534136</v>
      </c>
      <c r="M127" s="87">
        <f>IF(M36=0,0,1000000*M36/TrRoad_act!M76)</f>
        <v>3862.0970431666883</v>
      </c>
      <c r="N127" s="87">
        <f>IF(N36=0,0,1000000*N36/TrRoad_act!N76)</f>
        <v>3940.5315441644548</v>
      </c>
      <c r="O127" s="87">
        <f>IF(O36=0,0,1000000*O36/TrRoad_act!O76)</f>
        <v>4134.0195566139091</v>
      </c>
      <c r="P127" s="87">
        <f>IF(P36=0,0,1000000*P36/TrRoad_act!P76)</f>
        <v>4527.0909185858673</v>
      </c>
      <c r="Q127" s="87">
        <f>IF(Q36=0,0,1000000*Q36/TrRoad_act!Q76)</f>
        <v>4705.355235366842</v>
      </c>
      <c r="R127" s="87">
        <f>IF(R36=0,0,1000000*R36/TrRoad_act!R76)</f>
        <v>4969.69148717197</v>
      </c>
      <c r="S127" s="87">
        <f>IF(S36=0,0,1000000*S36/TrRoad_act!S76)</f>
        <v>5012.1391595441237</v>
      </c>
      <c r="T127" s="87">
        <f>IF(T36=0,0,1000000*T36/TrRoad_act!T76)</f>
        <v>5013.8959592509555</v>
      </c>
      <c r="U127" s="87">
        <f>IF(U36=0,0,1000000*U36/TrRoad_act!U76)</f>
        <v>4980.2899937538796</v>
      </c>
      <c r="V127" s="87">
        <f>IF(V36=0,0,1000000*V36/TrRoad_act!V76)</f>
        <v>4767.1481112321799</v>
      </c>
      <c r="W127" s="87">
        <f>IF(W36=0,0,1000000*W36/TrRoad_act!W76)</f>
        <v>4963.6031202684089</v>
      </c>
      <c r="X127" s="87">
        <f>IF(X36=0,0,1000000*X36/TrRoad_act!X76)</f>
        <v>4961.7362047006363</v>
      </c>
      <c r="Y127" s="87">
        <f>IF(Y36=0,0,1000000*Y36/TrRoad_act!Y76)</f>
        <v>4846.1917966847386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4297.1598605343543</v>
      </c>
      <c r="C128" s="87">
        <f>IF(C37=0,0,1000000*C37/TrRoad_act!C77)</f>
        <v>4352.0261795945044</v>
      </c>
      <c r="D128" s="87">
        <f>IF(D37=0,0,1000000*D37/TrRoad_act!D77)</f>
        <v>4260.5900123141791</v>
      </c>
      <c r="E128" s="87">
        <f>IF(E37=0,0,1000000*E37/TrRoad_act!E77)</f>
        <v>4125.8799691871636</v>
      </c>
      <c r="F128" s="87">
        <f>IF(F37=0,0,1000000*F37/TrRoad_act!F77)</f>
        <v>3932.7116490197404</v>
      </c>
      <c r="G128" s="87">
        <f>IF(G37=0,0,1000000*G37/TrRoad_act!G77)</f>
        <v>3773.3211076405405</v>
      </c>
      <c r="H128" s="87">
        <f>IF(H37=0,0,1000000*H37/TrRoad_act!H77)</f>
        <v>3577.5516733191644</v>
      </c>
      <c r="I128" s="87">
        <f>IF(I37=0,0,1000000*I37/TrRoad_act!I77)</f>
        <v>3395.8352791786801</v>
      </c>
      <c r="J128" s="87">
        <f>IF(J37=0,0,1000000*J37/TrRoad_act!J77)</f>
        <v>3379.7879618227098</v>
      </c>
      <c r="K128" s="87">
        <f>IF(K37=0,0,1000000*K37/TrRoad_act!K77)</f>
        <v>3280.935643705152</v>
      </c>
      <c r="L128" s="87">
        <f>IF(L37=0,0,1000000*L37/TrRoad_act!L77)</f>
        <v>3273.6963556109267</v>
      </c>
      <c r="M128" s="87">
        <f>IF(M37=0,0,1000000*M37/TrRoad_act!M77)</f>
        <v>3209.0315107838865</v>
      </c>
      <c r="N128" s="87">
        <f>IF(N37=0,0,1000000*N37/TrRoad_act!N77)</f>
        <v>3179.5823622543385</v>
      </c>
      <c r="O128" s="87">
        <f>IF(O37=0,0,1000000*O37/TrRoad_act!O77)</f>
        <v>3213.7369345508764</v>
      </c>
      <c r="P128" s="87">
        <f>IF(P37=0,0,1000000*P37/TrRoad_act!P77)</f>
        <v>3249.4155798349602</v>
      </c>
      <c r="Q128" s="87">
        <f>IF(Q37=0,0,1000000*Q37/TrRoad_act!Q77)</f>
        <v>3242.7203506657679</v>
      </c>
      <c r="R128" s="87">
        <f>IF(R37=0,0,1000000*R37/TrRoad_act!R77)</f>
        <v>3308.7404721590933</v>
      </c>
      <c r="S128" s="87">
        <f>IF(S37=0,0,1000000*S37/TrRoad_act!S77)</f>
        <v>3294.2426506572224</v>
      </c>
      <c r="T128" s="87">
        <f>IF(T37=0,0,1000000*T37/TrRoad_act!T77)</f>
        <v>3257.6959148611954</v>
      </c>
      <c r="U128" s="87">
        <f>IF(U37=0,0,1000000*U37/TrRoad_act!U77)</f>
        <v>3251.3895519782473</v>
      </c>
      <c r="V128" s="87">
        <f>IF(V37=0,0,1000000*V37/TrRoad_act!V77)</f>
        <v>3219.3918761821737</v>
      </c>
      <c r="W128" s="87">
        <f>IF(W37=0,0,1000000*W37/TrRoad_act!W77)</f>
        <v>3250.6750317945775</v>
      </c>
      <c r="X128" s="87">
        <f>IF(X37=0,0,1000000*X37/TrRoad_act!X77)</f>
        <v>3230.6319123713047</v>
      </c>
      <c r="Y128" s="87">
        <f>IF(Y37=0,0,1000000*Y37/TrRoad_act!Y77)</f>
        <v>3169.922668349257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2648.6603461579639</v>
      </c>
      <c r="O129" s="87">
        <f>IF(O38=0,0,1000000*O38/TrRoad_act!O78)</f>
        <v>2646.3099784894193</v>
      </c>
      <c r="P129" s="87">
        <f>IF(P38=0,0,1000000*P38/TrRoad_act!P78)</f>
        <v>2604.5953141605432</v>
      </c>
      <c r="Q129" s="87">
        <f>IF(Q38=0,0,1000000*Q38/TrRoad_act!Q78)</f>
        <v>2272.5188513153648</v>
      </c>
      <c r="R129" s="87">
        <f>IF(R38=0,0,1000000*R38/TrRoad_act!R78)</f>
        <v>2547.0827755199748</v>
      </c>
      <c r="S129" s="87">
        <f>IF(S38=0,0,1000000*S38/TrRoad_act!S78)</f>
        <v>2561.4214814897587</v>
      </c>
      <c r="T129" s="87">
        <f>IF(T38=0,0,1000000*T38/TrRoad_act!T78)</f>
        <v>2513.2428706224223</v>
      </c>
      <c r="U129" s="87">
        <f>IF(U38=0,0,1000000*U38/TrRoad_act!U78)</f>
        <v>2488.2616836040775</v>
      </c>
      <c r="V129" s="87">
        <f>IF(V38=0,0,1000000*V38/TrRoad_act!V78)</f>
        <v>2219.9324363793298</v>
      </c>
      <c r="W129" s="87">
        <f>IF(W38=0,0,1000000*W38/TrRoad_act!W78)</f>
        <v>2469.9549332716033</v>
      </c>
      <c r="X129" s="87">
        <f>IF(X38=0,0,1000000*X38/TrRoad_act!X78)</f>
        <v>2443.1693070769902</v>
      </c>
      <c r="Y129" s="87">
        <f>IF(Y38=0,0,1000000*Y38/TrRoad_act!Y78)</f>
        <v>2225.0912333484584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18395.09757820419</v>
      </c>
      <c r="C131" s="116">
        <f>IF(C40=0,0,1000000*C40/TrRoad_act!C80)</f>
        <v>20028.549284000186</v>
      </c>
      <c r="D131" s="116">
        <f>IF(D40=0,0,1000000*D40/TrRoad_act!D80)</f>
        <v>21807.554414679842</v>
      </c>
      <c r="E131" s="116">
        <f>IF(E40=0,0,1000000*E40/TrRoad_act!E80)</f>
        <v>28770.316483189086</v>
      </c>
      <c r="F131" s="116">
        <f>IF(F40=0,0,1000000*F40/TrRoad_act!F80)</f>
        <v>32214.94978368418</v>
      </c>
      <c r="G131" s="116">
        <f>IF(G40=0,0,1000000*G40/TrRoad_act!G80)</f>
        <v>37870.852148254446</v>
      </c>
      <c r="H131" s="116">
        <f>IF(H40=0,0,1000000*H40/TrRoad_act!H80)</f>
        <v>40663.174801435584</v>
      </c>
      <c r="I131" s="116">
        <f>IF(I40=0,0,1000000*I40/TrRoad_act!I80)</f>
        <v>41449.766402996334</v>
      </c>
      <c r="J131" s="116">
        <f>IF(J40=0,0,1000000*J40/TrRoad_act!J80)</f>
        <v>40736.870278850081</v>
      </c>
      <c r="K131" s="116">
        <f>IF(K40=0,0,1000000*K40/TrRoad_act!K80)</f>
        <v>38760.247613567262</v>
      </c>
      <c r="L131" s="116">
        <f>IF(L40=0,0,1000000*L40/TrRoad_act!L80)</f>
        <v>37246.718632757242</v>
      </c>
      <c r="M131" s="116">
        <f>IF(M40=0,0,1000000*M40/TrRoad_act!M80)</f>
        <v>37185.309687594185</v>
      </c>
      <c r="N131" s="116">
        <f>IF(N40=0,0,1000000*N40/TrRoad_act!N80)</f>
        <v>33795.492616085867</v>
      </c>
      <c r="O131" s="116">
        <f>IF(O40=0,0,1000000*O40/TrRoad_act!O80)</f>
        <v>32406.695827738477</v>
      </c>
      <c r="P131" s="116">
        <f>IF(P40=0,0,1000000*P40/TrRoad_act!P80)</f>
        <v>32832.964976552983</v>
      </c>
      <c r="Q131" s="116">
        <f>IF(Q40=0,0,1000000*Q40/TrRoad_act!Q80)</f>
        <v>33380.256167775537</v>
      </c>
      <c r="R131" s="116">
        <f>IF(R40=0,0,1000000*R40/TrRoad_act!R80)</f>
        <v>34007.803921874744</v>
      </c>
      <c r="S131" s="116">
        <f>IF(S40=0,0,1000000*S40/TrRoad_act!S80)</f>
        <v>32893.518221415201</v>
      </c>
      <c r="T131" s="116">
        <f>IF(T40=0,0,1000000*T40/TrRoad_act!T80)</f>
        <v>31311.823709033506</v>
      </c>
      <c r="U131" s="116">
        <f>IF(U40=0,0,1000000*U40/TrRoad_act!U80)</f>
        <v>30034.001674423143</v>
      </c>
      <c r="V131" s="116">
        <f>IF(V40=0,0,1000000*V40/TrRoad_act!V80)</f>
        <v>29813.144285652324</v>
      </c>
      <c r="W131" s="116">
        <f>IF(W40=0,0,1000000*W40/TrRoad_act!W80)</f>
        <v>35270.037178248756</v>
      </c>
      <c r="X131" s="116">
        <f>IF(X40=0,0,1000000*X40/TrRoad_act!X80)</f>
        <v>34514.66613323638</v>
      </c>
      <c r="Y131" s="116">
        <f>IF(Y40=0,0,1000000*Y40/TrRoad_act!Y80)</f>
        <v>34697.53198476875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10843.631159195364</v>
      </c>
      <c r="C132" s="101">
        <f>IF(C41=0,0,1000000*C41/TrRoad_act!C81)</f>
        <v>12563.66810619114</v>
      </c>
      <c r="D132" s="101">
        <f>IF(D41=0,0,1000000*D41/TrRoad_act!D81)</f>
        <v>14267.984773829274</v>
      </c>
      <c r="E132" s="101">
        <f>IF(E41=0,0,1000000*E41/TrRoad_act!E81)</f>
        <v>18674.683098754325</v>
      </c>
      <c r="F132" s="101">
        <f>IF(F41=0,0,1000000*F41/TrRoad_act!F81)</f>
        <v>21088.370150186744</v>
      </c>
      <c r="G132" s="101">
        <f>IF(G41=0,0,1000000*G41/TrRoad_act!G81)</f>
        <v>24921.42915085375</v>
      </c>
      <c r="H132" s="101">
        <f>IF(H41=0,0,1000000*H41/TrRoad_act!H81)</f>
        <v>24474.847816834863</v>
      </c>
      <c r="I132" s="101">
        <f>IF(I41=0,0,1000000*I41/TrRoad_act!I81)</f>
        <v>23111.786528916164</v>
      </c>
      <c r="J132" s="101">
        <f>IF(J41=0,0,1000000*J41/TrRoad_act!J81)</f>
        <v>22653.212563772111</v>
      </c>
      <c r="K132" s="101">
        <f>IF(K41=0,0,1000000*K41/TrRoad_act!K81)</f>
        <v>19563.667922954151</v>
      </c>
      <c r="L132" s="101">
        <f>IF(L41=0,0,1000000*L41/TrRoad_act!L81)</f>
        <v>20346.459685111138</v>
      </c>
      <c r="M132" s="101">
        <f>IF(M41=0,0,1000000*M41/TrRoad_act!M81)</f>
        <v>20395.484807153058</v>
      </c>
      <c r="N132" s="101">
        <f>IF(N41=0,0,1000000*N41/TrRoad_act!N81)</f>
        <v>17902.962696462448</v>
      </c>
      <c r="O132" s="101">
        <f>IF(O41=0,0,1000000*O41/TrRoad_act!O81)</f>
        <v>18783.400952841483</v>
      </c>
      <c r="P132" s="101">
        <f>IF(P41=0,0,1000000*P41/TrRoad_act!P81)</f>
        <v>19402.166019687902</v>
      </c>
      <c r="Q132" s="101">
        <f>IF(Q41=0,0,1000000*Q41/TrRoad_act!Q81)</f>
        <v>21348.227329800229</v>
      </c>
      <c r="R132" s="101">
        <f>IF(R41=0,0,1000000*R41/TrRoad_act!R81)</f>
        <v>20291.339141049248</v>
      </c>
      <c r="S132" s="101">
        <f>IF(S41=0,0,1000000*S41/TrRoad_act!S81)</f>
        <v>19819.392899727238</v>
      </c>
      <c r="T132" s="101">
        <f>IF(T41=0,0,1000000*T41/TrRoad_act!T81)</f>
        <v>19391.816983844506</v>
      </c>
      <c r="U132" s="101">
        <f>IF(U41=0,0,1000000*U41/TrRoad_act!U81)</f>
        <v>18797.862071312462</v>
      </c>
      <c r="V132" s="101">
        <f>IF(V41=0,0,1000000*V41/TrRoad_act!V81)</f>
        <v>21710.179206159384</v>
      </c>
      <c r="W132" s="101">
        <f>IF(W41=0,0,1000000*W41/TrRoad_act!W81)</f>
        <v>24868.266097539668</v>
      </c>
      <c r="X132" s="101">
        <f>IF(X41=0,0,1000000*X41/TrRoad_act!X81)</f>
        <v>23408.632578616045</v>
      </c>
      <c r="Y132" s="101">
        <f>IF(Y41=0,0,1000000*Y41/TrRoad_act!Y81)</f>
        <v>23364.593001309629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116085.53098193924</v>
      </c>
      <c r="C133" s="88">
        <f>IF(C42=0,0,1000000*C42/TrRoad_act!C82)</f>
        <v>110968.62070387435</v>
      </c>
      <c r="D133" s="88">
        <f>IF(D42=0,0,1000000*D42/TrRoad_act!D82)</f>
        <v>108826.16838936493</v>
      </c>
      <c r="E133" s="88">
        <f>IF(E42=0,0,1000000*E42/TrRoad_act!E82)</f>
        <v>133119.91949531186</v>
      </c>
      <c r="F133" s="88">
        <f>IF(F42=0,0,1000000*F42/TrRoad_act!F82)</f>
        <v>126876.692068847</v>
      </c>
      <c r="G133" s="88">
        <f>IF(G42=0,0,1000000*G42/TrRoad_act!G82)</f>
        <v>143960.75034896864</v>
      </c>
      <c r="H133" s="88">
        <f>IF(H42=0,0,1000000*H42/TrRoad_act!H82)</f>
        <v>165326.49856000699</v>
      </c>
      <c r="I133" s="88">
        <f>IF(I42=0,0,1000000*I42/TrRoad_act!I82)</f>
        <v>184685.01122475567</v>
      </c>
      <c r="J133" s="88">
        <f>IF(J42=0,0,1000000*J42/TrRoad_act!J82)</f>
        <v>185411.22168641863</v>
      </c>
      <c r="K133" s="88">
        <f>IF(K42=0,0,1000000*K42/TrRoad_act!K82)</f>
        <v>192784.46849157527</v>
      </c>
      <c r="L133" s="88">
        <f>IF(L42=0,0,1000000*L42/TrRoad_act!L82)</f>
        <v>155155.77710341994</v>
      </c>
      <c r="M133" s="88">
        <f>IF(M42=0,0,1000000*M42/TrRoad_act!M82)</f>
        <v>143686.57214214836</v>
      </c>
      <c r="N133" s="88">
        <f>IF(N42=0,0,1000000*N42/TrRoad_act!N82)</f>
        <v>143873.62649084406</v>
      </c>
      <c r="O133" s="88">
        <f>IF(O42=0,0,1000000*O42/TrRoad_act!O82)</f>
        <v>115337.02435968854</v>
      </c>
      <c r="P133" s="88">
        <f>IF(P42=0,0,1000000*P42/TrRoad_act!P82)</f>
        <v>117616.53196778292</v>
      </c>
      <c r="Q133" s="88">
        <f>IF(Q42=0,0,1000000*Q42/TrRoad_act!Q82)</f>
        <v>110221.66752839995</v>
      </c>
      <c r="R133" s="88">
        <f>IF(R42=0,0,1000000*R42/TrRoad_act!R82)</f>
        <v>131206.88441169317</v>
      </c>
      <c r="S133" s="88">
        <f>IF(S42=0,0,1000000*S42/TrRoad_act!S82)</f>
        <v>132317.61214504289</v>
      </c>
      <c r="T133" s="88">
        <f>IF(T42=0,0,1000000*T42/TrRoad_act!T82)</f>
        <v>134852.07662893104</v>
      </c>
      <c r="U133" s="88">
        <f>IF(U42=0,0,1000000*U42/TrRoad_act!U82)</f>
        <v>126674.17330312364</v>
      </c>
      <c r="V133" s="88">
        <f>IF(V42=0,0,1000000*V42/TrRoad_act!V82)</f>
        <v>84979.945597983577</v>
      </c>
      <c r="W133" s="88">
        <f>IF(W42=0,0,1000000*W42/TrRoad_act!W82)</f>
        <v>99690.670102674223</v>
      </c>
      <c r="X133" s="88">
        <f>IF(X42=0,0,1000000*X42/TrRoad_act!X82)</f>
        <v>101405.64047190656</v>
      </c>
      <c r="Y133" s="88">
        <f>IF(Y42=0,0,1000000*Y42/TrRoad_act!Y82)</f>
        <v>106126.07756845302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0.73008563508322755</v>
      </c>
      <c r="C136" s="46">
        <f t="shared" si="40"/>
        <v>0.72066437780340675</v>
      </c>
      <c r="D136" s="46">
        <f t="shared" si="40"/>
        <v>0.70768577753637585</v>
      </c>
      <c r="E136" s="46">
        <f t="shared" si="40"/>
        <v>0.68982667636365447</v>
      </c>
      <c r="F136" s="46">
        <f t="shared" si="40"/>
        <v>0.67014783196679117</v>
      </c>
      <c r="G136" s="46">
        <f t="shared" si="40"/>
        <v>0.64146517272560255</v>
      </c>
      <c r="H136" s="46">
        <f t="shared" si="40"/>
        <v>0.62870906605334875</v>
      </c>
      <c r="I136" s="46">
        <f t="shared" si="40"/>
        <v>0.61985382187956117</v>
      </c>
      <c r="J136" s="46">
        <f t="shared" si="40"/>
        <v>0.6200441887011866</v>
      </c>
      <c r="K136" s="46">
        <f t="shared" si="40"/>
        <v>0.63875498777987005</v>
      </c>
      <c r="L136" s="46">
        <f t="shared" si="41"/>
        <v>0.63968540446098854</v>
      </c>
      <c r="M136" s="46">
        <f t="shared" si="40"/>
        <v>0.6425150136070753</v>
      </c>
      <c r="N136" s="46">
        <f t="shared" si="40"/>
        <v>0.64125092867551259</v>
      </c>
      <c r="O136" s="46">
        <f t="shared" si="40"/>
        <v>0.64738436703415569</v>
      </c>
      <c r="P136" s="46">
        <f t="shared" si="40"/>
        <v>0.63469181062784774</v>
      </c>
      <c r="Q136" s="46">
        <f t="shared" si="40"/>
        <v>0.615611502754698</v>
      </c>
      <c r="R136" s="46">
        <f t="shared" si="40"/>
        <v>0.62425297167042637</v>
      </c>
      <c r="S136" s="46">
        <f t="shared" si="40"/>
        <v>0.62424168454008733</v>
      </c>
      <c r="T136" s="46">
        <f t="shared" si="40"/>
        <v>0.62793170422220312</v>
      </c>
      <c r="U136" s="46">
        <f t="shared" si="40"/>
        <v>0.63437559207271765</v>
      </c>
      <c r="V136" s="46">
        <f t="shared" si="40"/>
        <v>0.63150014282159561</v>
      </c>
      <c r="W136" s="46">
        <f t="shared" si="42"/>
        <v>0.61529129272580929</v>
      </c>
      <c r="X136" s="46">
        <f t="shared" si="42"/>
        <v>0.61978795242939666</v>
      </c>
      <c r="Y136" s="46">
        <f t="shared" si="42"/>
        <v>0.62327428814126407</v>
      </c>
      <c r="DA136" s="211"/>
    </row>
    <row r="137" spans="1:105" ht="11.45" customHeight="1" x14ac:dyDescent="0.25">
      <c r="A137" s="153" t="s">
        <v>173</v>
      </c>
      <c r="B137" s="154">
        <f t="shared" si="40"/>
        <v>1.4629450112386939E-2</v>
      </c>
      <c r="C137" s="154">
        <f t="shared" si="40"/>
        <v>1.3054496479488985E-2</v>
      </c>
      <c r="D137" s="154">
        <f t="shared" si="40"/>
        <v>1.2114986231688456E-2</v>
      </c>
      <c r="E137" s="154">
        <f t="shared" si="40"/>
        <v>1.0598863797941413E-2</v>
      </c>
      <c r="F137" s="154">
        <f t="shared" si="40"/>
        <v>1.0011285999304162E-2</v>
      </c>
      <c r="G137" s="154">
        <f t="shared" si="40"/>
        <v>9.4871861916818769E-3</v>
      </c>
      <c r="H137" s="154">
        <f t="shared" si="40"/>
        <v>8.8901250243435866E-3</v>
      </c>
      <c r="I137" s="154">
        <f t="shared" si="40"/>
        <v>8.7353323289700181E-3</v>
      </c>
      <c r="J137" s="154">
        <f t="shared" si="40"/>
        <v>8.9180015508958186E-3</v>
      </c>
      <c r="K137" s="154">
        <f t="shared" si="40"/>
        <v>9.1209386185272853E-3</v>
      </c>
      <c r="L137" s="154">
        <f t="shared" si="41"/>
        <v>9.7753696152727242E-3</v>
      </c>
      <c r="M137" s="154">
        <f t="shared" si="40"/>
        <v>9.954501635056609E-3</v>
      </c>
      <c r="N137" s="154">
        <f t="shared" si="40"/>
        <v>1.0286374099763258E-2</v>
      </c>
      <c r="O137" s="154">
        <f t="shared" si="40"/>
        <v>1.0320753088845664E-2</v>
      </c>
      <c r="P137" s="154">
        <f t="shared" si="40"/>
        <v>1.0005877507875427E-2</v>
      </c>
      <c r="Q137" s="154">
        <f t="shared" si="40"/>
        <v>9.8178693751732899E-3</v>
      </c>
      <c r="R137" s="154">
        <f t="shared" si="40"/>
        <v>9.675581557787357E-3</v>
      </c>
      <c r="S137" s="154">
        <f t="shared" si="40"/>
        <v>8.771958655516254E-3</v>
      </c>
      <c r="T137" s="154">
        <f t="shared" si="40"/>
        <v>8.1963811452313608E-3</v>
      </c>
      <c r="U137" s="154">
        <f t="shared" si="40"/>
        <v>8.4797884311699247E-3</v>
      </c>
      <c r="V137" s="154">
        <f t="shared" si="40"/>
        <v>8.0964146929011667E-3</v>
      </c>
      <c r="W137" s="154">
        <f t="shared" si="42"/>
        <v>7.8057170956659806E-3</v>
      </c>
      <c r="X137" s="154">
        <f t="shared" si="42"/>
        <v>7.7186606615814741E-3</v>
      </c>
      <c r="Y137" s="154">
        <f t="shared" si="42"/>
        <v>7.9783446896419252E-3</v>
      </c>
      <c r="DA137" s="212"/>
    </row>
    <row r="138" spans="1:105" ht="11.45" customHeight="1" x14ac:dyDescent="0.25">
      <c r="A138" s="155" t="s">
        <v>20</v>
      </c>
      <c r="B138" s="156">
        <f t="shared" si="40"/>
        <v>0.6181601750839868</v>
      </c>
      <c r="C138" s="156">
        <f t="shared" si="40"/>
        <v>0.60567678976334238</v>
      </c>
      <c r="D138" s="156">
        <f t="shared" si="40"/>
        <v>0.60448071534521319</v>
      </c>
      <c r="E138" s="156">
        <f t="shared" si="40"/>
        <v>0.60563287015189704</v>
      </c>
      <c r="F138" s="156">
        <f t="shared" si="40"/>
        <v>0.59530696989941134</v>
      </c>
      <c r="G138" s="156">
        <f t="shared" si="40"/>
        <v>0.57275962595335506</v>
      </c>
      <c r="H138" s="156">
        <f t="shared" si="40"/>
        <v>0.56075798472484817</v>
      </c>
      <c r="I138" s="156">
        <f t="shared" si="40"/>
        <v>0.55480547479562192</v>
      </c>
      <c r="J138" s="156">
        <f t="shared" si="40"/>
        <v>0.55463058041548552</v>
      </c>
      <c r="K138" s="156">
        <f t="shared" si="40"/>
        <v>0.57187175347625707</v>
      </c>
      <c r="L138" s="156">
        <f t="shared" si="41"/>
        <v>0.56681270537281947</v>
      </c>
      <c r="M138" s="156">
        <f t="shared" si="40"/>
        <v>0.57297591229810252</v>
      </c>
      <c r="N138" s="156">
        <f t="shared" si="40"/>
        <v>0.57189711972237234</v>
      </c>
      <c r="O138" s="156">
        <f t="shared" si="40"/>
        <v>0.57574966588579324</v>
      </c>
      <c r="P138" s="156">
        <f t="shared" si="40"/>
        <v>0.56423856238162873</v>
      </c>
      <c r="Q138" s="156">
        <f t="shared" si="40"/>
        <v>0.54948355003264515</v>
      </c>
      <c r="R138" s="156">
        <f t="shared" si="40"/>
        <v>0.56132003193318492</v>
      </c>
      <c r="S138" s="156">
        <f t="shared" si="40"/>
        <v>0.56146281235019702</v>
      </c>
      <c r="T138" s="156">
        <f t="shared" si="40"/>
        <v>0.56473099113917435</v>
      </c>
      <c r="U138" s="156">
        <f t="shared" si="40"/>
        <v>0.57150450690867138</v>
      </c>
      <c r="V138" s="156">
        <f t="shared" si="40"/>
        <v>0.58012613723433737</v>
      </c>
      <c r="W138" s="156">
        <f t="shared" si="42"/>
        <v>0.56838037100664995</v>
      </c>
      <c r="X138" s="156">
        <f t="shared" si="42"/>
        <v>0.56902044913621808</v>
      </c>
      <c r="Y138" s="156">
        <f t="shared" si="42"/>
        <v>0.57375512071822377</v>
      </c>
      <c r="DA138" s="213"/>
    </row>
    <row r="139" spans="1:105" ht="11.45" customHeight="1" x14ac:dyDescent="0.25">
      <c r="A139" s="157" t="s">
        <v>110</v>
      </c>
      <c r="B139" s="103">
        <f t="shared" si="40"/>
        <v>0.46949637117989346</v>
      </c>
      <c r="C139" s="103">
        <f t="shared" si="40"/>
        <v>0.45165712335491098</v>
      </c>
      <c r="D139" s="103">
        <f t="shared" si="40"/>
        <v>0.43554043276078991</v>
      </c>
      <c r="E139" s="103">
        <f t="shared" si="40"/>
        <v>0.41939424702545475</v>
      </c>
      <c r="F139" s="103">
        <f t="shared" si="40"/>
        <v>0.39707015567057397</v>
      </c>
      <c r="G139" s="103">
        <f t="shared" si="40"/>
        <v>0.35814938925820161</v>
      </c>
      <c r="H139" s="103">
        <f t="shared" si="40"/>
        <v>0.34027701265762084</v>
      </c>
      <c r="I139" s="103">
        <f t="shared" si="40"/>
        <v>0.33760845247653892</v>
      </c>
      <c r="J139" s="103">
        <f t="shared" si="40"/>
        <v>0.3268617272845239</v>
      </c>
      <c r="K139" s="103">
        <f t="shared" si="40"/>
        <v>0.32758465557734756</v>
      </c>
      <c r="L139" s="103">
        <f t="shared" si="41"/>
        <v>0.3138972532941236</v>
      </c>
      <c r="M139" s="103">
        <f t="shared" si="40"/>
        <v>0.30431323023983486</v>
      </c>
      <c r="N139" s="103">
        <f t="shared" si="40"/>
        <v>0.28622161984632921</v>
      </c>
      <c r="O139" s="103">
        <f t="shared" si="40"/>
        <v>0.26983415558965501</v>
      </c>
      <c r="P139" s="103">
        <f t="shared" si="40"/>
        <v>0.25775348238708962</v>
      </c>
      <c r="Q139" s="103">
        <f t="shared" si="40"/>
        <v>0.2475205150559254</v>
      </c>
      <c r="R139" s="103">
        <f t="shared" si="40"/>
        <v>0.24444221933844007</v>
      </c>
      <c r="S139" s="103">
        <f t="shared" si="40"/>
        <v>0.23581120314368317</v>
      </c>
      <c r="T139" s="103">
        <f t="shared" si="40"/>
        <v>0.23403878998395672</v>
      </c>
      <c r="U139" s="103">
        <f t="shared" si="40"/>
        <v>0.23134831280805968</v>
      </c>
      <c r="V139" s="103">
        <f t="shared" si="40"/>
        <v>0.22526790828640153</v>
      </c>
      <c r="W139" s="103">
        <f t="shared" si="42"/>
        <v>0.21745420150063535</v>
      </c>
      <c r="X139" s="103">
        <f t="shared" si="42"/>
        <v>0.2221642712617859</v>
      </c>
      <c r="Y139" s="103">
        <f t="shared" si="42"/>
        <v>0.23027178778036539</v>
      </c>
      <c r="DA139" s="191"/>
    </row>
    <row r="140" spans="1:105" ht="11.45" customHeight="1" x14ac:dyDescent="0.25">
      <c r="A140" s="157" t="s">
        <v>111</v>
      </c>
      <c r="B140" s="103">
        <f t="shared" si="40"/>
        <v>0.1353673673388946</v>
      </c>
      <c r="C140" s="103">
        <f t="shared" si="40"/>
        <v>0.14182275082546408</v>
      </c>
      <c r="D140" s="103">
        <f t="shared" si="40"/>
        <v>0.1570848508984368</v>
      </c>
      <c r="E140" s="103">
        <f t="shared" si="40"/>
        <v>0.17559121951955792</v>
      </c>
      <c r="F140" s="103">
        <f t="shared" si="40"/>
        <v>0.18757035850459441</v>
      </c>
      <c r="G140" s="103">
        <f t="shared" si="40"/>
        <v>0.2044294153138847</v>
      </c>
      <c r="H140" s="103">
        <f t="shared" si="40"/>
        <v>0.20998337676119724</v>
      </c>
      <c r="I140" s="103">
        <f t="shared" si="40"/>
        <v>0.20642550848716951</v>
      </c>
      <c r="J140" s="103">
        <f t="shared" si="40"/>
        <v>0.21708645556377104</v>
      </c>
      <c r="K140" s="103">
        <f t="shared" si="40"/>
        <v>0.23291687793213578</v>
      </c>
      <c r="L140" s="103">
        <f t="shared" si="41"/>
        <v>0.24122720542179657</v>
      </c>
      <c r="M140" s="103">
        <f t="shared" si="40"/>
        <v>0.25661309594142273</v>
      </c>
      <c r="N140" s="103">
        <f t="shared" si="40"/>
        <v>0.27218386349172091</v>
      </c>
      <c r="O140" s="103">
        <f t="shared" si="40"/>
        <v>0.29176540393133138</v>
      </c>
      <c r="P140" s="103">
        <f t="shared" si="40"/>
        <v>0.29143017691096657</v>
      </c>
      <c r="Q140" s="103">
        <f t="shared" si="40"/>
        <v>0.28723311149193936</v>
      </c>
      <c r="R140" s="103">
        <f t="shared" si="40"/>
        <v>0.30248163100848735</v>
      </c>
      <c r="S140" s="103">
        <f t="shared" si="40"/>
        <v>0.31179843615500369</v>
      </c>
      <c r="T140" s="103">
        <f t="shared" si="40"/>
        <v>0.31723754316878244</v>
      </c>
      <c r="U140" s="103">
        <f t="shared" si="40"/>
        <v>0.32707373442801113</v>
      </c>
      <c r="V140" s="103">
        <f t="shared" si="40"/>
        <v>0.34285733953969194</v>
      </c>
      <c r="W140" s="103">
        <f t="shared" si="42"/>
        <v>0.33930976039329946</v>
      </c>
      <c r="X140" s="103">
        <f t="shared" si="42"/>
        <v>0.33383457057606047</v>
      </c>
      <c r="Y140" s="103">
        <f t="shared" si="42"/>
        <v>0.3299599350405325</v>
      </c>
      <c r="DA140" s="191"/>
    </row>
    <row r="141" spans="1:105" ht="11.45" customHeight="1" x14ac:dyDescent="0.25">
      <c r="A141" s="157" t="s">
        <v>112</v>
      </c>
      <c r="B141" s="103">
        <f t="shared" si="40"/>
        <v>1.3296436565198697E-2</v>
      </c>
      <c r="C141" s="103">
        <f t="shared" si="40"/>
        <v>1.2196915582967332E-2</v>
      </c>
      <c r="D141" s="103">
        <f t="shared" si="40"/>
        <v>1.1855431685986521E-2</v>
      </c>
      <c r="E141" s="103">
        <f t="shared" si="40"/>
        <v>1.0647403606884379E-2</v>
      </c>
      <c r="F141" s="103">
        <f t="shared" si="40"/>
        <v>1.0666455724242926E-2</v>
      </c>
      <c r="G141" s="103">
        <f t="shared" si="40"/>
        <v>1.0180821381268849E-2</v>
      </c>
      <c r="H141" s="103">
        <f t="shared" si="40"/>
        <v>1.0497595306030087E-2</v>
      </c>
      <c r="I141" s="103">
        <f t="shared" si="40"/>
        <v>1.0771513831913561E-2</v>
      </c>
      <c r="J141" s="103">
        <f t="shared" si="40"/>
        <v>1.0576902517293185E-2</v>
      </c>
      <c r="K141" s="103">
        <f t="shared" si="40"/>
        <v>1.1200797384779741E-2</v>
      </c>
      <c r="L141" s="103">
        <f t="shared" si="41"/>
        <v>1.1455497589992467E-2</v>
      </c>
      <c r="M141" s="103">
        <f t="shared" si="40"/>
        <v>1.1751030215035752E-2</v>
      </c>
      <c r="N141" s="103">
        <f t="shared" si="40"/>
        <v>1.3124815030854168E-2</v>
      </c>
      <c r="O141" s="103">
        <f t="shared" si="40"/>
        <v>1.3657841348232081E-2</v>
      </c>
      <c r="P141" s="103">
        <f t="shared" si="40"/>
        <v>1.4498561082226542E-2</v>
      </c>
      <c r="Q141" s="103">
        <f t="shared" si="40"/>
        <v>1.4012060877362431E-2</v>
      </c>
      <c r="R141" s="103">
        <f t="shared" si="40"/>
        <v>1.3271318393448401E-2</v>
      </c>
      <c r="S141" s="103">
        <f t="shared" si="40"/>
        <v>1.2508932414122874E-2</v>
      </c>
      <c r="T141" s="103">
        <f t="shared" si="40"/>
        <v>1.1825844865432825E-2</v>
      </c>
      <c r="U141" s="103">
        <f t="shared" si="40"/>
        <v>1.1285463071751874E-2</v>
      </c>
      <c r="V141" s="103">
        <f t="shared" si="40"/>
        <v>1.0082808551591273E-2</v>
      </c>
      <c r="W141" s="103">
        <f t="shared" si="42"/>
        <v>9.6454713322300378E-3</v>
      </c>
      <c r="X141" s="103">
        <f t="shared" si="42"/>
        <v>1.1022017150472537E-2</v>
      </c>
      <c r="Y141" s="103">
        <f t="shared" si="42"/>
        <v>1.1488360723557424E-2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1.0549504989743887E-4</v>
      </c>
      <c r="K142" s="103">
        <f t="shared" si="40"/>
        <v>1.6942258199393061E-4</v>
      </c>
      <c r="L142" s="103">
        <f t="shared" si="41"/>
        <v>2.3274906690687636E-4</v>
      </c>
      <c r="M142" s="103">
        <f t="shared" si="40"/>
        <v>2.9855590180915561E-4</v>
      </c>
      <c r="N142" s="103">
        <f t="shared" si="40"/>
        <v>3.6644895312678606E-4</v>
      </c>
      <c r="O142" s="103">
        <f t="shared" si="40"/>
        <v>4.915696428967987E-4</v>
      </c>
      <c r="P142" s="103">
        <f t="shared" si="40"/>
        <v>5.5484535739715635E-4</v>
      </c>
      <c r="Q142" s="103">
        <f t="shared" si="40"/>
        <v>7.1139698529669752E-4</v>
      </c>
      <c r="R142" s="103">
        <f t="shared" si="40"/>
        <v>1.1163891307274332E-3</v>
      </c>
      <c r="S142" s="103">
        <f t="shared" si="40"/>
        <v>1.329755574204543E-3</v>
      </c>
      <c r="T142" s="103">
        <f t="shared" si="40"/>
        <v>1.6090448561326296E-3</v>
      </c>
      <c r="U142" s="103">
        <f t="shared" si="40"/>
        <v>1.7691112101657447E-3</v>
      </c>
      <c r="V142" s="103">
        <f t="shared" si="40"/>
        <v>1.8676143414827688E-3</v>
      </c>
      <c r="W142" s="103">
        <f t="shared" si="42"/>
        <v>1.8936583547699368E-3</v>
      </c>
      <c r="X142" s="103">
        <f t="shared" si="42"/>
        <v>1.8728353199237134E-3</v>
      </c>
      <c r="Y142" s="103">
        <f t="shared" si="42"/>
        <v>1.8887577031465915E-3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3.724003414023263E-7</v>
      </c>
      <c r="O143" s="103">
        <f t="shared" si="40"/>
        <v>6.9537367798778172E-7</v>
      </c>
      <c r="P143" s="103">
        <f t="shared" si="40"/>
        <v>1.496643948754214E-6</v>
      </c>
      <c r="Q143" s="103">
        <f t="shared" si="40"/>
        <v>6.4656221212986508E-6</v>
      </c>
      <c r="R143" s="103">
        <f t="shared" si="40"/>
        <v>8.4740620818442791E-6</v>
      </c>
      <c r="S143" s="103">
        <f t="shared" si="40"/>
        <v>1.448506318273181E-5</v>
      </c>
      <c r="T143" s="103">
        <f t="shared" si="40"/>
        <v>1.9768264869617648E-5</v>
      </c>
      <c r="U143" s="103">
        <f t="shared" si="40"/>
        <v>2.7885390682993357E-5</v>
      </c>
      <c r="V143" s="103">
        <f t="shared" si="40"/>
        <v>5.0466515169869696E-5</v>
      </c>
      <c r="W143" s="103">
        <f t="shared" si="42"/>
        <v>7.7279425715197377E-5</v>
      </c>
      <c r="X143" s="103">
        <f t="shared" si="42"/>
        <v>1.267548279755745E-4</v>
      </c>
      <c r="Y143" s="103">
        <f t="shared" si="42"/>
        <v>1.4627947062182013E-4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9.7296009886853926E-2</v>
      </c>
      <c r="C145" s="156">
        <f t="shared" si="40"/>
        <v>0.10193309156057534</v>
      </c>
      <c r="D145" s="156">
        <f t="shared" si="40"/>
        <v>9.1090075959474132E-2</v>
      </c>
      <c r="E145" s="156">
        <f t="shared" si="40"/>
        <v>7.3594942413816089E-2</v>
      </c>
      <c r="F145" s="156">
        <f t="shared" si="40"/>
        <v>6.4829576068075795E-2</v>
      </c>
      <c r="G145" s="156">
        <f t="shared" si="40"/>
        <v>5.9218360580565559E-2</v>
      </c>
      <c r="H145" s="156">
        <f t="shared" si="40"/>
        <v>5.9060956304157058E-2</v>
      </c>
      <c r="I145" s="156">
        <f t="shared" si="40"/>
        <v>5.6313014754969186E-2</v>
      </c>
      <c r="J145" s="156">
        <f t="shared" si="40"/>
        <v>5.6495606734805304E-2</v>
      </c>
      <c r="K145" s="156">
        <f t="shared" si="40"/>
        <v>5.7762295685085764E-2</v>
      </c>
      <c r="L145" s="156">
        <f t="shared" si="41"/>
        <v>6.3097329472896299E-2</v>
      </c>
      <c r="M145" s="156">
        <f t="shared" si="40"/>
        <v>5.9584599673916244E-2</v>
      </c>
      <c r="N145" s="156">
        <f t="shared" si="40"/>
        <v>5.9067434853376996E-2</v>
      </c>
      <c r="O145" s="156">
        <f t="shared" si="40"/>
        <v>6.1313948059516656E-2</v>
      </c>
      <c r="P145" s="156">
        <f t="shared" si="40"/>
        <v>6.0447370738343643E-2</v>
      </c>
      <c r="Q145" s="156">
        <f t="shared" si="40"/>
        <v>5.6310083346879446E-2</v>
      </c>
      <c r="R145" s="156">
        <f t="shared" si="40"/>
        <v>5.3257358179454019E-2</v>
      </c>
      <c r="S145" s="156">
        <f t="shared" si="40"/>
        <v>5.4006913534374042E-2</v>
      </c>
      <c r="T145" s="156">
        <f t="shared" si="40"/>
        <v>5.5004331937797413E-2</v>
      </c>
      <c r="U145" s="156">
        <f t="shared" si="40"/>
        <v>5.4391296732876383E-2</v>
      </c>
      <c r="V145" s="156">
        <f t="shared" si="40"/>
        <v>4.3277590894357051E-2</v>
      </c>
      <c r="W145" s="156">
        <f t="shared" si="42"/>
        <v>3.9105204623493275E-2</v>
      </c>
      <c r="X145" s="156">
        <f t="shared" si="42"/>
        <v>4.3048842631597049E-2</v>
      </c>
      <c r="Y145" s="156">
        <f t="shared" si="42"/>
        <v>4.1540822733398285E-2</v>
      </c>
      <c r="DA145" s="213"/>
    </row>
    <row r="146" spans="1:105" ht="11.45" customHeight="1" x14ac:dyDescent="0.25">
      <c r="A146" s="157" t="s">
        <v>110</v>
      </c>
      <c r="B146" s="103">
        <f t="shared" si="40"/>
        <v>2.6500298891795949E-3</v>
      </c>
      <c r="C146" s="103">
        <f t="shared" si="40"/>
        <v>2.4700200383763254E-3</v>
      </c>
      <c r="D146" s="103">
        <f t="shared" si="40"/>
        <v>2.3931414598982606E-3</v>
      </c>
      <c r="E146" s="103">
        <f t="shared" si="40"/>
        <v>1.7876733422585434E-3</v>
      </c>
      <c r="F146" s="103">
        <f t="shared" si="40"/>
        <v>1.475678860044536E-3</v>
      </c>
      <c r="G146" s="103">
        <f t="shared" si="40"/>
        <v>1.2381094973124905E-3</v>
      </c>
      <c r="H146" s="103">
        <f t="shared" si="40"/>
        <v>1.1526871821778998E-3</v>
      </c>
      <c r="I146" s="103">
        <f t="shared" si="40"/>
        <v>1.085689258115652E-3</v>
      </c>
      <c r="J146" s="103">
        <f t="shared" si="40"/>
        <v>1.0284371532972849E-3</v>
      </c>
      <c r="K146" s="103">
        <f t="shared" si="40"/>
        <v>9.7649124370537122E-4</v>
      </c>
      <c r="L146" s="103">
        <f t="shared" si="41"/>
        <v>1.0518962101623889E-3</v>
      </c>
      <c r="M146" s="103">
        <f t="shared" si="40"/>
        <v>9.7274328057646449E-4</v>
      </c>
      <c r="N146" s="103">
        <f t="shared" si="40"/>
        <v>8.9091606006486926E-4</v>
      </c>
      <c r="O146" s="103">
        <f t="shared" si="40"/>
        <v>9.0926068390837248E-4</v>
      </c>
      <c r="P146" s="103">
        <f t="shared" si="40"/>
        <v>8.7739375487647315E-4</v>
      </c>
      <c r="Q146" s="103">
        <f t="shared" si="40"/>
        <v>7.7462885924171475E-4</v>
      </c>
      <c r="R146" s="103">
        <f t="shared" si="40"/>
        <v>7.6069787732563625E-4</v>
      </c>
      <c r="S146" s="103">
        <f t="shared" si="40"/>
        <v>7.2847959174033314E-4</v>
      </c>
      <c r="T146" s="103">
        <f t="shared" si="40"/>
        <v>6.6735075911721986E-4</v>
      </c>
      <c r="U146" s="103">
        <f t="shared" si="40"/>
        <v>6.2107502530989297E-4</v>
      </c>
      <c r="V146" s="103">
        <f t="shared" si="40"/>
        <v>5.1441474485700695E-4</v>
      </c>
      <c r="W146" s="103">
        <f t="shared" si="42"/>
        <v>4.2799501707868886E-4</v>
      </c>
      <c r="X146" s="103">
        <f t="shared" si="42"/>
        <v>4.5401348387710008E-4</v>
      </c>
      <c r="Y146" s="103">
        <f t="shared" si="42"/>
        <v>4.1725752825755394E-4</v>
      </c>
      <c r="DA146" s="191"/>
    </row>
    <row r="147" spans="1:105" ht="11.45" customHeight="1" x14ac:dyDescent="0.25">
      <c r="A147" s="157" t="s">
        <v>111</v>
      </c>
      <c r="B147" s="103">
        <f t="shared" si="40"/>
        <v>9.3799423845028998E-2</v>
      </c>
      <c r="C147" s="103">
        <f t="shared" si="40"/>
        <v>9.8504173551921301E-2</v>
      </c>
      <c r="D147" s="103">
        <f t="shared" si="40"/>
        <v>8.747901244670396E-2</v>
      </c>
      <c r="E147" s="103">
        <f t="shared" si="40"/>
        <v>7.0610624385353427E-2</v>
      </c>
      <c r="F147" s="103">
        <f t="shared" si="40"/>
        <v>6.1708079502369458E-2</v>
      </c>
      <c r="G147" s="103">
        <f t="shared" si="40"/>
        <v>5.669247967435783E-2</v>
      </c>
      <c r="H147" s="103">
        <f t="shared" si="40"/>
        <v>5.6241336583620793E-2</v>
      </c>
      <c r="I147" s="103">
        <f t="shared" si="40"/>
        <v>5.4605822287046919E-2</v>
      </c>
      <c r="J147" s="103">
        <f t="shared" si="40"/>
        <v>5.4838128852454968E-2</v>
      </c>
      <c r="K147" s="103">
        <f t="shared" si="40"/>
        <v>5.6046885194939389E-2</v>
      </c>
      <c r="L147" s="103">
        <f t="shared" si="41"/>
        <v>6.1023735174860455E-2</v>
      </c>
      <c r="M147" s="103">
        <f t="shared" si="40"/>
        <v>5.7406954829145436E-2</v>
      </c>
      <c r="N147" s="103">
        <f t="shared" si="40"/>
        <v>5.6764553552085768E-2</v>
      </c>
      <c r="O147" s="103">
        <f t="shared" si="40"/>
        <v>5.8995770036935291E-2</v>
      </c>
      <c r="P147" s="103">
        <f t="shared" si="40"/>
        <v>5.6878542973768487E-2</v>
      </c>
      <c r="Q147" s="103">
        <f t="shared" si="40"/>
        <v>5.2002220469672615E-2</v>
      </c>
      <c r="R147" s="103">
        <f t="shared" ref="R147:V147" si="43">IF(R29=0,0,R29/R$17)</f>
        <v>4.827215690489519E-2</v>
      </c>
      <c r="S147" s="103">
        <f t="shared" si="43"/>
        <v>4.8954672819059769E-2</v>
      </c>
      <c r="T147" s="103">
        <f t="shared" si="43"/>
        <v>5.0022472747948334E-2</v>
      </c>
      <c r="U147" s="103">
        <f t="shared" si="43"/>
        <v>4.8125291277424494E-2</v>
      </c>
      <c r="V147" s="103">
        <f t="shared" si="43"/>
        <v>3.6494708822019654E-2</v>
      </c>
      <c r="W147" s="103">
        <f t="shared" ref="W147:Y147" si="44">IF(W29=0,0,W29/W$17)</f>
        <v>3.2779245819024007E-2</v>
      </c>
      <c r="X147" s="103">
        <f t="shared" si="44"/>
        <v>3.7588229204284479E-2</v>
      </c>
      <c r="Y147" s="103">
        <f t="shared" si="44"/>
        <v>3.5882416080587731E-2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6.7904651736969915E-6</v>
      </c>
      <c r="W148" s="103">
        <f t="shared" ref="W148:Y148" si="48">IF(W30=0,0,W30/W$17)</f>
        <v>5.9115667605688038E-6</v>
      </c>
      <c r="X148" s="103">
        <f t="shared" si="48"/>
        <v>6.4706014855749631E-6</v>
      </c>
      <c r="Y148" s="103">
        <f t="shared" si="48"/>
        <v>5.2229555597574186E-6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8.4655615264532947E-4</v>
      </c>
      <c r="C149" s="103">
        <f t="shared" si="49"/>
        <v>9.5889797027773197E-4</v>
      </c>
      <c r="D149" s="103">
        <f t="shared" si="49"/>
        <v>1.2179220528718976E-3</v>
      </c>
      <c r="E149" s="103">
        <f t="shared" si="49"/>
        <v>1.1966446862041252E-3</v>
      </c>
      <c r="F149" s="103">
        <f t="shared" si="49"/>
        <v>1.6458177056617985E-3</v>
      </c>
      <c r="G149" s="103">
        <f t="shared" si="49"/>
        <v>1.2877714088952346E-3</v>
      </c>
      <c r="H149" s="103">
        <f t="shared" si="49"/>
        <v>1.666932538358366E-3</v>
      </c>
      <c r="I149" s="103">
        <f t="shared" si="49"/>
        <v>6.2150320980661449E-4</v>
      </c>
      <c r="J149" s="103">
        <f t="shared" si="49"/>
        <v>6.290407290530447E-4</v>
      </c>
      <c r="K149" s="103">
        <f t="shared" si="49"/>
        <v>7.3891924644100214E-4</v>
      </c>
      <c r="L149" s="103">
        <f t="shared" si="46"/>
        <v>1.0216980878734586E-3</v>
      </c>
      <c r="M149" s="103">
        <f t="shared" ref="M149:V149" si="50">IF(M31=0,0,M31/M$17)</f>
        <v>1.204901564194342E-3</v>
      </c>
      <c r="N149" s="103">
        <f t="shared" si="50"/>
        <v>1.4119652412263599E-3</v>
      </c>
      <c r="O149" s="103">
        <f t="shared" si="50"/>
        <v>1.4089173386729892E-3</v>
      </c>
      <c r="P149" s="103">
        <f t="shared" si="50"/>
        <v>2.6914340096986867E-3</v>
      </c>
      <c r="Q149" s="103">
        <f t="shared" si="50"/>
        <v>3.5332340179651174E-3</v>
      </c>
      <c r="R149" s="103">
        <f t="shared" si="50"/>
        <v>4.22450339723319E-3</v>
      </c>
      <c r="S149" s="103">
        <f t="shared" si="50"/>
        <v>4.323761123573946E-3</v>
      </c>
      <c r="T149" s="103">
        <f t="shared" si="50"/>
        <v>4.3145084307318546E-3</v>
      </c>
      <c r="U149" s="103">
        <f t="shared" si="50"/>
        <v>5.6449304301419952E-3</v>
      </c>
      <c r="V149" s="103">
        <f t="shared" si="50"/>
        <v>6.2616768623066929E-3</v>
      </c>
      <c r="W149" s="103">
        <f t="shared" ref="W149:Y149" si="51">IF(W31=0,0,W31/W$17)</f>
        <v>5.8920522206300126E-3</v>
      </c>
      <c r="X149" s="103">
        <f t="shared" si="51"/>
        <v>5.0001293419498997E-3</v>
      </c>
      <c r="Y149" s="103">
        <f t="shared" si="51"/>
        <v>5.2359261689932449E-3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0.26991436491677251</v>
      </c>
      <c r="C151" s="46">
        <f t="shared" si="55"/>
        <v>0.27933562219659325</v>
      </c>
      <c r="D151" s="46">
        <f t="shared" si="55"/>
        <v>0.29231422246362421</v>
      </c>
      <c r="E151" s="46">
        <f t="shared" si="55"/>
        <v>0.31017332363634559</v>
      </c>
      <c r="F151" s="46">
        <f t="shared" si="55"/>
        <v>0.32985216803320871</v>
      </c>
      <c r="G151" s="46">
        <f t="shared" si="55"/>
        <v>0.35853482727439751</v>
      </c>
      <c r="H151" s="46">
        <f t="shared" si="55"/>
        <v>0.37129093394665136</v>
      </c>
      <c r="I151" s="46">
        <f t="shared" si="55"/>
        <v>0.38014617812043877</v>
      </c>
      <c r="J151" s="46">
        <f t="shared" si="55"/>
        <v>0.37995581129881345</v>
      </c>
      <c r="K151" s="46">
        <f t="shared" si="55"/>
        <v>0.36124501222012995</v>
      </c>
      <c r="L151" s="46">
        <f t="shared" ref="L151" si="56">IF(L33=0,0,L33/L$17)</f>
        <v>0.36031459553901141</v>
      </c>
      <c r="M151" s="46">
        <f t="shared" ref="M151:V151" si="57">IF(M33=0,0,M33/M$17)</f>
        <v>0.35748498639292464</v>
      </c>
      <c r="N151" s="46">
        <f t="shared" si="57"/>
        <v>0.35874907132448736</v>
      </c>
      <c r="O151" s="46">
        <f t="shared" si="57"/>
        <v>0.35261563296584436</v>
      </c>
      <c r="P151" s="46">
        <f t="shared" si="57"/>
        <v>0.3653081893721522</v>
      </c>
      <c r="Q151" s="46">
        <f t="shared" si="57"/>
        <v>0.38438849724530194</v>
      </c>
      <c r="R151" s="46">
        <f t="shared" si="57"/>
        <v>0.37574702832957363</v>
      </c>
      <c r="S151" s="46">
        <f t="shared" si="57"/>
        <v>0.37575831545991262</v>
      </c>
      <c r="T151" s="46">
        <f t="shared" si="57"/>
        <v>0.37206829577779688</v>
      </c>
      <c r="U151" s="46">
        <f t="shared" si="57"/>
        <v>0.36562440792728229</v>
      </c>
      <c r="V151" s="46">
        <f t="shared" si="57"/>
        <v>0.36849985717840444</v>
      </c>
      <c r="W151" s="46">
        <f t="shared" ref="W151:Y151" si="58">IF(W33=0,0,W33/W$17)</f>
        <v>0.38470870727419071</v>
      </c>
      <c r="X151" s="46">
        <f t="shared" si="58"/>
        <v>0.38021204757060323</v>
      </c>
      <c r="Y151" s="46">
        <f t="shared" si="58"/>
        <v>0.37672571185873593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4.2779854442654697E-2</v>
      </c>
      <c r="C152" s="154">
        <f t="shared" si="59"/>
        <v>4.3839318539435582E-2</v>
      </c>
      <c r="D152" s="154">
        <f t="shared" si="59"/>
        <v>4.7841018059959897E-2</v>
      </c>
      <c r="E152" s="154">
        <f t="shared" si="59"/>
        <v>4.8405692557118268E-2</v>
      </c>
      <c r="F152" s="154">
        <f t="shared" si="59"/>
        <v>5.3584215391670201E-2</v>
      </c>
      <c r="G152" s="154">
        <f t="shared" si="59"/>
        <v>5.9145375469670608E-2</v>
      </c>
      <c r="H152" s="154">
        <f t="shared" si="59"/>
        <v>6.5552337818927595E-2</v>
      </c>
      <c r="I152" s="154">
        <f t="shared" si="59"/>
        <v>7.0957954556869568E-2</v>
      </c>
      <c r="J152" s="154">
        <f t="shared" si="59"/>
        <v>8.4988825317653602E-2</v>
      </c>
      <c r="K152" s="154">
        <f t="shared" si="59"/>
        <v>8.7704783114059964E-2</v>
      </c>
      <c r="L152" s="154">
        <f t="shared" ref="L152" si="60">IF(L34=0,0,L34/L$17)</f>
        <v>9.7985681257186291E-2</v>
      </c>
      <c r="M152" s="154">
        <f t="shared" ref="M152:V152" si="61">IF(M34=0,0,M34/M$17)</f>
        <v>9.9560872800927541E-2</v>
      </c>
      <c r="N152" s="154">
        <f t="shared" si="61"/>
        <v>0.10313666331568423</v>
      </c>
      <c r="O152" s="154">
        <f t="shared" si="61"/>
        <v>0.10818528587561274</v>
      </c>
      <c r="P152" s="154">
        <f t="shared" si="61"/>
        <v>0.11660933145758214</v>
      </c>
      <c r="Q152" s="154">
        <f t="shared" si="61"/>
        <v>0.12238756529676593</v>
      </c>
      <c r="R152" s="154">
        <f t="shared" si="61"/>
        <v>0.10043396032749009</v>
      </c>
      <c r="S152" s="154">
        <f t="shared" si="61"/>
        <v>9.9496910162280655E-2</v>
      </c>
      <c r="T152" s="154">
        <f t="shared" si="61"/>
        <v>9.9316743406763136E-2</v>
      </c>
      <c r="U152" s="154">
        <f t="shared" si="61"/>
        <v>9.8027120635981416E-2</v>
      </c>
      <c r="V152" s="154">
        <f t="shared" si="61"/>
        <v>0.10123537628907424</v>
      </c>
      <c r="W152" s="154">
        <f t="shared" ref="W152:Y152" si="62">IF(W34=0,0,W34/W$17)</f>
        <v>9.6742425231756773E-2</v>
      </c>
      <c r="X152" s="154">
        <f t="shared" si="62"/>
        <v>9.5464513482684921E-2</v>
      </c>
      <c r="Y152" s="154">
        <f t="shared" si="62"/>
        <v>9.5113632379372148E-2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7.8256544126430391E-3</v>
      </c>
      <c r="C153" s="103">
        <f t="shared" si="63"/>
        <v>7.9735070292633325E-3</v>
      </c>
      <c r="D153" s="103">
        <f t="shared" si="63"/>
        <v>8.5344423586780748E-3</v>
      </c>
      <c r="E153" s="103">
        <f t="shared" si="63"/>
        <v>7.4789039335220638E-3</v>
      </c>
      <c r="F153" s="103">
        <f t="shared" si="63"/>
        <v>7.3478071162645054E-3</v>
      </c>
      <c r="G153" s="103">
        <f t="shared" si="63"/>
        <v>7.3870706241518239E-3</v>
      </c>
      <c r="H153" s="103">
        <f t="shared" si="63"/>
        <v>8.2289767826514721E-3</v>
      </c>
      <c r="I153" s="103">
        <f t="shared" si="63"/>
        <v>8.8806472540763851E-3</v>
      </c>
      <c r="J153" s="103">
        <f t="shared" si="63"/>
        <v>9.8958420659447863E-3</v>
      </c>
      <c r="K153" s="103">
        <f t="shared" si="63"/>
        <v>9.7992949849656022E-3</v>
      </c>
      <c r="L153" s="103">
        <f t="shared" ref="L153" si="64">IF(L35=0,0,L35/L$17)</f>
        <v>1.0242828153770559E-2</v>
      </c>
      <c r="M153" s="103">
        <f t="shared" ref="M153:V153" si="65">IF(M35=0,0,M35/M$17)</f>
        <v>1.00449635143355E-2</v>
      </c>
      <c r="N153" s="103">
        <f t="shared" si="65"/>
        <v>9.8720832839796473E-3</v>
      </c>
      <c r="O153" s="103">
        <f t="shared" si="65"/>
        <v>1.0035323968512304E-2</v>
      </c>
      <c r="P153" s="103">
        <f t="shared" si="65"/>
        <v>1.0017890390086893E-2</v>
      </c>
      <c r="Q153" s="103">
        <f t="shared" si="65"/>
        <v>1.011806620701379E-2</v>
      </c>
      <c r="R153" s="103">
        <f t="shared" si="65"/>
        <v>9.9707365040503006E-3</v>
      </c>
      <c r="S153" s="103">
        <f t="shared" si="65"/>
        <v>9.5769045632939781E-3</v>
      </c>
      <c r="T153" s="103">
        <f t="shared" si="65"/>
        <v>9.4792394325737238E-3</v>
      </c>
      <c r="U153" s="103">
        <f t="shared" si="65"/>
        <v>9.2949664106760487E-3</v>
      </c>
      <c r="V153" s="103">
        <f t="shared" si="65"/>
        <v>9.8760560968664014E-3</v>
      </c>
      <c r="W153" s="103">
        <f t="shared" ref="W153:Y153" si="66">IF(W35=0,0,W35/W$17)</f>
        <v>9.2095867185646337E-3</v>
      </c>
      <c r="X153" s="103">
        <f t="shared" si="66"/>
        <v>8.9316711460598885E-3</v>
      </c>
      <c r="Y153" s="103">
        <f t="shared" si="66"/>
        <v>8.8086070201455115E-3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3.228569426147964E-2</v>
      </c>
      <c r="C154" s="103">
        <f t="shared" si="67"/>
        <v>3.3386584557887317E-2</v>
      </c>
      <c r="D154" s="103">
        <f t="shared" si="67"/>
        <v>3.6953588718559041E-2</v>
      </c>
      <c r="E154" s="103">
        <f t="shared" si="67"/>
        <v>3.8889102102310932E-2</v>
      </c>
      <c r="F154" s="103">
        <f t="shared" si="67"/>
        <v>4.4298643117571958E-2</v>
      </c>
      <c r="G154" s="103">
        <f t="shared" si="67"/>
        <v>4.9989600698807229E-2</v>
      </c>
      <c r="H154" s="103">
        <f t="shared" si="67"/>
        <v>5.5596427831235043E-2</v>
      </c>
      <c r="I154" s="103">
        <f t="shared" si="67"/>
        <v>6.0397105039763845E-2</v>
      </c>
      <c r="J154" s="103">
        <f t="shared" si="67"/>
        <v>7.3459479763760424E-2</v>
      </c>
      <c r="K154" s="103">
        <f t="shared" si="67"/>
        <v>7.6228315790422621E-2</v>
      </c>
      <c r="L154" s="103">
        <f t="shared" ref="L154" si="68">IF(L36=0,0,L36/L$17)</f>
        <v>8.603903585949528E-2</v>
      </c>
      <c r="M154" s="103">
        <f t="shared" ref="M154:V154" si="69">IF(M36=0,0,M36/M$17)</f>
        <v>8.7805109258717054E-2</v>
      </c>
      <c r="N154" s="103">
        <f t="shared" si="69"/>
        <v>9.1278176510390024E-2</v>
      </c>
      <c r="O154" s="103">
        <f t="shared" si="69"/>
        <v>9.5994388376955953E-2</v>
      </c>
      <c r="P154" s="103">
        <f t="shared" si="69"/>
        <v>0.10407256396264006</v>
      </c>
      <c r="Q154" s="103">
        <f t="shared" si="69"/>
        <v>0.10946436055898805</v>
      </c>
      <c r="R154" s="103">
        <f t="shared" si="69"/>
        <v>8.7133476777466412E-2</v>
      </c>
      <c r="S154" s="103">
        <f t="shared" si="69"/>
        <v>8.6323285255556992E-2</v>
      </c>
      <c r="T154" s="103">
        <f t="shared" si="69"/>
        <v>8.6020849424140414E-2</v>
      </c>
      <c r="U154" s="103">
        <f t="shared" si="69"/>
        <v>8.4841645941966623E-2</v>
      </c>
      <c r="V154" s="103">
        <f t="shared" si="69"/>
        <v>8.7383813853189871E-2</v>
      </c>
      <c r="W154" s="103">
        <f t="shared" ref="W154:Y154" si="70">IF(W36=0,0,W36/W$17)</f>
        <v>8.3618950000964851E-2</v>
      </c>
      <c r="X154" s="103">
        <f t="shared" si="70"/>
        <v>8.290980725022655E-2</v>
      </c>
      <c r="Y154" s="103">
        <f t="shared" si="70"/>
        <v>8.3236670266905816E-2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2.6685057685320182E-3</v>
      </c>
      <c r="C155" s="103">
        <f t="shared" si="71"/>
        <v>2.4792269522849282E-3</v>
      </c>
      <c r="D155" s="103">
        <f t="shared" si="71"/>
        <v>2.3529869827227769E-3</v>
      </c>
      <c r="E155" s="103">
        <f t="shared" si="71"/>
        <v>2.0376865212852714E-3</v>
      </c>
      <c r="F155" s="103">
        <f t="shared" si="71"/>
        <v>1.9377651578337341E-3</v>
      </c>
      <c r="G155" s="103">
        <f t="shared" si="71"/>
        <v>1.7687041467115553E-3</v>
      </c>
      <c r="H155" s="103">
        <f t="shared" si="71"/>
        <v>1.7269332050410763E-3</v>
      </c>
      <c r="I155" s="103">
        <f t="shared" si="71"/>
        <v>1.6802022630293409E-3</v>
      </c>
      <c r="J155" s="103">
        <f t="shared" si="71"/>
        <v>1.6335034879484006E-3</v>
      </c>
      <c r="K155" s="103">
        <f t="shared" si="71"/>
        <v>1.6771723386717367E-3</v>
      </c>
      <c r="L155" s="103">
        <f t="shared" ref="L155" si="72">IF(L37=0,0,L37/L$17)</f>
        <v>1.7038172439204503E-3</v>
      </c>
      <c r="M155" s="103">
        <f t="shared" ref="M155:V155" si="73">IF(M37=0,0,M37/M$17)</f>
        <v>1.7108000278749814E-3</v>
      </c>
      <c r="N155" s="103">
        <f t="shared" si="73"/>
        <v>1.9121718848139208E-3</v>
      </c>
      <c r="O155" s="103">
        <f t="shared" si="73"/>
        <v>2.0219713869846765E-3</v>
      </c>
      <c r="P155" s="103">
        <f t="shared" si="73"/>
        <v>2.1982339220119576E-3</v>
      </c>
      <c r="Q155" s="103">
        <f t="shared" si="73"/>
        <v>2.0950423350192793E-3</v>
      </c>
      <c r="R155" s="103">
        <f t="shared" si="73"/>
        <v>2.170823647389109E-3</v>
      </c>
      <c r="S155" s="103">
        <f t="shared" si="73"/>
        <v>2.0572001446126269E-3</v>
      </c>
      <c r="T155" s="103">
        <f t="shared" si="73"/>
        <v>1.9864175628243035E-3</v>
      </c>
      <c r="U155" s="103">
        <f t="shared" si="73"/>
        <v>1.7868995139792029E-3</v>
      </c>
      <c r="V155" s="103">
        <f t="shared" si="73"/>
        <v>1.7140407227914168E-3</v>
      </c>
      <c r="W155" s="103">
        <f t="shared" ref="W155:Y155" si="74">IF(W37=0,0,W37/W$17)</f>
        <v>1.4292541373928645E-3</v>
      </c>
      <c r="X155" s="103">
        <f t="shared" si="74"/>
        <v>1.2166525175277116E-3</v>
      </c>
      <c r="Y155" s="103">
        <f t="shared" si="74"/>
        <v>1.0024604083186362E-3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7.4231636500644998E-5</v>
      </c>
      <c r="O156" s="103">
        <f t="shared" si="77"/>
        <v>1.3360214315980996E-4</v>
      </c>
      <c r="P156" s="103">
        <f t="shared" si="77"/>
        <v>3.2064318284323514E-4</v>
      </c>
      <c r="Q156" s="103">
        <f t="shared" si="77"/>
        <v>7.1009619574481967E-4</v>
      </c>
      <c r="R156" s="103">
        <f t="shared" si="77"/>
        <v>1.1589233985842562E-3</v>
      </c>
      <c r="S156" s="103">
        <f t="shared" si="77"/>
        <v>1.5395201988170502E-3</v>
      </c>
      <c r="T156" s="103">
        <f t="shared" si="77"/>
        <v>1.8302369872246842E-3</v>
      </c>
      <c r="U156" s="103">
        <f t="shared" si="77"/>
        <v>2.1036087693595434E-3</v>
      </c>
      <c r="V156" s="103">
        <f t="shared" si="77"/>
        <v>2.261465616226547E-3</v>
      </c>
      <c r="W156" s="103">
        <f t="shared" ref="W156:Y156" si="78">IF(W38=0,0,W38/W$17)</f>
        <v>2.4846343748344247E-3</v>
      </c>
      <c r="X156" s="103">
        <f t="shared" si="78"/>
        <v>2.4063825688707711E-3</v>
      </c>
      <c r="Y156" s="103">
        <f t="shared" si="78"/>
        <v>2.0658946840021795E-3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0.22713451047411778</v>
      </c>
      <c r="C158" s="156">
        <f t="shared" si="83"/>
        <v>0.23549630365715768</v>
      </c>
      <c r="D158" s="156">
        <f t="shared" si="83"/>
        <v>0.24447320440366427</v>
      </c>
      <c r="E158" s="156">
        <f t="shared" si="83"/>
        <v>0.26176763107922729</v>
      </c>
      <c r="F158" s="156">
        <f t="shared" si="83"/>
        <v>0.27626795264153853</v>
      </c>
      <c r="G158" s="156">
        <f t="shared" si="83"/>
        <v>0.29938945180472687</v>
      </c>
      <c r="H158" s="156">
        <f t="shared" si="83"/>
        <v>0.30573859612772375</v>
      </c>
      <c r="I158" s="156">
        <f t="shared" si="83"/>
        <v>0.30918822356356923</v>
      </c>
      <c r="J158" s="156">
        <f t="shared" si="83"/>
        <v>0.29496698598115983</v>
      </c>
      <c r="K158" s="156">
        <f t="shared" si="83"/>
        <v>0.27354022910607001</v>
      </c>
      <c r="L158" s="156">
        <f t="shared" ref="L158" si="84">IF(L40=0,0,L40/L$17)</f>
        <v>0.26232891428182509</v>
      </c>
      <c r="M158" s="156">
        <f t="shared" ref="M158:V158" si="85">IF(M40=0,0,M40/M$17)</f>
        <v>0.25792411359199707</v>
      </c>
      <c r="N158" s="156">
        <f t="shared" si="85"/>
        <v>0.25561240800880314</v>
      </c>
      <c r="O158" s="156">
        <f t="shared" si="85"/>
        <v>0.24443034709023162</v>
      </c>
      <c r="P158" s="156">
        <f t="shared" si="85"/>
        <v>0.24869885791457011</v>
      </c>
      <c r="Q158" s="156">
        <f t="shared" si="85"/>
        <v>0.26200093194853602</v>
      </c>
      <c r="R158" s="156">
        <f t="shared" si="85"/>
        <v>0.27531306800208355</v>
      </c>
      <c r="S158" s="156">
        <f t="shared" si="85"/>
        <v>0.27626140529763199</v>
      </c>
      <c r="T158" s="156">
        <f t="shared" si="85"/>
        <v>0.27275155237103377</v>
      </c>
      <c r="U158" s="156">
        <f t="shared" si="85"/>
        <v>0.26759728729130083</v>
      </c>
      <c r="V158" s="156">
        <f t="shared" si="85"/>
        <v>0.26726448088933019</v>
      </c>
      <c r="W158" s="156">
        <f t="shared" ref="W158:Y158" si="86">IF(W40=0,0,W40/W$17)</f>
        <v>0.28796628204243391</v>
      </c>
      <c r="X158" s="156">
        <f t="shared" si="86"/>
        <v>0.28474753408791825</v>
      </c>
      <c r="Y158" s="156">
        <f t="shared" si="86"/>
        <v>0.28161207947936379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0.12428511634690412</v>
      </c>
      <c r="C159" s="103">
        <f t="shared" si="87"/>
        <v>0.13651783459552908</v>
      </c>
      <c r="D159" s="103">
        <f t="shared" si="87"/>
        <v>0.14719734538914842</v>
      </c>
      <c r="E159" s="103">
        <f t="shared" si="87"/>
        <v>0.15492361591152226</v>
      </c>
      <c r="F159" s="103">
        <f t="shared" si="87"/>
        <v>0.16182768886926172</v>
      </c>
      <c r="G159" s="103">
        <f t="shared" si="87"/>
        <v>0.17558521851415501</v>
      </c>
      <c r="H159" s="103">
        <f t="shared" si="87"/>
        <v>0.1628717431105566</v>
      </c>
      <c r="I159" s="103">
        <f t="shared" si="87"/>
        <v>0.15283220400398592</v>
      </c>
      <c r="J159" s="103">
        <f t="shared" si="87"/>
        <v>0.1458024177837659</v>
      </c>
      <c r="K159" s="103">
        <f t="shared" si="87"/>
        <v>0.12276481823136468</v>
      </c>
      <c r="L159" s="103">
        <f t="shared" ref="L159" si="88">IF(L41=0,0,L41/L$17)</f>
        <v>0.125335546070974</v>
      </c>
      <c r="M159" s="103">
        <f t="shared" ref="M159:V159" si="89">IF(M41=0,0,M41/M$17)</f>
        <v>0.122201813272329</v>
      </c>
      <c r="N159" s="103">
        <f t="shared" si="89"/>
        <v>0.11832586765984104</v>
      </c>
      <c r="O159" s="103">
        <f t="shared" si="89"/>
        <v>0.12168566231824711</v>
      </c>
      <c r="P159" s="103">
        <f t="shared" si="89"/>
        <v>0.1268675551662882</v>
      </c>
      <c r="Q159" s="103">
        <f t="shared" si="89"/>
        <v>0.14487662864037887</v>
      </c>
      <c r="R159" s="103">
        <f t="shared" si="89"/>
        <v>0.14395564030873947</v>
      </c>
      <c r="S159" s="103">
        <f t="shared" si="89"/>
        <v>0.14711136681861639</v>
      </c>
      <c r="T159" s="103">
        <f t="shared" si="89"/>
        <v>0.15147956989222452</v>
      </c>
      <c r="U159" s="103">
        <f t="shared" si="89"/>
        <v>0.15004052308109422</v>
      </c>
      <c r="V159" s="103">
        <f t="shared" si="89"/>
        <v>0.16969867221687571</v>
      </c>
      <c r="W159" s="103">
        <f t="shared" ref="W159:Y159" si="90">IF(W41=0,0,W41/W$17)</f>
        <v>0.17481333462331433</v>
      </c>
      <c r="X159" s="103">
        <f t="shared" si="90"/>
        <v>0.16562348524317963</v>
      </c>
      <c r="Y159" s="103">
        <f t="shared" si="90"/>
        <v>0.16366448557605673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0.10284939412721367</v>
      </c>
      <c r="C160" s="105">
        <f t="shared" si="91"/>
        <v>9.8978469061628591E-2</v>
      </c>
      <c r="D160" s="105">
        <f t="shared" si="91"/>
        <v>9.7275859014515867E-2</v>
      </c>
      <c r="E160" s="105">
        <f t="shared" si="91"/>
        <v>0.10684401516770504</v>
      </c>
      <c r="F160" s="105">
        <f t="shared" si="91"/>
        <v>0.1144402637722768</v>
      </c>
      <c r="G160" s="105">
        <f t="shared" si="91"/>
        <v>0.12380423329057184</v>
      </c>
      <c r="H160" s="105">
        <f t="shared" si="91"/>
        <v>0.14286685301716717</v>
      </c>
      <c r="I160" s="105">
        <f t="shared" si="91"/>
        <v>0.15635601955958331</v>
      </c>
      <c r="J160" s="105">
        <f t="shared" si="91"/>
        <v>0.14916456819739393</v>
      </c>
      <c r="K160" s="105">
        <f t="shared" si="91"/>
        <v>0.15077541087470536</v>
      </c>
      <c r="L160" s="105">
        <f t="shared" ref="L160" si="92">IF(L42=0,0,L42/L$17)</f>
        <v>0.13699336821085112</v>
      </c>
      <c r="M160" s="105">
        <f t="shared" ref="M160:V160" si="93">IF(M42=0,0,M42/M$17)</f>
        <v>0.13572230031966812</v>
      </c>
      <c r="N160" s="105">
        <f t="shared" si="93"/>
        <v>0.13728654034896209</v>
      </c>
      <c r="O160" s="105">
        <f t="shared" si="93"/>
        <v>0.12274468477198451</v>
      </c>
      <c r="P160" s="105">
        <f t="shared" si="93"/>
        <v>0.12183130274828188</v>
      </c>
      <c r="Q160" s="105">
        <f t="shared" si="93"/>
        <v>0.1171243033081571</v>
      </c>
      <c r="R160" s="105">
        <f t="shared" si="93"/>
        <v>0.1313574276933441</v>
      </c>
      <c r="S160" s="105">
        <f t="shared" si="93"/>
        <v>0.12915003847901557</v>
      </c>
      <c r="T160" s="105">
        <f t="shared" si="93"/>
        <v>0.12127198247880923</v>
      </c>
      <c r="U160" s="105">
        <f t="shared" si="93"/>
        <v>0.11755676421020662</v>
      </c>
      <c r="V160" s="105">
        <f t="shared" si="93"/>
        <v>9.7565808672454471E-2</v>
      </c>
      <c r="W160" s="105">
        <f t="shared" ref="W160:Y160" si="94">IF(W42=0,0,W42/W$17)</f>
        <v>0.11315294741911956</v>
      </c>
      <c r="X160" s="105">
        <f t="shared" si="94"/>
        <v>0.11912404884473866</v>
      </c>
      <c r="Y160" s="105">
        <f t="shared" si="94"/>
        <v>0.11794759390330704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5001322</v>
      </c>
      <c r="C3" s="54">
        <f>TrRoad_act!C57</f>
        <v>5053986</v>
      </c>
      <c r="D3" s="54">
        <f>TrRoad_act!D57</f>
        <v>5204710</v>
      </c>
      <c r="E3" s="54">
        <f>TrRoad_act!E57</f>
        <v>5264915</v>
      </c>
      <c r="F3" s="54">
        <f>TrRoad_act!F57</f>
        <v>5414493</v>
      </c>
      <c r="G3" s="54">
        <f>TrRoad_act!G57</f>
        <v>5664133</v>
      </c>
      <c r="H3" s="54">
        <f>TrRoad_act!H57</f>
        <v>5901511</v>
      </c>
      <c r="I3" s="54">
        <f>TrRoad_act!I57</f>
        <v>6177883</v>
      </c>
      <c r="J3" s="54">
        <f>TrRoad_act!J57</f>
        <v>6405079</v>
      </c>
      <c r="K3" s="54">
        <f>TrRoad_act!K57</f>
        <v>6419393</v>
      </c>
      <c r="L3" s="54">
        <f>TrRoad_act!L57</f>
        <v>6499060</v>
      </c>
      <c r="M3" s="54">
        <f>TrRoad_act!M57</f>
        <v>6606121</v>
      </c>
      <c r="N3" s="54">
        <f>TrRoad_act!N57</f>
        <v>6771732</v>
      </c>
      <c r="O3" s="54">
        <f>TrRoad_act!O57</f>
        <v>6790944</v>
      </c>
      <c r="P3" s="54">
        <f>TrRoad_act!P57</f>
        <v>6933541</v>
      </c>
      <c r="Q3" s="54">
        <f>TrRoad_act!Q57</f>
        <v>7311352</v>
      </c>
      <c r="R3" s="54">
        <f>TrRoad_act!R57</f>
        <v>7461832</v>
      </c>
      <c r="S3" s="54">
        <f>TrRoad_act!S57</f>
        <v>7736236</v>
      </c>
      <c r="T3" s="54">
        <f>TrRoad_act!T57</f>
        <v>7988375</v>
      </c>
      <c r="U3" s="54">
        <f>TrRoad_act!U57</f>
        <v>8204323</v>
      </c>
      <c r="V3" s="54">
        <f>TrRoad_act!V57</f>
        <v>8350984</v>
      </c>
      <c r="W3" s="54">
        <f>TrRoad_act!W57</f>
        <v>8406936</v>
      </c>
      <c r="X3" s="54">
        <f>TrRoad_act!X57</f>
        <v>8684870</v>
      </c>
      <c r="Y3" s="54">
        <f>TrRoad_act!Y57</f>
        <v>8950730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4711629</v>
      </c>
      <c r="C4" s="28">
        <f>TrRoad_act!C58</f>
        <v>4747757</v>
      </c>
      <c r="D4" s="28">
        <f>TrRoad_act!D58</f>
        <v>4873603</v>
      </c>
      <c r="E4" s="28">
        <f>TrRoad_act!E58</f>
        <v>4917843</v>
      </c>
      <c r="F4" s="28">
        <f>TrRoad_act!F58</f>
        <v>5033187</v>
      </c>
      <c r="G4" s="28">
        <f>TrRoad_act!G58</f>
        <v>5234261</v>
      </c>
      <c r="H4" s="28">
        <f>TrRoad_act!H58</f>
        <v>5422456</v>
      </c>
      <c r="I4" s="28">
        <f>TrRoad_act!I58</f>
        <v>5637356</v>
      </c>
      <c r="J4" s="28">
        <f>TrRoad_act!J58</f>
        <v>5815279</v>
      </c>
      <c r="K4" s="28">
        <f>TrRoad_act!K58</f>
        <v>5831805</v>
      </c>
      <c r="L4" s="28">
        <f>TrRoad_act!L58</f>
        <v>5918467</v>
      </c>
      <c r="M4" s="28">
        <f>TrRoad_act!M58</f>
        <v>6027429</v>
      </c>
      <c r="N4" s="28">
        <f>TrRoad_act!N58</f>
        <v>6184506</v>
      </c>
      <c r="O4" s="28">
        <f>TrRoad_act!O58</f>
        <v>6206564</v>
      </c>
      <c r="P4" s="28">
        <f>TrRoad_act!P58</f>
        <v>6331484</v>
      </c>
      <c r="Q4" s="28">
        <f>TrRoad_act!Q58</f>
        <v>6667676</v>
      </c>
      <c r="R4" s="28">
        <f>TrRoad_act!R58</f>
        <v>6888609</v>
      </c>
      <c r="S4" s="28">
        <f>TrRoad_act!S58</f>
        <v>7147013</v>
      </c>
      <c r="T4" s="28">
        <f>TrRoad_act!T58</f>
        <v>7386716</v>
      </c>
      <c r="U4" s="28">
        <f>TrRoad_act!U58</f>
        <v>7594352</v>
      </c>
      <c r="V4" s="28">
        <f>TrRoad_act!V58</f>
        <v>7749533</v>
      </c>
      <c r="W4" s="28">
        <f>TrRoad_act!W58</f>
        <v>7810342</v>
      </c>
      <c r="X4" s="28">
        <f>TrRoad_act!X58</f>
        <v>8077504</v>
      </c>
      <c r="Y4" s="28">
        <f>TrRoad_act!Y58</f>
        <v>8322895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1178600</v>
      </c>
      <c r="C5" s="137">
        <f>TrRoad_act!C59</f>
        <v>1193500</v>
      </c>
      <c r="D5" s="137">
        <f>TrRoad_act!D59</f>
        <v>1204000</v>
      </c>
      <c r="E5" s="137">
        <f>TrRoad_act!E59</f>
        <v>1190000</v>
      </c>
      <c r="F5" s="137">
        <f>TrRoad_act!F59</f>
        <v>1196000</v>
      </c>
      <c r="G5" s="137">
        <f>TrRoad_act!G59</f>
        <v>1254000</v>
      </c>
      <c r="H5" s="137">
        <f>TrRoad_act!H59</f>
        <v>1292000</v>
      </c>
      <c r="I5" s="137">
        <f>TrRoad_act!I59</f>
        <v>1336000</v>
      </c>
      <c r="J5" s="137">
        <f>TrRoad_act!J59</f>
        <v>1371000</v>
      </c>
      <c r="K5" s="137">
        <f>TrRoad_act!K59</f>
        <v>1376000</v>
      </c>
      <c r="L5" s="137">
        <f>TrRoad_act!L59</f>
        <v>1402000</v>
      </c>
      <c r="M5" s="137">
        <f>TrRoad_act!M59</f>
        <v>1425000</v>
      </c>
      <c r="N5" s="137">
        <f>TrRoad_act!N59</f>
        <v>1458000</v>
      </c>
      <c r="O5" s="137">
        <f>TrRoad_act!O59</f>
        <v>1457061</v>
      </c>
      <c r="P5" s="137">
        <f>TrRoad_act!P59</f>
        <v>1477587</v>
      </c>
      <c r="Q5" s="137">
        <f>TrRoad_act!Q59</f>
        <v>1531693</v>
      </c>
      <c r="R5" s="137">
        <f>TrRoad_act!R59</f>
        <v>1559925</v>
      </c>
      <c r="S5" s="137">
        <f>TrRoad_act!S59</f>
        <v>1587349</v>
      </c>
      <c r="T5" s="137">
        <f>TrRoad_act!T59</f>
        <v>1616776</v>
      </c>
      <c r="U5" s="137">
        <f>TrRoad_act!U59</f>
        <v>1647151</v>
      </c>
      <c r="V5" s="137">
        <f>TrRoad_act!V59</f>
        <v>1680310</v>
      </c>
      <c r="W5" s="137">
        <f>TrRoad_act!W59</f>
        <v>1701057</v>
      </c>
      <c r="X5" s="137">
        <f>TrRoad_act!X59</f>
        <v>1750047</v>
      </c>
      <c r="Y5" s="137">
        <f>TrRoad_act!Y59</f>
        <v>1787977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3510800</v>
      </c>
      <c r="C6" s="110">
        <f>TrRoad_act!C60</f>
        <v>3529800</v>
      </c>
      <c r="D6" s="110">
        <f>TrRoad_act!D60</f>
        <v>3647100</v>
      </c>
      <c r="E6" s="110">
        <f>TrRoad_act!E60</f>
        <v>3706012</v>
      </c>
      <c r="F6" s="110">
        <f>TrRoad_act!F60</f>
        <v>3816000</v>
      </c>
      <c r="G6" s="110">
        <f>TrRoad_act!G60</f>
        <v>3959000</v>
      </c>
      <c r="H6" s="110">
        <f>TrRoad_act!H60</f>
        <v>4109000</v>
      </c>
      <c r="I6" s="110">
        <f>TrRoad_act!I60</f>
        <v>4280000</v>
      </c>
      <c r="J6" s="110">
        <f>TrRoad_act!J60</f>
        <v>4423000</v>
      </c>
      <c r="K6" s="110">
        <f>TrRoad_act!K60</f>
        <v>4435000</v>
      </c>
      <c r="L6" s="110">
        <f>TrRoad_act!L60</f>
        <v>4496000</v>
      </c>
      <c r="M6" s="110">
        <f>TrRoad_act!M60</f>
        <v>4582000</v>
      </c>
      <c r="N6" s="110">
        <f>TrRoad_act!N60</f>
        <v>4706000</v>
      </c>
      <c r="O6" s="110">
        <f>TrRoad_act!O60</f>
        <v>4729185</v>
      </c>
      <c r="P6" s="110">
        <f>TrRoad_act!P60</f>
        <v>4833386</v>
      </c>
      <c r="Q6" s="110">
        <f>TrRoad_act!Q60</f>
        <v>5115316</v>
      </c>
      <c r="R6" s="110">
        <f>TrRoad_act!R60</f>
        <v>5307808</v>
      </c>
      <c r="S6" s="110">
        <f>TrRoad_act!S60</f>
        <v>5538222</v>
      </c>
      <c r="T6" s="110">
        <f>TrRoad_act!T60</f>
        <v>5747913</v>
      </c>
      <c r="U6" s="110">
        <f>TrRoad_act!U60</f>
        <v>5924995</v>
      </c>
      <c r="V6" s="110">
        <f>TrRoad_act!V60</f>
        <v>6049255</v>
      </c>
      <c r="W6" s="110">
        <f>TrRoad_act!W60</f>
        <v>6088730</v>
      </c>
      <c r="X6" s="110">
        <f>TrRoad_act!X60</f>
        <v>6305934</v>
      </c>
      <c r="Y6" s="110">
        <f>TrRoad_act!Y60</f>
        <v>6512774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3054807</v>
      </c>
      <c r="C7" s="84">
        <f>TrRoad_act!C61</f>
        <v>3031646</v>
      </c>
      <c r="D7" s="84">
        <f>TrRoad_act!D61</f>
        <v>3075011</v>
      </c>
      <c r="E7" s="84">
        <f>TrRoad_act!E61</f>
        <v>3058125</v>
      </c>
      <c r="F7" s="84">
        <f>TrRoad_act!F61</f>
        <v>3092067</v>
      </c>
      <c r="G7" s="84">
        <f>TrRoad_act!G61</f>
        <v>3157440</v>
      </c>
      <c r="H7" s="84">
        <f>TrRoad_act!H61</f>
        <v>3211897</v>
      </c>
      <c r="I7" s="84">
        <f>TrRoad_act!I61</f>
        <v>3277840</v>
      </c>
      <c r="J7" s="84">
        <f>TrRoad_act!J61</f>
        <v>3314781</v>
      </c>
      <c r="K7" s="84">
        <f>TrRoad_act!K61</f>
        <v>3228837</v>
      </c>
      <c r="L7" s="84">
        <f>TrRoad_act!L61</f>
        <v>3188322</v>
      </c>
      <c r="M7" s="84">
        <f>TrRoad_act!M61</f>
        <v>3160685</v>
      </c>
      <c r="N7" s="84">
        <f>TrRoad_act!N61</f>
        <v>3104707</v>
      </c>
      <c r="O7" s="84">
        <f>TrRoad_act!O61</f>
        <v>3080888</v>
      </c>
      <c r="P7" s="84">
        <f>TrRoad_act!P61</f>
        <v>3066862</v>
      </c>
      <c r="Q7" s="84">
        <f>TrRoad_act!Q61</f>
        <v>3172041</v>
      </c>
      <c r="R7" s="84">
        <f>TrRoad_act!R61</f>
        <v>3215580</v>
      </c>
      <c r="S7" s="84">
        <f>TrRoad_act!S61</f>
        <v>3305082</v>
      </c>
      <c r="T7" s="84">
        <f>TrRoad_act!T61</f>
        <v>3358336</v>
      </c>
      <c r="U7" s="84">
        <f>TrRoad_act!U61</f>
        <v>3436615</v>
      </c>
      <c r="V7" s="84">
        <f>TrRoad_act!V61</f>
        <v>3483356</v>
      </c>
      <c r="W7" s="84">
        <f>TrRoad_act!W61</f>
        <v>3494209</v>
      </c>
      <c r="X7" s="84">
        <f>TrRoad_act!X61</f>
        <v>3612920</v>
      </c>
      <c r="Y7" s="84">
        <f>TrRoad_act!Y61</f>
        <v>3834582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383993</v>
      </c>
      <c r="C8" s="84">
        <f>TrRoad_act!C62</f>
        <v>423718</v>
      </c>
      <c r="D8" s="84">
        <f>TrRoad_act!D62</f>
        <v>492602</v>
      </c>
      <c r="E8" s="84">
        <f>TrRoad_act!E62</f>
        <v>563796</v>
      </c>
      <c r="F8" s="84">
        <f>TrRoad_act!F62</f>
        <v>631313</v>
      </c>
      <c r="G8" s="84">
        <f>TrRoad_act!G62</f>
        <v>701003</v>
      </c>
      <c r="H8" s="84">
        <f>TrRoad_act!H62</f>
        <v>783983</v>
      </c>
      <c r="I8" s="84">
        <f>TrRoad_act!I62</f>
        <v>875321</v>
      </c>
      <c r="J8" s="84">
        <f>TrRoad_act!J62</f>
        <v>979853</v>
      </c>
      <c r="K8" s="84">
        <f>TrRoad_act!K62</f>
        <v>1069164</v>
      </c>
      <c r="L8" s="84">
        <f>TrRoad_act!L62</f>
        <v>1170496</v>
      </c>
      <c r="M8" s="84">
        <f>TrRoad_act!M62</f>
        <v>1275366</v>
      </c>
      <c r="N8" s="84">
        <f>TrRoad_act!N62</f>
        <v>1431250</v>
      </c>
      <c r="O8" s="84">
        <f>TrRoad_act!O62</f>
        <v>1470155</v>
      </c>
      <c r="P8" s="84">
        <f>TrRoad_act!P62</f>
        <v>1567603</v>
      </c>
      <c r="Q8" s="84">
        <f>TrRoad_act!Q62</f>
        <v>1741073</v>
      </c>
      <c r="R8" s="84">
        <f>TrRoad_act!R62</f>
        <v>1881944</v>
      </c>
      <c r="S8" s="84">
        <f>TrRoad_act!S62</f>
        <v>2024319</v>
      </c>
      <c r="T8" s="84">
        <f>TrRoad_act!T62</f>
        <v>2183788</v>
      </c>
      <c r="U8" s="84">
        <f>TrRoad_act!U62</f>
        <v>2286735</v>
      </c>
      <c r="V8" s="84">
        <f>TrRoad_act!V62</f>
        <v>2365981</v>
      </c>
      <c r="W8" s="84">
        <f>TrRoad_act!W62</f>
        <v>2394164</v>
      </c>
      <c r="X8" s="84">
        <f>TrRoad_act!X62</f>
        <v>2490282</v>
      </c>
      <c r="Y8" s="84">
        <f>TrRoad_act!Y62</f>
        <v>2517657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72000</v>
      </c>
      <c r="C9" s="84">
        <f>TrRoad_act!C63</f>
        <v>74436</v>
      </c>
      <c r="D9" s="84">
        <f>TrRoad_act!D63</f>
        <v>79487</v>
      </c>
      <c r="E9" s="84">
        <f>TrRoad_act!E63</f>
        <v>84091</v>
      </c>
      <c r="F9" s="84">
        <f>TrRoad_act!F63</f>
        <v>92620</v>
      </c>
      <c r="G9" s="84">
        <f>TrRoad_act!G63</f>
        <v>100557</v>
      </c>
      <c r="H9" s="84">
        <f>TrRoad_act!H63</f>
        <v>113120</v>
      </c>
      <c r="I9" s="84">
        <f>TrRoad_act!I63</f>
        <v>126839</v>
      </c>
      <c r="J9" s="84">
        <f>TrRoad_act!J63</f>
        <v>127606</v>
      </c>
      <c r="K9" s="84">
        <f>TrRoad_act!K63</f>
        <v>135827</v>
      </c>
      <c r="L9" s="84">
        <f>TrRoad_act!L63</f>
        <v>135486</v>
      </c>
      <c r="M9" s="84">
        <f>TrRoad_act!M63</f>
        <v>143641</v>
      </c>
      <c r="N9" s="84">
        <f>TrRoad_act!N63</f>
        <v>166898</v>
      </c>
      <c r="O9" s="84">
        <f>TrRoad_act!O63</f>
        <v>173280</v>
      </c>
      <c r="P9" s="84">
        <f>TrRoad_act!P63</f>
        <v>192661</v>
      </c>
      <c r="Q9" s="84">
        <f>TrRoad_act!Q63</f>
        <v>192685</v>
      </c>
      <c r="R9" s="84">
        <f>TrRoad_act!R63</f>
        <v>194612</v>
      </c>
      <c r="S9" s="84">
        <f>TrRoad_act!S63</f>
        <v>188774</v>
      </c>
      <c r="T9" s="84">
        <f>TrRoad_act!T63</f>
        <v>181223</v>
      </c>
      <c r="U9" s="84">
        <f>TrRoad_act!U63</f>
        <v>173974</v>
      </c>
      <c r="V9" s="84">
        <f>TrRoad_act!V63</f>
        <v>167015</v>
      </c>
      <c r="W9" s="84">
        <f>TrRoad_act!W63</f>
        <v>162440</v>
      </c>
      <c r="X9" s="84">
        <f>TrRoad_act!X63</f>
        <v>157239</v>
      </c>
      <c r="Y9" s="84">
        <f>TrRoad_act!Y63</f>
        <v>104064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760</v>
      </c>
      <c r="K10" s="84">
        <f>TrRoad_act!K64</f>
        <v>1172</v>
      </c>
      <c r="L10" s="84">
        <f>TrRoad_act!L64</f>
        <v>1690</v>
      </c>
      <c r="M10" s="84">
        <f>TrRoad_act!M64</f>
        <v>2246</v>
      </c>
      <c r="N10" s="84">
        <f>TrRoad_act!N64</f>
        <v>3054</v>
      </c>
      <c r="O10" s="84">
        <f>TrRoad_act!O64</f>
        <v>4598</v>
      </c>
      <c r="P10" s="84">
        <f>TrRoad_act!P64</f>
        <v>5764</v>
      </c>
      <c r="Q10" s="84">
        <f>TrRoad_act!Q64</f>
        <v>8600</v>
      </c>
      <c r="R10" s="84">
        <f>TrRoad_act!R64</f>
        <v>13970</v>
      </c>
      <c r="S10" s="84">
        <f>TrRoad_act!S64</f>
        <v>17170</v>
      </c>
      <c r="T10" s="84">
        <f>TrRoad_act!T64</f>
        <v>20660</v>
      </c>
      <c r="U10" s="84">
        <f>TrRoad_act!U64</f>
        <v>22448</v>
      </c>
      <c r="V10" s="84">
        <f>TrRoad_act!V64</f>
        <v>23068</v>
      </c>
      <c r="W10" s="84">
        <f>TrRoad_act!W64</f>
        <v>22789</v>
      </c>
      <c r="X10" s="84">
        <f>TrRoad_act!X64</f>
        <v>22847</v>
      </c>
      <c r="Y10" s="84">
        <f>TrRoad_act!Y64</f>
        <v>23023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16</v>
      </c>
      <c r="O11" s="84">
        <f>TrRoad_act!O65</f>
        <v>27</v>
      </c>
      <c r="P11" s="84">
        <f>TrRoad_act!P65</f>
        <v>79</v>
      </c>
      <c r="Q11" s="84">
        <f>TrRoad_act!Q65</f>
        <v>204</v>
      </c>
      <c r="R11" s="84">
        <f>TrRoad_act!R65</f>
        <v>340</v>
      </c>
      <c r="S11" s="84">
        <f>TrRoad_act!S65</f>
        <v>568</v>
      </c>
      <c r="T11" s="84">
        <f>TrRoad_act!T65</f>
        <v>859</v>
      </c>
      <c r="U11" s="84">
        <f>TrRoad_act!U65</f>
        <v>1326</v>
      </c>
      <c r="V11" s="84">
        <f>TrRoad_act!V65</f>
        <v>2726</v>
      </c>
      <c r="W11" s="84">
        <f>TrRoad_act!W65</f>
        <v>5159</v>
      </c>
      <c r="X11" s="84">
        <f>TrRoad_act!X65</f>
        <v>8718</v>
      </c>
      <c r="Y11" s="84">
        <f>TrRoad_act!Y65</f>
        <v>10997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6</v>
      </c>
      <c r="M12" s="84">
        <f>TrRoad_act!M66</f>
        <v>62</v>
      </c>
      <c r="N12" s="84">
        <f>TrRoad_act!N66</f>
        <v>75</v>
      </c>
      <c r="O12" s="84">
        <f>TrRoad_act!O66</f>
        <v>237</v>
      </c>
      <c r="P12" s="84">
        <f>TrRoad_act!P66</f>
        <v>417</v>
      </c>
      <c r="Q12" s="84">
        <f>TrRoad_act!Q66</f>
        <v>713</v>
      </c>
      <c r="R12" s="84">
        <f>TrRoad_act!R66</f>
        <v>1362</v>
      </c>
      <c r="S12" s="84">
        <f>TrRoad_act!S66</f>
        <v>2309</v>
      </c>
      <c r="T12" s="84">
        <f>TrRoad_act!T66</f>
        <v>3047</v>
      </c>
      <c r="U12" s="84">
        <f>TrRoad_act!U66</f>
        <v>3897</v>
      </c>
      <c r="V12" s="84">
        <f>TrRoad_act!V66</f>
        <v>7109</v>
      </c>
      <c r="W12" s="84">
        <f>TrRoad_act!W66</f>
        <v>9969</v>
      </c>
      <c r="X12" s="84">
        <f>TrRoad_act!X66</f>
        <v>13928</v>
      </c>
      <c r="Y12" s="84">
        <f>TrRoad_act!Y66</f>
        <v>22451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22229</v>
      </c>
      <c r="C13" s="110">
        <f>TrRoad_act!C67</f>
        <v>24457</v>
      </c>
      <c r="D13" s="110">
        <f>TrRoad_act!D67</f>
        <v>22503</v>
      </c>
      <c r="E13" s="110">
        <f>TrRoad_act!E67</f>
        <v>21831</v>
      </c>
      <c r="F13" s="110">
        <f>TrRoad_act!F67</f>
        <v>21187</v>
      </c>
      <c r="G13" s="110">
        <f>TrRoad_act!G67</f>
        <v>21261</v>
      </c>
      <c r="H13" s="110">
        <f>TrRoad_act!H67</f>
        <v>21456</v>
      </c>
      <c r="I13" s="110">
        <f>TrRoad_act!I67</f>
        <v>21356</v>
      </c>
      <c r="J13" s="110">
        <f>TrRoad_act!J67</f>
        <v>21279</v>
      </c>
      <c r="K13" s="110">
        <f>TrRoad_act!K67</f>
        <v>20805</v>
      </c>
      <c r="L13" s="110">
        <f>TrRoad_act!L67</f>
        <v>20467</v>
      </c>
      <c r="M13" s="110">
        <f>TrRoad_act!M67</f>
        <v>20429</v>
      </c>
      <c r="N13" s="110">
        <f>TrRoad_act!N67</f>
        <v>20506</v>
      </c>
      <c r="O13" s="110">
        <f>TrRoad_act!O67</f>
        <v>20318</v>
      </c>
      <c r="P13" s="110">
        <f>TrRoad_act!P67</f>
        <v>20511</v>
      </c>
      <c r="Q13" s="110">
        <f>TrRoad_act!Q67</f>
        <v>20667</v>
      </c>
      <c r="R13" s="110">
        <f>TrRoad_act!R67</f>
        <v>20876</v>
      </c>
      <c r="S13" s="110">
        <f>TrRoad_act!S67</f>
        <v>21442</v>
      </c>
      <c r="T13" s="110">
        <f>TrRoad_act!T67</f>
        <v>22027</v>
      </c>
      <c r="U13" s="110">
        <f>TrRoad_act!U67</f>
        <v>22206</v>
      </c>
      <c r="V13" s="110">
        <f>TrRoad_act!V67</f>
        <v>19968</v>
      </c>
      <c r="W13" s="110">
        <f>TrRoad_act!W67</f>
        <v>20555</v>
      </c>
      <c r="X13" s="110">
        <f>TrRoad_act!X67</f>
        <v>21523</v>
      </c>
      <c r="Y13" s="110">
        <f>TrRoad_act!Y67</f>
        <v>22144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3246</v>
      </c>
      <c r="C14" s="102">
        <f>TrRoad_act!C68</f>
        <v>3246</v>
      </c>
      <c r="D14" s="102">
        <f>TrRoad_act!D68</f>
        <v>3243</v>
      </c>
      <c r="E14" s="102">
        <f>TrRoad_act!E68</f>
        <v>2849</v>
      </c>
      <c r="F14" s="102">
        <f>TrRoad_act!F68</f>
        <v>2634</v>
      </c>
      <c r="G14" s="102">
        <f>TrRoad_act!G68</f>
        <v>2493</v>
      </c>
      <c r="H14" s="102">
        <f>TrRoad_act!H68</f>
        <v>2408</v>
      </c>
      <c r="I14" s="102">
        <f>TrRoad_act!I68</f>
        <v>2350</v>
      </c>
      <c r="J14" s="102">
        <f>TrRoad_act!J68</f>
        <v>2215</v>
      </c>
      <c r="K14" s="102">
        <f>TrRoad_act!K68</f>
        <v>2028</v>
      </c>
      <c r="L14" s="102">
        <f>TrRoad_act!L68</f>
        <v>1979</v>
      </c>
      <c r="M14" s="102">
        <f>TrRoad_act!M68</f>
        <v>1950</v>
      </c>
      <c r="N14" s="102">
        <f>TrRoad_act!N68</f>
        <v>1868</v>
      </c>
      <c r="O14" s="102">
        <f>TrRoad_act!O68</f>
        <v>1846</v>
      </c>
      <c r="P14" s="102">
        <f>TrRoad_act!P68</f>
        <v>1811</v>
      </c>
      <c r="Q14" s="102">
        <f>TrRoad_act!Q68</f>
        <v>1779</v>
      </c>
      <c r="R14" s="102">
        <f>TrRoad_act!R68</f>
        <v>1745</v>
      </c>
      <c r="S14" s="102">
        <f>TrRoad_act!S68</f>
        <v>1712</v>
      </c>
      <c r="T14" s="102">
        <f>TrRoad_act!T68</f>
        <v>1679</v>
      </c>
      <c r="U14" s="102">
        <f>TrRoad_act!U68</f>
        <v>1652</v>
      </c>
      <c r="V14" s="102">
        <f>TrRoad_act!V68</f>
        <v>1636</v>
      </c>
      <c r="W14" s="102">
        <f>TrRoad_act!W68</f>
        <v>1614</v>
      </c>
      <c r="X14" s="102">
        <f>TrRoad_act!X68</f>
        <v>1592</v>
      </c>
      <c r="Y14" s="102">
        <f>TrRoad_act!Y68</f>
        <v>1584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17966</v>
      </c>
      <c r="C15" s="102">
        <f>TrRoad_act!C69</f>
        <v>20107</v>
      </c>
      <c r="D15" s="102">
        <f>TrRoad_act!D69</f>
        <v>18014</v>
      </c>
      <c r="E15" s="102">
        <f>TrRoad_act!E69</f>
        <v>17659</v>
      </c>
      <c r="F15" s="102">
        <f>TrRoad_act!F69</f>
        <v>17227</v>
      </c>
      <c r="G15" s="102">
        <f>TrRoad_act!G69</f>
        <v>17449</v>
      </c>
      <c r="H15" s="102">
        <f>TrRoad_act!H69</f>
        <v>17704</v>
      </c>
      <c r="I15" s="102">
        <f>TrRoad_act!I69</f>
        <v>17816</v>
      </c>
      <c r="J15" s="102">
        <f>TrRoad_act!J69</f>
        <v>17876</v>
      </c>
      <c r="K15" s="102">
        <f>TrRoad_act!K69</f>
        <v>17594</v>
      </c>
      <c r="L15" s="102">
        <f>TrRoad_act!L69</f>
        <v>17303</v>
      </c>
      <c r="M15" s="102">
        <f>TrRoad_act!M69</f>
        <v>17301</v>
      </c>
      <c r="N15" s="102">
        <f>TrRoad_act!N69</f>
        <v>17460</v>
      </c>
      <c r="O15" s="102">
        <f>TrRoad_act!O69</f>
        <v>17316</v>
      </c>
      <c r="P15" s="102">
        <f>TrRoad_act!P69</f>
        <v>17468</v>
      </c>
      <c r="Q15" s="102">
        <f>TrRoad_act!Q69</f>
        <v>17337</v>
      </c>
      <c r="R15" s="102">
        <f>TrRoad_act!R69</f>
        <v>17315</v>
      </c>
      <c r="S15" s="102">
        <f>TrRoad_act!S69</f>
        <v>17848</v>
      </c>
      <c r="T15" s="102">
        <f>TrRoad_act!T69</f>
        <v>18269</v>
      </c>
      <c r="U15" s="102">
        <f>TrRoad_act!U69</f>
        <v>18138</v>
      </c>
      <c r="V15" s="102">
        <f>TrRoad_act!V69</f>
        <v>15701</v>
      </c>
      <c r="W15" s="102">
        <f>TrRoad_act!W69</f>
        <v>16377</v>
      </c>
      <c r="X15" s="102">
        <f>TrRoad_act!X69</f>
        <v>17230</v>
      </c>
      <c r="Y15" s="102">
        <f>TrRoad_act!Y69</f>
        <v>17724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7</v>
      </c>
      <c r="W16" s="102">
        <f>TrRoad_act!W70</f>
        <v>7</v>
      </c>
      <c r="X16" s="102">
        <f>TrRoad_act!X70</f>
        <v>7</v>
      </c>
      <c r="Y16" s="102">
        <f>TrRoad_act!Y70</f>
        <v>6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290</v>
      </c>
      <c r="C17" s="102">
        <f>TrRoad_act!C71</f>
        <v>365</v>
      </c>
      <c r="D17" s="102">
        <f>TrRoad_act!D71</f>
        <v>520</v>
      </c>
      <c r="E17" s="102">
        <f>TrRoad_act!E71</f>
        <v>600</v>
      </c>
      <c r="F17" s="102">
        <f>TrRoad_act!F71</f>
        <v>600</v>
      </c>
      <c r="G17" s="102">
        <f>TrRoad_act!G71</f>
        <v>600</v>
      </c>
      <c r="H17" s="102">
        <f>TrRoad_act!H71</f>
        <v>600</v>
      </c>
      <c r="I17" s="102">
        <f>TrRoad_act!I71</f>
        <v>450</v>
      </c>
      <c r="J17" s="102">
        <f>TrRoad_act!J71</f>
        <v>450</v>
      </c>
      <c r="K17" s="102">
        <f>TrRoad_act!K71</f>
        <v>450</v>
      </c>
      <c r="L17" s="102">
        <f>TrRoad_act!L71</f>
        <v>450</v>
      </c>
      <c r="M17" s="102">
        <f>TrRoad_act!M71</f>
        <v>450</v>
      </c>
      <c r="N17" s="102">
        <f>TrRoad_act!N71</f>
        <v>450</v>
      </c>
      <c r="O17" s="102">
        <f>TrRoad_act!O71</f>
        <v>450</v>
      </c>
      <c r="P17" s="102">
        <f>TrRoad_act!P71</f>
        <v>518</v>
      </c>
      <c r="Q17" s="102">
        <f>TrRoad_act!Q71</f>
        <v>820</v>
      </c>
      <c r="R17" s="102">
        <f>TrRoad_act!R71</f>
        <v>1020</v>
      </c>
      <c r="S17" s="102">
        <f>TrRoad_act!S71</f>
        <v>1120</v>
      </c>
      <c r="T17" s="102">
        <f>TrRoad_act!T71</f>
        <v>1234</v>
      </c>
      <c r="U17" s="102">
        <f>TrRoad_act!U71</f>
        <v>1594</v>
      </c>
      <c r="V17" s="102">
        <f>TrRoad_act!V71</f>
        <v>1803</v>
      </c>
      <c r="W17" s="102">
        <f>TrRoad_act!W71</f>
        <v>1806</v>
      </c>
      <c r="X17" s="102">
        <f>TrRoad_act!X71</f>
        <v>1852</v>
      </c>
      <c r="Y17" s="102">
        <f>TrRoad_act!Y71</f>
        <v>1941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727</v>
      </c>
      <c r="C18" s="102">
        <f>TrRoad_act!C72</f>
        <v>739</v>
      </c>
      <c r="D18" s="102">
        <f>TrRoad_act!D72</f>
        <v>726</v>
      </c>
      <c r="E18" s="102">
        <f>TrRoad_act!E72</f>
        <v>723</v>
      </c>
      <c r="F18" s="102">
        <f>TrRoad_act!F72</f>
        <v>726</v>
      </c>
      <c r="G18" s="102">
        <f>TrRoad_act!G72</f>
        <v>719</v>
      </c>
      <c r="H18" s="102">
        <f>TrRoad_act!H72</f>
        <v>744</v>
      </c>
      <c r="I18" s="102">
        <f>TrRoad_act!I72</f>
        <v>740</v>
      </c>
      <c r="J18" s="102">
        <f>TrRoad_act!J72</f>
        <v>738</v>
      </c>
      <c r="K18" s="102">
        <f>TrRoad_act!K72</f>
        <v>733</v>
      </c>
      <c r="L18" s="102">
        <f>TrRoad_act!L72</f>
        <v>735</v>
      </c>
      <c r="M18" s="102">
        <f>TrRoad_act!M72</f>
        <v>728</v>
      </c>
      <c r="N18" s="102">
        <f>TrRoad_act!N72</f>
        <v>728</v>
      </c>
      <c r="O18" s="102">
        <f>TrRoad_act!O72</f>
        <v>706</v>
      </c>
      <c r="P18" s="102">
        <f>TrRoad_act!P72</f>
        <v>714</v>
      </c>
      <c r="Q18" s="102">
        <f>TrRoad_act!Q72</f>
        <v>731</v>
      </c>
      <c r="R18" s="102">
        <f>TrRoad_act!R72</f>
        <v>796</v>
      </c>
      <c r="S18" s="102">
        <f>TrRoad_act!S72</f>
        <v>762</v>
      </c>
      <c r="T18" s="102">
        <f>TrRoad_act!T72</f>
        <v>845</v>
      </c>
      <c r="U18" s="102">
        <f>TrRoad_act!U72</f>
        <v>822</v>
      </c>
      <c r="V18" s="102">
        <f>TrRoad_act!V72</f>
        <v>821</v>
      </c>
      <c r="W18" s="102">
        <f>TrRoad_act!W72</f>
        <v>751</v>
      </c>
      <c r="X18" s="102">
        <f>TrRoad_act!X72</f>
        <v>842</v>
      </c>
      <c r="Y18" s="102">
        <f>TrRoad_act!Y72</f>
        <v>889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289693</v>
      </c>
      <c r="C19" s="28">
        <f>TrRoad_act!C73</f>
        <v>306229</v>
      </c>
      <c r="D19" s="28">
        <f>TrRoad_act!D73</f>
        <v>331107</v>
      </c>
      <c r="E19" s="28">
        <f>TrRoad_act!E73</f>
        <v>347072</v>
      </c>
      <c r="F19" s="28">
        <f>TrRoad_act!F73</f>
        <v>381306</v>
      </c>
      <c r="G19" s="28">
        <f>TrRoad_act!G73</f>
        <v>429872</v>
      </c>
      <c r="H19" s="28">
        <f>TrRoad_act!H73</f>
        <v>479055</v>
      </c>
      <c r="I19" s="28">
        <f>TrRoad_act!I73</f>
        <v>540527</v>
      </c>
      <c r="J19" s="28">
        <f>TrRoad_act!J73</f>
        <v>589800</v>
      </c>
      <c r="K19" s="28">
        <f>TrRoad_act!K73</f>
        <v>587588</v>
      </c>
      <c r="L19" s="28">
        <f>TrRoad_act!L73</f>
        <v>580593</v>
      </c>
      <c r="M19" s="28">
        <f>TrRoad_act!M73</f>
        <v>578692</v>
      </c>
      <c r="N19" s="28">
        <f>TrRoad_act!N73</f>
        <v>587226</v>
      </c>
      <c r="O19" s="28">
        <f>TrRoad_act!O73</f>
        <v>584380</v>
      </c>
      <c r="P19" s="28">
        <f>TrRoad_act!P73</f>
        <v>602057</v>
      </c>
      <c r="Q19" s="28">
        <f>TrRoad_act!Q73</f>
        <v>643676</v>
      </c>
      <c r="R19" s="28">
        <f>TrRoad_act!R73</f>
        <v>573223</v>
      </c>
      <c r="S19" s="28">
        <f>TrRoad_act!S73</f>
        <v>589223</v>
      </c>
      <c r="T19" s="28">
        <f>TrRoad_act!T73</f>
        <v>601659</v>
      </c>
      <c r="U19" s="28">
        <f>TrRoad_act!U73</f>
        <v>609971</v>
      </c>
      <c r="V19" s="28">
        <f>TrRoad_act!V73</f>
        <v>601451</v>
      </c>
      <c r="W19" s="28">
        <f>TrRoad_act!W73</f>
        <v>596594</v>
      </c>
      <c r="X19" s="28">
        <f>TrRoad_act!X73</f>
        <v>607366</v>
      </c>
      <c r="Y19" s="28">
        <f>TrRoad_act!Y73</f>
        <v>627835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150508</v>
      </c>
      <c r="C20" s="137">
        <f>TrRoad_act!C74</f>
        <v>165072</v>
      </c>
      <c r="D20" s="137">
        <f>TrRoad_act!D74</f>
        <v>189826</v>
      </c>
      <c r="E20" s="137">
        <f>TrRoad_act!E74</f>
        <v>216548</v>
      </c>
      <c r="F20" s="137">
        <f>TrRoad_act!F74</f>
        <v>251868</v>
      </c>
      <c r="G20" s="137">
        <f>TrRoad_act!G74</f>
        <v>300311</v>
      </c>
      <c r="H20" s="137">
        <f>TrRoad_act!H74</f>
        <v>351066</v>
      </c>
      <c r="I20" s="137">
        <f>TrRoad_act!I74</f>
        <v>407210</v>
      </c>
      <c r="J20" s="137">
        <f>TrRoad_act!J74</f>
        <v>461888</v>
      </c>
      <c r="K20" s="137">
        <f>TrRoad_act!K74</f>
        <v>466375</v>
      </c>
      <c r="L20" s="137">
        <f>TrRoad_act!L74</f>
        <v>466637</v>
      </c>
      <c r="M20" s="137">
        <f>TrRoad_act!M74</f>
        <v>467582</v>
      </c>
      <c r="N20" s="137">
        <f>TrRoad_act!N74</f>
        <v>467672</v>
      </c>
      <c r="O20" s="137">
        <f>TrRoad_act!O74</f>
        <v>466056</v>
      </c>
      <c r="P20" s="137">
        <f>TrRoad_act!P74</f>
        <v>479183</v>
      </c>
      <c r="Q20" s="137">
        <f>TrRoad_act!Q74</f>
        <v>510344</v>
      </c>
      <c r="R20" s="137">
        <f>TrRoad_act!R74</f>
        <v>429780</v>
      </c>
      <c r="S20" s="137">
        <f>TrRoad_act!S74</f>
        <v>436241</v>
      </c>
      <c r="T20" s="137">
        <f>TrRoad_act!T74</f>
        <v>441303</v>
      </c>
      <c r="U20" s="137">
        <f>TrRoad_act!U74</f>
        <v>444203</v>
      </c>
      <c r="V20" s="137">
        <f>TrRoad_act!V74</f>
        <v>446122</v>
      </c>
      <c r="W20" s="137">
        <f>TrRoad_act!W74</f>
        <v>443860</v>
      </c>
      <c r="X20" s="137">
        <f>TrRoad_act!X74</f>
        <v>449090</v>
      </c>
      <c r="Y20" s="137">
        <f>TrRoad_act!Y74</f>
        <v>468073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48601</v>
      </c>
      <c r="C21" s="84">
        <f>TrRoad_act!C75</f>
        <v>52981</v>
      </c>
      <c r="D21" s="84">
        <f>TrRoad_act!D75</f>
        <v>59840</v>
      </c>
      <c r="E21" s="84">
        <f>TrRoad_act!E75</f>
        <v>59929</v>
      </c>
      <c r="F21" s="84">
        <f>TrRoad_act!F75</f>
        <v>62683</v>
      </c>
      <c r="G21" s="84">
        <f>TrRoad_act!G75</f>
        <v>69268</v>
      </c>
      <c r="H21" s="84">
        <f>TrRoad_act!H75</f>
        <v>81299</v>
      </c>
      <c r="I21" s="84">
        <f>TrRoad_act!I75</f>
        <v>93383</v>
      </c>
      <c r="J21" s="84">
        <f>TrRoad_act!J75</f>
        <v>103323</v>
      </c>
      <c r="K21" s="84">
        <f>TrRoad_act!K75</f>
        <v>100721</v>
      </c>
      <c r="L21" s="84">
        <f>TrRoad_act!L75</f>
        <v>97721</v>
      </c>
      <c r="M21" s="84">
        <f>TrRoad_act!M75</f>
        <v>94802</v>
      </c>
      <c r="N21" s="84">
        <f>TrRoad_act!N75</f>
        <v>91508</v>
      </c>
      <c r="O21" s="84">
        <f>TrRoad_act!O75</f>
        <v>91040</v>
      </c>
      <c r="P21" s="84">
        <f>TrRoad_act!P75</f>
        <v>93201</v>
      </c>
      <c r="Q21" s="84">
        <f>TrRoad_act!Q75</f>
        <v>98766</v>
      </c>
      <c r="R21" s="84">
        <f>TrRoad_act!R75</f>
        <v>99303</v>
      </c>
      <c r="S21" s="84">
        <f>TrRoad_act!S75</f>
        <v>100047</v>
      </c>
      <c r="T21" s="84">
        <f>TrRoad_act!T75</f>
        <v>100626</v>
      </c>
      <c r="U21" s="84">
        <f>TrRoad_act!U75</f>
        <v>100959</v>
      </c>
      <c r="V21" s="84">
        <f>TrRoad_act!V75</f>
        <v>101177</v>
      </c>
      <c r="W21" s="84">
        <f>TrRoad_act!W75</f>
        <v>100930</v>
      </c>
      <c r="X21" s="84">
        <f>TrRoad_act!X75</f>
        <v>101523</v>
      </c>
      <c r="Y21" s="84">
        <f>TrRoad_act!Y75</f>
        <v>104098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94907</v>
      </c>
      <c r="C22" s="84">
        <f>TrRoad_act!C76</f>
        <v>105252</v>
      </c>
      <c r="D22" s="84">
        <f>TrRoad_act!D76</f>
        <v>123026</v>
      </c>
      <c r="E22" s="84">
        <f>TrRoad_act!E76</f>
        <v>149534</v>
      </c>
      <c r="F22" s="84">
        <f>TrRoad_act!F76</f>
        <v>181748</v>
      </c>
      <c r="G22" s="84">
        <f>TrRoad_act!G76</f>
        <v>223361</v>
      </c>
      <c r="H22" s="84">
        <f>TrRoad_act!H76</f>
        <v>261550</v>
      </c>
      <c r="I22" s="84">
        <f>TrRoad_act!I76</f>
        <v>304984</v>
      </c>
      <c r="J22" s="84">
        <f>TrRoad_act!J76</f>
        <v>349988</v>
      </c>
      <c r="K22" s="84">
        <f>TrRoad_act!K76</f>
        <v>356833</v>
      </c>
      <c r="L22" s="84">
        <f>TrRoad_act!L76</f>
        <v>360450</v>
      </c>
      <c r="M22" s="84">
        <f>TrRoad_act!M76</f>
        <v>364191</v>
      </c>
      <c r="N22" s="84">
        <f>TrRoad_act!N76</f>
        <v>366145</v>
      </c>
      <c r="O22" s="84">
        <f>TrRoad_act!O76</f>
        <v>364272</v>
      </c>
      <c r="P22" s="84">
        <f>TrRoad_act!P76</f>
        <v>372918</v>
      </c>
      <c r="Q22" s="84">
        <f>TrRoad_act!Q76</f>
        <v>395186</v>
      </c>
      <c r="R22" s="84">
        <f>TrRoad_act!R76</f>
        <v>310661</v>
      </c>
      <c r="S22" s="84">
        <f>TrRoad_act!S76</f>
        <v>313715</v>
      </c>
      <c r="T22" s="84">
        <f>TrRoad_act!T76</f>
        <v>315831</v>
      </c>
      <c r="U22" s="84">
        <f>TrRoad_act!U76</f>
        <v>316947</v>
      </c>
      <c r="V22" s="84">
        <f>TrRoad_act!V76</f>
        <v>317608</v>
      </c>
      <c r="W22" s="84">
        <f>TrRoad_act!W76</f>
        <v>315143</v>
      </c>
      <c r="X22" s="84">
        <f>TrRoad_act!X76</f>
        <v>320576</v>
      </c>
      <c r="Y22" s="84">
        <f>TrRoad_act!Y76</f>
        <v>338092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7000</v>
      </c>
      <c r="C23" s="84">
        <f>TrRoad_act!C77</f>
        <v>6839</v>
      </c>
      <c r="D23" s="84">
        <f>TrRoad_act!D77</f>
        <v>6960</v>
      </c>
      <c r="E23" s="84">
        <f>TrRoad_act!E77</f>
        <v>7085</v>
      </c>
      <c r="F23" s="84">
        <f>TrRoad_act!F77</f>
        <v>7437</v>
      </c>
      <c r="G23" s="84">
        <f>TrRoad_act!G77</f>
        <v>7682</v>
      </c>
      <c r="H23" s="84">
        <f>TrRoad_act!H77</f>
        <v>8217</v>
      </c>
      <c r="I23" s="84">
        <f>TrRoad_act!I77</f>
        <v>8843</v>
      </c>
      <c r="J23" s="84">
        <f>TrRoad_act!J77</f>
        <v>8538</v>
      </c>
      <c r="K23" s="84">
        <f>TrRoad_act!K77</f>
        <v>8780</v>
      </c>
      <c r="L23" s="84">
        <f>TrRoad_act!L77</f>
        <v>8421</v>
      </c>
      <c r="M23" s="84">
        <f>TrRoad_act!M77</f>
        <v>8540</v>
      </c>
      <c r="N23" s="84">
        <f>TrRoad_act!N77</f>
        <v>9506</v>
      </c>
      <c r="O23" s="84">
        <f>TrRoad_act!O77</f>
        <v>9870</v>
      </c>
      <c r="P23" s="84">
        <f>TrRoad_act!P77</f>
        <v>10974</v>
      </c>
      <c r="Q23" s="84">
        <f>TrRoad_act!Q77</f>
        <v>10975</v>
      </c>
      <c r="R23" s="84">
        <f>TrRoad_act!R77</f>
        <v>11625</v>
      </c>
      <c r="S23" s="84">
        <f>TrRoad_act!S77</f>
        <v>11375</v>
      </c>
      <c r="T23" s="84">
        <f>TrRoad_act!T77</f>
        <v>11225</v>
      </c>
      <c r="U23" s="84">
        <f>TrRoad_act!U77</f>
        <v>10225</v>
      </c>
      <c r="V23" s="84">
        <f>TrRoad_act!V77</f>
        <v>9225</v>
      </c>
      <c r="W23" s="84">
        <f>TrRoad_act!W77</f>
        <v>8225</v>
      </c>
      <c r="X23" s="84">
        <f>TrRoad_act!X77</f>
        <v>7225</v>
      </c>
      <c r="Y23" s="84">
        <f>TrRoad_act!Y77</f>
        <v>6225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443</v>
      </c>
      <c r="O24" s="84">
        <f>TrRoad_act!O78</f>
        <v>792</v>
      </c>
      <c r="P24" s="84">
        <f>TrRoad_act!P78</f>
        <v>1997</v>
      </c>
      <c r="Q24" s="84">
        <f>TrRoad_act!Q78</f>
        <v>5308</v>
      </c>
      <c r="R24" s="84">
        <f>TrRoad_act!R78</f>
        <v>8062</v>
      </c>
      <c r="S24" s="84">
        <f>TrRoad_act!S78</f>
        <v>10948</v>
      </c>
      <c r="T24" s="84">
        <f>TrRoad_act!T78</f>
        <v>13406</v>
      </c>
      <c r="U24" s="84">
        <f>TrRoad_act!U78</f>
        <v>15729</v>
      </c>
      <c r="V24" s="84">
        <f>TrRoad_act!V78</f>
        <v>17651</v>
      </c>
      <c r="W24" s="84">
        <f>TrRoad_act!W78</f>
        <v>18818</v>
      </c>
      <c r="X24" s="84">
        <f>TrRoad_act!X78</f>
        <v>18896</v>
      </c>
      <c r="Y24" s="84">
        <f>TrRoad_act!Y78</f>
        <v>18276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39</v>
      </c>
      <c r="K25" s="84">
        <f>TrRoad_act!K79</f>
        <v>41</v>
      </c>
      <c r="L25" s="84">
        <f>TrRoad_act!L79</f>
        <v>45</v>
      </c>
      <c r="M25" s="84">
        <f>TrRoad_act!M79</f>
        <v>49</v>
      </c>
      <c r="N25" s="84">
        <f>TrRoad_act!N79</f>
        <v>70</v>
      </c>
      <c r="O25" s="84">
        <f>TrRoad_act!O79</f>
        <v>82</v>
      </c>
      <c r="P25" s="84">
        <f>TrRoad_act!P79</f>
        <v>93</v>
      </c>
      <c r="Q25" s="84">
        <f>TrRoad_act!Q79</f>
        <v>109</v>
      </c>
      <c r="R25" s="84">
        <f>TrRoad_act!R79</f>
        <v>129</v>
      </c>
      <c r="S25" s="84">
        <f>TrRoad_act!S79</f>
        <v>156</v>
      </c>
      <c r="T25" s="84">
        <f>TrRoad_act!T79</f>
        <v>215</v>
      </c>
      <c r="U25" s="84">
        <f>TrRoad_act!U79</f>
        <v>343</v>
      </c>
      <c r="V25" s="84">
        <f>TrRoad_act!V79</f>
        <v>461</v>
      </c>
      <c r="W25" s="84">
        <f>TrRoad_act!W79</f>
        <v>744</v>
      </c>
      <c r="X25" s="84">
        <f>TrRoad_act!X79</f>
        <v>870</v>
      </c>
      <c r="Y25" s="84">
        <f>TrRoad_act!Y79</f>
        <v>1382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139185</v>
      </c>
      <c r="C26" s="110">
        <f>TrRoad_act!C80</f>
        <v>141157</v>
      </c>
      <c r="D26" s="110">
        <f>TrRoad_act!D80</f>
        <v>141281</v>
      </c>
      <c r="E26" s="110">
        <f>TrRoad_act!E80</f>
        <v>130524</v>
      </c>
      <c r="F26" s="110">
        <f>TrRoad_act!F80</f>
        <v>129438</v>
      </c>
      <c r="G26" s="110">
        <f>TrRoad_act!G80</f>
        <v>129561</v>
      </c>
      <c r="H26" s="110">
        <f>TrRoad_act!H80</f>
        <v>127989</v>
      </c>
      <c r="I26" s="110">
        <f>TrRoad_act!I80</f>
        <v>133317</v>
      </c>
      <c r="J26" s="110">
        <f>TrRoad_act!J80</f>
        <v>127912</v>
      </c>
      <c r="K26" s="110">
        <f>TrRoad_act!K80</f>
        <v>121213</v>
      </c>
      <c r="L26" s="110">
        <f>TrRoad_act!L80</f>
        <v>113956</v>
      </c>
      <c r="M26" s="110">
        <f>TrRoad_act!M80</f>
        <v>111110</v>
      </c>
      <c r="N26" s="110">
        <f>TrRoad_act!N80</f>
        <v>119554</v>
      </c>
      <c r="O26" s="110">
        <f>TrRoad_act!O80</f>
        <v>118324</v>
      </c>
      <c r="P26" s="110">
        <f>TrRoad_act!P80</f>
        <v>122874</v>
      </c>
      <c r="Q26" s="110">
        <f>TrRoad_act!Q80</f>
        <v>133332</v>
      </c>
      <c r="R26" s="110">
        <f>TrRoad_act!R80</f>
        <v>143443</v>
      </c>
      <c r="S26" s="110">
        <f>TrRoad_act!S80</f>
        <v>152982</v>
      </c>
      <c r="T26" s="110">
        <f>TrRoad_act!T80</f>
        <v>160356</v>
      </c>
      <c r="U26" s="110">
        <f>TrRoad_act!U80</f>
        <v>165768</v>
      </c>
      <c r="V26" s="110">
        <f>TrRoad_act!V80</f>
        <v>155329</v>
      </c>
      <c r="W26" s="110">
        <f>TrRoad_act!W80</f>
        <v>152734</v>
      </c>
      <c r="X26" s="110">
        <f>TrRoad_act!X80</f>
        <v>158276</v>
      </c>
      <c r="Y26" s="110">
        <f>TrRoad_act!Y80</f>
        <v>159762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129198</v>
      </c>
      <c r="C27" s="102">
        <f>TrRoad_act!C81</f>
        <v>130449</v>
      </c>
      <c r="D27" s="102">
        <f>TrRoad_act!D81</f>
        <v>130016</v>
      </c>
      <c r="E27" s="102">
        <f>TrRoad_act!E81</f>
        <v>119010</v>
      </c>
      <c r="F27" s="102">
        <f>TrRoad_act!F81</f>
        <v>115824</v>
      </c>
      <c r="G27" s="102">
        <f>TrRoad_act!G81</f>
        <v>115467</v>
      </c>
      <c r="H27" s="102">
        <f>TrRoad_act!H81</f>
        <v>113279</v>
      </c>
      <c r="I27" s="102">
        <f>TrRoad_act!I81</f>
        <v>118186</v>
      </c>
      <c r="J27" s="102">
        <f>TrRoad_act!J81</f>
        <v>113700</v>
      </c>
      <c r="K27" s="102">
        <f>TrRoad_act!K81</f>
        <v>107780</v>
      </c>
      <c r="L27" s="102">
        <f>TrRoad_act!L81</f>
        <v>99670</v>
      </c>
      <c r="M27" s="102">
        <f>TrRoad_act!M81</f>
        <v>95979</v>
      </c>
      <c r="N27" s="102">
        <f>TrRoad_act!N81</f>
        <v>104471</v>
      </c>
      <c r="O27" s="102">
        <f>TrRoad_act!O81</f>
        <v>101629</v>
      </c>
      <c r="P27" s="102">
        <f>TrRoad_act!P81</f>
        <v>106071</v>
      </c>
      <c r="Q27" s="102">
        <f>TrRoad_act!Q81</f>
        <v>115281</v>
      </c>
      <c r="R27" s="102">
        <f>TrRoad_act!R81</f>
        <v>125704</v>
      </c>
      <c r="S27" s="102">
        <f>TrRoad_act!S81</f>
        <v>135203</v>
      </c>
      <c r="T27" s="102">
        <f>TrRoad_act!T81</f>
        <v>143801</v>
      </c>
      <c r="U27" s="102">
        <f>TrRoad_act!U81</f>
        <v>148502</v>
      </c>
      <c r="V27" s="102">
        <f>TrRoad_act!V81</f>
        <v>135436</v>
      </c>
      <c r="W27" s="102">
        <f>TrRoad_act!W81</f>
        <v>131501</v>
      </c>
      <c r="X27" s="102">
        <f>TrRoad_act!X81</f>
        <v>135739</v>
      </c>
      <c r="Y27" s="102">
        <f>TrRoad_act!Y81</f>
        <v>137885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9987</v>
      </c>
      <c r="C28" s="86">
        <f>TrRoad_act!C82</f>
        <v>10708</v>
      </c>
      <c r="D28" s="86">
        <f>TrRoad_act!D82</f>
        <v>11265</v>
      </c>
      <c r="E28" s="86">
        <f>TrRoad_act!E82</f>
        <v>11514</v>
      </c>
      <c r="F28" s="86">
        <f>TrRoad_act!F82</f>
        <v>13614</v>
      </c>
      <c r="G28" s="86">
        <f>TrRoad_act!G82</f>
        <v>14094</v>
      </c>
      <c r="H28" s="86">
        <f>TrRoad_act!H82</f>
        <v>14710</v>
      </c>
      <c r="I28" s="86">
        <f>TrRoad_act!I82</f>
        <v>15131</v>
      </c>
      <c r="J28" s="86">
        <f>TrRoad_act!J82</f>
        <v>14212</v>
      </c>
      <c r="K28" s="86">
        <f>TrRoad_act!K82</f>
        <v>13433</v>
      </c>
      <c r="L28" s="86">
        <f>TrRoad_act!L82</f>
        <v>14286</v>
      </c>
      <c r="M28" s="86">
        <f>TrRoad_act!M82</f>
        <v>15131</v>
      </c>
      <c r="N28" s="86">
        <f>TrRoad_act!N82</f>
        <v>15083</v>
      </c>
      <c r="O28" s="86">
        <f>TrRoad_act!O82</f>
        <v>16695</v>
      </c>
      <c r="P28" s="86">
        <f>TrRoad_act!P82</f>
        <v>16803</v>
      </c>
      <c r="Q28" s="86">
        <f>TrRoad_act!Q82</f>
        <v>18051</v>
      </c>
      <c r="R28" s="86">
        <f>TrRoad_act!R82</f>
        <v>17739</v>
      </c>
      <c r="S28" s="86">
        <f>TrRoad_act!S82</f>
        <v>17779</v>
      </c>
      <c r="T28" s="86">
        <f>TrRoad_act!T82</f>
        <v>16555</v>
      </c>
      <c r="U28" s="86">
        <f>TrRoad_act!U82</f>
        <v>17266</v>
      </c>
      <c r="V28" s="86">
        <f>TrRoad_act!V82</f>
        <v>19893</v>
      </c>
      <c r="W28" s="86">
        <f>TrRoad_act!W82</f>
        <v>21233</v>
      </c>
      <c r="X28" s="86">
        <f>TrRoad_act!X82</f>
        <v>22537</v>
      </c>
      <c r="Y28" s="86">
        <f>TrRoad_act!Y82</f>
        <v>21877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281327</v>
      </c>
      <c r="C30" s="54">
        <f>TrRoad_act!C111</f>
        <v>323538</v>
      </c>
      <c r="D30" s="54">
        <f>TrRoad_act!D111</f>
        <v>377392</v>
      </c>
      <c r="E30" s="54">
        <f>TrRoad_act!E111</f>
        <v>315215</v>
      </c>
      <c r="F30" s="54">
        <f>TrRoad_act!F111</f>
        <v>372992</v>
      </c>
      <c r="G30" s="54">
        <f>TrRoad_act!G111</f>
        <v>520384</v>
      </c>
      <c r="H30" s="54">
        <f>TrRoad_act!H111</f>
        <v>518055</v>
      </c>
      <c r="I30" s="54">
        <f>TrRoad_act!I111</f>
        <v>577267</v>
      </c>
      <c r="J30" s="54">
        <f>TrRoad_act!J111</f>
        <v>517102</v>
      </c>
      <c r="K30" s="54">
        <f>TrRoad_act!K111</f>
        <v>354988</v>
      </c>
      <c r="L30" s="54">
        <f>TrRoad_act!L111</f>
        <v>390382</v>
      </c>
      <c r="M30" s="54">
        <f>TrRoad_act!M111</f>
        <v>398802</v>
      </c>
      <c r="N30" s="54">
        <f>TrRoad_act!N111</f>
        <v>440236</v>
      </c>
      <c r="O30" s="54">
        <f>TrRoad_act!O111</f>
        <v>345151</v>
      </c>
      <c r="P30" s="54">
        <f>TrRoad_act!P111</f>
        <v>430323</v>
      </c>
      <c r="Q30" s="54">
        <f>TrRoad_act!Q111</f>
        <v>778492</v>
      </c>
      <c r="R30" s="54">
        <f>TrRoad_act!R111</f>
        <v>575267</v>
      </c>
      <c r="S30" s="54">
        <f>TrRoad_act!S111</f>
        <v>650165</v>
      </c>
      <c r="T30" s="54">
        <f>TrRoad_act!T111</f>
        <v>623669</v>
      </c>
      <c r="U30" s="54">
        <f>TrRoad_act!U111</f>
        <v>573798</v>
      </c>
      <c r="V30" s="54">
        <f>TrRoad_act!V111</f>
        <v>487339</v>
      </c>
      <c r="W30" s="54">
        <f>TrRoad_act!W111</f>
        <v>456693</v>
      </c>
      <c r="X30" s="54">
        <f>TrRoad_act!X111</f>
        <v>676408</v>
      </c>
      <c r="Y30" s="54">
        <f>TrRoad_act!Y111</f>
        <v>656842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249511</v>
      </c>
      <c r="C31" s="28">
        <f>TrRoad_act!C112</f>
        <v>294641</v>
      </c>
      <c r="D31" s="28">
        <f>TrRoad_act!D112</f>
        <v>335571</v>
      </c>
      <c r="E31" s="28">
        <f>TrRoad_act!E112</f>
        <v>276748</v>
      </c>
      <c r="F31" s="28">
        <f>TrRoad_act!F112</f>
        <v>321770</v>
      </c>
      <c r="G31" s="28">
        <f>TrRoad_act!G112</f>
        <v>451304</v>
      </c>
      <c r="H31" s="28">
        <f>TrRoad_act!H112</f>
        <v>441862</v>
      </c>
      <c r="I31" s="28">
        <f>TrRoad_act!I112</f>
        <v>492164</v>
      </c>
      <c r="J31" s="28">
        <f>TrRoad_act!J112</f>
        <v>436674</v>
      </c>
      <c r="K31" s="28">
        <f>TrRoad_act!K112</f>
        <v>328120</v>
      </c>
      <c r="L31" s="28">
        <f>TrRoad_act!L112</f>
        <v>358890</v>
      </c>
      <c r="M31" s="28">
        <f>TrRoad_act!M112</f>
        <v>362580</v>
      </c>
      <c r="N31" s="28">
        <f>TrRoad_act!N112</f>
        <v>410501</v>
      </c>
      <c r="O31" s="28">
        <f>TrRoad_act!O112</f>
        <v>317013</v>
      </c>
      <c r="P31" s="28">
        <f>TrRoad_act!P112</f>
        <v>394878</v>
      </c>
      <c r="Q31" s="28">
        <f>TrRoad_act!Q112</f>
        <v>721885</v>
      </c>
      <c r="R31" s="28">
        <f>TrRoad_act!R112</f>
        <v>539579</v>
      </c>
      <c r="S31" s="28">
        <f>TrRoad_act!S112</f>
        <v>611104</v>
      </c>
      <c r="T31" s="28">
        <f>TrRoad_act!T112</f>
        <v>583010</v>
      </c>
      <c r="U31" s="28">
        <f>TrRoad_act!U112</f>
        <v>533941</v>
      </c>
      <c r="V31" s="28">
        <f>TrRoad_act!V112</f>
        <v>450435</v>
      </c>
      <c r="W31" s="28">
        <f>TrRoad_act!W112</f>
        <v>421168</v>
      </c>
      <c r="X31" s="28">
        <f>TrRoad_act!X112</f>
        <v>638987</v>
      </c>
      <c r="Y31" s="28">
        <f>TrRoad_act!Y112</f>
        <v>613073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5063</v>
      </c>
      <c r="C32" s="137">
        <f>TrRoad_act!C113</f>
        <v>42678</v>
      </c>
      <c r="D32" s="137">
        <f>TrRoad_act!D113</f>
        <v>37207</v>
      </c>
      <c r="E32" s="137">
        <f>TrRoad_act!E113</f>
        <v>7806</v>
      </c>
      <c r="F32" s="137">
        <f>TrRoad_act!F113</f>
        <v>31244</v>
      </c>
      <c r="G32" s="137">
        <f>TrRoad_act!G113</f>
        <v>99481</v>
      </c>
      <c r="H32" s="137">
        <f>TrRoad_act!H113</f>
        <v>74421</v>
      </c>
      <c r="I32" s="137">
        <f>TrRoad_act!I113</f>
        <v>83028</v>
      </c>
      <c r="J32" s="137">
        <f>TrRoad_act!J113</f>
        <v>72102</v>
      </c>
      <c r="K32" s="137">
        <f>TrRoad_act!K113</f>
        <v>33490</v>
      </c>
      <c r="L32" s="137">
        <f>TrRoad_act!L113</f>
        <v>61098</v>
      </c>
      <c r="M32" s="137">
        <f>TrRoad_act!M113</f>
        <v>57679</v>
      </c>
      <c r="N32" s="137">
        <f>TrRoad_act!N113</f>
        <v>71231</v>
      </c>
      <c r="O32" s="137">
        <f>TrRoad_act!O113</f>
        <v>27420</v>
      </c>
      <c r="P32" s="137">
        <f>TrRoad_act!P113</f>
        <v>55520</v>
      </c>
      <c r="Q32" s="137">
        <f>TrRoad_act!Q113</f>
        <v>99914</v>
      </c>
      <c r="R32" s="137">
        <f>TrRoad_act!R113</f>
        <v>67081</v>
      </c>
      <c r="S32" s="137">
        <f>TrRoad_act!S113</f>
        <v>66578</v>
      </c>
      <c r="T32" s="137">
        <f>TrRoad_act!T113</f>
        <v>69740</v>
      </c>
      <c r="U32" s="137">
        <f>TrRoad_act!U113</f>
        <v>71561</v>
      </c>
      <c r="V32" s="137">
        <f>TrRoad_act!V113</f>
        <v>75804</v>
      </c>
      <c r="W32" s="137">
        <f>TrRoad_act!W113</f>
        <v>60197</v>
      </c>
      <c r="X32" s="137">
        <f>TrRoad_act!X113</f>
        <v>97603</v>
      </c>
      <c r="Y32" s="137">
        <f>TrRoad_act!Y113</f>
        <v>84077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244149</v>
      </c>
      <c r="C33" s="110">
        <f>TrRoad_act!C114</f>
        <v>249382</v>
      </c>
      <c r="D33" s="110">
        <f>TrRoad_act!D114</f>
        <v>297890</v>
      </c>
      <c r="E33" s="110">
        <f>TrRoad_act!E114</f>
        <v>267717</v>
      </c>
      <c r="F33" s="110">
        <f>TrRoad_act!F114</f>
        <v>288969</v>
      </c>
      <c r="G33" s="110">
        <f>TrRoad_act!G114</f>
        <v>350690</v>
      </c>
      <c r="H33" s="110">
        <f>TrRoad_act!H114</f>
        <v>366245</v>
      </c>
      <c r="I33" s="110">
        <f>TrRoad_act!I114</f>
        <v>407925</v>
      </c>
      <c r="J33" s="110">
        <f>TrRoad_act!J114</f>
        <v>363108</v>
      </c>
      <c r="K33" s="110">
        <f>TrRoad_act!K114</f>
        <v>293489</v>
      </c>
      <c r="L33" s="110">
        <f>TrRoad_act!L114</f>
        <v>296765</v>
      </c>
      <c r="M33" s="110">
        <f>TrRoad_act!M114</f>
        <v>303791</v>
      </c>
      <c r="N33" s="110">
        <f>TrRoad_act!N114</f>
        <v>337895</v>
      </c>
      <c r="O33" s="110">
        <f>TrRoad_act!O114</f>
        <v>288097</v>
      </c>
      <c r="P33" s="110">
        <f>TrRoad_act!P114</f>
        <v>337615</v>
      </c>
      <c r="Q33" s="110">
        <f>TrRoad_act!Q114</f>
        <v>620254</v>
      </c>
      <c r="R33" s="110">
        <f>TrRoad_act!R114</f>
        <v>471139</v>
      </c>
      <c r="S33" s="110">
        <f>TrRoad_act!S114</f>
        <v>542554</v>
      </c>
      <c r="T33" s="110">
        <f>TrRoad_act!T114</f>
        <v>512337</v>
      </c>
      <c r="U33" s="110">
        <f>TrRoad_act!U114</f>
        <v>460777</v>
      </c>
      <c r="V33" s="110">
        <f>TrRoad_act!V114</f>
        <v>372986</v>
      </c>
      <c r="W33" s="110">
        <f>TrRoad_act!W114</f>
        <v>359445</v>
      </c>
      <c r="X33" s="110">
        <f>TrRoad_act!X114</f>
        <v>539936</v>
      </c>
      <c r="Y33" s="110">
        <f>TrRoad_act!Y114</f>
        <v>527501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135901</v>
      </c>
      <c r="C34" s="84">
        <f>TrRoad_act!C115</f>
        <v>139875</v>
      </c>
      <c r="D34" s="84">
        <f>TrRoad_act!D115</f>
        <v>166721</v>
      </c>
      <c r="E34" s="84">
        <f>TrRoad_act!E115</f>
        <v>149337</v>
      </c>
      <c r="F34" s="84">
        <f>TrRoad_act!F115</f>
        <v>157664</v>
      </c>
      <c r="G34" s="84">
        <f>TrRoad_act!G115</f>
        <v>194260</v>
      </c>
      <c r="H34" s="84">
        <f>TrRoad_act!H115</f>
        <v>198589</v>
      </c>
      <c r="I34" s="84">
        <f>TrRoad_act!I115</f>
        <v>221748</v>
      </c>
      <c r="J34" s="84">
        <f>TrRoad_act!J115</f>
        <v>207374</v>
      </c>
      <c r="K34" s="84">
        <f>TrRoad_act!K115</f>
        <v>159029</v>
      </c>
      <c r="L34" s="84">
        <f>TrRoad_act!L115</f>
        <v>169155</v>
      </c>
      <c r="M34" s="84">
        <f>TrRoad_act!M115</f>
        <v>164478</v>
      </c>
      <c r="N34" s="84">
        <f>TrRoad_act!N115</f>
        <v>151397</v>
      </c>
      <c r="O34" s="84">
        <f>TrRoad_act!O115</f>
        <v>125393</v>
      </c>
      <c r="P34" s="84">
        <f>TrRoad_act!P115</f>
        <v>171525</v>
      </c>
      <c r="Q34" s="84">
        <f>TrRoad_act!Q115</f>
        <v>356519</v>
      </c>
      <c r="R34" s="84">
        <f>TrRoad_act!R115</f>
        <v>265865</v>
      </c>
      <c r="S34" s="84">
        <f>TrRoad_act!S115</f>
        <v>317112</v>
      </c>
      <c r="T34" s="84">
        <f>TrRoad_act!T115</f>
        <v>299622</v>
      </c>
      <c r="U34" s="84">
        <f>TrRoad_act!U115</f>
        <v>270707</v>
      </c>
      <c r="V34" s="84">
        <f>TrRoad_act!V115</f>
        <v>214236</v>
      </c>
      <c r="W34" s="84">
        <f>TrRoad_act!W115</f>
        <v>203181</v>
      </c>
      <c r="X34" s="84">
        <f>TrRoad_act!X115</f>
        <v>306242</v>
      </c>
      <c r="Y34" s="84">
        <f>TrRoad_act!Y115</f>
        <v>292599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101391</v>
      </c>
      <c r="C35" s="84">
        <f>TrRoad_act!C116</f>
        <v>103739</v>
      </c>
      <c r="D35" s="84">
        <f>TrRoad_act!D116</f>
        <v>123726</v>
      </c>
      <c r="E35" s="84">
        <f>TrRoad_act!E116</f>
        <v>111023</v>
      </c>
      <c r="F35" s="84">
        <f>TrRoad_act!F116</f>
        <v>119651</v>
      </c>
      <c r="G35" s="84">
        <f>TrRoad_act!G116</f>
        <v>144984</v>
      </c>
      <c r="H35" s="84">
        <f>TrRoad_act!H116</f>
        <v>151182</v>
      </c>
      <c r="I35" s="84">
        <f>TrRoad_act!I116</f>
        <v>168127</v>
      </c>
      <c r="J35" s="84">
        <f>TrRoad_act!J116</f>
        <v>149425</v>
      </c>
      <c r="K35" s="84">
        <f>TrRoad_act!K116</f>
        <v>120590</v>
      </c>
      <c r="L35" s="84">
        <f>TrRoad_act!L116</f>
        <v>121748</v>
      </c>
      <c r="M35" s="84">
        <f>TrRoad_act!M116</f>
        <v>124438</v>
      </c>
      <c r="N35" s="84">
        <f>TrRoad_act!N116</f>
        <v>155884</v>
      </c>
      <c r="O35" s="84">
        <f>TrRoad_act!O116</f>
        <v>147649</v>
      </c>
      <c r="P35" s="84">
        <f>TrRoad_act!P116</f>
        <v>137666</v>
      </c>
      <c r="Q35" s="84">
        <f>TrRoad_act!Q116</f>
        <v>252510</v>
      </c>
      <c r="R35" s="84">
        <f>TrRoad_act!R116</f>
        <v>191506</v>
      </c>
      <c r="S35" s="84">
        <f>TrRoad_act!S116</f>
        <v>220198</v>
      </c>
      <c r="T35" s="84">
        <f>TrRoad_act!T116</f>
        <v>207611</v>
      </c>
      <c r="U35" s="84">
        <f>TrRoad_act!U116</f>
        <v>186433</v>
      </c>
      <c r="V35" s="84">
        <f>TrRoad_act!V116</f>
        <v>150799</v>
      </c>
      <c r="W35" s="84">
        <f>TrRoad_act!W116</f>
        <v>146216</v>
      </c>
      <c r="X35" s="84">
        <f>TrRoad_act!X116</f>
        <v>221338</v>
      </c>
      <c r="Y35" s="84">
        <f>TrRoad_act!Y116</f>
        <v>216702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6857</v>
      </c>
      <c r="C36" s="84">
        <f>TrRoad_act!C117</f>
        <v>5768</v>
      </c>
      <c r="D36" s="84">
        <f>TrRoad_act!D117</f>
        <v>7443</v>
      </c>
      <c r="E36" s="84">
        <f>TrRoad_act!E117</f>
        <v>7357</v>
      </c>
      <c r="F36" s="84">
        <f>TrRoad_act!F117</f>
        <v>11654</v>
      </c>
      <c r="G36" s="84">
        <f>TrRoad_act!G117</f>
        <v>11446</v>
      </c>
      <c r="H36" s="84">
        <f>TrRoad_act!H117</f>
        <v>16474</v>
      </c>
      <c r="I36" s="84">
        <f>TrRoad_act!I117</f>
        <v>18050</v>
      </c>
      <c r="J36" s="84">
        <f>TrRoad_act!J117</f>
        <v>5549</v>
      </c>
      <c r="K36" s="84">
        <f>TrRoad_act!K117</f>
        <v>13457</v>
      </c>
      <c r="L36" s="84">
        <f>TrRoad_act!L117</f>
        <v>5337</v>
      </c>
      <c r="M36" s="84">
        <f>TrRoad_act!M117</f>
        <v>14260</v>
      </c>
      <c r="N36" s="84">
        <f>TrRoad_act!N117</f>
        <v>29769</v>
      </c>
      <c r="O36" s="84">
        <f>TrRoad_act!O117</f>
        <v>13330</v>
      </c>
      <c r="P36" s="84">
        <f>TrRoad_act!P117</f>
        <v>26790</v>
      </c>
      <c r="Q36" s="84">
        <f>TrRoad_act!Q117</f>
        <v>7918</v>
      </c>
      <c r="R36" s="84">
        <f>TrRoad_act!R117</f>
        <v>7586</v>
      </c>
      <c r="S36" s="84">
        <f>TrRoad_act!S117</f>
        <v>814</v>
      </c>
      <c r="T36" s="84">
        <f>TrRoad_act!T117</f>
        <v>524</v>
      </c>
      <c r="U36" s="84">
        <f>TrRoad_act!U117</f>
        <v>406</v>
      </c>
      <c r="V36" s="84">
        <f>TrRoad_act!V117</f>
        <v>1279</v>
      </c>
      <c r="W36" s="84">
        <f>TrRoad_act!W117</f>
        <v>2257</v>
      </c>
      <c r="X36" s="84">
        <f>TrRoad_act!X117</f>
        <v>3991</v>
      </c>
      <c r="Y36" s="84">
        <f>TrRoad_act!Y117</f>
        <v>3622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760</v>
      </c>
      <c r="K37" s="84">
        <f>TrRoad_act!K118</f>
        <v>413</v>
      </c>
      <c r="L37" s="84">
        <f>TrRoad_act!L118</f>
        <v>519</v>
      </c>
      <c r="M37" s="84">
        <f>TrRoad_act!M118</f>
        <v>559</v>
      </c>
      <c r="N37" s="84">
        <f>TrRoad_act!N118</f>
        <v>813</v>
      </c>
      <c r="O37" s="84">
        <f>TrRoad_act!O118</f>
        <v>1552</v>
      </c>
      <c r="P37" s="84">
        <f>TrRoad_act!P118</f>
        <v>1402</v>
      </c>
      <c r="Q37" s="84">
        <f>TrRoad_act!Q118</f>
        <v>2854</v>
      </c>
      <c r="R37" s="84">
        <f>TrRoad_act!R118</f>
        <v>5396</v>
      </c>
      <c r="S37" s="84">
        <f>TrRoad_act!S118</f>
        <v>3239</v>
      </c>
      <c r="T37" s="84">
        <f>TrRoad_act!T118</f>
        <v>3546</v>
      </c>
      <c r="U37" s="84">
        <f>TrRoad_act!U118</f>
        <v>1865</v>
      </c>
      <c r="V37" s="84">
        <f>TrRoad_act!V118</f>
        <v>1317</v>
      </c>
      <c r="W37" s="84">
        <f>TrRoad_act!W118</f>
        <v>840</v>
      </c>
      <c r="X37" s="84">
        <f>TrRoad_act!X118</f>
        <v>808</v>
      </c>
      <c r="Y37" s="84">
        <f>TrRoad_act!Y118</f>
        <v>456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16</v>
      </c>
      <c r="O38" s="84">
        <f>TrRoad_act!O119</f>
        <v>11</v>
      </c>
      <c r="P38" s="84">
        <f>TrRoad_act!P119</f>
        <v>52</v>
      </c>
      <c r="Q38" s="84">
        <f>TrRoad_act!Q119</f>
        <v>141</v>
      </c>
      <c r="R38" s="84">
        <f>TrRoad_act!R119</f>
        <v>136</v>
      </c>
      <c r="S38" s="84">
        <f>TrRoad_act!S119</f>
        <v>241</v>
      </c>
      <c r="T38" s="84">
        <f>TrRoad_act!T119</f>
        <v>292</v>
      </c>
      <c r="U38" s="84">
        <f>TrRoad_act!U119</f>
        <v>508</v>
      </c>
      <c r="V38" s="84">
        <f>TrRoad_act!V119</f>
        <v>2091</v>
      </c>
      <c r="W38" s="84">
        <f>TrRoad_act!W119</f>
        <v>3779</v>
      </c>
      <c r="X38" s="84">
        <f>TrRoad_act!X119</f>
        <v>3571</v>
      </c>
      <c r="Y38" s="84">
        <f>TrRoad_act!Y119</f>
        <v>5558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6</v>
      </c>
      <c r="M39" s="84">
        <f>TrRoad_act!M120</f>
        <v>56</v>
      </c>
      <c r="N39" s="84">
        <f>TrRoad_act!N120</f>
        <v>16</v>
      </c>
      <c r="O39" s="84">
        <f>TrRoad_act!O120</f>
        <v>162</v>
      </c>
      <c r="P39" s="84">
        <f>TrRoad_act!P120</f>
        <v>180</v>
      </c>
      <c r="Q39" s="84">
        <f>TrRoad_act!Q120</f>
        <v>312</v>
      </c>
      <c r="R39" s="84">
        <f>TrRoad_act!R120</f>
        <v>650</v>
      </c>
      <c r="S39" s="84">
        <f>TrRoad_act!S120</f>
        <v>950</v>
      </c>
      <c r="T39" s="84">
        <f>TrRoad_act!T120</f>
        <v>742</v>
      </c>
      <c r="U39" s="84">
        <f>TrRoad_act!U120</f>
        <v>858</v>
      </c>
      <c r="V39" s="84">
        <f>TrRoad_act!V120</f>
        <v>3264</v>
      </c>
      <c r="W39" s="84">
        <f>TrRoad_act!W120</f>
        <v>3172</v>
      </c>
      <c r="X39" s="84">
        <f>TrRoad_act!X120</f>
        <v>3986</v>
      </c>
      <c r="Y39" s="84">
        <f>TrRoad_act!Y120</f>
        <v>8564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299</v>
      </c>
      <c r="C40" s="110">
        <f>TrRoad_act!C121</f>
        <v>2581</v>
      </c>
      <c r="D40" s="110">
        <f>TrRoad_act!D121</f>
        <v>474</v>
      </c>
      <c r="E40" s="110">
        <f>TrRoad_act!E121</f>
        <v>1225</v>
      </c>
      <c r="F40" s="110">
        <f>TrRoad_act!F121</f>
        <v>1557</v>
      </c>
      <c r="G40" s="110">
        <f>TrRoad_act!G121</f>
        <v>1133</v>
      </c>
      <c r="H40" s="110">
        <f>TrRoad_act!H121</f>
        <v>1196</v>
      </c>
      <c r="I40" s="110">
        <f>TrRoad_act!I121</f>
        <v>1211</v>
      </c>
      <c r="J40" s="110">
        <f>TrRoad_act!J121</f>
        <v>1464</v>
      </c>
      <c r="K40" s="110">
        <f>TrRoad_act!K121</f>
        <v>1141</v>
      </c>
      <c r="L40" s="110">
        <f>TrRoad_act!L121</f>
        <v>1027</v>
      </c>
      <c r="M40" s="110">
        <f>TrRoad_act!M121</f>
        <v>1110</v>
      </c>
      <c r="N40" s="110">
        <f>TrRoad_act!N121</f>
        <v>1375</v>
      </c>
      <c r="O40" s="110">
        <f>TrRoad_act!O121</f>
        <v>1496</v>
      </c>
      <c r="P40" s="110">
        <f>TrRoad_act!P121</f>
        <v>1743</v>
      </c>
      <c r="Q40" s="110">
        <f>TrRoad_act!Q121</f>
        <v>1717</v>
      </c>
      <c r="R40" s="110">
        <f>TrRoad_act!R121</f>
        <v>1359</v>
      </c>
      <c r="S40" s="110">
        <f>TrRoad_act!S121</f>
        <v>1972</v>
      </c>
      <c r="T40" s="110">
        <f>TrRoad_act!T121</f>
        <v>933</v>
      </c>
      <c r="U40" s="110">
        <f>TrRoad_act!U121</f>
        <v>1603</v>
      </c>
      <c r="V40" s="110">
        <f>TrRoad_act!V121</f>
        <v>1645</v>
      </c>
      <c r="W40" s="110">
        <f>TrRoad_act!W121</f>
        <v>1526</v>
      </c>
      <c r="X40" s="110">
        <f>TrRoad_act!X121</f>
        <v>1448</v>
      </c>
      <c r="Y40" s="110">
        <f>TrRoad_act!Y121</f>
        <v>1495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X41" s="102">
        <f>TrRoad_act!X122</f>
        <v>0</v>
      </c>
      <c r="Y41" s="102">
        <f>TrRoad_act!Y122</f>
        <v>0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299</v>
      </c>
      <c r="C42" s="102">
        <f>TrRoad_act!C123</f>
        <v>2476</v>
      </c>
      <c r="D42" s="102">
        <f>TrRoad_act!D123</f>
        <v>300</v>
      </c>
      <c r="E42" s="102">
        <f>TrRoad_act!E123</f>
        <v>1125</v>
      </c>
      <c r="F42" s="102">
        <f>TrRoad_act!F123</f>
        <v>1532</v>
      </c>
      <c r="G42" s="102">
        <f>TrRoad_act!G123</f>
        <v>1109</v>
      </c>
      <c r="H42" s="102">
        <f>TrRoad_act!H123</f>
        <v>1145</v>
      </c>
      <c r="I42" s="102">
        <f>TrRoad_act!I123</f>
        <v>1211</v>
      </c>
      <c r="J42" s="102">
        <f>TrRoad_act!J123</f>
        <v>1464</v>
      </c>
      <c r="K42" s="102">
        <f>TrRoad_act!K123</f>
        <v>1141</v>
      </c>
      <c r="L42" s="102">
        <f>TrRoad_act!L123</f>
        <v>1025</v>
      </c>
      <c r="M42" s="102">
        <f>TrRoad_act!M123</f>
        <v>1110</v>
      </c>
      <c r="N42" s="102">
        <f>TrRoad_act!N123</f>
        <v>1350</v>
      </c>
      <c r="O42" s="102">
        <f>TrRoad_act!O123</f>
        <v>1464</v>
      </c>
      <c r="P42" s="102">
        <f>TrRoad_act!P123</f>
        <v>1217</v>
      </c>
      <c r="Q42" s="102">
        <f>TrRoad_act!Q123</f>
        <v>880</v>
      </c>
      <c r="R42" s="102">
        <f>TrRoad_act!R123</f>
        <v>1087</v>
      </c>
      <c r="S42" s="102">
        <f>TrRoad_act!S123</f>
        <v>830</v>
      </c>
      <c r="T42" s="102">
        <f>TrRoad_act!T123</f>
        <v>725</v>
      </c>
      <c r="U42" s="102">
        <f>TrRoad_act!U123</f>
        <v>1216</v>
      </c>
      <c r="V42" s="102">
        <f>TrRoad_act!V123</f>
        <v>1364</v>
      </c>
      <c r="W42" s="102">
        <f>TrRoad_act!W123</f>
        <v>1449</v>
      </c>
      <c r="X42" s="102">
        <f>TrRoad_act!X123</f>
        <v>1278</v>
      </c>
      <c r="Y42" s="102">
        <f>TrRoad_act!Y123</f>
        <v>1254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7</v>
      </c>
      <c r="W43" s="102">
        <f>TrRoad_act!W124</f>
        <v>0</v>
      </c>
      <c r="X43" s="102">
        <f>TrRoad_act!X124</f>
        <v>0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93</v>
      </c>
      <c r="D44" s="102">
        <f>TrRoad_act!D125</f>
        <v>174</v>
      </c>
      <c r="E44" s="102">
        <f>TrRoad_act!E125</f>
        <v>100</v>
      </c>
      <c r="F44" s="102">
        <f>TrRoad_act!F125</f>
        <v>22</v>
      </c>
      <c r="G44" s="102">
        <f>TrRoad_act!G125</f>
        <v>24</v>
      </c>
      <c r="H44" s="102">
        <f>TrRoad_act!H125</f>
        <v>26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25</v>
      </c>
      <c r="O44" s="102">
        <f>TrRoad_act!O125</f>
        <v>31</v>
      </c>
      <c r="P44" s="102">
        <f>TrRoad_act!P125</f>
        <v>518</v>
      </c>
      <c r="Q44" s="102">
        <f>TrRoad_act!Q125</f>
        <v>820</v>
      </c>
      <c r="R44" s="102">
        <f>TrRoad_act!R125</f>
        <v>207</v>
      </c>
      <c r="S44" s="102">
        <f>TrRoad_act!S125</f>
        <v>1120</v>
      </c>
      <c r="T44" s="102">
        <f>TrRoad_act!T125</f>
        <v>125</v>
      </c>
      <c r="U44" s="102">
        <f>TrRoad_act!U125</f>
        <v>374</v>
      </c>
      <c r="V44" s="102">
        <f>TrRoad_act!V125</f>
        <v>262</v>
      </c>
      <c r="W44" s="102">
        <f>TrRoad_act!W125</f>
        <v>74</v>
      </c>
      <c r="X44" s="102">
        <f>TrRoad_act!X125</f>
        <v>72</v>
      </c>
      <c r="Y44" s="102">
        <f>TrRoad_act!Y125</f>
        <v>188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12</v>
      </c>
      <c r="D45" s="102">
        <f>TrRoad_act!D126</f>
        <v>0</v>
      </c>
      <c r="E45" s="102">
        <f>TrRoad_act!E126</f>
        <v>0</v>
      </c>
      <c r="F45" s="102">
        <f>TrRoad_act!F126</f>
        <v>3</v>
      </c>
      <c r="G45" s="102">
        <f>TrRoad_act!G126</f>
        <v>0</v>
      </c>
      <c r="H45" s="102">
        <f>TrRoad_act!H126</f>
        <v>25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2</v>
      </c>
      <c r="M45" s="102">
        <f>TrRoad_act!M126</f>
        <v>0</v>
      </c>
      <c r="N45" s="102">
        <f>TrRoad_act!N126</f>
        <v>0</v>
      </c>
      <c r="O45" s="102">
        <f>TrRoad_act!O126</f>
        <v>1</v>
      </c>
      <c r="P45" s="102">
        <f>TrRoad_act!P126</f>
        <v>8</v>
      </c>
      <c r="Q45" s="102">
        <f>TrRoad_act!Q126</f>
        <v>17</v>
      </c>
      <c r="R45" s="102">
        <f>TrRoad_act!R126</f>
        <v>65</v>
      </c>
      <c r="S45" s="102">
        <f>TrRoad_act!S126</f>
        <v>22</v>
      </c>
      <c r="T45" s="102">
        <f>TrRoad_act!T126</f>
        <v>83</v>
      </c>
      <c r="U45" s="102">
        <f>TrRoad_act!U126</f>
        <v>13</v>
      </c>
      <c r="V45" s="102">
        <f>TrRoad_act!V126</f>
        <v>12</v>
      </c>
      <c r="W45" s="102">
        <f>TrRoad_act!W126</f>
        <v>3</v>
      </c>
      <c r="X45" s="102">
        <f>TrRoad_act!X126</f>
        <v>98</v>
      </c>
      <c r="Y45" s="102">
        <f>TrRoad_act!Y126</f>
        <v>53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31816</v>
      </c>
      <c r="C46" s="28">
        <f>TrRoad_act!C127</f>
        <v>28897</v>
      </c>
      <c r="D46" s="28">
        <f>TrRoad_act!D127</f>
        <v>41821</v>
      </c>
      <c r="E46" s="28">
        <f>TrRoad_act!E127</f>
        <v>38467</v>
      </c>
      <c r="F46" s="28">
        <f>TrRoad_act!F127</f>
        <v>51222</v>
      </c>
      <c r="G46" s="28">
        <f>TrRoad_act!G127</f>
        <v>69080</v>
      </c>
      <c r="H46" s="28">
        <f>TrRoad_act!H127</f>
        <v>76193</v>
      </c>
      <c r="I46" s="28">
        <f>TrRoad_act!I127</f>
        <v>85103</v>
      </c>
      <c r="J46" s="28">
        <f>TrRoad_act!J127</f>
        <v>80428</v>
      </c>
      <c r="K46" s="28">
        <f>TrRoad_act!K127</f>
        <v>26868</v>
      </c>
      <c r="L46" s="28">
        <f>TrRoad_act!L127</f>
        <v>31492</v>
      </c>
      <c r="M46" s="28">
        <f>TrRoad_act!M127</f>
        <v>36222</v>
      </c>
      <c r="N46" s="28">
        <f>TrRoad_act!N127</f>
        <v>29735</v>
      </c>
      <c r="O46" s="28">
        <f>TrRoad_act!O127</f>
        <v>28138</v>
      </c>
      <c r="P46" s="28">
        <f>TrRoad_act!P127</f>
        <v>35445</v>
      </c>
      <c r="Q46" s="28">
        <f>TrRoad_act!Q127</f>
        <v>56607</v>
      </c>
      <c r="R46" s="28">
        <f>TrRoad_act!R127</f>
        <v>35688</v>
      </c>
      <c r="S46" s="28">
        <f>TrRoad_act!S127</f>
        <v>39061</v>
      </c>
      <c r="T46" s="28">
        <f>TrRoad_act!T127</f>
        <v>40659</v>
      </c>
      <c r="U46" s="28">
        <f>TrRoad_act!U127</f>
        <v>39857</v>
      </c>
      <c r="V46" s="28">
        <f>TrRoad_act!V127</f>
        <v>36904</v>
      </c>
      <c r="W46" s="28">
        <f>TrRoad_act!W127</f>
        <v>35525</v>
      </c>
      <c r="X46" s="28">
        <f>TrRoad_act!X127</f>
        <v>37421</v>
      </c>
      <c r="Y46" s="28">
        <f>TrRoad_act!Y127</f>
        <v>43769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30817</v>
      </c>
      <c r="C47" s="137">
        <f>TrRoad_act!C128</f>
        <v>21638</v>
      </c>
      <c r="D47" s="137">
        <f>TrRoad_act!D128</f>
        <v>33045</v>
      </c>
      <c r="E47" s="137">
        <f>TrRoad_act!E128</f>
        <v>36292</v>
      </c>
      <c r="F47" s="137">
        <f>TrRoad_act!F128</f>
        <v>46264</v>
      </c>
      <c r="G47" s="137">
        <f>TrRoad_act!G128</f>
        <v>60871</v>
      </c>
      <c r="H47" s="137">
        <f>TrRoad_act!H128</f>
        <v>64845</v>
      </c>
      <c r="I47" s="137">
        <f>TrRoad_act!I128</f>
        <v>72124</v>
      </c>
      <c r="J47" s="137">
        <f>TrRoad_act!J128</f>
        <v>72815</v>
      </c>
      <c r="K47" s="137">
        <f>TrRoad_act!K128</f>
        <v>25063</v>
      </c>
      <c r="L47" s="137">
        <f>TrRoad_act!L128</f>
        <v>23387</v>
      </c>
      <c r="M47" s="137">
        <f>TrRoad_act!M128</f>
        <v>26528</v>
      </c>
      <c r="N47" s="137">
        <f>TrRoad_act!N128</f>
        <v>14297</v>
      </c>
      <c r="O47" s="137">
        <f>TrRoad_act!O128</f>
        <v>17204</v>
      </c>
      <c r="P47" s="137">
        <f>TrRoad_act!P128</f>
        <v>23098</v>
      </c>
      <c r="Q47" s="137">
        <f>TrRoad_act!Q128</f>
        <v>39086</v>
      </c>
      <c r="R47" s="137">
        <f>TrRoad_act!R128</f>
        <v>22282</v>
      </c>
      <c r="S47" s="137">
        <f>TrRoad_act!S128</f>
        <v>24711</v>
      </c>
      <c r="T47" s="137">
        <f>TrRoad_act!T128</f>
        <v>28057</v>
      </c>
      <c r="U47" s="137">
        <f>TrRoad_act!U128</f>
        <v>25982</v>
      </c>
      <c r="V47" s="137">
        <f>TrRoad_act!V128</f>
        <v>24746</v>
      </c>
      <c r="W47" s="137">
        <f>TrRoad_act!W128</f>
        <v>24904</v>
      </c>
      <c r="X47" s="137">
        <f>TrRoad_act!X128</f>
        <v>22006</v>
      </c>
      <c r="Y47" s="137">
        <f>TrRoad_act!Y128</f>
        <v>30358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6560</v>
      </c>
      <c r="C48" s="84">
        <f>TrRoad_act!C129</f>
        <v>6850</v>
      </c>
      <c r="D48" s="84">
        <f>TrRoad_act!D129</f>
        <v>9721</v>
      </c>
      <c r="E48" s="84">
        <f>TrRoad_act!E129</f>
        <v>3355</v>
      </c>
      <c r="F48" s="84">
        <f>TrRoad_act!F129</f>
        <v>6415</v>
      </c>
      <c r="G48" s="84">
        <f>TrRoad_act!G129</f>
        <v>10607</v>
      </c>
      <c r="H48" s="84">
        <f>TrRoad_act!H129</f>
        <v>16396</v>
      </c>
      <c r="I48" s="84">
        <f>TrRoad_act!I129</f>
        <v>16805</v>
      </c>
      <c r="J48" s="84">
        <f>TrRoad_act!J129</f>
        <v>15053</v>
      </c>
      <c r="K48" s="84">
        <f>TrRoad_act!K129</f>
        <v>2935</v>
      </c>
      <c r="L48" s="84">
        <f>TrRoad_act!L129</f>
        <v>2947</v>
      </c>
      <c r="M48" s="84">
        <f>TrRoad_act!M129</f>
        <v>3385</v>
      </c>
      <c r="N48" s="84">
        <f>TrRoad_act!N129</f>
        <v>3309</v>
      </c>
      <c r="O48" s="84">
        <f>TrRoad_act!O129</f>
        <v>6383</v>
      </c>
      <c r="P48" s="84">
        <f>TrRoad_act!P129</f>
        <v>9217</v>
      </c>
      <c r="Q48" s="84">
        <f>TrRoad_act!Q129</f>
        <v>12803</v>
      </c>
      <c r="R48" s="84">
        <f>TrRoad_act!R129</f>
        <v>7958</v>
      </c>
      <c r="S48" s="84">
        <f>TrRoad_act!S129</f>
        <v>8343</v>
      </c>
      <c r="T48" s="84">
        <f>TrRoad_act!T129</f>
        <v>8334</v>
      </c>
      <c r="U48" s="84">
        <f>TrRoad_act!U129</f>
        <v>8217</v>
      </c>
      <c r="V48" s="84">
        <f>TrRoad_act!V129</f>
        <v>8044</v>
      </c>
      <c r="W48" s="84">
        <f>TrRoad_act!W129</f>
        <v>7712</v>
      </c>
      <c r="X48" s="84">
        <f>TrRoad_act!X129</f>
        <v>8787</v>
      </c>
      <c r="Y48" s="84">
        <f>TrRoad_act!Y129</f>
        <v>10735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24257</v>
      </c>
      <c r="C49" s="84">
        <f>TrRoad_act!C130</f>
        <v>14542</v>
      </c>
      <c r="D49" s="84">
        <f>TrRoad_act!D130</f>
        <v>22741</v>
      </c>
      <c r="E49" s="84">
        <f>TrRoad_act!E130</f>
        <v>32303</v>
      </c>
      <c r="F49" s="84">
        <f>TrRoad_act!F130</f>
        <v>38945</v>
      </c>
      <c r="G49" s="84">
        <f>TrRoad_act!G130</f>
        <v>49431</v>
      </c>
      <c r="H49" s="84">
        <f>TrRoad_act!H130</f>
        <v>47296</v>
      </c>
      <c r="I49" s="84">
        <f>TrRoad_act!I130</f>
        <v>54054</v>
      </c>
      <c r="J49" s="84">
        <f>TrRoad_act!J130</f>
        <v>57370</v>
      </c>
      <c r="K49" s="84">
        <f>TrRoad_act!K130</f>
        <v>21214</v>
      </c>
      <c r="L49" s="84">
        <f>TrRoad_act!L130</f>
        <v>20121</v>
      </c>
      <c r="M49" s="84">
        <f>TrRoad_act!M130</f>
        <v>22347</v>
      </c>
      <c r="N49" s="84">
        <f>TrRoad_act!N130</f>
        <v>8889</v>
      </c>
      <c r="O49" s="84">
        <f>TrRoad_act!O130</f>
        <v>9403</v>
      </c>
      <c r="P49" s="84">
        <f>TrRoad_act!P130</f>
        <v>10888</v>
      </c>
      <c r="Q49" s="84">
        <f>TrRoad_act!Q130</f>
        <v>22268</v>
      </c>
      <c r="R49" s="84">
        <f>TrRoad_act!R130</f>
        <v>10196</v>
      </c>
      <c r="S49" s="84">
        <f>TrRoad_act!S130</f>
        <v>12975</v>
      </c>
      <c r="T49" s="84">
        <f>TrRoad_act!T130</f>
        <v>16595</v>
      </c>
      <c r="U49" s="84">
        <f>TrRoad_act!U130</f>
        <v>15241</v>
      </c>
      <c r="V49" s="84">
        <f>TrRoad_act!V130</f>
        <v>14660</v>
      </c>
      <c r="W49" s="84">
        <f>TrRoad_act!W130</f>
        <v>15732</v>
      </c>
      <c r="X49" s="84">
        <f>TrRoad_act!X130</f>
        <v>12967</v>
      </c>
      <c r="Y49" s="84">
        <f>TrRoad_act!Y130</f>
        <v>18995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246</v>
      </c>
      <c r="D50" s="84">
        <f>TrRoad_act!D131</f>
        <v>583</v>
      </c>
      <c r="E50" s="84">
        <f>TrRoad_act!E131</f>
        <v>634</v>
      </c>
      <c r="F50" s="84">
        <f>TrRoad_act!F131</f>
        <v>904</v>
      </c>
      <c r="G50" s="84">
        <f>TrRoad_act!G131</f>
        <v>833</v>
      </c>
      <c r="H50" s="84">
        <f>TrRoad_act!H131</f>
        <v>1153</v>
      </c>
      <c r="I50" s="84">
        <f>TrRoad_act!I131</f>
        <v>1265</v>
      </c>
      <c r="J50" s="84">
        <f>TrRoad_act!J131</f>
        <v>353</v>
      </c>
      <c r="K50" s="84">
        <f>TrRoad_act!K131</f>
        <v>912</v>
      </c>
      <c r="L50" s="84">
        <f>TrRoad_act!L131</f>
        <v>315</v>
      </c>
      <c r="M50" s="84">
        <f>TrRoad_act!M131</f>
        <v>792</v>
      </c>
      <c r="N50" s="84">
        <f>TrRoad_act!N131</f>
        <v>1635</v>
      </c>
      <c r="O50" s="84">
        <f>TrRoad_act!O131</f>
        <v>1032</v>
      </c>
      <c r="P50" s="84">
        <f>TrRoad_act!P131</f>
        <v>1776</v>
      </c>
      <c r="Q50" s="84">
        <f>TrRoad_act!Q131</f>
        <v>685</v>
      </c>
      <c r="R50" s="84">
        <f>TrRoad_act!R131</f>
        <v>1353</v>
      </c>
      <c r="S50" s="84">
        <f>TrRoad_act!S131</f>
        <v>479</v>
      </c>
      <c r="T50" s="84">
        <f>TrRoad_act!T131</f>
        <v>609</v>
      </c>
      <c r="U50" s="84">
        <f>TrRoad_act!U131</f>
        <v>71</v>
      </c>
      <c r="V50" s="84">
        <f>TrRoad_act!V131</f>
        <v>0</v>
      </c>
      <c r="W50" s="84">
        <f>TrRoad_act!W131</f>
        <v>7</v>
      </c>
      <c r="X50" s="84">
        <f>TrRoad_act!X131</f>
        <v>24</v>
      </c>
      <c r="Y50" s="84">
        <f>TrRoad_act!Y131</f>
        <v>63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443</v>
      </c>
      <c r="O51" s="84">
        <f>TrRoad_act!O132</f>
        <v>373</v>
      </c>
      <c r="P51" s="84">
        <f>TrRoad_act!P132</f>
        <v>1205</v>
      </c>
      <c r="Q51" s="84">
        <f>TrRoad_act!Q132</f>
        <v>3311</v>
      </c>
      <c r="R51" s="84">
        <f>TrRoad_act!R132</f>
        <v>2754</v>
      </c>
      <c r="S51" s="84">
        <f>TrRoad_act!S132</f>
        <v>2886</v>
      </c>
      <c r="T51" s="84">
        <f>TrRoad_act!T132</f>
        <v>2458</v>
      </c>
      <c r="U51" s="84">
        <f>TrRoad_act!U132</f>
        <v>2323</v>
      </c>
      <c r="V51" s="84">
        <f>TrRoad_act!V132</f>
        <v>1922</v>
      </c>
      <c r="W51" s="84">
        <f>TrRoad_act!W132</f>
        <v>1167</v>
      </c>
      <c r="X51" s="84">
        <f>TrRoad_act!X132</f>
        <v>78</v>
      </c>
      <c r="Y51" s="84">
        <f>TrRoad_act!Y132</f>
        <v>48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39</v>
      </c>
      <c r="K52" s="84">
        <f>TrRoad_act!K133</f>
        <v>2</v>
      </c>
      <c r="L52" s="84">
        <f>TrRoad_act!L133</f>
        <v>4</v>
      </c>
      <c r="M52" s="84">
        <f>TrRoad_act!M133</f>
        <v>4</v>
      </c>
      <c r="N52" s="84">
        <f>TrRoad_act!N133</f>
        <v>21</v>
      </c>
      <c r="O52" s="84">
        <f>TrRoad_act!O133</f>
        <v>13</v>
      </c>
      <c r="P52" s="84">
        <f>TrRoad_act!P133</f>
        <v>12</v>
      </c>
      <c r="Q52" s="84">
        <f>TrRoad_act!Q133</f>
        <v>19</v>
      </c>
      <c r="R52" s="84">
        <f>TrRoad_act!R133</f>
        <v>21</v>
      </c>
      <c r="S52" s="84">
        <f>TrRoad_act!S133</f>
        <v>28</v>
      </c>
      <c r="T52" s="84">
        <f>TrRoad_act!T133</f>
        <v>61</v>
      </c>
      <c r="U52" s="84">
        <f>TrRoad_act!U133</f>
        <v>130</v>
      </c>
      <c r="V52" s="84">
        <f>TrRoad_act!V133</f>
        <v>120</v>
      </c>
      <c r="W52" s="84">
        <f>TrRoad_act!W133</f>
        <v>286</v>
      </c>
      <c r="X52" s="84">
        <f>TrRoad_act!X133</f>
        <v>150</v>
      </c>
      <c r="Y52" s="84">
        <f>TrRoad_act!Y133</f>
        <v>517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999</v>
      </c>
      <c r="C53" s="110">
        <f>TrRoad_act!C134</f>
        <v>7259</v>
      </c>
      <c r="D53" s="110">
        <f>TrRoad_act!D134</f>
        <v>8776</v>
      </c>
      <c r="E53" s="110">
        <f>TrRoad_act!E134</f>
        <v>2175</v>
      </c>
      <c r="F53" s="110">
        <f>TrRoad_act!F134</f>
        <v>4958</v>
      </c>
      <c r="G53" s="110">
        <f>TrRoad_act!G134</f>
        <v>8209</v>
      </c>
      <c r="H53" s="110">
        <f>TrRoad_act!H134</f>
        <v>11348</v>
      </c>
      <c r="I53" s="110">
        <f>TrRoad_act!I134</f>
        <v>12979</v>
      </c>
      <c r="J53" s="110">
        <f>TrRoad_act!J134</f>
        <v>7613</v>
      </c>
      <c r="K53" s="110">
        <f>TrRoad_act!K134</f>
        <v>1805</v>
      </c>
      <c r="L53" s="110">
        <f>TrRoad_act!L134</f>
        <v>8105</v>
      </c>
      <c r="M53" s="110">
        <f>TrRoad_act!M134</f>
        <v>9694</v>
      </c>
      <c r="N53" s="110">
        <f>TrRoad_act!N134</f>
        <v>15438</v>
      </c>
      <c r="O53" s="110">
        <f>TrRoad_act!O134</f>
        <v>10934</v>
      </c>
      <c r="P53" s="110">
        <f>TrRoad_act!P134</f>
        <v>12347</v>
      </c>
      <c r="Q53" s="110">
        <f>TrRoad_act!Q134</f>
        <v>17521</v>
      </c>
      <c r="R53" s="110">
        <f>TrRoad_act!R134</f>
        <v>13406</v>
      </c>
      <c r="S53" s="110">
        <f>TrRoad_act!S134</f>
        <v>14350</v>
      </c>
      <c r="T53" s="110">
        <f>TrRoad_act!T134</f>
        <v>12602</v>
      </c>
      <c r="U53" s="110">
        <f>TrRoad_act!U134</f>
        <v>13875</v>
      </c>
      <c r="V53" s="110">
        <f>TrRoad_act!V134</f>
        <v>12158</v>
      </c>
      <c r="W53" s="110">
        <f>TrRoad_act!W134</f>
        <v>10621</v>
      </c>
      <c r="X53" s="110">
        <f>TrRoad_act!X134</f>
        <v>15415</v>
      </c>
      <c r="Y53" s="110">
        <f>TrRoad_act!Y134</f>
        <v>13411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6102</v>
      </c>
      <c r="D54" s="102">
        <f>TrRoad_act!D135</f>
        <v>7688</v>
      </c>
      <c r="E54" s="102">
        <f>TrRoad_act!E135</f>
        <v>1300</v>
      </c>
      <c r="F54" s="102">
        <f>TrRoad_act!F135</f>
        <v>2140</v>
      </c>
      <c r="G54" s="102">
        <f>TrRoad_act!G135</f>
        <v>6906</v>
      </c>
      <c r="H54" s="102">
        <f>TrRoad_act!H135</f>
        <v>9813</v>
      </c>
      <c r="I54" s="102">
        <f>TrRoad_act!I135</f>
        <v>11544</v>
      </c>
      <c r="J54" s="102">
        <f>TrRoad_act!J135</f>
        <v>7436</v>
      </c>
      <c r="K54" s="102">
        <f>TrRoad_act!K135</f>
        <v>1427</v>
      </c>
      <c r="L54" s="102">
        <f>TrRoad_act!L135</f>
        <v>6062</v>
      </c>
      <c r="M54" s="102">
        <f>TrRoad_act!M135</f>
        <v>7636</v>
      </c>
      <c r="N54" s="102">
        <f>TrRoad_act!N135</f>
        <v>14258</v>
      </c>
      <c r="O54" s="102">
        <f>TrRoad_act!O135</f>
        <v>8095</v>
      </c>
      <c r="P54" s="102">
        <f>TrRoad_act!P135</f>
        <v>11016</v>
      </c>
      <c r="Q54" s="102">
        <f>TrRoad_act!Q135</f>
        <v>15037</v>
      </c>
      <c r="R54" s="102">
        <f>TrRoad_act!R135</f>
        <v>12433</v>
      </c>
      <c r="S54" s="102">
        <f>TrRoad_act!S135</f>
        <v>12980</v>
      </c>
      <c r="T54" s="102">
        <f>TrRoad_act!T135</f>
        <v>12457</v>
      </c>
      <c r="U54" s="102">
        <f>TrRoad_act!U135</f>
        <v>11764</v>
      </c>
      <c r="V54" s="102">
        <f>TrRoad_act!V135</f>
        <v>8114</v>
      </c>
      <c r="W54" s="102">
        <f>TrRoad_act!W135</f>
        <v>7839</v>
      </c>
      <c r="X54" s="102">
        <f>TrRoad_act!X135</f>
        <v>12625</v>
      </c>
      <c r="Y54" s="102">
        <f>TrRoad_act!Y135</f>
        <v>12534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999</v>
      </c>
      <c r="C55" s="86">
        <f>TrRoad_act!C136</f>
        <v>1157</v>
      </c>
      <c r="D55" s="86">
        <f>TrRoad_act!D136</f>
        <v>1088</v>
      </c>
      <c r="E55" s="86">
        <f>TrRoad_act!E136</f>
        <v>875</v>
      </c>
      <c r="F55" s="86">
        <f>TrRoad_act!F136</f>
        <v>2818</v>
      </c>
      <c r="G55" s="86">
        <f>TrRoad_act!G136</f>
        <v>1303</v>
      </c>
      <c r="H55" s="86">
        <f>TrRoad_act!H136</f>
        <v>1535</v>
      </c>
      <c r="I55" s="86">
        <f>TrRoad_act!I136</f>
        <v>1435</v>
      </c>
      <c r="J55" s="86">
        <f>TrRoad_act!J136</f>
        <v>177</v>
      </c>
      <c r="K55" s="86">
        <f>TrRoad_act!K136</f>
        <v>378</v>
      </c>
      <c r="L55" s="86">
        <f>TrRoad_act!L136</f>
        <v>2043</v>
      </c>
      <c r="M55" s="86">
        <f>TrRoad_act!M136</f>
        <v>2058</v>
      </c>
      <c r="N55" s="86">
        <f>TrRoad_act!N136</f>
        <v>1180</v>
      </c>
      <c r="O55" s="86">
        <f>TrRoad_act!O136</f>
        <v>2839</v>
      </c>
      <c r="P55" s="86">
        <f>TrRoad_act!P136</f>
        <v>1331</v>
      </c>
      <c r="Q55" s="86">
        <f>TrRoad_act!Q136</f>
        <v>2484</v>
      </c>
      <c r="R55" s="86">
        <f>TrRoad_act!R136</f>
        <v>973</v>
      </c>
      <c r="S55" s="86">
        <f>TrRoad_act!S136</f>
        <v>1370</v>
      </c>
      <c r="T55" s="86">
        <f>TrRoad_act!T136</f>
        <v>145</v>
      </c>
      <c r="U55" s="86">
        <f>TrRoad_act!U136</f>
        <v>2111</v>
      </c>
      <c r="V55" s="86">
        <f>TrRoad_act!V136</f>
        <v>4044</v>
      </c>
      <c r="W55" s="86">
        <f>TrRoad_act!W136</f>
        <v>2782</v>
      </c>
      <c r="X55" s="86">
        <f>TrRoad_act!X136</f>
        <v>2790</v>
      </c>
      <c r="Y55" s="86">
        <f>TrRoad_act!Y136</f>
        <v>877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432968</v>
      </c>
      <c r="C59" s="54">
        <f t="shared" si="0"/>
        <v>49776</v>
      </c>
      <c r="D59" s="54">
        <f t="shared" si="0"/>
        <v>86937</v>
      </c>
      <c r="E59" s="54">
        <f t="shared" si="0"/>
        <v>65782</v>
      </c>
      <c r="F59" s="54">
        <f t="shared" si="0"/>
        <v>124759</v>
      </c>
      <c r="G59" s="54">
        <f t="shared" si="0"/>
        <v>241061</v>
      </c>
      <c r="H59" s="54">
        <f t="shared" si="0"/>
        <v>250085</v>
      </c>
      <c r="I59" s="54">
        <f t="shared" si="0"/>
        <v>308180</v>
      </c>
      <c r="J59" s="54">
        <f t="shared" si="0"/>
        <v>307994</v>
      </c>
      <c r="K59" s="54">
        <f t="shared" si="0"/>
        <v>225495</v>
      </c>
      <c r="L59" s="54">
        <f t="shared" ref="L59" si="1">L60+L75</f>
        <v>274568</v>
      </c>
      <c r="M59" s="54">
        <f t="shared" ref="M59:V59" si="2">M60+M75</f>
        <v>298602</v>
      </c>
      <c r="N59" s="54">
        <f t="shared" si="2"/>
        <v>346268</v>
      </c>
      <c r="O59" s="54">
        <f t="shared" si="2"/>
        <v>282121</v>
      </c>
      <c r="P59" s="54">
        <f t="shared" si="2"/>
        <v>372790</v>
      </c>
      <c r="Q59" s="54">
        <f t="shared" si="2"/>
        <v>700764</v>
      </c>
      <c r="R59" s="54">
        <f t="shared" si="2"/>
        <v>533067</v>
      </c>
      <c r="S59" s="54">
        <f t="shared" si="2"/>
        <v>616490</v>
      </c>
      <c r="T59" s="54">
        <f t="shared" si="2"/>
        <v>603316</v>
      </c>
      <c r="U59" s="54">
        <f t="shared" si="2"/>
        <v>562640</v>
      </c>
      <c r="V59" s="54">
        <f t="shared" si="2"/>
        <v>480858</v>
      </c>
      <c r="W59" s="54">
        <f t="shared" ref="W59:Y59" si="3">W60+W75</f>
        <v>453365</v>
      </c>
      <c r="X59" s="54">
        <f t="shared" si="3"/>
        <v>676002</v>
      </c>
      <c r="Y59" s="54">
        <f t="shared" si="3"/>
        <v>656842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432968</v>
      </c>
      <c r="C60" s="28">
        <f t="shared" si="4"/>
        <v>49776</v>
      </c>
      <c r="D60" s="28">
        <f t="shared" si="4"/>
        <v>86937</v>
      </c>
      <c r="E60" s="28">
        <f t="shared" si="4"/>
        <v>65782</v>
      </c>
      <c r="F60" s="28">
        <f t="shared" si="4"/>
        <v>117770</v>
      </c>
      <c r="G60" s="28">
        <f t="shared" si="4"/>
        <v>218896</v>
      </c>
      <c r="H60" s="28">
        <f t="shared" si="4"/>
        <v>223903</v>
      </c>
      <c r="I60" s="28">
        <f t="shared" si="4"/>
        <v>274817</v>
      </c>
      <c r="J60" s="28">
        <f t="shared" si="4"/>
        <v>267803</v>
      </c>
      <c r="K60" s="28">
        <f t="shared" si="4"/>
        <v>208788</v>
      </c>
      <c r="L60" s="28">
        <f t="shared" ref="L60" si="5">L61+L62+L69</f>
        <v>254979</v>
      </c>
      <c r="M60" s="28">
        <f t="shared" ref="M60:V60" si="6">M61+M62+M69</f>
        <v>271522</v>
      </c>
      <c r="N60" s="28">
        <f t="shared" si="6"/>
        <v>323233</v>
      </c>
      <c r="O60" s="28">
        <f t="shared" si="6"/>
        <v>258327</v>
      </c>
      <c r="P60" s="28">
        <f t="shared" si="6"/>
        <v>340972</v>
      </c>
      <c r="Q60" s="28">
        <f t="shared" si="6"/>
        <v>648176</v>
      </c>
      <c r="R60" s="28">
        <f t="shared" si="6"/>
        <v>498952</v>
      </c>
      <c r="S60" s="28">
        <f t="shared" si="6"/>
        <v>578565</v>
      </c>
      <c r="T60" s="28">
        <f t="shared" si="6"/>
        <v>563208</v>
      </c>
      <c r="U60" s="28">
        <f t="shared" si="6"/>
        <v>523288</v>
      </c>
      <c r="V60" s="28">
        <f t="shared" si="6"/>
        <v>444433</v>
      </c>
      <c r="W60" s="28">
        <f t="shared" ref="W60:Y60" si="7">W61+W62+W69</f>
        <v>418048</v>
      </c>
      <c r="X60" s="28">
        <f t="shared" si="7"/>
        <v>638679</v>
      </c>
      <c r="Y60" s="28">
        <f t="shared" si="7"/>
        <v>613073</v>
      </c>
      <c r="DA60" s="173" t="s">
        <v>839</v>
      </c>
    </row>
    <row r="61" spans="1:105" ht="11.45" customHeight="1" x14ac:dyDescent="0.25">
      <c r="A61" s="136" t="s">
        <v>173</v>
      </c>
      <c r="B61" s="137">
        <v>430907</v>
      </c>
      <c r="C61" s="137">
        <v>31961</v>
      </c>
      <c r="D61" s="137">
        <v>28793</v>
      </c>
      <c r="E61" s="137">
        <v>6227</v>
      </c>
      <c r="F61" s="137">
        <v>25630</v>
      </c>
      <c r="G61" s="137">
        <v>83737</v>
      </c>
      <c r="H61" s="137">
        <v>64140</v>
      </c>
      <c r="I61" s="137">
        <v>73118</v>
      </c>
      <c r="J61" s="137">
        <v>64751</v>
      </c>
      <c r="K61" s="137">
        <v>30612</v>
      </c>
      <c r="L61" s="137">
        <v>56740</v>
      </c>
      <c r="M61" s="137">
        <v>54325</v>
      </c>
      <c r="N61" s="137">
        <v>67928</v>
      </c>
      <c r="O61" s="137">
        <v>26433</v>
      </c>
      <c r="P61" s="137">
        <v>54017</v>
      </c>
      <c r="Q61" s="137">
        <v>97969</v>
      </c>
      <c r="R61" s="137">
        <v>66192</v>
      </c>
      <c r="S61" s="137">
        <v>66022</v>
      </c>
      <c r="T61" s="137">
        <v>69416</v>
      </c>
      <c r="U61" s="137">
        <v>71416</v>
      </c>
      <c r="V61" s="137">
        <v>75766</v>
      </c>
      <c r="W61" s="137">
        <v>60197</v>
      </c>
      <c r="X61" s="137">
        <v>97603</v>
      </c>
      <c r="Y61" s="137">
        <v>84077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0</v>
      </c>
      <c r="C62" s="110">
        <f t="shared" si="8"/>
        <v>17806</v>
      </c>
      <c r="D62" s="110">
        <f t="shared" si="8"/>
        <v>58144</v>
      </c>
      <c r="E62" s="110">
        <f t="shared" si="8"/>
        <v>59555</v>
      </c>
      <c r="F62" s="110">
        <f t="shared" si="8"/>
        <v>92137</v>
      </c>
      <c r="G62" s="110">
        <f t="shared" si="8"/>
        <v>134878</v>
      </c>
      <c r="H62" s="110">
        <f t="shared" si="8"/>
        <v>159270</v>
      </c>
      <c r="I62" s="110">
        <f t="shared" si="8"/>
        <v>201097</v>
      </c>
      <c r="J62" s="110">
        <f t="shared" si="8"/>
        <v>202202</v>
      </c>
      <c r="K62" s="110">
        <f t="shared" si="8"/>
        <v>177432</v>
      </c>
      <c r="L62" s="110">
        <f t="shared" ref="L62" si="9">SUM(L63:L68)</f>
        <v>197515</v>
      </c>
      <c r="M62" s="110">
        <f t="shared" ref="M62:V62" si="10">SUM(M63:M68)</f>
        <v>216360</v>
      </c>
      <c r="N62" s="110">
        <f t="shared" si="10"/>
        <v>254227</v>
      </c>
      <c r="O62" s="110">
        <f t="shared" si="10"/>
        <v>230663</v>
      </c>
      <c r="P62" s="110">
        <f t="shared" si="10"/>
        <v>285881</v>
      </c>
      <c r="Q62" s="110">
        <f t="shared" si="10"/>
        <v>549391</v>
      </c>
      <c r="R62" s="110">
        <f t="shared" si="10"/>
        <v>431680</v>
      </c>
      <c r="S62" s="110">
        <f t="shared" si="10"/>
        <v>510879</v>
      </c>
      <c r="T62" s="110">
        <f t="shared" si="10"/>
        <v>492880</v>
      </c>
      <c r="U62" s="110">
        <f t="shared" si="10"/>
        <v>450289</v>
      </c>
      <c r="V62" s="110">
        <f t="shared" si="10"/>
        <v>367032</v>
      </c>
      <c r="W62" s="110">
        <f t="shared" ref="W62:Y62" si="11">SUM(W63:W68)</f>
        <v>356327</v>
      </c>
      <c r="X62" s="110">
        <f t="shared" si="11"/>
        <v>539628</v>
      </c>
      <c r="Y62" s="110">
        <f t="shared" si="11"/>
        <v>527501</v>
      </c>
      <c r="DA62" s="176" t="s">
        <v>841</v>
      </c>
    </row>
    <row r="63" spans="1:105" ht="11.45" customHeight="1" x14ac:dyDescent="0.25">
      <c r="A63" s="111" t="s">
        <v>110</v>
      </c>
      <c r="B63" s="84">
        <v>0</v>
      </c>
      <c r="C63" s="84">
        <v>17806</v>
      </c>
      <c r="D63" s="84">
        <v>58144</v>
      </c>
      <c r="E63" s="84">
        <v>59555</v>
      </c>
      <c r="F63" s="84">
        <v>70193</v>
      </c>
      <c r="G63" s="84">
        <v>95666</v>
      </c>
      <c r="H63" s="84">
        <v>107243</v>
      </c>
      <c r="I63" s="84">
        <v>130241</v>
      </c>
      <c r="J63" s="84">
        <v>131446</v>
      </c>
      <c r="K63" s="84">
        <v>107992</v>
      </c>
      <c r="L63" s="84">
        <v>122214</v>
      </c>
      <c r="M63" s="84">
        <v>125609</v>
      </c>
      <c r="N63" s="84">
        <v>121457</v>
      </c>
      <c r="O63" s="84">
        <v>105060</v>
      </c>
      <c r="P63" s="84">
        <v>149265</v>
      </c>
      <c r="Q63" s="84">
        <v>320564</v>
      </c>
      <c r="R63" s="84">
        <v>245787</v>
      </c>
      <c r="S63" s="84">
        <v>300025</v>
      </c>
      <c r="T63" s="84">
        <v>288841</v>
      </c>
      <c r="U63" s="84">
        <v>264803</v>
      </c>
      <c r="V63" s="84">
        <v>211814</v>
      </c>
      <c r="W63" s="84">
        <v>202291</v>
      </c>
      <c r="X63" s="84">
        <v>305967</v>
      </c>
      <c r="Y63" s="84">
        <v>292599</v>
      </c>
      <c r="DA63" s="171" t="s">
        <v>842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21944</v>
      </c>
      <c r="G64" s="84">
        <v>39212</v>
      </c>
      <c r="H64" s="84">
        <v>50005</v>
      </c>
      <c r="I64" s="84">
        <v>66377</v>
      </c>
      <c r="J64" s="84">
        <v>68903</v>
      </c>
      <c r="K64" s="84">
        <v>63690</v>
      </c>
      <c r="L64" s="84">
        <v>72360</v>
      </c>
      <c r="M64" s="84">
        <v>81906</v>
      </c>
      <c r="N64" s="84">
        <v>111993</v>
      </c>
      <c r="O64" s="84">
        <v>114272</v>
      </c>
      <c r="P64" s="84">
        <v>113422</v>
      </c>
      <c r="Q64" s="84">
        <v>219103</v>
      </c>
      <c r="R64" s="84">
        <v>173323</v>
      </c>
      <c r="S64" s="84">
        <v>206073</v>
      </c>
      <c r="T64" s="84">
        <v>199348</v>
      </c>
      <c r="U64" s="84">
        <v>182400</v>
      </c>
      <c r="V64" s="84">
        <v>149401</v>
      </c>
      <c r="W64" s="84">
        <v>145887</v>
      </c>
      <c r="X64" s="84">
        <v>221336</v>
      </c>
      <c r="Y64" s="84">
        <v>216702</v>
      </c>
      <c r="DA64" s="171" t="s">
        <v>843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2022</v>
      </c>
      <c r="I65" s="84">
        <v>4479</v>
      </c>
      <c r="J65" s="84">
        <v>1853</v>
      </c>
      <c r="K65" s="84">
        <v>5693</v>
      </c>
      <c r="L65" s="84">
        <v>2734</v>
      </c>
      <c r="M65" s="84">
        <v>8535</v>
      </c>
      <c r="N65" s="84">
        <v>20223</v>
      </c>
      <c r="O65" s="84">
        <v>10029</v>
      </c>
      <c r="P65" s="84">
        <v>21865</v>
      </c>
      <c r="Q65" s="84">
        <v>6888</v>
      </c>
      <c r="R65" s="84">
        <v>6926</v>
      </c>
      <c r="S65" s="84">
        <v>769</v>
      </c>
      <c r="T65" s="84">
        <v>508</v>
      </c>
      <c r="U65" s="84">
        <v>401</v>
      </c>
      <c r="V65" s="84">
        <v>1272</v>
      </c>
      <c r="W65" s="84">
        <v>2254</v>
      </c>
      <c r="X65" s="84">
        <v>3991</v>
      </c>
      <c r="Y65" s="84">
        <v>3622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57</v>
      </c>
      <c r="L66" s="84">
        <v>207</v>
      </c>
      <c r="M66" s="84">
        <v>310</v>
      </c>
      <c r="N66" s="84">
        <v>553</v>
      </c>
      <c r="O66" s="84">
        <v>1215</v>
      </c>
      <c r="P66" s="84">
        <v>1204</v>
      </c>
      <c r="Q66" s="84">
        <v>2582</v>
      </c>
      <c r="R66" s="84">
        <v>5062</v>
      </c>
      <c r="S66" s="84">
        <v>3115</v>
      </c>
      <c r="T66" s="84">
        <v>3466</v>
      </c>
      <c r="U66" s="84">
        <v>1842</v>
      </c>
      <c r="V66" s="84">
        <v>1309</v>
      </c>
      <c r="W66" s="84">
        <v>838</v>
      </c>
      <c r="X66" s="84">
        <v>807</v>
      </c>
      <c r="Y66" s="84">
        <v>456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  <c r="V67" s="84">
        <v>0</v>
      </c>
      <c r="W67" s="84">
        <v>1895</v>
      </c>
      <c r="X67" s="84">
        <v>3544</v>
      </c>
      <c r="Y67" s="84">
        <v>5558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1</v>
      </c>
      <c r="O68" s="84">
        <v>87</v>
      </c>
      <c r="P68" s="84">
        <v>125</v>
      </c>
      <c r="Q68" s="84">
        <v>254</v>
      </c>
      <c r="R68" s="84">
        <v>582</v>
      </c>
      <c r="S68" s="84">
        <v>897</v>
      </c>
      <c r="T68" s="84">
        <v>717</v>
      </c>
      <c r="U68" s="84">
        <v>843</v>
      </c>
      <c r="V68" s="84">
        <v>3236</v>
      </c>
      <c r="W68" s="84">
        <v>3162</v>
      </c>
      <c r="X68" s="84">
        <v>3983</v>
      </c>
      <c r="Y68" s="84">
        <v>8564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2061</v>
      </c>
      <c r="C69" s="110">
        <f t="shared" si="12"/>
        <v>9</v>
      </c>
      <c r="D69" s="110">
        <f t="shared" si="12"/>
        <v>0</v>
      </c>
      <c r="E69" s="110">
        <f t="shared" si="12"/>
        <v>0</v>
      </c>
      <c r="F69" s="110">
        <f t="shared" si="12"/>
        <v>3</v>
      </c>
      <c r="G69" s="110">
        <f t="shared" si="12"/>
        <v>281</v>
      </c>
      <c r="H69" s="110">
        <f t="shared" si="12"/>
        <v>493</v>
      </c>
      <c r="I69" s="110">
        <f t="shared" si="12"/>
        <v>602</v>
      </c>
      <c r="J69" s="110">
        <f t="shared" si="12"/>
        <v>850</v>
      </c>
      <c r="K69" s="110">
        <f t="shared" si="12"/>
        <v>744</v>
      </c>
      <c r="L69" s="110">
        <f t="shared" ref="L69" si="13">SUM(L70:L74)</f>
        <v>724</v>
      </c>
      <c r="M69" s="110">
        <f t="shared" ref="M69:V69" si="14">SUM(M70:M74)</f>
        <v>837</v>
      </c>
      <c r="N69" s="110">
        <f t="shared" si="14"/>
        <v>1078</v>
      </c>
      <c r="O69" s="110">
        <f t="shared" si="14"/>
        <v>1231</v>
      </c>
      <c r="P69" s="110">
        <f t="shared" si="14"/>
        <v>1074</v>
      </c>
      <c r="Q69" s="110">
        <f t="shared" si="14"/>
        <v>816</v>
      </c>
      <c r="R69" s="110">
        <f t="shared" si="14"/>
        <v>1080</v>
      </c>
      <c r="S69" s="110">
        <f t="shared" si="14"/>
        <v>1664</v>
      </c>
      <c r="T69" s="110">
        <f t="shared" si="14"/>
        <v>912</v>
      </c>
      <c r="U69" s="110">
        <f t="shared" si="14"/>
        <v>1583</v>
      </c>
      <c r="V69" s="110">
        <f t="shared" si="14"/>
        <v>1635</v>
      </c>
      <c r="W69" s="110">
        <f t="shared" ref="W69:Y69" si="15">SUM(W70:W74)</f>
        <v>1524</v>
      </c>
      <c r="X69" s="110">
        <f t="shared" si="15"/>
        <v>1448</v>
      </c>
      <c r="Y69" s="110">
        <f t="shared" si="15"/>
        <v>1495</v>
      </c>
      <c r="DA69" s="176" t="s">
        <v>848</v>
      </c>
    </row>
    <row r="70" spans="1:105" ht="11.45" customHeight="1" x14ac:dyDescent="0.25">
      <c r="A70" s="111" t="s">
        <v>110</v>
      </c>
      <c r="B70" s="102">
        <v>1584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0</v>
      </c>
      <c r="DA70" s="175" t="s">
        <v>849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281</v>
      </c>
      <c r="H71" s="102">
        <v>470</v>
      </c>
      <c r="I71" s="102">
        <v>602</v>
      </c>
      <c r="J71" s="102">
        <v>850</v>
      </c>
      <c r="K71" s="102">
        <v>744</v>
      </c>
      <c r="L71" s="102">
        <v>722</v>
      </c>
      <c r="M71" s="102">
        <v>837</v>
      </c>
      <c r="N71" s="102">
        <v>1078</v>
      </c>
      <c r="O71" s="102">
        <v>1230</v>
      </c>
      <c r="P71" s="102">
        <v>1066</v>
      </c>
      <c r="Q71" s="102">
        <v>799</v>
      </c>
      <c r="R71" s="102">
        <v>1015</v>
      </c>
      <c r="S71" s="102">
        <v>793</v>
      </c>
      <c r="T71" s="102">
        <v>705</v>
      </c>
      <c r="U71" s="102">
        <v>1198</v>
      </c>
      <c r="V71" s="102">
        <v>1355</v>
      </c>
      <c r="W71" s="102">
        <v>1447</v>
      </c>
      <c r="X71" s="102">
        <v>1278</v>
      </c>
      <c r="Y71" s="102">
        <v>1254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6</v>
      </c>
      <c r="W72" s="102">
        <v>0</v>
      </c>
      <c r="X72" s="102">
        <v>0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849</v>
      </c>
      <c r="T73" s="102">
        <v>124</v>
      </c>
      <c r="U73" s="102">
        <v>372</v>
      </c>
      <c r="V73" s="102">
        <v>262</v>
      </c>
      <c r="W73" s="102">
        <v>74</v>
      </c>
      <c r="X73" s="102">
        <v>72</v>
      </c>
      <c r="Y73" s="102">
        <v>188</v>
      </c>
      <c r="DA73" s="175" t="s">
        <v>852</v>
      </c>
    </row>
    <row r="74" spans="1:105" ht="11.45" customHeight="1" x14ac:dyDescent="0.25">
      <c r="A74" s="111" t="s">
        <v>115</v>
      </c>
      <c r="B74" s="102">
        <v>477</v>
      </c>
      <c r="C74" s="102">
        <v>9</v>
      </c>
      <c r="D74" s="102">
        <v>0</v>
      </c>
      <c r="E74" s="102">
        <v>0</v>
      </c>
      <c r="F74" s="102">
        <v>3</v>
      </c>
      <c r="G74" s="102">
        <v>0</v>
      </c>
      <c r="H74" s="102">
        <v>23</v>
      </c>
      <c r="I74" s="102">
        <v>0</v>
      </c>
      <c r="J74" s="102">
        <v>0</v>
      </c>
      <c r="K74" s="102">
        <v>0</v>
      </c>
      <c r="L74" s="102">
        <v>2</v>
      </c>
      <c r="M74" s="102">
        <v>0</v>
      </c>
      <c r="N74" s="102">
        <v>0</v>
      </c>
      <c r="O74" s="102">
        <v>1</v>
      </c>
      <c r="P74" s="102">
        <v>8</v>
      </c>
      <c r="Q74" s="102">
        <v>17</v>
      </c>
      <c r="R74" s="102">
        <v>65</v>
      </c>
      <c r="S74" s="102">
        <v>22</v>
      </c>
      <c r="T74" s="102">
        <v>83</v>
      </c>
      <c r="U74" s="102">
        <v>13</v>
      </c>
      <c r="V74" s="102">
        <v>12</v>
      </c>
      <c r="W74" s="102">
        <v>3</v>
      </c>
      <c r="X74" s="102">
        <v>98</v>
      </c>
      <c r="Y74" s="102">
        <v>53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6989</v>
      </c>
      <c r="G75" s="28">
        <f t="shared" si="16"/>
        <v>22165</v>
      </c>
      <c r="H75" s="28">
        <f t="shared" si="16"/>
        <v>26182</v>
      </c>
      <c r="I75" s="28">
        <f t="shared" si="16"/>
        <v>33363</v>
      </c>
      <c r="J75" s="28">
        <f t="shared" si="16"/>
        <v>40191</v>
      </c>
      <c r="K75" s="28">
        <f t="shared" si="16"/>
        <v>16707</v>
      </c>
      <c r="L75" s="28">
        <f t="shared" ref="L75" si="17">L76+L82</f>
        <v>19589</v>
      </c>
      <c r="M75" s="28">
        <f t="shared" ref="M75:V75" si="18">M76+M82</f>
        <v>27080</v>
      </c>
      <c r="N75" s="28">
        <f t="shared" si="18"/>
        <v>23035</v>
      </c>
      <c r="O75" s="28">
        <f t="shared" si="18"/>
        <v>23794</v>
      </c>
      <c r="P75" s="28">
        <f t="shared" si="18"/>
        <v>31818</v>
      </c>
      <c r="Q75" s="28">
        <f t="shared" si="18"/>
        <v>52588</v>
      </c>
      <c r="R75" s="28">
        <f t="shared" si="18"/>
        <v>34115</v>
      </c>
      <c r="S75" s="28">
        <f t="shared" si="18"/>
        <v>37925</v>
      </c>
      <c r="T75" s="28">
        <f t="shared" si="18"/>
        <v>40108</v>
      </c>
      <c r="U75" s="28">
        <f t="shared" si="18"/>
        <v>39352</v>
      </c>
      <c r="V75" s="28">
        <f t="shared" si="18"/>
        <v>36425</v>
      </c>
      <c r="W75" s="28">
        <f t="shared" ref="W75:Y75" si="19">W76+W82</f>
        <v>35317</v>
      </c>
      <c r="X75" s="28">
        <f t="shared" si="19"/>
        <v>37323</v>
      </c>
      <c r="Y75" s="28">
        <f t="shared" si="19"/>
        <v>43769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6989</v>
      </c>
      <c r="G76" s="137">
        <f t="shared" si="20"/>
        <v>22165</v>
      </c>
      <c r="H76" s="137">
        <f t="shared" si="20"/>
        <v>26182</v>
      </c>
      <c r="I76" s="137">
        <f t="shared" si="20"/>
        <v>33363</v>
      </c>
      <c r="J76" s="137">
        <f t="shared" si="20"/>
        <v>40191</v>
      </c>
      <c r="K76" s="137">
        <f t="shared" si="20"/>
        <v>16707</v>
      </c>
      <c r="L76" s="137">
        <f t="shared" ref="L76" si="21">SUM(L77:L81)</f>
        <v>17233</v>
      </c>
      <c r="M76" s="137">
        <f t="shared" ref="M76:V76" si="22">SUM(M77:M81)</f>
        <v>20500</v>
      </c>
      <c r="N76" s="137">
        <f t="shared" si="22"/>
        <v>11272</v>
      </c>
      <c r="O76" s="137">
        <f t="shared" si="22"/>
        <v>15007</v>
      </c>
      <c r="P76" s="137">
        <f t="shared" si="22"/>
        <v>21012</v>
      </c>
      <c r="Q76" s="137">
        <f t="shared" si="22"/>
        <v>36672</v>
      </c>
      <c r="R76" s="137">
        <f t="shared" si="22"/>
        <v>21382</v>
      </c>
      <c r="S76" s="137">
        <f t="shared" si="22"/>
        <v>24077</v>
      </c>
      <c r="T76" s="137">
        <f t="shared" si="22"/>
        <v>27629</v>
      </c>
      <c r="U76" s="137">
        <f t="shared" si="22"/>
        <v>25782</v>
      </c>
      <c r="V76" s="137">
        <f t="shared" si="22"/>
        <v>24666</v>
      </c>
      <c r="W76" s="137">
        <f t="shared" ref="W76:Y76" si="23">SUM(W77:W81)</f>
        <v>24881</v>
      </c>
      <c r="X76" s="137">
        <f t="shared" si="23"/>
        <v>22005</v>
      </c>
      <c r="Y76" s="137">
        <f t="shared" si="23"/>
        <v>30358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1762</v>
      </c>
      <c r="K77" s="84">
        <v>1452</v>
      </c>
      <c r="L77" s="84">
        <v>1841</v>
      </c>
      <c r="M77" s="84">
        <v>2470</v>
      </c>
      <c r="N77" s="84">
        <v>2683</v>
      </c>
      <c r="O77" s="84">
        <v>5571</v>
      </c>
      <c r="P77" s="84">
        <v>8463</v>
      </c>
      <c r="Q77" s="84">
        <v>12163</v>
      </c>
      <c r="R77" s="84">
        <v>7731</v>
      </c>
      <c r="S77" s="84">
        <v>8219</v>
      </c>
      <c r="T77" s="84">
        <v>8276</v>
      </c>
      <c r="U77" s="84">
        <v>8195</v>
      </c>
      <c r="V77" s="84">
        <v>8038</v>
      </c>
      <c r="W77" s="84">
        <v>7712</v>
      </c>
      <c r="X77" s="84">
        <v>8787</v>
      </c>
      <c r="Y77" s="84">
        <v>10735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6989</v>
      </c>
      <c r="G78" s="84">
        <v>22165</v>
      </c>
      <c r="H78" s="84">
        <v>26182</v>
      </c>
      <c r="I78" s="84">
        <v>33363</v>
      </c>
      <c r="J78" s="84">
        <v>38418</v>
      </c>
      <c r="K78" s="84">
        <v>15254</v>
      </c>
      <c r="L78" s="84">
        <v>15389</v>
      </c>
      <c r="M78" s="84">
        <v>18027</v>
      </c>
      <c r="N78" s="84">
        <v>7506</v>
      </c>
      <c r="O78" s="84">
        <v>8252</v>
      </c>
      <c r="P78" s="84">
        <v>9871</v>
      </c>
      <c r="Q78" s="84">
        <v>20740</v>
      </c>
      <c r="R78" s="84">
        <v>9707</v>
      </c>
      <c r="S78" s="84">
        <v>12569</v>
      </c>
      <c r="T78" s="84">
        <v>16287</v>
      </c>
      <c r="U78" s="84">
        <v>15096</v>
      </c>
      <c r="V78" s="84">
        <v>14602</v>
      </c>
      <c r="W78" s="84">
        <v>15714</v>
      </c>
      <c r="X78" s="84">
        <v>12966</v>
      </c>
      <c r="Y78" s="84">
        <v>18995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685</v>
      </c>
      <c r="O79" s="84">
        <v>833</v>
      </c>
      <c r="P79" s="84">
        <v>1550</v>
      </c>
      <c r="Q79" s="84">
        <v>631</v>
      </c>
      <c r="R79" s="84">
        <v>1291</v>
      </c>
      <c r="S79" s="84">
        <v>468</v>
      </c>
      <c r="T79" s="84">
        <v>602</v>
      </c>
      <c r="U79" s="84">
        <v>71</v>
      </c>
      <c r="V79" s="84">
        <v>0</v>
      </c>
      <c r="W79" s="84">
        <v>7</v>
      </c>
      <c r="X79" s="84">
        <v>24</v>
      </c>
      <c r="Y79" s="84">
        <v>63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382</v>
      </c>
      <c r="O80" s="84">
        <v>339</v>
      </c>
      <c r="P80" s="84">
        <v>1117</v>
      </c>
      <c r="Q80" s="84">
        <v>3120</v>
      </c>
      <c r="R80" s="84">
        <v>2633</v>
      </c>
      <c r="S80" s="84">
        <v>2794</v>
      </c>
      <c r="T80" s="84">
        <v>2404</v>
      </c>
      <c r="U80" s="84">
        <v>2291</v>
      </c>
      <c r="V80" s="84">
        <v>1907</v>
      </c>
      <c r="W80" s="84">
        <v>1163</v>
      </c>
      <c r="X80" s="84">
        <v>78</v>
      </c>
      <c r="Y80" s="84">
        <v>48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11</v>
      </c>
      <c r="K81" s="84">
        <v>1</v>
      </c>
      <c r="L81" s="84">
        <v>3</v>
      </c>
      <c r="M81" s="84">
        <v>3</v>
      </c>
      <c r="N81" s="84">
        <v>16</v>
      </c>
      <c r="O81" s="84">
        <v>12</v>
      </c>
      <c r="P81" s="84">
        <v>11</v>
      </c>
      <c r="Q81" s="84">
        <v>18</v>
      </c>
      <c r="R81" s="84">
        <v>20</v>
      </c>
      <c r="S81" s="84">
        <v>27</v>
      </c>
      <c r="T81" s="84">
        <v>60</v>
      </c>
      <c r="U81" s="84">
        <v>129</v>
      </c>
      <c r="V81" s="84">
        <v>119</v>
      </c>
      <c r="W81" s="84">
        <v>285</v>
      </c>
      <c r="X81" s="84">
        <v>150</v>
      </c>
      <c r="Y81" s="84">
        <v>517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0</v>
      </c>
      <c r="I82" s="110">
        <f t="shared" si="24"/>
        <v>0</v>
      </c>
      <c r="J82" s="110">
        <f t="shared" si="24"/>
        <v>0</v>
      </c>
      <c r="K82" s="110">
        <f t="shared" si="24"/>
        <v>0</v>
      </c>
      <c r="L82" s="110">
        <f t="shared" ref="L82" si="25">SUM(L83:L84)</f>
        <v>2356</v>
      </c>
      <c r="M82" s="110">
        <f t="shared" ref="M82:V82" si="26">SUM(M83:M84)</f>
        <v>6580</v>
      </c>
      <c r="N82" s="110">
        <f t="shared" si="26"/>
        <v>11763</v>
      </c>
      <c r="O82" s="110">
        <f t="shared" si="26"/>
        <v>8787</v>
      </c>
      <c r="P82" s="110">
        <f t="shared" si="26"/>
        <v>10806</v>
      </c>
      <c r="Q82" s="110">
        <f t="shared" si="26"/>
        <v>15916</v>
      </c>
      <c r="R82" s="110">
        <f t="shared" si="26"/>
        <v>12733</v>
      </c>
      <c r="S82" s="110">
        <f t="shared" si="26"/>
        <v>13848</v>
      </c>
      <c r="T82" s="110">
        <f t="shared" si="26"/>
        <v>12479</v>
      </c>
      <c r="U82" s="110">
        <f t="shared" si="26"/>
        <v>13570</v>
      </c>
      <c r="V82" s="110">
        <f t="shared" si="26"/>
        <v>11759</v>
      </c>
      <c r="W82" s="110">
        <f t="shared" ref="W82:Y82" si="27">SUM(W83:W84)</f>
        <v>10436</v>
      </c>
      <c r="X82" s="110">
        <f t="shared" si="27"/>
        <v>15318</v>
      </c>
      <c r="Y82" s="110">
        <f t="shared" si="27"/>
        <v>13411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0</v>
      </c>
      <c r="J83" s="102">
        <v>0</v>
      </c>
      <c r="K83" s="102">
        <v>0</v>
      </c>
      <c r="L83" s="102">
        <v>1121</v>
      </c>
      <c r="M83" s="102">
        <v>5225</v>
      </c>
      <c r="N83" s="102">
        <v>10958</v>
      </c>
      <c r="O83" s="102">
        <v>6785</v>
      </c>
      <c r="P83" s="102">
        <v>9837</v>
      </c>
      <c r="Q83" s="102">
        <v>14049</v>
      </c>
      <c r="R83" s="102">
        <v>11977</v>
      </c>
      <c r="S83" s="102">
        <v>12745</v>
      </c>
      <c r="T83" s="102">
        <v>12357</v>
      </c>
      <c r="U83" s="102">
        <v>11728</v>
      </c>
      <c r="V83" s="102">
        <v>8106</v>
      </c>
      <c r="W83" s="102">
        <v>7838</v>
      </c>
      <c r="X83" s="102">
        <v>12625</v>
      </c>
      <c r="Y83" s="102">
        <v>12534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1235</v>
      </c>
      <c r="M84" s="86">
        <v>1355</v>
      </c>
      <c r="N84" s="86">
        <v>805</v>
      </c>
      <c r="O84" s="86">
        <v>2002</v>
      </c>
      <c r="P84" s="86">
        <v>969</v>
      </c>
      <c r="Q84" s="86">
        <v>1867</v>
      </c>
      <c r="R84" s="86">
        <v>756</v>
      </c>
      <c r="S84" s="86">
        <v>1103</v>
      </c>
      <c r="T84" s="86">
        <v>122</v>
      </c>
      <c r="U84" s="86">
        <v>1842</v>
      </c>
      <c r="V84" s="86">
        <v>3653</v>
      </c>
      <c r="W84" s="86">
        <v>2598</v>
      </c>
      <c r="X84" s="86">
        <v>2693</v>
      </c>
      <c r="Y84" s="86">
        <v>877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3.853893083319663</v>
      </c>
      <c r="C90" s="141">
        <v>3.8382307925871375</v>
      </c>
      <c r="D90" s="141">
        <v>3.8241896675333806</v>
      </c>
      <c r="E90" s="141">
        <v>3.8205280439513705</v>
      </c>
      <c r="F90" s="141">
        <v>3.8074770427678275</v>
      </c>
      <c r="G90" s="141">
        <v>3.7736919224746828</v>
      </c>
      <c r="H90" s="141">
        <v>3.7480028335074116</v>
      </c>
      <c r="I90" s="141">
        <v>3.7191278724797057</v>
      </c>
      <c r="J90" s="141">
        <v>3.692497926572861</v>
      </c>
      <c r="K90" s="141">
        <v>3.6747838548763565</v>
      </c>
      <c r="L90" s="141">
        <v>3.640441406988578</v>
      </c>
      <c r="M90" s="141">
        <v>3.6056763910744021</v>
      </c>
      <c r="N90" s="141">
        <v>3.5607826383725016</v>
      </c>
      <c r="O90" s="141">
        <v>3.5390192819261137</v>
      </c>
      <c r="P90" s="141">
        <v>3.4985815283602801</v>
      </c>
      <c r="Q90" s="141">
        <v>3.4285739129125319</v>
      </c>
      <c r="R90" s="141">
        <v>3.3796818027896793</v>
      </c>
      <c r="S90" s="141">
        <v>3.3440443149494152</v>
      </c>
      <c r="T90" s="141">
        <v>3.2934358112321287</v>
      </c>
      <c r="U90" s="141">
        <v>3.2423871354125229</v>
      </c>
      <c r="V90" s="141">
        <v>3.189174466741056</v>
      </c>
      <c r="W90" s="141">
        <v>3.1611589864790011</v>
      </c>
      <c r="X90" s="141">
        <v>3.0981953493719723</v>
      </c>
      <c r="Y90" s="141">
        <v>3.0443669174556907</v>
      </c>
      <c r="DA90" s="174" t="s">
        <v>864</v>
      </c>
    </row>
    <row r="91" spans="1:105" ht="11.45" customHeight="1" x14ac:dyDescent="0.25">
      <c r="A91" s="109" t="s">
        <v>20</v>
      </c>
      <c r="B91" s="130">
        <v>7.5086084451773232</v>
      </c>
      <c r="C91" s="130">
        <v>7.3855378206130871</v>
      </c>
      <c r="D91" s="130">
        <v>7.3150932178786414</v>
      </c>
      <c r="E91" s="130">
        <v>7.2503454339011375</v>
      </c>
      <c r="F91" s="130">
        <v>7.1900996191307289</v>
      </c>
      <c r="G91" s="130">
        <v>7.1280126478523238</v>
      </c>
      <c r="H91" s="130">
        <v>7.0872544284192331</v>
      </c>
      <c r="I91" s="130">
        <v>7.0425887017183095</v>
      </c>
      <c r="J91" s="130">
        <v>6.9978150500293523</v>
      </c>
      <c r="K91" s="130">
        <v>6.9369296848155049</v>
      </c>
      <c r="L91" s="130">
        <v>6.8710773355421964</v>
      </c>
      <c r="M91" s="130">
        <v>6.8064685595867829</v>
      </c>
      <c r="N91" s="130">
        <v>6.7573189517710004</v>
      </c>
      <c r="O91" s="130">
        <v>6.7075640828017375</v>
      </c>
      <c r="P91" s="130">
        <v>6.6268773898257409</v>
      </c>
      <c r="Q91" s="130">
        <v>6.4847859813998863</v>
      </c>
      <c r="R91" s="130">
        <v>6.3582300403130736</v>
      </c>
      <c r="S91" s="130">
        <v>6.2280647231659305</v>
      </c>
      <c r="T91" s="130">
        <v>6.1019339110513373</v>
      </c>
      <c r="U91" s="130">
        <v>6.0217400970700892</v>
      </c>
      <c r="V91" s="130">
        <v>5.9289718742494664</v>
      </c>
      <c r="W91" s="130">
        <v>5.8318901190716996</v>
      </c>
      <c r="X91" s="130">
        <v>5.7406527108932055</v>
      </c>
      <c r="Y91" s="130">
        <v>5.6405110913116845</v>
      </c>
      <c r="DA91" s="176" t="s">
        <v>865</v>
      </c>
    </row>
    <row r="92" spans="1:105" ht="11.45" customHeight="1" x14ac:dyDescent="0.25">
      <c r="A92" s="111" t="s">
        <v>110</v>
      </c>
      <c r="B92" s="96">
        <v>7.5227750959385062</v>
      </c>
      <c r="C92" s="96">
        <v>7.4249950450210784</v>
      </c>
      <c r="D92" s="96">
        <v>7.3679065818173903</v>
      </c>
      <c r="E92" s="96">
        <v>7.3135169555424886</v>
      </c>
      <c r="F92" s="96">
        <v>7.2595197131572755</v>
      </c>
      <c r="G92" s="96">
        <v>7.203714249416028</v>
      </c>
      <c r="H92" s="96">
        <v>7.1506853468255214</v>
      </c>
      <c r="I92" s="96">
        <v>7.0940727992107009</v>
      </c>
      <c r="J92" s="96">
        <v>7.0380807275730248</v>
      </c>
      <c r="K92" s="96">
        <v>6.9698075996301707</v>
      </c>
      <c r="L92" s="96">
        <v>6.8972338869665988</v>
      </c>
      <c r="M92" s="96">
        <v>6.8217661503033451</v>
      </c>
      <c r="N92" s="96">
        <v>6.7557941809882029</v>
      </c>
      <c r="O92" s="96">
        <v>6.6817441626650353</v>
      </c>
      <c r="P92" s="96">
        <v>6.575280285290698</v>
      </c>
      <c r="Q92" s="96">
        <v>6.4002747057224143</v>
      </c>
      <c r="R92" s="96">
        <v>6.2552887539827262</v>
      </c>
      <c r="S92" s="96">
        <v>6.1053558895691857</v>
      </c>
      <c r="T92" s="96">
        <v>5.955496624305491</v>
      </c>
      <c r="U92" s="96">
        <v>5.8570182687190906</v>
      </c>
      <c r="V92" s="96">
        <v>5.7561916708636911</v>
      </c>
      <c r="W92" s="96">
        <v>5.6540312033492706</v>
      </c>
      <c r="X92" s="96">
        <v>5.5611026250805686</v>
      </c>
      <c r="Y92" s="96">
        <v>5.4907847694796779</v>
      </c>
      <c r="DA92" s="171" t="s">
        <v>866</v>
      </c>
    </row>
    <row r="93" spans="1:105" ht="11.45" customHeight="1" x14ac:dyDescent="0.25">
      <c r="A93" s="111" t="s">
        <v>111</v>
      </c>
      <c r="B93" s="96">
        <v>7.1602603128048665</v>
      </c>
      <c r="C93" s="96">
        <v>6.6716154628135937</v>
      </c>
      <c r="D93" s="96">
        <v>6.5378327676333905</v>
      </c>
      <c r="E93" s="96">
        <v>6.463632595832328</v>
      </c>
      <c r="F93" s="96">
        <v>6.3963059897384449</v>
      </c>
      <c r="G93" s="96">
        <v>6.3432780256461703</v>
      </c>
      <c r="H93" s="96">
        <v>6.3724588416606229</v>
      </c>
      <c r="I93" s="96">
        <v>6.3994822373084563</v>
      </c>
      <c r="J93" s="96">
        <v>6.4250917524140414</v>
      </c>
      <c r="K93" s="96">
        <v>6.4224422419661638</v>
      </c>
      <c r="L93" s="96">
        <v>6.4089777883259913</v>
      </c>
      <c r="M93" s="96">
        <v>6.3892499625334978</v>
      </c>
      <c r="N93" s="96">
        <v>6.3709215301402011</v>
      </c>
      <c r="O93" s="96">
        <v>6.3470008105102274</v>
      </c>
      <c r="P93" s="96">
        <v>6.2955168527356378</v>
      </c>
      <c r="Q93" s="96">
        <v>6.2049103984175815</v>
      </c>
      <c r="R93" s="96">
        <v>6.1074058409046694</v>
      </c>
      <c r="S93" s="96">
        <v>6.0264776207821011</v>
      </c>
      <c r="T93" s="96">
        <v>5.9594371423385342</v>
      </c>
      <c r="U93" s="96">
        <v>5.8944019718111509</v>
      </c>
      <c r="V93" s="96">
        <v>5.8296601080571229</v>
      </c>
      <c r="W93" s="96">
        <v>5.7451557031239258</v>
      </c>
      <c r="X93" s="96">
        <v>5.6551157293025964</v>
      </c>
      <c r="Y93" s="96">
        <v>5.5780942067953889</v>
      </c>
      <c r="DA93" s="171" t="s">
        <v>867</v>
      </c>
    </row>
    <row r="94" spans="1:105" ht="11.45" customHeight="1" x14ac:dyDescent="0.25">
      <c r="A94" s="111" t="s">
        <v>112</v>
      </c>
      <c r="B94" s="96">
        <v>8.7653703963201224</v>
      </c>
      <c r="C94" s="96">
        <v>8.4049413318053485</v>
      </c>
      <c r="D94" s="96">
        <v>8.2613439633853698</v>
      </c>
      <c r="E94" s="96">
        <v>8.155796163754669</v>
      </c>
      <c r="F94" s="96">
        <v>8.0519731623803139</v>
      </c>
      <c r="G94" s="96">
        <v>7.9981952949720458</v>
      </c>
      <c r="H94" s="96">
        <v>7.9837795419934068</v>
      </c>
      <c r="I94" s="96">
        <v>7.9729599707152845</v>
      </c>
      <c r="J94" s="96">
        <v>7.962805248987185</v>
      </c>
      <c r="K94" s="96">
        <v>7.9504438100035539</v>
      </c>
      <c r="L94" s="96">
        <v>7.9461132976759297</v>
      </c>
      <c r="M94" s="96">
        <v>7.9709887722645272</v>
      </c>
      <c r="N94" s="96">
        <v>8.016108715224167</v>
      </c>
      <c r="O94" s="96">
        <v>8.0349210969167828</v>
      </c>
      <c r="P94" s="96">
        <v>8.0147231617253674</v>
      </c>
      <c r="Q94" s="96">
        <v>7.9828589206147811</v>
      </c>
      <c r="R94" s="96">
        <v>7.9826532619070534</v>
      </c>
      <c r="S94" s="96">
        <v>7.9712878833522485</v>
      </c>
      <c r="T94" s="96">
        <v>7.9634474346647437</v>
      </c>
      <c r="U94" s="96">
        <v>7.9547140121486866</v>
      </c>
      <c r="V94" s="96">
        <v>7.9190715347773084</v>
      </c>
      <c r="W94" s="96">
        <v>7.8493914498560002</v>
      </c>
      <c r="X94" s="96">
        <v>7.7166579348578423</v>
      </c>
      <c r="Y94" s="96">
        <v>7.4768501907133338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7.4573682603245963</v>
      </c>
      <c r="K95" s="96">
        <v>7.5410494970348152</v>
      </c>
      <c r="L95" s="96">
        <v>7.3246219759997944</v>
      </c>
      <c r="M95" s="96">
        <v>7.3365371709073068</v>
      </c>
      <c r="N95" s="96">
        <v>7.0381256849010061</v>
      </c>
      <c r="O95" s="96">
        <v>6.5259515612546943</v>
      </c>
      <c r="P95" s="96">
        <v>6.095211995933675</v>
      </c>
      <c r="Q95" s="96">
        <v>5.6422112427798172</v>
      </c>
      <c r="R95" s="96">
        <v>5.3745900324884461</v>
      </c>
      <c r="S95" s="96">
        <v>5.2925800626509654</v>
      </c>
      <c r="T95" s="96">
        <v>5.2876864308272031</v>
      </c>
      <c r="U95" s="96">
        <v>5.2527774005069743</v>
      </c>
      <c r="V95" s="96">
        <v>5.191769055545973</v>
      </c>
      <c r="W95" s="96">
        <v>5.1132238939614352</v>
      </c>
      <c r="X95" s="96">
        <v>5.0526898289347182</v>
      </c>
      <c r="Y95" s="96">
        <v>5.0387102326670856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2.4466514969593725</v>
      </c>
      <c r="O96" s="96">
        <v>2.5434277823758666</v>
      </c>
      <c r="P96" s="96">
        <v>2.1454161440886015</v>
      </c>
      <c r="Q96" s="96">
        <v>3.0863197627375949</v>
      </c>
      <c r="R96" s="96">
        <v>2.7273183625759558</v>
      </c>
      <c r="S96" s="96">
        <v>2.9493689239571115</v>
      </c>
      <c r="T96" s="96">
        <v>2.917022827617656</v>
      </c>
      <c r="U96" s="96">
        <v>2.9139290157743654</v>
      </c>
      <c r="V96" s="96">
        <v>2.8313731113385878</v>
      </c>
      <c r="W96" s="96">
        <v>2.6829158576294638</v>
      </c>
      <c r="X96" s="96">
        <v>2.6850978863734571</v>
      </c>
      <c r="Y96" s="96">
        <v>2.6719823198852963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1.1136741883026875</v>
      </c>
      <c r="M97" s="96">
        <v>1.1136741883026875</v>
      </c>
      <c r="N97" s="96">
        <v>1.0947215350430386</v>
      </c>
      <c r="O97" s="96">
        <v>1.0774289191885389</v>
      </c>
      <c r="P97" s="96">
        <v>1.0705219347220909</v>
      </c>
      <c r="Q97" s="96">
        <v>1.0910620686509638</v>
      </c>
      <c r="R97" s="96">
        <v>1.2022296097558338</v>
      </c>
      <c r="S97" s="96">
        <v>1.1846839692593012</v>
      </c>
      <c r="T97" s="96">
        <v>1.1994292707277652</v>
      </c>
      <c r="U97" s="96">
        <v>1.2699602541330766</v>
      </c>
      <c r="V97" s="96">
        <v>1.2988005568542718</v>
      </c>
      <c r="W97" s="96">
        <v>1.3705477168582798</v>
      </c>
      <c r="X97" s="96">
        <v>1.4153409712012623</v>
      </c>
      <c r="Y97" s="96">
        <v>1.4446756480635139</v>
      </c>
      <c r="DA97" s="171" t="s">
        <v>871</v>
      </c>
    </row>
    <row r="98" spans="1:105" ht="11.45" customHeight="1" x14ac:dyDescent="0.25">
      <c r="A98" s="109" t="s">
        <v>21</v>
      </c>
      <c r="B98" s="130">
        <v>45.461459910384669</v>
      </c>
      <c r="C98" s="130">
        <v>45.375032977183587</v>
      </c>
      <c r="D98" s="130">
        <v>44.753160255620159</v>
      </c>
      <c r="E98" s="130">
        <v>44.845577008986254</v>
      </c>
      <c r="F98" s="130">
        <v>44.623226679484269</v>
      </c>
      <c r="G98" s="130">
        <v>44.613730740643987</v>
      </c>
      <c r="H98" s="130">
        <v>44.541225938963727</v>
      </c>
      <c r="I98" s="130">
        <v>44.389507945173811</v>
      </c>
      <c r="J98" s="130">
        <v>44.237434316157383</v>
      </c>
      <c r="K98" s="130">
        <v>44.079581220292539</v>
      </c>
      <c r="L98" s="130">
        <v>43.875549111366368</v>
      </c>
      <c r="M98" s="130">
        <v>43.582662258307927</v>
      </c>
      <c r="N98" s="130">
        <v>43.32412238990544</v>
      </c>
      <c r="O98" s="130">
        <v>42.882908310600364</v>
      </c>
      <c r="P98" s="130">
        <v>42.544307506440461</v>
      </c>
      <c r="Q98" s="130">
        <v>42.165654912966119</v>
      </c>
      <c r="R98" s="130">
        <v>41.899279631286376</v>
      </c>
      <c r="S98" s="130">
        <v>41.827673678556749</v>
      </c>
      <c r="T98" s="130">
        <v>41.644418642921671</v>
      </c>
      <c r="U98" s="130">
        <v>41.187085275008606</v>
      </c>
      <c r="V98" s="130">
        <v>39.834839836428138</v>
      </c>
      <c r="W98" s="130">
        <v>39.385283445819923</v>
      </c>
      <c r="X98" s="130">
        <v>38.926584263532824</v>
      </c>
      <c r="Y98" s="130">
        <v>38.276791884526482</v>
      </c>
      <c r="DA98" s="176" t="s">
        <v>872</v>
      </c>
    </row>
    <row r="99" spans="1:105" ht="11.45" customHeight="1" x14ac:dyDescent="0.25">
      <c r="A99" s="111" t="s">
        <v>110</v>
      </c>
      <c r="B99" s="97">
        <v>18.582448075298945</v>
      </c>
      <c r="C99" s="97">
        <v>18.582448075298945</v>
      </c>
      <c r="D99" s="97">
        <v>18.582448075298945</v>
      </c>
      <c r="E99" s="97">
        <v>18.582448075298945</v>
      </c>
      <c r="F99" s="97">
        <v>18.582448075298942</v>
      </c>
      <c r="G99" s="97">
        <v>18.582448075298945</v>
      </c>
      <c r="H99" s="97">
        <v>18.582448075298945</v>
      </c>
      <c r="I99" s="97">
        <v>18.582448075298949</v>
      </c>
      <c r="J99" s="97">
        <v>18.582448075298949</v>
      </c>
      <c r="K99" s="97">
        <v>18.582448075298945</v>
      </c>
      <c r="L99" s="97">
        <v>18.582448075298945</v>
      </c>
      <c r="M99" s="97">
        <v>18.582448075298945</v>
      </c>
      <c r="N99" s="97">
        <v>18.582448075298945</v>
      </c>
      <c r="O99" s="97">
        <v>18.582448075298942</v>
      </c>
      <c r="P99" s="97">
        <v>18.582448075298945</v>
      </c>
      <c r="Q99" s="97">
        <v>18.582448075298945</v>
      </c>
      <c r="R99" s="97">
        <v>18.582448075298945</v>
      </c>
      <c r="S99" s="97">
        <v>18.582448075298945</v>
      </c>
      <c r="T99" s="97">
        <v>18.582448075298945</v>
      </c>
      <c r="U99" s="97">
        <v>18.582448075298945</v>
      </c>
      <c r="V99" s="97">
        <v>18.582448075298945</v>
      </c>
      <c r="W99" s="97">
        <v>18.582448075298942</v>
      </c>
      <c r="X99" s="97">
        <v>18.582448075298945</v>
      </c>
      <c r="Y99" s="97">
        <v>18.582448075298945</v>
      </c>
      <c r="DA99" s="175" t="s">
        <v>873</v>
      </c>
    </row>
    <row r="100" spans="1:105" ht="11.45" customHeight="1" x14ac:dyDescent="0.25">
      <c r="A100" s="111" t="s">
        <v>111</v>
      </c>
      <c r="B100" s="97">
        <v>50.955036959010855</v>
      </c>
      <c r="C100" s="97">
        <v>50.028672327935098</v>
      </c>
      <c r="D100" s="97">
        <v>49.8401659840614</v>
      </c>
      <c r="E100" s="97">
        <v>49.425332910432083</v>
      </c>
      <c r="F100" s="97">
        <v>48.885597981883791</v>
      </c>
      <c r="G100" s="97">
        <v>48.58023579072826</v>
      </c>
      <c r="H100" s="97">
        <v>48.299824178653346</v>
      </c>
      <c r="I100" s="97">
        <v>48.001494925347409</v>
      </c>
      <c r="J100" s="97">
        <v>47.64710122886067</v>
      </c>
      <c r="K100" s="97">
        <v>47.301603811978147</v>
      </c>
      <c r="L100" s="97">
        <v>47.034812215431295</v>
      </c>
      <c r="M100" s="97">
        <v>46.701237539770766</v>
      </c>
      <c r="N100" s="97">
        <v>46.304997921201121</v>
      </c>
      <c r="O100" s="97">
        <v>45.82423998878523</v>
      </c>
      <c r="P100" s="97">
        <v>45.480635839714346</v>
      </c>
      <c r="Q100" s="97">
        <v>45.19017424583317</v>
      </c>
      <c r="R100" s="97">
        <v>44.937670981538538</v>
      </c>
      <c r="S100" s="97">
        <v>44.716694489246244</v>
      </c>
      <c r="T100" s="97">
        <v>44.469368912176328</v>
      </c>
      <c r="U100" s="97">
        <v>43.906973312703158</v>
      </c>
      <c r="V100" s="97">
        <v>42.760453288063381</v>
      </c>
      <c r="W100" s="97">
        <v>41.88547535565263</v>
      </c>
      <c r="X100" s="97">
        <v>41.131728960948159</v>
      </c>
      <c r="Y100" s="97">
        <v>40.215240080463985</v>
      </c>
      <c r="DA100" s="175" t="s">
        <v>874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34.068221904678907</v>
      </c>
      <c r="W101" s="97">
        <v>34.0682219046789</v>
      </c>
      <c r="X101" s="97">
        <v>34.0682219046789</v>
      </c>
      <c r="Y101" s="97">
        <v>34.068221904678907</v>
      </c>
      <c r="DA101" s="175" t="s">
        <v>875</v>
      </c>
    </row>
    <row r="102" spans="1:105" ht="11.45" customHeight="1" x14ac:dyDescent="0.25">
      <c r="A102" s="111" t="s">
        <v>113</v>
      </c>
      <c r="B102" s="97">
        <v>43.275566650477714</v>
      </c>
      <c r="C102" s="97">
        <v>41.657734402590222</v>
      </c>
      <c r="D102" s="97">
        <v>40.323439017623301</v>
      </c>
      <c r="E102" s="97">
        <v>39.870369179098091</v>
      </c>
      <c r="F102" s="97">
        <v>39.72592866003091</v>
      </c>
      <c r="G102" s="97">
        <v>39.580713026558584</v>
      </c>
      <c r="H102" s="97">
        <v>39.426478521266311</v>
      </c>
      <c r="I102" s="97">
        <v>38.582676545556666</v>
      </c>
      <c r="J102" s="97">
        <v>38.582676545556659</v>
      </c>
      <c r="K102" s="97">
        <v>38.582676545556666</v>
      </c>
      <c r="L102" s="97">
        <v>38.582676545556659</v>
      </c>
      <c r="M102" s="97">
        <v>38.582676545556652</v>
      </c>
      <c r="N102" s="97">
        <v>38.4582922008209</v>
      </c>
      <c r="O102" s="97">
        <v>38.269092269287171</v>
      </c>
      <c r="P102" s="97">
        <v>36.348091774766303</v>
      </c>
      <c r="Q102" s="97">
        <v>35.99999999992361</v>
      </c>
      <c r="R102" s="97">
        <v>35.949214183480052</v>
      </c>
      <c r="S102" s="97">
        <v>35.576303352198764</v>
      </c>
      <c r="T102" s="97">
        <v>35.561288011518485</v>
      </c>
      <c r="U102" s="97">
        <v>35.499430083304659</v>
      </c>
      <c r="V102" s="97">
        <v>35.450955070664754</v>
      </c>
      <c r="W102" s="97">
        <v>35.430436461672656</v>
      </c>
      <c r="X102" s="97">
        <v>35.409738645718214</v>
      </c>
      <c r="Y102" s="97">
        <v>35.346652385093059</v>
      </c>
      <c r="DA102" s="175" t="s">
        <v>876</v>
      </c>
    </row>
    <row r="103" spans="1:105" ht="11.45" customHeight="1" x14ac:dyDescent="0.25">
      <c r="A103" s="111" t="s">
        <v>115</v>
      </c>
      <c r="B103" s="97">
        <v>30.586048915120923</v>
      </c>
      <c r="C103" s="97">
        <v>30.416473624839366</v>
      </c>
      <c r="D103" s="97">
        <v>30.413910110343352</v>
      </c>
      <c r="E103" s="97">
        <v>30.413126484677566</v>
      </c>
      <c r="F103" s="97">
        <v>30.361465734255319</v>
      </c>
      <c r="G103" s="97">
        <v>30.359389452338817</v>
      </c>
      <c r="H103" s="97">
        <v>29.89549237461415</v>
      </c>
      <c r="I103" s="97">
        <v>29.892175348503034</v>
      </c>
      <c r="J103" s="97">
        <v>29.890636769618396</v>
      </c>
      <c r="K103" s="97">
        <v>29.88606031054093</v>
      </c>
      <c r="L103" s="97">
        <v>29.840404786557396</v>
      </c>
      <c r="M103" s="97">
        <v>29.833812306228374</v>
      </c>
      <c r="N103" s="97">
        <v>29.833812306228374</v>
      </c>
      <c r="O103" s="97">
        <v>29.784178090498671</v>
      </c>
      <c r="P103" s="97">
        <v>29.556080538175905</v>
      </c>
      <c r="Q103" s="97">
        <v>29.085997159132965</v>
      </c>
      <c r="R103" s="97">
        <v>27.596126538484246</v>
      </c>
      <c r="S103" s="97">
        <v>26.956447869370251</v>
      </c>
      <c r="T103" s="97">
        <v>25.587884276971398</v>
      </c>
      <c r="U103" s="97">
        <v>25.220546384808202</v>
      </c>
      <c r="V103" s="97">
        <v>24.968276607501732</v>
      </c>
      <c r="W103" s="97">
        <v>24.49669510400048</v>
      </c>
      <c r="X103" s="97">
        <v>23.033048680927507</v>
      </c>
      <c r="Y103" s="97">
        <v>22.387287143881533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10.396263387702158</v>
      </c>
      <c r="C105" s="141">
        <v>9.7837635077059364</v>
      </c>
      <c r="D105" s="141">
        <v>9.5149419276608871</v>
      </c>
      <c r="E105" s="141">
        <v>9.3177277309784969</v>
      </c>
      <c r="F105" s="141">
        <v>9.122148294492245</v>
      </c>
      <c r="G105" s="141">
        <v>8.9410121830184934</v>
      </c>
      <c r="H105" s="141">
        <v>8.7933758185195785</v>
      </c>
      <c r="I105" s="141">
        <v>8.6797442382543384</v>
      </c>
      <c r="J105" s="141">
        <v>8.5917620241830353</v>
      </c>
      <c r="K105" s="141">
        <v>8.5269752354810624</v>
      </c>
      <c r="L105" s="141">
        <v>8.5059179095900053</v>
      </c>
      <c r="M105" s="141">
        <v>8.5088852673691733</v>
      </c>
      <c r="N105" s="141">
        <v>8.499462043732855</v>
      </c>
      <c r="O105" s="141">
        <v>8.473470675792738</v>
      </c>
      <c r="P105" s="141">
        <v>8.4447471114918784</v>
      </c>
      <c r="Q105" s="141">
        <v>8.3713253799778844</v>
      </c>
      <c r="R105" s="141">
        <v>8.2907861244936925</v>
      </c>
      <c r="S105" s="141">
        <v>8.2076562812193856</v>
      </c>
      <c r="T105" s="141">
        <v>8.1044891086517676</v>
      </c>
      <c r="U105" s="141">
        <v>8.0004004413737153</v>
      </c>
      <c r="V105" s="141">
        <v>7.9280498439845442</v>
      </c>
      <c r="W105" s="141">
        <v>7.8293496495308599</v>
      </c>
      <c r="X105" s="141">
        <v>7.7562653277752656</v>
      </c>
      <c r="Y105" s="141">
        <v>7.6756192188397616</v>
      </c>
      <c r="DA105" s="174" t="s">
        <v>878</v>
      </c>
    </row>
    <row r="106" spans="1:105" ht="11.45" customHeight="1" x14ac:dyDescent="0.25">
      <c r="A106" s="111" t="s">
        <v>110</v>
      </c>
      <c r="B106" s="96">
        <v>8.5230155795573204</v>
      </c>
      <c r="C106" s="96">
        <v>8.2692774439187708</v>
      </c>
      <c r="D106" s="96">
        <v>8.1425244196109414</v>
      </c>
      <c r="E106" s="96">
        <v>8.0937762914747502</v>
      </c>
      <c r="F106" s="96">
        <v>8.0169128113020651</v>
      </c>
      <c r="G106" s="96">
        <v>7.9197505299145607</v>
      </c>
      <c r="H106" s="96">
        <v>7.8116013776687225</v>
      </c>
      <c r="I106" s="96">
        <v>7.7255151285095067</v>
      </c>
      <c r="J106" s="96">
        <v>7.6493048949740796</v>
      </c>
      <c r="K106" s="96">
        <v>7.6118824604721622</v>
      </c>
      <c r="L106" s="96">
        <v>7.5760366131821959</v>
      </c>
      <c r="M106" s="96">
        <v>7.5519002977096674</v>
      </c>
      <c r="N106" s="96">
        <v>7.528291270716049</v>
      </c>
      <c r="O106" s="96">
        <v>7.5028148594902637</v>
      </c>
      <c r="P106" s="96">
        <v>7.4242760169836162</v>
      </c>
      <c r="Q106" s="96">
        <v>7.29991898346396</v>
      </c>
      <c r="R106" s="96">
        <v>7.2036637829724102</v>
      </c>
      <c r="S106" s="96">
        <v>7.0910521271731231</v>
      </c>
      <c r="T106" s="96">
        <v>6.9781052587798635</v>
      </c>
      <c r="U106" s="96">
        <v>6.861037214246049</v>
      </c>
      <c r="V106" s="96">
        <v>6.7575475315196991</v>
      </c>
      <c r="W106" s="96">
        <v>6.6155464241969542</v>
      </c>
      <c r="X106" s="96">
        <v>6.4854067937150059</v>
      </c>
      <c r="Y106" s="96">
        <v>6.3474776524903316</v>
      </c>
      <c r="DA106" s="171" t="s">
        <v>879</v>
      </c>
    </row>
    <row r="107" spans="1:105" ht="11.45" customHeight="1" x14ac:dyDescent="0.25">
      <c r="A107" s="111" t="s">
        <v>111</v>
      </c>
      <c r="B107" s="96">
        <v>10.705506798829065</v>
      </c>
      <c r="C107" s="96">
        <v>9.7334042172407376</v>
      </c>
      <c r="D107" s="96">
        <v>9.4414442090502391</v>
      </c>
      <c r="E107" s="96">
        <v>9.1865473188120816</v>
      </c>
      <c r="F107" s="96">
        <v>8.9927065782941664</v>
      </c>
      <c r="G107" s="96">
        <v>8.8601142935900583</v>
      </c>
      <c r="H107" s="96">
        <v>8.782311002362043</v>
      </c>
      <c r="I107" s="96">
        <v>8.7207200889007392</v>
      </c>
      <c r="J107" s="96">
        <v>8.6871630329158727</v>
      </c>
      <c r="K107" s="96">
        <v>8.6385253069517116</v>
      </c>
      <c r="L107" s="96">
        <v>8.6344263076467396</v>
      </c>
      <c r="M107" s="96">
        <v>8.648859238973909</v>
      </c>
      <c r="N107" s="96">
        <v>8.6250865591520078</v>
      </c>
      <c r="O107" s="96">
        <v>8.5895732706226884</v>
      </c>
      <c r="P107" s="96">
        <v>8.5541239316762212</v>
      </c>
      <c r="Q107" s="96">
        <v>8.4963694063650124</v>
      </c>
      <c r="R107" s="96">
        <v>8.4225787501952123</v>
      </c>
      <c r="S107" s="96">
        <v>8.3405169813900191</v>
      </c>
      <c r="T107" s="96">
        <v>8.2290294793238719</v>
      </c>
      <c r="U107" s="96">
        <v>8.1261534115180858</v>
      </c>
      <c r="V107" s="96">
        <v>8.0706553284253388</v>
      </c>
      <c r="W107" s="96">
        <v>7.9895636270196251</v>
      </c>
      <c r="X107" s="96">
        <v>7.9325679589127702</v>
      </c>
      <c r="Y107" s="96">
        <v>7.8728130277344102</v>
      </c>
      <c r="DA107" s="171" t="s">
        <v>880</v>
      </c>
    </row>
    <row r="108" spans="1:105" ht="11.45" customHeight="1" x14ac:dyDescent="0.25">
      <c r="A108" s="111" t="s">
        <v>112</v>
      </c>
      <c r="B108" s="96">
        <v>19.209456573963017</v>
      </c>
      <c r="C108" s="96">
        <v>18.962897113876402</v>
      </c>
      <c r="D108" s="96">
        <v>18.376709028694837</v>
      </c>
      <c r="E108" s="96">
        <v>17.760096345624476</v>
      </c>
      <c r="F108" s="96">
        <v>16.968684827161589</v>
      </c>
      <c r="G108" s="96">
        <v>16.285813128663932</v>
      </c>
      <c r="H108" s="96">
        <v>15.449889624319292</v>
      </c>
      <c r="I108" s="96">
        <v>14.72168057754207</v>
      </c>
      <c r="J108" s="96">
        <v>14.361247134033565</v>
      </c>
      <c r="K108" s="96">
        <v>13.860260125695637</v>
      </c>
      <c r="L108" s="96">
        <v>13.525069100885284</v>
      </c>
      <c r="M108" s="96">
        <v>13.13960695063659</v>
      </c>
      <c r="N108" s="96">
        <v>12.845179830118157</v>
      </c>
      <c r="O108" s="96">
        <v>12.738774411887015</v>
      </c>
      <c r="P108" s="96">
        <v>12.638775183600316</v>
      </c>
      <c r="Q108" s="96">
        <v>12.516769806808963</v>
      </c>
      <c r="R108" s="96">
        <v>12.425678579856298</v>
      </c>
      <c r="S108" s="96">
        <v>12.270104917849979</v>
      </c>
      <c r="T108" s="96">
        <v>12.044175531150918</v>
      </c>
      <c r="U108" s="96">
        <v>11.96085159647239</v>
      </c>
      <c r="V108" s="96">
        <v>11.919077099626367</v>
      </c>
      <c r="W108" s="96">
        <v>11.861839925692367</v>
      </c>
      <c r="X108" s="96">
        <v>11.753672466975862</v>
      </c>
      <c r="Y108" s="96">
        <v>11.570242065064226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10.10035754368444</v>
      </c>
      <c r="O109" s="96">
        <v>9.6606003538183245</v>
      </c>
      <c r="P109" s="96">
        <v>9.0783280289298709</v>
      </c>
      <c r="Q109" s="96">
        <v>7.6996842609740774</v>
      </c>
      <c r="R109" s="96">
        <v>8.4898941757388702</v>
      </c>
      <c r="S109" s="96">
        <v>8.1469596583666348</v>
      </c>
      <c r="T109" s="96">
        <v>7.8434593173535792</v>
      </c>
      <c r="U109" s="96">
        <v>7.6619134574503187</v>
      </c>
      <c r="V109" s="96">
        <v>7.5685422088655017</v>
      </c>
      <c r="W109" s="96">
        <v>7.5174726805520935</v>
      </c>
      <c r="X109" s="96">
        <v>7.5372305376307462</v>
      </c>
      <c r="Y109" s="96">
        <v>7.5180669582331152</v>
      </c>
      <c r="DA109" s="171" t="s">
        <v>882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1.5082279761507789</v>
      </c>
      <c r="K110" s="96">
        <v>1.5080557225690727</v>
      </c>
      <c r="L110" s="96">
        <v>1.5057480124833327</v>
      </c>
      <c r="M110" s="96">
        <v>1.5044442135640732</v>
      </c>
      <c r="N110" s="96">
        <v>1.491494614317205</v>
      </c>
      <c r="O110" s="96">
        <v>1.4865420314212441</v>
      </c>
      <c r="P110" s="96">
        <v>1.4849319990320962</v>
      </c>
      <c r="Q110" s="96">
        <v>1.4989064369859297</v>
      </c>
      <c r="R110" s="96">
        <v>1.4894180188353618</v>
      </c>
      <c r="S110" s="96">
        <v>1.4796781518029645</v>
      </c>
      <c r="T110" s="96">
        <v>1.5627376616070114</v>
      </c>
      <c r="U110" s="96">
        <v>1.7077849165050007</v>
      </c>
      <c r="V110" s="96">
        <v>1.7489032031896576</v>
      </c>
      <c r="W110" s="96">
        <v>1.9889717732785612</v>
      </c>
      <c r="X110" s="96">
        <v>2.0933091289296271</v>
      </c>
      <c r="Y110" s="96">
        <v>2.0845672375239426</v>
      </c>
      <c r="DA110" s="171" t="s">
        <v>883</v>
      </c>
    </row>
    <row r="111" spans="1:105" ht="11.45" customHeight="1" x14ac:dyDescent="0.25">
      <c r="A111" s="109" t="s">
        <v>154</v>
      </c>
      <c r="B111" s="130">
        <v>29.237409649178328</v>
      </c>
      <c r="C111" s="130">
        <v>29.181816833142911</v>
      </c>
      <c r="D111" s="130">
        <v>29.102100661757198</v>
      </c>
      <c r="E111" s="130">
        <v>29.112960320612412</v>
      </c>
      <c r="F111" s="130">
        <v>29.131454578529187</v>
      </c>
      <c r="G111" s="130">
        <v>29.00676278102981</v>
      </c>
      <c r="H111" s="130">
        <v>28.813924416619141</v>
      </c>
      <c r="I111" s="130">
        <v>28.550003816169934</v>
      </c>
      <c r="J111" s="130">
        <v>28.311728750794284</v>
      </c>
      <c r="K111" s="130">
        <v>28.194692308313019</v>
      </c>
      <c r="L111" s="130">
        <v>27.925802122163791</v>
      </c>
      <c r="M111" s="130">
        <v>27.571287082176003</v>
      </c>
      <c r="N111" s="130">
        <v>27.032163609066821</v>
      </c>
      <c r="O111" s="130">
        <v>26.610141432717501</v>
      </c>
      <c r="P111" s="130">
        <v>26.23897399083781</v>
      </c>
      <c r="Q111" s="130">
        <v>25.68331510789681</v>
      </c>
      <c r="R111" s="130">
        <v>25.313179424190526</v>
      </c>
      <c r="S111" s="130">
        <v>24.949690411193497</v>
      </c>
      <c r="T111" s="130">
        <v>24.603015717991426</v>
      </c>
      <c r="U111" s="130">
        <v>24.148788334318184</v>
      </c>
      <c r="V111" s="130">
        <v>23.6097438166505</v>
      </c>
      <c r="W111" s="130">
        <v>23.256803718455906</v>
      </c>
      <c r="X111" s="130">
        <v>22.899454538831506</v>
      </c>
      <c r="Y111" s="130">
        <v>22.533868192204967</v>
      </c>
      <c r="DA111" s="176" t="s">
        <v>884</v>
      </c>
    </row>
    <row r="112" spans="1:105" ht="11.45" customHeight="1" x14ac:dyDescent="0.25">
      <c r="A112" s="128" t="s">
        <v>27</v>
      </c>
      <c r="B112" s="97">
        <v>28.657284409153245</v>
      </c>
      <c r="C112" s="97">
        <v>28.591480117022531</v>
      </c>
      <c r="D112" s="97">
        <v>28.49984175018993</v>
      </c>
      <c r="E112" s="97">
        <v>28.466510895781497</v>
      </c>
      <c r="F112" s="97">
        <v>28.425679189567656</v>
      </c>
      <c r="G112" s="97">
        <v>28.295438088639287</v>
      </c>
      <c r="H112" s="97">
        <v>28.077380807498482</v>
      </c>
      <c r="I112" s="97">
        <v>27.833638024337677</v>
      </c>
      <c r="J112" s="97">
        <v>27.600544794851459</v>
      </c>
      <c r="K112" s="97">
        <v>27.497761471853238</v>
      </c>
      <c r="L112" s="97">
        <v>27.172689484836688</v>
      </c>
      <c r="M112" s="97">
        <v>26.779916221619192</v>
      </c>
      <c r="N112" s="97">
        <v>26.29112597852194</v>
      </c>
      <c r="O112" s="97">
        <v>25.818430223572136</v>
      </c>
      <c r="P112" s="97">
        <v>25.478891243714443</v>
      </c>
      <c r="Q112" s="97">
        <v>24.927418789529863</v>
      </c>
      <c r="R112" s="97">
        <v>24.620784076968697</v>
      </c>
      <c r="S112" s="97">
        <v>24.30886475034518</v>
      </c>
      <c r="T112" s="97">
        <v>24.020041973832441</v>
      </c>
      <c r="U112" s="97">
        <v>23.585727114282953</v>
      </c>
      <c r="V112" s="97">
        <v>22.964619904223333</v>
      </c>
      <c r="W112" s="97">
        <v>22.585680136320921</v>
      </c>
      <c r="X112" s="97">
        <v>22.235417173067678</v>
      </c>
      <c r="Y112" s="97">
        <v>21.883312132961002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36.373527169451037</v>
      </c>
      <c r="D113" s="98">
        <v>36.053125486109565</v>
      </c>
      <c r="E113" s="98">
        <v>35.79473433912267</v>
      </c>
      <c r="F113" s="98">
        <v>35.13598878236936</v>
      </c>
      <c r="G113" s="98">
        <v>34.834386468858419</v>
      </c>
      <c r="H113" s="98">
        <v>34.485911058194887</v>
      </c>
      <c r="I113" s="98">
        <v>34.145430917715558</v>
      </c>
      <c r="J113" s="98">
        <v>34.001400562692623</v>
      </c>
      <c r="K113" s="98">
        <v>33.786533710355407</v>
      </c>
      <c r="L113" s="98">
        <v>33.180088595801763</v>
      </c>
      <c r="M113" s="98">
        <v>32.591112858752702</v>
      </c>
      <c r="N113" s="98">
        <v>32.164891998687857</v>
      </c>
      <c r="O113" s="98">
        <v>31.42959746591513</v>
      </c>
      <c r="P113" s="98">
        <v>31.037089629123987</v>
      </c>
      <c r="Q113" s="98">
        <v>30.510775275070916</v>
      </c>
      <c r="R113" s="98">
        <v>30.219705424933128</v>
      </c>
      <c r="S113" s="98">
        <v>29.822942665182751</v>
      </c>
      <c r="T113" s="98">
        <v>29.666876025077247</v>
      </c>
      <c r="U113" s="98">
        <v>28.991584424766007</v>
      </c>
      <c r="V113" s="98">
        <v>28.001891919173289</v>
      </c>
      <c r="W113" s="98">
        <v>27.413231080313967</v>
      </c>
      <c r="X113" s="98">
        <v>26.898911786531581</v>
      </c>
      <c r="Y113" s="98">
        <v>26.634152610948561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1.1275000000068984</v>
      </c>
      <c r="C117" s="150">
        <f>IF(TrRoad_act!C59=0,0,TrRoad_ene!C62/TrRoad_tech!C90)</f>
        <v>1.1276305232890038</v>
      </c>
      <c r="D117" s="150">
        <f>IF(TrRoad_act!D59=0,0,TrRoad_ene!D62/TrRoad_tech!D90)</f>
        <v>1.1278924262175372</v>
      </c>
      <c r="E117" s="150">
        <f>IF(TrRoad_act!E59=0,0,TrRoad_ene!E62/TrRoad_tech!E90)</f>
        <v>1.1279918593920721</v>
      </c>
      <c r="F117" s="150">
        <f>IF(TrRoad_act!F59=0,0,TrRoad_ene!F62/TrRoad_tech!F90)</f>
        <v>1.1285563488562542</v>
      </c>
      <c r="G117" s="150">
        <f>IF(TrRoad_act!G59=0,0,TrRoad_ene!G62/TrRoad_tech!G90)</f>
        <v>1.1309596182275266</v>
      </c>
      <c r="H117" s="150">
        <f>IF(TrRoad_act!H59=0,0,TrRoad_ene!H62/TrRoad_tech!H90)</f>
        <v>1.0779360567081291</v>
      </c>
      <c r="I117" s="150">
        <f>IF(TrRoad_act!I59=0,0,TrRoad_ene!I62/TrRoad_tech!I90)</f>
        <v>1.0808388866495031</v>
      </c>
      <c r="J117" s="150">
        <f>IF(TrRoad_act!J59=0,0,TrRoad_ene!J62/TrRoad_tech!J90)</f>
        <v>1.0838440612881299</v>
      </c>
      <c r="K117" s="150">
        <f>IF(TrRoad_act!K59=0,0,TrRoad_ene!K62/TrRoad_tech!K90)</f>
        <v>1.0855387114436867</v>
      </c>
      <c r="L117" s="150">
        <f>IF(TrRoad_act!L59=0,0,TrRoad_ene!L62/TrRoad_tech!L90)</f>
        <v>1.0889038046577884</v>
      </c>
      <c r="M117" s="150">
        <f>IF(TrRoad_act!M59=0,0,TrRoad_ene!M62/TrRoad_tech!M90)</f>
        <v>1.0925259960483382</v>
      </c>
      <c r="N117" s="150">
        <f>IF(TrRoad_act!N59=0,0,TrRoad_ene!N62/TrRoad_tech!N90)</f>
        <v>1.0974397696258622</v>
      </c>
      <c r="O117" s="150">
        <f>IF(TrRoad_act!O59=0,0,TrRoad_ene!O62/TrRoad_tech!O90)</f>
        <v>1.0997874072010525</v>
      </c>
      <c r="P117" s="150">
        <f>IF(TrRoad_act!P59=0,0,TrRoad_ene!P62/TrRoad_tech!P90)</f>
        <v>1.1046398717320345</v>
      </c>
      <c r="Q117" s="150">
        <f>IF(TrRoad_act!Q59=0,0,TrRoad_ene!Q62/TrRoad_tech!Q90)</f>
        <v>1.113701131329194</v>
      </c>
      <c r="R117" s="150">
        <f>IF(TrRoad_act!R59=0,0,TrRoad_ene!R62/TrRoad_tech!R90)</f>
        <v>1.1201710583499127</v>
      </c>
      <c r="S117" s="150">
        <f>IF(TrRoad_act!S59=0,0,TrRoad_ene!S62/TrRoad_tech!S90)</f>
        <v>1.125840622428129</v>
      </c>
      <c r="T117" s="150">
        <f>IF(TrRoad_act!T59=0,0,TrRoad_ene!T62/TrRoad_tech!T90)</f>
        <v>1.1335696500694539</v>
      </c>
      <c r="U117" s="150">
        <f>IF(TrRoad_act!U59=0,0,TrRoad_ene!U62/TrRoad_tech!U90)</f>
        <v>1.1421657099670921</v>
      </c>
      <c r="V117" s="150">
        <f>IF(TrRoad_act!V59=0,0,TrRoad_ene!V62/TrRoad_tech!V90)</f>
        <v>1.152057197553032</v>
      </c>
      <c r="W117" s="150">
        <f>IF(TrRoad_act!W59=0,0,TrRoad_ene!W62/TrRoad_tech!W90)</f>
        <v>1.1585518269777388</v>
      </c>
      <c r="X117" s="150">
        <f>IF(TrRoad_act!X59=0,0,TrRoad_ene!X62/TrRoad_tech!X90)</f>
        <v>1.1862731562564746</v>
      </c>
      <c r="Y117" s="150">
        <f>IF(TrRoad_act!Y59=0,0,TrRoad_ene!Y62/TrRoad_tech!Y90)</f>
        <v>1.1827397855469008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1.0061155309688394</v>
      </c>
      <c r="C118" s="151">
        <f>IF(TrRoad_act!C60=0,0,TrRoad_ene!C63/TrRoad_tech!C91)</f>
        <v>0.97781247432833296</v>
      </c>
      <c r="D118" s="151">
        <f>IF(TrRoad_act!D60=0,0,TrRoad_ene!D63/TrRoad_tech!D91)</f>
        <v>0.98080543434257061</v>
      </c>
      <c r="E118" s="151">
        <f>IF(TrRoad_act!E60=0,0,TrRoad_ene!E63/TrRoad_tech!E91)</f>
        <v>0.98046150222948547</v>
      </c>
      <c r="F118" s="151">
        <f>IF(TrRoad_act!F60=0,0,TrRoad_ene!F63/TrRoad_tech!F91)</f>
        <v>0.98250264216691829</v>
      </c>
      <c r="G118" s="151">
        <f>IF(TrRoad_act!G60=0,0,TrRoad_ene!G63/TrRoad_tech!G91)</f>
        <v>0.98814290015299833</v>
      </c>
      <c r="H118" s="151">
        <f>IF(TrRoad_act!H60=0,0,TrRoad_ene!H63/TrRoad_tech!H91)</f>
        <v>0.99727743542821767</v>
      </c>
      <c r="I118" s="151">
        <f>IF(TrRoad_act!I60=0,0,TrRoad_ene!I63/TrRoad_tech!I91)</f>
        <v>0.99500145027420173</v>
      </c>
      <c r="J118" s="151">
        <f>IF(TrRoad_act!J60=0,0,TrRoad_ene!J63/TrRoad_tech!J91)</f>
        <v>0.99666863119516935</v>
      </c>
      <c r="K118" s="151">
        <f>IF(TrRoad_act!K60=0,0,TrRoad_ene!K63/TrRoad_tech!K91)</f>
        <v>0.99599571943266862</v>
      </c>
      <c r="L118" s="151">
        <f>IF(TrRoad_act!L60=0,0,TrRoad_ene!L63/TrRoad_tech!L91)</f>
        <v>1.0108534241919698</v>
      </c>
      <c r="M118" s="151">
        <f>IF(TrRoad_act!M60=0,0,TrRoad_ene!M63/TrRoad_tech!M91)</f>
        <v>1.0091379818184698</v>
      </c>
      <c r="N118" s="151">
        <f>IF(TrRoad_act!N60=0,0,TrRoad_ene!N63/TrRoad_tech!N91)</f>
        <v>1.0021600489147244</v>
      </c>
      <c r="O118" s="151">
        <f>IF(TrRoad_act!O60=0,0,TrRoad_ene!O63/TrRoad_tech!O91)</f>
        <v>0.99875510392512146</v>
      </c>
      <c r="P118" s="151">
        <f>IF(TrRoad_act!P60=0,0,TrRoad_ene!P63/TrRoad_tech!P91)</f>
        <v>1.0003473413512323</v>
      </c>
      <c r="Q118" s="151">
        <f>IF(TrRoad_act!Q60=0,0,TrRoad_ene!Q63/TrRoad_tech!Q91)</f>
        <v>1.002774034467844</v>
      </c>
      <c r="R118" s="151">
        <f>IF(TrRoad_act!R60=0,0,TrRoad_ene!R63/TrRoad_tech!R91)</f>
        <v>1.015526056080396</v>
      </c>
      <c r="S118" s="151">
        <f>IF(TrRoad_act!S60=0,0,TrRoad_ene!S63/TrRoad_tech!S91)</f>
        <v>1.0337096351070605</v>
      </c>
      <c r="T118" s="151">
        <f>IF(TrRoad_act!T60=0,0,TrRoad_ene!T63/TrRoad_tech!T91)</f>
        <v>1.0375288704883903</v>
      </c>
      <c r="U118" s="151">
        <f>IF(TrRoad_act!U60=0,0,TrRoad_ene!U63/TrRoad_tech!U91)</f>
        <v>1.0399220180186928</v>
      </c>
      <c r="V118" s="151">
        <f>IF(TrRoad_act!V60=0,0,TrRoad_ene!V63/TrRoad_tech!V91)</f>
        <v>1.0356741148127031</v>
      </c>
      <c r="W118" s="151">
        <f>IF(TrRoad_act!W60=0,0,TrRoad_ene!W63/TrRoad_tech!W91)</f>
        <v>1.0000432299952273</v>
      </c>
      <c r="X118" s="151">
        <f>IF(TrRoad_act!X60=0,0,TrRoad_ene!X63/TrRoad_tech!X91)</f>
        <v>1.0063416375699221</v>
      </c>
      <c r="Y118" s="151">
        <f>IF(TrRoad_act!Y60=0,0,TrRoad_ene!Y63/TrRoad_tech!Y91)</f>
        <v>1.0297544168774768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1.0263133695253885</v>
      </c>
      <c r="C119" s="91">
        <f>IF(TrRoad_act!C61=0,0,TrRoad_ene!C64/TrRoad_tech!C92)</f>
        <v>1.026644401442157</v>
      </c>
      <c r="D119" s="91">
        <f>IF(TrRoad_act!D61=0,0,TrRoad_ene!D64/TrRoad_tech!D92)</f>
        <v>1.0265252093871178</v>
      </c>
      <c r="E119" s="91">
        <f>IF(TrRoad_act!E61=0,0,TrRoad_ene!E64/TrRoad_tech!E92)</f>
        <v>1.0282346660218025</v>
      </c>
      <c r="F119" s="91">
        <f>IF(TrRoad_act!F61=0,0,TrRoad_ene!F64/TrRoad_tech!F92)</f>
        <v>1.0283401379478934</v>
      </c>
      <c r="G119" s="91">
        <f>IF(TrRoad_act!G61=0,0,TrRoad_ene!G64/TrRoad_tech!G92)</f>
        <v>1.0286330271811717</v>
      </c>
      <c r="H119" s="91">
        <f>IF(TrRoad_act!H61=0,0,TrRoad_ene!H64/TrRoad_tech!H92)</f>
        <v>1.0305252757635053</v>
      </c>
      <c r="I119" s="91">
        <f>IF(TrRoad_act!I61=0,0,TrRoad_ene!I64/TrRoad_tech!I92)</f>
        <v>1.0315802596410566</v>
      </c>
      <c r="J119" s="91">
        <f>IF(TrRoad_act!J61=0,0,TrRoad_ene!J64/TrRoad_tech!J92)</f>
        <v>1.0322052158638089</v>
      </c>
      <c r="K119" s="91">
        <f>IF(TrRoad_act!K61=0,0,TrRoad_ene!K64/TrRoad_tech!K92)</f>
        <v>1.0336834112739073</v>
      </c>
      <c r="L119" s="91">
        <f>IF(TrRoad_act!L61=0,0,TrRoad_ene!L64/TrRoad_tech!L92)</f>
        <v>1.0231051068539732</v>
      </c>
      <c r="M119" s="91">
        <f>IF(TrRoad_act!M61=0,0,TrRoad_ene!M64/TrRoad_tech!M92)</f>
        <v>1.0258938728229983</v>
      </c>
      <c r="N119" s="91">
        <f>IF(TrRoad_act!N61=0,0,TrRoad_ene!N64/TrRoad_tech!N92)</f>
        <v>1.0252555634716116</v>
      </c>
      <c r="O119" s="91">
        <f>IF(TrRoad_act!O61=0,0,TrRoad_ene!O64/TrRoad_tech!O92)</f>
        <v>1.0270061506034109</v>
      </c>
      <c r="P119" s="91">
        <f>IF(TrRoad_act!P61=0,0,TrRoad_ene!P64/TrRoad_tech!P92)</f>
        <v>1.0293909546648969</v>
      </c>
      <c r="Q119" s="91">
        <f>IF(TrRoad_act!Q61=0,0,TrRoad_ene!Q64/TrRoad_tech!Q92)</f>
        <v>1.0336028708219092</v>
      </c>
      <c r="R119" s="91">
        <f>IF(TrRoad_act!R61=0,0,TrRoad_ene!R64/TrRoad_tech!R92)</f>
        <v>1.0375438991109502</v>
      </c>
      <c r="S119" s="91">
        <f>IF(TrRoad_act!S61=0,0,TrRoad_ene!S64/TrRoad_tech!S92)</f>
        <v>1.0416266999164543</v>
      </c>
      <c r="T119" s="91">
        <f>IF(TrRoad_act!T61=0,0,TrRoad_ene!T64/TrRoad_tech!T92)</f>
        <v>1.0457244616051098</v>
      </c>
      <c r="U119" s="91">
        <f>IF(TrRoad_act!U61=0,0,TrRoad_ene!U64/TrRoad_tech!U92)</f>
        <v>1.0451042051729968</v>
      </c>
      <c r="V119" s="91">
        <f>IF(TrRoad_act!V61=0,0,TrRoad_ene!V64/TrRoad_tech!V92)</f>
        <v>1.0517781677979159</v>
      </c>
      <c r="W119" s="91">
        <f>IF(TrRoad_act!W61=0,0,TrRoad_ene!W64/TrRoad_tech!W92)</f>
        <v>1.0524878197812002</v>
      </c>
      <c r="X119" s="91">
        <f>IF(TrRoad_act!X61=0,0,TrRoad_ene!X64/TrRoad_tech!X92)</f>
        <v>1.0688272861445163</v>
      </c>
      <c r="Y119" s="91">
        <f>IF(TrRoad_act!Y61=0,0,TrRoad_ene!Y64/TrRoad_tech!Y92)</f>
        <v>1.0715440687902522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0.96378483311539553</v>
      </c>
      <c r="C120" s="91">
        <f>IF(TrRoad_act!C62=0,0,TrRoad_ene!C65/TrRoad_tech!C93)</f>
        <v>0.90952861314834543</v>
      </c>
      <c r="D120" s="91">
        <f>IF(TrRoad_act!D62=0,0,TrRoad_ene!D65/TrRoad_tech!D93)</f>
        <v>0.94539462652074624</v>
      </c>
      <c r="E120" s="91">
        <f>IF(TrRoad_act!E62=0,0,TrRoad_ene!E65/TrRoad_tech!E93)</f>
        <v>0.96361899560084185</v>
      </c>
      <c r="F120" s="91">
        <f>IF(TrRoad_act!F62=0,0,TrRoad_ene!F65/TrRoad_tech!F93)</f>
        <v>0.98156892795854989</v>
      </c>
      <c r="G120" s="91">
        <f>IF(TrRoad_act!G62=0,0,TrRoad_ene!G65/TrRoad_tech!G93)</f>
        <v>1.012345660346039</v>
      </c>
      <c r="H120" s="91">
        <f>IF(TrRoad_act!H62=0,0,TrRoad_ene!H65/TrRoad_tech!H93)</f>
        <v>1.0321824048316977</v>
      </c>
      <c r="I120" s="91">
        <f>IF(TrRoad_act!I62=0,0,TrRoad_ene!I65/TrRoad_tech!I93)</f>
        <v>1.0156896071586832</v>
      </c>
      <c r="J120" s="91">
        <f>IF(TrRoad_act!J62=0,0,TrRoad_ene!J65/TrRoad_tech!J93)</f>
        <v>1.0159172121163778</v>
      </c>
      <c r="K120" s="91">
        <f>IF(TrRoad_act!K62=0,0,TrRoad_ene!K65/TrRoad_tech!K93)</f>
        <v>1.0093251963042527</v>
      </c>
      <c r="L120" s="91">
        <f>IF(TrRoad_act!L62=0,0,TrRoad_ene!L65/TrRoad_tech!L93)</f>
        <v>1.0564134178248694</v>
      </c>
      <c r="M120" s="91">
        <f>IF(TrRoad_act!M62=0,0,TrRoad_ene!M65/TrRoad_tech!M93)</f>
        <v>1.046193050437185</v>
      </c>
      <c r="N120" s="91">
        <f>IF(TrRoad_act!N62=0,0,TrRoad_ene!N65/TrRoad_tech!N93)</f>
        <v>1.0315440414456067</v>
      </c>
      <c r="O120" s="91">
        <f>IF(TrRoad_act!O62=0,0,TrRoad_ene!O65/TrRoad_tech!O93)</f>
        <v>1.0255203831204802</v>
      </c>
      <c r="P120" s="91">
        <f>IF(TrRoad_act!P62=0,0,TrRoad_ene!P65/TrRoad_tech!P93)</f>
        <v>1.0261518859909857</v>
      </c>
      <c r="Q120" s="91">
        <f>IF(TrRoad_act!Q62=0,0,TrRoad_ene!Q65/TrRoad_tech!Q93)</f>
        <v>1.0238467673919016</v>
      </c>
      <c r="R120" s="91">
        <f>IF(TrRoad_act!R62=0,0,TrRoad_ene!R65/TrRoad_tech!R93)</f>
        <v>1.0453189969596586</v>
      </c>
      <c r="S120" s="91">
        <f>IF(TrRoad_act!S62=0,0,TrRoad_ene!S65/TrRoad_tech!S93)</f>
        <v>1.0698491994406838</v>
      </c>
      <c r="T120" s="91">
        <f>IF(TrRoad_act!T62=0,0,TrRoad_ene!T65/TrRoad_tech!T93)</f>
        <v>1.0672272863579624</v>
      </c>
      <c r="U120" s="91">
        <f>IF(TrRoad_act!U62=0,0,TrRoad_ene!U65/TrRoad_tech!U93)</f>
        <v>1.0726679728514661</v>
      </c>
      <c r="V120" s="91">
        <f>IF(TrRoad_act!V62=0,0,TrRoad_ene!V65/TrRoad_tech!V93)</f>
        <v>1.0583488605445279</v>
      </c>
      <c r="W120" s="91">
        <f>IF(TrRoad_act!W62=0,0,TrRoad_ene!W65/TrRoad_tech!W93)</f>
        <v>0.9959735716484881</v>
      </c>
      <c r="X120" s="91">
        <f>IF(TrRoad_act!X62=0,0,TrRoad_ene!X65/TrRoad_tech!X93)</f>
        <v>0.99214392011203523</v>
      </c>
      <c r="Y120" s="91">
        <f>IF(TrRoad_act!Y62=0,0,TrRoad_ene!Y65/TrRoad_tech!Y93)</f>
        <v>1.0144393512061629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1.0230940197504197</v>
      </c>
      <c r="C121" s="91">
        <f>IF(TrRoad_act!C63=0,0,TrRoad_ene!C66/TrRoad_tech!C94)</f>
        <v>1.0132003263515017</v>
      </c>
      <c r="D121" s="91">
        <f>IF(TrRoad_act!D63=0,0,TrRoad_ene!D66/TrRoad_tech!D94)</f>
        <v>1.0218505274166942</v>
      </c>
      <c r="E121" s="91">
        <f>IF(TrRoad_act!E63=0,0,TrRoad_ene!E66/TrRoad_tech!E94)</f>
        <v>0.93862682013527654</v>
      </c>
      <c r="F121" s="91">
        <f>IF(TrRoad_act!F63=0,0,TrRoad_ene!F66/TrRoad_tech!F94)</f>
        <v>0.94882530094667739</v>
      </c>
      <c r="G121" s="91">
        <f>IF(TrRoad_act!G63=0,0,TrRoad_ene!G66/TrRoad_tech!G94)</f>
        <v>0.95010433668039462</v>
      </c>
      <c r="H121" s="91">
        <f>IF(TrRoad_act!H63=0,0,TrRoad_ene!H66/TrRoad_tech!H94)</f>
        <v>0.95179319522675387</v>
      </c>
      <c r="I121" s="91">
        <f>IF(TrRoad_act!I63=0,0,TrRoad_ene!I66/TrRoad_tech!I94)</f>
        <v>0.94809066601338932</v>
      </c>
      <c r="J121" s="91">
        <f>IF(TrRoad_act!J63=0,0,TrRoad_ene!J66/TrRoad_tech!J94)</f>
        <v>0.949986538801743</v>
      </c>
      <c r="K121" s="91">
        <f>IF(TrRoad_act!K63=0,0,TrRoad_ene!K66/TrRoad_tech!K94)</f>
        <v>0.95033346070427782</v>
      </c>
      <c r="L121" s="91">
        <f>IF(TrRoad_act!L63=0,0,TrRoad_ene!L66/TrRoad_tech!L94)</f>
        <v>0.95099367870400753</v>
      </c>
      <c r="M121" s="91">
        <f>IF(TrRoad_act!M63=0,0,TrRoad_ene!M66/TrRoad_tech!M94)</f>
        <v>0.9512491783987882</v>
      </c>
      <c r="N121" s="91">
        <f>IF(TrRoad_act!N63=0,0,TrRoad_ene!N66/TrRoad_tech!N94)</f>
        <v>0.95108987596685468</v>
      </c>
      <c r="O121" s="91">
        <f>IF(TrRoad_act!O63=0,0,TrRoad_ene!O66/TrRoad_tech!O94)</f>
        <v>0.95218755331934235</v>
      </c>
      <c r="P121" s="91">
        <f>IF(TrRoad_act!P63=0,0,TrRoad_ene!P66/TrRoad_tech!P94)</f>
        <v>0.95627645648795023</v>
      </c>
      <c r="Q121" s="91">
        <f>IF(TrRoad_act!Q63=0,0,TrRoad_ene!Q66/TrRoad_tech!Q94)</f>
        <v>0.97118817507335153</v>
      </c>
      <c r="R121" s="91">
        <f>IF(TrRoad_act!R63=0,0,TrRoad_ene!R66/TrRoad_tech!R94)</f>
        <v>0.97037560611176721</v>
      </c>
      <c r="S121" s="91">
        <f>IF(TrRoad_act!S63=0,0,TrRoad_ene!S66/TrRoad_tech!S94)</f>
        <v>1.0328513932206085</v>
      </c>
      <c r="T121" s="91">
        <f>IF(TrRoad_act!T63=0,0,TrRoad_ene!T66/TrRoad_tech!T94)</f>
        <v>1.0421610986146452</v>
      </c>
      <c r="U121" s="91">
        <f>IF(TrRoad_act!U63=0,0,TrRoad_ene!U66/TrRoad_tech!U94)</f>
        <v>1.0425595103299363</v>
      </c>
      <c r="V121" s="91">
        <f>IF(TrRoad_act!V63=0,0,TrRoad_ene!V66/TrRoad_tech!V94)</f>
        <v>1.0082035990652267</v>
      </c>
      <c r="W121" s="91">
        <f>IF(TrRoad_act!W63=0,0,TrRoad_ene!W66/TrRoad_tech!W94)</f>
        <v>1.0322804910902741</v>
      </c>
      <c r="X121" s="91">
        <f>IF(TrRoad_act!X63=0,0,TrRoad_ene!X66/TrRoad_tech!X94)</f>
        <v>1.207484091493213</v>
      </c>
      <c r="Y121" s="91">
        <f>IF(TrRoad_act!Y63=0,0,TrRoad_ene!Y66/TrRoad_tech!Y94)</f>
        <v>1.8976586288258379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1.0470370370414099</v>
      </c>
      <c r="K122" s="91">
        <f>IF(TrRoad_act!K64=0,0,TrRoad_ene!K67/TrRoad_tech!K95)</f>
        <v>1.048535973039346</v>
      </c>
      <c r="L122" s="91">
        <f>IF(TrRoad_act!L64=0,0,TrRoad_ene!L67/TrRoad_tech!L95)</f>
        <v>1.0506428096259826</v>
      </c>
      <c r="M122" s="91">
        <f>IF(TrRoad_act!M64=0,0,TrRoad_ene!M67/TrRoad_tech!M95)</f>
        <v>1.0532237846235348</v>
      </c>
      <c r="N122" s="91">
        <f>IF(TrRoad_act!N64=0,0,TrRoad_ene!N67/TrRoad_tech!N95)</f>
        <v>1.0563725008172964</v>
      </c>
      <c r="O122" s="91">
        <f>IF(TrRoad_act!O64=0,0,TrRoad_ene!O67/TrRoad_tech!O95)</f>
        <v>1.060973244647907</v>
      </c>
      <c r="P122" s="91">
        <f>IF(TrRoad_act!P64=0,0,TrRoad_ene!P67/TrRoad_tech!P95)</f>
        <v>1.0649332191927199</v>
      </c>
      <c r="Q122" s="91">
        <f>IF(TrRoad_act!Q64=0,0,TrRoad_ene!Q67/TrRoad_tech!Q95)</f>
        <v>1.0705484777827774</v>
      </c>
      <c r="R122" s="91">
        <f>IF(TrRoad_act!R64=0,0,TrRoad_ene!R67/TrRoad_tech!R95)</f>
        <v>1.0773934898956188</v>
      </c>
      <c r="S122" s="91">
        <f>IF(TrRoad_act!S64=0,0,TrRoad_ene!S67/TrRoad_tech!S95)</f>
        <v>1.0801985752027741</v>
      </c>
      <c r="T122" s="91">
        <f>IF(TrRoad_act!T64=0,0,TrRoad_ene!T67/TrRoad_tech!T95)</f>
        <v>1.0829141359903076</v>
      </c>
      <c r="U122" s="91">
        <f>IF(TrRoad_act!U64=0,0,TrRoad_ene!U67/TrRoad_tech!U95)</f>
        <v>1.0841378815957765</v>
      </c>
      <c r="V122" s="91">
        <f>IF(TrRoad_act!V64=0,0,TrRoad_ene!V67/TrRoad_tech!V95)</f>
        <v>1.0857340852902051</v>
      </c>
      <c r="W122" s="91">
        <f>IF(TrRoad_act!W64=0,0,TrRoad_ene!W67/TrRoad_tech!W95)</f>
        <v>1.087400290974238</v>
      </c>
      <c r="X122" s="91">
        <f>IF(TrRoad_act!X64=0,0,TrRoad_ene!X67/TrRoad_tech!X95)</f>
        <v>1.0886050878826632</v>
      </c>
      <c r="Y122" s="91">
        <f>IF(TrRoad_act!Y64=0,0,TrRoad_ene!Y67/TrRoad_tech!Y95)</f>
        <v>1.0888397627483741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1.0583709249830571</v>
      </c>
      <c r="O123" s="91">
        <f>IF(TrRoad_act!O65=0,0,TrRoad_ene!O68/TrRoad_tech!O96)</f>
        <v>1.0608621387535233</v>
      </c>
      <c r="P123" s="91">
        <f>IF(TrRoad_act!P65=0,0,TrRoad_ene!P68/TrRoad_tech!P96)</f>
        <v>1.0674899095467756</v>
      </c>
      <c r="Q123" s="91">
        <f>IF(TrRoad_act!Q65=0,0,TrRoad_ene!Q68/TrRoad_tech!Q96)</f>
        <v>1.0748676378661679</v>
      </c>
      <c r="R123" s="91">
        <f>IF(TrRoad_act!R65=0,0,TrRoad_ene!R68/TrRoad_tech!R96)</f>
        <v>1.077820386572816</v>
      </c>
      <c r="S123" s="91">
        <f>IF(TrRoad_act!S65=0,0,TrRoad_ene!S68/TrRoad_tech!S96)</f>
        <v>1.0816063628526305</v>
      </c>
      <c r="T123" s="91">
        <f>IF(TrRoad_act!T65=0,0,TrRoad_ene!T68/TrRoad_tech!T96)</f>
        <v>1.0838832537379466</v>
      </c>
      <c r="U123" s="91">
        <f>IF(TrRoad_act!U65=0,0,TrRoad_ene!U68/TrRoad_tech!U96)</f>
        <v>1.0842228069542346</v>
      </c>
      <c r="V123" s="91">
        <f>IF(TrRoad_act!V65=0,0,TrRoad_ene!V68/TrRoad_tech!V96)</f>
        <v>1.0913747316210658</v>
      </c>
      <c r="W123" s="91">
        <f>IF(TrRoad_act!W65=0,0,TrRoad_ene!W68/TrRoad_tech!W96)</f>
        <v>1.0921240737238389</v>
      </c>
      <c r="X123" s="91">
        <f>IF(TrRoad_act!X65=0,0,TrRoad_ene!X68/TrRoad_tech!X96)</f>
        <v>1.0989035285288959</v>
      </c>
      <c r="Y123" s="91">
        <f>IF(TrRoad_act!Y65=0,0,TrRoad_ene!Y68/TrRoad_tech!Y96)</f>
        <v>1.099736338893023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1.0555555555604401</v>
      </c>
      <c r="M124" s="91">
        <f>IF(TrRoad_act!M66=0,0,TrRoad_ene!M69/TrRoad_tech!M97)</f>
        <v>1.059919672460411</v>
      </c>
      <c r="N124" s="91">
        <f>IF(TrRoad_act!N66=0,0,TrRoad_ene!N69/TrRoad_tech!N97)</f>
        <v>1.0611907625803096</v>
      </c>
      <c r="O124" s="91">
        <f>IF(TrRoad_act!O66=0,0,TrRoad_ene!O69/TrRoad_tech!O97)</f>
        <v>1.0680667219484679</v>
      </c>
      <c r="P124" s="91">
        <f>IF(TrRoad_act!P66=0,0,TrRoad_ene!P69/TrRoad_tech!P97)</f>
        <v>1.0720340819930947</v>
      </c>
      <c r="Q124" s="91">
        <f>IF(TrRoad_act!Q66=0,0,TrRoad_ene!Q69/TrRoad_tech!Q97)</f>
        <v>1.0775074807208047</v>
      </c>
      <c r="R124" s="91">
        <f>IF(TrRoad_act!R66=0,0,TrRoad_ene!R69/TrRoad_tech!R97)</f>
        <v>1.0834030593366668</v>
      </c>
      <c r="S124" s="91">
        <f>IF(TrRoad_act!S66=0,0,TrRoad_ene!S69/TrRoad_tech!S97)</f>
        <v>1.0869672925381504</v>
      </c>
      <c r="T124" s="91">
        <f>IF(TrRoad_act!T66=0,0,TrRoad_ene!T69/TrRoad_tech!T97)</f>
        <v>1.0889811294114085</v>
      </c>
      <c r="U124" s="91">
        <f>IF(TrRoad_act!U66=0,0,TrRoad_ene!U69/TrRoad_tech!U97)</f>
        <v>1.0910760880739787</v>
      </c>
      <c r="V124" s="91">
        <f>IF(TrRoad_act!V66=0,0,TrRoad_ene!V69/TrRoad_tech!V97)</f>
        <v>1.0945067283922465</v>
      </c>
      <c r="W124" s="91">
        <f>IF(TrRoad_act!W66=0,0,TrRoad_ene!W69/TrRoad_tech!W97)</f>
        <v>1.0964938340660058</v>
      </c>
      <c r="X124" s="91">
        <f>IF(TrRoad_act!X66=0,0,TrRoad_ene!X69/TrRoad_tech!X97)</f>
        <v>1.0975917261711989</v>
      </c>
      <c r="Y124" s="91">
        <f>IF(TrRoad_act!Y66=0,0,TrRoad_ene!Y69/TrRoad_tech!Y97)</f>
        <v>1.0987954045181136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1.1556523647339414</v>
      </c>
      <c r="C125" s="151">
        <f>IF(TrRoad_act!C67=0,0,TrRoad_ene!C70/TrRoad_tech!C98)</f>
        <v>1.1456019435836349</v>
      </c>
      <c r="D125" s="151">
        <f>IF(TrRoad_act!D67=0,0,TrRoad_ene!D70/TrRoad_tech!D98)</f>
        <v>1.1523524082434347</v>
      </c>
      <c r="E125" s="151">
        <f>IF(TrRoad_act!E67=0,0,TrRoad_ene!E70/TrRoad_tech!E98)</f>
        <v>1.1436686291527718</v>
      </c>
      <c r="F125" s="151">
        <f>IF(TrRoad_act!F67=0,0,TrRoad_ene!F70/TrRoad_tech!F98)</f>
        <v>1.1462028339076498</v>
      </c>
      <c r="G125" s="151">
        <f>IF(TrRoad_act!G67=0,0,TrRoad_ene!G70/TrRoad_tech!G98)</f>
        <v>1.1405716671369246</v>
      </c>
      <c r="H125" s="151">
        <f>IF(TrRoad_act!H67=0,0,TrRoad_ene!H70/TrRoad_tech!H98)</f>
        <v>1.154879531510941</v>
      </c>
      <c r="I125" s="151">
        <f>IF(TrRoad_act!I67=0,0,TrRoad_ene!I70/TrRoad_tech!I98)</f>
        <v>1.145377087695971</v>
      </c>
      <c r="J125" s="151">
        <f>IF(TrRoad_act!J67=0,0,TrRoad_ene!J70/TrRoad_tech!J98)</f>
        <v>1.1497320430726985</v>
      </c>
      <c r="K125" s="151">
        <f>IF(TrRoad_act!K67=0,0,TrRoad_ene!K70/TrRoad_tech!K98)</f>
        <v>1.1574806184615254</v>
      </c>
      <c r="L125" s="151">
        <f>IF(TrRoad_act!L67=0,0,TrRoad_ene!L70/TrRoad_tech!L98)</f>
        <v>1.1698889645442005</v>
      </c>
      <c r="M125" s="151">
        <f>IF(TrRoad_act!M67=0,0,TrRoad_ene!M70/TrRoad_tech!M98)</f>
        <v>1.1813321704773827</v>
      </c>
      <c r="N125" s="151">
        <f>IF(TrRoad_act!N67=0,0,TrRoad_ene!N70/TrRoad_tech!N98)</f>
        <v>1.1956223489572606</v>
      </c>
      <c r="O125" s="151">
        <f>IF(TrRoad_act!O67=0,0,TrRoad_ene!O70/TrRoad_tech!O98)</f>
        <v>1.211271304535039</v>
      </c>
      <c r="P125" s="151">
        <f>IF(TrRoad_act!P67=0,0,TrRoad_ene!P70/TrRoad_tech!P98)</f>
        <v>1.2527968698731198</v>
      </c>
      <c r="Q125" s="151">
        <f>IF(TrRoad_act!Q67=0,0,TrRoad_ene!Q70/TrRoad_tech!Q98)</f>
        <v>1.2820854492307825</v>
      </c>
      <c r="R125" s="151">
        <f>IF(TrRoad_act!R67=0,0,TrRoad_ene!R70/TrRoad_tech!R98)</f>
        <v>1.2910166706857409</v>
      </c>
      <c r="S125" s="151">
        <f>IF(TrRoad_act!S67=0,0,TrRoad_ene!S70/TrRoad_tech!S98)</f>
        <v>1.2806075312298641</v>
      </c>
      <c r="T125" s="151">
        <f>IF(TrRoad_act!T67=0,0,TrRoad_ene!T70/TrRoad_tech!T98)</f>
        <v>1.281388390290954</v>
      </c>
      <c r="U125" s="151">
        <f>IF(TrRoad_act!U67=0,0,TrRoad_ene!U70/TrRoad_tech!U98)</f>
        <v>1.3121472198378843</v>
      </c>
      <c r="V125" s="151">
        <f>IF(TrRoad_act!V67=0,0,TrRoad_ene!V70/TrRoad_tech!V98)</f>
        <v>1.390764159592087</v>
      </c>
      <c r="W125" s="151">
        <f>IF(TrRoad_act!W67=0,0,TrRoad_ene!W70/TrRoad_tech!W98)</f>
        <v>1.4119669383396949</v>
      </c>
      <c r="X125" s="151">
        <f>IF(TrRoad_act!X67=0,0,TrRoad_ene!X70/TrRoad_tech!X98)</f>
        <v>1.3522855686312445</v>
      </c>
      <c r="Y125" s="151">
        <f>IF(TrRoad_act!Y67=0,0,TrRoad_ene!Y70/TrRoad_tech!Y98)</f>
        <v>1.3703835812060652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1.1000000000067305</v>
      </c>
      <c r="D126" s="93">
        <f>IF(TrRoad_act!D68=0,0,TrRoad_ene!D71/TrRoad_tech!D99)</f>
        <v>1.1000000000067305</v>
      </c>
      <c r="E126" s="93">
        <f>IF(TrRoad_act!E68=0,0,TrRoad_ene!E71/TrRoad_tech!E99)</f>
        <v>1.1000000000067298</v>
      </c>
      <c r="F126" s="93">
        <f>IF(TrRoad_act!F68=0,0,TrRoad_ene!F71/TrRoad_tech!F99)</f>
        <v>1.1000000000067307</v>
      </c>
      <c r="G126" s="93">
        <f>IF(TrRoad_act!G68=0,0,TrRoad_ene!G71/TrRoad_tech!G99)</f>
        <v>1.10000000000673</v>
      </c>
      <c r="H126" s="93">
        <f>IF(TrRoad_act!H68=0,0,TrRoad_ene!H71/TrRoad_tech!H99)</f>
        <v>1.1000000000067303</v>
      </c>
      <c r="I126" s="93">
        <f>IF(TrRoad_act!I68=0,0,TrRoad_ene!I71/TrRoad_tech!I99)</f>
        <v>1.10000000000673</v>
      </c>
      <c r="J126" s="93">
        <f>IF(TrRoad_act!J68=0,0,TrRoad_ene!J71/TrRoad_tech!J99)</f>
        <v>1.1000000000067303</v>
      </c>
      <c r="K126" s="93">
        <f>IF(TrRoad_act!K68=0,0,TrRoad_ene!K71/TrRoad_tech!K99)</f>
        <v>1.1000000000067305</v>
      </c>
      <c r="L126" s="93">
        <f>IF(TrRoad_act!L68=0,0,TrRoad_ene!L71/TrRoad_tech!L99)</f>
        <v>1.1000000000067303</v>
      </c>
      <c r="M126" s="93">
        <f>IF(TrRoad_act!M68=0,0,TrRoad_ene!M71/TrRoad_tech!M99)</f>
        <v>1.1000000000067305</v>
      </c>
      <c r="N126" s="93">
        <f>IF(TrRoad_act!N68=0,0,TrRoad_ene!N71/TrRoad_tech!N99)</f>
        <v>1.1000000000067305</v>
      </c>
      <c r="O126" s="93">
        <f>IF(TrRoad_act!O68=0,0,TrRoad_ene!O71/TrRoad_tech!O99)</f>
        <v>1.1000000000067303</v>
      </c>
      <c r="P126" s="93">
        <f>IF(TrRoad_act!P68=0,0,TrRoad_ene!P71/TrRoad_tech!P99)</f>
        <v>1.1000000000067305</v>
      </c>
      <c r="Q126" s="93">
        <f>IF(TrRoad_act!Q68=0,0,TrRoad_ene!Q71/TrRoad_tech!Q99)</f>
        <v>1.1000000000067303</v>
      </c>
      <c r="R126" s="93">
        <f>IF(TrRoad_act!R68=0,0,TrRoad_ene!R71/TrRoad_tech!R99)</f>
        <v>1.1000000000067305</v>
      </c>
      <c r="S126" s="93">
        <f>IF(TrRoad_act!S68=0,0,TrRoad_ene!S71/TrRoad_tech!S99)</f>
        <v>1.1000000000067305</v>
      </c>
      <c r="T126" s="93">
        <f>IF(TrRoad_act!T68=0,0,TrRoad_ene!T71/TrRoad_tech!T99)</f>
        <v>1.10000000000673</v>
      </c>
      <c r="U126" s="93">
        <f>IF(TrRoad_act!U68=0,0,TrRoad_ene!U71/TrRoad_tech!U99)</f>
        <v>1.1000000000067305</v>
      </c>
      <c r="V126" s="93">
        <f>IF(TrRoad_act!V68=0,0,TrRoad_ene!V71/TrRoad_tech!V99)</f>
        <v>1.10000000000673</v>
      </c>
      <c r="W126" s="93">
        <f>IF(TrRoad_act!W68=0,0,TrRoad_ene!W71/TrRoad_tech!W99)</f>
        <v>1.1000000000067303</v>
      </c>
      <c r="X126" s="93">
        <f>IF(TrRoad_act!X68=0,0,TrRoad_ene!X71/TrRoad_tech!X99)</f>
        <v>1.1000000000067303</v>
      </c>
      <c r="Y126" s="93">
        <f>IF(TrRoad_act!Y68=0,0,TrRoad_ene!Y71/TrRoad_tech!Y99)</f>
        <v>1.10000000000673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1.100654522514573</v>
      </c>
      <c r="D127" s="93">
        <f>IF(TrRoad_act!D69=0,0,TrRoad_ene!D72/TrRoad_tech!D100)</f>
        <v>1.1009172780313563</v>
      </c>
      <c r="E127" s="93">
        <f>IF(TrRoad_act!E69=0,0,TrRoad_ene!E72/TrRoad_tech!E100)</f>
        <v>1.102252876659874</v>
      </c>
      <c r="F127" s="93">
        <f>IF(TrRoad_act!F69=0,0,TrRoad_ene!F72/TrRoad_tech!F100)</f>
        <v>1.1049562731326306</v>
      </c>
      <c r="G127" s="93">
        <f>IF(TrRoad_act!G69=0,0,TrRoad_ene!G72/TrRoad_tech!G100)</f>
        <v>1.1074939370695651</v>
      </c>
      <c r="H127" s="93">
        <f>IF(TrRoad_act!H69=0,0,TrRoad_ene!H72/TrRoad_tech!H100)</f>
        <v>1.110936964161322</v>
      </c>
      <c r="I127" s="93">
        <f>IF(TrRoad_act!I69=0,0,TrRoad_ene!I72/TrRoad_tech!I100)</f>
        <v>1.1154368712130798</v>
      </c>
      <c r="J127" s="93">
        <f>IF(TrRoad_act!J69=0,0,TrRoad_ene!J72/TrRoad_tech!J100)</f>
        <v>1.1219342707032676</v>
      </c>
      <c r="K127" s="93">
        <f>IF(TrRoad_act!K69=0,0,TrRoad_ene!K72/TrRoad_tech!K100)</f>
        <v>1.1281262730142265</v>
      </c>
      <c r="L127" s="93">
        <f>IF(TrRoad_act!L69=0,0,TrRoad_ene!L72/TrRoad_tech!L100)</f>
        <v>1.1348744933155426</v>
      </c>
      <c r="M127" s="93">
        <f>IF(TrRoad_act!M69=0,0,TrRoad_ene!M72/TrRoad_tech!M100)</f>
        <v>1.1428602049375849</v>
      </c>
      <c r="N127" s="93">
        <f>IF(TrRoad_act!N69=0,0,TrRoad_ene!N72/TrRoad_tech!N100)</f>
        <v>1.1536780380119585</v>
      </c>
      <c r="O127" s="93">
        <f>IF(TrRoad_act!O69=0,0,TrRoad_ene!O72/TrRoad_tech!O100)</f>
        <v>1.1677011425335115</v>
      </c>
      <c r="P127" s="93">
        <f>IF(TrRoad_act!P69=0,0,TrRoad_ene!P72/TrRoad_tech!P100)</f>
        <v>1.179870923642206</v>
      </c>
      <c r="Q127" s="93">
        <f>IF(TrRoad_act!Q69=0,0,TrRoad_ene!Q72/TrRoad_tech!Q100)</f>
        <v>1.1905798499162406</v>
      </c>
      <c r="R127" s="93">
        <f>IF(TrRoad_act!R69=0,0,TrRoad_ene!R72/TrRoad_tech!R100)</f>
        <v>1.202198400731932</v>
      </c>
      <c r="S127" s="93">
        <f>IF(TrRoad_act!S69=0,0,TrRoad_ene!S72/TrRoad_tech!S100)</f>
        <v>1.2101910871209069</v>
      </c>
      <c r="T127" s="93">
        <f>IF(TrRoad_act!T69=0,0,TrRoad_ene!T72/TrRoad_tech!T100)</f>
        <v>1.2172535640373563</v>
      </c>
      <c r="U127" s="93">
        <f>IF(TrRoad_act!U69=0,0,TrRoad_ene!U72/TrRoad_tech!U100)</f>
        <v>1.2311934577383434</v>
      </c>
      <c r="V127" s="93">
        <f>IF(TrRoad_act!V69=0,0,TrRoad_ene!V72/TrRoad_tech!V100)</f>
        <v>1.2615852160615635</v>
      </c>
      <c r="W127" s="93">
        <f>IF(TrRoad_act!W69=0,0,TrRoad_ene!W72/TrRoad_tech!W100)</f>
        <v>1.2751768828403072</v>
      </c>
      <c r="X127" s="93">
        <f>IF(TrRoad_act!X69=0,0,TrRoad_ene!X72/TrRoad_tech!X100)</f>
        <v>1.2820226898480693</v>
      </c>
      <c r="Y127" s="93">
        <f>IF(TrRoad_act!Y69=0,0,TrRoad_ene!Y72/TrRoad_tech!Y100)</f>
        <v>1.2922854331436093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1.3533878856593005</v>
      </c>
      <c r="W128" s="93">
        <f>IF(TrRoad_act!W70=0,0,TrRoad_ene!W73/TrRoad_tech!W101)</f>
        <v>1.3533878856593007</v>
      </c>
      <c r="X128" s="93">
        <f>IF(TrRoad_act!X70=0,0,TrRoad_ene!X73/TrRoad_tech!X101)</f>
        <v>1.3533878856593007</v>
      </c>
      <c r="Y128" s="93">
        <f>IF(TrRoad_act!Y70=0,0,TrRoad_ene!Y73/TrRoad_tech!Y101)</f>
        <v>1.3533878856593002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1.0630647717318622</v>
      </c>
      <c r="C129" s="93">
        <f>IF(TrRoad_act!C71=0,0,TrRoad_ene!C74/TrRoad_tech!C102)</f>
        <v>1.0878176055207833</v>
      </c>
      <c r="D129" s="93">
        <f>IF(TrRoad_act!D71=0,0,TrRoad_ene!D74/TrRoad_tech!D102)</f>
        <v>1.104608293916526</v>
      </c>
      <c r="E129" s="93">
        <f>IF(TrRoad_act!E71=0,0,TrRoad_ene!E74/TrRoad_tech!E102)</f>
        <v>1.1055915892265817</v>
      </c>
      <c r="F129" s="93">
        <f>IF(TrRoad_act!F71=0,0,TrRoad_ene!F74/TrRoad_tech!F102)</f>
        <v>1.3470550450621008</v>
      </c>
      <c r="G129" s="93">
        <f>IF(TrRoad_act!G71=0,0,TrRoad_ene!G74/TrRoad_tech!G102)</f>
        <v>1.1699625840442325</v>
      </c>
      <c r="H129" s="93">
        <f>IF(TrRoad_act!H71=0,0,TrRoad_ene!H74/TrRoad_tech!H102)</f>
        <v>1.7096773480345482</v>
      </c>
      <c r="I129" s="93">
        <f>IF(TrRoad_act!I71=0,0,TrRoad_ene!I74/TrRoad_tech!I102)</f>
        <v>1.1218137230101259</v>
      </c>
      <c r="J129" s="93">
        <f>IF(TrRoad_act!J71=0,0,TrRoad_ene!J74/TrRoad_tech!J102)</f>
        <v>1.1298980972673565</v>
      </c>
      <c r="K129" s="93">
        <f>IF(TrRoad_act!K71=0,0,TrRoad_ene!K74/TrRoad_tech!K102)</f>
        <v>1.3197871644383792</v>
      </c>
      <c r="L129" s="93">
        <f>IF(TrRoad_act!L71=0,0,TrRoad_ene!L74/TrRoad_tech!L102)</f>
        <v>1.7395194784433989</v>
      </c>
      <c r="M129" s="93">
        <f>IF(TrRoad_act!M71=0,0,TrRoad_ene!M74/TrRoad_tech!M102)</f>
        <v>1.9446464181362988</v>
      </c>
      <c r="N129" s="93">
        <f>IF(TrRoad_act!N71=0,0,TrRoad_ene!N74/TrRoad_tech!N102)</f>
        <v>2.2541623052515134</v>
      </c>
      <c r="O129" s="93">
        <f>IF(TrRoad_act!O71=0,0,TrRoad_ene!O74/TrRoad_tech!O102)</f>
        <v>2.3222683980413548</v>
      </c>
      <c r="P129" s="93">
        <f>IF(TrRoad_act!P71=0,0,TrRoad_ene!P74/TrRoad_tech!P102)</f>
        <v>4.1028818073675453</v>
      </c>
      <c r="Q129" s="93">
        <f>IF(TrRoad_act!Q71=0,0,TrRoad_ene!Q74/TrRoad_tech!Q102)</f>
        <v>3.8311269922336542</v>
      </c>
      <c r="R129" s="93">
        <f>IF(TrRoad_act!R71=0,0,TrRoad_ene!R74/TrRoad_tech!R102)</f>
        <v>2.9168344222020197</v>
      </c>
      <c r="S129" s="93">
        <f>IF(TrRoad_act!S71=0,0,TrRoad_ene!S74/TrRoad_tech!S102)</f>
        <v>2.2826678620044469</v>
      </c>
      <c r="T129" s="93">
        <f>IF(TrRoad_act!T71=0,0,TrRoad_ene!T74/TrRoad_tech!T102)</f>
        <v>2.1674063843726383</v>
      </c>
      <c r="U129" s="93">
        <f>IF(TrRoad_act!U71=0,0,TrRoad_ene!U74/TrRoad_tech!U102)</f>
        <v>2.2618296283903474</v>
      </c>
      <c r="V129" s="93">
        <f>IF(TrRoad_act!V71=0,0,TrRoad_ene!V74/TrRoad_tech!V102)</f>
        <v>2.6046185940163173</v>
      </c>
      <c r="W129" s="93">
        <f>IF(TrRoad_act!W71=0,0,TrRoad_ene!W74/TrRoad_tech!W102)</f>
        <v>2.8685519521613014</v>
      </c>
      <c r="X129" s="93">
        <f>IF(TrRoad_act!X71=0,0,TrRoad_ene!X74/TrRoad_tech!X102)</f>
        <v>2.1458415710673968</v>
      </c>
      <c r="Y129" s="93">
        <f>IF(TrRoad_act!Y71=0,0,TrRoad_ene!Y74/TrRoad_tech!Y102)</f>
        <v>2.2877852683933786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1.100077298373394</v>
      </c>
      <c r="D130" s="93">
        <f>IF(TrRoad_act!D72=0,0,TrRoad_ene!D75/TrRoad_tech!D103)</f>
        <v>1.1000784735270239</v>
      </c>
      <c r="E130" s="93">
        <f>IF(TrRoad_act!E72=0,0,TrRoad_ene!E75/TrRoad_tech!E103)</f>
        <v>1.1000788327923585</v>
      </c>
      <c r="F130" s="93">
        <f>IF(TrRoad_act!F72=0,0,TrRoad_ene!F75/TrRoad_tech!F103)</f>
        <v>1.1002058564754122</v>
      </c>
      <c r="G130" s="93">
        <f>IF(TrRoad_act!G72=0,0,TrRoad_ene!G75/TrRoad_tech!G103)</f>
        <v>1.1002077738367095</v>
      </c>
      <c r="H130" s="93">
        <f>IF(TrRoad_act!H72=0,0,TrRoad_ene!H75/TrRoad_tech!H103)</f>
        <v>1.1021782366541899</v>
      </c>
      <c r="I130" s="93">
        <f>IF(TrRoad_act!I72=0,0,TrRoad_ene!I75/TrRoad_tech!I103)</f>
        <v>1.1021889424896736</v>
      </c>
      <c r="J130" s="93">
        <f>IF(TrRoad_act!J72=0,0,TrRoad_ene!J75/TrRoad_tech!J103)</f>
        <v>1.1021939091217217</v>
      </c>
      <c r="K130" s="93">
        <f>IF(TrRoad_act!K72=0,0,TrRoad_ene!K75/TrRoad_tech!K103)</f>
        <v>1.1022086852500601</v>
      </c>
      <c r="L130" s="93">
        <f>IF(TrRoad_act!L72=0,0,TrRoad_ene!L75/TrRoad_tech!L103)</f>
        <v>1.1026042947953774</v>
      </c>
      <c r="M130" s="93">
        <f>IF(TrRoad_act!M72=0,0,TrRoad_ene!M75/TrRoad_tech!M103)</f>
        <v>1.1026279007739006</v>
      </c>
      <c r="N130" s="93">
        <f>IF(TrRoad_act!N72=0,0,TrRoad_ene!N75/TrRoad_tech!N103)</f>
        <v>1.102627900773901</v>
      </c>
      <c r="O130" s="93">
        <f>IF(TrRoad_act!O72=0,0,TrRoad_ene!O75/TrRoad_tech!O103)</f>
        <v>1.1030560919596653</v>
      </c>
      <c r="P130" s="93">
        <f>IF(TrRoad_act!P72=0,0,TrRoad_ene!P75/TrRoad_tech!P103)</f>
        <v>1.1062770662167436</v>
      </c>
      <c r="Q130" s="93">
        <f>IF(TrRoad_act!Q72=0,0,TrRoad_ene!Q75/TrRoad_tech!Q103)</f>
        <v>1.1138175934373096</v>
      </c>
      <c r="R130" s="93">
        <f>IF(TrRoad_act!R72=0,0,TrRoad_ene!R75/TrRoad_tech!R103)</f>
        <v>1.140783933608958</v>
      </c>
      <c r="S130" s="93">
        <f>IF(TrRoad_act!S72=0,0,TrRoad_ene!S75/TrRoad_tech!S103)</f>
        <v>1.1529448681916585</v>
      </c>
      <c r="T130" s="93">
        <f>IF(TrRoad_act!T72=0,0,TrRoad_ene!T75/TrRoad_tech!T103)</f>
        <v>1.1818017796649114</v>
      </c>
      <c r="U130" s="93">
        <f>IF(TrRoad_act!U72=0,0,TrRoad_ene!U75/TrRoad_tech!U103)</f>
        <v>1.1895496195659014</v>
      </c>
      <c r="V130" s="93">
        <f>IF(TrRoad_act!V72=0,0,TrRoad_ene!V75/TrRoad_tech!V103)</f>
        <v>1.1947324666204797</v>
      </c>
      <c r="W130" s="93">
        <f>IF(TrRoad_act!W72=0,0,TrRoad_ene!W75/TrRoad_tech!W103)</f>
        <v>1.2048881047304152</v>
      </c>
      <c r="X130" s="93">
        <f>IF(TrRoad_act!X72=0,0,TrRoad_ene!X75/TrRoad_tech!X103)</f>
        <v>1.2329842284476848</v>
      </c>
      <c r="Y130" s="93">
        <f>IF(TrRoad_act!Y72=0,0,TrRoad_ene!Y75/TrRoad_tech!Y103)</f>
        <v>1.2451346794750389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1.1139825140321633</v>
      </c>
      <c r="C132" s="150">
        <f>IF(TrRoad_act!C74=0,0,TrRoad_ene!C77/TrRoad_tech!C105)</f>
        <v>1.0923324085850754</v>
      </c>
      <c r="D132" s="150">
        <f>IF(TrRoad_act!D74=0,0,TrRoad_ene!D77/TrRoad_tech!D105)</f>
        <v>1.0898941253150991</v>
      </c>
      <c r="E132" s="150">
        <f>IF(TrRoad_act!E74=0,0,TrRoad_ene!E77/TrRoad_tech!E105)</f>
        <v>1.0881716358954545</v>
      </c>
      <c r="F132" s="150">
        <f>IF(TrRoad_act!F74=0,0,TrRoad_ene!F77/TrRoad_tech!F105)</f>
        <v>1.090322193026164</v>
      </c>
      <c r="G132" s="150">
        <f>IF(TrRoad_act!G74=0,0,TrRoad_ene!G77/TrRoad_tech!G105)</f>
        <v>1.0962026818408479</v>
      </c>
      <c r="H132" s="150">
        <f>IF(TrRoad_act!H74=0,0,TrRoad_ene!H77/TrRoad_tech!H105)</f>
        <v>1.1038867975538447</v>
      </c>
      <c r="I132" s="150">
        <f>IF(TrRoad_act!I74=0,0,TrRoad_ene!I77/TrRoad_tech!I105)</f>
        <v>1.1116388765772116</v>
      </c>
      <c r="J132" s="150">
        <f>IF(TrRoad_act!J74=0,0,TrRoad_ene!J77/TrRoad_tech!J105)</f>
        <v>1.121056493696331</v>
      </c>
      <c r="K132" s="150">
        <f>IF(TrRoad_act!K74=0,0,TrRoad_ene!K77/TrRoad_tech!K105)</f>
        <v>1.1260930039822035</v>
      </c>
      <c r="L132" s="150">
        <f>IF(TrRoad_act!L74=0,0,TrRoad_ene!L77/TrRoad_tech!L105)</f>
        <v>1.1294023832732814</v>
      </c>
      <c r="M132" s="150">
        <f>IF(TrRoad_act!M74=0,0,TrRoad_ene!M77/TrRoad_tech!M105)</f>
        <v>1.1327689627465065</v>
      </c>
      <c r="N132" s="150">
        <f>IF(TrRoad_act!N74=0,0,TrRoad_ene!N77/TrRoad_tech!N105)</f>
        <v>1.135355996334481</v>
      </c>
      <c r="O132" s="150">
        <f>IF(TrRoad_act!O74=0,0,TrRoad_ene!O77/TrRoad_tech!O105)</f>
        <v>1.1390067233518986</v>
      </c>
      <c r="P132" s="150">
        <f>IF(TrRoad_act!P74=0,0,TrRoad_ene!P77/TrRoad_tech!P105)</f>
        <v>1.1443588627531229</v>
      </c>
      <c r="Q132" s="150">
        <f>IF(TrRoad_act!Q74=0,0,TrRoad_ene!Q77/TrRoad_tech!Q105)</f>
        <v>1.1531019116258505</v>
      </c>
      <c r="R132" s="150">
        <f>IF(TrRoad_act!R74=0,0,TrRoad_ene!R77/TrRoad_tech!R105)</f>
        <v>1.1681215977462167</v>
      </c>
      <c r="S132" s="150">
        <f>IF(TrRoad_act!S74=0,0,TrRoad_ene!S77/TrRoad_tech!S105)</f>
        <v>1.1769721172895182</v>
      </c>
      <c r="T132" s="150">
        <f>IF(TrRoad_act!T74=0,0,TrRoad_ene!T77/TrRoad_tech!T105)</f>
        <v>1.1872405834604849</v>
      </c>
      <c r="U132" s="150">
        <f>IF(TrRoad_act!U74=0,0,TrRoad_ene!U77/TrRoad_tech!U105)</f>
        <v>1.1978547201148426</v>
      </c>
      <c r="V132" s="150">
        <f>IF(TrRoad_act!V74=0,0,TrRoad_ene!V77/TrRoad_tech!V105)</f>
        <v>1.2089163294083611</v>
      </c>
      <c r="W132" s="150">
        <f>IF(TrRoad_act!W74=0,0,TrRoad_ene!W77/TrRoad_tech!W105)</f>
        <v>1.2233977836925138</v>
      </c>
      <c r="X132" s="150">
        <f>IF(TrRoad_act!X74=0,0,TrRoad_ene!X77/TrRoad_tech!X105)</f>
        <v>1.2329884392822905</v>
      </c>
      <c r="Y132" s="150">
        <f>IF(TrRoad_act!Y74=0,0,TrRoad_ene!Y77/TrRoad_tech!Y105)</f>
        <v>1.2443253511882839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1.1000000000067305</v>
      </c>
      <c r="C133" s="91">
        <f>IF(TrRoad_act!C75=0,0,TrRoad_ene!C78/TrRoad_tech!C106)</f>
        <v>1.1000420449828372</v>
      </c>
      <c r="D133" s="91">
        <f>IF(TrRoad_act!D75=0,0,TrRoad_ene!D78/TrRoad_tech!D106)</f>
        <v>1.1001565646858429</v>
      </c>
      <c r="E133" s="91">
        <f>IF(TrRoad_act!E75=0,0,TrRoad_ene!E78/TrRoad_tech!E106)</f>
        <v>1.1002237790525304</v>
      </c>
      <c r="F133" s="91">
        <f>IF(TrRoad_act!F75=0,0,TrRoad_ene!F78/TrRoad_tech!F106)</f>
        <v>1.1004013524328402</v>
      </c>
      <c r="G133" s="91">
        <f>IF(TrRoad_act!G75=0,0,TrRoad_ene!G78/TrRoad_tech!G106)</f>
        <v>1.1007532061117005</v>
      </c>
      <c r="H133" s="91">
        <f>IF(TrRoad_act!H75=0,0,TrRoad_ene!H78/TrRoad_tech!H106)</f>
        <v>1.1021643805101768</v>
      </c>
      <c r="I133" s="91">
        <f>IF(TrRoad_act!I75=0,0,TrRoad_ene!I78/TrRoad_tech!I106)</f>
        <v>1.1043675962807578</v>
      </c>
      <c r="J133" s="91">
        <f>IF(TrRoad_act!J75=0,0,TrRoad_ene!J78/TrRoad_tech!J106)</f>
        <v>1.1070356619630493</v>
      </c>
      <c r="K133" s="91">
        <f>IF(TrRoad_act!K75=0,0,TrRoad_ene!K78/TrRoad_tech!K106)</f>
        <v>1.1080218565067481</v>
      </c>
      <c r="L133" s="91">
        <f>IF(TrRoad_act!L75=0,0,TrRoad_ene!L78/TrRoad_tech!L106)</f>
        <v>1.1093069951654111</v>
      </c>
      <c r="M133" s="91">
        <f>IF(TrRoad_act!M75=0,0,TrRoad_ene!M78/TrRoad_tech!M106)</f>
        <v>1.1112810609218544</v>
      </c>
      <c r="N133" s="91">
        <f>IF(TrRoad_act!N75=0,0,TrRoad_ene!N78/TrRoad_tech!N106)</f>
        <v>1.1145297872253148</v>
      </c>
      <c r="O133" s="91">
        <f>IF(TrRoad_act!O75=0,0,TrRoad_ene!O78/TrRoad_tech!O106)</f>
        <v>1.1204522754816997</v>
      </c>
      <c r="P133" s="91">
        <f>IF(TrRoad_act!P75=0,0,TrRoad_ene!P78/TrRoad_tech!P106)</f>
        <v>1.1295665634526724</v>
      </c>
      <c r="Q133" s="91">
        <f>IF(TrRoad_act!Q75=0,0,TrRoad_ene!Q78/TrRoad_tech!Q106)</f>
        <v>1.1422097762368892</v>
      </c>
      <c r="R133" s="91">
        <f>IF(TrRoad_act!R75=0,0,TrRoad_ene!R78/TrRoad_tech!R106)</f>
        <v>1.151795337925233</v>
      </c>
      <c r="S133" s="91">
        <f>IF(TrRoad_act!S75=0,0,TrRoad_ene!S78/TrRoad_tech!S106)</f>
        <v>1.1629993581348019</v>
      </c>
      <c r="T133" s="91">
        <f>IF(TrRoad_act!T75=0,0,TrRoad_ene!T78/TrRoad_tech!T106)</f>
        <v>1.1762267353987803</v>
      </c>
      <c r="U133" s="91">
        <f>IF(TrRoad_act!U75=0,0,TrRoad_ene!U78/TrRoad_tech!U106)</f>
        <v>1.1903844003617321</v>
      </c>
      <c r="V133" s="91">
        <f>IF(TrRoad_act!V75=0,0,TrRoad_ene!V78/TrRoad_tech!V106)</f>
        <v>1.205650569321336</v>
      </c>
      <c r="W133" s="91">
        <f>IF(TrRoad_act!W75=0,0,TrRoad_ene!W78/TrRoad_tech!W106)</f>
        <v>1.2208383866306698</v>
      </c>
      <c r="X133" s="91">
        <f>IF(TrRoad_act!X75=0,0,TrRoad_ene!X78/TrRoad_tech!X106)</f>
        <v>1.2381112117750845</v>
      </c>
      <c r="Y133" s="91">
        <f>IF(TrRoad_act!Y75=0,0,TrRoad_ene!Y78/TrRoad_tech!Y106)</f>
        <v>1.2571042590258266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1.1000000000067303</v>
      </c>
      <c r="C134" s="91">
        <f>IF(TrRoad_act!C76=0,0,TrRoad_ene!C79/TrRoad_tech!C107)</f>
        <v>1.1002704307300295</v>
      </c>
      <c r="D134" s="91">
        <f>IF(TrRoad_act!D76=0,0,TrRoad_ene!D79/TrRoad_tech!D107)</f>
        <v>1.1010680030316011</v>
      </c>
      <c r="E134" s="91">
        <f>IF(TrRoad_act!E76=0,0,TrRoad_ene!E79/TrRoad_tech!E107)</f>
        <v>1.102532049877391</v>
      </c>
      <c r="F134" s="91">
        <f>IF(TrRoad_act!F76=0,0,TrRoad_ene!F79/TrRoad_tech!F107)</f>
        <v>1.104491595237663</v>
      </c>
      <c r="G134" s="91">
        <f>IF(TrRoad_act!G76=0,0,TrRoad_ene!G79/TrRoad_tech!G107)</f>
        <v>1.1071154316181397</v>
      </c>
      <c r="H134" s="91">
        <f>IF(TrRoad_act!H76=0,0,TrRoad_ene!H79/TrRoad_tech!H107)</f>
        <v>1.1102753543586541</v>
      </c>
      <c r="I134" s="91">
        <f>IF(TrRoad_act!I76=0,0,TrRoad_ene!I79/TrRoad_tech!I107)</f>
        <v>1.1145272334026703</v>
      </c>
      <c r="J134" s="91">
        <f>IF(TrRoad_act!J76=0,0,TrRoad_ene!J79/TrRoad_tech!J107)</f>
        <v>1.1196701857171065</v>
      </c>
      <c r="K134" s="91">
        <f>IF(TrRoad_act!K76=0,0,TrRoad_ene!K79/TrRoad_tech!K107)</f>
        <v>1.1223630029049125</v>
      </c>
      <c r="L134" s="91">
        <f>IF(TrRoad_act!L76=0,0,TrRoad_ene!L79/TrRoad_tech!L107)</f>
        <v>1.1238381932126544</v>
      </c>
      <c r="M134" s="91">
        <f>IF(TrRoad_act!M76=0,0,TrRoad_ene!M79/TrRoad_tech!M107)</f>
        <v>1.1260892025401732</v>
      </c>
      <c r="N134" s="91">
        <f>IF(TrRoad_act!N76=0,0,TrRoad_ene!N79/TrRoad_tech!N107)</f>
        <v>1.1291017640680816</v>
      </c>
      <c r="O134" s="91">
        <f>IF(TrRoad_act!O76=0,0,TrRoad_ene!O79/TrRoad_tech!O107)</f>
        <v>1.1329222924138711</v>
      </c>
      <c r="P134" s="91">
        <f>IF(TrRoad_act!P76=0,0,TrRoad_ene!P79/TrRoad_tech!P107)</f>
        <v>1.1378760229367557</v>
      </c>
      <c r="Q134" s="91">
        <f>IF(TrRoad_act!Q76=0,0,TrRoad_ene!Q79/TrRoad_tech!Q107)</f>
        <v>1.1456197677774227</v>
      </c>
      <c r="R134" s="91">
        <f>IF(TrRoad_act!R76=0,0,TrRoad_ene!R79/TrRoad_tech!R107)</f>
        <v>1.1602952883609583</v>
      </c>
      <c r="S134" s="91">
        <f>IF(TrRoad_act!S76=0,0,TrRoad_ene!S79/TrRoad_tech!S107)</f>
        <v>1.1693409701701325</v>
      </c>
      <c r="T134" s="91">
        <f>IF(TrRoad_act!T76=0,0,TrRoad_ene!T79/TrRoad_tech!T107)</f>
        <v>1.1814748594695546</v>
      </c>
      <c r="U134" s="91">
        <f>IF(TrRoad_act!U76=0,0,TrRoad_ene!U79/TrRoad_tech!U107)</f>
        <v>1.1929881166144169</v>
      </c>
      <c r="V134" s="91">
        <f>IF(TrRoad_act!V76=0,0,TrRoad_ene!V79/TrRoad_tech!V107)</f>
        <v>1.2033365176132913</v>
      </c>
      <c r="W134" s="91">
        <f>IF(TrRoad_act!W76=0,0,TrRoad_ene!W79/TrRoad_tech!W107)</f>
        <v>1.216935418564415</v>
      </c>
      <c r="X134" s="91">
        <f>IF(TrRoad_act!X76=0,0,TrRoad_ene!X79/TrRoad_tech!X107)</f>
        <v>1.225192134083837</v>
      </c>
      <c r="Y134" s="91">
        <f>IF(TrRoad_act!Y76=0,0,TrRoad_ene!Y79/TrRoad_tech!Y107)</f>
        <v>1.2355535428297022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1.1000000000067303</v>
      </c>
      <c r="C135" s="91">
        <f>IF(TrRoad_act!C77=0,0,TrRoad_ene!C80/TrRoad_tech!C108)</f>
        <v>1.1000027240436638</v>
      </c>
      <c r="D135" s="91">
        <f>IF(TrRoad_act!D77=0,0,TrRoad_ene!D80/TrRoad_tech!D108)</f>
        <v>1.1000177584148685</v>
      </c>
      <c r="E135" s="91">
        <f>IF(TrRoad_act!E77=0,0,TrRoad_ene!E80/TrRoad_tech!E108)</f>
        <v>1.1000455061862768</v>
      </c>
      <c r="F135" s="91">
        <f>IF(TrRoad_act!F77=0,0,TrRoad_ene!F80/TrRoad_tech!F108)</f>
        <v>1.1001011809459409</v>
      </c>
      <c r="G135" s="91">
        <f>IF(TrRoad_act!G77=0,0,TrRoad_ene!G80/TrRoad_tech!G108)</f>
        <v>1.1001716577652612</v>
      </c>
      <c r="H135" s="91">
        <f>IF(TrRoad_act!H77=0,0,TrRoad_ene!H80/TrRoad_tech!H108)</f>
        <v>1.1008385644746985</v>
      </c>
      <c r="I135" s="91">
        <f>IF(TrRoad_act!I77=0,0,TrRoad_ene!I80/TrRoad_tech!I108)</f>
        <v>1.1022903495085883</v>
      </c>
      <c r="J135" s="91">
        <f>IF(TrRoad_act!J77=0,0,TrRoad_ene!J80/TrRoad_tech!J108)</f>
        <v>1.1031145736787342</v>
      </c>
      <c r="K135" s="91">
        <f>IF(TrRoad_act!K77=0,0,TrRoad_ene!K80/TrRoad_tech!K108)</f>
        <v>1.1058286609033889</v>
      </c>
      <c r="L135" s="91">
        <f>IF(TrRoad_act!L77=0,0,TrRoad_ene!L80/TrRoad_tech!L108)</f>
        <v>1.1074399279442098</v>
      </c>
      <c r="M135" s="91">
        <f>IF(TrRoad_act!M77=0,0,TrRoad_ene!M80/TrRoad_tech!M108)</f>
        <v>1.1120342673738877</v>
      </c>
      <c r="N135" s="91">
        <f>IF(TrRoad_act!N77=0,0,TrRoad_ene!N80/TrRoad_tech!N108)</f>
        <v>1.1218561929073358</v>
      </c>
      <c r="O135" s="91">
        <f>IF(TrRoad_act!O77=0,0,TrRoad_ene!O80/TrRoad_tech!O108)</f>
        <v>1.1291507673722867</v>
      </c>
      <c r="P135" s="91">
        <f>IF(TrRoad_act!P77=0,0,TrRoad_ene!P80/TrRoad_tech!P108)</f>
        <v>1.1408963233570717</v>
      </c>
      <c r="Q135" s="91">
        <f>IF(TrRoad_act!Q77=0,0,TrRoad_ene!Q80/TrRoad_tech!Q108)</f>
        <v>1.1474330020686547</v>
      </c>
      <c r="R135" s="91">
        <f>IF(TrRoad_act!R77=0,0,TrRoad_ene!R80/TrRoad_tech!R108)</f>
        <v>1.1595006261451939</v>
      </c>
      <c r="S135" s="91">
        <f>IF(TrRoad_act!S77=0,0,TrRoad_ene!S80/TrRoad_tech!S108)</f>
        <v>1.1656360688738934</v>
      </c>
      <c r="T135" s="91">
        <f>IF(TrRoad_act!T77=0,0,TrRoad_ene!T80/TrRoad_tech!T108)</f>
        <v>1.1738024197825838</v>
      </c>
      <c r="U135" s="91">
        <f>IF(TrRoad_act!U77=0,0,TrRoad_ene!U80/TrRoad_tech!U108)</f>
        <v>1.179737376949936</v>
      </c>
      <c r="V135" s="91">
        <f>IF(TrRoad_act!V77=0,0,TrRoad_ene!V80/TrRoad_tech!V108)</f>
        <v>1.185106802970787</v>
      </c>
      <c r="W135" s="91">
        <f>IF(TrRoad_act!W77=0,0,TrRoad_ene!W80/TrRoad_tech!W108)</f>
        <v>1.1907982293911292</v>
      </c>
      <c r="X135" s="91">
        <f>IF(TrRoad_act!X77=0,0,TrRoad_ene!X80/TrRoad_tech!X108)</f>
        <v>1.1970401370479506</v>
      </c>
      <c r="Y135" s="91">
        <f>IF(TrRoad_act!Y77=0,0,TrRoad_ene!Y80/TrRoad_tech!Y108)</f>
        <v>1.2045998325389951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1.2360000000066977</v>
      </c>
      <c r="O136" s="91">
        <f>IF(TrRoad_act!O78=0,0,TrRoad_ene!O81/TrRoad_tech!O109)</f>
        <v>1.2451293605423444</v>
      </c>
      <c r="P136" s="91">
        <f>IF(TrRoad_act!P78=0,0,TrRoad_ene!P81/TrRoad_tech!P109)</f>
        <v>1.2641992995949058</v>
      </c>
      <c r="Q136" s="91">
        <f>IF(TrRoad_act!Q78=0,0,TrRoad_ene!Q81/TrRoad_tech!Q109)</f>
        <v>1.2846958137207238</v>
      </c>
      <c r="R136" s="91">
        <f>IF(TrRoad_act!R78=0,0,TrRoad_ene!R81/TrRoad_tech!R109)</f>
        <v>1.2982086000568904</v>
      </c>
      <c r="S136" s="91">
        <f>IF(TrRoad_act!S78=0,0,TrRoad_ene!S81/TrRoad_tech!S109)</f>
        <v>1.3061833152658879</v>
      </c>
      <c r="T136" s="91">
        <f>IF(TrRoad_act!T78=0,0,TrRoad_ene!T81/TrRoad_tech!T109)</f>
        <v>1.3118545141278637</v>
      </c>
      <c r="U136" s="91">
        <f>IF(TrRoad_act!U78=0,0,TrRoad_ene!U81/TrRoad_tech!U109)</f>
        <v>1.3169635871602421</v>
      </c>
      <c r="V136" s="91">
        <f>IF(TrRoad_act!V78=0,0,TrRoad_ene!V81/TrRoad_tech!V109)</f>
        <v>1.3210202340900774</v>
      </c>
      <c r="W136" s="91">
        <f>IF(TrRoad_act!W78=0,0,TrRoad_ene!W81/TrRoad_tech!W109)</f>
        <v>1.3234061157596355</v>
      </c>
      <c r="X136" s="91">
        <f>IF(TrRoad_act!X78=0,0,TrRoad_ene!X81/TrRoad_tech!X109)</f>
        <v>1.3236882488251562</v>
      </c>
      <c r="Y136" s="91">
        <f>IF(TrRoad_act!Y78=0,0,TrRoad_ene!Y81/TrRoad_tech!Y109)</f>
        <v>1.3244653661254675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1.1693333333396367</v>
      </c>
      <c r="K137" s="91">
        <f>IF(TrRoad_act!K79=0,0,TrRoad_ene!K82/TrRoad_tech!K110)</f>
        <v>1.1700726410183682</v>
      </c>
      <c r="L137" s="91">
        <f>IF(TrRoad_act!L79=0,0,TrRoad_ene!L82/TrRoad_tech!L110)</f>
        <v>1.1728704130049838</v>
      </c>
      <c r="M137" s="91">
        <f>IF(TrRoad_act!M79=0,0,TrRoad_ene!M82/TrRoad_tech!M110)</f>
        <v>1.1768195380600084</v>
      </c>
      <c r="N137" s="91">
        <f>IF(TrRoad_act!N79=0,0,TrRoad_ene!N82/TrRoad_tech!N110)</f>
        <v>1.1958846076837955</v>
      </c>
      <c r="O137" s="91">
        <f>IF(TrRoad_act!O79=0,0,TrRoad_ene!O82/TrRoad_tech!O110)</f>
        <v>1.2066081043188788</v>
      </c>
      <c r="P137" s="91">
        <f>IF(TrRoad_act!P79=0,0,TrRoad_ene!P82/TrRoad_tech!P110)</f>
        <v>1.2172192502730437</v>
      </c>
      <c r="Q137" s="91">
        <f>IF(TrRoad_act!Q79=0,0,TrRoad_ene!Q82/TrRoad_tech!Q110)</f>
        <v>1.2353956812492031</v>
      </c>
      <c r="R137" s="91">
        <f>IF(TrRoad_act!R79=0,0,TrRoad_ene!R82/TrRoad_tech!R110)</f>
        <v>1.2506436959521174</v>
      </c>
      <c r="S137" s="91">
        <f>IF(TrRoad_act!S79=0,0,TrRoad_ene!S82/TrRoad_tech!S110)</f>
        <v>1.2670693082544773</v>
      </c>
      <c r="T137" s="91">
        <f>IF(TrRoad_act!T79=0,0,TrRoad_ene!T82/TrRoad_tech!T110)</f>
        <v>1.2935978417375218</v>
      </c>
      <c r="U137" s="91">
        <f>IF(TrRoad_act!U79=0,0,TrRoad_ene!U82/TrRoad_tech!U110)</f>
        <v>1.3192742836792228</v>
      </c>
      <c r="V137" s="91">
        <f>IF(TrRoad_act!V79=0,0,TrRoad_ene!V82/TrRoad_tech!V110)</f>
        <v>1.3299802635560036</v>
      </c>
      <c r="W137" s="91">
        <f>IF(TrRoad_act!W79=0,0,TrRoad_ene!W82/TrRoad_tech!W110)</f>
        <v>1.3436947265978747</v>
      </c>
      <c r="X137" s="91">
        <f>IF(TrRoad_act!X79=0,0,TrRoad_ene!X82/TrRoad_tech!X110)</f>
        <v>1.3494351002903617</v>
      </c>
      <c r="Y137" s="91">
        <f>IF(TrRoad_act!Y79=0,0,TrRoad_ene!Y82/TrRoad_tech!Y110)</f>
        <v>1.3549589033158029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1.2574754033802549</v>
      </c>
      <c r="C138" s="151">
        <f>IF(TrRoad_act!C80=0,0,TrRoad_ene!C83/TrRoad_tech!C111)</f>
        <v>1.2182297877735522</v>
      </c>
      <c r="D138" s="151">
        <f>IF(TrRoad_act!D80=0,0,TrRoad_ene!D83/TrRoad_tech!D111)</f>
        <v>1.2057791540020555</v>
      </c>
      <c r="E138" s="151">
        <f>IF(TrRoad_act!E80=0,0,TrRoad_ene!E83/TrRoad_tech!E111)</f>
        <v>1.2931806703532813</v>
      </c>
      <c r="F138" s="151">
        <f>IF(TrRoad_act!F80=0,0,TrRoad_ene!F83/TrRoad_tech!F111)</f>
        <v>1.2694527925090331</v>
      </c>
      <c r="G138" s="151">
        <f>IF(TrRoad_act!G80=0,0,TrRoad_ene!G83/TrRoad_tech!G111)</f>
        <v>1.3219070953803678</v>
      </c>
      <c r="H138" s="151">
        <f>IF(TrRoad_act!H80=0,0,TrRoad_ene!H83/TrRoad_tech!H111)</f>
        <v>1.4369752057697032</v>
      </c>
      <c r="I138" s="151">
        <f>IF(TrRoad_act!I80=0,0,TrRoad_ene!I83/TrRoad_tech!I111)</f>
        <v>1.5481786554451455</v>
      </c>
      <c r="J138" s="151">
        <f>IF(TrRoad_act!J80=0,0,TrRoad_ene!J83/TrRoad_tech!J111)</f>
        <v>1.5657058097537242</v>
      </c>
      <c r="K138" s="151">
        <f>IF(TrRoad_act!K80=0,0,TrRoad_ene!K83/TrRoad_tech!K111)</f>
        <v>1.6676159382277675</v>
      </c>
      <c r="L138" s="151">
        <f>IF(TrRoad_act!L80=0,0,TrRoad_ene!L83/TrRoad_tech!L111)</f>
        <v>1.5147734556306975</v>
      </c>
      <c r="M138" s="151">
        <f>IF(TrRoad_act!M80=0,0,TrRoad_ene!M83/TrRoad_tech!M111)</f>
        <v>1.4975674887891099</v>
      </c>
      <c r="N138" s="151">
        <f>IF(TrRoad_act!N80=0,0,TrRoad_ene!N83/TrRoad_tech!N111)</f>
        <v>1.530096598169931</v>
      </c>
      <c r="O138" s="151">
        <f>IF(TrRoad_act!O80=0,0,TrRoad_ene!O83/TrRoad_tech!O111)</f>
        <v>1.3838462630268478</v>
      </c>
      <c r="P138" s="151">
        <f>IF(TrRoad_act!P80=0,0,TrRoad_ene!P83/TrRoad_tech!P111)</f>
        <v>1.4078188567197136</v>
      </c>
      <c r="Q138" s="151">
        <f>IF(TrRoad_act!Q80=0,0,TrRoad_ene!Q83/TrRoad_tech!Q111)</f>
        <v>1.3668941602315172</v>
      </c>
      <c r="R138" s="151">
        <f>IF(TrRoad_act!R80=0,0,TrRoad_ene!R83/TrRoad_tech!R111)</f>
        <v>1.5003630207291314</v>
      </c>
      <c r="S138" s="151">
        <f>IF(TrRoad_act!S80=0,0,TrRoad_ene!S83/TrRoad_tech!S111)</f>
        <v>1.5149497103482843</v>
      </c>
      <c r="T138" s="151">
        <f>IF(TrRoad_act!T80=0,0,TrRoad_ene!T83/TrRoad_tech!T111)</f>
        <v>1.5229491449618899</v>
      </c>
      <c r="U138" s="151">
        <f>IF(TrRoad_act!U80=0,0,TrRoad_ene!U83/TrRoad_tech!U111)</f>
        <v>1.5119568087504012</v>
      </c>
      <c r="V138" s="151">
        <f>IF(TrRoad_act!V80=0,0,TrRoad_ene!V83/TrRoad_tech!V111)</f>
        <v>1.3140667644429211</v>
      </c>
      <c r="W138" s="151">
        <f>IF(TrRoad_act!W80=0,0,TrRoad_ene!W83/TrRoad_tech!W111)</f>
        <v>1.4143091498426821</v>
      </c>
      <c r="X138" s="151">
        <f>IF(TrRoad_act!X80=0,0,TrRoad_ene!X83/TrRoad_tech!X111)</f>
        <v>1.4538295729549822</v>
      </c>
      <c r="Y138" s="151">
        <f>IF(TrRoad_act!Y80=0,0,TrRoad_ene!Y83/TrRoad_tech!Y111)</f>
        <v>1.5004676969386483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1.1063020014626594</v>
      </c>
      <c r="C139" s="93">
        <f>IF(TrRoad_act!C81=0,0,TrRoad_ene!C84/TrRoad_tech!C112)</f>
        <v>1.1037606968979685</v>
      </c>
      <c r="D139" s="93">
        <f>IF(TrRoad_act!D81=0,0,TrRoad_ene!D84/TrRoad_tech!D112)</f>
        <v>1.1038814833178978</v>
      </c>
      <c r="E139" s="93">
        <f>IF(TrRoad_act!E81=0,0,TrRoad_ene!E84/TrRoad_tech!E112)</f>
        <v>1.1136472452988688</v>
      </c>
      <c r="F139" s="93">
        <f>IF(TrRoad_act!F81=0,0,TrRoad_ene!F84/TrRoad_tech!F112)</f>
        <v>1.1121351360762166</v>
      </c>
      <c r="G139" s="93">
        <f>IF(TrRoad_act!G81=0,0,TrRoad_ene!G84/TrRoad_tech!G112)</f>
        <v>1.1197040075129463</v>
      </c>
      <c r="H139" s="93">
        <f>IF(TrRoad_act!H81=0,0,TrRoad_ene!H84/TrRoad_tech!H112)</f>
        <v>1.1337620915811744</v>
      </c>
      <c r="I139" s="93">
        <f>IF(TrRoad_act!I81=0,0,TrRoad_ene!I84/TrRoad_tech!I112)</f>
        <v>1.1484985969633819</v>
      </c>
      <c r="J139" s="93">
        <f>IF(TrRoad_act!J81=0,0,TrRoad_ene!J84/TrRoad_tech!J112)</f>
        <v>1.1545426399075558</v>
      </c>
      <c r="K139" s="93">
        <f>IF(TrRoad_act!K81=0,0,TrRoad_ene!K84/TrRoad_tech!K112)</f>
        <v>1.1651370545345032</v>
      </c>
      <c r="L139" s="93">
        <f>IF(TrRoad_act!L81=0,0,TrRoad_ene!L84/TrRoad_tech!L112)</f>
        <v>1.1571534509596868</v>
      </c>
      <c r="M139" s="93">
        <f>IF(TrRoad_act!M81=0,0,TrRoad_ene!M84/TrRoad_tech!M112)</f>
        <v>1.1642578137364665</v>
      </c>
      <c r="N139" s="93">
        <f>IF(TrRoad_act!N81=0,0,TrRoad_ene!N84/TrRoad_tech!N112)</f>
        <v>1.17996373310132</v>
      </c>
      <c r="O139" s="93">
        <f>IF(TrRoad_act!O81=0,0,TrRoad_ene!O84/TrRoad_tech!O112)</f>
        <v>1.1782833744345267</v>
      </c>
      <c r="P139" s="93">
        <f>IF(TrRoad_act!P81=0,0,TrRoad_ene!P84/TrRoad_tech!P112)</f>
        <v>1.1923722444106972</v>
      </c>
      <c r="Q139" s="93">
        <f>IF(TrRoad_act!Q81=0,0,TrRoad_ene!Q84/TrRoad_tech!Q112)</f>
        <v>1.205969275101096</v>
      </c>
      <c r="R139" s="93">
        <f>IF(TrRoad_act!R81=0,0,TrRoad_ene!R84/TrRoad_tech!R112)</f>
        <v>1.2285653018458962</v>
      </c>
      <c r="S139" s="93">
        <f>IF(TrRoad_act!S81=0,0,TrRoad_ene!S84/TrRoad_tech!S112)</f>
        <v>1.2408102887270522</v>
      </c>
      <c r="T139" s="93">
        <f>IF(TrRoad_act!T81=0,0,TrRoad_ene!T84/TrRoad_tech!T112)</f>
        <v>1.2527251040568965</v>
      </c>
      <c r="U139" s="93">
        <f>IF(TrRoad_act!U81=0,0,TrRoad_ene!U84/TrRoad_tech!U112)</f>
        <v>1.2670539823408025</v>
      </c>
      <c r="V139" s="93">
        <f>IF(TrRoad_act!V81=0,0,TrRoad_ene!V84/TrRoad_tech!V112)</f>
        <v>1.2751967307385637</v>
      </c>
      <c r="W139" s="93">
        <f>IF(TrRoad_act!W81=0,0,TrRoad_ene!W84/TrRoad_tech!W112)</f>
        <v>1.3033210414560441</v>
      </c>
      <c r="X139" s="93">
        <f>IF(TrRoad_act!X81=0,0,TrRoad_ene!X84/TrRoad_tech!X112)</f>
        <v>1.325687828883348</v>
      </c>
      <c r="Y139" s="93">
        <f>IF(TrRoad_act!Y81=0,0,TrRoad_ene!Y84/TrRoad_tech!Y112)</f>
        <v>1.3497294367405759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1.2398317259377347</v>
      </c>
      <c r="C140" s="94">
        <f>IF(TrRoad_act!C82=0,0,TrRoad_ene!C85/TrRoad_tech!C113)</f>
        <v>1.1839268373859455</v>
      </c>
      <c r="D140" s="94">
        <f>IF(TrRoad_act!D82=0,0,TrRoad_ene!D85/TrRoad_tech!D113)</f>
        <v>1.1792059549352132</v>
      </c>
      <c r="E140" s="94">
        <f>IF(TrRoad_act!E82=0,0,TrRoad_ene!E85/TrRoad_tech!E113)</f>
        <v>1.444745611822958</v>
      </c>
      <c r="F140" s="94">
        <f>IF(TrRoad_act!F82=0,0,TrRoad_ene!F85/TrRoad_tech!F113)</f>
        <v>1.3850754354622776</v>
      </c>
      <c r="G140" s="94">
        <f>IF(TrRoad_act!G82=0,0,TrRoad_ene!G85/TrRoad_tech!G113)</f>
        <v>1.5684975699211368</v>
      </c>
      <c r="H140" s="94">
        <f>IF(TrRoad_act!H82=0,0,TrRoad_ene!H85/TrRoad_tech!H113)</f>
        <v>1.8268674778695282</v>
      </c>
      <c r="I140" s="94">
        <f>IF(TrRoad_act!I82=0,0,TrRoad_ene!I85/TrRoad_tech!I113)</f>
        <v>2.068092087543159</v>
      </c>
      <c r="J140" s="94">
        <f>IF(TrRoad_act!J82=0,0,TrRoad_ene!J85/TrRoad_tech!J113)</f>
        <v>2.1104282808208974</v>
      </c>
      <c r="K140" s="94">
        <f>IF(TrRoad_act!K82=0,0,TrRoad_ene!K85/TrRoad_tech!K113)</f>
        <v>2.2470058732053491</v>
      </c>
      <c r="L140" s="94">
        <f>IF(TrRoad_act!L82=0,0,TrRoad_ene!L85/TrRoad_tech!L113)</f>
        <v>1.8637399877485374</v>
      </c>
      <c r="M140" s="94">
        <f>IF(TrRoad_act!M82=0,0,TrRoad_ene!M85/TrRoad_tech!M113)</f>
        <v>1.7893895005232934</v>
      </c>
      <c r="N140" s="94">
        <f>IF(TrRoad_act!N82=0,0,TrRoad_ene!N85/TrRoad_tech!N113)</f>
        <v>1.8041865374630908</v>
      </c>
      <c r="O140" s="94">
        <f>IF(TrRoad_act!O82=0,0,TrRoad_ene!O85/TrRoad_tech!O113)</f>
        <v>1.4805804003030421</v>
      </c>
      <c r="P140" s="94">
        <f>IF(TrRoad_act!P82=0,0,TrRoad_ene!P85/TrRoad_tech!P113)</f>
        <v>1.5353886576221432</v>
      </c>
      <c r="Q140" s="94">
        <f>IF(TrRoad_act!Q82=0,0,TrRoad_ene!Q85/TrRoad_tech!Q113)</f>
        <v>1.452022753012647</v>
      </c>
      <c r="R140" s="94">
        <f>IF(TrRoad_act!R82=0,0,TrRoad_ene!R85/TrRoad_tech!R113)</f>
        <v>1.7457140404621865</v>
      </c>
      <c r="S140" s="94">
        <f>IF(TrRoad_act!S82=0,0,TrRoad_ene!S85/TrRoad_tech!S113)</f>
        <v>1.7808641954101856</v>
      </c>
      <c r="T140" s="94">
        <f>IF(TrRoad_act!T82=0,0,TrRoad_ene!T85/TrRoad_tech!T113)</f>
        <v>1.8206526715570379</v>
      </c>
      <c r="U140" s="94">
        <f>IF(TrRoad_act!U82=0,0,TrRoad_ene!U85/TrRoad_tech!U113)</f>
        <v>1.756612892871942</v>
      </c>
      <c r="V140" s="94">
        <f>IF(TrRoad_act!V82=0,0,TrRoad_ene!V85/TrRoad_tech!V113)</f>
        <v>1.2356831285072556</v>
      </c>
      <c r="W140" s="94">
        <f>IF(TrRoad_act!W82=0,0,TrRoad_ene!W85/TrRoad_tech!W113)</f>
        <v>1.4657212760529044</v>
      </c>
      <c r="X140" s="94">
        <f>IF(TrRoad_act!X82=0,0,TrRoad_ene!X85/TrRoad_tech!X113)</f>
        <v>1.5092144826634883</v>
      </c>
      <c r="Y140" s="94">
        <f>IF(TrRoad_act!Y82=0,0,TrRoad_ene!Y85/TrRoad_tech!Y113)</f>
        <v>1.5884820011566394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3.4357723195946539</v>
      </c>
      <c r="C144" s="141">
        <v>3.4170676649082932</v>
      </c>
      <c r="D144" s="141">
        <v>3.3964041211926199</v>
      </c>
      <c r="E144" s="141">
        <v>3.3538921975390452</v>
      </c>
      <c r="F144" s="141">
        <v>3.3492476395479085</v>
      </c>
      <c r="G144" s="141">
        <v>3.4015796339158437</v>
      </c>
      <c r="H144" s="141">
        <v>3.3675638375766854</v>
      </c>
      <c r="I144" s="141">
        <v>3.3335480412375267</v>
      </c>
      <c r="J144" s="141">
        <v>3.2822626867569489</v>
      </c>
      <c r="K144" s="141">
        <v>3.1015975508156264</v>
      </c>
      <c r="L144" s="141">
        <v>2.9887907524590731</v>
      </c>
      <c r="M144" s="141">
        <v>2.9082556562557902</v>
      </c>
      <c r="N144" s="141">
        <v>2.8176834378266609</v>
      </c>
      <c r="O144" s="141">
        <v>2.7010850677821172</v>
      </c>
      <c r="P144" s="141">
        <v>2.6559333752964522</v>
      </c>
      <c r="Q144" s="141">
        <v>2.5831274668700197</v>
      </c>
      <c r="R144" s="141">
        <v>2.5295900275505008</v>
      </c>
      <c r="S144" s="141">
        <v>2.4867600760948858</v>
      </c>
      <c r="T144" s="141">
        <v>2.4524961149303937</v>
      </c>
      <c r="U144" s="141">
        <v>2.4250849459987998</v>
      </c>
      <c r="V144" s="141">
        <v>2.4031560108535248</v>
      </c>
      <c r="W144" s="141">
        <v>2.3856128627373048</v>
      </c>
      <c r="X144" s="141">
        <v>2.371578344244329</v>
      </c>
      <c r="Y144" s="141">
        <v>2.3603507294499484</v>
      </c>
      <c r="DA144" s="174" t="s">
        <v>887</v>
      </c>
    </row>
    <row r="145" spans="1:105" ht="11.45" customHeight="1" x14ac:dyDescent="0.25">
      <c r="A145" s="109" t="s">
        <v>20</v>
      </c>
      <c r="B145" s="130">
        <v>6.5837502661664553</v>
      </c>
      <c r="C145" s="130">
        <v>6.6046609524162339</v>
      </c>
      <c r="D145" s="130">
        <v>6.5829646155446984</v>
      </c>
      <c r="E145" s="130">
        <v>6.5464027652928038</v>
      </c>
      <c r="F145" s="130">
        <v>6.5401703147848336</v>
      </c>
      <c r="G145" s="130">
        <v>6.6334541346890799</v>
      </c>
      <c r="H145" s="130">
        <v>6.7010525141444752</v>
      </c>
      <c r="I145" s="130">
        <v>6.7053054373384153</v>
      </c>
      <c r="J145" s="130">
        <v>6.6469532780441876</v>
      </c>
      <c r="K145" s="130">
        <v>6.3819487728015298</v>
      </c>
      <c r="L145" s="130">
        <v>6.0946075327712634</v>
      </c>
      <c r="M145" s="130">
        <v>5.9911330617076546</v>
      </c>
      <c r="N145" s="130">
        <v>5.8241101397748194</v>
      </c>
      <c r="O145" s="130">
        <v>5.5172046422977932</v>
      </c>
      <c r="P145" s="130">
        <v>5.4081834547028684</v>
      </c>
      <c r="Q145" s="130">
        <v>5.1609164239249727</v>
      </c>
      <c r="R145" s="130">
        <v>4.9352001417711717</v>
      </c>
      <c r="S145" s="130">
        <v>5.0622122334553534</v>
      </c>
      <c r="T145" s="130">
        <v>5.1715467830392923</v>
      </c>
      <c r="U145" s="130">
        <v>5.1903160771208494</v>
      </c>
      <c r="V145" s="130">
        <v>4.9838045610792046</v>
      </c>
      <c r="W145" s="130">
        <v>4.8245561437983531</v>
      </c>
      <c r="X145" s="130">
        <v>4.844959058137432</v>
      </c>
      <c r="Y145" s="130">
        <v>4.8167602539378409</v>
      </c>
      <c r="DA145" s="176" t="s">
        <v>888</v>
      </c>
    </row>
    <row r="146" spans="1:105" ht="11.45" customHeight="1" x14ac:dyDescent="0.25">
      <c r="A146" s="111" t="s">
        <v>110</v>
      </c>
      <c r="B146" s="96">
        <v>6.7066059909731415</v>
      </c>
      <c r="C146" s="96">
        <v>6.7090361794498525</v>
      </c>
      <c r="D146" s="96">
        <v>6.6684655861871587</v>
      </c>
      <c r="E146" s="96">
        <v>6.5849981041765258</v>
      </c>
      <c r="F146" s="96">
        <v>6.5758790258743627</v>
      </c>
      <c r="G146" s="96">
        <v>6.6786271356536488</v>
      </c>
      <c r="H146" s="96">
        <v>6.6786271356536488</v>
      </c>
      <c r="I146" s="96">
        <v>6.6786271356536488</v>
      </c>
      <c r="J146" s="96">
        <v>6.5758790258743627</v>
      </c>
      <c r="K146" s="96">
        <v>6.2139238164584079</v>
      </c>
      <c r="L146" s="96">
        <v>5.9875272525571823</v>
      </c>
      <c r="M146" s="96">
        <v>5.8240088236995051</v>
      </c>
      <c r="N146" s="96">
        <v>5.6400641101204876</v>
      </c>
      <c r="O146" s="96">
        <v>5.4105768414710607</v>
      </c>
      <c r="P146" s="96">
        <v>5.322372242143846</v>
      </c>
      <c r="Q146" s="96">
        <v>5.1251101005518702</v>
      </c>
      <c r="R146" s="96">
        <v>4.9960061191423044</v>
      </c>
      <c r="S146" s="96">
        <v>5.0386825118126044</v>
      </c>
      <c r="T146" s="96">
        <v>5.0575351282335115</v>
      </c>
      <c r="U146" s="96">
        <v>5.0863617030085901</v>
      </c>
      <c r="V146" s="96">
        <v>4.9268323877697791</v>
      </c>
      <c r="W146" s="96">
        <v>4.7705228229676857</v>
      </c>
      <c r="X146" s="96">
        <v>4.8075692145087121</v>
      </c>
      <c r="Y146" s="96">
        <v>4.8052304492194917</v>
      </c>
      <c r="DA146" s="171" t="s">
        <v>889</v>
      </c>
    </row>
    <row r="147" spans="1:105" ht="11.45" customHeight="1" x14ac:dyDescent="0.25">
      <c r="A147" s="111" t="s">
        <v>111</v>
      </c>
      <c r="B147" s="96">
        <v>6.3518253077944706</v>
      </c>
      <c r="C147" s="96">
        <v>6.3869281417922199</v>
      </c>
      <c r="D147" s="96">
        <v>6.3834025565765531</v>
      </c>
      <c r="E147" s="96">
        <v>6.3979455955911746</v>
      </c>
      <c r="F147" s="96">
        <v>6.3557487475411776</v>
      </c>
      <c r="G147" s="96">
        <v>6.4587754684444008</v>
      </c>
      <c r="H147" s="96">
        <v>6.5657345069393482</v>
      </c>
      <c r="I147" s="96">
        <v>6.5770820519897573</v>
      </c>
      <c r="J147" s="96">
        <v>6.6780864381315217</v>
      </c>
      <c r="K147" s="96">
        <v>6.4156516537970463</v>
      </c>
      <c r="L147" s="96">
        <v>6.1692175122025992</v>
      </c>
      <c r="M147" s="96">
        <v>5.9696771433541516</v>
      </c>
      <c r="N147" s="96">
        <v>5.8533865144788564</v>
      </c>
      <c r="O147" s="96">
        <v>5.5781321111995972</v>
      </c>
      <c r="P147" s="96">
        <v>5.4362441871583922</v>
      </c>
      <c r="Q147" s="96">
        <v>5.2010992720825415</v>
      </c>
      <c r="R147" s="96">
        <v>4.8706245744476062</v>
      </c>
      <c r="S147" s="96">
        <v>5.1128157625973651</v>
      </c>
      <c r="T147" s="96">
        <v>5.3496175979704006</v>
      </c>
      <c r="U147" s="96">
        <v>5.3668365989144879</v>
      </c>
      <c r="V147" s="96">
        <v>5.1774950534942539</v>
      </c>
      <c r="W147" s="96">
        <v>5.0341262503777271</v>
      </c>
      <c r="X147" s="96">
        <v>4.9995232686050501</v>
      </c>
      <c r="Y147" s="96">
        <v>5.0250246210827427</v>
      </c>
      <c r="DA147" s="171" t="s">
        <v>890</v>
      </c>
    </row>
    <row r="148" spans="1:105" ht="11.45" customHeight="1" x14ac:dyDescent="0.25">
      <c r="A148" s="111" t="s">
        <v>112</v>
      </c>
      <c r="B148" s="96">
        <v>7.775709133922363</v>
      </c>
      <c r="C148" s="96">
        <v>7.9895255779358116</v>
      </c>
      <c r="D148" s="96">
        <v>7.9851153587142338</v>
      </c>
      <c r="E148" s="96">
        <v>8.0033075130032305</v>
      </c>
      <c r="F148" s="96">
        <v>7.9505227016950011</v>
      </c>
      <c r="G148" s="96">
        <v>8.0794007168524065</v>
      </c>
      <c r="H148" s="96">
        <v>8.2131977402219238</v>
      </c>
      <c r="I148" s="96">
        <v>8.2273925924911691</v>
      </c>
      <c r="J148" s="96">
        <v>8.35374083199663</v>
      </c>
      <c r="K148" s="96">
        <v>8.0254563460227537</v>
      </c>
      <c r="L148" s="96">
        <v>7.7171873575770782</v>
      </c>
      <c r="M148" s="96">
        <v>8.0710828432118262</v>
      </c>
      <c r="N148" s="96">
        <v>6.5984759068326166</v>
      </c>
      <c r="O148" s="96">
        <v>5.8894428074395675</v>
      </c>
      <c r="P148" s="96">
        <v>5.8703870914738641</v>
      </c>
      <c r="Q148" s="96">
        <v>5.8008067172296167</v>
      </c>
      <c r="R148" s="96">
        <v>4.750459668131227</v>
      </c>
      <c r="S148" s="96">
        <v>5.9669703041818547</v>
      </c>
      <c r="T148" s="96">
        <v>5.9819622627160376</v>
      </c>
      <c r="U148" s="96">
        <v>5.3260868522916898</v>
      </c>
      <c r="V148" s="96">
        <v>4.7425517870859277</v>
      </c>
      <c r="W148" s="96">
        <v>4.5844481556167498</v>
      </c>
      <c r="X148" s="96">
        <v>4.4886998000749045</v>
      </c>
      <c r="Y148" s="96">
        <v>4.4938483419571194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7.4573682603245954</v>
      </c>
      <c r="K149" s="96">
        <v>7.6892827926635068</v>
      </c>
      <c r="L149" s="96">
        <v>6.8647926943986501</v>
      </c>
      <c r="M149" s="96">
        <v>7.3708214335122717</v>
      </c>
      <c r="N149" s="96">
        <v>6.2902707536039575</v>
      </c>
      <c r="O149" s="96">
        <v>5.6230295239028383</v>
      </c>
      <c r="P149" s="96">
        <v>5.0055078359408274</v>
      </c>
      <c r="Q149" s="96">
        <v>4.8265146103708938</v>
      </c>
      <c r="R149" s="96">
        <v>4.995371501793656</v>
      </c>
      <c r="S149" s="96">
        <v>4.9791670138555428</v>
      </c>
      <c r="T149" s="96">
        <v>5.2724912367823693</v>
      </c>
      <c r="U149" s="96">
        <v>4.928499498693661</v>
      </c>
      <c r="V149" s="96">
        <v>4.8118088478023955</v>
      </c>
      <c r="W149" s="96">
        <v>4.4599501692656807</v>
      </c>
      <c r="X149" s="96">
        <v>4.3845426978588797</v>
      </c>
      <c r="Y149" s="96">
        <v>4.466176261522449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2.4466514969593725</v>
      </c>
      <c r="O150" s="96">
        <v>2.6791097697095374</v>
      </c>
      <c r="P150" s="96">
        <v>1.9504823565571603</v>
      </c>
      <c r="Q150" s="96">
        <v>3.5186546984714946</v>
      </c>
      <c r="R150" s="96">
        <v>2.2153711661858084</v>
      </c>
      <c r="S150" s="96">
        <v>3.2255956608504976</v>
      </c>
      <c r="T150" s="96">
        <v>2.8578682665550978</v>
      </c>
      <c r="U150" s="96">
        <v>2.8957629555798476</v>
      </c>
      <c r="V150" s="96">
        <v>2.8148355158953517</v>
      </c>
      <c r="W150" s="96">
        <v>2.6364816902869141</v>
      </c>
      <c r="X150" s="96">
        <v>2.6885121045055094</v>
      </c>
      <c r="Y150" s="96">
        <v>2.6730684102087556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1.1136741883026875</v>
      </c>
      <c r="M151" s="96">
        <v>1.1136741883026875</v>
      </c>
      <c r="N151" s="96">
        <v>1.0275224467238098</v>
      </c>
      <c r="O151" s="96">
        <v>1.0699457484179602</v>
      </c>
      <c r="P151" s="96">
        <v>1.0619372629096431</v>
      </c>
      <c r="Q151" s="96">
        <v>1.1171790879443499</v>
      </c>
      <c r="R151" s="96">
        <v>1.3153243527276199</v>
      </c>
      <c r="S151" s="96">
        <v>1.1610503074270757</v>
      </c>
      <c r="T151" s="96">
        <v>1.2415298828300456</v>
      </c>
      <c r="U151" s="96">
        <v>1.4965215352145702</v>
      </c>
      <c r="V151" s="96">
        <v>1.3280303212579321</v>
      </c>
      <c r="W151" s="96">
        <v>1.4995143921713139</v>
      </c>
      <c r="X151" s="96">
        <v>1.5167920901286949</v>
      </c>
      <c r="Y151" s="96">
        <v>1.4872876891236733</v>
      </c>
      <c r="DA151" s="171" t="s">
        <v>894</v>
      </c>
    </row>
    <row r="152" spans="1:105" ht="11.45" customHeight="1" x14ac:dyDescent="0.25">
      <c r="A152" s="109" t="s">
        <v>21</v>
      </c>
      <c r="B152" s="130">
        <v>46.322760871828045</v>
      </c>
      <c r="C152" s="130">
        <v>45.87692262924562</v>
      </c>
      <c r="D152" s="130">
        <v>43.363267718641055</v>
      </c>
      <c r="E152" s="130">
        <v>45.416845038136749</v>
      </c>
      <c r="F152" s="130">
        <v>45.874629267678884</v>
      </c>
      <c r="G152" s="130">
        <v>46.041914321800824</v>
      </c>
      <c r="H152" s="130">
        <v>45.543677058152845</v>
      </c>
      <c r="I152" s="130">
        <v>46.205038907529087</v>
      </c>
      <c r="J152" s="130">
        <v>46.02525276392003</v>
      </c>
      <c r="K152" s="130">
        <v>45.36464086357914</v>
      </c>
      <c r="L152" s="130">
        <v>44.895300729385987</v>
      </c>
      <c r="M152" s="130">
        <v>44.631606047129644</v>
      </c>
      <c r="N152" s="130">
        <v>44.141634225703164</v>
      </c>
      <c r="O152" s="130">
        <v>43.636666880537902</v>
      </c>
      <c r="P152" s="130">
        <v>41.3535001898506</v>
      </c>
      <c r="Q152" s="130">
        <v>39.540499382099959</v>
      </c>
      <c r="R152" s="130">
        <v>40.416585354951415</v>
      </c>
      <c r="S152" s="130">
        <v>37.906890898584365</v>
      </c>
      <c r="T152" s="130">
        <v>37.872884085516418</v>
      </c>
      <c r="U152" s="130">
        <v>37.976521566711583</v>
      </c>
      <c r="V152" s="130">
        <v>36.999920182571003</v>
      </c>
      <c r="W152" s="130">
        <v>35.872222111664108</v>
      </c>
      <c r="X152" s="130">
        <v>33.250057708103583</v>
      </c>
      <c r="Y152" s="130">
        <v>32.394088735753229</v>
      </c>
      <c r="DA152" s="176" t="s">
        <v>895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0</v>
      </c>
      <c r="DA153" s="175" t="s">
        <v>896</v>
      </c>
    </row>
    <row r="154" spans="1:105" ht="11.45" customHeight="1" x14ac:dyDescent="0.25">
      <c r="A154" s="111" t="s">
        <v>111</v>
      </c>
      <c r="B154" s="97">
        <v>46.322760871828045</v>
      </c>
      <c r="C154" s="97">
        <v>46.259441683593096</v>
      </c>
      <c r="D154" s="97">
        <v>46.189188536260367</v>
      </c>
      <c r="E154" s="97">
        <v>46.043284280042087</v>
      </c>
      <c r="F154" s="97">
        <v>46.027327219423206</v>
      </c>
      <c r="G154" s="97">
        <v>46.205038907529087</v>
      </c>
      <c r="H154" s="97">
        <v>46.205038907529087</v>
      </c>
      <c r="I154" s="97">
        <v>46.205038907529087</v>
      </c>
      <c r="J154" s="97">
        <v>46.025252763920022</v>
      </c>
      <c r="K154" s="97">
        <v>45.36464086357914</v>
      </c>
      <c r="L154" s="97">
        <v>44.940589430260083</v>
      </c>
      <c r="M154" s="97">
        <v>44.631606047129644</v>
      </c>
      <c r="N154" s="97">
        <v>44.275803326693143</v>
      </c>
      <c r="O154" s="97">
        <v>43.80308878539519</v>
      </c>
      <c r="P154" s="97">
        <v>43.617710129719562</v>
      </c>
      <c r="Q154" s="97">
        <v>43.199999999908329</v>
      </c>
      <c r="R154" s="97">
        <v>42.484862334133517</v>
      </c>
      <c r="S154" s="97">
        <v>41.516555009735711</v>
      </c>
      <c r="T154" s="97">
        <v>40.338650556599511</v>
      </c>
      <c r="U154" s="97">
        <v>38.992680284197597</v>
      </c>
      <c r="V154" s="97">
        <v>37.51719078031968</v>
      </c>
      <c r="W154" s="97">
        <v>35.94715170810229</v>
      </c>
      <c r="X154" s="97">
        <v>34.313649608948197</v>
      </c>
      <c r="Y154" s="97">
        <v>32.643804574462827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34.068221904678907</v>
      </c>
      <c r="W155" s="97">
        <v>0</v>
      </c>
      <c r="X155" s="97">
        <v>0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38.54953473632758</v>
      </c>
      <c r="D156" s="97">
        <v>38.490990446883636</v>
      </c>
      <c r="E156" s="97">
        <v>38.369403566701742</v>
      </c>
      <c r="F156" s="97">
        <v>38.356106016186004</v>
      </c>
      <c r="G156" s="97">
        <v>38.504199089607575</v>
      </c>
      <c r="H156" s="97">
        <v>38.504199089607575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36.896502772244283</v>
      </c>
      <c r="O156" s="97">
        <v>36.502573987829322</v>
      </c>
      <c r="P156" s="97">
        <v>36.348091774766303</v>
      </c>
      <c r="Q156" s="97">
        <v>35.99999999992361</v>
      </c>
      <c r="R156" s="97">
        <v>35.756954338021998</v>
      </c>
      <c r="S156" s="97">
        <v>35.576303352198764</v>
      </c>
      <c r="T156" s="97">
        <v>35.432882793223115</v>
      </c>
      <c r="U156" s="97">
        <v>35.311761024810345</v>
      </c>
      <c r="V156" s="97">
        <v>35.204047504854827</v>
      </c>
      <c r="W156" s="97">
        <v>35.104437591038554</v>
      </c>
      <c r="X156" s="97">
        <v>35.009762173142256</v>
      </c>
      <c r="Y156" s="97">
        <v>34.918126448381159</v>
      </c>
      <c r="DA156" s="175" t="s">
        <v>899</v>
      </c>
    </row>
    <row r="157" spans="1:105" ht="11.45" customHeight="1" x14ac:dyDescent="0.25">
      <c r="A157" s="111" t="s">
        <v>115</v>
      </c>
      <c r="B157" s="97">
        <v>0</v>
      </c>
      <c r="C157" s="97">
        <v>23.73774725233126</v>
      </c>
      <c r="D157" s="97">
        <v>0</v>
      </c>
      <c r="E157" s="97">
        <v>0</v>
      </c>
      <c r="F157" s="97">
        <v>23.032712421189768</v>
      </c>
      <c r="G157" s="97">
        <v>0</v>
      </c>
      <c r="H157" s="97">
        <v>22.57436144400809</v>
      </c>
      <c r="I157" s="97">
        <v>0</v>
      </c>
      <c r="J157" s="97">
        <v>0</v>
      </c>
      <c r="K157" s="97">
        <v>0</v>
      </c>
      <c r="L157" s="97">
        <v>21.684841531412008</v>
      </c>
      <c r="M157" s="97">
        <v>0</v>
      </c>
      <c r="N157" s="97">
        <v>0</v>
      </c>
      <c r="O157" s="97">
        <v>21.151877843434502</v>
      </c>
      <c r="P157" s="97">
        <v>21.01075796399396</v>
      </c>
      <c r="Q157" s="97">
        <v>20.88455524758448</v>
      </c>
      <c r="R157" s="97">
        <v>20.667762957004328</v>
      </c>
      <c r="S157" s="97">
        <v>20.372201793868925</v>
      </c>
      <c r="T157" s="97">
        <v>20.009263242160092</v>
      </c>
      <c r="U157" s="97">
        <v>19.58970942887079</v>
      </c>
      <c r="V157" s="97">
        <v>19.123539697377797</v>
      </c>
      <c r="W157" s="97">
        <v>18.619911874120696</v>
      </c>
      <c r="X157" s="97">
        <v>18.087106986040308</v>
      </c>
      <c r="Y157" s="97">
        <v>17.532527382623449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8.3962725032555969</v>
      </c>
      <c r="C159" s="141">
        <v>8.3627063507633732</v>
      </c>
      <c r="D159" s="141">
        <v>8.4005084833444723</v>
      </c>
      <c r="E159" s="141">
        <v>8.574273225235082</v>
      </c>
      <c r="F159" s="141">
        <v>8.5081442771024545</v>
      </c>
      <c r="G159" s="141">
        <v>8.4860059782605912</v>
      </c>
      <c r="H159" s="141">
        <v>8.4511600235330491</v>
      </c>
      <c r="I159" s="141">
        <v>8.4653201045706528</v>
      </c>
      <c r="J159" s="141">
        <v>8.4805115151468407</v>
      </c>
      <c r="K159" s="141">
        <v>8.5532761288268375</v>
      </c>
      <c r="L159" s="141">
        <v>8.564616803796941</v>
      </c>
      <c r="M159" s="141">
        <v>8.7534975371152886</v>
      </c>
      <c r="N159" s="141">
        <v>8.3272685769659187</v>
      </c>
      <c r="O159" s="141">
        <v>7.8179573955104509</v>
      </c>
      <c r="P159" s="141">
        <v>7.7863902695739435</v>
      </c>
      <c r="Q159" s="141">
        <v>7.4155329762408355</v>
      </c>
      <c r="R159" s="141">
        <v>7.6641055944492669</v>
      </c>
      <c r="S159" s="141">
        <v>6.8599188527735544</v>
      </c>
      <c r="T159" s="141">
        <v>6.724886078674789</v>
      </c>
      <c r="U159" s="141">
        <v>6.5997083675542481</v>
      </c>
      <c r="V159" s="141">
        <v>6.9613964447036416</v>
      </c>
      <c r="W159" s="141">
        <v>6.6962044095551496</v>
      </c>
      <c r="X159" s="141">
        <v>6.5917971752735811</v>
      </c>
      <c r="Y159" s="141">
        <v>6.6156954627611508</v>
      </c>
      <c r="DA159" s="174" t="s">
        <v>901</v>
      </c>
    </row>
    <row r="160" spans="1:105" ht="11.45" customHeight="1" x14ac:dyDescent="0.25">
      <c r="A160" s="111" t="s">
        <v>110</v>
      </c>
      <c r="B160" s="96">
        <v>7.5983272951861807</v>
      </c>
      <c r="C160" s="96">
        <v>7.5569613154209163</v>
      </c>
      <c r="D160" s="96">
        <v>7.511263185968442</v>
      </c>
      <c r="E160" s="96">
        <v>7.417246621475619</v>
      </c>
      <c r="F160" s="96">
        <v>7.4069750235711629</v>
      </c>
      <c r="G160" s="96">
        <v>7.522709008314461</v>
      </c>
      <c r="H160" s="96">
        <v>7.522709008314461</v>
      </c>
      <c r="I160" s="96">
        <v>7.522709008314461</v>
      </c>
      <c r="J160" s="96">
        <v>7.4069750235711611</v>
      </c>
      <c r="K160" s="96">
        <v>6.99927391087635</v>
      </c>
      <c r="L160" s="96">
        <v>6.744706492708616</v>
      </c>
      <c r="M160" s="96">
        <v>6.5629655709641668</v>
      </c>
      <c r="N160" s="96">
        <v>6.3585742032529149</v>
      </c>
      <c r="O160" s="96">
        <v>6.3586753272244003</v>
      </c>
      <c r="P160" s="96">
        <v>6.1283461367029322</v>
      </c>
      <c r="Q160" s="96">
        <v>6.248178214793966</v>
      </c>
      <c r="R160" s="96">
        <v>5.7096579604153295</v>
      </c>
      <c r="S160" s="96">
        <v>5.8517445385721931</v>
      </c>
      <c r="T160" s="96">
        <v>5.7264762610368978</v>
      </c>
      <c r="U160" s="96">
        <v>6.243298751460288</v>
      </c>
      <c r="V160" s="96">
        <v>5.6896133239115771</v>
      </c>
      <c r="W160" s="96">
        <v>5.5829470980546567</v>
      </c>
      <c r="X160" s="96">
        <v>5.7468083602167344</v>
      </c>
      <c r="Y160" s="96">
        <v>6.1766759278448538</v>
      </c>
      <c r="DA160" s="171" t="s">
        <v>902</v>
      </c>
    </row>
    <row r="161" spans="1:105" ht="11.45" customHeight="1" x14ac:dyDescent="0.25">
      <c r="A161" s="111" t="s">
        <v>111</v>
      </c>
      <c r="B161" s="96">
        <v>8.5644054390632522</v>
      </c>
      <c r="C161" s="96">
        <v>8.5601505239212035</v>
      </c>
      <c r="D161" s="96">
        <v>8.5554253196506949</v>
      </c>
      <c r="E161" s="96">
        <v>8.5749167872665275</v>
      </c>
      <c r="F161" s="96">
        <v>8.5183619986539156</v>
      </c>
      <c r="G161" s="96">
        <v>8.6564446918263709</v>
      </c>
      <c r="H161" s="96">
        <v>8.7997977167992971</v>
      </c>
      <c r="I161" s="96">
        <v>8.8150063885663847</v>
      </c>
      <c r="J161" s="96">
        <v>8.9503786253843067</v>
      </c>
      <c r="K161" s="96">
        <v>8.5986475260603221</v>
      </c>
      <c r="L161" s="96">
        <v>8.2683614637389997</v>
      </c>
      <c r="M161" s="96">
        <v>8.000925294892026</v>
      </c>
      <c r="N161" s="96">
        <v>7.8450655035190424</v>
      </c>
      <c r="O161" s="96">
        <v>7.5406497902958689</v>
      </c>
      <c r="P161" s="96">
        <v>7.6581457594092122</v>
      </c>
      <c r="Q161" s="96">
        <v>7.3678751942852792</v>
      </c>
      <c r="R161" s="96">
        <v>7.3961007080809962</v>
      </c>
      <c r="S161" s="96">
        <v>7.0211568855438387</v>
      </c>
      <c r="T161" s="96">
        <v>6.9072853864988417</v>
      </c>
      <c r="U161" s="96">
        <v>6.8695658757522802</v>
      </c>
      <c r="V161" s="96">
        <v>7.4350380775375839</v>
      </c>
      <c r="W161" s="96">
        <v>7.2541242643946902</v>
      </c>
      <c r="X161" s="96">
        <v>7.1155973131479895</v>
      </c>
      <c r="Y161" s="96">
        <v>7.2082952406257137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12.397087075284206</v>
      </c>
      <c r="D162" s="96">
        <v>12.39024388150785</v>
      </c>
      <c r="E162" s="96">
        <v>12.418472055835311</v>
      </c>
      <c r="F162" s="96">
        <v>12.336567580324555</v>
      </c>
      <c r="G162" s="96">
        <v>12.536543406224464</v>
      </c>
      <c r="H162" s="96">
        <v>12.744151897235049</v>
      </c>
      <c r="I162" s="96">
        <v>12.766177587983025</v>
      </c>
      <c r="J162" s="96">
        <v>12.962228043254578</v>
      </c>
      <c r="K162" s="96">
        <v>12.452839679905159</v>
      </c>
      <c r="L162" s="96">
        <v>11.974508713304989</v>
      </c>
      <c r="M162" s="96">
        <v>12.523636832135985</v>
      </c>
      <c r="N162" s="96">
        <v>10.238640527927737</v>
      </c>
      <c r="O162" s="96">
        <v>9.8729747947874618</v>
      </c>
      <c r="P162" s="96">
        <v>7.418174689220753</v>
      </c>
      <c r="Q162" s="96">
        <v>7.2239015884967159</v>
      </c>
      <c r="R162" s="96">
        <v>6.4099052044589619</v>
      </c>
      <c r="S162" s="96">
        <v>5.7629581381338593</v>
      </c>
      <c r="T162" s="96">
        <v>5.6703795480800272</v>
      </c>
      <c r="U162" s="96">
        <v>6.1517882163599431</v>
      </c>
      <c r="V162" s="96">
        <v>0</v>
      </c>
      <c r="W162" s="96">
        <v>7.2675772032455166</v>
      </c>
      <c r="X162" s="96">
        <v>7.9836102002666705</v>
      </c>
      <c r="Y162" s="96">
        <v>8.2198845666006903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10.100357543684442</v>
      </c>
      <c r="O163" s="96">
        <v>9.1844500234551489</v>
      </c>
      <c r="P163" s="96">
        <v>8.7164913739158525</v>
      </c>
      <c r="Q163" s="96">
        <v>6.9155293659121853</v>
      </c>
      <c r="R163" s="96">
        <v>9.9264671761725793</v>
      </c>
      <c r="S163" s="96">
        <v>7.2580857348722221</v>
      </c>
      <c r="T163" s="96">
        <v>6.6096968421397548</v>
      </c>
      <c r="U163" s="96">
        <v>6.7240623246231719</v>
      </c>
      <c r="V163" s="96">
        <v>6.8978353782162101</v>
      </c>
      <c r="W163" s="96">
        <v>6.8540429986289864</v>
      </c>
      <c r="X163" s="96">
        <v>11.523640407696179</v>
      </c>
      <c r="Y163" s="96">
        <v>6.1299167839892483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1.5082279761507789</v>
      </c>
      <c r="K164" s="96">
        <v>1.5048180805896343</v>
      </c>
      <c r="L164" s="96">
        <v>1.4837314243017681</v>
      </c>
      <c r="M164" s="96">
        <v>1.4911978814722466</v>
      </c>
      <c r="N164" s="96">
        <v>1.4649620477680525</v>
      </c>
      <c r="O164" s="96">
        <v>1.4644185635009146</v>
      </c>
      <c r="P164" s="96">
        <v>1.4769340478808226</v>
      </c>
      <c r="Q164" s="96">
        <v>1.5584694754944111</v>
      </c>
      <c r="R164" s="96">
        <v>1.4482250337796336</v>
      </c>
      <c r="S164" s="96">
        <v>1.4425557245849596</v>
      </c>
      <c r="T164" s="96">
        <v>1.7394668959587276</v>
      </c>
      <c r="U164" s="96">
        <v>1.9108217663677678</v>
      </c>
      <c r="V164" s="96">
        <v>1.8495270851246775</v>
      </c>
      <c r="W164" s="96">
        <v>2.3253110358502824</v>
      </c>
      <c r="X164" s="96">
        <v>2.4937804528518193</v>
      </c>
      <c r="Y164" s="96">
        <v>2.0697372980326225</v>
      </c>
      <c r="DA164" s="171" t="s">
        <v>906</v>
      </c>
    </row>
    <row r="165" spans="1:105" ht="11.45" customHeight="1" x14ac:dyDescent="0.25">
      <c r="A165" s="109" t="s">
        <v>154</v>
      </c>
      <c r="B165" s="130">
        <v>33.546147315091126</v>
      </c>
      <c r="C165" s="130">
        <v>28.231000265522383</v>
      </c>
      <c r="D165" s="130">
        <v>27.871386903093292</v>
      </c>
      <c r="E165" s="130">
        <v>29.394431772039507</v>
      </c>
      <c r="F165" s="130">
        <v>30.184444807846599</v>
      </c>
      <c r="G165" s="130">
        <v>27.449401381037184</v>
      </c>
      <c r="H165" s="130">
        <v>27.029426751076162</v>
      </c>
      <c r="I165" s="130">
        <v>26.571485127498757</v>
      </c>
      <c r="J165" s="130">
        <v>25.714141427433535</v>
      </c>
      <c r="K165" s="130">
        <v>26.437024644906192</v>
      </c>
      <c r="L165" s="130">
        <v>26.276649777721897</v>
      </c>
      <c r="M165" s="130">
        <v>25.608665176337315</v>
      </c>
      <c r="N165" s="130">
        <v>24.37212578005084</v>
      </c>
      <c r="O165" s="130">
        <v>24.915285559875525</v>
      </c>
      <c r="P165" s="130">
        <v>23.552541105315285</v>
      </c>
      <c r="Q165" s="130">
        <v>23.201460460385253</v>
      </c>
      <c r="R165" s="130">
        <v>22.372202221626452</v>
      </c>
      <c r="S165" s="130">
        <v>22.167062379915407</v>
      </c>
      <c r="T165" s="130">
        <v>21.443421429534997</v>
      </c>
      <c r="U165" s="130">
        <v>21.658183056529065</v>
      </c>
      <c r="V165" s="130">
        <v>22.348907542787458</v>
      </c>
      <c r="W165" s="130">
        <v>21.76849283295746</v>
      </c>
      <c r="X165" s="130">
        <v>21.323562778172882</v>
      </c>
      <c r="Y165" s="130">
        <v>20.650812752522096</v>
      </c>
      <c r="DA165" s="176" t="s">
        <v>907</v>
      </c>
    </row>
    <row r="166" spans="1:105" ht="11.45" customHeight="1" x14ac:dyDescent="0.25">
      <c r="A166" s="128" t="s">
        <v>27</v>
      </c>
      <c r="B166" s="97">
        <v>0</v>
      </c>
      <c r="C166" s="97">
        <v>27.250515463863266</v>
      </c>
      <c r="D166" s="97">
        <v>27.111243742710158</v>
      </c>
      <c r="E166" s="97">
        <v>26.937824526427779</v>
      </c>
      <c r="F166" s="97">
        <v>26.730698476511009</v>
      </c>
      <c r="G166" s="97">
        <v>26.49038818925483</v>
      </c>
      <c r="H166" s="97">
        <v>26.217494936858337</v>
      </c>
      <c r="I166" s="97">
        <v>25.912694963855202</v>
      </c>
      <c r="J166" s="97">
        <v>25.576735380683733</v>
      </c>
      <c r="K166" s="97">
        <v>25.210429699465255</v>
      </c>
      <c r="L166" s="97">
        <v>24.814653061160882</v>
      </c>
      <c r="M166" s="97">
        <v>24.390337204042652</v>
      </c>
      <c r="N166" s="97">
        <v>23.938465225349024</v>
      </c>
      <c r="O166" s="97">
        <v>23.460066188602596</v>
      </c>
      <c r="P166" s="97">
        <v>22.956209627832386</v>
      </c>
      <c r="Q166" s="97">
        <v>22.427999999952405</v>
      </c>
      <c r="R166" s="97">
        <v>22.001953199079114</v>
      </c>
      <c r="S166" s="97">
        <v>21.703720438467812</v>
      </c>
      <c r="T166" s="97">
        <v>21.390576039825945</v>
      </c>
      <c r="U166" s="97">
        <v>21.007843997041437</v>
      </c>
      <c r="V166" s="97">
        <v>21.087735287003103</v>
      </c>
      <c r="W166" s="97">
        <v>20.710937979636817</v>
      </c>
      <c r="X166" s="97">
        <v>20.596833673037342</v>
      </c>
      <c r="Y166" s="97">
        <v>20.39086533630697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31.067582811954381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24.748425433669372</v>
      </c>
      <c r="X167" s="98">
        <v>24.612077098006637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111.81887335941236</v>
      </c>
      <c r="C171" s="152">
        <v>111.36443944905854</v>
      </c>
      <c r="D171" s="152">
        <v>110.95704288919929</v>
      </c>
      <c r="E171" s="152">
        <v>110.85080262390008</v>
      </c>
      <c r="F171" s="152">
        <v>110.47213403683615</v>
      </c>
      <c r="G171" s="152">
        <v>109.49187485324782</v>
      </c>
      <c r="H171" s="152">
        <v>108.74651816486879</v>
      </c>
      <c r="I171" s="152">
        <v>107.90872491513136</v>
      </c>
      <c r="J171" s="152">
        <v>107.13606971049852</v>
      </c>
      <c r="K171" s="152">
        <v>106.62210435212256</v>
      </c>
      <c r="L171" s="152">
        <v>105.62567457366387</v>
      </c>
      <c r="M171" s="152">
        <v>104.61698418506164</v>
      </c>
      <c r="N171" s="152">
        <v>103.31441331984227</v>
      </c>
      <c r="O171" s="152">
        <v>102.682959891908</v>
      </c>
      <c r="P171" s="152">
        <v>101.50967772056602</v>
      </c>
      <c r="Q171" s="152">
        <v>99.478440081974583</v>
      </c>
      <c r="R171" s="152">
        <v>98.059858779404422</v>
      </c>
      <c r="S171" s="152">
        <v>97.02585403316337</v>
      </c>
      <c r="T171" s="152">
        <v>95.557472387454069</v>
      </c>
      <c r="U171" s="152">
        <v>94.076319357717907</v>
      </c>
      <c r="V171" s="152">
        <v>92.532379105445571</v>
      </c>
      <c r="W171" s="152">
        <v>91.719523281010652</v>
      </c>
      <c r="X171" s="152">
        <v>89.892663321041496</v>
      </c>
      <c r="Y171" s="152">
        <v>88.330856991324154</v>
      </c>
      <c r="DA171" s="174" t="s">
        <v>910</v>
      </c>
    </row>
    <row r="172" spans="1:105" ht="11.45" customHeight="1" x14ac:dyDescent="0.25">
      <c r="A172" s="109" t="s">
        <v>20</v>
      </c>
      <c r="B172" s="116">
        <v>223.38226158094849</v>
      </c>
      <c r="C172" s="116">
        <v>219.72215026310442</v>
      </c>
      <c r="D172" s="116">
        <v>217.58922955582844</v>
      </c>
      <c r="E172" s="116">
        <v>215.63852430852074</v>
      </c>
      <c r="F172" s="116">
        <v>213.51662888129761</v>
      </c>
      <c r="G172" s="116">
        <v>211.8466684737738</v>
      </c>
      <c r="H172" s="116">
        <v>210.3796877667607</v>
      </c>
      <c r="I172" s="116">
        <v>209.06655510814869</v>
      </c>
      <c r="J172" s="116">
        <v>208.41295070866582</v>
      </c>
      <c r="K172" s="116">
        <v>205.92677866110259</v>
      </c>
      <c r="L172" s="116">
        <v>204.61365770481845</v>
      </c>
      <c r="M172" s="116">
        <v>201.86020797588171</v>
      </c>
      <c r="N172" s="116">
        <v>200.50595024247613</v>
      </c>
      <c r="O172" s="116">
        <v>200.51555313633193</v>
      </c>
      <c r="P172" s="116">
        <v>196.08646663281323</v>
      </c>
      <c r="Q172" s="116">
        <v>193.0746124229683</v>
      </c>
      <c r="R172" s="116">
        <v>188.86497593141067</v>
      </c>
      <c r="S172" s="116">
        <v>185.51413212980989</v>
      </c>
      <c r="T172" s="116">
        <v>181.84328795234453</v>
      </c>
      <c r="U172" s="116">
        <v>179.49728004671431</v>
      </c>
      <c r="V172" s="116">
        <v>176.21449545078789</v>
      </c>
      <c r="W172" s="116">
        <v>173.02108819629612</v>
      </c>
      <c r="X172" s="116">
        <v>170.56379769959256</v>
      </c>
      <c r="Y172" s="116">
        <v>167.01007033894456</v>
      </c>
      <c r="DA172" s="176" t="s">
        <v>911</v>
      </c>
    </row>
    <row r="173" spans="1:105" ht="11.45" customHeight="1" x14ac:dyDescent="0.25">
      <c r="A173" s="111" t="s">
        <v>110</v>
      </c>
      <c r="B173" s="87">
        <v>218.26973856771011</v>
      </c>
      <c r="C173" s="87">
        <v>215.43269693364513</v>
      </c>
      <c r="D173" s="87">
        <v>213.77630234789865</v>
      </c>
      <c r="E173" s="87">
        <v>212.1982132309945</v>
      </c>
      <c r="F173" s="87">
        <v>210.63150894587488</v>
      </c>
      <c r="G173" s="87">
        <v>209.01233997882338</v>
      </c>
      <c r="H173" s="87">
        <v>207.47373161191746</v>
      </c>
      <c r="I173" s="87">
        <v>205.83114549044609</v>
      </c>
      <c r="J173" s="87">
        <v>204.206562184105</v>
      </c>
      <c r="K173" s="87">
        <v>202.22564987485197</v>
      </c>
      <c r="L173" s="87">
        <v>200.11995814700569</v>
      </c>
      <c r="M173" s="87">
        <v>197.93029769036406</v>
      </c>
      <c r="N173" s="87">
        <v>196.01615240334257</v>
      </c>
      <c r="O173" s="87">
        <v>193.86762636950459</v>
      </c>
      <c r="P173" s="87">
        <v>190.77862764429381</v>
      </c>
      <c r="Q173" s="87">
        <v>185.70092405577594</v>
      </c>
      <c r="R173" s="87">
        <v>181.4942256793619</v>
      </c>
      <c r="S173" s="87">
        <v>177.14399498644647</v>
      </c>
      <c r="T173" s="87">
        <v>172.79589973783064</v>
      </c>
      <c r="U173" s="87">
        <v>169.93859712618848</v>
      </c>
      <c r="V173" s="87">
        <v>167.0131613828747</v>
      </c>
      <c r="W173" s="87">
        <v>164.04902404632631</v>
      </c>
      <c r="X173" s="87">
        <v>161.35274558186319</v>
      </c>
      <c r="Y173" s="87">
        <v>159.31250647290258</v>
      </c>
      <c r="DA173" s="171" t="s">
        <v>912</v>
      </c>
    </row>
    <row r="174" spans="1:105" ht="11.45" customHeight="1" x14ac:dyDescent="0.25">
      <c r="A174" s="111" t="s">
        <v>111</v>
      </c>
      <c r="B174" s="87">
        <v>222.14126207339703</v>
      </c>
      <c r="C174" s="87">
        <v>206.98145238203597</v>
      </c>
      <c r="D174" s="87">
        <v>202.83095289561862</v>
      </c>
      <c r="E174" s="87">
        <v>200.52895281603014</v>
      </c>
      <c r="F174" s="87">
        <v>198.44019953117157</v>
      </c>
      <c r="G174" s="87">
        <v>196.79505000391561</v>
      </c>
      <c r="H174" s="87">
        <v>197.70036112594138</v>
      </c>
      <c r="I174" s="87">
        <v>198.53874003291818</v>
      </c>
      <c r="J174" s="87">
        <v>199.33325444414265</v>
      </c>
      <c r="K174" s="87">
        <v>199.25105553389977</v>
      </c>
      <c r="L174" s="87">
        <v>198.83333179284978</v>
      </c>
      <c r="M174" s="87">
        <v>198.22129201663219</v>
      </c>
      <c r="N174" s="87">
        <v>197.65266728431729</v>
      </c>
      <c r="O174" s="87">
        <v>196.91054638142171</v>
      </c>
      <c r="P174" s="87">
        <v>195.31329839643877</v>
      </c>
      <c r="Q174" s="87">
        <v>192.50230672366197</v>
      </c>
      <c r="R174" s="87">
        <v>189.47730700052458</v>
      </c>
      <c r="S174" s="87">
        <v>186.96657468493666</v>
      </c>
      <c r="T174" s="87">
        <v>184.88669827809343</v>
      </c>
      <c r="U174" s="87">
        <v>182.86903492103986</v>
      </c>
      <c r="V174" s="87">
        <v>180.86047116846453</v>
      </c>
      <c r="W174" s="87">
        <v>178.23879062298889</v>
      </c>
      <c r="X174" s="87">
        <v>175.44537354764088</v>
      </c>
      <c r="Y174" s="87">
        <v>173.05584335333103</v>
      </c>
      <c r="DA174" s="171" t="s">
        <v>913</v>
      </c>
    </row>
    <row r="175" spans="1:105" ht="11.45" customHeight="1" x14ac:dyDescent="0.25">
      <c r="A175" s="111" t="s">
        <v>112</v>
      </c>
      <c r="B175" s="87">
        <v>231.5697610122256</v>
      </c>
      <c r="C175" s="87">
        <v>222.04769080209664</v>
      </c>
      <c r="D175" s="87">
        <v>218.2540338562408</v>
      </c>
      <c r="E175" s="87">
        <v>215.46559735775483</v>
      </c>
      <c r="F175" s="87">
        <v>212.72272780076216</v>
      </c>
      <c r="G175" s="87">
        <v>211.30198602484037</v>
      </c>
      <c r="H175" s="87">
        <v>210.92114045629759</v>
      </c>
      <c r="I175" s="87">
        <v>210.6353013620157</v>
      </c>
      <c r="J175" s="87">
        <v>210.36702673385977</v>
      </c>
      <c r="K175" s="87">
        <v>210.04045348689141</v>
      </c>
      <c r="L175" s="87">
        <v>209.9260469462175</v>
      </c>
      <c r="M175" s="87">
        <v>210.58322484573509</v>
      </c>
      <c r="N175" s="87">
        <v>211.77523544376248</v>
      </c>
      <c r="O175" s="87">
        <v>212.2722342624842</v>
      </c>
      <c r="P175" s="87">
        <v>211.73863091045928</v>
      </c>
      <c r="Q175" s="87">
        <v>210.89681882891713</v>
      </c>
      <c r="R175" s="87">
        <v>210.89138559156996</v>
      </c>
      <c r="S175" s="87">
        <v>210.59112697422117</v>
      </c>
      <c r="T175" s="87">
        <v>210.38399244975696</v>
      </c>
      <c r="U175" s="87">
        <v>210.15326671046464</v>
      </c>
      <c r="V175" s="87">
        <v>209.21163850839358</v>
      </c>
      <c r="W175" s="87">
        <v>207.37078069144235</v>
      </c>
      <c r="X175" s="87">
        <v>203.86413271689239</v>
      </c>
      <c r="Y175" s="87">
        <v>197.52872194819992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175.15827791535463</v>
      </c>
      <c r="K176" s="87">
        <v>177.12377845177991</v>
      </c>
      <c r="L176" s="87">
        <v>172.04034009194044</v>
      </c>
      <c r="M176" s="87">
        <v>172.32020357033795</v>
      </c>
      <c r="N176" s="87">
        <v>165.31113010441925</v>
      </c>
      <c r="O176" s="87">
        <v>153.28121092126909</v>
      </c>
      <c r="P176" s="87">
        <v>143.16402240946638</v>
      </c>
      <c r="Q176" s="87">
        <v>132.52396427542774</v>
      </c>
      <c r="R176" s="87">
        <v>126.23809120440696</v>
      </c>
      <c r="S176" s="87">
        <v>124.31184529738265</v>
      </c>
      <c r="T176" s="87">
        <v>124.19690392757497</v>
      </c>
      <c r="U176" s="87">
        <v>123.37696243868299</v>
      </c>
      <c r="V176" s="87">
        <v>121.94400160467296</v>
      </c>
      <c r="W176" s="87">
        <v>120.0991369337237</v>
      </c>
      <c r="X176" s="87">
        <v>118.67731596214757</v>
      </c>
      <c r="Y176" s="87">
        <v>118.34896393195243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46.091990027446414</v>
      </c>
      <c r="O177" s="87">
        <v>48.184787310509215</v>
      </c>
      <c r="P177" s="87">
        <v>34.463395261426413</v>
      </c>
      <c r="Q177" s="87">
        <v>57.583118024663534</v>
      </c>
      <c r="R177" s="87">
        <v>47.646178297961967</v>
      </c>
      <c r="S177" s="87">
        <v>53.495261585475326</v>
      </c>
      <c r="T177" s="87">
        <v>51.586292616077245</v>
      </c>
      <c r="U177" s="87">
        <v>49.817985068095318</v>
      </c>
      <c r="V177" s="87">
        <v>44.437591670226851</v>
      </c>
      <c r="W177" s="87">
        <v>36.544836346674835</v>
      </c>
      <c r="X177" s="87">
        <v>35.292524095558697</v>
      </c>
      <c r="Y177" s="87">
        <v>32.70823499294152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1410.4048790142372</v>
      </c>
      <c r="C179" s="116">
        <v>1393.9834141131105</v>
      </c>
      <c r="D179" s="116">
        <v>1278.5333097588743</v>
      </c>
      <c r="E179" s="116">
        <v>1367.989540972633</v>
      </c>
      <c r="F179" s="116">
        <v>1379.0871713451513</v>
      </c>
      <c r="G179" s="116">
        <v>1378.1487064219552</v>
      </c>
      <c r="H179" s="116">
        <v>1361.3687988631257</v>
      </c>
      <c r="I179" s="116">
        <v>1377.1484397185664</v>
      </c>
      <c r="J179" s="116">
        <v>1372.430478862118</v>
      </c>
      <c r="K179" s="116">
        <v>1367.5332147396255</v>
      </c>
      <c r="L179" s="116">
        <v>1359.9229071046343</v>
      </c>
      <c r="M179" s="116">
        <v>1352.1167074422499</v>
      </c>
      <c r="N179" s="116">
        <v>1339.1336969241818</v>
      </c>
      <c r="O179" s="116">
        <v>1324.374364319995</v>
      </c>
      <c r="P179" s="116">
        <v>1233.0721056034965</v>
      </c>
      <c r="Q179" s="116">
        <v>1163.1429993810807</v>
      </c>
      <c r="R179" s="116">
        <v>1225.5465695237708</v>
      </c>
      <c r="S179" s="116">
        <v>1121.8649115188916</v>
      </c>
      <c r="T179" s="116">
        <v>1191.9223104326254</v>
      </c>
      <c r="U179" s="116">
        <v>1205.1127635658588</v>
      </c>
      <c r="V179" s="116">
        <v>1184.9721230470059</v>
      </c>
      <c r="W179" s="116">
        <v>1206.564155935954</v>
      </c>
      <c r="X179" s="116">
        <v>1147.8455366900869</v>
      </c>
      <c r="Y179" s="116">
        <v>1125.619989762811</v>
      </c>
      <c r="DA179" s="176" t="s">
        <v>918</v>
      </c>
    </row>
    <row r="180" spans="1:105" ht="11.45" customHeight="1" x14ac:dyDescent="0.25">
      <c r="A180" s="111" t="s">
        <v>110</v>
      </c>
      <c r="B180" s="101">
        <v>539.16088565951509</v>
      </c>
      <c r="C180" s="101">
        <v>539.16088565951509</v>
      </c>
      <c r="D180" s="101">
        <v>539.16088565951497</v>
      </c>
      <c r="E180" s="101">
        <v>539.16088565951497</v>
      </c>
      <c r="F180" s="101">
        <v>539.16088565951509</v>
      </c>
      <c r="G180" s="101">
        <v>539.1608856595152</v>
      </c>
      <c r="H180" s="101">
        <v>539.16088565951509</v>
      </c>
      <c r="I180" s="101">
        <v>539.1608856595152</v>
      </c>
      <c r="J180" s="101">
        <v>539.1608856595152</v>
      </c>
      <c r="K180" s="101">
        <v>539.16088565951509</v>
      </c>
      <c r="L180" s="101">
        <v>539.16088565951509</v>
      </c>
      <c r="M180" s="101">
        <v>539.16088565951509</v>
      </c>
      <c r="N180" s="101">
        <v>539.16088565951509</v>
      </c>
      <c r="O180" s="101">
        <v>539.16088565951509</v>
      </c>
      <c r="P180" s="101">
        <v>539.1608856595152</v>
      </c>
      <c r="Q180" s="101">
        <v>539.16088565951497</v>
      </c>
      <c r="R180" s="101">
        <v>539.16088565951509</v>
      </c>
      <c r="S180" s="101">
        <v>539.1608856595152</v>
      </c>
      <c r="T180" s="101">
        <v>539.16088565951497</v>
      </c>
      <c r="U180" s="101">
        <v>539.16088565951509</v>
      </c>
      <c r="V180" s="101">
        <v>539.16088565951509</v>
      </c>
      <c r="W180" s="101">
        <v>539.16088565951497</v>
      </c>
      <c r="X180" s="101">
        <v>539.16088565951509</v>
      </c>
      <c r="Y180" s="101">
        <v>539.16088565951509</v>
      </c>
      <c r="DA180" s="175" t="s">
        <v>919</v>
      </c>
    </row>
    <row r="181" spans="1:105" ht="11.45" customHeight="1" x14ac:dyDescent="0.25">
      <c r="A181" s="111" t="s">
        <v>111</v>
      </c>
      <c r="B181" s="101">
        <v>1580.8386461633011</v>
      </c>
      <c r="C181" s="101">
        <v>1552.098935692256</v>
      </c>
      <c r="D181" s="101">
        <v>1546.2506794407259</v>
      </c>
      <c r="E181" s="101">
        <v>1533.380820175832</v>
      </c>
      <c r="F181" s="101">
        <v>1516.6359822823833</v>
      </c>
      <c r="G181" s="101">
        <v>1507.1623682558825</v>
      </c>
      <c r="H181" s="101">
        <v>1498.4628256854874</v>
      </c>
      <c r="I181" s="101">
        <v>1489.2074028450243</v>
      </c>
      <c r="J181" s="101">
        <v>1478.2126261792046</v>
      </c>
      <c r="K181" s="101">
        <v>1467.4938493643269</v>
      </c>
      <c r="L181" s="101">
        <v>1459.2168567162369</v>
      </c>
      <c r="M181" s="101">
        <v>1448.8679732665057</v>
      </c>
      <c r="N181" s="101">
        <v>1436.5749608469528</v>
      </c>
      <c r="O181" s="101">
        <v>1421.659836369191</v>
      </c>
      <c r="P181" s="101">
        <v>1410.9997966508358</v>
      </c>
      <c r="Q181" s="101">
        <v>1401.9884615554868</v>
      </c>
      <c r="R181" s="101">
        <v>1394.154752813396</v>
      </c>
      <c r="S181" s="101">
        <v>1387.2991365729395</v>
      </c>
      <c r="T181" s="101">
        <v>1379.626061372714</v>
      </c>
      <c r="U181" s="101">
        <v>1362.1781945642856</v>
      </c>
      <c r="V181" s="101">
        <v>1326.6083417740965</v>
      </c>
      <c r="W181" s="101">
        <v>1299.4628619031341</v>
      </c>
      <c r="X181" s="101">
        <v>1276.0784920495003</v>
      </c>
      <c r="Y181" s="101">
        <v>1247.6451687214499</v>
      </c>
      <c r="DA181" s="175" t="s">
        <v>920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900.03840657891601</v>
      </c>
      <c r="W182" s="101">
        <v>900.0384065789159</v>
      </c>
      <c r="X182" s="101">
        <v>900.03840657891578</v>
      </c>
      <c r="Y182" s="101">
        <v>900.03840657891601</v>
      </c>
      <c r="DA182" s="175" t="s">
        <v>921</v>
      </c>
    </row>
    <row r="183" spans="1:105" ht="11.45" customHeight="1" x14ac:dyDescent="0.25">
      <c r="A183" s="111" t="s">
        <v>113</v>
      </c>
      <c r="B183" s="101">
        <v>1016.4542591569549</v>
      </c>
      <c r="C183" s="101">
        <v>978.45469944585034</v>
      </c>
      <c r="D183" s="101">
        <v>947.11483882710729</v>
      </c>
      <c r="E183" s="101">
        <v>936.47315801945877</v>
      </c>
      <c r="F183" s="101">
        <v>933.080546618516</v>
      </c>
      <c r="G183" s="101">
        <v>929.66972937073081</v>
      </c>
      <c r="H183" s="101">
        <v>926.04707733062014</v>
      </c>
      <c r="I183" s="101">
        <v>906.22790040285474</v>
      </c>
      <c r="J183" s="101">
        <v>906.22790040285452</v>
      </c>
      <c r="K183" s="101">
        <v>906.22790040285463</v>
      </c>
      <c r="L183" s="101">
        <v>906.22790040285452</v>
      </c>
      <c r="M183" s="101">
        <v>906.2279004028544</v>
      </c>
      <c r="N183" s="101">
        <v>903.30636738168698</v>
      </c>
      <c r="O183" s="101">
        <v>898.86244922821913</v>
      </c>
      <c r="P183" s="101">
        <v>853.74208950493869</v>
      </c>
      <c r="Q183" s="101">
        <v>845.56612799820584</v>
      </c>
      <c r="R183" s="101">
        <v>844.37327338244199</v>
      </c>
      <c r="S183" s="101">
        <v>835.61436316867037</v>
      </c>
      <c r="T183" s="101">
        <v>835.26168362756971</v>
      </c>
      <c r="U183" s="101">
        <v>833.80876782629571</v>
      </c>
      <c r="V183" s="101">
        <v>832.67018925011018</v>
      </c>
      <c r="W183" s="101">
        <v>832.1882492290714</v>
      </c>
      <c r="X183" s="101">
        <v>831.7021000042198</v>
      </c>
      <c r="Y183" s="101">
        <v>830.22033319514185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312.28269147124956</v>
      </c>
      <c r="C186" s="152">
        <v>294.37192136957725</v>
      </c>
      <c r="D186" s="152">
        <v>286.05075758831322</v>
      </c>
      <c r="E186" s="152">
        <v>285.16901664240453</v>
      </c>
      <c r="F186" s="152">
        <v>277.29947690085856</v>
      </c>
      <c r="G186" s="152">
        <v>274.62871852319512</v>
      </c>
      <c r="H186" s="152">
        <v>270.83851842170088</v>
      </c>
      <c r="I186" s="152">
        <v>268.36267160348666</v>
      </c>
      <c r="J186" s="152">
        <v>268.34205027184561</v>
      </c>
      <c r="K186" s="152">
        <v>260.74678318948969</v>
      </c>
      <c r="L186" s="152">
        <v>247.90587988127859</v>
      </c>
      <c r="M186" s="152">
        <v>236.47820778660417</v>
      </c>
      <c r="N186" s="152">
        <v>237.11087732846639</v>
      </c>
      <c r="O186" s="152">
        <v>234.80179219479558</v>
      </c>
      <c r="P186" s="152">
        <v>226.34360940281226</v>
      </c>
      <c r="Q186" s="152">
        <v>233.35801102177629</v>
      </c>
      <c r="R186" s="152">
        <v>219.88416458611385</v>
      </c>
      <c r="S186" s="152">
        <v>232.78254628873756</v>
      </c>
      <c r="T186" s="152">
        <v>232.53889240659433</v>
      </c>
      <c r="U186" s="152">
        <v>238.65405378420243</v>
      </c>
      <c r="V186" s="152">
        <v>231.0703808504893</v>
      </c>
      <c r="W186" s="152">
        <v>233.7596771282108</v>
      </c>
      <c r="X186" s="152">
        <v>232.79981562095986</v>
      </c>
      <c r="Y186" s="152">
        <v>236.65662574499996</v>
      </c>
      <c r="DA186" s="174" t="s">
        <v>924</v>
      </c>
    </row>
    <row r="187" spans="1:105" ht="11.45" customHeight="1" x14ac:dyDescent="0.25">
      <c r="A187" s="111" t="s">
        <v>110</v>
      </c>
      <c r="B187" s="87">
        <v>247.2912400854398</v>
      </c>
      <c r="C187" s="87">
        <v>239.92914885923986</v>
      </c>
      <c r="D187" s="87">
        <v>236.25147019338775</v>
      </c>
      <c r="E187" s="87">
        <v>234.83706645962511</v>
      </c>
      <c r="F187" s="87">
        <v>232.60690916943125</v>
      </c>
      <c r="G187" s="87">
        <v>229.78779182421874</v>
      </c>
      <c r="H187" s="87">
        <v>226.64989565080222</v>
      </c>
      <c r="I187" s="87">
        <v>224.15214410850217</v>
      </c>
      <c r="J187" s="87">
        <v>221.94094045854291</v>
      </c>
      <c r="K187" s="87">
        <v>220.85514633454861</v>
      </c>
      <c r="L187" s="87">
        <v>219.81509613805355</v>
      </c>
      <c r="M187" s="87">
        <v>219.11479243350433</v>
      </c>
      <c r="N187" s="87">
        <v>218.4297877531813</v>
      </c>
      <c r="O187" s="87">
        <v>217.69060180823689</v>
      </c>
      <c r="P187" s="87">
        <v>215.41183467739552</v>
      </c>
      <c r="Q187" s="87">
        <v>211.80367454377068</v>
      </c>
      <c r="R187" s="87">
        <v>209.01087571898378</v>
      </c>
      <c r="S187" s="87">
        <v>205.74350212911565</v>
      </c>
      <c r="T187" s="87">
        <v>202.46640250539457</v>
      </c>
      <c r="U187" s="87">
        <v>199.06972891763516</v>
      </c>
      <c r="V187" s="87">
        <v>196.06702503441906</v>
      </c>
      <c r="W187" s="87">
        <v>191.94693049797672</v>
      </c>
      <c r="X187" s="87">
        <v>188.1709910660071</v>
      </c>
      <c r="Y187" s="87">
        <v>184.16904268764441</v>
      </c>
      <c r="DA187" s="171" t="s">
        <v>925</v>
      </c>
    </row>
    <row r="188" spans="1:105" ht="11.45" customHeight="1" x14ac:dyDescent="0.25">
      <c r="A188" s="111" t="s">
        <v>111</v>
      </c>
      <c r="B188" s="87">
        <v>332.12965556215107</v>
      </c>
      <c r="C188" s="87">
        <v>301.97096231566951</v>
      </c>
      <c r="D188" s="87">
        <v>292.9131401330859</v>
      </c>
      <c r="E188" s="87">
        <v>285.00517108972196</v>
      </c>
      <c r="F188" s="87">
        <v>278.99141951383496</v>
      </c>
      <c r="G188" s="87">
        <v>274.87785154582519</v>
      </c>
      <c r="H188" s="87">
        <v>272.46406761174853</v>
      </c>
      <c r="I188" s="87">
        <v>270.55325953343322</v>
      </c>
      <c r="J188" s="87">
        <v>269.51217911983218</v>
      </c>
      <c r="K188" s="87">
        <v>268.00323316562759</v>
      </c>
      <c r="L188" s="87">
        <v>267.87606504057828</v>
      </c>
      <c r="M188" s="87">
        <v>268.32383501546349</v>
      </c>
      <c r="N188" s="87">
        <v>267.58630692740502</v>
      </c>
      <c r="O188" s="87">
        <v>266.48453598757322</v>
      </c>
      <c r="P188" s="87">
        <v>265.38474903162228</v>
      </c>
      <c r="Q188" s="87">
        <v>263.59296178051659</v>
      </c>
      <c r="R188" s="87">
        <v>261.30366659086133</v>
      </c>
      <c r="S188" s="87">
        <v>258.75776684783648</v>
      </c>
      <c r="T188" s="87">
        <v>255.29895762408594</v>
      </c>
      <c r="U188" s="87">
        <v>252.10731115577849</v>
      </c>
      <c r="V188" s="87">
        <v>250.38552819226948</v>
      </c>
      <c r="W188" s="87">
        <v>247.86972400261874</v>
      </c>
      <c r="X188" s="87">
        <v>246.10147968008604</v>
      </c>
      <c r="Y188" s="87">
        <v>244.24763146128157</v>
      </c>
      <c r="DA188" s="171" t="s">
        <v>926</v>
      </c>
    </row>
    <row r="189" spans="1:105" ht="11.45" customHeight="1" x14ac:dyDescent="0.25">
      <c r="A189" s="111" t="s">
        <v>112</v>
      </c>
      <c r="B189" s="87">
        <v>507.48902406620948</v>
      </c>
      <c r="C189" s="87">
        <v>500.97524168554344</v>
      </c>
      <c r="D189" s="87">
        <v>485.48890983005259</v>
      </c>
      <c r="E189" s="87">
        <v>469.19879940692016</v>
      </c>
      <c r="F189" s="87">
        <v>448.29072959281257</v>
      </c>
      <c r="G189" s="87">
        <v>430.25014158873893</v>
      </c>
      <c r="H189" s="87">
        <v>408.16612261712112</v>
      </c>
      <c r="I189" s="87">
        <v>388.92778044735542</v>
      </c>
      <c r="J189" s="87">
        <v>379.40559454986965</v>
      </c>
      <c r="K189" s="87">
        <v>366.17016506479644</v>
      </c>
      <c r="L189" s="87">
        <v>357.31485125611096</v>
      </c>
      <c r="M189" s="87">
        <v>347.13143926363853</v>
      </c>
      <c r="N189" s="87">
        <v>339.35305513938124</v>
      </c>
      <c r="O189" s="87">
        <v>336.54196146551482</v>
      </c>
      <c r="P189" s="87">
        <v>333.9001110531832</v>
      </c>
      <c r="Q189" s="87">
        <v>330.67688662930249</v>
      </c>
      <c r="R189" s="87">
        <v>328.27037410307821</v>
      </c>
      <c r="S189" s="87">
        <v>324.16031895404268</v>
      </c>
      <c r="T189" s="87">
        <v>318.19155645822104</v>
      </c>
      <c r="U189" s="87">
        <v>315.99024575853798</v>
      </c>
      <c r="V189" s="87">
        <v>314.886617524516</v>
      </c>
      <c r="W189" s="87">
        <v>313.37448533960838</v>
      </c>
      <c r="X189" s="87">
        <v>310.51684083267497</v>
      </c>
      <c r="Y189" s="87">
        <v>305.6708466062488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237.23667276746789</v>
      </c>
      <c r="O190" s="87">
        <v>226.90767875926645</v>
      </c>
      <c r="P190" s="87">
        <v>213.23129667044734</v>
      </c>
      <c r="Q190" s="87">
        <v>180.8497835381776</v>
      </c>
      <c r="R190" s="87">
        <v>199.41019292525743</v>
      </c>
      <c r="S190" s="87">
        <v>191.35536481381331</v>
      </c>
      <c r="T190" s="87">
        <v>184.22676458611639</v>
      </c>
      <c r="U190" s="87">
        <v>179.96262486909333</v>
      </c>
      <c r="V190" s="87">
        <v>177.76952583763807</v>
      </c>
      <c r="W190" s="87">
        <v>176.57000741222819</v>
      </c>
      <c r="X190" s="87">
        <v>177.03407893188304</v>
      </c>
      <c r="Y190" s="87">
        <v>176.5839657754976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907.06689358912263</v>
      </c>
      <c r="C192" s="116">
        <v>905.34217161299034</v>
      </c>
      <c r="D192" s="116">
        <v>902.86904212527975</v>
      </c>
      <c r="E192" s="116">
        <v>903.20595422321981</v>
      </c>
      <c r="F192" s="116">
        <v>903.77972355775034</v>
      </c>
      <c r="G192" s="116">
        <v>899.91126179007176</v>
      </c>
      <c r="H192" s="116">
        <v>893.92860811898254</v>
      </c>
      <c r="I192" s="116">
        <v>885.74068579357356</v>
      </c>
      <c r="J192" s="116">
        <v>878.34839536964705</v>
      </c>
      <c r="K192" s="116">
        <v>874.71743477525706</v>
      </c>
      <c r="L192" s="116">
        <v>866.37533508880847</v>
      </c>
      <c r="M192" s="116">
        <v>855.37679383939985</v>
      </c>
      <c r="N192" s="116">
        <v>838.65092585444756</v>
      </c>
      <c r="O192" s="116">
        <v>825.55803051521707</v>
      </c>
      <c r="P192" s="116">
        <v>814.04286201886248</v>
      </c>
      <c r="Q192" s="116">
        <v>796.80399637063101</v>
      </c>
      <c r="R192" s="116">
        <v>785.32083733381864</v>
      </c>
      <c r="S192" s="116">
        <v>774.04388585866445</v>
      </c>
      <c r="T192" s="116">
        <v>763.28858500192098</v>
      </c>
      <c r="U192" s="116">
        <v>749.19654925609416</v>
      </c>
      <c r="V192" s="116">
        <v>732.4731307996027</v>
      </c>
      <c r="W192" s="116">
        <v>721.52345084047511</v>
      </c>
      <c r="X192" s="116">
        <v>710.43698271016194</v>
      </c>
      <c r="Y192" s="116">
        <v>699.09496316218713</v>
      </c>
      <c r="DA192" s="176" t="s">
        <v>930</v>
      </c>
    </row>
    <row r="193" spans="1:105" ht="11.45" customHeight="1" x14ac:dyDescent="0.25">
      <c r="A193" s="128" t="s">
        <v>27</v>
      </c>
      <c r="B193" s="101">
        <v>831.47746626420269</v>
      </c>
      <c r="C193" s="101">
        <v>829.56818605087312</v>
      </c>
      <c r="D193" s="101">
        <v>826.90934245708775</v>
      </c>
      <c r="E193" s="101">
        <v>825.94226358191383</v>
      </c>
      <c r="F193" s="101">
        <v>824.75755106201132</v>
      </c>
      <c r="G193" s="101">
        <v>820.97866751333879</v>
      </c>
      <c r="H193" s="101">
        <v>814.65183929630405</v>
      </c>
      <c r="I193" s="101">
        <v>807.57975846445811</v>
      </c>
      <c r="J193" s="101">
        <v>800.81666936329282</v>
      </c>
      <c r="K193" s="101">
        <v>797.83446017136123</v>
      </c>
      <c r="L193" s="101">
        <v>788.40265120234199</v>
      </c>
      <c r="M193" s="101">
        <v>777.00652193015947</v>
      </c>
      <c r="N193" s="101">
        <v>762.82450569084824</v>
      </c>
      <c r="O193" s="101">
        <v>749.1094633641593</v>
      </c>
      <c r="P193" s="101">
        <v>739.25790148414274</v>
      </c>
      <c r="Q193" s="101">
        <v>723.25719072686513</v>
      </c>
      <c r="R193" s="101">
        <v>714.36033050002618</v>
      </c>
      <c r="S193" s="101">
        <v>705.3101397116443</v>
      </c>
      <c r="T193" s="101">
        <v>696.93008433076875</v>
      </c>
      <c r="U193" s="101">
        <v>684.32864541481354</v>
      </c>
      <c r="V193" s="101">
        <v>666.30751536196556</v>
      </c>
      <c r="W193" s="101">
        <v>655.31275837160661</v>
      </c>
      <c r="X193" s="101">
        <v>645.15004521798437</v>
      </c>
      <c r="Y193" s="101">
        <v>634.93388508128828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1055.3605770226893</v>
      </c>
      <c r="D194" s="88">
        <v>1046.0642746917376</v>
      </c>
      <c r="E194" s="88">
        <v>1038.567178556099</v>
      </c>
      <c r="F194" s="88">
        <v>1019.4539897897866</v>
      </c>
      <c r="G194" s="88">
        <v>1010.7031422259679</v>
      </c>
      <c r="H194" s="88">
        <v>1000.592294059861</v>
      </c>
      <c r="I194" s="88">
        <v>990.71342485240018</v>
      </c>
      <c r="J194" s="88">
        <v>986.53445265985863</v>
      </c>
      <c r="K194" s="88">
        <v>980.30019321591612</v>
      </c>
      <c r="L194" s="88">
        <v>962.70447688501667</v>
      </c>
      <c r="M194" s="88">
        <v>945.61562622698875</v>
      </c>
      <c r="N194" s="88">
        <v>933.24903085333699</v>
      </c>
      <c r="O194" s="88">
        <v>911.91480998513362</v>
      </c>
      <c r="P194" s="88">
        <v>900.52638193436906</v>
      </c>
      <c r="Q194" s="88">
        <v>885.25562147715164</v>
      </c>
      <c r="R194" s="88">
        <v>876.81036832465247</v>
      </c>
      <c r="S194" s="88">
        <v>865.29848570956892</v>
      </c>
      <c r="T194" s="88">
        <v>860.77028643462859</v>
      </c>
      <c r="U194" s="88">
        <v>841.17702209039965</v>
      </c>
      <c r="V194" s="88">
        <v>812.46156513425944</v>
      </c>
      <c r="W194" s="88">
        <v>795.38185109731546</v>
      </c>
      <c r="X194" s="88">
        <v>780.45912160420346</v>
      </c>
      <c r="Y194" s="88">
        <v>772.77726015002963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1.1275000000068984</v>
      </c>
      <c r="C198" s="150">
        <f>IF(TrRoad_act!C59=0,0,TrRoad_emi!C56/TrRoad_tech!C171)</f>
        <v>1.127630523289004</v>
      </c>
      <c r="D198" s="150">
        <f>IF(TrRoad_act!D59=0,0,TrRoad_emi!D56/TrRoad_tech!D171)</f>
        <v>1.1278924262175374</v>
      </c>
      <c r="E198" s="150">
        <f>IF(TrRoad_act!E59=0,0,TrRoad_emi!E56/TrRoad_tech!E171)</f>
        <v>1.1279918593920721</v>
      </c>
      <c r="F198" s="150">
        <f>IF(TrRoad_act!F59=0,0,TrRoad_emi!F56/TrRoad_tech!F171)</f>
        <v>1.1285563488562544</v>
      </c>
      <c r="G198" s="150">
        <f>IF(TrRoad_act!G59=0,0,TrRoad_emi!G56/TrRoad_tech!G171)</f>
        <v>1.1309596182275268</v>
      </c>
      <c r="H198" s="150">
        <f>IF(TrRoad_act!H59=0,0,TrRoad_emi!H56/TrRoad_tech!H171)</f>
        <v>1.0772755429666421</v>
      </c>
      <c r="I198" s="150">
        <f>IF(TrRoad_act!I59=0,0,TrRoad_emi!I56/TrRoad_tech!I171)</f>
        <v>1.0808388866495031</v>
      </c>
      <c r="J198" s="150">
        <f>IF(TrRoad_act!J59=0,0,TrRoad_emi!J56/TrRoad_tech!J171)</f>
        <v>1.0662540128317306</v>
      </c>
      <c r="K198" s="150">
        <f>IF(TrRoad_act!K59=0,0,TrRoad_emi!K56/TrRoad_tech!K171)</f>
        <v>1.0554280059962744</v>
      </c>
      <c r="L198" s="150">
        <f>IF(TrRoad_act!L59=0,0,TrRoad_emi!L56/TrRoad_tech!L171)</f>
        <v>1.0560898297503578</v>
      </c>
      <c r="M198" s="150">
        <f>IF(TrRoad_act!M59=0,0,TrRoad_emi!M56/TrRoad_tech!M171)</f>
        <v>1.0568527914294741</v>
      </c>
      <c r="N198" s="150">
        <f>IF(TrRoad_act!N59=0,0,TrRoad_emi!N56/TrRoad_tech!N171)</f>
        <v>1.0618506981907723</v>
      </c>
      <c r="O198" s="150">
        <f>IF(TrRoad_act!O59=0,0,TrRoad_emi!O56/TrRoad_tech!O171)</f>
        <v>1.0636160330152689</v>
      </c>
      <c r="P198" s="150">
        <f>IF(TrRoad_act!P59=0,0,TrRoad_emi!P56/TrRoad_tech!P171)</f>
        <v>1.0598898770606786</v>
      </c>
      <c r="Q198" s="150">
        <f>IF(TrRoad_act!Q59=0,0,TrRoad_emi!Q56/TrRoad_tech!Q171)</f>
        <v>1.0706170877389958</v>
      </c>
      <c r="R198" s="150">
        <f>IF(TrRoad_act!R59=0,0,TrRoad_emi!R56/TrRoad_tech!R171)</f>
        <v>1.0876471631148634</v>
      </c>
      <c r="S198" s="150">
        <f>IF(TrRoad_act!S59=0,0,TrRoad_emi!S56/TrRoad_tech!S171)</f>
        <v>1.0855924472312266</v>
      </c>
      <c r="T198" s="150">
        <f>IF(TrRoad_act!T59=0,0,TrRoad_emi!T56/TrRoad_tech!T171)</f>
        <v>1.0918014332049273</v>
      </c>
      <c r="U198" s="150">
        <f>IF(TrRoad_act!U59=0,0,TrRoad_emi!U56/TrRoad_tech!U171)</f>
        <v>1.092039573204878</v>
      </c>
      <c r="V198" s="150">
        <f>IF(TrRoad_act!V59=0,0,TrRoad_emi!V56/TrRoad_tech!V171)</f>
        <v>1.1022584464306797</v>
      </c>
      <c r="W198" s="150">
        <f>IF(TrRoad_act!W59=0,0,TrRoad_emi!W56/TrRoad_tech!W171)</f>
        <v>1.1176375228698747</v>
      </c>
      <c r="X198" s="150">
        <f>IF(TrRoad_act!X59=0,0,TrRoad_emi!X56/TrRoad_tech!X171)</f>
        <v>1.1407291637870194</v>
      </c>
      <c r="Y198" s="150">
        <f>IF(TrRoad_act!Y59=0,0,TrRoad_emi!Y56/TrRoad_tech!Y171)</f>
        <v>1.1402807599047249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0.98610391319761281</v>
      </c>
      <c r="C199" s="151">
        <f>IF(TrRoad_act!C60=0,0,TrRoad_emi!C57/TrRoad_tech!C172)</f>
        <v>0.96139889243345211</v>
      </c>
      <c r="D199" s="151">
        <f>IF(TrRoad_act!D60=0,0,TrRoad_emi!D57/TrRoad_tech!D172)</f>
        <v>0.96400716333907521</v>
      </c>
      <c r="E199" s="151">
        <f>IF(TrRoad_act!E60=0,0,TrRoad_emi!E57/TrRoad_tech!E172)</f>
        <v>0.96655706407833031</v>
      </c>
      <c r="F199" s="151">
        <f>IF(TrRoad_act!F60=0,0,TrRoad_emi!F57/TrRoad_tech!F172)</f>
        <v>0.97484230448507392</v>
      </c>
      <c r="G199" s="151">
        <f>IF(TrRoad_act!G60=0,0,TrRoad_emi!G57/TrRoad_tech!G172)</f>
        <v>0.98547006397261083</v>
      </c>
      <c r="H199" s="151">
        <f>IF(TrRoad_act!H60=0,0,TrRoad_emi!H57/TrRoad_tech!H172)</f>
        <v>0.99501401518410548</v>
      </c>
      <c r="I199" s="151">
        <f>IF(TrRoad_act!I60=0,0,TrRoad_emi!I57/TrRoad_tech!I172)</f>
        <v>0.99164864825104138</v>
      </c>
      <c r="J199" s="151">
        <f>IF(TrRoad_act!J60=0,0,TrRoad_emi!J57/TrRoad_tech!J172)</f>
        <v>0.97699632493287925</v>
      </c>
      <c r="K199" s="151">
        <f>IF(TrRoad_act!K60=0,0,TrRoad_emi!K57/TrRoad_tech!K172)</f>
        <v>0.967085218883038</v>
      </c>
      <c r="L199" s="151">
        <f>IF(TrRoad_act!L60=0,0,TrRoad_emi!L57/TrRoad_tech!L172)</f>
        <v>0.97318771052525466</v>
      </c>
      <c r="M199" s="151">
        <f>IF(TrRoad_act!M60=0,0,TrRoad_emi!M57/TrRoad_tech!M172)</f>
        <v>0.96743761574025144</v>
      </c>
      <c r="N199" s="151">
        <f>IF(TrRoad_act!N60=0,0,TrRoad_emi!N57/TrRoad_tech!N172)</f>
        <v>0.96385992371844587</v>
      </c>
      <c r="O199" s="151">
        <f>IF(TrRoad_act!O60=0,0,TrRoad_emi!O57/TrRoad_tech!O172)</f>
        <v>0.95413428869214867</v>
      </c>
      <c r="P199" s="151">
        <f>IF(TrRoad_act!P60=0,0,TrRoad_emi!P57/TrRoad_tech!P172)</f>
        <v>0.96009537874427076</v>
      </c>
      <c r="Q199" s="151">
        <f>IF(TrRoad_act!Q60=0,0,TrRoad_emi!Q57/TrRoad_tech!Q172)</f>
        <v>0.96142549277717704</v>
      </c>
      <c r="R199" s="151">
        <f>IF(TrRoad_act!R60=0,0,TrRoad_emi!R57/TrRoad_tech!R172)</f>
        <v>0.98080469346165766</v>
      </c>
      <c r="S199" s="151">
        <f>IF(TrRoad_act!S60=0,0,TrRoad_emi!S57/TrRoad_tech!S172)</f>
        <v>0.99416639105475946</v>
      </c>
      <c r="T199" s="151">
        <f>IF(TrRoad_act!T60=0,0,TrRoad_emi!T57/TrRoad_tech!T172)</f>
        <v>0.99830830054259179</v>
      </c>
      <c r="U199" s="151">
        <f>IF(TrRoad_act!U60=0,0,TrRoad_emi!U57/TrRoad_tech!U172)</f>
        <v>0.9957419751042329</v>
      </c>
      <c r="V199" s="151">
        <f>IF(TrRoad_act!V60=0,0,TrRoad_emi!V57/TrRoad_tech!V172)</f>
        <v>0.98848491498637681</v>
      </c>
      <c r="W199" s="151">
        <f>IF(TrRoad_act!W60=0,0,TrRoad_emi!W57/TrRoad_tech!W172)</f>
        <v>0.96501145845165925</v>
      </c>
      <c r="X199" s="151">
        <f>IF(TrRoad_act!X60=0,0,TrRoad_emi!X57/TrRoad_tech!X172)</f>
        <v>0.97136966159876714</v>
      </c>
      <c r="Y199" s="151">
        <f>IF(TrRoad_act!Y60=0,0,TrRoad_emi!Y57/TrRoad_tech!Y172)</f>
        <v>0.99974883831999051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1.0263133695253885</v>
      </c>
      <c r="C200" s="91">
        <f>IF(TrRoad_act!C61=0,0,TrRoad_emi!C58/TrRoad_tech!C173)</f>
        <v>1.0266444014421572</v>
      </c>
      <c r="D200" s="91">
        <f>IF(TrRoad_act!D61=0,0,TrRoad_emi!D58/TrRoad_tech!D173)</f>
        <v>1.0265252093871178</v>
      </c>
      <c r="E200" s="91">
        <f>IF(TrRoad_act!E61=0,0,TrRoad_emi!E58/TrRoad_tech!E173)</f>
        <v>1.0282346660218025</v>
      </c>
      <c r="F200" s="91">
        <f>IF(TrRoad_act!F61=0,0,TrRoad_emi!F58/TrRoad_tech!F173)</f>
        <v>1.0283401379478934</v>
      </c>
      <c r="G200" s="91">
        <f>IF(TrRoad_act!G61=0,0,TrRoad_emi!G58/TrRoad_tech!G173)</f>
        <v>1.0286330271811714</v>
      </c>
      <c r="H200" s="91">
        <f>IF(TrRoad_act!H61=0,0,TrRoad_emi!H58/TrRoad_tech!H173)</f>
        <v>1.0298938133484987</v>
      </c>
      <c r="I200" s="91">
        <f>IF(TrRoad_act!I61=0,0,TrRoad_emi!I58/TrRoad_tech!I173)</f>
        <v>1.0315802596410564</v>
      </c>
      <c r="J200" s="91">
        <f>IF(TrRoad_act!J61=0,0,TrRoad_emi!J58/TrRoad_tech!J173)</f>
        <v>1.0154532305805997</v>
      </c>
      <c r="K200" s="91">
        <f>IF(TrRoad_act!K61=0,0,TrRoad_emi!K58/TrRoad_tech!K173)</f>
        <v>1.0050110697031942</v>
      </c>
      <c r="L200" s="91">
        <f>IF(TrRoad_act!L61=0,0,TrRoad_emi!L58/TrRoad_tech!L173)</f>
        <v>0.9922739671698565</v>
      </c>
      <c r="M200" s="91">
        <f>IF(TrRoad_act!M61=0,0,TrRoad_emi!M58/TrRoad_tech!M173)</f>
        <v>0.99239634308473568</v>
      </c>
      <c r="N200" s="91">
        <f>IF(TrRoad_act!N61=0,0,TrRoad_emi!N58/TrRoad_tech!N173)</f>
        <v>0.99200736662518774</v>
      </c>
      <c r="O200" s="91">
        <f>IF(TrRoad_act!O61=0,0,TrRoad_emi!O58/TrRoad_tech!O173)</f>
        <v>0.99322851001456369</v>
      </c>
      <c r="P200" s="91">
        <f>IF(TrRoad_act!P61=0,0,TrRoad_emi!P58/TrRoad_tech!P173)</f>
        <v>0.98768936402453034</v>
      </c>
      <c r="Q200" s="91">
        <f>IF(TrRoad_act!Q61=0,0,TrRoad_emi!Q58/TrRoad_tech!Q173)</f>
        <v>0.99361746550199459</v>
      </c>
      <c r="R200" s="91">
        <f>IF(TrRoad_act!R61=0,0,TrRoad_emi!R58/TrRoad_tech!R173)</f>
        <v>1.0074190634218749</v>
      </c>
      <c r="S200" s="91">
        <f>IF(TrRoad_act!S61=0,0,TrRoad_emi!S58/TrRoad_tech!S173)</f>
        <v>1.0043891255450563</v>
      </c>
      <c r="T200" s="91">
        <f>IF(TrRoad_act!T61=0,0,TrRoad_emi!T58/TrRoad_tech!T173)</f>
        <v>1.0071930435398975</v>
      </c>
      <c r="U200" s="91">
        <f>IF(TrRoad_act!U61=0,0,TrRoad_emi!U58/TrRoad_tech!U173)</f>
        <v>0.99923779904461141</v>
      </c>
      <c r="V200" s="91">
        <f>IF(TrRoad_act!V61=0,0,TrRoad_emi!V58/TrRoad_tech!V173)</f>
        <v>1.0063140716355539</v>
      </c>
      <c r="W200" s="91">
        <f>IF(TrRoad_act!W61=0,0,TrRoad_emi!W58/TrRoad_tech!W173)</f>
        <v>1.0153191703296827</v>
      </c>
      <c r="X200" s="91">
        <f>IF(TrRoad_act!X61=0,0,TrRoad_emi!X58/TrRoad_tech!X173)</f>
        <v>1.0277923342748054</v>
      </c>
      <c r="Y200" s="91">
        <f>IF(TrRoad_act!Y61=0,0,TrRoad_emi!Y58/TrRoad_tech!Y173)</f>
        <v>1.0330768440892166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0.93133082264832889</v>
      </c>
      <c r="C201" s="91">
        <f>IF(TrRoad_act!C62=0,0,TrRoad_emi!C59/TrRoad_tech!C174)</f>
        <v>0.88880036699301757</v>
      </c>
      <c r="D201" s="91">
        <f>IF(TrRoad_act!D62=0,0,TrRoad_emi!D59/TrRoad_tech!D174)</f>
        <v>0.917686957533141</v>
      </c>
      <c r="E201" s="91">
        <f>IF(TrRoad_act!E62=0,0,TrRoad_emi!E59/TrRoad_tech!E174)</f>
        <v>0.94060816222662025</v>
      </c>
      <c r="F201" s="91">
        <f>IF(TrRoad_act!F62=0,0,TrRoad_emi!F59/TrRoad_tech!F174)</f>
        <v>0.97043259272261628</v>
      </c>
      <c r="G201" s="91">
        <f>IF(TrRoad_act!G62=0,0,TrRoad_emi!G59/TrRoad_tech!G174)</f>
        <v>1.0115141278451838</v>
      </c>
      <c r="H201" s="91">
        <f>IF(TrRoad_act!H62=0,0,TrRoad_emi!H59/TrRoad_tech!H174)</f>
        <v>1.0271735422512505</v>
      </c>
      <c r="I201" s="91">
        <f>IF(TrRoad_act!I62=0,0,TrRoad_emi!I59/TrRoad_tech!I174)</f>
        <v>1.0073579384123317</v>
      </c>
      <c r="J201" s="91">
        <f>IF(TrRoad_act!J62=0,0,TrRoad_emi!J59/TrRoad_tech!J174)</f>
        <v>0.99541043891610992</v>
      </c>
      <c r="K201" s="91">
        <f>IF(TrRoad_act!K62=0,0,TrRoad_emi!K59/TrRoad_tech!K174)</f>
        <v>0.97191951281737354</v>
      </c>
      <c r="L201" s="91">
        <f>IF(TrRoad_act!L62=0,0,TrRoad_emi!L59/TrRoad_tech!L174)</f>
        <v>1.0051057872200966</v>
      </c>
      <c r="M201" s="91">
        <f>IF(TrRoad_act!M62=0,0,TrRoad_emi!M59/TrRoad_tech!M174)</f>
        <v>0.97747314286586529</v>
      </c>
      <c r="N201" s="91">
        <f>IF(TrRoad_act!N62=0,0,TrRoad_emi!N59/TrRoad_tech!N174)</f>
        <v>0.96981676599968358</v>
      </c>
      <c r="O201" s="91">
        <f>IF(TrRoad_act!O62=0,0,TrRoad_emi!O59/TrRoad_tech!O174)</f>
        <v>0.9638598823207094</v>
      </c>
      <c r="P201" s="91">
        <f>IF(TrRoad_act!P62=0,0,TrRoad_emi!P59/TrRoad_tech!P174)</f>
        <v>0.96039741383282429</v>
      </c>
      <c r="Q201" s="91">
        <f>IF(TrRoad_act!Q62=0,0,TrRoad_emi!Q59/TrRoad_tech!Q174)</f>
        <v>0.96593538127981315</v>
      </c>
      <c r="R201" s="91">
        <f>IF(TrRoad_act!R62=0,0,TrRoad_emi!R59/TrRoad_tech!R174)</f>
        <v>0.98585745585530804</v>
      </c>
      <c r="S201" s="91">
        <f>IF(TrRoad_act!S62=0,0,TrRoad_emi!S59/TrRoad_tech!S174)</f>
        <v>1.0107478316948475</v>
      </c>
      <c r="T201" s="91">
        <f>IF(TrRoad_act!T62=0,0,TrRoad_emi!T59/TrRoad_tech!T174)</f>
        <v>1.0104341151542005</v>
      </c>
      <c r="U201" s="91">
        <f>IF(TrRoad_act!U62=0,0,TrRoad_emi!U59/TrRoad_tech!U174)</f>
        <v>1.0118086348534898</v>
      </c>
      <c r="V201" s="91">
        <f>IF(TrRoad_act!V62=0,0,TrRoad_emi!V59/TrRoad_tech!V174)</f>
        <v>0.98567715023714031</v>
      </c>
      <c r="W201" s="91">
        <f>IF(TrRoad_act!W62=0,0,TrRoad_emi!W59/TrRoad_tech!W174)</f>
        <v>0.93706256452957581</v>
      </c>
      <c r="X201" s="91">
        <f>IF(TrRoad_act!X62=0,0,TrRoad_emi!X59/TrRoad_tech!X174)</f>
        <v>0.93980784139726059</v>
      </c>
      <c r="Y201" s="91">
        <f>IF(TrRoad_act!Y62=0,0,TrRoad_emi!Y59/TrRoad_tech!Y174)</f>
        <v>0.9649596878923441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1.0230940197504197</v>
      </c>
      <c r="C202" s="91">
        <f>IF(TrRoad_act!C63=0,0,TrRoad_emi!C60/TrRoad_tech!C175)</f>
        <v>1.0132003263515019</v>
      </c>
      <c r="D202" s="91">
        <f>IF(TrRoad_act!D63=0,0,TrRoad_emi!D60/TrRoad_tech!D175)</f>
        <v>1.0218505274166942</v>
      </c>
      <c r="E202" s="91">
        <f>IF(TrRoad_act!E63=0,0,TrRoad_emi!E60/TrRoad_tech!E175)</f>
        <v>0.93862682013527643</v>
      </c>
      <c r="F202" s="91">
        <f>IF(TrRoad_act!F63=0,0,TrRoad_emi!F60/TrRoad_tech!F175)</f>
        <v>0.94882530094667739</v>
      </c>
      <c r="G202" s="91">
        <f>IF(TrRoad_act!G63=0,0,TrRoad_emi!G60/TrRoad_tech!G175)</f>
        <v>0.95010433668039473</v>
      </c>
      <c r="H202" s="91">
        <f>IF(TrRoad_act!H63=0,0,TrRoad_emi!H60/TrRoad_tech!H175)</f>
        <v>0.95179319522675387</v>
      </c>
      <c r="I202" s="91">
        <f>IF(TrRoad_act!I63=0,0,TrRoad_emi!I60/TrRoad_tech!I175)</f>
        <v>0.9480906660133892</v>
      </c>
      <c r="J202" s="91">
        <f>IF(TrRoad_act!J63=0,0,TrRoad_emi!J60/TrRoad_tech!J175)</f>
        <v>0.94998653880174289</v>
      </c>
      <c r="K202" s="91">
        <f>IF(TrRoad_act!K63=0,0,TrRoad_emi!K60/TrRoad_tech!K175)</f>
        <v>0.95033346070427793</v>
      </c>
      <c r="L202" s="91">
        <f>IF(TrRoad_act!L63=0,0,TrRoad_emi!L60/TrRoad_tech!L175)</f>
        <v>0.95099367870400742</v>
      </c>
      <c r="M202" s="91">
        <f>IF(TrRoad_act!M63=0,0,TrRoad_emi!M60/TrRoad_tech!M175)</f>
        <v>0.95124917839878809</v>
      </c>
      <c r="N202" s="91">
        <f>IF(TrRoad_act!N63=0,0,TrRoad_emi!N60/TrRoad_tech!N175)</f>
        <v>0.95108987596685457</v>
      </c>
      <c r="O202" s="91">
        <f>IF(TrRoad_act!O63=0,0,TrRoad_emi!O60/TrRoad_tech!O175)</f>
        <v>0.95218755331934235</v>
      </c>
      <c r="P202" s="91">
        <f>IF(TrRoad_act!P63=0,0,TrRoad_emi!P60/TrRoad_tech!P175)</f>
        <v>0.95627645648795001</v>
      </c>
      <c r="Q202" s="91">
        <f>IF(TrRoad_act!Q63=0,0,TrRoad_emi!Q60/TrRoad_tech!Q175)</f>
        <v>0.97118817507335131</v>
      </c>
      <c r="R202" s="91">
        <f>IF(TrRoad_act!R63=0,0,TrRoad_emi!R60/TrRoad_tech!R175)</f>
        <v>0.97037560611176743</v>
      </c>
      <c r="S202" s="91">
        <f>IF(TrRoad_act!S63=0,0,TrRoad_emi!S60/TrRoad_tech!S175)</f>
        <v>1.0328513932206085</v>
      </c>
      <c r="T202" s="91">
        <f>IF(TrRoad_act!T63=0,0,TrRoad_emi!T60/TrRoad_tech!T175)</f>
        <v>1.0421610986146452</v>
      </c>
      <c r="U202" s="91">
        <f>IF(TrRoad_act!U63=0,0,TrRoad_emi!U60/TrRoad_tech!U175)</f>
        <v>1.0425595103299363</v>
      </c>
      <c r="V202" s="91">
        <f>IF(TrRoad_act!V63=0,0,TrRoad_emi!V60/TrRoad_tech!V175)</f>
        <v>1.0082035990652265</v>
      </c>
      <c r="W202" s="91">
        <f>IF(TrRoad_act!W63=0,0,TrRoad_emi!W60/TrRoad_tech!W175)</f>
        <v>1.0322804910902741</v>
      </c>
      <c r="X202" s="91">
        <f>IF(TrRoad_act!X63=0,0,TrRoad_emi!X60/TrRoad_tech!X175)</f>
        <v>1.2074840914932128</v>
      </c>
      <c r="Y202" s="91">
        <f>IF(TrRoad_act!Y63=0,0,TrRoad_emi!Y60/TrRoad_tech!Y175)</f>
        <v>1.8976586288258377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1.0470370370414097</v>
      </c>
      <c r="K203" s="91">
        <f>IF(TrRoad_act!K64=0,0,TrRoad_emi!K61/TrRoad_tech!K176)</f>
        <v>1.048535973039346</v>
      </c>
      <c r="L203" s="91">
        <f>IF(TrRoad_act!L64=0,0,TrRoad_emi!L61/TrRoad_tech!L176)</f>
        <v>1.0506428096259826</v>
      </c>
      <c r="M203" s="91">
        <f>IF(TrRoad_act!M64=0,0,TrRoad_emi!M61/TrRoad_tech!M176)</f>
        <v>1.0532237846235348</v>
      </c>
      <c r="N203" s="91">
        <f>IF(TrRoad_act!N64=0,0,TrRoad_emi!N61/TrRoad_tech!N176)</f>
        <v>1.0563725008172962</v>
      </c>
      <c r="O203" s="91">
        <f>IF(TrRoad_act!O64=0,0,TrRoad_emi!O61/TrRoad_tech!O176)</f>
        <v>1.0609732446479072</v>
      </c>
      <c r="P203" s="91">
        <f>IF(TrRoad_act!P64=0,0,TrRoad_emi!P61/TrRoad_tech!P176)</f>
        <v>1.0649332191927197</v>
      </c>
      <c r="Q203" s="91">
        <f>IF(TrRoad_act!Q64=0,0,TrRoad_emi!Q61/TrRoad_tech!Q176)</f>
        <v>1.0705484777827772</v>
      </c>
      <c r="R203" s="91">
        <f>IF(TrRoad_act!R64=0,0,TrRoad_emi!R61/TrRoad_tech!R176)</f>
        <v>1.0773934898956188</v>
      </c>
      <c r="S203" s="91">
        <f>IF(TrRoad_act!S64=0,0,TrRoad_emi!S61/TrRoad_tech!S176)</f>
        <v>1.0801985752027738</v>
      </c>
      <c r="T203" s="91">
        <f>IF(TrRoad_act!T64=0,0,TrRoad_emi!T61/TrRoad_tech!T176)</f>
        <v>1.0829141359903076</v>
      </c>
      <c r="U203" s="91">
        <f>IF(TrRoad_act!U64=0,0,TrRoad_emi!U61/TrRoad_tech!U176)</f>
        <v>1.0841378815957765</v>
      </c>
      <c r="V203" s="91">
        <f>IF(TrRoad_act!V64=0,0,TrRoad_emi!V61/TrRoad_tech!V176)</f>
        <v>1.0856440034224493</v>
      </c>
      <c r="W203" s="91">
        <f>IF(TrRoad_act!W64=0,0,TrRoad_emi!W61/TrRoad_tech!W176)</f>
        <v>1.0872697299861267</v>
      </c>
      <c r="X203" s="91">
        <f>IF(TrRoad_act!X64=0,0,TrRoad_emi!X61/TrRoad_tech!X176)</f>
        <v>1.0884269049259538</v>
      </c>
      <c r="Y203" s="91">
        <f>IF(TrRoad_act!Y64=0,0,TrRoad_emi!Y61/TrRoad_tech!Y176)</f>
        <v>1.0871887245461351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1.0202939189788105</v>
      </c>
      <c r="O204" s="91">
        <f>IF(TrRoad_act!O65=0,0,TrRoad_emi!O62/TrRoad_tech!O177)</f>
        <v>1.0223060136974609</v>
      </c>
      <c r="P204" s="91">
        <f>IF(TrRoad_act!P65=0,0,TrRoad_emi!P62/TrRoad_tech!P177)</f>
        <v>1.0195867184122609</v>
      </c>
      <c r="Q204" s="91">
        <f>IF(TrRoad_act!Q65=0,0,TrRoad_emi!Q62/TrRoad_tech!Q177)</f>
        <v>1.0296227761929335</v>
      </c>
      <c r="R204" s="91">
        <f>IF(TrRoad_act!R65=0,0,TrRoad_emi!R62/TrRoad_tech!R177)</f>
        <v>1.0425881177218608</v>
      </c>
      <c r="S204" s="91">
        <f>IF(TrRoad_act!S65=0,0,TrRoad_emi!S62/TrRoad_tech!S177)</f>
        <v>1.0392749121635749</v>
      </c>
      <c r="T204" s="91">
        <f>IF(TrRoad_act!T65=0,0,TrRoad_emi!T62/TrRoad_tech!T177)</f>
        <v>1.0400248279720181</v>
      </c>
      <c r="U204" s="91">
        <f>IF(TrRoad_act!U65=0,0,TrRoad_emi!U62/TrRoad_tech!U177)</f>
        <v>1.0308376652580438</v>
      </c>
      <c r="V204" s="91">
        <f>IF(TrRoad_act!V65=0,0,TrRoad_emi!V62/TrRoad_tech!V177)</f>
        <v>1.0392441116326567</v>
      </c>
      <c r="W204" s="91">
        <f>IF(TrRoad_act!W65=0,0,TrRoad_emi!W62/TrRoad_tech!W177)</f>
        <v>1.0463774395416119</v>
      </c>
      <c r="X204" s="91">
        <f>IF(TrRoad_act!X65=0,0,TrRoad_emi!X62/TrRoad_tech!X177)</f>
        <v>1.0563841948908135</v>
      </c>
      <c r="Y204" s="91">
        <f>IF(TrRoad_act!Y65=0,0,TrRoad_emi!Y62/TrRoad_tech!Y177)</f>
        <v>1.0598678205660921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1.0848373678797614</v>
      </c>
      <c r="C206" s="151">
        <f>IF(TrRoad_act!C67=0,0,TrRoad_emi!C64/TrRoad_tech!C179)</f>
        <v>1.1000066387325831</v>
      </c>
      <c r="D206" s="151">
        <f>IF(TrRoad_act!D67=0,0,TrRoad_emi!D64/TrRoad_tech!D179)</f>
        <v>1.1796929181787952</v>
      </c>
      <c r="E206" s="151">
        <f>IF(TrRoad_act!E67=0,0,TrRoad_emi!E64/TrRoad_tech!E179)</f>
        <v>1.099130320344313</v>
      </c>
      <c r="F206" s="151">
        <f>IF(TrRoad_act!F67=0,0,TrRoad_emi!F64/TrRoad_tech!F179)</f>
        <v>1.0949109552204328</v>
      </c>
      <c r="G206" s="151">
        <f>IF(TrRoad_act!G67=0,0,TrRoad_emi!G64/TrRoad_tech!G179)</f>
        <v>1.1020525757377391</v>
      </c>
      <c r="H206" s="151">
        <f>IF(TrRoad_act!H67=0,0,TrRoad_emi!H64/TrRoad_tech!H179)</f>
        <v>1.1219229158335196</v>
      </c>
      <c r="I206" s="151">
        <f>IF(TrRoad_act!I67=0,0,TrRoad_emi!I64/TrRoad_tech!I179)</f>
        <v>1.0986561310530127</v>
      </c>
      <c r="J206" s="151">
        <f>IF(TrRoad_act!J67=0,0,TrRoad_emi!J64/TrRoad_tech!J179)</f>
        <v>1.0898420961000792</v>
      </c>
      <c r="K206" s="151">
        <f>IF(TrRoad_act!K67=0,0,TrRoad_emi!K64/TrRoad_tech!K179)</f>
        <v>1.078800404373446</v>
      </c>
      <c r="L206" s="151">
        <f>IF(TrRoad_act!L67=0,0,TrRoad_emi!L64/TrRoad_tech!L179)</f>
        <v>1.0789182930667627</v>
      </c>
      <c r="M206" s="151">
        <f>IF(TrRoad_act!M67=0,0,TrRoad_emi!M64/TrRoad_tech!M179)</f>
        <v>1.067338066870426</v>
      </c>
      <c r="N206" s="151">
        <f>IF(TrRoad_act!N67=0,0,TrRoad_emi!N64/TrRoad_tech!N179)</f>
        <v>1.0889392562593698</v>
      </c>
      <c r="O206" s="151">
        <f>IF(TrRoad_act!O67=0,0,TrRoad_emi!O64/TrRoad_tech!O179)</f>
        <v>1.1058898371852663</v>
      </c>
      <c r="P206" s="151">
        <f>IF(TrRoad_act!P67=0,0,TrRoad_emi!P64/TrRoad_tech!P179)</f>
        <v>1.2082937061792656</v>
      </c>
      <c r="Q206" s="151">
        <f>IF(TrRoad_act!Q67=0,0,TrRoad_emi!Q64/TrRoad_tech!Q179)</f>
        <v>1.301654452384553</v>
      </c>
      <c r="R206" s="151">
        <f>IF(TrRoad_act!R67=0,0,TrRoad_emi!R64/TrRoad_tech!R179)</f>
        <v>1.2287259529403631</v>
      </c>
      <c r="S206" s="151">
        <f>IF(TrRoad_act!S67=0,0,TrRoad_emi!S64/TrRoad_tech!S179)</f>
        <v>1.3346000301161849</v>
      </c>
      <c r="T206" s="151">
        <f>IF(TrRoad_act!T67=0,0,TrRoad_emi!T64/TrRoad_tech!T179)</f>
        <v>1.2527217351832922</v>
      </c>
      <c r="U206" s="151">
        <f>IF(TrRoad_act!U67=0,0,TrRoad_emi!U64/TrRoad_tech!U179)</f>
        <v>1.2445402261383072</v>
      </c>
      <c r="V206" s="151">
        <f>IF(TrRoad_act!V67=0,0,TrRoad_emi!V64/TrRoad_tech!V179)</f>
        <v>1.2676839397109376</v>
      </c>
      <c r="W206" s="151">
        <f>IF(TrRoad_act!W67=0,0,TrRoad_emi!W64/TrRoad_tech!W179)</f>
        <v>1.255319290120519</v>
      </c>
      <c r="X206" s="151">
        <f>IF(TrRoad_act!X67=0,0,TrRoad_emi!X64/TrRoad_tech!X179)</f>
        <v>1.2674204495750621</v>
      </c>
      <c r="Y206" s="151">
        <f>IF(TrRoad_act!Y67=0,0,TrRoad_emi!Y64/TrRoad_tech!Y179)</f>
        <v>1.2872243375836037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</v>
      </c>
      <c r="C207" s="93">
        <f>IF(TrRoad_act!C68=0,0,TrRoad_emi!C65/TrRoad_tech!C180)</f>
        <v>1.1000000000067305</v>
      </c>
      <c r="D207" s="93">
        <f>IF(TrRoad_act!D68=0,0,TrRoad_emi!D65/TrRoad_tech!D180)</f>
        <v>1.1000000000067305</v>
      </c>
      <c r="E207" s="93">
        <f>IF(TrRoad_act!E68=0,0,TrRoad_emi!E65/TrRoad_tech!E180)</f>
        <v>1.10000000000673</v>
      </c>
      <c r="F207" s="93">
        <f>IF(TrRoad_act!F68=0,0,TrRoad_emi!F65/TrRoad_tech!F180)</f>
        <v>1.1000000000067303</v>
      </c>
      <c r="G207" s="93">
        <f>IF(TrRoad_act!G68=0,0,TrRoad_emi!G65/TrRoad_tech!G180)</f>
        <v>1.1000000000067296</v>
      </c>
      <c r="H207" s="93">
        <f>IF(TrRoad_act!H68=0,0,TrRoad_emi!H65/TrRoad_tech!H180)</f>
        <v>1.0993259664115846</v>
      </c>
      <c r="I207" s="93">
        <f>IF(TrRoad_act!I68=0,0,TrRoad_emi!I65/TrRoad_tech!I180)</f>
        <v>1.1000000000067298</v>
      </c>
      <c r="J207" s="93">
        <f>IF(TrRoad_act!J68=0,0,TrRoad_emi!J65/TrRoad_tech!J180)</f>
        <v>1.0821477517052893</v>
      </c>
      <c r="K207" s="93">
        <f>IF(TrRoad_act!K68=0,0,TrRoad_emi!K65/TrRoad_tech!K180)</f>
        <v>1.0694881669019425</v>
      </c>
      <c r="L207" s="93">
        <f>IF(TrRoad_act!L68=0,0,TrRoad_emi!L65/TrRoad_tech!L180)</f>
        <v>1.0668516426917898</v>
      </c>
      <c r="M207" s="93">
        <f>IF(TrRoad_act!M68=0,0,TrRoad_emi!M65/TrRoad_tech!M180)</f>
        <v>1.0640827538973254</v>
      </c>
      <c r="N207" s="93">
        <f>IF(TrRoad_act!N68=0,0,TrRoad_emi!N65/TrRoad_tech!N180)</f>
        <v>1.0643279024006953</v>
      </c>
      <c r="O207" s="93">
        <f>IF(TrRoad_act!O68=0,0,TrRoad_emi!O65/TrRoad_tech!O180)</f>
        <v>1.063821633766052</v>
      </c>
      <c r="P207" s="93">
        <f>IF(TrRoad_act!P68=0,0,TrRoad_emi!P65/TrRoad_tech!P180)</f>
        <v>1.0554379708798889</v>
      </c>
      <c r="Q207" s="93">
        <f>IF(TrRoad_act!Q68=0,0,TrRoad_emi!Q65/TrRoad_tech!Q180)</f>
        <v>1.0574459910214424</v>
      </c>
      <c r="R207" s="93">
        <f>IF(TrRoad_act!R68=0,0,TrRoad_emi!R65/TrRoad_tech!R180)</f>
        <v>1.0680617665627474</v>
      </c>
      <c r="S207" s="93">
        <f>IF(TrRoad_act!S68=0,0,TrRoad_emi!S65/TrRoad_tech!S180)</f>
        <v>1.0606756126690458</v>
      </c>
      <c r="T207" s="93">
        <f>IF(TrRoad_act!T68=0,0,TrRoad_emi!T65/TrRoad_tech!T180)</f>
        <v>1.0594687114807491</v>
      </c>
      <c r="U207" s="93">
        <f>IF(TrRoad_act!U68=0,0,TrRoad_emi!U65/TrRoad_tech!U180)</f>
        <v>1.051724386444175</v>
      </c>
      <c r="V207" s="93">
        <f>IF(TrRoad_act!V68=0,0,TrRoad_emi!V65/TrRoad_tech!V180)</f>
        <v>1.0524514699934004</v>
      </c>
      <c r="W207" s="93">
        <f>IF(TrRoad_act!W68=0,0,TrRoad_emi!W65/TrRoad_tech!W180)</f>
        <v>1.0611534560102218</v>
      </c>
      <c r="X207" s="93">
        <f>IF(TrRoad_act!X68=0,0,TrRoad_emi!X65/TrRoad_tech!X180)</f>
        <v>1.0577682497117116</v>
      </c>
      <c r="Y207" s="93">
        <f>IF(TrRoad_act!Y68=0,0,TrRoad_emi!Y65/TrRoad_tech!Y180)</f>
        <v>1.0605112394379097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1.0629591478503473</v>
      </c>
      <c r="C208" s="93">
        <f>IF(TrRoad_act!C69=0,0,TrRoad_emi!C66/TrRoad_tech!C181)</f>
        <v>1.0755704981696066</v>
      </c>
      <c r="D208" s="93">
        <f>IF(TrRoad_act!D69=0,0,TrRoad_emi!D66/TrRoad_tech!D181)</f>
        <v>1.0686515440545419</v>
      </c>
      <c r="E208" s="93">
        <f>IF(TrRoad_act!E69=0,0,TrRoad_emi!E66/TrRoad_tech!E181)</f>
        <v>1.0759315220613568</v>
      </c>
      <c r="F208" s="93">
        <f>IF(TrRoad_act!F69=0,0,TrRoad_emi!F66/TrRoad_tech!F181)</f>
        <v>1.092420053690309</v>
      </c>
      <c r="G208" s="93">
        <f>IF(TrRoad_act!G69=0,0,TrRoad_emi!G66/TrRoad_tech!G181)</f>
        <v>1.1065842505472179</v>
      </c>
      <c r="H208" s="93">
        <f>IF(TrRoad_act!H69=0,0,TrRoad_emi!H66/TrRoad_tech!H181)</f>
        <v>1.1055459300156365</v>
      </c>
      <c r="I208" s="93">
        <f>IF(TrRoad_act!I69=0,0,TrRoad_emi!I66/TrRoad_tech!I181)</f>
        <v>1.1062869789104381</v>
      </c>
      <c r="J208" s="93">
        <f>IF(TrRoad_act!J69=0,0,TrRoad_emi!J66/TrRoad_tech!J181)</f>
        <v>1.0992874926385563</v>
      </c>
      <c r="K208" s="93">
        <f>IF(TrRoad_act!K69=0,0,TrRoad_emi!K66/TrRoad_tech!K181)</f>
        <v>1.0863178108296736</v>
      </c>
      <c r="L208" s="93">
        <f>IF(TrRoad_act!L69=0,0,TrRoad_emi!L66/TrRoad_tech!L181)</f>
        <v>1.079756184229975</v>
      </c>
      <c r="M208" s="93">
        <f>IF(TrRoad_act!M69=0,0,TrRoad_emi!M66/TrRoad_tech!M181)</f>
        <v>1.067790649067919</v>
      </c>
      <c r="N208" s="93">
        <f>IF(TrRoad_act!N69=0,0,TrRoad_emi!N66/TrRoad_tech!N181)</f>
        <v>1.0846423020985621</v>
      </c>
      <c r="O208" s="93">
        <f>IF(TrRoad_act!O69=0,0,TrRoad_emi!O66/TrRoad_tech!O181)</f>
        <v>1.097491872763569</v>
      </c>
      <c r="P208" s="93">
        <f>IF(TrRoad_act!P69=0,0,TrRoad_emi!P66/TrRoad_tech!P181)</f>
        <v>1.1042663363895768</v>
      </c>
      <c r="Q208" s="93">
        <f>IF(TrRoad_act!Q69=0,0,TrRoad_emi!Q66/TrRoad_tech!Q181)</f>
        <v>1.1232376151388557</v>
      </c>
      <c r="R208" s="93">
        <f>IF(TrRoad_act!R69=0,0,TrRoad_emi!R66/TrRoad_tech!R181)</f>
        <v>1.1338129893612203</v>
      </c>
      <c r="S208" s="93">
        <f>IF(TrRoad_act!S69=0,0,TrRoad_emi!S66/TrRoad_tech!S181)</f>
        <v>1.1433368533465971</v>
      </c>
      <c r="T208" s="93">
        <f>IF(TrRoad_act!T69=0,0,TrRoad_emi!T66/TrRoad_tech!T181)</f>
        <v>1.1524766501180324</v>
      </c>
      <c r="U208" s="93">
        <f>IF(TrRoad_act!U69=0,0,TrRoad_emi!U66/TrRoad_tech!U181)</f>
        <v>1.1613399516378395</v>
      </c>
      <c r="V208" s="93">
        <f>IF(TrRoad_act!V69=0,0,TrRoad_emi!V66/TrRoad_tech!V181)</f>
        <v>1.1749582457235053</v>
      </c>
      <c r="W208" s="93">
        <f>IF(TrRoad_act!W69=0,0,TrRoad_emi!W66/TrRoad_tech!W181)</f>
        <v>1.1997512324402275</v>
      </c>
      <c r="X208" s="93">
        <f>IF(TrRoad_act!X69=0,0,TrRoad_emi!X66/TrRoad_tech!X181)</f>
        <v>1.2143953637617098</v>
      </c>
      <c r="Y208" s="93">
        <f>IF(TrRoad_act!Y69=0,0,TrRoad_emi!Y66/TrRoad_tech!Y181)</f>
        <v>1.2292537220203452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1.3533878856593002</v>
      </c>
      <c r="W209" s="93">
        <f>IF(TrRoad_act!W70=0,0,TrRoad_emi!W67/TrRoad_tech!W182)</f>
        <v>1.3533878856593007</v>
      </c>
      <c r="X209" s="93">
        <f>IF(TrRoad_act!X70=0,0,TrRoad_emi!X67/TrRoad_tech!X182)</f>
        <v>1.3533878856593009</v>
      </c>
      <c r="Y209" s="93">
        <f>IF(TrRoad_act!Y70=0,0,TrRoad_emi!Y67/TrRoad_tech!Y182)</f>
        <v>1.3533878856593002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1.0630647717318622</v>
      </c>
      <c r="C210" s="93">
        <f>IF(TrRoad_act!C71=0,0,TrRoad_emi!C68/TrRoad_tech!C183)</f>
        <v>1.0878176055207833</v>
      </c>
      <c r="D210" s="93">
        <f>IF(TrRoad_act!D71=0,0,TrRoad_emi!D68/TrRoad_tech!D183)</f>
        <v>1.104608293916526</v>
      </c>
      <c r="E210" s="93">
        <f>IF(TrRoad_act!E71=0,0,TrRoad_emi!E68/TrRoad_tech!E183)</f>
        <v>1.1055915892265817</v>
      </c>
      <c r="F210" s="93">
        <f>IF(TrRoad_act!F71=0,0,TrRoad_emi!F68/TrRoad_tech!F183)</f>
        <v>1.3470550450621006</v>
      </c>
      <c r="G210" s="93">
        <f>IF(TrRoad_act!G71=0,0,TrRoad_emi!G68/TrRoad_tech!G183)</f>
        <v>1.1699625840442323</v>
      </c>
      <c r="H210" s="93">
        <f>IF(TrRoad_act!H71=0,0,TrRoad_emi!H68/TrRoad_tech!H183)</f>
        <v>1.709677348034548</v>
      </c>
      <c r="I210" s="93">
        <f>IF(TrRoad_act!I71=0,0,TrRoad_emi!I68/TrRoad_tech!I183)</f>
        <v>1.1218137230101259</v>
      </c>
      <c r="J210" s="93">
        <f>IF(TrRoad_act!J71=0,0,TrRoad_emi!J68/TrRoad_tech!J183)</f>
        <v>1.1298980972673567</v>
      </c>
      <c r="K210" s="93">
        <f>IF(TrRoad_act!K71=0,0,TrRoad_emi!K68/TrRoad_tech!K183)</f>
        <v>1.3197871644383794</v>
      </c>
      <c r="L210" s="93">
        <f>IF(TrRoad_act!L71=0,0,TrRoad_emi!L68/TrRoad_tech!L183)</f>
        <v>1.7395194784433989</v>
      </c>
      <c r="M210" s="93">
        <f>IF(TrRoad_act!M71=0,0,TrRoad_emi!M68/TrRoad_tech!M183)</f>
        <v>1.944646418136299</v>
      </c>
      <c r="N210" s="93">
        <f>IF(TrRoad_act!N71=0,0,TrRoad_emi!N68/TrRoad_tech!N183)</f>
        <v>2.254162305251513</v>
      </c>
      <c r="O210" s="93">
        <f>IF(TrRoad_act!O71=0,0,TrRoad_emi!O68/TrRoad_tech!O183)</f>
        <v>2.3222683980413552</v>
      </c>
      <c r="P210" s="93">
        <f>IF(TrRoad_act!P71=0,0,TrRoad_emi!P68/TrRoad_tech!P183)</f>
        <v>4.1028818073675462</v>
      </c>
      <c r="Q210" s="93">
        <f>IF(TrRoad_act!Q71=0,0,TrRoad_emi!Q68/TrRoad_tech!Q183)</f>
        <v>3.8311269922336542</v>
      </c>
      <c r="R210" s="93">
        <f>IF(TrRoad_act!R71=0,0,TrRoad_emi!R68/TrRoad_tech!R183)</f>
        <v>2.9168344222020197</v>
      </c>
      <c r="S210" s="93">
        <f>IF(TrRoad_act!S71=0,0,TrRoad_emi!S68/TrRoad_tech!S183)</f>
        <v>2.2826678620044469</v>
      </c>
      <c r="T210" s="93">
        <f>IF(TrRoad_act!T71=0,0,TrRoad_emi!T68/TrRoad_tech!T183)</f>
        <v>2.1674063843726379</v>
      </c>
      <c r="U210" s="93">
        <f>IF(TrRoad_act!U71=0,0,TrRoad_emi!U68/TrRoad_tech!U183)</f>
        <v>2.261829628390347</v>
      </c>
      <c r="V210" s="93">
        <f>IF(TrRoad_act!V71=0,0,TrRoad_emi!V68/TrRoad_tech!V183)</f>
        <v>2.6044024923843261</v>
      </c>
      <c r="W210" s="93">
        <f>IF(TrRoad_act!W71=0,0,TrRoad_emi!W68/TrRoad_tech!W183)</f>
        <v>2.8682075334771877</v>
      </c>
      <c r="X210" s="93">
        <f>IF(TrRoad_act!X71=0,0,TrRoad_emi!X68/TrRoad_tech!X183)</f>
        <v>2.145490339569383</v>
      </c>
      <c r="Y210" s="93">
        <f>IF(TrRoad_act!Y71=0,0,TrRoad_emi!Y68/TrRoad_tech!Y183)</f>
        <v>2.2843162355697593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1.0959322766694508</v>
      </c>
      <c r="C213" s="150">
        <f>IF(TrRoad_act!C74=0,0,TrRoad_emi!C71/TrRoad_tech!C186)</f>
        <v>1.0827812222646951</v>
      </c>
      <c r="D213" s="150">
        <f>IF(TrRoad_act!D74=0,0,TrRoad_emi!D71/TrRoad_tech!D186)</f>
        <v>1.0770664625762456</v>
      </c>
      <c r="E213" s="150">
        <f>IF(TrRoad_act!E74=0,0,TrRoad_emi!E71/TrRoad_tech!E186)</f>
        <v>1.063006916645026</v>
      </c>
      <c r="F213" s="150">
        <f>IF(TrRoad_act!F74=0,0,TrRoad_emi!F71/TrRoad_tech!F186)</f>
        <v>1.0853179884925837</v>
      </c>
      <c r="G213" s="150">
        <f>IF(TrRoad_act!G74=0,0,TrRoad_emi!G71/TrRoad_tech!G186)</f>
        <v>1.0913267498936257</v>
      </c>
      <c r="H213" s="150">
        <f>IF(TrRoad_act!H74=0,0,TrRoad_emi!H71/TrRoad_tech!H186)</f>
        <v>1.0927816894515996</v>
      </c>
      <c r="I213" s="150">
        <f>IF(TrRoad_act!I74=0,0,TrRoad_emi!I71/TrRoad_tech!I186)</f>
        <v>1.0937510560370267</v>
      </c>
      <c r="J213" s="150">
        <f>IF(TrRoad_act!J74=0,0,TrRoad_emi!J71/TrRoad_tech!J186)</f>
        <v>1.0797933063200931</v>
      </c>
      <c r="K213" s="150">
        <f>IF(TrRoad_act!K74=0,0,TrRoad_emi!K71/TrRoad_tech!K186)</f>
        <v>1.0902142735447282</v>
      </c>
      <c r="L213" s="150">
        <f>IF(TrRoad_act!L74=0,0,TrRoad_emi!L71/TrRoad_tech!L186)</f>
        <v>1.1356865208540012</v>
      </c>
      <c r="M213" s="150">
        <f>IF(TrRoad_act!M74=0,0,TrRoad_emi!M71/TrRoad_tech!M186)</f>
        <v>1.1755865944432589</v>
      </c>
      <c r="N213" s="150">
        <f>IF(TrRoad_act!N74=0,0,TrRoad_emi!N71/TrRoad_tech!N186)</f>
        <v>1.1801539609902059</v>
      </c>
      <c r="O213" s="150">
        <f>IF(TrRoad_act!O74=0,0,TrRoad_emi!O71/TrRoad_tech!O186)</f>
        <v>1.1915282156610296</v>
      </c>
      <c r="P213" s="150">
        <f>IF(TrRoad_act!P74=0,0,TrRoad_emi!P71/TrRoad_tech!P186)</f>
        <v>1.232026677696306</v>
      </c>
      <c r="Q213" s="150">
        <f>IF(TrRoad_act!Q74=0,0,TrRoad_emi!Q71/TrRoad_tech!Q186)</f>
        <v>1.2018683384957933</v>
      </c>
      <c r="R213" s="150">
        <f>IF(TrRoad_act!R74=0,0,TrRoad_emi!R71/TrRoad_tech!R186)</f>
        <v>1.277177809919424</v>
      </c>
      <c r="S213" s="150">
        <f>IF(TrRoad_act!S74=0,0,TrRoad_emi!S71/TrRoad_tech!S186)</f>
        <v>1.2034271164273247</v>
      </c>
      <c r="T213" s="150">
        <f>IF(TrRoad_act!T74=0,0,TrRoad_emi!T71/TrRoad_tech!T186)</f>
        <v>1.2012290795083551</v>
      </c>
      <c r="U213" s="150">
        <f>IF(TrRoad_act!U74=0,0,TrRoad_emi!U71/TrRoad_tech!U186)</f>
        <v>1.1605304000230818</v>
      </c>
      <c r="V213" s="150">
        <f>IF(TrRoad_act!V74=0,0,TrRoad_emi!V71/TrRoad_tech!V186)</f>
        <v>1.1855711706158676</v>
      </c>
      <c r="W213" s="150">
        <f>IF(TrRoad_act!W74=0,0,TrRoad_emi!W71/TrRoad_tech!W186)</f>
        <v>1.1816437048040886</v>
      </c>
      <c r="X213" s="150">
        <f>IF(TrRoad_act!X74=0,0,TrRoad_emi!X71/TrRoad_tech!X186)</f>
        <v>1.1915800976208468</v>
      </c>
      <c r="Y213" s="150">
        <f>IF(TrRoad_act!Y74=0,0,TrRoad_emi!Y71/TrRoad_tech!Y186)</f>
        <v>1.1762487467757541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1.1000420449828374</v>
      </c>
      <c r="D214" s="91">
        <f>IF(TrRoad_act!D75=0,0,TrRoad_emi!D72/TrRoad_tech!D187)</f>
        <v>1.1001565646858427</v>
      </c>
      <c r="E214" s="91">
        <f>IF(TrRoad_act!E75=0,0,TrRoad_emi!E72/TrRoad_tech!E187)</f>
        <v>1.1002237790525309</v>
      </c>
      <c r="F214" s="91">
        <f>IF(TrRoad_act!F75=0,0,TrRoad_emi!F72/TrRoad_tech!F187)</f>
        <v>1.1004013524328407</v>
      </c>
      <c r="G214" s="91">
        <f>IF(TrRoad_act!G75=0,0,TrRoad_emi!G72/TrRoad_tech!G187)</f>
        <v>1.1007532061117005</v>
      </c>
      <c r="H214" s="91">
        <f>IF(TrRoad_act!H75=0,0,TrRoad_emi!H72/TrRoad_tech!H187)</f>
        <v>1.1014890206739656</v>
      </c>
      <c r="I214" s="91">
        <f>IF(TrRoad_act!I75=0,0,TrRoad_emi!I72/TrRoad_tech!I187)</f>
        <v>1.104367596280758</v>
      </c>
      <c r="J214" s="91">
        <f>IF(TrRoad_act!J75=0,0,TrRoad_emi!J72/TrRoad_tech!J187)</f>
        <v>1.0890692296759645</v>
      </c>
      <c r="K214" s="91">
        <f>IF(TrRoad_act!K75=0,0,TrRoad_emi!K72/TrRoad_tech!K187)</f>
        <v>1.0772875129049442</v>
      </c>
      <c r="L214" s="91">
        <f>IF(TrRoad_act!L75=0,0,TrRoad_emi!L72/TrRoad_tech!L187)</f>
        <v>1.0758781727586106</v>
      </c>
      <c r="M214" s="91">
        <f>IF(TrRoad_act!M75=0,0,TrRoad_emi!M72/TrRoad_tech!M187)</f>
        <v>1.0749954651385756</v>
      </c>
      <c r="N214" s="91">
        <f>IF(TrRoad_act!N75=0,0,TrRoad_emi!N72/TrRoad_tech!N187)</f>
        <v>1.0783865005394131</v>
      </c>
      <c r="O214" s="91">
        <f>IF(TrRoad_act!O75=0,0,TrRoad_emi!O72/TrRoad_tech!O187)</f>
        <v>1.0836012456841269</v>
      </c>
      <c r="P214" s="91">
        <f>IF(TrRoad_act!P75=0,0,TrRoad_emi!P72/TrRoad_tech!P187)</f>
        <v>1.0838067651790584</v>
      </c>
      <c r="Q214" s="91">
        <f>IF(TrRoad_act!Q75=0,0,TrRoad_emi!Q72/TrRoad_tech!Q187)</f>
        <v>1.0980228625270974</v>
      </c>
      <c r="R214" s="91">
        <f>IF(TrRoad_act!R75=0,0,TrRoad_emi!R72/TrRoad_tech!R187)</f>
        <v>1.1183532393960307</v>
      </c>
      <c r="S214" s="91">
        <f>IF(TrRoad_act!S75=0,0,TrRoad_emi!S72/TrRoad_tech!S187)</f>
        <v>1.121422778832537</v>
      </c>
      <c r="T214" s="91">
        <f>IF(TrRoad_act!T75=0,0,TrRoad_emi!T72/TrRoad_tech!T187)</f>
        <v>1.1328867488677541</v>
      </c>
      <c r="U214" s="91">
        <f>IF(TrRoad_act!U75=0,0,TrRoad_emi!U72/TrRoad_tech!U187)</f>
        <v>1.1381420937231816</v>
      </c>
      <c r="V214" s="91">
        <f>IF(TrRoad_act!V75=0,0,TrRoad_emi!V72/TrRoad_tech!V187)</f>
        <v>1.1535351945207788</v>
      </c>
      <c r="W214" s="91">
        <f>IF(TrRoad_act!W75=0,0,TrRoad_emi!W72/TrRoad_tech!W187)</f>
        <v>1.1777244301774108</v>
      </c>
      <c r="X214" s="91">
        <f>IF(TrRoad_act!X75=0,0,TrRoad_emi!X72/TrRoad_tech!X187)</f>
        <v>1.1905770267452405</v>
      </c>
      <c r="Y214" s="91">
        <f>IF(TrRoad_act!Y75=0,0,TrRoad_emi!Y72/TrRoad_tech!Y187)</f>
        <v>1.2119756325763613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1.0629591478503471</v>
      </c>
      <c r="C215" s="91">
        <f>IF(TrRoad_act!C76=0,0,TrRoad_emi!C73/TrRoad_tech!C188)</f>
        <v>1.0751951598744429</v>
      </c>
      <c r="D215" s="91">
        <f>IF(TrRoad_act!D76=0,0,TrRoad_emi!D73/TrRoad_tech!D188)</f>
        <v>1.0687978515995802</v>
      </c>
      <c r="E215" s="91">
        <f>IF(TrRoad_act!E76=0,0,TrRoad_emi!E73/TrRoad_tech!E188)</f>
        <v>1.0762040287349177</v>
      </c>
      <c r="F215" s="91">
        <f>IF(TrRoad_act!F76=0,0,TrRoad_emi!F73/TrRoad_tech!F188)</f>
        <v>1.0919606477723445</v>
      </c>
      <c r="G215" s="91">
        <f>IF(TrRoad_act!G76=0,0,TrRoad_emi!G73/TrRoad_tech!G188)</f>
        <v>1.1062060559970956</v>
      </c>
      <c r="H215" s="91">
        <f>IF(TrRoad_act!H76=0,0,TrRoad_emi!H73/TrRoad_tech!H188)</f>
        <v>1.1048875308011048</v>
      </c>
      <c r="I215" s="91">
        <f>IF(TrRoad_act!I76=0,0,TrRoad_emi!I73/TrRoad_tech!I188)</f>
        <v>1.1053848028293429</v>
      </c>
      <c r="J215" s="91">
        <f>IF(TrRoad_act!J76=0,0,TrRoad_emi!J73/TrRoad_tech!J188)</f>
        <v>1.0970691092870994</v>
      </c>
      <c r="K215" s="91">
        <f>IF(TrRoad_act!K76=0,0,TrRoad_emi!K73/TrRoad_tech!K188)</f>
        <v>1.0807681280342878</v>
      </c>
      <c r="L215" s="91">
        <f>IF(TrRoad_act!L76=0,0,TrRoad_emi!L73/TrRoad_tech!L188)</f>
        <v>1.0692558924732207</v>
      </c>
      <c r="M215" s="91">
        <f>IF(TrRoad_act!M76=0,0,TrRoad_emi!M73/TrRoad_tech!M188)</f>
        <v>1.0521212614577082</v>
      </c>
      <c r="N215" s="91">
        <f>IF(TrRoad_act!N76=0,0,TrRoad_emi!N73/TrRoad_tech!N188)</f>
        <v>1.061536664763707</v>
      </c>
      <c r="O215" s="91">
        <f>IF(TrRoad_act!O76=0,0,TrRoad_emi!O73/TrRoad_tech!O188)</f>
        <v>1.0648041378971349</v>
      </c>
      <c r="P215" s="91">
        <f>IF(TrRoad_act!P76=0,0,TrRoad_emi!P73/TrRoad_tech!P188)</f>
        <v>1.064962414053819</v>
      </c>
      <c r="Q215" s="91">
        <f>IF(TrRoad_act!Q76=0,0,TrRoad_emi!Q73/TrRoad_tech!Q188)</f>
        <v>1.080820589987955</v>
      </c>
      <c r="R215" s="91">
        <f>IF(TrRoad_act!R76=0,0,TrRoad_emi!R73/TrRoad_tech!R188)</f>
        <v>1.0942934782123557</v>
      </c>
      <c r="S215" s="91">
        <f>IF(TrRoad_act!S76=0,0,TrRoad_emi!S73/TrRoad_tech!S188)</f>
        <v>1.1047434075094993</v>
      </c>
      <c r="T215" s="91">
        <f>IF(TrRoad_act!T76=0,0,TrRoad_emi!T73/TrRoad_tech!T188)</f>
        <v>1.1186019318143958</v>
      </c>
      <c r="U215" s="91">
        <f>IF(TrRoad_act!U76=0,0,TrRoad_emi!U73/TrRoad_tech!U188)</f>
        <v>1.1253022447004806</v>
      </c>
      <c r="V215" s="91">
        <f>IF(TrRoad_act!V76=0,0,TrRoad_emi!V73/TrRoad_tech!V188)</f>
        <v>1.1207092043800151</v>
      </c>
      <c r="W215" s="91">
        <f>IF(TrRoad_act!W76=0,0,TrRoad_emi!W73/TrRoad_tech!W188)</f>
        <v>1.144954702261225</v>
      </c>
      <c r="X215" s="91">
        <f>IF(TrRoad_act!X76=0,0,TrRoad_emi!X73/TrRoad_tech!X188)</f>
        <v>1.1605626477055973</v>
      </c>
      <c r="Y215" s="91">
        <f>IF(TrRoad_act!Y76=0,0,TrRoad_emi!Y73/TrRoad_tech!Y188)</f>
        <v>1.1752889511291527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1.1000000000067298</v>
      </c>
      <c r="C216" s="91">
        <f>IF(TrRoad_act!C77=0,0,TrRoad_emi!C74/TrRoad_tech!C189)</f>
        <v>1.1000027240436641</v>
      </c>
      <c r="D216" s="91">
        <f>IF(TrRoad_act!D77=0,0,TrRoad_emi!D74/TrRoad_tech!D189)</f>
        <v>1.1000177584148685</v>
      </c>
      <c r="E216" s="91">
        <f>IF(TrRoad_act!E77=0,0,TrRoad_emi!E74/TrRoad_tech!E189)</f>
        <v>1.1000455061862768</v>
      </c>
      <c r="F216" s="91">
        <f>IF(TrRoad_act!F77=0,0,TrRoad_emi!F74/TrRoad_tech!F189)</f>
        <v>1.1001011809459407</v>
      </c>
      <c r="G216" s="91">
        <f>IF(TrRoad_act!G77=0,0,TrRoad_emi!G74/TrRoad_tech!G189)</f>
        <v>1.1001716577652609</v>
      </c>
      <c r="H216" s="91">
        <f>IF(TrRoad_act!H77=0,0,TrRoad_emi!H74/TrRoad_tech!H189)</f>
        <v>1.1008385644746983</v>
      </c>
      <c r="I216" s="91">
        <f>IF(TrRoad_act!I77=0,0,TrRoad_emi!I74/TrRoad_tech!I189)</f>
        <v>1.1022903495085881</v>
      </c>
      <c r="J216" s="91">
        <f>IF(TrRoad_act!J77=0,0,TrRoad_emi!J74/TrRoad_tech!J189)</f>
        <v>1.1031145736787342</v>
      </c>
      <c r="K216" s="91">
        <f>IF(TrRoad_act!K77=0,0,TrRoad_emi!K74/TrRoad_tech!K189)</f>
        <v>1.1058286609033889</v>
      </c>
      <c r="L216" s="91">
        <f>IF(TrRoad_act!L77=0,0,TrRoad_emi!L74/TrRoad_tech!L189)</f>
        <v>1.1074399279442095</v>
      </c>
      <c r="M216" s="91">
        <f>IF(TrRoad_act!M77=0,0,TrRoad_emi!M74/TrRoad_tech!M189)</f>
        <v>1.1120342673738879</v>
      </c>
      <c r="N216" s="91">
        <f>IF(TrRoad_act!N77=0,0,TrRoad_emi!N74/TrRoad_tech!N189)</f>
        <v>1.1218561929073358</v>
      </c>
      <c r="O216" s="91">
        <f>IF(TrRoad_act!O77=0,0,TrRoad_emi!O74/TrRoad_tech!O189)</f>
        <v>1.1291507673722865</v>
      </c>
      <c r="P216" s="91">
        <f>IF(TrRoad_act!P77=0,0,TrRoad_emi!P74/TrRoad_tech!P189)</f>
        <v>1.1408963233570713</v>
      </c>
      <c r="Q216" s="91">
        <f>IF(TrRoad_act!Q77=0,0,TrRoad_emi!Q74/TrRoad_tech!Q189)</f>
        <v>1.1474330020686545</v>
      </c>
      <c r="R216" s="91">
        <f>IF(TrRoad_act!R77=0,0,TrRoad_emi!R74/TrRoad_tech!R189)</f>
        <v>1.1595006261451941</v>
      </c>
      <c r="S216" s="91">
        <f>IF(TrRoad_act!S77=0,0,TrRoad_emi!S74/TrRoad_tech!S189)</f>
        <v>1.1656360688738934</v>
      </c>
      <c r="T216" s="91">
        <f>IF(TrRoad_act!T77=0,0,TrRoad_emi!T74/TrRoad_tech!T189)</f>
        <v>1.173802419782584</v>
      </c>
      <c r="U216" s="91">
        <f>IF(TrRoad_act!U77=0,0,TrRoad_emi!U74/TrRoad_tech!U189)</f>
        <v>1.179737376949936</v>
      </c>
      <c r="V216" s="91">
        <f>IF(TrRoad_act!V77=0,0,TrRoad_emi!V74/TrRoad_tech!V189)</f>
        <v>1.185106802970787</v>
      </c>
      <c r="W216" s="91">
        <f>IF(TrRoad_act!W77=0,0,TrRoad_emi!W74/TrRoad_tech!W189)</f>
        <v>1.1907982293911294</v>
      </c>
      <c r="X216" s="91">
        <f>IF(TrRoad_act!X77=0,0,TrRoad_emi!X74/TrRoad_tech!X189)</f>
        <v>1.1970401370479511</v>
      </c>
      <c r="Y216" s="91">
        <f>IF(TrRoad_act!Y77=0,0,TrRoad_emi!Y74/TrRoad_tech!Y189)</f>
        <v>1.2045998325389951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1.2360000000066975</v>
      </c>
      <c r="O217" s="91">
        <f>IF(TrRoad_act!O78=0,0,TrRoad_emi!O75/TrRoad_tech!O190)</f>
        <v>1.2451293605423444</v>
      </c>
      <c r="P217" s="91">
        <f>IF(TrRoad_act!P78=0,0,TrRoad_emi!P75/TrRoad_tech!P190)</f>
        <v>1.2641992995949058</v>
      </c>
      <c r="Q217" s="91">
        <f>IF(TrRoad_act!Q78=0,0,TrRoad_emi!Q75/TrRoad_tech!Q190)</f>
        <v>1.2846958137207234</v>
      </c>
      <c r="R217" s="91">
        <f>IF(TrRoad_act!R78=0,0,TrRoad_emi!R75/TrRoad_tech!R190)</f>
        <v>1.2982086000568906</v>
      </c>
      <c r="S217" s="91">
        <f>IF(TrRoad_act!S78=0,0,TrRoad_emi!S75/TrRoad_tech!S190)</f>
        <v>1.3061833152658877</v>
      </c>
      <c r="T217" s="91">
        <f>IF(TrRoad_act!T78=0,0,TrRoad_emi!T75/TrRoad_tech!T190)</f>
        <v>1.3118545141278637</v>
      </c>
      <c r="U217" s="91">
        <f>IF(TrRoad_act!U78=0,0,TrRoad_emi!U75/TrRoad_tech!U190)</f>
        <v>1.3169635871602421</v>
      </c>
      <c r="V217" s="91">
        <f>IF(TrRoad_act!V78=0,0,TrRoad_emi!V75/TrRoad_tech!V190)</f>
        <v>1.3209106308532979</v>
      </c>
      <c r="W217" s="91">
        <f>IF(TrRoad_act!W78=0,0,TrRoad_emi!W75/TrRoad_tech!W190)</f>
        <v>1.323247218239026</v>
      </c>
      <c r="X217" s="91">
        <f>IF(TrRoad_act!X78=0,0,TrRoad_emi!X75/TrRoad_tech!X190)</f>
        <v>1.3234715874402676</v>
      </c>
      <c r="Y217" s="91">
        <f>IF(TrRoad_act!Y78=0,0,TrRoad_emi!Y75/TrRoad_tech!Y190)</f>
        <v>1.3224570422271045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1.2151318029196991</v>
      </c>
      <c r="C219" s="151">
        <f>IF(TrRoad_act!C80=0,0,TrRoad_emi!C77/TrRoad_tech!C192)</f>
        <v>1.1904662116202813</v>
      </c>
      <c r="D219" s="151">
        <f>IF(TrRoad_act!D80=0,0,TrRoad_emi!D77/TrRoad_tech!D192)</f>
        <v>1.1704401233644506</v>
      </c>
      <c r="E219" s="151">
        <f>IF(TrRoad_act!E80=0,0,TrRoad_emi!E77/TrRoad_tech!E192)</f>
        <v>1.2623000369659025</v>
      </c>
      <c r="F219" s="151">
        <f>IF(TrRoad_act!F80=0,0,TrRoad_emi!F77/TrRoad_tech!F192)</f>
        <v>1.2550502870293878</v>
      </c>
      <c r="G219" s="151">
        <f>IF(TrRoad_act!G80=0,0,TrRoad_emi!G77/TrRoad_tech!G192)</f>
        <v>1.320821291631731</v>
      </c>
      <c r="H219" s="151">
        <f>IF(TrRoad_act!H80=0,0,TrRoad_emi!H77/TrRoad_tech!H192)</f>
        <v>1.4300020086840743</v>
      </c>
      <c r="I219" s="151">
        <f>IF(TrRoad_act!I80=0,0,TrRoad_emi!I77/TrRoad_tech!I192)</f>
        <v>1.535478996389438</v>
      </c>
      <c r="J219" s="151">
        <f>IF(TrRoad_act!J80=0,0,TrRoad_emi!J77/TrRoad_tech!J192)</f>
        <v>1.5341012916335186</v>
      </c>
      <c r="K219" s="151">
        <f>IF(TrRoad_act!K80=0,0,TrRoad_emi!K77/TrRoad_tech!K192)</f>
        <v>1.6058139400299345</v>
      </c>
      <c r="L219" s="151">
        <f>IF(TrRoad_act!L80=0,0,TrRoad_emi!L77/TrRoad_tech!L192)</f>
        <v>1.4412043059019513</v>
      </c>
      <c r="M219" s="151">
        <f>IF(TrRoad_act!M80=0,0,TrRoad_emi!M77/TrRoad_tech!M192)</f>
        <v>1.3991987418657807</v>
      </c>
      <c r="N219" s="151">
        <f>IF(TrRoad_act!N80=0,0,TrRoad_emi!N77/TrRoad_tech!N192)</f>
        <v>1.4385360923850838</v>
      </c>
      <c r="O219" s="151">
        <f>IF(TrRoad_act!O80=0,0,TrRoad_emi!O77/TrRoad_tech!O192)</f>
        <v>1.30064103862313</v>
      </c>
      <c r="P219" s="151">
        <f>IF(TrRoad_act!P80=0,0,TrRoad_emi!P77/TrRoad_tech!P192)</f>
        <v>1.317607663735828</v>
      </c>
      <c r="Q219" s="151">
        <f>IF(TrRoad_act!Q80=0,0,TrRoad_emi!Q77/TrRoad_tech!Q192)</f>
        <v>1.2895791380928314</v>
      </c>
      <c r="R219" s="151">
        <f>IF(TrRoad_act!R80=0,0,TrRoad_emi!R77/TrRoad_tech!R192)</f>
        <v>1.4150169228508629</v>
      </c>
      <c r="S219" s="151">
        <f>IF(TrRoad_act!S80=0,0,TrRoad_emi!S77/TrRoad_tech!S192)</f>
        <v>1.4312597847077821</v>
      </c>
      <c r="T219" s="151">
        <f>IF(TrRoad_act!T80=0,0,TrRoad_emi!T77/TrRoad_tech!T192)</f>
        <v>1.4419044484571635</v>
      </c>
      <c r="U219" s="151">
        <f>IF(TrRoad_act!U80=0,0,TrRoad_emi!U77/TrRoad_tech!U192)</f>
        <v>1.4261737959347256</v>
      </c>
      <c r="V219" s="151">
        <f>IF(TrRoad_act!V80=0,0,TrRoad_emi!V77/TrRoad_tech!V192)</f>
        <v>1.2238361393718753</v>
      </c>
      <c r="W219" s="151">
        <f>IF(TrRoad_act!W80=0,0,TrRoad_emi!W77/TrRoad_tech!W192)</f>
        <v>1.3306539417463263</v>
      </c>
      <c r="X219" s="151">
        <f>IF(TrRoad_act!X80=0,0,TrRoad_emi!X77/TrRoad_tech!X192)</f>
        <v>1.3771393494645765</v>
      </c>
      <c r="Y219" s="151">
        <f>IF(TrRoad_act!Y80=0,0,TrRoad_emi!Y77/TrRoad_tech!Y192)</f>
        <v>1.4272818171031398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1.1430956185949377</v>
      </c>
      <c r="C220" s="93">
        <f>IF(TrRoad_act!C81=0,0,TrRoad_emi!C78/TrRoad_tech!C193)</f>
        <v>1.1533145150911577</v>
      </c>
      <c r="D220" s="93">
        <f>IF(TrRoad_act!D81=0,0,TrRoad_emi!D78/TrRoad_tech!D193)</f>
        <v>1.1457473244432277</v>
      </c>
      <c r="E220" s="93">
        <f>IF(TrRoad_act!E81=0,0,TrRoad_emi!E78/TrRoad_tech!E193)</f>
        <v>1.1623475673104013</v>
      </c>
      <c r="F220" s="93">
        <f>IF(TrRoad_act!F81=0,0,TrRoad_emi!F78/TrRoad_tech!F193)</f>
        <v>1.1756745233938553</v>
      </c>
      <c r="G220" s="93">
        <f>IF(TrRoad_act!G81=0,0,TrRoad_emi!G78/TrRoad_tech!G193)</f>
        <v>1.1962758444124237</v>
      </c>
      <c r="H220" s="93">
        <f>IF(TrRoad_act!H81=0,0,TrRoad_emi!H78/TrRoad_tech!H193)</f>
        <v>1.2064081932992212</v>
      </c>
      <c r="I220" s="93">
        <f>IF(TrRoad_act!I81=0,0,TrRoad_emi!I78/TrRoad_tech!I193)</f>
        <v>1.2179746432868668</v>
      </c>
      <c r="J220" s="93">
        <f>IF(TrRoad_act!J81=0,0,TrRoad_emi!J78/TrRoad_tech!J193)</f>
        <v>1.2095917690585487</v>
      </c>
      <c r="K220" s="93">
        <f>IF(TrRoad_act!K81=0,0,TrRoad_emi!K78/TrRoad_tech!K193)</f>
        <v>1.1996682746653204</v>
      </c>
      <c r="L220" s="93">
        <f>IF(TrRoad_act!L81=0,0,TrRoad_emi!L78/TrRoad_tech!L193)</f>
        <v>1.177209594837096</v>
      </c>
      <c r="M220" s="93">
        <f>IF(TrRoad_act!M81=0,0,TrRoad_emi!M78/TrRoad_tech!M193)</f>
        <v>1.1631270004024574</v>
      </c>
      <c r="N220" s="93">
        <f>IF(TrRoad_act!N81=0,0,TrRoad_emi!N78/TrRoad_tech!N193)</f>
        <v>1.1861935157095889</v>
      </c>
      <c r="O220" s="93">
        <f>IF(TrRoad_act!O81=0,0,TrRoad_emi!O78/TrRoad_tech!O193)</f>
        <v>1.184143487777108</v>
      </c>
      <c r="P220" s="93">
        <f>IF(TrRoad_act!P81=0,0,TrRoad_emi!P78/TrRoad_tech!P193)</f>
        <v>1.1932629759634952</v>
      </c>
      <c r="Q220" s="93">
        <f>IF(TrRoad_act!Q81=0,0,TrRoad_emi!Q78/TrRoad_tech!Q193)</f>
        <v>1.2165622253876049</v>
      </c>
      <c r="R220" s="93">
        <f>IF(TrRoad_act!R81=0,0,TrRoad_emi!R78/TrRoad_tech!R193)</f>
        <v>1.2389349402941168</v>
      </c>
      <c r="S220" s="93">
        <f>IF(TrRoad_act!S81=0,0,TrRoad_emi!S78/TrRoad_tech!S193)</f>
        <v>1.2534603815022134</v>
      </c>
      <c r="T220" s="93">
        <f>IF(TrRoad_act!T81=0,0,TrRoad_emi!T78/TrRoad_tech!T193)</f>
        <v>1.2682119299026813</v>
      </c>
      <c r="U220" s="93">
        <f>IF(TrRoad_act!U81=0,0,TrRoad_emi!U78/TrRoad_tech!U193)</f>
        <v>1.2779479307364185</v>
      </c>
      <c r="V220" s="93">
        <f>IF(TrRoad_act!V81=0,0,TrRoad_emi!V78/TrRoad_tech!V193)</f>
        <v>1.2698955648001908</v>
      </c>
      <c r="W220" s="93">
        <f>IF(TrRoad_act!W81=0,0,TrRoad_emi!W78/TrRoad_tech!W193)</f>
        <v>1.3111644147918395</v>
      </c>
      <c r="X220" s="93">
        <f>IF(TrRoad_act!X81=0,0,TrRoad_emi!X78/TrRoad_tech!X193)</f>
        <v>1.3427359951724147</v>
      </c>
      <c r="Y220" s="93">
        <f>IF(TrRoad_act!Y81=0,0,TrRoad_emi!Y78/TrRoad_tech!Y193)</f>
        <v>1.372823725247283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1.2810663018241495</v>
      </c>
      <c r="C221" s="94">
        <f>IF(TrRoad_act!C82=0,0,TrRoad_emi!C79/TrRoad_tech!C194)</f>
        <v>1.2370797494426462</v>
      </c>
      <c r="D221" s="94">
        <f>IF(TrRoad_act!D82=0,0,TrRoad_emi!D79/TrRoad_tech!D194)</f>
        <v>1.2239285541539044</v>
      </c>
      <c r="E221" s="94">
        <f>IF(TrRoad_act!E82=0,0,TrRoad_emi!E79/TrRoad_tech!E194)</f>
        <v>1.5079250223746754</v>
      </c>
      <c r="F221" s="94">
        <f>IF(TrRoad_act!F82=0,0,TrRoad_emi!F79/TrRoad_tech!F194)</f>
        <v>1.4642086646024755</v>
      </c>
      <c r="G221" s="94">
        <f>IF(TrRoad_act!G82=0,0,TrRoad_emi!G79/TrRoad_tech!G194)</f>
        <v>1.6757605066395616</v>
      </c>
      <c r="H221" s="94">
        <f>IF(TrRoad_act!H82=0,0,TrRoad_emi!H79/TrRoad_tech!H194)</f>
        <v>1.9439244879849513</v>
      </c>
      <c r="I221" s="94">
        <f>IF(TrRoad_act!I82=0,0,TrRoad_emi!I79/TrRoad_tech!I194)</f>
        <v>2.1931970393953222</v>
      </c>
      <c r="J221" s="94">
        <f>IF(TrRoad_act!J82=0,0,TrRoad_emi!J79/TrRoad_tech!J194)</f>
        <v>2.2110544811699127</v>
      </c>
      <c r="K221" s="94">
        <f>IF(TrRoad_act!K82=0,0,TrRoad_emi!K79/TrRoad_tech!K194)</f>
        <v>2.3136004889554189</v>
      </c>
      <c r="L221" s="94">
        <f>IF(TrRoad_act!L82=0,0,TrRoad_emi!L79/TrRoad_tech!L194)</f>
        <v>1.8960429094685267</v>
      </c>
      <c r="M221" s="94">
        <f>IF(TrRoad_act!M82=0,0,TrRoad_emi!M79/TrRoad_tech!M194)</f>
        <v>1.7876515130405781</v>
      </c>
      <c r="N221" s="94">
        <f>IF(TrRoad_act!N82=0,0,TrRoad_emi!N79/TrRoad_tech!N194)</f>
        <v>1.8137119911680262</v>
      </c>
      <c r="O221" s="94">
        <f>IF(TrRoad_act!O82=0,0,TrRoad_emi!O79/TrRoad_tech!O194)</f>
        <v>1.4879439676305917</v>
      </c>
      <c r="P221" s="94">
        <f>IF(TrRoad_act!P82=0,0,TrRoad_emi!P79/TrRoad_tech!P194)</f>
        <v>1.5365356309180775</v>
      </c>
      <c r="Q221" s="94">
        <f>IF(TrRoad_act!Q82=0,0,TrRoad_emi!Q79/TrRoad_tech!Q194)</f>
        <v>1.4647769791402192</v>
      </c>
      <c r="R221" s="94">
        <f>IF(TrRoad_act!R82=0,0,TrRoad_emi!R79/TrRoad_tech!R194)</f>
        <v>1.7604486446434842</v>
      </c>
      <c r="S221" s="94">
        <f>IF(TrRoad_act!S82=0,0,TrRoad_emi!S79/TrRoad_tech!S194)</f>
        <v>1.7990201516402184</v>
      </c>
      <c r="T221" s="94">
        <f>IF(TrRoad_act!T82=0,0,TrRoad_emi!T79/TrRoad_tech!T194)</f>
        <v>1.8431605072815349</v>
      </c>
      <c r="U221" s="94">
        <f>IF(TrRoad_act!U82=0,0,TrRoad_emi!U79/TrRoad_tech!U194)</f>
        <v>1.7717159985586206</v>
      </c>
      <c r="V221" s="94">
        <f>IF(TrRoad_act!V82=0,0,TrRoad_emi!V79/TrRoad_tech!V194)</f>
        <v>1.2305462259779725</v>
      </c>
      <c r="W221" s="94">
        <f>IF(TrRoad_act!W82=0,0,TrRoad_emi!W79/TrRoad_tech!W194)</f>
        <v>1.4745419724190567</v>
      </c>
      <c r="X221" s="94">
        <f>IF(TrRoad_act!X82=0,0,TrRoad_emi!X79/TrRoad_tech!X194)</f>
        <v>1.5286227769132645</v>
      </c>
      <c r="Y221" s="94">
        <f>IF(TrRoad_act!Y82=0,0,TrRoad_emi!Y79/TrRoad_tech!Y194)</f>
        <v>1.6156614199526107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99.687298425414767</v>
      </c>
      <c r="C225" s="152">
        <v>99.144591773105645</v>
      </c>
      <c r="D225" s="152">
        <v>98.545048888042174</v>
      </c>
      <c r="E225" s="152">
        <v>97.311585658909365</v>
      </c>
      <c r="F225" s="152">
        <v>97.176826019606139</v>
      </c>
      <c r="G225" s="152">
        <v>98.695213926162452</v>
      </c>
      <c r="H225" s="152">
        <v>97.708261786900835</v>
      </c>
      <c r="I225" s="152">
        <v>96.721309647639217</v>
      </c>
      <c r="J225" s="152">
        <v>95.233289499213981</v>
      </c>
      <c r="K225" s="152">
        <v>89.991376576481215</v>
      </c>
      <c r="L225" s="152">
        <v>86.718341018201841</v>
      </c>
      <c r="M225" s="152">
        <v>84.381653536569388</v>
      </c>
      <c r="N225" s="152">
        <v>81.753743731224162</v>
      </c>
      <c r="O225" s="152">
        <v>78.37069752520587</v>
      </c>
      <c r="P225" s="152">
        <v>77.060642659939916</v>
      </c>
      <c r="Q225" s="152">
        <v>74.948213882559401</v>
      </c>
      <c r="R225" s="152">
        <v>73.394850564524674</v>
      </c>
      <c r="S225" s="152">
        <v>72.152159910096898</v>
      </c>
      <c r="T225" s="152">
        <v>71.158007386554672</v>
      </c>
      <c r="U225" s="152">
        <v>70.362685367720886</v>
      </c>
      <c r="V225" s="152">
        <v>69.726427752653862</v>
      </c>
      <c r="W225" s="152">
        <v>69.217421660600237</v>
      </c>
      <c r="X225" s="152">
        <v>68.810216786957355</v>
      </c>
      <c r="Y225" s="152">
        <v>68.484452888043037</v>
      </c>
      <c r="DA225" s="174" t="s">
        <v>933</v>
      </c>
    </row>
    <row r="226" spans="1:105" ht="11.45" customHeight="1" x14ac:dyDescent="0.25">
      <c r="A226" s="109" t="s">
        <v>20</v>
      </c>
      <c r="B226" s="116">
        <v>195.8675878331411</v>
      </c>
      <c r="C226" s="116">
        <v>196.49080967040422</v>
      </c>
      <c r="D226" s="116">
        <v>195.81188594955984</v>
      </c>
      <c r="E226" s="116">
        <v>194.7019827822742</v>
      </c>
      <c r="F226" s="116">
        <v>194.21637972955085</v>
      </c>
      <c r="G226" s="116">
        <v>197.14824149910456</v>
      </c>
      <c r="H226" s="116">
        <v>198.91558146711273</v>
      </c>
      <c r="I226" s="116">
        <v>199.05395133897918</v>
      </c>
      <c r="J226" s="116">
        <v>197.96338371275149</v>
      </c>
      <c r="K226" s="116">
        <v>189.45184859519716</v>
      </c>
      <c r="L226" s="116">
        <v>181.49118088150053</v>
      </c>
      <c r="M226" s="116">
        <v>177.67971088974051</v>
      </c>
      <c r="N226" s="116">
        <v>172.81539412703532</v>
      </c>
      <c r="O226" s="116">
        <v>164.93101325013163</v>
      </c>
      <c r="P226" s="116">
        <v>160.02583451489096</v>
      </c>
      <c r="Q226" s="116">
        <v>153.65841542877587</v>
      </c>
      <c r="R226" s="116">
        <v>146.59527102394864</v>
      </c>
      <c r="S226" s="116">
        <v>150.78711459970103</v>
      </c>
      <c r="T226" s="116">
        <v>154.11688892992387</v>
      </c>
      <c r="U226" s="116">
        <v>154.71402010180131</v>
      </c>
      <c r="V226" s="116">
        <v>148.12325387647061</v>
      </c>
      <c r="W226" s="116">
        <v>143.13540499233375</v>
      </c>
      <c r="X226" s="116">
        <v>143.95133415523813</v>
      </c>
      <c r="Y226" s="116">
        <v>142.61960588201225</v>
      </c>
      <c r="DA226" s="176" t="s">
        <v>934</v>
      </c>
    </row>
    <row r="227" spans="1:105" ht="11.45" customHeight="1" x14ac:dyDescent="0.25">
      <c r="A227" s="111" t="s">
        <v>110</v>
      </c>
      <c r="B227" s="87">
        <v>194.588980483634</v>
      </c>
      <c r="C227" s="87">
        <v>194.65949124551605</v>
      </c>
      <c r="D227" s="87">
        <v>193.48235479360139</v>
      </c>
      <c r="E227" s="87">
        <v>191.06058553358434</v>
      </c>
      <c r="F227" s="87">
        <v>190.79599981732832</v>
      </c>
      <c r="G227" s="87">
        <v>193.77718731447408</v>
      </c>
      <c r="H227" s="87">
        <v>193.77718731447408</v>
      </c>
      <c r="I227" s="87">
        <v>193.77718731447408</v>
      </c>
      <c r="J227" s="87">
        <v>190.79599981732832</v>
      </c>
      <c r="K227" s="87">
        <v>180.29404170680405</v>
      </c>
      <c r="L227" s="87">
        <v>173.72525316997445</v>
      </c>
      <c r="M227" s="87">
        <v>168.98084379144109</v>
      </c>
      <c r="N227" s="87">
        <v>163.64377548462954</v>
      </c>
      <c r="O227" s="87">
        <v>156.98531162070631</v>
      </c>
      <c r="P227" s="87">
        <v>154.42609715661644</v>
      </c>
      <c r="Q227" s="87">
        <v>148.70263001510466</v>
      </c>
      <c r="R227" s="87">
        <v>144.95673944800126</v>
      </c>
      <c r="S227" s="87">
        <v>146.19497466736709</v>
      </c>
      <c r="T227" s="87">
        <v>146.74197435897429</v>
      </c>
      <c r="U227" s="87">
        <v>147.5783637046236</v>
      </c>
      <c r="V227" s="87">
        <v>142.94969655892359</v>
      </c>
      <c r="W227" s="87">
        <v>138.41444893954369</v>
      </c>
      <c r="X227" s="87">
        <v>139.48933235602419</v>
      </c>
      <c r="Y227" s="87">
        <v>139.42147419440971</v>
      </c>
      <c r="DA227" s="171" t="s">
        <v>935</v>
      </c>
    </row>
    <row r="228" spans="1:105" ht="11.45" customHeight="1" x14ac:dyDescent="0.25">
      <c r="A228" s="111" t="s">
        <v>111</v>
      </c>
      <c r="B228" s="87">
        <v>197.06022249217355</v>
      </c>
      <c r="C228" s="87">
        <v>198.14925941345251</v>
      </c>
      <c r="D228" s="87">
        <v>198.03988099491161</v>
      </c>
      <c r="E228" s="87">
        <v>198.49106697139257</v>
      </c>
      <c r="F228" s="87">
        <v>197.18194402448202</v>
      </c>
      <c r="G228" s="87">
        <v>200.37826438280715</v>
      </c>
      <c r="H228" s="87">
        <v>203.69658170137365</v>
      </c>
      <c r="I228" s="87">
        <v>204.04863007235602</v>
      </c>
      <c r="J228" s="87">
        <v>207.18220913684269</v>
      </c>
      <c r="K228" s="87">
        <v>199.0403830499105</v>
      </c>
      <c r="L228" s="87">
        <v>191.39496391146574</v>
      </c>
      <c r="M228" s="87">
        <v>185.20438599472214</v>
      </c>
      <c r="N228" s="87">
        <v>181.59656366185678</v>
      </c>
      <c r="O228" s="87">
        <v>173.05701930669323</v>
      </c>
      <c r="P228" s="87">
        <v>168.65506167630917</v>
      </c>
      <c r="Q228" s="87">
        <v>161.35988162375193</v>
      </c>
      <c r="R228" s="87">
        <v>151.10717247508254</v>
      </c>
      <c r="S228" s="87">
        <v>158.62095742818406</v>
      </c>
      <c r="T228" s="87">
        <v>165.96754208754211</v>
      </c>
      <c r="U228" s="87">
        <v>166.50174761000369</v>
      </c>
      <c r="V228" s="87">
        <v>160.62757990867581</v>
      </c>
      <c r="W228" s="87">
        <v>156.17967920745369</v>
      </c>
      <c r="X228" s="87">
        <v>155.10614979557761</v>
      </c>
      <c r="Y228" s="87">
        <v>155.89730854909979</v>
      </c>
      <c r="DA228" s="171" t="s">
        <v>936</v>
      </c>
    </row>
    <row r="229" spans="1:105" ht="11.45" customHeight="1" x14ac:dyDescent="0.25">
      <c r="A229" s="111" t="s">
        <v>112</v>
      </c>
      <c r="B229" s="87">
        <v>205.42418910202781</v>
      </c>
      <c r="C229" s="87">
        <v>211.07294330201748</v>
      </c>
      <c r="D229" s="87">
        <v>210.95643100818663</v>
      </c>
      <c r="E229" s="87">
        <v>211.43704422023859</v>
      </c>
      <c r="F229" s="87">
        <v>210.04253770345139</v>
      </c>
      <c r="G229" s="87">
        <v>213.44732835351442</v>
      </c>
      <c r="H229" s="87">
        <v>216.9820728451829</v>
      </c>
      <c r="I229" s="87">
        <v>217.35708250238724</v>
      </c>
      <c r="J229" s="87">
        <v>220.69503974819608</v>
      </c>
      <c r="K229" s="87">
        <v>212.02218777232213</v>
      </c>
      <c r="L229" s="87">
        <v>203.87811938112043</v>
      </c>
      <c r="M229" s="87">
        <v>213.22758087862306</v>
      </c>
      <c r="N229" s="87">
        <v>174.32320822764615</v>
      </c>
      <c r="O229" s="87">
        <v>155.59146981244618</v>
      </c>
      <c r="P229" s="87">
        <v>155.08804241661733</v>
      </c>
      <c r="Q229" s="87">
        <v>153.24981882692785</v>
      </c>
      <c r="R229" s="87">
        <v>125.50100683813579</v>
      </c>
      <c r="S229" s="87">
        <v>157.63964611085163</v>
      </c>
      <c r="T229" s="87">
        <v>158.03571428571431</v>
      </c>
      <c r="U229" s="87">
        <v>140.70833333333329</v>
      </c>
      <c r="V229" s="87">
        <v>125.2920908379013</v>
      </c>
      <c r="W229" s="87">
        <v>121.11519716437751</v>
      </c>
      <c r="X229" s="87">
        <v>118.58564931783729</v>
      </c>
      <c r="Y229" s="87">
        <v>118.72166714244931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175.1582779153546</v>
      </c>
      <c r="K230" s="87">
        <v>180.60547439137525</v>
      </c>
      <c r="L230" s="87">
        <v>161.23989383681541</v>
      </c>
      <c r="M230" s="87">
        <v>173.12547054762172</v>
      </c>
      <c r="N230" s="87">
        <v>147.74555236657059</v>
      </c>
      <c r="O230" s="87">
        <v>132.07342505989465</v>
      </c>
      <c r="P230" s="87">
        <v>117.5691077641707</v>
      </c>
      <c r="Q230" s="87">
        <v>113.36492418963182</v>
      </c>
      <c r="R230" s="87">
        <v>117.33102607481132</v>
      </c>
      <c r="S230" s="87">
        <v>116.95041590475429</v>
      </c>
      <c r="T230" s="87">
        <v>123.83999999999999</v>
      </c>
      <c r="U230" s="87">
        <v>115.7603399433428</v>
      </c>
      <c r="V230" s="87">
        <v>113.0195160031226</v>
      </c>
      <c r="W230" s="87">
        <v>104.75507765830351</v>
      </c>
      <c r="X230" s="87">
        <v>102.9839108910891</v>
      </c>
      <c r="Y230" s="87">
        <v>104.9013157894737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46.091990027446421</v>
      </c>
      <c r="O231" s="87">
        <v>51.168396466760939</v>
      </c>
      <c r="P231" s="87">
        <v>28.414207672220083</v>
      </c>
      <c r="Q231" s="87">
        <v>70.741738173258128</v>
      </c>
      <c r="R231" s="87">
        <v>34.756139870206134</v>
      </c>
      <c r="S231" s="87">
        <v>61.546535216042635</v>
      </c>
      <c r="T231" s="87">
        <v>48.034067408801292</v>
      </c>
      <c r="U231" s="87">
        <v>46.702770780856433</v>
      </c>
      <c r="V231" s="87">
        <v>43.689655172413786</v>
      </c>
      <c r="W231" s="87">
        <v>34.083158839365836</v>
      </c>
      <c r="X231" s="87">
        <v>33.504376697856927</v>
      </c>
      <c r="Y231" s="87">
        <v>31.719568002928789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1437.1260419666373</v>
      </c>
      <c r="C233" s="116">
        <v>1409.4021544375807</v>
      </c>
      <c r="D233" s="116">
        <v>1238.826082484575</v>
      </c>
      <c r="E233" s="116">
        <v>1385.4157564679388</v>
      </c>
      <c r="F233" s="116">
        <v>1417.7619464339898</v>
      </c>
      <c r="G233" s="116">
        <v>1422.2662756596981</v>
      </c>
      <c r="H233" s="116">
        <v>1392.0079572446123</v>
      </c>
      <c r="I233" s="116">
        <v>1433.4738136144972</v>
      </c>
      <c r="J233" s="116">
        <v>1427.8960944953744</v>
      </c>
      <c r="K233" s="116">
        <v>1407.4011467041619</v>
      </c>
      <c r="L233" s="116">
        <v>1391.5301146037796</v>
      </c>
      <c r="M233" s="116">
        <v>1384.6593367480871</v>
      </c>
      <c r="N233" s="116">
        <v>1364.4027061172258</v>
      </c>
      <c r="O233" s="116">
        <v>1347.6530682661314</v>
      </c>
      <c r="P233" s="116">
        <v>1198.5586449010693</v>
      </c>
      <c r="Q233" s="116">
        <v>1090.7278718485884</v>
      </c>
      <c r="R233" s="116">
        <v>1182.1780223791561</v>
      </c>
      <c r="S233" s="116">
        <v>1016.7051395377528</v>
      </c>
      <c r="T233" s="116">
        <v>1083.9756436275397</v>
      </c>
      <c r="U233" s="116">
        <v>1111.1733338325837</v>
      </c>
      <c r="V233" s="116">
        <v>1100.6414021330295</v>
      </c>
      <c r="W233" s="116">
        <v>1098.9418789697891</v>
      </c>
      <c r="X233" s="116">
        <v>980.4592685695543</v>
      </c>
      <c r="Y233" s="116">
        <v>952.62512963774805</v>
      </c>
      <c r="DA233" s="176" t="s">
        <v>941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X234" s="101">
        <v>0</v>
      </c>
      <c r="Y234" s="101">
        <v>0</v>
      </c>
      <c r="DA234" s="175" t="s">
        <v>942</v>
      </c>
    </row>
    <row r="235" spans="1:105" ht="11.45" customHeight="1" x14ac:dyDescent="0.25">
      <c r="A235" s="111" t="s">
        <v>111</v>
      </c>
      <c r="B235" s="101">
        <v>1437.1260419666373</v>
      </c>
      <c r="C235" s="101">
        <v>1435.1616155668287</v>
      </c>
      <c r="D235" s="101">
        <v>1432.9820687163865</v>
      </c>
      <c r="E235" s="101">
        <v>1428.4555076414704</v>
      </c>
      <c r="F235" s="101">
        <v>1427.960452792903</v>
      </c>
      <c r="G235" s="101">
        <v>1433.4738136144972</v>
      </c>
      <c r="H235" s="101">
        <v>1433.4738136144972</v>
      </c>
      <c r="I235" s="101">
        <v>1433.4738136144972</v>
      </c>
      <c r="J235" s="101">
        <v>1427.8960944953744</v>
      </c>
      <c r="K235" s="101">
        <v>1407.4011467041619</v>
      </c>
      <c r="L235" s="101">
        <v>1394.2452953152015</v>
      </c>
      <c r="M235" s="101">
        <v>1384.6593367480871</v>
      </c>
      <c r="N235" s="101">
        <v>1373.6208462583536</v>
      </c>
      <c r="O235" s="101">
        <v>1358.9552614587922</v>
      </c>
      <c r="P235" s="101">
        <v>1353.2040391939242</v>
      </c>
      <c r="Q235" s="101">
        <v>1340.2449215971562</v>
      </c>
      <c r="R235" s="101">
        <v>1318.058356208277</v>
      </c>
      <c r="S235" s="101">
        <v>1288.0174077343827</v>
      </c>
      <c r="T235" s="101">
        <v>1251.4738785342479</v>
      </c>
      <c r="U235" s="101">
        <v>1209.7162437608397</v>
      </c>
      <c r="V235" s="101">
        <v>1163.9403800005045</v>
      </c>
      <c r="W235" s="101">
        <v>1115.2311926566865</v>
      </c>
      <c r="X235" s="101">
        <v>1064.5531164341353</v>
      </c>
      <c r="Y235" s="101">
        <v>1012.7475301533948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900.03840657891601</v>
      </c>
      <c r="W236" s="101">
        <v>0</v>
      </c>
      <c r="X236" s="101">
        <v>0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905.44946731105597</v>
      </c>
      <c r="D237" s="101">
        <v>904.07438208489975</v>
      </c>
      <c r="E237" s="101">
        <v>901.2185557657051</v>
      </c>
      <c r="F237" s="101">
        <v>900.90622359066424</v>
      </c>
      <c r="G237" s="101">
        <v>904.3846259983502</v>
      </c>
      <c r="H237" s="101">
        <v>904.3846259983502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866.6231384963296</v>
      </c>
      <c r="O237" s="101">
        <v>857.37055969228788</v>
      </c>
      <c r="P237" s="101">
        <v>853.7420895049388</v>
      </c>
      <c r="Q237" s="101">
        <v>845.56612799820584</v>
      </c>
      <c r="R237" s="101">
        <v>839.85748412983526</v>
      </c>
      <c r="S237" s="101">
        <v>835.61436316867037</v>
      </c>
      <c r="T237" s="101">
        <v>832.24570853731939</v>
      </c>
      <c r="U237" s="101">
        <v>829.40080673917225</v>
      </c>
      <c r="V237" s="101">
        <v>826.87083718356007</v>
      </c>
      <c r="W237" s="101">
        <v>824.53120470755891</v>
      </c>
      <c r="X237" s="101">
        <v>822.30747341513234</v>
      </c>
      <c r="Y237" s="101">
        <v>820.15513827700147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252.20701687341878</v>
      </c>
      <c r="C240" s="152">
        <v>251.61543759564989</v>
      </c>
      <c r="D240" s="152">
        <v>252.54718673605976</v>
      </c>
      <c r="E240" s="152">
        <v>262.41559473071379</v>
      </c>
      <c r="F240" s="152">
        <v>258.63468574195844</v>
      </c>
      <c r="G240" s="152">
        <v>260.65292155804889</v>
      </c>
      <c r="H240" s="152">
        <v>260.29817296080819</v>
      </c>
      <c r="I240" s="152">
        <v>261.73304844961478</v>
      </c>
      <c r="J240" s="152">
        <v>264.86742078321083</v>
      </c>
      <c r="K240" s="152">
        <v>261.55103946390511</v>
      </c>
      <c r="L240" s="152">
        <v>249.61666538039822</v>
      </c>
      <c r="M240" s="152">
        <v>243.27645095648296</v>
      </c>
      <c r="N240" s="152">
        <v>232.30716813307748</v>
      </c>
      <c r="O240" s="152">
        <v>216.63737068360993</v>
      </c>
      <c r="P240" s="152">
        <v>208.69774483074497</v>
      </c>
      <c r="Q240" s="152">
        <v>206.71446246024738</v>
      </c>
      <c r="R240" s="152">
        <v>203.26365083240552</v>
      </c>
      <c r="S240" s="152">
        <v>194.55851014822244</v>
      </c>
      <c r="T240" s="152">
        <v>192.95448970696543</v>
      </c>
      <c r="U240" s="152">
        <v>196.87104005007748</v>
      </c>
      <c r="V240" s="152">
        <v>202.89636914296483</v>
      </c>
      <c r="W240" s="152">
        <v>199.92753559753297</v>
      </c>
      <c r="X240" s="152">
        <v>197.84897784751453</v>
      </c>
      <c r="Y240" s="152">
        <v>203.97678943357246</v>
      </c>
      <c r="DA240" s="174" t="s">
        <v>947</v>
      </c>
    </row>
    <row r="241" spans="1:105" ht="11.45" customHeight="1" x14ac:dyDescent="0.25">
      <c r="A241" s="111" t="s">
        <v>110</v>
      </c>
      <c r="B241" s="87">
        <v>220.46184966603454</v>
      </c>
      <c r="C241" s="87">
        <v>219.26163545335177</v>
      </c>
      <c r="D241" s="87">
        <v>217.93572597959783</v>
      </c>
      <c r="E241" s="87">
        <v>215.20788011272325</v>
      </c>
      <c r="F241" s="87">
        <v>214.90985458880607</v>
      </c>
      <c r="G241" s="87">
        <v>218.26782106675614</v>
      </c>
      <c r="H241" s="87">
        <v>218.26782106675614</v>
      </c>
      <c r="I241" s="87">
        <v>218.26782106675614</v>
      </c>
      <c r="J241" s="87">
        <v>214.90985458880604</v>
      </c>
      <c r="K241" s="87">
        <v>203.08060086969573</v>
      </c>
      <c r="L241" s="87">
        <v>195.69444840564998</v>
      </c>
      <c r="M241" s="87">
        <v>190.42132206991354</v>
      </c>
      <c r="N241" s="87">
        <v>184.49100382606258</v>
      </c>
      <c r="O241" s="87">
        <v>184.49393788996022</v>
      </c>
      <c r="P241" s="87">
        <v>177.8110460636745</v>
      </c>
      <c r="Q241" s="87">
        <v>181.28791676941668</v>
      </c>
      <c r="R241" s="87">
        <v>165.66300792426162</v>
      </c>
      <c r="S241" s="87">
        <v>169.78558235627185</v>
      </c>
      <c r="T241" s="87">
        <v>166.15098291128535</v>
      </c>
      <c r="U241" s="87">
        <v>181.14634146341459</v>
      </c>
      <c r="V241" s="87">
        <v>165.08142233735222</v>
      </c>
      <c r="W241" s="87">
        <v>161.9865525672372</v>
      </c>
      <c r="X241" s="87">
        <v>166.7409090909091</v>
      </c>
      <c r="Y241" s="87">
        <v>179.21331194867679</v>
      </c>
      <c r="DA241" s="171" t="s">
        <v>948</v>
      </c>
    </row>
    <row r="242" spans="1:105" ht="11.45" customHeight="1" x14ac:dyDescent="0.25">
      <c r="A242" s="111" t="s">
        <v>111</v>
      </c>
      <c r="B242" s="87">
        <v>265.70372444972088</v>
      </c>
      <c r="C242" s="87">
        <v>265.57171916242993</v>
      </c>
      <c r="D242" s="87">
        <v>265.42512353680326</v>
      </c>
      <c r="E242" s="87">
        <v>266.02983049251276</v>
      </c>
      <c r="F242" s="87">
        <v>264.27526409829483</v>
      </c>
      <c r="G242" s="87">
        <v>268.5591675308234</v>
      </c>
      <c r="H242" s="87">
        <v>273.00657872795222</v>
      </c>
      <c r="I242" s="87">
        <v>273.47841542008456</v>
      </c>
      <c r="J242" s="87">
        <v>277.6782291451043</v>
      </c>
      <c r="K242" s="87">
        <v>266.7660573942303</v>
      </c>
      <c r="L242" s="87">
        <v>256.5192005029939</v>
      </c>
      <c r="M242" s="87">
        <v>248.22221052268566</v>
      </c>
      <c r="N242" s="87">
        <v>243.38678705348943</v>
      </c>
      <c r="O242" s="87">
        <v>233.94253673629964</v>
      </c>
      <c r="P242" s="87">
        <v>237.5877537713142</v>
      </c>
      <c r="Q242" s="87">
        <v>228.58234518804306</v>
      </c>
      <c r="R242" s="87">
        <v>229.45801883443798</v>
      </c>
      <c r="S242" s="87">
        <v>217.82569119460655</v>
      </c>
      <c r="T242" s="87">
        <v>214.29292040039275</v>
      </c>
      <c r="U242" s="87">
        <v>213.12270320772339</v>
      </c>
      <c r="V242" s="87">
        <v>230.66601910468461</v>
      </c>
      <c r="W242" s="87">
        <v>225.05331495394259</v>
      </c>
      <c r="X242" s="87">
        <v>220.75562877539809</v>
      </c>
      <c r="Y242" s="87">
        <v>223.63150670467741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327.51502349250751</v>
      </c>
      <c r="D243" s="87">
        <v>327.33423515434254</v>
      </c>
      <c r="E243" s="87">
        <v>328.0799870492728</v>
      </c>
      <c r="F243" s="87">
        <v>325.91617662686104</v>
      </c>
      <c r="G243" s="87">
        <v>331.19927957836956</v>
      </c>
      <c r="H243" s="87">
        <v>336.68402768069882</v>
      </c>
      <c r="I243" s="87">
        <v>337.26591797306793</v>
      </c>
      <c r="J243" s="87">
        <v>342.44531770415409</v>
      </c>
      <c r="K243" s="87">
        <v>328.98793527422794</v>
      </c>
      <c r="L243" s="87">
        <v>316.35104914026027</v>
      </c>
      <c r="M243" s="87">
        <v>330.85830456624564</v>
      </c>
      <c r="N243" s="87">
        <v>270.49165442428875</v>
      </c>
      <c r="O243" s="87">
        <v>260.8312381948499</v>
      </c>
      <c r="P243" s="87">
        <v>195.97859100751384</v>
      </c>
      <c r="Q243" s="87">
        <v>190.84614668723094</v>
      </c>
      <c r="R243" s="87">
        <v>169.34141390428164</v>
      </c>
      <c r="S243" s="87">
        <v>152.24990826758213</v>
      </c>
      <c r="T243" s="87">
        <v>149.80410152989822</v>
      </c>
      <c r="U243" s="87">
        <v>162.52229656585419</v>
      </c>
      <c r="V243" s="87">
        <v>0</v>
      </c>
      <c r="W243" s="87">
        <v>192</v>
      </c>
      <c r="X243" s="87">
        <v>210.91666666666671</v>
      </c>
      <c r="Y243" s="87">
        <v>217.15873015873021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237.23667276746792</v>
      </c>
      <c r="O244" s="87">
        <v>215.72388455951335</v>
      </c>
      <c r="P244" s="87">
        <v>204.73249613298412</v>
      </c>
      <c r="Q244" s="87">
        <v>162.43159413901842</v>
      </c>
      <c r="R244" s="87">
        <v>233.15234485764839</v>
      </c>
      <c r="S244" s="87">
        <v>170.47754032022056</v>
      </c>
      <c r="T244" s="87">
        <v>155.24821572394279</v>
      </c>
      <c r="U244" s="87">
        <v>157.9344262295082</v>
      </c>
      <c r="V244" s="87">
        <v>162.0159986761027</v>
      </c>
      <c r="W244" s="87">
        <v>160.98740554156171</v>
      </c>
      <c r="X244" s="87">
        <v>270.66666666666669</v>
      </c>
      <c r="Y244" s="87">
        <v>143.97916666666671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1040.7419809790824</v>
      </c>
      <c r="C246" s="116">
        <v>875.84385966561638</v>
      </c>
      <c r="D246" s="116">
        <v>864.68714710230415</v>
      </c>
      <c r="E246" s="116">
        <v>911.93837744892687</v>
      </c>
      <c r="F246" s="116">
        <v>936.44789039425689</v>
      </c>
      <c r="G246" s="116">
        <v>851.59538893275726</v>
      </c>
      <c r="H246" s="116">
        <v>838.56601705761602</v>
      </c>
      <c r="I246" s="116">
        <v>824.35875003472552</v>
      </c>
      <c r="J246" s="116">
        <v>797.76035790328638</v>
      </c>
      <c r="K246" s="116">
        <v>820.18722274420293</v>
      </c>
      <c r="L246" s="116">
        <v>815.21172271420244</v>
      </c>
      <c r="M246" s="116">
        <v>794.48804285974211</v>
      </c>
      <c r="N246" s="116">
        <v>756.12541215994395</v>
      </c>
      <c r="O246" s="116">
        <v>772.97650328326347</v>
      </c>
      <c r="P246" s="116">
        <v>730.69846312902916</v>
      </c>
      <c r="Q246" s="116">
        <v>719.80647119755872</v>
      </c>
      <c r="R246" s="116">
        <v>694.07940769775678</v>
      </c>
      <c r="S246" s="116">
        <v>687.7151106822231</v>
      </c>
      <c r="T246" s="116">
        <v>665.26473779312255</v>
      </c>
      <c r="U246" s="116">
        <v>671.92754288417234</v>
      </c>
      <c r="V246" s="116">
        <v>693.35670920205621</v>
      </c>
      <c r="W246" s="116">
        <v>675.34981412632487</v>
      </c>
      <c r="X246" s="116">
        <v>661.54622045983785</v>
      </c>
      <c r="Y246" s="116">
        <v>640.67469718704308</v>
      </c>
      <c r="DA246" s="176" t="s">
        <v>953</v>
      </c>
    </row>
    <row r="247" spans="1:105" ht="11.45" customHeight="1" x14ac:dyDescent="0.25">
      <c r="A247" s="128" t="s">
        <v>27</v>
      </c>
      <c r="B247" s="101">
        <v>0</v>
      </c>
      <c r="C247" s="101">
        <v>790.66073493863189</v>
      </c>
      <c r="D247" s="101">
        <v>786.61983224271376</v>
      </c>
      <c r="E247" s="101">
        <v>781.58815622982752</v>
      </c>
      <c r="F247" s="101">
        <v>775.57849248349214</v>
      </c>
      <c r="G247" s="101">
        <v>768.60600388645082</v>
      </c>
      <c r="H247" s="101">
        <v>760.68813606535468</v>
      </c>
      <c r="I247" s="101">
        <v>751.84450993345592</v>
      </c>
      <c r="J247" s="101">
        <v>742.09680254449734</v>
      </c>
      <c r="K247" s="101">
        <v>731.46861756544752</v>
      </c>
      <c r="L247" s="101">
        <v>719.98534679472607</v>
      </c>
      <c r="M247" s="101">
        <v>707.67402417478854</v>
      </c>
      <c r="N247" s="101">
        <v>694.5631738040546</v>
      </c>
      <c r="O247" s="101">
        <v>680.68265347079864</v>
      </c>
      <c r="P247" s="101">
        <v>666.06349519577395</v>
      </c>
      <c r="Q247" s="101">
        <v>650.73774427061903</v>
      </c>
      <c r="R247" s="101">
        <v>638.37619914155789</v>
      </c>
      <c r="S247" s="101">
        <v>629.72311755121495</v>
      </c>
      <c r="T247" s="101">
        <v>620.63738188135483</v>
      </c>
      <c r="U247" s="101">
        <v>609.53259384041473</v>
      </c>
      <c r="V247" s="101">
        <v>611.85060159039836</v>
      </c>
      <c r="W247" s="101">
        <v>600.91800707268396</v>
      </c>
      <c r="X247" s="101">
        <v>597.60732493035016</v>
      </c>
      <c r="Y247" s="101">
        <v>591.63125168104671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901.41112711943799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718.06378370741038</v>
      </c>
      <c r="X248" s="88">
        <v>714.10770164996393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15368</v>
      </c>
      <c r="C4" s="28">
        <f t="shared" ref="C4:V4" si="1">SUM(C5,C6,C9)</f>
        <v>15526</v>
      </c>
      <c r="D4" s="28">
        <f t="shared" si="1"/>
        <v>14904</v>
      </c>
      <c r="E4" s="28">
        <f t="shared" si="1"/>
        <v>15081.4</v>
      </c>
      <c r="F4" s="28">
        <f t="shared" si="1"/>
        <v>15305.5</v>
      </c>
      <c r="G4" s="28">
        <f t="shared" si="1"/>
        <v>14601.2</v>
      </c>
      <c r="H4" s="28">
        <f t="shared" si="1"/>
        <v>14720.8</v>
      </c>
      <c r="I4" s="28">
        <f t="shared" si="1"/>
        <v>14648.4</v>
      </c>
      <c r="J4" s="28">
        <f t="shared" si="1"/>
        <v>15915.800000000001</v>
      </c>
      <c r="K4" s="28">
        <f t="shared" si="1"/>
        <v>15458.7</v>
      </c>
      <c r="L4" s="28">
        <f t="shared" si="1"/>
        <v>15556</v>
      </c>
      <c r="M4" s="28">
        <f t="shared" si="1"/>
        <v>15385.000000000002</v>
      </c>
      <c r="N4" s="28">
        <f t="shared" si="1"/>
        <v>16698</v>
      </c>
      <c r="O4" s="28">
        <f t="shared" si="1"/>
        <v>17092.900000000001</v>
      </c>
      <c r="P4" s="28">
        <f t="shared" si="1"/>
        <v>16868</v>
      </c>
      <c r="Q4" s="28">
        <f t="shared" si="1"/>
        <v>17550.699999999997</v>
      </c>
      <c r="R4" s="28">
        <f t="shared" si="1"/>
        <v>19105.400000000001</v>
      </c>
      <c r="S4" s="28">
        <f t="shared" si="1"/>
        <v>20146.2</v>
      </c>
      <c r="T4" s="28">
        <f t="shared" si="1"/>
        <v>20954.8</v>
      </c>
      <c r="U4" s="28">
        <f t="shared" si="1"/>
        <v>21954.799999999999</v>
      </c>
      <c r="V4" s="28">
        <f t="shared" si="1"/>
        <v>10377.5</v>
      </c>
      <c r="W4" s="28">
        <f t="shared" ref="W4:Y4" si="2">SUM(W5,W6,W9)</f>
        <v>10365.900000000001</v>
      </c>
      <c r="X4" s="28">
        <f t="shared" si="2"/>
        <v>14167</v>
      </c>
      <c r="Y4" s="28">
        <f t="shared" si="2"/>
        <v>15194.6</v>
      </c>
      <c r="DA4" s="173" t="s">
        <v>376</v>
      </c>
    </row>
    <row r="5" spans="1:105" ht="11.45" customHeight="1" x14ac:dyDescent="0.25">
      <c r="A5" s="107" t="s">
        <v>23</v>
      </c>
      <c r="B5" s="108">
        <v>8068</v>
      </c>
      <c r="C5" s="108">
        <v>8227</v>
      </c>
      <c r="D5" s="108">
        <v>8307</v>
      </c>
      <c r="E5" s="108">
        <v>8563.4</v>
      </c>
      <c r="F5" s="108">
        <v>8725.5</v>
      </c>
      <c r="G5" s="108">
        <v>7934.2000000000007</v>
      </c>
      <c r="H5" s="108">
        <v>7798.8</v>
      </c>
      <c r="I5" s="108">
        <v>7750.4</v>
      </c>
      <c r="J5" s="108">
        <v>9142.8000000000011</v>
      </c>
      <c r="K5" s="108">
        <v>8986.7000000000007</v>
      </c>
      <c r="L5" s="108">
        <v>8997</v>
      </c>
      <c r="M5" s="108">
        <v>8716.0000000000018</v>
      </c>
      <c r="N5" s="108">
        <v>9501.9999999999982</v>
      </c>
      <c r="O5" s="108">
        <v>9580.9000000000015</v>
      </c>
      <c r="P5" s="108">
        <v>9224</v>
      </c>
      <c r="Q5" s="108">
        <v>9425.6999999999989</v>
      </c>
      <c r="R5" s="108">
        <v>10367.4</v>
      </c>
      <c r="S5" s="108">
        <v>10743.2</v>
      </c>
      <c r="T5" s="108">
        <v>10734.8</v>
      </c>
      <c r="U5" s="108">
        <v>11098.8</v>
      </c>
      <c r="V5" s="108">
        <v>3754.5</v>
      </c>
      <c r="W5" s="108">
        <v>3613.9</v>
      </c>
      <c r="X5" s="108">
        <v>4773</v>
      </c>
      <c r="Y5" s="108">
        <v>5198.6000000000004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7300</v>
      </c>
      <c r="C6" s="110">
        <f t="shared" ref="C6:V6" si="4">SUM(C7:C8)</f>
        <v>7299</v>
      </c>
      <c r="D6" s="110">
        <f t="shared" si="4"/>
        <v>6597</v>
      </c>
      <c r="E6" s="110">
        <f t="shared" si="4"/>
        <v>6518</v>
      </c>
      <c r="F6" s="110">
        <f t="shared" si="4"/>
        <v>6579</v>
      </c>
      <c r="G6" s="110">
        <f t="shared" si="4"/>
        <v>6661</v>
      </c>
      <c r="H6" s="110">
        <f t="shared" si="4"/>
        <v>6774</v>
      </c>
      <c r="I6" s="110">
        <f t="shared" si="4"/>
        <v>6569</v>
      </c>
      <c r="J6" s="110">
        <f t="shared" si="4"/>
        <v>6520</v>
      </c>
      <c r="K6" s="110">
        <f t="shared" si="4"/>
        <v>6237</v>
      </c>
      <c r="L6" s="110">
        <f t="shared" si="4"/>
        <v>6288</v>
      </c>
      <c r="M6" s="110">
        <f t="shared" si="4"/>
        <v>6384</v>
      </c>
      <c r="N6" s="110">
        <f t="shared" si="4"/>
        <v>6925</v>
      </c>
      <c r="O6" s="110">
        <f t="shared" si="4"/>
        <v>7266</v>
      </c>
      <c r="P6" s="110">
        <f t="shared" si="4"/>
        <v>7398</v>
      </c>
      <c r="Q6" s="110">
        <f t="shared" si="4"/>
        <v>7558</v>
      </c>
      <c r="R6" s="110">
        <f t="shared" si="4"/>
        <v>8040</v>
      </c>
      <c r="S6" s="110">
        <f t="shared" si="4"/>
        <v>8634</v>
      </c>
      <c r="T6" s="110">
        <f t="shared" si="4"/>
        <v>9426</v>
      </c>
      <c r="U6" s="110">
        <f t="shared" si="4"/>
        <v>9975</v>
      </c>
      <c r="V6" s="110">
        <f t="shared" si="4"/>
        <v>6085.5218312453944</v>
      </c>
      <c r="W6" s="110">
        <f t="shared" ref="W6:Y6" si="5">SUM(W7:W8)</f>
        <v>6204.0530582166548</v>
      </c>
      <c r="X6" s="110">
        <f t="shared" si="5"/>
        <v>8810.9387236463353</v>
      </c>
      <c r="Y6" s="110">
        <f t="shared" si="5"/>
        <v>9375.5741411080235</v>
      </c>
      <c r="DA6" s="176" t="s">
        <v>378</v>
      </c>
    </row>
    <row r="7" spans="1:105" ht="11.45" customHeight="1" x14ac:dyDescent="0.25">
      <c r="A7" s="111" t="s">
        <v>90</v>
      </c>
      <c r="B7" s="84">
        <v>3986.9504222916376</v>
      </c>
      <c r="C7" s="84">
        <v>3987.2283591548171</v>
      </c>
      <c r="D7" s="84">
        <v>3581.4510133921694</v>
      </c>
      <c r="E7" s="84">
        <v>3455.7208858722902</v>
      </c>
      <c r="F7" s="84">
        <v>3449.7001714717376</v>
      </c>
      <c r="G7" s="84">
        <v>3466.5490068336499</v>
      </c>
      <c r="H7" s="84">
        <v>3444.1189119838082</v>
      </c>
      <c r="I7" s="84">
        <v>3288.143780219274</v>
      </c>
      <c r="J7" s="84">
        <v>3173.165809718947</v>
      </c>
      <c r="K7" s="84">
        <v>2987.1927469934144</v>
      </c>
      <c r="L7" s="84">
        <v>3003.0056721207598</v>
      </c>
      <c r="M7" s="84">
        <v>3019.3436687599283</v>
      </c>
      <c r="N7" s="84">
        <v>3204.4344116925799</v>
      </c>
      <c r="O7" s="84">
        <v>3346.135023135243</v>
      </c>
      <c r="P7" s="84">
        <v>3405.0269592602253</v>
      </c>
      <c r="Q7" s="84">
        <v>3386.323141632492</v>
      </c>
      <c r="R7" s="84">
        <v>3619.3357332109758</v>
      </c>
      <c r="S7" s="84">
        <v>3876.0114516033432</v>
      </c>
      <c r="T7" s="84">
        <v>4169.9596379472368</v>
      </c>
      <c r="U7" s="84">
        <v>4409.0244937878851</v>
      </c>
      <c r="V7" s="84">
        <v>2776.7370967203301</v>
      </c>
      <c r="W7" s="84">
        <v>2845.5816670205058</v>
      </c>
      <c r="X7" s="84">
        <v>3927.8217565912869</v>
      </c>
      <c r="Y7" s="84">
        <v>4047.2205834439255</v>
      </c>
      <c r="DA7" s="171" t="s">
        <v>1031</v>
      </c>
    </row>
    <row r="8" spans="1:105" ht="11.45" customHeight="1" x14ac:dyDescent="0.25">
      <c r="A8" s="111" t="s">
        <v>93</v>
      </c>
      <c r="B8" s="84">
        <v>3313.0495777083624</v>
      </c>
      <c r="C8" s="84">
        <v>3311.7716408451829</v>
      </c>
      <c r="D8" s="84">
        <v>3015.5489866078306</v>
      </c>
      <c r="E8" s="84">
        <v>3062.2791141277098</v>
      </c>
      <c r="F8" s="84">
        <v>3129.2998285282624</v>
      </c>
      <c r="G8" s="84">
        <v>3194.4509931663501</v>
      </c>
      <c r="H8" s="84">
        <v>3329.8810880161918</v>
      </c>
      <c r="I8" s="84">
        <v>3280.856219780726</v>
      </c>
      <c r="J8" s="84">
        <v>3346.834190281053</v>
      </c>
      <c r="K8" s="84">
        <v>3249.8072530065856</v>
      </c>
      <c r="L8" s="84">
        <v>3284.9943278792402</v>
      </c>
      <c r="M8" s="84">
        <v>3364.6563312400717</v>
      </c>
      <c r="N8" s="84">
        <v>3720.5655883074201</v>
      </c>
      <c r="O8" s="84">
        <v>3919.864976864757</v>
      </c>
      <c r="P8" s="84">
        <v>3992.9730407397747</v>
      </c>
      <c r="Q8" s="84">
        <v>4171.6768583675075</v>
      </c>
      <c r="R8" s="84">
        <v>4420.6642667890246</v>
      </c>
      <c r="S8" s="84">
        <v>4757.9885483966573</v>
      </c>
      <c r="T8" s="84">
        <v>5256.0403620527632</v>
      </c>
      <c r="U8" s="84">
        <v>5565.9755062121149</v>
      </c>
      <c r="V8" s="84">
        <v>3308.7847345250643</v>
      </c>
      <c r="W8" s="84">
        <v>3358.4713911961489</v>
      </c>
      <c r="X8" s="84">
        <v>4883.116967055048</v>
      </c>
      <c r="Y8" s="84">
        <v>5328.3535576640979</v>
      </c>
      <c r="DA8" s="171" t="s">
        <v>1032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1</v>
      </c>
      <c r="G9" s="113">
        <v>6</v>
      </c>
      <c r="H9" s="113">
        <v>148</v>
      </c>
      <c r="I9" s="113">
        <v>329</v>
      </c>
      <c r="J9" s="113">
        <v>253</v>
      </c>
      <c r="K9" s="113">
        <v>235</v>
      </c>
      <c r="L9" s="113">
        <v>271</v>
      </c>
      <c r="M9" s="113">
        <v>285</v>
      </c>
      <c r="N9" s="113">
        <v>271</v>
      </c>
      <c r="O9" s="113">
        <v>246</v>
      </c>
      <c r="P9" s="113">
        <v>246</v>
      </c>
      <c r="Q9" s="113">
        <v>567</v>
      </c>
      <c r="R9" s="113">
        <v>698</v>
      </c>
      <c r="S9" s="113">
        <v>769</v>
      </c>
      <c r="T9" s="113">
        <v>794</v>
      </c>
      <c r="U9" s="113">
        <v>881</v>
      </c>
      <c r="V9" s="113">
        <v>537.47816875460569</v>
      </c>
      <c r="W9" s="113">
        <v>547.94694178334555</v>
      </c>
      <c r="X9" s="113">
        <v>583.0612763536642</v>
      </c>
      <c r="Y9" s="113">
        <v>620.42585889197653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17496</v>
      </c>
      <c r="C10" s="28">
        <f t="shared" ref="C10:V10" si="7">SUM(C11:C12)</f>
        <v>16900</v>
      </c>
      <c r="D10" s="28">
        <f t="shared" si="7"/>
        <v>15810</v>
      </c>
      <c r="E10" s="28">
        <f t="shared" si="7"/>
        <v>15862</v>
      </c>
      <c r="F10" s="28">
        <f t="shared" si="7"/>
        <v>15092</v>
      </c>
      <c r="G10" s="28">
        <f t="shared" si="7"/>
        <v>14866</v>
      </c>
      <c r="H10" s="28">
        <f t="shared" si="7"/>
        <v>15779</v>
      </c>
      <c r="I10" s="28">
        <f t="shared" si="7"/>
        <v>16303.999999999998</v>
      </c>
      <c r="J10" s="28">
        <f t="shared" si="7"/>
        <v>15437</v>
      </c>
      <c r="K10" s="28">
        <f t="shared" si="7"/>
        <v>12791</v>
      </c>
      <c r="L10" s="28">
        <f t="shared" si="7"/>
        <v>13770</v>
      </c>
      <c r="M10" s="28">
        <f t="shared" si="7"/>
        <v>14316</v>
      </c>
      <c r="N10" s="28">
        <f t="shared" si="7"/>
        <v>14267</v>
      </c>
      <c r="O10" s="28">
        <f t="shared" si="7"/>
        <v>13965</v>
      </c>
      <c r="P10" s="28">
        <f t="shared" si="7"/>
        <v>14575</v>
      </c>
      <c r="Q10" s="28">
        <f t="shared" si="7"/>
        <v>15261</v>
      </c>
      <c r="R10" s="28">
        <f t="shared" si="7"/>
        <v>15619</v>
      </c>
      <c r="S10" s="28">
        <f t="shared" si="7"/>
        <v>15843</v>
      </c>
      <c r="T10" s="28">
        <f t="shared" si="7"/>
        <v>16564</v>
      </c>
      <c r="U10" s="28">
        <f t="shared" si="7"/>
        <v>16180</v>
      </c>
      <c r="V10" s="28">
        <f t="shared" si="7"/>
        <v>15251</v>
      </c>
      <c r="W10" s="28">
        <f t="shared" ref="W10:Y10" si="8">SUM(W11:W12)</f>
        <v>16326</v>
      </c>
      <c r="X10" s="28">
        <f t="shared" si="8"/>
        <v>16367.999999999998</v>
      </c>
      <c r="Y10" s="28">
        <f t="shared" si="8"/>
        <v>15038</v>
      </c>
      <c r="DA10" s="173" t="s">
        <v>384</v>
      </c>
    </row>
    <row r="11" spans="1:105" ht="11.45" customHeight="1" x14ac:dyDescent="0.25">
      <c r="A11" s="83" t="s">
        <v>90</v>
      </c>
      <c r="B11" s="84">
        <v>5087.6508531101645</v>
      </c>
      <c r="C11" s="84">
        <v>4057.5749215453097</v>
      </c>
      <c r="D11" s="84">
        <v>3837.1053782017188</v>
      </c>
      <c r="E11" s="84">
        <v>3508.2952206175687</v>
      </c>
      <c r="F11" s="84">
        <v>3298.3849961961255</v>
      </c>
      <c r="G11" s="84">
        <v>3158.6270361477063</v>
      </c>
      <c r="H11" s="84">
        <v>3688.876901296594</v>
      </c>
      <c r="I11" s="84">
        <v>3710.4296755947876</v>
      </c>
      <c r="J11" s="84">
        <v>3731.6279334956994</v>
      </c>
      <c r="K11" s="84">
        <v>3694.1434796242338</v>
      </c>
      <c r="L11" s="84">
        <v>3726.4603335099828</v>
      </c>
      <c r="M11" s="84">
        <v>3553.9064431391848</v>
      </c>
      <c r="N11" s="84">
        <v>2797.1055697221846</v>
      </c>
      <c r="O11" s="84">
        <v>2796.6484632969268</v>
      </c>
      <c r="P11" s="84">
        <v>3636.0144645221362</v>
      </c>
      <c r="Q11" s="84">
        <v>3549.9878352894475</v>
      </c>
      <c r="R11" s="84">
        <v>3654.9486519207489</v>
      </c>
      <c r="S11" s="84">
        <v>3522.9552615478747</v>
      </c>
      <c r="T11" s="84">
        <v>3553.5798509552092</v>
      </c>
      <c r="U11" s="84">
        <v>3475.7832588038018</v>
      </c>
      <c r="V11" s="84">
        <v>3327.7624786282231</v>
      </c>
      <c r="W11" s="84">
        <v>3429.4005101874391</v>
      </c>
      <c r="X11" s="84">
        <v>3239.1617312072904</v>
      </c>
      <c r="Y11" s="84">
        <v>3540.2811185657474</v>
      </c>
      <c r="DA11" s="171" t="s">
        <v>1033</v>
      </c>
    </row>
    <row r="12" spans="1:105" ht="11.45" customHeight="1" x14ac:dyDescent="0.25">
      <c r="A12" s="85" t="s">
        <v>93</v>
      </c>
      <c r="B12" s="86">
        <v>12408.349146889836</v>
      </c>
      <c r="C12" s="86">
        <v>12842.425078454689</v>
      </c>
      <c r="D12" s="86">
        <v>11972.894621798281</v>
      </c>
      <c r="E12" s="86">
        <v>12353.704779382431</v>
      </c>
      <c r="F12" s="86">
        <v>11793.615003803874</v>
      </c>
      <c r="G12" s="86">
        <v>11707.372963852293</v>
      </c>
      <c r="H12" s="86">
        <v>12090.123098703407</v>
      </c>
      <c r="I12" s="86">
        <v>12593.570324405211</v>
      </c>
      <c r="J12" s="86">
        <v>11705.3720665043</v>
      </c>
      <c r="K12" s="86">
        <v>9096.8565203757662</v>
      </c>
      <c r="L12" s="86">
        <v>10043.539666490018</v>
      </c>
      <c r="M12" s="86">
        <v>10762.093556860815</v>
      </c>
      <c r="N12" s="86">
        <v>11469.894430277815</v>
      </c>
      <c r="O12" s="86">
        <v>11168.351536703074</v>
      </c>
      <c r="P12" s="86">
        <v>10938.985535477863</v>
      </c>
      <c r="Q12" s="86">
        <v>11711.012164710552</v>
      </c>
      <c r="R12" s="86">
        <v>11964.051348079251</v>
      </c>
      <c r="S12" s="86">
        <v>12320.044738452125</v>
      </c>
      <c r="T12" s="86">
        <v>13010.42014904479</v>
      </c>
      <c r="U12" s="86">
        <v>12704.216741196198</v>
      </c>
      <c r="V12" s="86">
        <v>11923.237521371777</v>
      </c>
      <c r="W12" s="86">
        <v>12896.599489812561</v>
      </c>
      <c r="X12" s="86">
        <v>13128.838268792708</v>
      </c>
      <c r="Y12" s="86">
        <v>11497.718881434252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165.8860339055781</v>
      </c>
      <c r="C14" s="62">
        <f t="shared" ref="C14:V14" si="10">C15+C21</f>
        <v>166.59270962438274</v>
      </c>
      <c r="D14" s="62">
        <f t="shared" si="10"/>
        <v>165.04010434236193</v>
      </c>
      <c r="E14" s="62">
        <f t="shared" si="10"/>
        <v>173.18233992303198</v>
      </c>
      <c r="F14" s="62">
        <f t="shared" si="10"/>
        <v>204.63675362169036</v>
      </c>
      <c r="G14" s="62">
        <f t="shared" si="10"/>
        <v>201.90403227285094</v>
      </c>
      <c r="H14" s="62">
        <f t="shared" si="10"/>
        <v>203.94361408010536</v>
      </c>
      <c r="I14" s="62">
        <f t="shared" si="10"/>
        <v>203.82294836225259</v>
      </c>
      <c r="J14" s="62">
        <f t="shared" si="10"/>
        <v>225.15472163881716</v>
      </c>
      <c r="K14" s="62">
        <f t="shared" si="10"/>
        <v>220.35660272354497</v>
      </c>
      <c r="L14" s="62">
        <f t="shared" si="10"/>
        <v>218.03142868209233</v>
      </c>
      <c r="M14" s="62">
        <f t="shared" si="10"/>
        <v>216.98834876194803</v>
      </c>
      <c r="N14" s="62">
        <f t="shared" si="10"/>
        <v>225.68628833129299</v>
      </c>
      <c r="O14" s="62">
        <f t="shared" si="10"/>
        <v>226.65923685221023</v>
      </c>
      <c r="P14" s="62">
        <f t="shared" si="10"/>
        <v>224.03499445021515</v>
      </c>
      <c r="Q14" s="62">
        <f t="shared" si="10"/>
        <v>229.95277671520591</v>
      </c>
      <c r="R14" s="62">
        <f t="shared" si="10"/>
        <v>242.89186022165327</v>
      </c>
      <c r="S14" s="62">
        <f t="shared" si="10"/>
        <v>252.29256483583052</v>
      </c>
      <c r="T14" s="62">
        <f t="shared" si="10"/>
        <v>255.60702637794697</v>
      </c>
      <c r="U14" s="62">
        <f t="shared" si="10"/>
        <v>257.22441618389973</v>
      </c>
      <c r="V14" s="62">
        <f t="shared" si="10"/>
        <v>229.51037305023183</v>
      </c>
      <c r="W14" s="62">
        <f t="shared" ref="W14:Y14" si="11">W15+W21</f>
        <v>234.4168452973355</v>
      </c>
      <c r="X14" s="62">
        <f t="shared" si="11"/>
        <v>217.85189761439494</v>
      </c>
      <c r="Y14" s="62">
        <f t="shared" si="11"/>
        <v>204.27885985156993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141.02862156493839</v>
      </c>
      <c r="C15" s="29">
        <f t="shared" ref="C15:V15" si="13">SUM(C16,C17,C20)</f>
        <v>142.2262919461966</v>
      </c>
      <c r="D15" s="29">
        <f t="shared" si="13"/>
        <v>143.2048805856484</v>
      </c>
      <c r="E15" s="29">
        <f t="shared" si="13"/>
        <v>150.9654815066886</v>
      </c>
      <c r="F15" s="29">
        <f t="shared" si="13"/>
        <v>173.91173646813971</v>
      </c>
      <c r="G15" s="29">
        <f t="shared" si="13"/>
        <v>171.6232318172035</v>
      </c>
      <c r="H15" s="29">
        <f t="shared" si="13"/>
        <v>172.55004766490597</v>
      </c>
      <c r="I15" s="29">
        <f t="shared" si="13"/>
        <v>169.68025652175058</v>
      </c>
      <c r="J15" s="29">
        <f t="shared" si="13"/>
        <v>195.10294003296275</v>
      </c>
      <c r="K15" s="29">
        <f t="shared" si="13"/>
        <v>195.24744741289365</v>
      </c>
      <c r="L15" s="29">
        <f t="shared" si="13"/>
        <v>193.68870651951704</v>
      </c>
      <c r="M15" s="29">
        <f t="shared" si="13"/>
        <v>190.74810730531183</v>
      </c>
      <c r="N15" s="29">
        <f t="shared" si="13"/>
        <v>201.50592738480549</v>
      </c>
      <c r="O15" s="29">
        <f t="shared" si="13"/>
        <v>203.68894044236217</v>
      </c>
      <c r="P15" s="29">
        <f t="shared" si="13"/>
        <v>198.34758254553776</v>
      </c>
      <c r="Q15" s="29">
        <f t="shared" si="13"/>
        <v>202.73662788566176</v>
      </c>
      <c r="R15" s="29">
        <f t="shared" si="13"/>
        <v>215.41509434114508</v>
      </c>
      <c r="S15" s="29">
        <f t="shared" si="13"/>
        <v>225.03053570754813</v>
      </c>
      <c r="T15" s="29">
        <f t="shared" si="13"/>
        <v>228.43673466566483</v>
      </c>
      <c r="U15" s="29">
        <f t="shared" si="13"/>
        <v>229.55126083318069</v>
      </c>
      <c r="V15" s="29">
        <f t="shared" si="13"/>
        <v>200.57636312783782</v>
      </c>
      <c r="W15" s="29">
        <f t="shared" ref="W15:Y15" si="14">SUM(W16,W17,W20)</f>
        <v>203.94864912117163</v>
      </c>
      <c r="X15" s="29">
        <f t="shared" si="14"/>
        <v>181.25863447298113</v>
      </c>
      <c r="Y15" s="29">
        <f t="shared" si="14"/>
        <v>168.96861377492442</v>
      </c>
      <c r="DA15" s="173" t="s">
        <v>1036</v>
      </c>
    </row>
    <row r="16" spans="1:105" ht="11.45" customHeight="1" x14ac:dyDescent="0.25">
      <c r="A16" s="107" t="s">
        <v>23</v>
      </c>
      <c r="B16" s="115">
        <v>99.611398372530431</v>
      </c>
      <c r="C16" s="115">
        <v>102.23095522630359</v>
      </c>
      <c r="D16" s="115">
        <v>104.20949960517272</v>
      </c>
      <c r="E16" s="115">
        <v>110.386524844425</v>
      </c>
      <c r="F16" s="115">
        <v>115.76075664961458</v>
      </c>
      <c r="G16" s="115">
        <v>107.95660694043468</v>
      </c>
      <c r="H16" s="115">
        <v>105.68246033679908</v>
      </c>
      <c r="I16" s="115">
        <v>105.63197683444346</v>
      </c>
      <c r="J16" s="115">
        <v>126.08164526194237</v>
      </c>
      <c r="K16" s="115">
        <v>126.38789448337577</v>
      </c>
      <c r="L16" s="115">
        <v>125.31095286308079</v>
      </c>
      <c r="M16" s="115">
        <v>120.74287299258083</v>
      </c>
      <c r="N16" s="115">
        <v>129.9327236262304</v>
      </c>
      <c r="O16" s="115">
        <v>129.88009742204116</v>
      </c>
      <c r="P16" s="115">
        <v>124.17431465972649</v>
      </c>
      <c r="Q16" s="115">
        <v>124.95504589356362</v>
      </c>
      <c r="R16" s="115">
        <v>135.79461550088388</v>
      </c>
      <c r="S16" s="115">
        <v>139.22157339180578</v>
      </c>
      <c r="T16" s="115">
        <v>137.07063719576911</v>
      </c>
      <c r="U16" s="115">
        <v>139.73896293294027</v>
      </c>
      <c r="V16" s="115">
        <v>119.93172220350989</v>
      </c>
      <c r="W16" s="115">
        <v>120.53291375394946</v>
      </c>
      <c r="X16" s="115">
        <v>90.771323801511727</v>
      </c>
      <c r="Y16" s="115">
        <v>73.577664285714292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41.417223192407953</v>
      </c>
      <c r="C17" s="116">
        <f t="shared" ref="C17:V17" si="16">SUM(C18:C19)</f>
        <v>39.995336719893011</v>
      </c>
      <c r="D17" s="116">
        <f t="shared" si="16"/>
        <v>38.995380980475666</v>
      </c>
      <c r="E17" s="116">
        <f t="shared" si="16"/>
        <v>40.5789566622636</v>
      </c>
      <c r="F17" s="116">
        <f t="shared" si="16"/>
        <v>58.118813151858475</v>
      </c>
      <c r="G17" s="116">
        <f t="shared" si="16"/>
        <v>63.473624876768824</v>
      </c>
      <c r="H17" s="116">
        <f t="shared" si="16"/>
        <v>64.958587328106901</v>
      </c>
      <c r="I17" s="116">
        <f t="shared" si="16"/>
        <v>61.374162040248287</v>
      </c>
      <c r="J17" s="116">
        <f t="shared" si="16"/>
        <v>67.029866199591822</v>
      </c>
      <c r="K17" s="116">
        <f t="shared" si="16"/>
        <v>67.027734747699668</v>
      </c>
      <c r="L17" s="116">
        <f t="shared" si="16"/>
        <v>66.347141411538303</v>
      </c>
      <c r="M17" s="116">
        <f t="shared" si="16"/>
        <v>67.886234312731006</v>
      </c>
      <c r="N17" s="116">
        <f t="shared" si="16"/>
        <v>69.584112849484185</v>
      </c>
      <c r="O17" s="116">
        <f t="shared" si="16"/>
        <v>72.020147368147079</v>
      </c>
      <c r="P17" s="116">
        <f t="shared" si="16"/>
        <v>72.481839314382697</v>
      </c>
      <c r="Q17" s="116">
        <f t="shared" si="16"/>
        <v>74.133804214320364</v>
      </c>
      <c r="R17" s="116">
        <f t="shared" si="16"/>
        <v>75.422478840261178</v>
      </c>
      <c r="S17" s="116">
        <f t="shared" si="16"/>
        <v>81.183962315742349</v>
      </c>
      <c r="T17" s="116">
        <f t="shared" si="16"/>
        <v>86.591097469895715</v>
      </c>
      <c r="U17" s="116">
        <f t="shared" si="16"/>
        <v>84.51641327524041</v>
      </c>
      <c r="V17" s="116">
        <f t="shared" si="16"/>
        <v>76.525387305280304</v>
      </c>
      <c r="W17" s="116">
        <f t="shared" ref="W17:Y17" si="17">SUM(W18:W19)</f>
        <v>79.165911158783814</v>
      </c>
      <c r="X17" s="116">
        <f t="shared" si="17"/>
        <v>86.195088240492424</v>
      </c>
      <c r="Y17" s="116">
        <f t="shared" si="17"/>
        <v>90.941117641956382</v>
      </c>
      <c r="DA17" s="176" t="s">
        <v>1038</v>
      </c>
    </row>
    <row r="18" spans="1:105" ht="11.45" customHeight="1" x14ac:dyDescent="0.25">
      <c r="A18" s="111" t="s">
        <v>92</v>
      </c>
      <c r="B18" s="87">
        <v>27.916967163608874</v>
      </c>
      <c r="C18" s="87">
        <v>27.208738817257032</v>
      </c>
      <c r="D18" s="87">
        <v>27.367555846461975</v>
      </c>
      <c r="E18" s="87">
        <v>27.777005111589087</v>
      </c>
      <c r="F18" s="87">
        <v>28.357944909738489</v>
      </c>
      <c r="G18" s="87">
        <v>30.005663763449949</v>
      </c>
      <c r="H18" s="87">
        <v>32.108088795230771</v>
      </c>
      <c r="I18" s="87">
        <v>31.071314992807299</v>
      </c>
      <c r="J18" s="87">
        <v>36.457305329027648</v>
      </c>
      <c r="K18" s="87">
        <v>32.513406570867815</v>
      </c>
      <c r="L18" s="87">
        <v>32.828989754846148</v>
      </c>
      <c r="M18" s="87">
        <v>32.838396994061036</v>
      </c>
      <c r="N18" s="87">
        <v>34.91368214943283</v>
      </c>
      <c r="O18" s="87">
        <v>35.0732153810862</v>
      </c>
      <c r="P18" s="87">
        <v>34.121158918280159</v>
      </c>
      <c r="Q18" s="87">
        <v>34.402449668779511</v>
      </c>
      <c r="R18" s="87">
        <v>35.075836316112287</v>
      </c>
      <c r="S18" s="87">
        <v>36.944798582942944</v>
      </c>
      <c r="T18" s="87">
        <v>37.076791217993652</v>
      </c>
      <c r="U18" s="87">
        <v>35.151950141931458</v>
      </c>
      <c r="V18" s="87">
        <v>30.182631386504667</v>
      </c>
      <c r="W18" s="87">
        <v>29.974490260141639</v>
      </c>
      <c r="X18" s="87">
        <v>29.587334608974338</v>
      </c>
      <c r="Y18" s="87">
        <v>28.715285468728666</v>
      </c>
      <c r="DA18" s="171" t="s">
        <v>1039</v>
      </c>
    </row>
    <row r="19" spans="1:105" ht="11.45" customHeight="1" x14ac:dyDescent="0.25">
      <c r="A19" s="111" t="s">
        <v>93</v>
      </c>
      <c r="B19" s="87">
        <v>13.500256028799079</v>
      </c>
      <c r="C19" s="87">
        <v>12.786597902635981</v>
      </c>
      <c r="D19" s="87">
        <v>11.62782513401369</v>
      </c>
      <c r="E19" s="87">
        <v>12.801951550674513</v>
      </c>
      <c r="F19" s="87">
        <v>29.760868242119987</v>
      </c>
      <c r="G19" s="87">
        <v>33.467961113318879</v>
      </c>
      <c r="H19" s="87">
        <v>32.850498532876131</v>
      </c>
      <c r="I19" s="87">
        <v>30.302847047440988</v>
      </c>
      <c r="J19" s="87">
        <v>30.572560870564175</v>
      </c>
      <c r="K19" s="87">
        <v>34.514328176831853</v>
      </c>
      <c r="L19" s="87">
        <v>33.518151656692154</v>
      </c>
      <c r="M19" s="87">
        <v>35.04783731866997</v>
      </c>
      <c r="N19" s="87">
        <v>34.670430700051355</v>
      </c>
      <c r="O19" s="87">
        <v>36.946931987060879</v>
      </c>
      <c r="P19" s="87">
        <v>38.360680396102538</v>
      </c>
      <c r="Q19" s="87">
        <v>39.731354545540853</v>
      </c>
      <c r="R19" s="87">
        <v>40.346642524148891</v>
      </c>
      <c r="S19" s="87">
        <v>44.239163732799405</v>
      </c>
      <c r="T19" s="87">
        <v>49.514306251902063</v>
      </c>
      <c r="U19" s="87">
        <v>49.364463133308952</v>
      </c>
      <c r="V19" s="87">
        <v>46.342755918775637</v>
      </c>
      <c r="W19" s="87">
        <v>49.191420898642178</v>
      </c>
      <c r="X19" s="87">
        <v>56.607753631518086</v>
      </c>
      <c r="Y19" s="87">
        <v>62.225832173227715</v>
      </c>
      <c r="DA19" s="171" t="s">
        <v>1040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3.2166666666666663E-2</v>
      </c>
      <c r="G20" s="117">
        <v>0.193</v>
      </c>
      <c r="H20" s="117">
        <v>1.909</v>
      </c>
      <c r="I20" s="117">
        <v>2.6741176470588237</v>
      </c>
      <c r="J20" s="117">
        <v>1.9914285714285713</v>
      </c>
      <c r="K20" s="117">
        <v>1.8318181818181818</v>
      </c>
      <c r="L20" s="117">
        <v>2.0306122448979593</v>
      </c>
      <c r="M20" s="117">
        <v>2.1190000000000002</v>
      </c>
      <c r="N20" s="117">
        <v>1.989090909090909</v>
      </c>
      <c r="O20" s="117">
        <v>1.7886956521739132</v>
      </c>
      <c r="P20" s="117">
        <v>1.6914285714285713</v>
      </c>
      <c r="Q20" s="117">
        <v>3.6477777777777778</v>
      </c>
      <c r="R20" s="117">
        <v>4.1980000000000004</v>
      </c>
      <c r="S20" s="117">
        <v>4.625</v>
      </c>
      <c r="T20" s="117">
        <v>4.7750000000000004</v>
      </c>
      <c r="U20" s="117">
        <v>5.2958846250000002</v>
      </c>
      <c r="V20" s="117">
        <v>4.119253619047619</v>
      </c>
      <c r="W20" s="117">
        <v>4.2498242084383522</v>
      </c>
      <c r="X20" s="117">
        <v>4.2922224309769854</v>
      </c>
      <c r="Y20" s="117">
        <v>4.4498318472537539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24.857412340639719</v>
      </c>
      <c r="C21" s="29">
        <f t="shared" ref="C21:V21" si="19">SUM(C22:C23)</f>
        <v>24.366417678186139</v>
      </c>
      <c r="D21" s="29">
        <f t="shared" si="19"/>
        <v>21.835223756713539</v>
      </c>
      <c r="E21" s="29">
        <f t="shared" si="19"/>
        <v>22.216858416343381</v>
      </c>
      <c r="F21" s="29">
        <f t="shared" si="19"/>
        <v>30.725017153550663</v>
      </c>
      <c r="G21" s="29">
        <f t="shared" si="19"/>
        <v>30.280800455647448</v>
      </c>
      <c r="H21" s="29">
        <f t="shared" si="19"/>
        <v>31.393566415199388</v>
      </c>
      <c r="I21" s="29">
        <f t="shared" si="19"/>
        <v>34.14269184050201</v>
      </c>
      <c r="J21" s="29">
        <f t="shared" si="19"/>
        <v>30.051781605854423</v>
      </c>
      <c r="K21" s="29">
        <f t="shared" si="19"/>
        <v>25.109155310651317</v>
      </c>
      <c r="L21" s="29">
        <f t="shared" si="19"/>
        <v>24.342722162575299</v>
      </c>
      <c r="M21" s="29">
        <f t="shared" si="19"/>
        <v>26.240241456636198</v>
      </c>
      <c r="N21" s="29">
        <f t="shared" si="19"/>
        <v>24.180360946487486</v>
      </c>
      <c r="O21" s="29">
        <f t="shared" si="19"/>
        <v>22.970296409848057</v>
      </c>
      <c r="P21" s="29">
        <f t="shared" si="19"/>
        <v>25.687411904677376</v>
      </c>
      <c r="Q21" s="29">
        <f t="shared" si="19"/>
        <v>27.216148829544167</v>
      </c>
      <c r="R21" s="29">
        <f t="shared" si="19"/>
        <v>27.476765880508196</v>
      </c>
      <c r="S21" s="29">
        <f t="shared" si="19"/>
        <v>27.262029128282382</v>
      </c>
      <c r="T21" s="29">
        <f t="shared" si="19"/>
        <v>27.170291712282143</v>
      </c>
      <c r="U21" s="29">
        <f t="shared" si="19"/>
        <v>27.67315535071906</v>
      </c>
      <c r="V21" s="29">
        <f t="shared" si="19"/>
        <v>28.934009922394004</v>
      </c>
      <c r="W21" s="29">
        <f t="shared" ref="W21:Y21" si="20">SUM(W22:W23)</f>
        <v>30.468196176163865</v>
      </c>
      <c r="X21" s="29">
        <f t="shared" si="20"/>
        <v>36.593263141413821</v>
      </c>
      <c r="Y21" s="29">
        <f t="shared" si="20"/>
        <v>35.31024607664552</v>
      </c>
      <c r="DA21" s="173" t="s">
        <v>1042</v>
      </c>
    </row>
    <row r="22" spans="1:105" ht="11.45" customHeight="1" x14ac:dyDescent="0.25">
      <c r="A22" s="83" t="s">
        <v>92</v>
      </c>
      <c r="B22" s="87">
        <v>7.9323915723622154</v>
      </c>
      <c r="C22" s="87">
        <v>6.4638022588470481</v>
      </c>
      <c r="D22" s="87">
        <v>6.0773820766328033</v>
      </c>
      <c r="E22" s="87">
        <v>5.6093282378399323</v>
      </c>
      <c r="F22" s="87">
        <v>5.6563943124102893</v>
      </c>
      <c r="G22" s="87">
        <v>5.2577285766663344</v>
      </c>
      <c r="H22" s="87">
        <v>6.4335421163818625</v>
      </c>
      <c r="I22" s="87">
        <v>7.0609945993536476</v>
      </c>
      <c r="J22" s="87">
        <v>6.9065761652553697</v>
      </c>
      <c r="K22" s="87">
        <v>6.9246258483749941</v>
      </c>
      <c r="L22" s="87">
        <v>6.3219263678192466</v>
      </c>
      <c r="M22" s="87">
        <v>6.1975403850067234</v>
      </c>
      <c r="N22" s="87">
        <v>4.4977261526331773</v>
      </c>
      <c r="O22" s="87">
        <v>4.3262606580716989</v>
      </c>
      <c r="P22" s="87">
        <v>6.0266837590921964</v>
      </c>
      <c r="Q22" s="87">
        <v>6.0391191639599011</v>
      </c>
      <c r="R22" s="87">
        <v>6.0903467259175246</v>
      </c>
      <c r="S22" s="87">
        <v>5.7230530503644195</v>
      </c>
      <c r="T22" s="87">
        <v>5.5105781824012032</v>
      </c>
      <c r="U22" s="87">
        <v>5.7108634802187739</v>
      </c>
      <c r="V22" s="87">
        <v>5.9465726666523517</v>
      </c>
      <c r="W22" s="87">
        <v>6.0242620601133074</v>
      </c>
      <c r="X22" s="87">
        <v>8.1673298745338503</v>
      </c>
      <c r="Y22" s="87">
        <v>7.2769749039424863</v>
      </c>
      <c r="DA22" s="171" t="s">
        <v>1043</v>
      </c>
    </row>
    <row r="23" spans="1:105" ht="11.45" customHeight="1" x14ac:dyDescent="0.25">
      <c r="A23" s="85" t="s">
        <v>93</v>
      </c>
      <c r="B23" s="88">
        <v>16.925020768277506</v>
      </c>
      <c r="C23" s="88">
        <v>17.902615419339092</v>
      </c>
      <c r="D23" s="88">
        <v>15.757841680080736</v>
      </c>
      <c r="E23" s="88">
        <v>16.607530178503449</v>
      </c>
      <c r="F23" s="88">
        <v>25.068622841140375</v>
      </c>
      <c r="G23" s="88">
        <v>25.023071878981114</v>
      </c>
      <c r="H23" s="88">
        <v>24.960024298817526</v>
      </c>
      <c r="I23" s="88">
        <v>27.081697241148362</v>
      </c>
      <c r="J23" s="88">
        <v>23.145205440599053</v>
      </c>
      <c r="K23" s="88">
        <v>18.184529462276323</v>
      </c>
      <c r="L23" s="88">
        <v>18.020795794756054</v>
      </c>
      <c r="M23" s="88">
        <v>20.042701071629473</v>
      </c>
      <c r="N23" s="88">
        <v>19.682634793854309</v>
      </c>
      <c r="O23" s="88">
        <v>18.644035751776357</v>
      </c>
      <c r="P23" s="88">
        <v>19.660728145585178</v>
      </c>
      <c r="Q23" s="88">
        <v>21.177029665584264</v>
      </c>
      <c r="R23" s="88">
        <v>21.386419154590673</v>
      </c>
      <c r="S23" s="88">
        <v>21.538976077917962</v>
      </c>
      <c r="T23" s="88">
        <v>21.659713529880939</v>
      </c>
      <c r="U23" s="88">
        <v>21.962291870500287</v>
      </c>
      <c r="V23" s="88">
        <v>22.987437255741654</v>
      </c>
      <c r="W23" s="88">
        <v>24.443934116050556</v>
      </c>
      <c r="X23" s="88">
        <v>28.425933266879973</v>
      </c>
      <c r="Y23" s="88">
        <v>28.033271172703031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1305.9600519999999</v>
      </c>
      <c r="C25" s="62">
        <f t="shared" ref="C25:V25" si="22">C26+C32</f>
        <v>1321.2167419999998</v>
      </c>
      <c r="D25" s="62">
        <f t="shared" si="22"/>
        <v>1320.1084320000002</v>
      </c>
      <c r="E25" s="62">
        <f t="shared" si="22"/>
        <v>1385.1245349999999</v>
      </c>
      <c r="F25" s="62">
        <f t="shared" si="22"/>
        <v>1593.5258400000002</v>
      </c>
      <c r="G25" s="62">
        <f t="shared" si="22"/>
        <v>1556.414092</v>
      </c>
      <c r="H25" s="62">
        <f t="shared" si="22"/>
        <v>1555.0169459999997</v>
      </c>
      <c r="I25" s="62">
        <f t="shared" si="22"/>
        <v>1554.091897</v>
      </c>
      <c r="J25" s="62">
        <f t="shared" si="22"/>
        <v>1760.4838939999997</v>
      </c>
      <c r="K25" s="62">
        <f t="shared" si="22"/>
        <v>1762.562854</v>
      </c>
      <c r="L25" s="62">
        <f t="shared" si="22"/>
        <v>1729.0778310000001</v>
      </c>
      <c r="M25" s="62">
        <f t="shared" si="22"/>
        <v>1688.7260110000002</v>
      </c>
      <c r="N25" s="62">
        <f t="shared" si="22"/>
        <v>1776.47783</v>
      </c>
      <c r="O25" s="62">
        <f t="shared" si="22"/>
        <v>1783.0804499999999</v>
      </c>
      <c r="P25" s="62">
        <f t="shared" si="22"/>
        <v>1746.4492129999999</v>
      </c>
      <c r="Q25" s="62">
        <f t="shared" si="22"/>
        <v>1774.3672430000001</v>
      </c>
      <c r="R25" s="62">
        <f t="shared" si="22"/>
        <v>1884.02575</v>
      </c>
      <c r="S25" s="62">
        <f t="shared" si="22"/>
        <v>1953.4650099999999</v>
      </c>
      <c r="T25" s="62">
        <f t="shared" si="22"/>
        <v>1969.8332580000001</v>
      </c>
      <c r="U25" s="62">
        <f t="shared" si="22"/>
        <v>1983.931376</v>
      </c>
      <c r="V25" s="62">
        <f t="shared" si="22"/>
        <v>1872.068352</v>
      </c>
      <c r="W25" s="62">
        <f t="shared" ref="W25:Y25" si="23">W26+W32</f>
        <v>1787.6361189999998</v>
      </c>
      <c r="X25" s="62">
        <f t="shared" si="23"/>
        <v>1774.5668189999999</v>
      </c>
      <c r="Y25" s="62">
        <f t="shared" si="23"/>
        <v>1709.7216929999997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1181.67299</v>
      </c>
      <c r="C26" s="29">
        <f t="shared" ref="C26:V26" si="25">SUM(C27,C28,C31)</f>
        <v>1196.0079009999999</v>
      </c>
      <c r="D26" s="29">
        <f t="shared" si="25"/>
        <v>1207.3282960000001</v>
      </c>
      <c r="E26" s="29">
        <f t="shared" si="25"/>
        <v>1274.040242</v>
      </c>
      <c r="F26" s="29">
        <f t="shared" si="25"/>
        <v>1439.9007530000001</v>
      </c>
      <c r="G26" s="29">
        <f t="shared" si="25"/>
        <v>1405.0100890000001</v>
      </c>
      <c r="H26" s="29">
        <f t="shared" si="25"/>
        <v>1398.0491129999998</v>
      </c>
      <c r="I26" s="29">
        <f t="shared" si="25"/>
        <v>1383.3784370000001</v>
      </c>
      <c r="J26" s="29">
        <f t="shared" si="25"/>
        <v>1599.0050359999998</v>
      </c>
      <c r="K26" s="29">
        <f t="shared" si="25"/>
        <v>1609.4562570000001</v>
      </c>
      <c r="L26" s="29">
        <f t="shared" si="25"/>
        <v>1587.447242</v>
      </c>
      <c r="M26" s="29">
        <f t="shared" si="25"/>
        <v>1556.1798620000002</v>
      </c>
      <c r="N26" s="29">
        <f t="shared" si="25"/>
        <v>1651.0431490000001</v>
      </c>
      <c r="O26" s="29">
        <f t="shared" si="25"/>
        <v>1666.8049589999998</v>
      </c>
      <c r="P26" s="29">
        <f t="shared" si="25"/>
        <v>1618.0121529999999</v>
      </c>
      <c r="Q26" s="29">
        <f t="shared" si="25"/>
        <v>1638.2864980000002</v>
      </c>
      <c r="R26" s="29">
        <f t="shared" si="25"/>
        <v>1746.64192</v>
      </c>
      <c r="S26" s="29">
        <f t="shared" si="25"/>
        <v>1817.154863</v>
      </c>
      <c r="T26" s="29">
        <f t="shared" si="25"/>
        <v>1833.9817990000001</v>
      </c>
      <c r="U26" s="29">
        <f t="shared" si="25"/>
        <v>1845.5655979999999</v>
      </c>
      <c r="V26" s="29">
        <f t="shared" si="25"/>
        <v>1727.3983009999999</v>
      </c>
      <c r="W26" s="29">
        <f t="shared" ref="W26:Y26" si="26">SUM(W27,W28,W31)</f>
        <v>1635.2951369999998</v>
      </c>
      <c r="X26" s="29">
        <f t="shared" si="26"/>
        <v>1591.600502</v>
      </c>
      <c r="Y26" s="29">
        <f t="shared" si="26"/>
        <v>1532.6848819999998</v>
      </c>
      <c r="DA26" s="173" t="s">
        <v>1046</v>
      </c>
    </row>
    <row r="27" spans="1:105" ht="11.45" customHeight="1" x14ac:dyDescent="0.25">
      <c r="A27" s="107" t="s">
        <v>23</v>
      </c>
      <c r="B27" s="115">
        <v>905.55816800000002</v>
      </c>
      <c r="C27" s="115">
        <v>929.37232099999994</v>
      </c>
      <c r="D27" s="115">
        <v>947.35908800000004</v>
      </c>
      <c r="E27" s="115">
        <v>1003.513863</v>
      </c>
      <c r="F27" s="115">
        <v>1052.3705150000001</v>
      </c>
      <c r="G27" s="115">
        <v>981.42370000000005</v>
      </c>
      <c r="H27" s="115">
        <v>960.74964</v>
      </c>
      <c r="I27" s="115">
        <v>960.29069900000002</v>
      </c>
      <c r="J27" s="115">
        <v>1146.196776</v>
      </c>
      <c r="K27" s="115">
        <v>1148.980859</v>
      </c>
      <c r="L27" s="115">
        <v>1139.1904810000001</v>
      </c>
      <c r="M27" s="115">
        <v>1097.6624820000002</v>
      </c>
      <c r="N27" s="115">
        <v>1181.2065790000001</v>
      </c>
      <c r="O27" s="115">
        <v>1180.728159</v>
      </c>
      <c r="P27" s="115">
        <v>1128.8574060000001</v>
      </c>
      <c r="Q27" s="115">
        <v>1135.9549630000001</v>
      </c>
      <c r="R27" s="115">
        <v>1234.4965050000001</v>
      </c>
      <c r="S27" s="115">
        <v>1265.6506680000002</v>
      </c>
      <c r="T27" s="115">
        <v>1246.0967020000001</v>
      </c>
      <c r="U27" s="115">
        <v>1270.3542090000001</v>
      </c>
      <c r="V27" s="115">
        <v>1179.798393</v>
      </c>
      <c r="W27" s="115">
        <v>1095.7537620000001</v>
      </c>
      <c r="X27" s="115">
        <v>1005.197946</v>
      </c>
      <c r="Y27" s="115">
        <v>914.64212999999995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276.114822</v>
      </c>
      <c r="C28" s="116">
        <f t="shared" ref="C28:V28" si="28">SUM(C29:C30)</f>
        <v>266.63558</v>
      </c>
      <c r="D28" s="116">
        <f t="shared" si="28"/>
        <v>259.96920799999998</v>
      </c>
      <c r="E28" s="116">
        <f t="shared" si="28"/>
        <v>270.52637900000002</v>
      </c>
      <c r="F28" s="116">
        <f t="shared" si="28"/>
        <v>387.45875599999999</v>
      </c>
      <c r="G28" s="116">
        <f t="shared" si="28"/>
        <v>423.15750000000003</v>
      </c>
      <c r="H28" s="116">
        <f t="shared" si="28"/>
        <v>433.05724999999995</v>
      </c>
      <c r="I28" s="116">
        <f t="shared" si="28"/>
        <v>417.14525400000002</v>
      </c>
      <c r="J28" s="116">
        <f t="shared" si="28"/>
        <v>446.86577599999998</v>
      </c>
      <c r="K28" s="116">
        <f t="shared" si="28"/>
        <v>454.53291400000001</v>
      </c>
      <c r="L28" s="116">
        <f t="shared" si="28"/>
        <v>442.31427699999995</v>
      </c>
      <c r="M28" s="116">
        <f t="shared" si="28"/>
        <v>452.57489599999997</v>
      </c>
      <c r="N28" s="116">
        <f t="shared" si="28"/>
        <v>463.89408600000002</v>
      </c>
      <c r="O28" s="116">
        <f t="shared" si="28"/>
        <v>480.13431600000001</v>
      </c>
      <c r="P28" s="116">
        <f t="shared" si="28"/>
        <v>483.21226300000001</v>
      </c>
      <c r="Q28" s="116">
        <f t="shared" si="28"/>
        <v>494.22536200000002</v>
      </c>
      <c r="R28" s="116">
        <f t="shared" si="28"/>
        <v>502.81652600000001</v>
      </c>
      <c r="S28" s="116">
        <f t="shared" si="28"/>
        <v>541.22641699999997</v>
      </c>
      <c r="T28" s="116">
        <f t="shared" si="28"/>
        <v>577.27398500000004</v>
      </c>
      <c r="U28" s="116">
        <f t="shared" si="28"/>
        <v>563.44275600000003</v>
      </c>
      <c r="V28" s="116">
        <f t="shared" si="28"/>
        <v>535.83127500000001</v>
      </c>
      <c r="W28" s="116">
        <f t="shared" ref="W28:Y28" si="29">SUM(W29:W30)</f>
        <v>527.77274199999999</v>
      </c>
      <c r="X28" s="116">
        <f t="shared" si="29"/>
        <v>574.63392299999998</v>
      </c>
      <c r="Y28" s="116">
        <f t="shared" si="29"/>
        <v>606.27411900000004</v>
      </c>
      <c r="DA28" s="176" t="s">
        <v>1048</v>
      </c>
    </row>
    <row r="29" spans="1:105" ht="11.45" customHeight="1" x14ac:dyDescent="0.25">
      <c r="A29" s="111" t="s">
        <v>92</v>
      </c>
      <c r="B29" s="87">
        <v>186.11311499999999</v>
      </c>
      <c r="C29" s="87">
        <v>181.391593</v>
      </c>
      <c r="D29" s="87">
        <v>182.45037299999998</v>
      </c>
      <c r="E29" s="87">
        <v>185.180035</v>
      </c>
      <c r="F29" s="87">
        <v>189.052967</v>
      </c>
      <c r="G29" s="87">
        <v>200.03775899999999</v>
      </c>
      <c r="H29" s="87">
        <v>214.05392599999999</v>
      </c>
      <c r="I29" s="87">
        <v>207.1421</v>
      </c>
      <c r="J29" s="87">
        <v>243.04870299999999</v>
      </c>
      <c r="K29" s="87">
        <v>224.43739199999999</v>
      </c>
      <c r="L29" s="87">
        <v>218.85993199999999</v>
      </c>
      <c r="M29" s="87">
        <v>218.92264699999998</v>
      </c>
      <c r="N29" s="87">
        <v>232.757881</v>
      </c>
      <c r="O29" s="87">
        <v>233.82143600000001</v>
      </c>
      <c r="P29" s="87">
        <v>227.47439299999999</v>
      </c>
      <c r="Q29" s="87">
        <v>229.34966499999999</v>
      </c>
      <c r="R29" s="87">
        <v>233.838909</v>
      </c>
      <c r="S29" s="87">
        <v>246.29865799999999</v>
      </c>
      <c r="T29" s="87">
        <v>247.17860899999999</v>
      </c>
      <c r="U29" s="87">
        <v>234.34633500000001</v>
      </c>
      <c r="V29" s="87">
        <v>215.73502400000001</v>
      </c>
      <c r="W29" s="87">
        <v>199.829936</v>
      </c>
      <c r="X29" s="87">
        <v>197.248898</v>
      </c>
      <c r="Y29" s="87">
        <v>191.435237</v>
      </c>
      <c r="DA29" s="171" t="s">
        <v>1049</v>
      </c>
    </row>
    <row r="30" spans="1:105" ht="11.45" customHeight="1" x14ac:dyDescent="0.25">
      <c r="A30" s="111" t="s">
        <v>93</v>
      </c>
      <c r="B30" s="87">
        <v>90.001706999999996</v>
      </c>
      <c r="C30" s="87">
        <v>85.243987000000004</v>
      </c>
      <c r="D30" s="87">
        <v>77.518834999999996</v>
      </c>
      <c r="E30" s="87">
        <v>85.346344000000002</v>
      </c>
      <c r="F30" s="87">
        <v>198.405789</v>
      </c>
      <c r="G30" s="87">
        <v>223.119741</v>
      </c>
      <c r="H30" s="87">
        <v>219.00332399999999</v>
      </c>
      <c r="I30" s="87">
        <v>210.00315399999999</v>
      </c>
      <c r="J30" s="87">
        <v>203.81707299999999</v>
      </c>
      <c r="K30" s="87">
        <v>230.09552199999999</v>
      </c>
      <c r="L30" s="87">
        <v>223.45434499999999</v>
      </c>
      <c r="M30" s="87">
        <v>233.65224899999998</v>
      </c>
      <c r="N30" s="87">
        <v>231.13620499999999</v>
      </c>
      <c r="O30" s="87">
        <v>246.31288000000001</v>
      </c>
      <c r="P30" s="87">
        <v>255.73786999999999</v>
      </c>
      <c r="Q30" s="87">
        <v>264.875697</v>
      </c>
      <c r="R30" s="87">
        <v>268.97761700000001</v>
      </c>
      <c r="S30" s="87">
        <v>294.92775899999998</v>
      </c>
      <c r="T30" s="87">
        <v>330.09537599999999</v>
      </c>
      <c r="U30" s="87">
        <v>329.09642100000002</v>
      </c>
      <c r="V30" s="87">
        <v>320.096251</v>
      </c>
      <c r="W30" s="87">
        <v>327.94280600000002</v>
      </c>
      <c r="X30" s="87">
        <v>377.38502499999998</v>
      </c>
      <c r="Y30" s="87">
        <v>414.83888200000001</v>
      </c>
      <c r="DA30" s="171" t="s">
        <v>1050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7.1482000000000004E-2</v>
      </c>
      <c r="G31" s="117">
        <v>0.42888899999999996</v>
      </c>
      <c r="H31" s="117">
        <v>4.2422230000000001</v>
      </c>
      <c r="I31" s="117">
        <v>5.9424840000000003</v>
      </c>
      <c r="J31" s="117">
        <v>5.9424840000000003</v>
      </c>
      <c r="K31" s="117">
        <v>5.9424840000000003</v>
      </c>
      <c r="L31" s="117">
        <v>5.9424840000000003</v>
      </c>
      <c r="M31" s="117">
        <v>5.9424840000000003</v>
      </c>
      <c r="N31" s="117">
        <v>5.9424840000000003</v>
      </c>
      <c r="O31" s="117">
        <v>5.9424840000000003</v>
      </c>
      <c r="P31" s="117">
        <v>5.9424840000000003</v>
      </c>
      <c r="Q31" s="117">
        <v>8.1061730000000001</v>
      </c>
      <c r="R31" s="117">
        <v>9.3288889999999984</v>
      </c>
      <c r="S31" s="117">
        <v>10.277778</v>
      </c>
      <c r="T31" s="117">
        <v>10.611111999999999</v>
      </c>
      <c r="U31" s="117">
        <v>11.768632999999999</v>
      </c>
      <c r="V31" s="117">
        <v>11.768632999999999</v>
      </c>
      <c r="W31" s="117">
        <v>11.768632999999999</v>
      </c>
      <c r="X31" s="117">
        <v>11.768632999999999</v>
      </c>
      <c r="Y31" s="117">
        <v>11.768632999999999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124.28706199999999</v>
      </c>
      <c r="C32" s="29">
        <f t="shared" ref="C32:V32" si="31">SUM(C33:C34)</f>
        <v>125.20884099999999</v>
      </c>
      <c r="D32" s="29">
        <f t="shared" si="31"/>
        <v>112.780136</v>
      </c>
      <c r="E32" s="29">
        <f t="shared" si="31"/>
        <v>111.084293</v>
      </c>
      <c r="F32" s="29">
        <f t="shared" si="31"/>
        <v>153.62508700000001</v>
      </c>
      <c r="G32" s="29">
        <f t="shared" si="31"/>
        <v>151.40400299999999</v>
      </c>
      <c r="H32" s="29">
        <f t="shared" si="31"/>
        <v>156.96783299999998</v>
      </c>
      <c r="I32" s="29">
        <f t="shared" si="31"/>
        <v>170.71346</v>
      </c>
      <c r="J32" s="29">
        <f t="shared" si="31"/>
        <v>161.478858</v>
      </c>
      <c r="K32" s="29">
        <f t="shared" si="31"/>
        <v>153.10659699999999</v>
      </c>
      <c r="L32" s="29">
        <f t="shared" si="31"/>
        <v>141.63058899999999</v>
      </c>
      <c r="M32" s="29">
        <f t="shared" si="31"/>
        <v>132.54614900000001</v>
      </c>
      <c r="N32" s="29">
        <f t="shared" si="31"/>
        <v>125.434681</v>
      </c>
      <c r="O32" s="29">
        <f t="shared" si="31"/>
        <v>116.275491</v>
      </c>
      <c r="P32" s="29">
        <f t="shared" si="31"/>
        <v>128.43706</v>
      </c>
      <c r="Q32" s="29">
        <f t="shared" si="31"/>
        <v>136.08074500000001</v>
      </c>
      <c r="R32" s="29">
        <f t="shared" si="31"/>
        <v>137.38382999999999</v>
      </c>
      <c r="S32" s="29">
        <f t="shared" si="31"/>
        <v>136.310147</v>
      </c>
      <c r="T32" s="29">
        <f t="shared" si="31"/>
        <v>135.85145900000001</v>
      </c>
      <c r="U32" s="29">
        <f t="shared" si="31"/>
        <v>138.36577800000001</v>
      </c>
      <c r="V32" s="29">
        <f t="shared" si="31"/>
        <v>144.670051</v>
      </c>
      <c r="W32" s="29">
        <f t="shared" ref="W32:Y32" si="32">SUM(W33:W34)</f>
        <v>152.340982</v>
      </c>
      <c r="X32" s="29">
        <f t="shared" si="32"/>
        <v>182.96631699999998</v>
      </c>
      <c r="Y32" s="29">
        <f t="shared" si="32"/>
        <v>177.036811</v>
      </c>
      <c r="DA32" s="173" t="s">
        <v>1052</v>
      </c>
    </row>
    <row r="33" spans="1:105" ht="11.45" customHeight="1" x14ac:dyDescent="0.25">
      <c r="A33" s="83" t="s">
        <v>92</v>
      </c>
      <c r="B33" s="87">
        <v>39.661957999999998</v>
      </c>
      <c r="C33" s="87">
        <v>35.695762999999999</v>
      </c>
      <c r="D33" s="87">
        <v>31.729568</v>
      </c>
      <c r="E33" s="87">
        <v>28.046642000000002</v>
      </c>
      <c r="F33" s="87">
        <v>28.281972</v>
      </c>
      <c r="G33" s="87">
        <v>26.288643</v>
      </c>
      <c r="H33" s="87">
        <v>32.167710999999997</v>
      </c>
      <c r="I33" s="87">
        <v>35.304972999999997</v>
      </c>
      <c r="J33" s="87">
        <v>34.532880999999996</v>
      </c>
      <c r="K33" s="87">
        <v>34.623129999999996</v>
      </c>
      <c r="L33" s="87">
        <v>31.609632000000001</v>
      </c>
      <c r="M33" s="87">
        <v>30.987702000000002</v>
      </c>
      <c r="N33" s="87">
        <v>27.021507</v>
      </c>
      <c r="O33" s="87">
        <v>23.055312000000001</v>
      </c>
      <c r="P33" s="87">
        <v>30.133419</v>
      </c>
      <c r="Q33" s="87">
        <v>30.195596000000002</v>
      </c>
      <c r="R33" s="87">
        <v>30.451734000000002</v>
      </c>
      <c r="S33" s="87">
        <v>28.615266000000002</v>
      </c>
      <c r="T33" s="87">
        <v>27.552891000000002</v>
      </c>
      <c r="U33" s="87">
        <v>28.554318000000002</v>
      </c>
      <c r="V33" s="87">
        <v>29.732863999999999</v>
      </c>
      <c r="W33" s="87">
        <v>30.121311000000002</v>
      </c>
      <c r="X33" s="87">
        <v>40.836649999999999</v>
      </c>
      <c r="Y33" s="87">
        <v>36.870455</v>
      </c>
      <c r="DA33" s="171" t="s">
        <v>1053</v>
      </c>
    </row>
    <row r="34" spans="1:105" ht="11.45" customHeight="1" x14ac:dyDescent="0.25">
      <c r="A34" s="85" t="s">
        <v>93</v>
      </c>
      <c r="B34" s="88">
        <v>84.625103999999993</v>
      </c>
      <c r="C34" s="88">
        <v>89.513077999999993</v>
      </c>
      <c r="D34" s="88">
        <v>81.050567999999998</v>
      </c>
      <c r="E34" s="88">
        <v>83.037650999999997</v>
      </c>
      <c r="F34" s="88">
        <v>125.343115</v>
      </c>
      <c r="G34" s="88">
        <v>125.11536</v>
      </c>
      <c r="H34" s="88">
        <v>124.800122</v>
      </c>
      <c r="I34" s="88">
        <v>135.40848700000001</v>
      </c>
      <c r="J34" s="88">
        <v>126.945977</v>
      </c>
      <c r="K34" s="88">
        <v>118.483467</v>
      </c>
      <c r="L34" s="88">
        <v>110.020957</v>
      </c>
      <c r="M34" s="88">
        <v>101.558447</v>
      </c>
      <c r="N34" s="88">
        <v>98.413173999999998</v>
      </c>
      <c r="O34" s="88">
        <v>93.220179000000002</v>
      </c>
      <c r="P34" s="88">
        <v>98.303640999999999</v>
      </c>
      <c r="Q34" s="88">
        <v>105.885149</v>
      </c>
      <c r="R34" s="88">
        <v>106.932096</v>
      </c>
      <c r="S34" s="88">
        <v>107.694881</v>
      </c>
      <c r="T34" s="88">
        <v>108.298568</v>
      </c>
      <c r="U34" s="88">
        <v>109.81146</v>
      </c>
      <c r="V34" s="88">
        <v>114.93718699999999</v>
      </c>
      <c r="W34" s="88">
        <v>122.21967099999999</v>
      </c>
      <c r="X34" s="88">
        <v>142.12966699999998</v>
      </c>
      <c r="Y34" s="88">
        <v>140.16635600000001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63.989839999999901</v>
      </c>
      <c r="D36" s="54">
        <f t="shared" ref="D36:V36" si="34">D37+D43</f>
        <v>56.071012000000053</v>
      </c>
      <c r="E36" s="54">
        <f t="shared" si="34"/>
        <v>111.14380699999997</v>
      </c>
      <c r="F36" s="54">
        <f t="shared" si="34"/>
        <v>252.27391400000016</v>
      </c>
      <c r="G36" s="54">
        <f t="shared" si="34"/>
        <v>47.294096000000017</v>
      </c>
      <c r="H36" s="54">
        <f t="shared" si="34"/>
        <v>44.156336999999915</v>
      </c>
      <c r="I36" s="54">
        <f t="shared" si="34"/>
        <v>50.377625999999971</v>
      </c>
      <c r="J36" s="54">
        <f t="shared" si="34"/>
        <v>259.49388400000004</v>
      </c>
      <c r="K36" s="54">
        <f t="shared" si="34"/>
        <v>63.99523300000007</v>
      </c>
      <c r="L36" s="54">
        <f t="shared" si="34"/>
        <v>21.657627000000161</v>
      </c>
      <c r="M36" s="54">
        <f t="shared" si="34"/>
        <v>19.548449999999999</v>
      </c>
      <c r="N36" s="54">
        <f t="shared" si="34"/>
        <v>134.40479600000006</v>
      </c>
      <c r="O36" s="54">
        <f t="shared" si="34"/>
        <v>55.222817999999961</v>
      </c>
      <c r="P36" s="54">
        <f t="shared" si="34"/>
        <v>28.43370299999998</v>
      </c>
      <c r="Q36" s="54">
        <f t="shared" si="34"/>
        <v>71.790639000000141</v>
      </c>
      <c r="R36" s="54">
        <f t="shared" si="34"/>
        <v>153.53111600000003</v>
      </c>
      <c r="S36" s="54">
        <f t="shared" si="34"/>
        <v>113.7205060000002</v>
      </c>
      <c r="T36" s="54">
        <f t="shared" si="34"/>
        <v>60.240856999999934</v>
      </c>
      <c r="U36" s="54">
        <f t="shared" si="34"/>
        <v>64.756614000000141</v>
      </c>
      <c r="V36" s="54">
        <f t="shared" si="34"/>
        <v>10.715874000000003</v>
      </c>
      <c r="W36" s="54">
        <f t="shared" ref="W36:Y36" si="35">W37+W43</f>
        <v>22.364630000000027</v>
      </c>
      <c r="X36" s="54">
        <f t="shared" si="35"/>
        <v>90.380046999999948</v>
      </c>
      <c r="Y36" s="54">
        <f t="shared" si="35"/>
        <v>41.142585000000054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56.118095999999895</v>
      </c>
      <c r="D37" s="28">
        <f t="shared" ref="D37:V37" si="37">SUM(D38,D39,D42)</f>
        <v>56.071012000000053</v>
      </c>
      <c r="E37" s="28">
        <f t="shared" si="37"/>
        <v>106.17295399999996</v>
      </c>
      <c r="F37" s="28">
        <f t="shared" si="37"/>
        <v>205.32151900000014</v>
      </c>
      <c r="G37" s="28">
        <f t="shared" si="37"/>
        <v>44.538081000000012</v>
      </c>
      <c r="H37" s="28">
        <f t="shared" si="37"/>
        <v>34.180905999999908</v>
      </c>
      <c r="I37" s="28">
        <f t="shared" si="37"/>
        <v>32.220397999999975</v>
      </c>
      <c r="J37" s="28">
        <f t="shared" si="37"/>
        <v>258.83814500000005</v>
      </c>
      <c r="K37" s="28">
        <f t="shared" si="37"/>
        <v>62.477153000000072</v>
      </c>
      <c r="L37" s="28">
        <f t="shared" si="37"/>
        <v>21.657627000000161</v>
      </c>
      <c r="M37" s="28">
        <f t="shared" si="37"/>
        <v>18.742548999999997</v>
      </c>
      <c r="N37" s="28">
        <f t="shared" si="37"/>
        <v>134.40479600000006</v>
      </c>
      <c r="O37" s="28">
        <f t="shared" si="37"/>
        <v>55.222817999999961</v>
      </c>
      <c r="P37" s="28">
        <f t="shared" si="37"/>
        <v>11.860532999999975</v>
      </c>
      <c r="Q37" s="28">
        <f t="shared" si="37"/>
        <v>59.735353000000138</v>
      </c>
      <c r="R37" s="28">
        <f t="shared" si="37"/>
        <v>147.81643000000003</v>
      </c>
      <c r="S37" s="28">
        <f t="shared" si="37"/>
        <v>109.9739510000002</v>
      </c>
      <c r="T37" s="28">
        <f t="shared" si="37"/>
        <v>56.287943999999918</v>
      </c>
      <c r="U37" s="28">
        <f t="shared" si="37"/>
        <v>57.830694000000136</v>
      </c>
      <c r="V37" s="28">
        <f t="shared" si="37"/>
        <v>0</v>
      </c>
      <c r="W37" s="28">
        <f t="shared" ref="W37:Y37" si="38">SUM(W38,W39,W42)</f>
        <v>10.282098000000019</v>
      </c>
      <c r="X37" s="28">
        <f t="shared" si="38"/>
        <v>55.343110999999965</v>
      </c>
      <c r="Y37" s="28">
        <f t="shared" si="38"/>
        <v>40.122126000000037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54.793230999999878</v>
      </c>
      <c r="D38" s="108">
        <v>48.965845000000058</v>
      </c>
      <c r="E38" s="108">
        <v>87.133852999999931</v>
      </c>
      <c r="F38" s="108">
        <v>79.835730000000126</v>
      </c>
      <c r="G38" s="108">
        <v>0</v>
      </c>
      <c r="H38" s="108">
        <v>10.305017999999905</v>
      </c>
      <c r="I38" s="108">
        <v>30.520136999999977</v>
      </c>
      <c r="J38" s="108">
        <v>216.88515500000005</v>
      </c>
      <c r="K38" s="108">
        <v>33.763161000000082</v>
      </c>
      <c r="L38" s="108">
        <v>21.188700000000154</v>
      </c>
      <c r="M38" s="108">
        <v>0</v>
      </c>
      <c r="N38" s="108">
        <v>114.52317500000004</v>
      </c>
      <c r="O38" s="108">
        <v>30.50065799999993</v>
      </c>
      <c r="P38" s="108">
        <v>0</v>
      </c>
      <c r="Q38" s="108">
        <v>38.076635000000124</v>
      </c>
      <c r="R38" s="108">
        <v>129.52062000000001</v>
      </c>
      <c r="S38" s="108">
        <v>62.133241000000226</v>
      </c>
      <c r="T38" s="108">
        <v>11.425111999999899</v>
      </c>
      <c r="U38" s="108">
        <v>55.236585000000105</v>
      </c>
      <c r="V38" s="108">
        <v>0</v>
      </c>
      <c r="W38" s="108">
        <v>0</v>
      </c>
      <c r="X38" s="108">
        <v>0</v>
      </c>
      <c r="Y38" s="108">
        <v>0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1.3248650000000168</v>
      </c>
      <c r="D39" s="110">
        <f t="shared" ref="D39:V39" si="40">SUM(D40:D41)</f>
        <v>7.1051669999999945</v>
      </c>
      <c r="E39" s="110">
        <f t="shared" si="40"/>
        <v>19.039101000000031</v>
      </c>
      <c r="F39" s="110">
        <f t="shared" si="40"/>
        <v>125.41430699999999</v>
      </c>
      <c r="G39" s="110">
        <f t="shared" si="40"/>
        <v>44.18067400000001</v>
      </c>
      <c r="H39" s="110">
        <f t="shared" si="40"/>
        <v>20.062554000000006</v>
      </c>
      <c r="I39" s="110">
        <f t="shared" si="40"/>
        <v>0</v>
      </c>
      <c r="J39" s="110">
        <f t="shared" si="40"/>
        <v>41.95299</v>
      </c>
      <c r="K39" s="110">
        <f t="shared" si="40"/>
        <v>28.71399199999999</v>
      </c>
      <c r="L39" s="110">
        <f t="shared" si="40"/>
        <v>0.46892700000000787</v>
      </c>
      <c r="M39" s="110">
        <f t="shared" si="40"/>
        <v>18.742548999999997</v>
      </c>
      <c r="N39" s="110">
        <f t="shared" si="40"/>
        <v>19.881621000000024</v>
      </c>
      <c r="O39" s="110">
        <f t="shared" si="40"/>
        <v>24.722160000000031</v>
      </c>
      <c r="P39" s="110">
        <f t="shared" si="40"/>
        <v>11.860532999999975</v>
      </c>
      <c r="Q39" s="110">
        <f t="shared" si="40"/>
        <v>19.495029000000017</v>
      </c>
      <c r="R39" s="110">
        <f t="shared" si="40"/>
        <v>17.073094000000026</v>
      </c>
      <c r="S39" s="110">
        <f t="shared" si="40"/>
        <v>46.891820999999965</v>
      </c>
      <c r="T39" s="110">
        <f t="shared" si="40"/>
        <v>44.529498000000018</v>
      </c>
      <c r="U39" s="110">
        <f t="shared" si="40"/>
        <v>1.4365880000000288</v>
      </c>
      <c r="V39" s="110">
        <f t="shared" si="40"/>
        <v>0</v>
      </c>
      <c r="W39" s="110">
        <f t="shared" ref="W39:Y39" si="41">SUM(W40:W41)</f>
        <v>10.282098000000019</v>
      </c>
      <c r="X39" s="110">
        <f t="shared" si="41"/>
        <v>55.343110999999965</v>
      </c>
      <c r="Y39" s="110">
        <f t="shared" si="41"/>
        <v>40.122126000000037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1.3248650000000168</v>
      </c>
      <c r="D40" s="84">
        <v>7.1051669999999945</v>
      </c>
      <c r="E40" s="84">
        <v>8.7760490000000289</v>
      </c>
      <c r="F40" s="84">
        <v>9.9193190000000016</v>
      </c>
      <c r="G40" s="84">
        <v>17.031179000000009</v>
      </c>
      <c r="H40" s="84">
        <v>20.062554000000006</v>
      </c>
      <c r="I40" s="84">
        <v>0</v>
      </c>
      <c r="J40" s="84">
        <v>41.95299</v>
      </c>
      <c r="K40" s="84">
        <v>0</v>
      </c>
      <c r="L40" s="84">
        <v>0.46892700000000787</v>
      </c>
      <c r="M40" s="84">
        <v>6.1091020000000071</v>
      </c>
      <c r="N40" s="84">
        <v>19.881621000000024</v>
      </c>
      <c r="O40" s="84">
        <v>7.109942000000018</v>
      </c>
      <c r="P40" s="84">
        <v>0</v>
      </c>
      <c r="Q40" s="84">
        <v>7.9216590000000053</v>
      </c>
      <c r="R40" s="84">
        <v>10.535631000000024</v>
      </c>
      <c r="S40" s="84">
        <v>18.506135999999998</v>
      </c>
      <c r="T40" s="84">
        <v>6.9263380000000154</v>
      </c>
      <c r="U40" s="84">
        <v>0</v>
      </c>
      <c r="V40" s="84">
        <v>0</v>
      </c>
      <c r="W40" s="84">
        <v>0</v>
      </c>
      <c r="X40" s="84">
        <v>3.4653490000000033</v>
      </c>
      <c r="Y40" s="84">
        <v>0.23272600000001376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0</v>
      </c>
      <c r="E41" s="84">
        <v>10.263052000000002</v>
      </c>
      <c r="F41" s="84">
        <v>115.49498799999999</v>
      </c>
      <c r="G41" s="84">
        <v>27.149495000000002</v>
      </c>
      <c r="H41" s="84">
        <v>0</v>
      </c>
      <c r="I41" s="84">
        <v>0</v>
      </c>
      <c r="J41" s="84">
        <v>0</v>
      </c>
      <c r="K41" s="84">
        <v>28.71399199999999</v>
      </c>
      <c r="L41" s="84">
        <v>0</v>
      </c>
      <c r="M41" s="84">
        <v>12.63344699999999</v>
      </c>
      <c r="N41" s="84">
        <v>0</v>
      </c>
      <c r="O41" s="84">
        <v>17.612218000000013</v>
      </c>
      <c r="P41" s="84">
        <v>11.860532999999975</v>
      </c>
      <c r="Q41" s="84">
        <v>11.573370000000011</v>
      </c>
      <c r="R41" s="84">
        <v>6.5374630000000025</v>
      </c>
      <c r="S41" s="84">
        <v>28.385684999999967</v>
      </c>
      <c r="T41" s="84">
        <v>37.603160000000003</v>
      </c>
      <c r="U41" s="84">
        <v>1.4365880000000288</v>
      </c>
      <c r="V41" s="84">
        <v>0</v>
      </c>
      <c r="W41" s="84">
        <v>10.282098000000019</v>
      </c>
      <c r="X41" s="84">
        <v>51.877761999999962</v>
      </c>
      <c r="Y41" s="84">
        <v>39.889400000000023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7.1482000000000004E-2</v>
      </c>
      <c r="G42" s="113">
        <v>0.35740699999999997</v>
      </c>
      <c r="H42" s="113">
        <v>3.8133340000000002</v>
      </c>
      <c r="I42" s="113">
        <v>1.7002610000000002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2.1636889999999998</v>
      </c>
      <c r="R42" s="113">
        <v>1.2227159999999984</v>
      </c>
      <c r="S42" s="113">
        <v>0.9488890000000012</v>
      </c>
      <c r="T42" s="113">
        <v>0.33333399999999891</v>
      </c>
      <c r="U42" s="113">
        <v>1.1575210000000009</v>
      </c>
      <c r="V42" s="113">
        <v>0</v>
      </c>
      <c r="W42" s="113">
        <v>0</v>
      </c>
      <c r="X42" s="113">
        <v>0</v>
      </c>
      <c r="Y42" s="113">
        <v>0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7.8717440000000067</v>
      </c>
      <c r="D43" s="28">
        <f t="shared" ref="D43:V43" si="43">SUM(D44:D45)</f>
        <v>0</v>
      </c>
      <c r="E43" s="28">
        <f t="shared" si="43"/>
        <v>4.9708530000000053</v>
      </c>
      <c r="F43" s="28">
        <f t="shared" si="43"/>
        <v>46.95239500000001</v>
      </c>
      <c r="G43" s="28">
        <f t="shared" si="43"/>
        <v>2.756015000000005</v>
      </c>
      <c r="H43" s="28">
        <f t="shared" si="43"/>
        <v>9.9754310000000075</v>
      </c>
      <c r="I43" s="28">
        <f t="shared" si="43"/>
        <v>18.157227999999996</v>
      </c>
      <c r="J43" s="28">
        <f t="shared" si="43"/>
        <v>0.65573899999999696</v>
      </c>
      <c r="K43" s="28">
        <f t="shared" si="43"/>
        <v>1.5180799999999977</v>
      </c>
      <c r="L43" s="28">
        <f t="shared" si="43"/>
        <v>0</v>
      </c>
      <c r="M43" s="28">
        <f t="shared" si="43"/>
        <v>0.8059010000000022</v>
      </c>
      <c r="N43" s="28">
        <f t="shared" si="43"/>
        <v>0</v>
      </c>
      <c r="O43" s="28">
        <f t="shared" si="43"/>
        <v>0</v>
      </c>
      <c r="P43" s="28">
        <f t="shared" si="43"/>
        <v>16.573170000000005</v>
      </c>
      <c r="Q43" s="28">
        <f t="shared" si="43"/>
        <v>12.055286000000009</v>
      </c>
      <c r="R43" s="28">
        <f t="shared" si="43"/>
        <v>5.714686000000011</v>
      </c>
      <c r="S43" s="28">
        <f t="shared" si="43"/>
        <v>3.7465550000000007</v>
      </c>
      <c r="T43" s="28">
        <f t="shared" si="43"/>
        <v>3.9529130000000166</v>
      </c>
      <c r="U43" s="28">
        <f t="shared" si="43"/>
        <v>6.9259200000000014</v>
      </c>
      <c r="V43" s="28">
        <f t="shared" si="43"/>
        <v>10.715874000000003</v>
      </c>
      <c r="W43" s="28">
        <f t="shared" ref="W43:Y43" si="44">SUM(W44:W45)</f>
        <v>12.082532000000008</v>
      </c>
      <c r="X43" s="28">
        <f t="shared" si="44"/>
        <v>35.036935999999983</v>
      </c>
      <c r="Y43" s="28">
        <f t="shared" si="44"/>
        <v>1.0204590000000167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</v>
      </c>
      <c r="F44" s="84">
        <v>1.6631609999999988</v>
      </c>
      <c r="G44" s="84">
        <v>0</v>
      </c>
      <c r="H44" s="84">
        <v>7.3068989999999943</v>
      </c>
      <c r="I44" s="84">
        <v>4.5650929999999974</v>
      </c>
      <c r="J44" s="84">
        <v>0.65573899999999696</v>
      </c>
      <c r="K44" s="84">
        <v>1.5180799999999977</v>
      </c>
      <c r="L44" s="84">
        <v>0</v>
      </c>
      <c r="M44" s="84">
        <v>0.8059010000000022</v>
      </c>
      <c r="N44" s="84">
        <v>0</v>
      </c>
      <c r="O44" s="84">
        <v>0</v>
      </c>
      <c r="P44" s="84">
        <v>8.5059380000000004</v>
      </c>
      <c r="Q44" s="84">
        <v>1.4900080000000031</v>
      </c>
      <c r="R44" s="84">
        <v>1.6839690000000012</v>
      </c>
      <c r="S44" s="84">
        <v>0</v>
      </c>
      <c r="T44" s="84">
        <v>0.36545600000000178</v>
      </c>
      <c r="U44" s="84">
        <v>2.4292580000000008</v>
      </c>
      <c r="V44" s="84">
        <v>2.6063769999999984</v>
      </c>
      <c r="W44" s="84">
        <v>1.8162780000000041</v>
      </c>
      <c r="X44" s="84">
        <v>12.143169999999994</v>
      </c>
      <c r="Y44" s="84">
        <v>0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7.8717440000000067</v>
      </c>
      <c r="D45" s="86">
        <v>0</v>
      </c>
      <c r="E45" s="86">
        <v>4.9708530000000053</v>
      </c>
      <c r="F45" s="86">
        <v>45.289234000000008</v>
      </c>
      <c r="G45" s="86">
        <v>2.756015000000005</v>
      </c>
      <c r="H45" s="86">
        <v>2.6685320000000132</v>
      </c>
      <c r="I45" s="86">
        <v>13.592134999999999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8.0672320000000042</v>
      </c>
      <c r="Q45" s="86">
        <v>10.565278000000006</v>
      </c>
      <c r="R45" s="86">
        <v>4.0307170000000099</v>
      </c>
      <c r="S45" s="86">
        <v>3.7465550000000007</v>
      </c>
      <c r="T45" s="86">
        <v>3.5874570000000148</v>
      </c>
      <c r="U45" s="86">
        <v>4.4966620000000006</v>
      </c>
      <c r="V45" s="86">
        <v>8.1094970000000046</v>
      </c>
      <c r="W45" s="86">
        <v>10.266254000000004</v>
      </c>
      <c r="X45" s="86">
        <v>22.893765999999985</v>
      </c>
      <c r="Y45" s="86">
        <v>1.0204590000000167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108.97078784056336</v>
      </c>
      <c r="C50" s="29">
        <f t="shared" si="45"/>
        <v>109.16406374338577</v>
      </c>
      <c r="D50" s="29">
        <f t="shared" si="45"/>
        <v>104.07466518633191</v>
      </c>
      <c r="E50" s="29">
        <f t="shared" si="45"/>
        <v>99.899658183329876</v>
      </c>
      <c r="F50" s="29">
        <f t="shared" si="45"/>
        <v>88.007286401880862</v>
      </c>
      <c r="G50" s="29">
        <f t="shared" si="45"/>
        <v>85.077060054152739</v>
      </c>
      <c r="H50" s="29">
        <f t="shared" si="45"/>
        <v>85.313218971622362</v>
      </c>
      <c r="I50" s="29">
        <f t="shared" si="45"/>
        <v>86.329431014988387</v>
      </c>
      <c r="J50" s="29">
        <f t="shared" si="45"/>
        <v>81.576423181070552</v>
      </c>
      <c r="K50" s="29">
        <f t="shared" ref="K50:V50" si="46">IF(K4=0,0,K4/K15)</f>
        <v>79.174914729149734</v>
      </c>
      <c r="L50" s="29">
        <f t="shared" si="46"/>
        <v>80.31444000805746</v>
      </c>
      <c r="M50" s="29">
        <f t="shared" si="46"/>
        <v>80.656108295610707</v>
      </c>
      <c r="N50" s="29">
        <f t="shared" si="46"/>
        <v>82.866048739661593</v>
      </c>
      <c r="O50" s="29">
        <f t="shared" si="46"/>
        <v>83.916681793711703</v>
      </c>
      <c r="P50" s="29">
        <f t="shared" si="46"/>
        <v>85.042629627852151</v>
      </c>
      <c r="Q50" s="29">
        <f t="shared" si="46"/>
        <v>86.568964784686756</v>
      </c>
      <c r="R50" s="29">
        <f t="shared" si="46"/>
        <v>88.691092230256956</v>
      </c>
      <c r="S50" s="29">
        <f t="shared" si="46"/>
        <v>89.526516642088964</v>
      </c>
      <c r="T50" s="29">
        <f t="shared" si="46"/>
        <v>91.73130595947714</v>
      </c>
      <c r="U50" s="29">
        <f t="shared" si="46"/>
        <v>95.642254023405144</v>
      </c>
      <c r="V50" s="29">
        <f t="shared" si="46"/>
        <v>51.738399471257118</v>
      </c>
      <c r="W50" s="29">
        <f t="shared" ref="W50:Y50" si="47">IF(W4=0,0,W4/W15)</f>
        <v>50.826029221901486</v>
      </c>
      <c r="X50" s="29">
        <f t="shared" si="47"/>
        <v>78.159035243707351</v>
      </c>
      <c r="Y50" s="29">
        <f t="shared" si="47"/>
        <v>89.925576475640923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80.994746904636273</v>
      </c>
      <c r="C51" s="115">
        <f t="shared" si="48"/>
        <v>80.474646664391415</v>
      </c>
      <c r="D51" s="115">
        <f t="shared" si="48"/>
        <v>79.714421731928738</v>
      </c>
      <c r="E51" s="115">
        <f t="shared" si="48"/>
        <v>77.576497784208385</v>
      </c>
      <c r="F51" s="115">
        <f t="shared" si="48"/>
        <v>75.375284790254099</v>
      </c>
      <c r="G51" s="115">
        <f t="shared" si="48"/>
        <v>73.494343930035839</v>
      </c>
      <c r="H51" s="115">
        <f t="shared" si="48"/>
        <v>73.794648375388221</v>
      </c>
      <c r="I51" s="115">
        <f t="shared" si="48"/>
        <v>73.371721634511943</v>
      </c>
      <c r="J51" s="115">
        <f t="shared" si="48"/>
        <v>72.514916671695332</v>
      </c>
      <c r="K51" s="115">
        <f t="shared" ref="K51:V51" si="49">IF(K5=0,0,K5/K16)</f>
        <v>71.104119874249918</v>
      </c>
      <c r="L51" s="115">
        <f t="shared" si="49"/>
        <v>71.797395155317687</v>
      </c>
      <c r="M51" s="115">
        <f t="shared" si="49"/>
        <v>72.18645526627121</v>
      </c>
      <c r="N51" s="115">
        <f t="shared" si="49"/>
        <v>73.130153319450358</v>
      </c>
      <c r="O51" s="115">
        <f t="shared" si="49"/>
        <v>73.767268351109848</v>
      </c>
      <c r="P51" s="115">
        <f t="shared" si="49"/>
        <v>74.282672912481345</v>
      </c>
      <c r="Q51" s="115">
        <f t="shared" si="49"/>
        <v>75.432728087097701</v>
      </c>
      <c r="R51" s="115">
        <f t="shared" si="49"/>
        <v>76.346178836026965</v>
      </c>
      <c r="S51" s="115">
        <f t="shared" si="49"/>
        <v>77.166201604156825</v>
      </c>
      <c r="T51" s="115">
        <f t="shared" si="49"/>
        <v>78.31582474274326</v>
      </c>
      <c r="U51" s="115">
        <f t="shared" si="49"/>
        <v>79.425235217512196</v>
      </c>
      <c r="V51" s="115">
        <f t="shared" si="49"/>
        <v>31.305312147765704</v>
      </c>
      <c r="W51" s="115">
        <f t="shared" ref="W51:Y51" si="50">IF(W5=0,0,W5/W16)</f>
        <v>29.982681804052753</v>
      </c>
      <c r="X51" s="115">
        <f t="shared" si="50"/>
        <v>52.582685809860465</v>
      </c>
      <c r="Y51" s="115">
        <f t="shared" si="50"/>
        <v>70.654594032952346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176.25517688829842</v>
      </c>
      <c r="C52" s="116">
        <f t="shared" si="51"/>
        <v>182.49627578131125</v>
      </c>
      <c r="D52" s="116">
        <f t="shared" si="51"/>
        <v>169.17388249913515</v>
      </c>
      <c r="E52" s="116">
        <f t="shared" si="51"/>
        <v>160.62512533895219</v>
      </c>
      <c r="F52" s="116">
        <f t="shared" si="51"/>
        <v>113.19914573633413</v>
      </c>
      <c r="G52" s="116">
        <f t="shared" si="51"/>
        <v>104.94122579153201</v>
      </c>
      <c r="H52" s="116">
        <f t="shared" si="51"/>
        <v>104.28182444584907</v>
      </c>
      <c r="I52" s="116">
        <f t="shared" si="51"/>
        <v>107.03201121820848</v>
      </c>
      <c r="J52" s="116">
        <f t="shared" si="51"/>
        <v>97.270073322027656</v>
      </c>
      <c r="K52" s="116">
        <f t="shared" ref="K52:V52" si="52">IF(K6=0,0,K6/K17)</f>
        <v>93.051033627748367</v>
      </c>
      <c r="L52" s="116">
        <f t="shared" si="52"/>
        <v>94.774241455208596</v>
      </c>
      <c r="M52" s="116">
        <f t="shared" si="52"/>
        <v>94.039683665334493</v>
      </c>
      <c r="N52" s="116">
        <f t="shared" si="52"/>
        <v>99.51984320011826</v>
      </c>
      <c r="O52" s="116">
        <f t="shared" si="52"/>
        <v>100.88843560480676</v>
      </c>
      <c r="P52" s="116">
        <f t="shared" si="52"/>
        <v>102.06694628584022</v>
      </c>
      <c r="Q52" s="116">
        <f t="shared" si="52"/>
        <v>101.95079127667412</v>
      </c>
      <c r="R52" s="116">
        <f t="shared" si="52"/>
        <v>106.59951944867898</v>
      </c>
      <c r="S52" s="116">
        <f t="shared" si="52"/>
        <v>106.35105449054664</v>
      </c>
      <c r="T52" s="116">
        <f t="shared" si="52"/>
        <v>108.85645609558242</v>
      </c>
      <c r="U52" s="116">
        <f t="shared" si="52"/>
        <v>118.02441222292423</v>
      </c>
      <c r="V52" s="116">
        <f t="shared" si="52"/>
        <v>79.522914493312072</v>
      </c>
      <c r="W52" s="116">
        <f t="shared" ref="W52:Y52" si="53">IF(W6=0,0,W6/W17)</f>
        <v>78.36773388198776</v>
      </c>
      <c r="X52" s="116">
        <f t="shared" si="53"/>
        <v>102.22089104500927</v>
      </c>
      <c r="Y52" s="116">
        <f t="shared" si="53"/>
        <v>103.09499579739638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142.81459726358892</v>
      </c>
      <c r="C53" s="87">
        <f t="shared" si="54"/>
        <v>146.54219682633484</v>
      </c>
      <c r="D53" s="87">
        <f t="shared" si="54"/>
        <v>130.86484717469472</v>
      </c>
      <c r="E53" s="87">
        <f t="shared" si="54"/>
        <v>124.40941246147875</v>
      </c>
      <c r="F53" s="87">
        <f t="shared" si="54"/>
        <v>121.64845451431374</v>
      </c>
      <c r="G53" s="87">
        <f t="shared" si="54"/>
        <v>115.52982244159753</v>
      </c>
      <c r="H53" s="87">
        <f t="shared" si="54"/>
        <v>107.26639427057353</v>
      </c>
      <c r="I53" s="87">
        <f t="shared" si="54"/>
        <v>105.82570390021944</v>
      </c>
      <c r="J53" s="87">
        <f t="shared" si="54"/>
        <v>87.037859246071122</v>
      </c>
      <c r="K53" s="87">
        <f t="shared" ref="K53:V53" si="55">IF(K7=0,0,K7/K18)</f>
        <v>91.875723341458624</v>
      </c>
      <c r="L53" s="87">
        <f t="shared" si="55"/>
        <v>91.474202969570882</v>
      </c>
      <c r="M53" s="87">
        <f t="shared" si="55"/>
        <v>91.945525517155716</v>
      </c>
      <c r="N53" s="87">
        <f t="shared" si="55"/>
        <v>91.781622974551709</v>
      </c>
      <c r="O53" s="87">
        <f t="shared" si="55"/>
        <v>95.404284630821181</v>
      </c>
      <c r="P53" s="87">
        <f t="shared" si="55"/>
        <v>99.792242327267715</v>
      </c>
      <c r="Q53" s="87">
        <f t="shared" si="55"/>
        <v>98.432616695479297</v>
      </c>
      <c r="R53" s="87">
        <f t="shared" si="55"/>
        <v>103.1860138869565</v>
      </c>
      <c r="S53" s="87">
        <f t="shared" si="55"/>
        <v>104.91359001190658</v>
      </c>
      <c r="T53" s="87">
        <f t="shared" si="55"/>
        <v>112.46819104247412</v>
      </c>
      <c r="U53" s="87">
        <f t="shared" si="55"/>
        <v>125.42759294963051</v>
      </c>
      <c r="V53" s="87">
        <f t="shared" si="55"/>
        <v>91.997846747115346</v>
      </c>
      <c r="W53" s="87">
        <f t="shared" ref="W53:Y53" si="56">IF(W7=0,0,W7/W18)</f>
        <v>94.933446484806367</v>
      </c>
      <c r="X53" s="87">
        <f t="shared" si="56"/>
        <v>132.75348416818568</v>
      </c>
      <c r="Y53" s="87">
        <f t="shared" si="56"/>
        <v>140.94307325801805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245.40642567377117</v>
      </c>
      <c r="C54" s="87">
        <f t="shared" si="57"/>
        <v>259.00334600828069</v>
      </c>
      <c r="D54" s="87">
        <f t="shared" si="57"/>
        <v>259.3390381995643</v>
      </c>
      <c r="E54" s="87">
        <f t="shared" si="57"/>
        <v>239.2040855650921</v>
      </c>
      <c r="F54" s="87">
        <f t="shared" si="57"/>
        <v>105.14813623950072</v>
      </c>
      <c r="G54" s="87">
        <f t="shared" si="57"/>
        <v>95.44803109906475</v>
      </c>
      <c r="H54" s="87">
        <f t="shared" si="57"/>
        <v>101.36470485169997</v>
      </c>
      <c r="I54" s="87">
        <f t="shared" si="57"/>
        <v>108.26891000189988</v>
      </c>
      <c r="J54" s="87">
        <f t="shared" si="57"/>
        <v>109.47183013064001</v>
      </c>
      <c r="K54" s="87">
        <f t="shared" ref="K54:V54" si="58">IF(K8=0,0,K8/K19)</f>
        <v>94.158206886033398</v>
      </c>
      <c r="L54" s="87">
        <f t="shared" si="58"/>
        <v>98.006428323542892</v>
      </c>
      <c r="M54" s="87">
        <f t="shared" si="58"/>
        <v>96.001824610379614</v>
      </c>
      <c r="N54" s="87">
        <f t="shared" si="58"/>
        <v>107.31235560629793</v>
      </c>
      <c r="O54" s="87">
        <f t="shared" si="58"/>
        <v>106.09446484589103</v>
      </c>
      <c r="P54" s="87">
        <f t="shared" si="58"/>
        <v>104.09025594721888</v>
      </c>
      <c r="Q54" s="87">
        <f t="shared" si="58"/>
        <v>104.99709627533213</v>
      </c>
      <c r="R54" s="87">
        <f t="shared" si="58"/>
        <v>109.56709134206399</v>
      </c>
      <c r="S54" s="87">
        <f t="shared" si="58"/>
        <v>107.55150294283325</v>
      </c>
      <c r="T54" s="87">
        <f t="shared" si="58"/>
        <v>106.15195404966126</v>
      </c>
      <c r="U54" s="87">
        <f t="shared" si="58"/>
        <v>112.75267982113313</v>
      </c>
      <c r="V54" s="87">
        <f t="shared" si="58"/>
        <v>71.398100283986764</v>
      </c>
      <c r="W54" s="87">
        <f t="shared" ref="W54:Y54" si="59">IF(W8=0,0,W8/W19)</f>
        <v>68.273518630742629</v>
      </c>
      <c r="X54" s="87">
        <f t="shared" si="59"/>
        <v>86.262334288005107</v>
      </c>
      <c r="Y54" s="87">
        <f t="shared" si="59"/>
        <v>85.629285645079563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31.088082901554408</v>
      </c>
      <c r="G55" s="117">
        <f t="shared" si="60"/>
        <v>31.088082901554404</v>
      </c>
      <c r="H55" s="117">
        <f t="shared" si="60"/>
        <v>77.527501309586171</v>
      </c>
      <c r="I55" s="117">
        <f t="shared" si="60"/>
        <v>123.03123625164979</v>
      </c>
      <c r="J55" s="117">
        <f t="shared" si="60"/>
        <v>127.04447632711621</v>
      </c>
      <c r="K55" s="117">
        <f t="shared" ref="K55:V55" si="61">IF(K9=0,0,K9/K20)</f>
        <v>128.287841191067</v>
      </c>
      <c r="L55" s="117">
        <f t="shared" si="61"/>
        <v>133.4572864321608</v>
      </c>
      <c r="M55" s="117">
        <f t="shared" si="61"/>
        <v>134.49740443605472</v>
      </c>
      <c r="N55" s="117">
        <f t="shared" si="61"/>
        <v>136.24314442413163</v>
      </c>
      <c r="O55" s="117">
        <f t="shared" si="61"/>
        <v>137.53038405444821</v>
      </c>
      <c r="P55" s="117">
        <f t="shared" si="61"/>
        <v>145.43918918918919</v>
      </c>
      <c r="Q55" s="117">
        <f t="shared" si="61"/>
        <v>155.43710021321962</v>
      </c>
      <c r="R55" s="117">
        <f t="shared" si="61"/>
        <v>166.26965221534061</v>
      </c>
      <c r="S55" s="117">
        <f t="shared" si="61"/>
        <v>166.27027027027026</v>
      </c>
      <c r="T55" s="117">
        <f t="shared" si="61"/>
        <v>166.282722513089</v>
      </c>
      <c r="U55" s="117">
        <f t="shared" si="61"/>
        <v>166.35558785421992</v>
      </c>
      <c r="V55" s="117">
        <f t="shared" si="61"/>
        <v>130.47950392500277</v>
      </c>
      <c r="W55" s="117">
        <f t="shared" ref="W55:Y55" si="62">IF(W9=0,0,W9/W20)</f>
        <v>128.93402524635133</v>
      </c>
      <c r="X55" s="117">
        <f t="shared" si="62"/>
        <v>135.8413469315357</v>
      </c>
      <c r="Y55" s="117">
        <f t="shared" si="62"/>
        <v>139.42680986358548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703.85443827536119</v>
      </c>
      <c r="C56" s="29">
        <f t="shared" si="63"/>
        <v>693.57753869292014</v>
      </c>
      <c r="D56" s="29">
        <f t="shared" si="63"/>
        <v>724.05944524104086</v>
      </c>
      <c r="E56" s="29">
        <f t="shared" si="63"/>
        <v>713.96232999042934</v>
      </c>
      <c r="F56" s="29">
        <f t="shared" si="63"/>
        <v>491.19582015451954</v>
      </c>
      <c r="G56" s="29">
        <f t="shared" si="63"/>
        <v>490.93814484112994</v>
      </c>
      <c r="H56" s="29">
        <f t="shared" si="63"/>
        <v>502.61890577556363</v>
      </c>
      <c r="I56" s="29">
        <f t="shared" si="63"/>
        <v>477.52532448713555</v>
      </c>
      <c r="J56" s="29">
        <f t="shared" si="63"/>
        <v>513.68002744278897</v>
      </c>
      <c r="K56" s="29">
        <f t="shared" ref="K56:V56" si="64">IF(K10=0,0,K10/K21)</f>
        <v>509.41578248050627</v>
      </c>
      <c r="L56" s="29">
        <f t="shared" si="64"/>
        <v>565.67215071657483</v>
      </c>
      <c r="M56" s="29">
        <f t="shared" si="64"/>
        <v>545.57424799837202</v>
      </c>
      <c r="N56" s="29">
        <f t="shared" si="64"/>
        <v>590.02427761825732</v>
      </c>
      <c r="O56" s="29">
        <f t="shared" si="64"/>
        <v>607.95906812995167</v>
      </c>
      <c r="P56" s="29">
        <f t="shared" si="64"/>
        <v>567.39853956817126</v>
      </c>
      <c r="Q56" s="29">
        <f t="shared" si="64"/>
        <v>560.73326522353534</v>
      </c>
      <c r="R56" s="29">
        <f t="shared" si="64"/>
        <v>568.44390158304611</v>
      </c>
      <c r="S56" s="29">
        <f t="shared" si="64"/>
        <v>581.13796025417764</v>
      </c>
      <c r="T56" s="29">
        <f t="shared" si="64"/>
        <v>609.63644319329694</v>
      </c>
      <c r="U56" s="29">
        <f t="shared" si="64"/>
        <v>584.68215116566307</v>
      </c>
      <c r="V56" s="29">
        <f t="shared" si="64"/>
        <v>527.09596910023208</v>
      </c>
      <c r="W56" s="29">
        <f t="shared" ref="W56:Y56" si="65">IF(W10=0,0,W10/W21)</f>
        <v>535.83743210805153</v>
      </c>
      <c r="X56" s="29">
        <f t="shared" si="65"/>
        <v>447.295447163218</v>
      </c>
      <c r="Y56" s="29">
        <f t="shared" si="65"/>
        <v>425.88205042123042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641.37666512031433</v>
      </c>
      <c r="C57" s="87">
        <f t="shared" si="66"/>
        <v>627.73809579209831</v>
      </c>
      <c r="D57" s="87">
        <f t="shared" si="66"/>
        <v>631.37471526682123</v>
      </c>
      <c r="E57" s="87">
        <f t="shared" si="66"/>
        <v>625.4394593903387</v>
      </c>
      <c r="F57" s="87">
        <f t="shared" si="66"/>
        <v>583.12501109750701</v>
      </c>
      <c r="G57" s="87">
        <f t="shared" si="66"/>
        <v>600.7588619476503</v>
      </c>
      <c r="H57" s="87">
        <f t="shared" si="66"/>
        <v>573.3819464558303</v>
      </c>
      <c r="I57" s="87">
        <f t="shared" si="66"/>
        <v>525.48258228868133</v>
      </c>
      <c r="J57" s="87">
        <f t="shared" si="66"/>
        <v>540.30069953738405</v>
      </c>
      <c r="K57" s="87">
        <f t="shared" ref="K57:V57" si="67">IF(K11=0,0,K11/K22)</f>
        <v>533.47914537377358</v>
      </c>
      <c r="L57" s="87">
        <f t="shared" si="67"/>
        <v>589.45013223800458</v>
      </c>
      <c r="M57" s="87">
        <f t="shared" si="67"/>
        <v>573.43820650800478</v>
      </c>
      <c r="N57" s="87">
        <f t="shared" si="67"/>
        <v>621.89325779308047</v>
      </c>
      <c r="O57" s="87">
        <f t="shared" si="67"/>
        <v>646.43549807362945</v>
      </c>
      <c r="P57" s="87">
        <f t="shared" si="67"/>
        <v>603.31927306400291</v>
      </c>
      <c r="Q57" s="87">
        <f t="shared" si="67"/>
        <v>587.83205611754988</v>
      </c>
      <c r="R57" s="87">
        <f t="shared" si="67"/>
        <v>600.12160496003992</v>
      </c>
      <c r="S57" s="87">
        <f t="shared" si="67"/>
        <v>615.5727075295149</v>
      </c>
      <c r="T57" s="87">
        <f t="shared" si="67"/>
        <v>644.86515449577689</v>
      </c>
      <c r="U57" s="87">
        <f t="shared" si="67"/>
        <v>608.62657124324221</v>
      </c>
      <c r="V57" s="87">
        <f t="shared" si="67"/>
        <v>559.61015952767309</v>
      </c>
      <c r="W57" s="87">
        <f t="shared" ref="W57:Y57" si="68">IF(W11=0,0,W11/W22)</f>
        <v>569.26482878185698</v>
      </c>
      <c r="X57" s="87">
        <f t="shared" si="68"/>
        <v>396.59984119254949</v>
      </c>
      <c r="Y57" s="87">
        <f t="shared" si="68"/>
        <v>486.50451118743177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733.13642073318761</v>
      </c>
      <c r="C58" s="88">
        <f t="shared" si="69"/>
        <v>717.34910110294879</v>
      </c>
      <c r="D58" s="88">
        <f t="shared" si="69"/>
        <v>759.80549017274666</v>
      </c>
      <c r="E58" s="88">
        <f t="shared" si="69"/>
        <v>743.86164869794368</v>
      </c>
      <c r="F58" s="88">
        <f t="shared" si="69"/>
        <v>470.45324661589513</v>
      </c>
      <c r="G58" s="88">
        <f t="shared" si="69"/>
        <v>467.8631392849195</v>
      </c>
      <c r="H58" s="88">
        <f t="shared" si="69"/>
        <v>484.3794602906766</v>
      </c>
      <c r="I58" s="88">
        <f t="shared" si="69"/>
        <v>465.02145756471793</v>
      </c>
      <c r="J58" s="88">
        <f t="shared" si="69"/>
        <v>505.73636499125138</v>
      </c>
      <c r="K58" s="88">
        <f t="shared" ref="K58:V58" si="70">IF(K12=0,0,K12/K23)</f>
        <v>500.25251075355732</v>
      </c>
      <c r="L58" s="88">
        <f t="shared" si="70"/>
        <v>557.33052973235669</v>
      </c>
      <c r="M58" s="88">
        <f t="shared" si="70"/>
        <v>536.9582432227462</v>
      </c>
      <c r="N58" s="88">
        <f t="shared" si="70"/>
        <v>582.74182041213135</v>
      </c>
      <c r="O58" s="88">
        <f t="shared" si="70"/>
        <v>599.03079383652118</v>
      </c>
      <c r="P58" s="88">
        <f t="shared" si="70"/>
        <v>556.38760957763486</v>
      </c>
      <c r="Q58" s="88">
        <f t="shared" si="70"/>
        <v>553.00541906227011</v>
      </c>
      <c r="R58" s="88">
        <f t="shared" si="70"/>
        <v>559.42284033608883</v>
      </c>
      <c r="S58" s="88">
        <f t="shared" si="70"/>
        <v>571.98841272138259</v>
      </c>
      <c r="T58" s="88">
        <f t="shared" si="70"/>
        <v>600.67369455722928</v>
      </c>
      <c r="U58" s="88">
        <f t="shared" si="70"/>
        <v>578.45587410030191</v>
      </c>
      <c r="V58" s="88">
        <f t="shared" si="70"/>
        <v>518.68494033164427</v>
      </c>
      <c r="W58" s="88">
        <f t="shared" ref="W58:Y58" si="71">IF(W12=0,0,W12/W23)</f>
        <v>527.59917567214768</v>
      </c>
      <c r="X58" s="88">
        <f t="shared" si="71"/>
        <v>461.86129213528994</v>
      </c>
      <c r="Y58" s="88">
        <f t="shared" si="71"/>
        <v>410.1454593222777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381.30685397150353</v>
      </c>
      <c r="C61" s="29">
        <f t="shared" ref="C61" si="73">IF(C26=0,0,(C62*C27+C64*C29+C65*C30+C66*C31)/(C27+C29+C30+C31))</f>
        <v>382.16496196875875</v>
      </c>
      <c r="D61" s="29">
        <f t="shared" ref="D61" si="74">IF(D26=0,0,(D62*D27+D64*D29+D65*D30+D66*D31)/(D27+D29+D30+D31))</f>
        <v>382.77391765859846</v>
      </c>
      <c r="E61" s="29">
        <f t="shared" ref="E61" si="75">IF(E26=0,0,(E62*E27+E64*E29+E65*E30+E66*E31)/(E27+E29+E30+E31))</f>
        <v>383.01300884654472</v>
      </c>
      <c r="F61" s="29">
        <f t="shared" ref="F61" si="76">IF(F26=0,0,(F62*F27+F64*F29+F65*F30+F66*F31)/(F27+F29+F30+F31))</f>
        <v>378.48097287577428</v>
      </c>
      <c r="G61" s="29">
        <f t="shared" ref="G61" si="77">IF(G26=0,0,(G62*G27+G64*G29+G65*G30+G66*G31)/(G27+G29+G30+G31))</f>
        <v>375.95463689229064</v>
      </c>
      <c r="H61" s="29">
        <f t="shared" ref="H61" si="78">IF(H26=0,0,(H62*H27+H64*H29+H65*H30+H66*H31)/(H27+H29+H30+H31))</f>
        <v>375.70484183698346</v>
      </c>
      <c r="I61" s="29">
        <f t="shared" ref="I61" si="79">IF(I26=0,0,(I62*I27+I64*I29+I65*I30+I66*I31)/(I27+I29+I30+I31))</f>
        <v>376.56402470006122</v>
      </c>
      <c r="J61" s="29">
        <f t="shared" ref="J61" si="80">IF(J26=0,0,(J62*J27+J64*J29+J65*J30+J66*J31)/(J27+J29+J30+J31))</f>
        <v>378.23742648925599</v>
      </c>
      <c r="K61" s="29">
        <f t="shared" ref="K61" si="81">IF(K26=0,0,(K62*K27+K64*K29+K65*K30+K66*K31)/(K27+K29+K30+K31))</f>
        <v>377.99764018066134</v>
      </c>
      <c r="L61" s="29">
        <f t="shared" ref="L61" si="82">IF(L26=0,0,(L62*L27+L64*L29+L65*L30+L66*L31)/(L27+L29+L30+L31))</f>
        <v>378.3083533052623</v>
      </c>
      <c r="M61" s="29">
        <f t="shared" ref="M61" si="83">IF(M26=0,0,(M62*M27+M64*M29+M65*M30+M66*M31)/(M27+M29+M30+M31))</f>
        <v>377.34503889885195</v>
      </c>
      <c r="N61" s="29">
        <f t="shared" ref="N61" si="84">IF(N26=0,0,(N62*N27+N64*N29+N65*N30+N66*N31)/(N27+N29+N30+N31))</f>
        <v>378.09825293669536</v>
      </c>
      <c r="O61" s="29">
        <f t="shared" ref="O61" si="85">IF(O26=0,0,(O62*O27+O64*O29+O65*O30+O66*O31)/(O27+O29+O30+O31))</f>
        <v>377.52589609376128</v>
      </c>
      <c r="P61" s="29">
        <f t="shared" ref="P61" si="86">IF(P26=0,0,(P62*P27+P64*P29+P65*P30+P66*P31)/(P27+P29+P30+P31))</f>
        <v>376.69598245594887</v>
      </c>
      <c r="Q61" s="29">
        <f t="shared" ref="Q61" si="87">IF(Q26=0,0,(Q62*Q27+Q64*Q29+Q65*Q30+Q66*Q31)/(Q27+Q29+Q30+Q31))</f>
        <v>376.65790365318628</v>
      </c>
      <c r="R61" s="29">
        <f t="shared" ref="R61" si="88">IF(R26=0,0,(R62*R27+R64*R29+R65*R30+R66*R31)/(R27+R29+R30+R31))</f>
        <v>377.82447598646894</v>
      </c>
      <c r="S61" s="29">
        <f t="shared" ref="S61" si="89">IF(S26=0,0,(S62*S27+S64*S29+S65*S30+S66*S31)/(S27+S29+S30+S31))</f>
        <v>377.07753492664216</v>
      </c>
      <c r="T61" s="29">
        <f t="shared" ref="T61" si="90">IF(T26=0,0,(T62*T27+T64*T29+T65*T30+T66*T31)/(T27+T29+T30+T31))</f>
        <v>375.74450253309192</v>
      </c>
      <c r="U61" s="29">
        <f t="shared" ref="U61" si="91">IF(U26=0,0,(U62*U27+U64*U29+U65*U30+U66*U31)/(U27+U29+U30+U31))</f>
        <v>376.59663831683542</v>
      </c>
      <c r="V61" s="29">
        <f t="shared" ref="V61" si="92">IF(V26=0,0,(V62*V27+V64*V29+V65*V30+V66*V31)/(V27+V29+V30+V31))</f>
        <v>376.27442339368156</v>
      </c>
      <c r="W61" s="29">
        <f t="shared" ref="W61:Y61" si="93">IF(W26=0,0,(W62*W27+W64*W29+W65*W30+W66*W31)/(W27+W29+W30+W31))</f>
        <v>375.332380579323</v>
      </c>
      <c r="X61" s="29">
        <f t="shared" si="93"/>
        <v>372.29974952596496</v>
      </c>
      <c r="Y61" s="29">
        <f t="shared" si="93"/>
        <v>369.58347486329558</v>
      </c>
      <c r="DA61" s="173" t="s">
        <v>1074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320.00000000000006</v>
      </c>
      <c r="H63" s="116">
        <f t="shared" ref="H63" si="100">IF(H28=0,0,(H64*H29+H65*H30)/(H29+H30))</f>
        <v>320.00000000000006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320.00000000000006</v>
      </c>
      <c r="M63" s="116">
        <f t="shared" ref="M63" si="105">IF(M28=0,0,(M64*M29+M65*M30)/(M29+M30))</f>
        <v>319.99999999999994</v>
      </c>
      <c r="N63" s="116">
        <f t="shared" ref="N63" si="106">IF(N28=0,0,(N64*N29+N65*N30)/(N29+N30))</f>
        <v>319.99999999999994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319.99999999999994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:Y63" si="115">IF(W28=0,0,(W64*W29+W65*W30)/(W29+W30))</f>
        <v>320</v>
      </c>
      <c r="X63" s="116">
        <f t="shared" si="115"/>
        <v>320</v>
      </c>
      <c r="Y63" s="116">
        <f t="shared" si="115"/>
        <v>320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X66" s="117">
        <v>560</v>
      </c>
      <c r="Y66" s="117">
        <v>560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2100.0000000000005</v>
      </c>
      <c r="M67" s="29">
        <f t="shared" ref="M67" si="127">IF(M32=0,0,(M68*M33+M69*M34)/(M33+M34))</f>
        <v>2099.9999999999995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2099.9999999999995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2099.9999999999995</v>
      </c>
      <c r="W67" s="29">
        <f t="shared" ref="W67:Y67" si="137">IF(W32=0,0,(W68*W33+W69*W34)/(W33+W34))</f>
        <v>2100</v>
      </c>
      <c r="X67" s="29">
        <f t="shared" si="137"/>
        <v>2100</v>
      </c>
      <c r="Y67" s="29">
        <f t="shared" si="137"/>
        <v>2100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X69" s="88">
        <v>2100</v>
      </c>
      <c r="Y69" s="88">
        <v>2100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0.28578239993741933</v>
      </c>
      <c r="C72" s="30">
        <f t="shared" ref="C72:J72" si="138">IF(C50=0,0,C50/C61)</f>
        <v>0.28564644749486406</v>
      </c>
      <c r="D72" s="30">
        <f t="shared" si="138"/>
        <v>0.27189591658425794</v>
      </c>
      <c r="E72" s="30">
        <f t="shared" si="138"/>
        <v>0.26082575754849874</v>
      </c>
      <c r="F72" s="30">
        <f t="shared" si="138"/>
        <v>0.23252763734246365</v>
      </c>
      <c r="G72" s="30">
        <f t="shared" si="138"/>
        <v>0.22629607858388232</v>
      </c>
      <c r="H72" s="30">
        <f t="shared" si="138"/>
        <v>0.22707511182046294</v>
      </c>
      <c r="I72" s="30">
        <f t="shared" si="138"/>
        <v>0.22925565203354475</v>
      </c>
      <c r="J72" s="30">
        <f t="shared" si="138"/>
        <v>0.21567517508315051</v>
      </c>
      <c r="K72" s="30">
        <f t="shared" ref="K72:V72" si="139">IF(K50=0,0,K50/K61)</f>
        <v>0.20945875400520658</v>
      </c>
      <c r="L72" s="30">
        <f t="shared" si="139"/>
        <v>0.21229888081073012</v>
      </c>
      <c r="M72" s="30">
        <f t="shared" si="139"/>
        <v>0.21374630638043376</v>
      </c>
      <c r="N72" s="30">
        <f t="shared" si="139"/>
        <v>0.21916538385469816</v>
      </c>
      <c r="O72" s="30">
        <f t="shared" si="139"/>
        <v>0.22228059760136398</v>
      </c>
      <c r="P72" s="30">
        <f t="shared" si="139"/>
        <v>0.2257593220755868</v>
      </c>
      <c r="Q72" s="30">
        <f t="shared" si="139"/>
        <v>0.22983445706318298</v>
      </c>
      <c r="R72" s="30">
        <f t="shared" si="139"/>
        <v>0.2347415211751217</v>
      </c>
      <c r="S72" s="30">
        <f t="shared" si="139"/>
        <v>0.2374220375114782</v>
      </c>
      <c r="T72" s="30">
        <f t="shared" si="139"/>
        <v>0.24413213058625746</v>
      </c>
      <c r="U72" s="30">
        <f t="shared" si="139"/>
        <v>0.25396470465288679</v>
      </c>
      <c r="V72" s="30">
        <f t="shared" si="139"/>
        <v>0.13750177066147598</v>
      </c>
      <c r="W72" s="30">
        <f t="shared" ref="W72:Y72" si="140">IF(W50=0,0,W50/W61)</f>
        <v>0.13541605214943581</v>
      </c>
      <c r="X72" s="30">
        <f t="shared" si="140"/>
        <v>0.209935771762469</v>
      </c>
      <c r="Y72" s="30">
        <f t="shared" si="140"/>
        <v>0.2433160100269724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0.20248686726159068</v>
      </c>
      <c r="C73" s="118">
        <f t="shared" si="141"/>
        <v>0.20118661666097853</v>
      </c>
      <c r="D73" s="118">
        <f t="shared" si="141"/>
        <v>0.19928605432982185</v>
      </c>
      <c r="E73" s="118">
        <f t="shared" si="141"/>
        <v>0.19394124446052097</v>
      </c>
      <c r="F73" s="118">
        <f t="shared" si="141"/>
        <v>0.18843821197563526</v>
      </c>
      <c r="G73" s="118">
        <f t="shared" si="141"/>
        <v>0.18373585982508961</v>
      </c>
      <c r="H73" s="118">
        <f t="shared" si="141"/>
        <v>0.18448662093847054</v>
      </c>
      <c r="I73" s="118">
        <f t="shared" si="141"/>
        <v>0.18342930408627986</v>
      </c>
      <c r="J73" s="118">
        <f t="shared" si="141"/>
        <v>0.18128729167923832</v>
      </c>
      <c r="K73" s="118">
        <f t="shared" ref="K73:V73" si="142">IF(K51=0,0,K51/K62)</f>
        <v>0.17776029968562479</v>
      </c>
      <c r="L73" s="118">
        <f t="shared" si="142"/>
        <v>0.17949348788829422</v>
      </c>
      <c r="M73" s="118">
        <f t="shared" si="142"/>
        <v>0.18046613816567803</v>
      </c>
      <c r="N73" s="118">
        <f t="shared" si="142"/>
        <v>0.18282538329862588</v>
      </c>
      <c r="O73" s="118">
        <f t="shared" si="142"/>
        <v>0.18441817087777462</v>
      </c>
      <c r="P73" s="118">
        <f t="shared" si="142"/>
        <v>0.18570668228120335</v>
      </c>
      <c r="Q73" s="118">
        <f t="shared" si="142"/>
        <v>0.18858182021774425</v>
      </c>
      <c r="R73" s="118">
        <f t="shared" si="142"/>
        <v>0.19086544709006742</v>
      </c>
      <c r="S73" s="118">
        <f t="shared" si="142"/>
        <v>0.19291550401039206</v>
      </c>
      <c r="T73" s="118">
        <f t="shared" si="142"/>
        <v>0.19578956185685814</v>
      </c>
      <c r="U73" s="118">
        <f t="shared" si="142"/>
        <v>0.19856308804378048</v>
      </c>
      <c r="V73" s="118">
        <f t="shared" si="142"/>
        <v>7.8263280369414268E-2</v>
      </c>
      <c r="W73" s="118">
        <f t="shared" ref="W73:Y73" si="143">IF(W51=0,0,W51/W62)</f>
        <v>7.495670451013188E-2</v>
      </c>
      <c r="X73" s="118">
        <f t="shared" si="143"/>
        <v>0.13145671452465116</v>
      </c>
      <c r="Y73" s="118">
        <f t="shared" si="143"/>
        <v>0.17663648508238086</v>
      </c>
      <c r="DA73" s="203"/>
    </row>
    <row r="74" spans="1:105" ht="11.45" customHeight="1" x14ac:dyDescent="0.25">
      <c r="A74" s="109" t="s">
        <v>24</v>
      </c>
      <c r="B74" s="119">
        <f t="shared" si="141"/>
        <v>0.55079742777593255</v>
      </c>
      <c r="C74" s="119">
        <f t="shared" si="141"/>
        <v>0.57030086181659767</v>
      </c>
      <c r="D74" s="119">
        <f t="shared" si="141"/>
        <v>0.52866838280979733</v>
      </c>
      <c r="E74" s="119">
        <f t="shared" si="141"/>
        <v>0.50195351668422561</v>
      </c>
      <c r="F74" s="119">
        <f t="shared" si="141"/>
        <v>0.35374733042604417</v>
      </c>
      <c r="G74" s="119">
        <f t="shared" si="141"/>
        <v>0.32794133059853747</v>
      </c>
      <c r="H74" s="119">
        <f t="shared" si="141"/>
        <v>0.32588070139327829</v>
      </c>
      <c r="I74" s="119">
        <f t="shared" si="141"/>
        <v>0.33447503505690152</v>
      </c>
      <c r="J74" s="119">
        <f t="shared" si="141"/>
        <v>0.30396897913133641</v>
      </c>
      <c r="K74" s="119">
        <f t="shared" ref="K74:V74" si="144">IF(K52=0,0,K52/K63)</f>
        <v>0.29078448008671365</v>
      </c>
      <c r="L74" s="119">
        <f t="shared" si="144"/>
        <v>0.29616950454752683</v>
      </c>
      <c r="M74" s="119">
        <f t="shared" si="144"/>
        <v>0.29387401145417036</v>
      </c>
      <c r="N74" s="119">
        <f t="shared" si="144"/>
        <v>0.31099951000036963</v>
      </c>
      <c r="O74" s="119">
        <f t="shared" si="144"/>
        <v>0.31527636126502112</v>
      </c>
      <c r="P74" s="119">
        <f t="shared" si="144"/>
        <v>0.31895920714325066</v>
      </c>
      <c r="Q74" s="119">
        <f t="shared" si="144"/>
        <v>0.31859622273960669</v>
      </c>
      <c r="R74" s="119">
        <f t="shared" si="144"/>
        <v>0.33312349827712179</v>
      </c>
      <c r="S74" s="119">
        <f t="shared" si="144"/>
        <v>0.33234704528295828</v>
      </c>
      <c r="T74" s="119">
        <f t="shared" si="144"/>
        <v>0.34017642529869507</v>
      </c>
      <c r="U74" s="119">
        <f t="shared" si="144"/>
        <v>0.36882628819663821</v>
      </c>
      <c r="V74" s="119">
        <f t="shared" si="144"/>
        <v>0.24850910779160024</v>
      </c>
      <c r="W74" s="119">
        <f t="shared" ref="W74:Y74" si="145">IF(W52=0,0,W52/W63)</f>
        <v>0.24489916838121176</v>
      </c>
      <c r="X74" s="119">
        <f t="shared" si="145"/>
        <v>0.31944028451565398</v>
      </c>
      <c r="Y74" s="119">
        <f t="shared" si="145"/>
        <v>0.3221718618668637</v>
      </c>
      <c r="DA74" s="176"/>
    </row>
    <row r="75" spans="1:105" ht="11.45" customHeight="1" x14ac:dyDescent="0.25">
      <c r="A75" s="111" t="s">
        <v>92</v>
      </c>
      <c r="B75" s="120">
        <f t="shared" si="141"/>
        <v>0.4462956164487154</v>
      </c>
      <c r="C75" s="120">
        <f t="shared" si="141"/>
        <v>0.45794436508229641</v>
      </c>
      <c r="D75" s="120">
        <f t="shared" si="141"/>
        <v>0.40895264742092097</v>
      </c>
      <c r="E75" s="120">
        <f t="shared" si="141"/>
        <v>0.38877941394212112</v>
      </c>
      <c r="F75" s="120">
        <f t="shared" si="141"/>
        <v>0.38015142035723043</v>
      </c>
      <c r="G75" s="120">
        <f t="shared" si="141"/>
        <v>0.36103069512999231</v>
      </c>
      <c r="H75" s="120">
        <f t="shared" si="141"/>
        <v>0.3352074820955423</v>
      </c>
      <c r="I75" s="120">
        <f t="shared" si="141"/>
        <v>0.33070532468818575</v>
      </c>
      <c r="J75" s="120">
        <f t="shared" si="141"/>
        <v>0.27199331014397227</v>
      </c>
      <c r="K75" s="120">
        <f t="shared" ref="K75:V75" si="146">IF(K53=0,0,K53/K64)</f>
        <v>0.2871116354420582</v>
      </c>
      <c r="L75" s="120">
        <f t="shared" si="146"/>
        <v>0.28585688427990902</v>
      </c>
      <c r="M75" s="120">
        <f t="shared" si="146"/>
        <v>0.28732976724111159</v>
      </c>
      <c r="N75" s="120">
        <f t="shared" si="146"/>
        <v>0.28681757179547407</v>
      </c>
      <c r="O75" s="120">
        <f t="shared" si="146"/>
        <v>0.29813838947131621</v>
      </c>
      <c r="P75" s="120">
        <f t="shared" si="146"/>
        <v>0.31185075727271161</v>
      </c>
      <c r="Q75" s="120">
        <f t="shared" si="146"/>
        <v>0.30760192717337281</v>
      </c>
      <c r="R75" s="120">
        <f t="shared" si="146"/>
        <v>0.32245629339673909</v>
      </c>
      <c r="S75" s="120">
        <f t="shared" si="146"/>
        <v>0.32785496878720805</v>
      </c>
      <c r="T75" s="120">
        <f t="shared" si="146"/>
        <v>0.3514630970077316</v>
      </c>
      <c r="U75" s="120">
        <f t="shared" si="146"/>
        <v>0.39196122796759536</v>
      </c>
      <c r="V75" s="120">
        <f t="shared" si="146"/>
        <v>0.28749327108473544</v>
      </c>
      <c r="W75" s="120">
        <f t="shared" ref="W75:Y75" si="147">IF(W53=0,0,W53/W64)</f>
        <v>0.2966670202650199</v>
      </c>
      <c r="X75" s="120">
        <f t="shared" si="147"/>
        <v>0.41485463802558026</v>
      </c>
      <c r="Y75" s="120">
        <f t="shared" si="147"/>
        <v>0.44044710393130637</v>
      </c>
      <c r="DA75" s="171"/>
    </row>
    <row r="76" spans="1:105" ht="11.45" customHeight="1" x14ac:dyDescent="0.25">
      <c r="A76" s="111" t="s">
        <v>93</v>
      </c>
      <c r="B76" s="120">
        <f t="shared" si="141"/>
        <v>0.76689508023053488</v>
      </c>
      <c r="C76" s="120">
        <f t="shared" si="141"/>
        <v>0.8093854562758771</v>
      </c>
      <c r="D76" s="120">
        <f t="shared" si="141"/>
        <v>0.81043449437363846</v>
      </c>
      <c r="E76" s="120">
        <f t="shared" si="141"/>
        <v>0.74751276739091277</v>
      </c>
      <c r="F76" s="120">
        <f t="shared" si="141"/>
        <v>0.32858792574843976</v>
      </c>
      <c r="G76" s="120">
        <f t="shared" si="141"/>
        <v>0.29827509718457734</v>
      </c>
      <c r="H76" s="120">
        <f t="shared" si="141"/>
        <v>0.31676470266156243</v>
      </c>
      <c r="I76" s="120">
        <f t="shared" si="141"/>
        <v>0.33834034375593713</v>
      </c>
      <c r="J76" s="120">
        <f t="shared" si="141"/>
        <v>0.34209946915825007</v>
      </c>
      <c r="K76" s="120">
        <f t="shared" ref="K76:V76" si="148">IF(K54=0,0,K54/K65)</f>
        <v>0.29424439651885437</v>
      </c>
      <c r="L76" s="120">
        <f t="shared" si="148"/>
        <v>0.30627008851107151</v>
      </c>
      <c r="M76" s="120">
        <f t="shared" si="148"/>
        <v>0.30000570190743631</v>
      </c>
      <c r="N76" s="120">
        <f t="shared" si="148"/>
        <v>0.33535111126968103</v>
      </c>
      <c r="O76" s="120">
        <f t="shared" si="148"/>
        <v>0.33154520264340948</v>
      </c>
      <c r="P76" s="120">
        <f t="shared" si="148"/>
        <v>0.32528204983505898</v>
      </c>
      <c r="Q76" s="120">
        <f t="shared" si="148"/>
        <v>0.32811592586041288</v>
      </c>
      <c r="R76" s="120">
        <f t="shared" si="148"/>
        <v>0.34239716044394997</v>
      </c>
      <c r="S76" s="120">
        <f t="shared" si="148"/>
        <v>0.33609844669635391</v>
      </c>
      <c r="T76" s="120">
        <f t="shared" si="148"/>
        <v>0.33172485640519145</v>
      </c>
      <c r="U76" s="120">
        <f t="shared" si="148"/>
        <v>0.35235212444104103</v>
      </c>
      <c r="V76" s="120">
        <f t="shared" si="148"/>
        <v>0.22311906338745863</v>
      </c>
      <c r="W76" s="120">
        <f t="shared" ref="W76:Y76" si="149">IF(W54=0,0,W54/W65)</f>
        <v>0.21335474572107072</v>
      </c>
      <c r="X76" s="120">
        <f t="shared" si="149"/>
        <v>0.26956979465001596</v>
      </c>
      <c r="Y76" s="120">
        <f t="shared" si="149"/>
        <v>0.26759151764087363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5.5514433752775726E-2</v>
      </c>
      <c r="G77" s="121">
        <f t="shared" si="141"/>
        <v>5.5514433752775726E-2</v>
      </c>
      <c r="H77" s="121">
        <f t="shared" si="141"/>
        <v>0.13844196662426103</v>
      </c>
      <c r="I77" s="121">
        <f t="shared" si="141"/>
        <v>0.21969863616366034</v>
      </c>
      <c r="J77" s="121">
        <f t="shared" si="141"/>
        <v>0.22686513629842181</v>
      </c>
      <c r="K77" s="121">
        <f t="shared" ref="K77:V77" si="150">IF(K55=0,0,K55/K66)</f>
        <v>0.22908543069833393</v>
      </c>
      <c r="L77" s="121">
        <f t="shared" si="150"/>
        <v>0.23831658291457286</v>
      </c>
      <c r="M77" s="121">
        <f t="shared" si="150"/>
        <v>0.24017393649295485</v>
      </c>
      <c r="N77" s="121">
        <f t="shared" si="150"/>
        <v>0.24329132932880648</v>
      </c>
      <c r="O77" s="121">
        <f t="shared" si="150"/>
        <v>0.24558997152580037</v>
      </c>
      <c r="P77" s="121">
        <f t="shared" si="150"/>
        <v>0.25971283783783783</v>
      </c>
      <c r="Q77" s="121">
        <f t="shared" si="150"/>
        <v>0.27756625038074934</v>
      </c>
      <c r="R77" s="121">
        <f t="shared" si="150"/>
        <v>0.29691009324167966</v>
      </c>
      <c r="S77" s="121">
        <f t="shared" si="150"/>
        <v>0.29691119691119688</v>
      </c>
      <c r="T77" s="121">
        <f t="shared" si="150"/>
        <v>0.29693343305908748</v>
      </c>
      <c r="U77" s="121">
        <f t="shared" si="150"/>
        <v>0.29706354973967841</v>
      </c>
      <c r="V77" s="121">
        <f t="shared" si="150"/>
        <v>0.23299911415179067</v>
      </c>
      <c r="W77" s="121">
        <f t="shared" ref="W77:Y77" si="151">IF(W55=0,0,W55/W66)</f>
        <v>0.23023933079705594</v>
      </c>
      <c r="X77" s="121">
        <f t="shared" si="151"/>
        <v>0.24257383380631375</v>
      </c>
      <c r="Y77" s="121">
        <f t="shared" si="151"/>
        <v>0.24897644618497405</v>
      </c>
      <c r="DA77" s="204"/>
    </row>
    <row r="78" spans="1:105" ht="11.45" customHeight="1" x14ac:dyDescent="0.25">
      <c r="A78" s="27" t="s">
        <v>34</v>
      </c>
      <c r="B78" s="30">
        <f t="shared" si="141"/>
        <v>0.33516878013112439</v>
      </c>
      <c r="C78" s="30">
        <f t="shared" si="141"/>
        <v>0.33027501842520007</v>
      </c>
      <c r="D78" s="30">
        <f t="shared" si="141"/>
        <v>0.34479021201954324</v>
      </c>
      <c r="E78" s="30">
        <f t="shared" si="141"/>
        <v>0.33998206190020447</v>
      </c>
      <c r="F78" s="30">
        <f t="shared" si="141"/>
        <v>0.23390277150215216</v>
      </c>
      <c r="G78" s="30">
        <f t="shared" si="141"/>
        <v>0.23378006897196663</v>
      </c>
      <c r="H78" s="30">
        <f t="shared" si="141"/>
        <v>0.23934233608360173</v>
      </c>
      <c r="I78" s="30">
        <f t="shared" si="141"/>
        <v>0.22739301166054074</v>
      </c>
      <c r="J78" s="30">
        <f t="shared" si="141"/>
        <v>0.24460953687751855</v>
      </c>
      <c r="K78" s="30">
        <f t="shared" ref="K78:V78" si="152">IF(K56=0,0,K56/K67)</f>
        <v>0.24257894403833632</v>
      </c>
      <c r="L78" s="30">
        <f t="shared" si="152"/>
        <v>0.26936769081741652</v>
      </c>
      <c r="M78" s="30">
        <f t="shared" si="152"/>
        <v>0.25979726095160577</v>
      </c>
      <c r="N78" s="30">
        <f t="shared" si="152"/>
        <v>0.28096394172297967</v>
      </c>
      <c r="O78" s="30">
        <f t="shared" si="152"/>
        <v>0.28950431815711986</v>
      </c>
      <c r="P78" s="30">
        <f t="shared" si="152"/>
        <v>0.27018978074674821</v>
      </c>
      <c r="Q78" s="30">
        <f t="shared" si="152"/>
        <v>0.26701584058263594</v>
      </c>
      <c r="R78" s="30">
        <f t="shared" si="152"/>
        <v>0.27068757218240291</v>
      </c>
      <c r="S78" s="30">
        <f t="shared" si="152"/>
        <v>0.27673236202579887</v>
      </c>
      <c r="T78" s="30">
        <f t="shared" si="152"/>
        <v>0.29030306818728424</v>
      </c>
      <c r="U78" s="30">
        <f t="shared" si="152"/>
        <v>0.2784200719836491</v>
      </c>
      <c r="V78" s="30">
        <f t="shared" si="152"/>
        <v>0.25099808052392009</v>
      </c>
      <c r="W78" s="30">
        <f t="shared" ref="W78:Y78" si="153">IF(W56=0,0,W56/W67)</f>
        <v>0.255160681956215</v>
      </c>
      <c r="X78" s="30">
        <f t="shared" si="153"/>
        <v>0.21299783198248476</v>
      </c>
      <c r="Y78" s="30">
        <f t="shared" si="153"/>
        <v>0.20280097639106209</v>
      </c>
      <c r="DA78" s="173"/>
    </row>
    <row r="79" spans="1:105" ht="11.45" customHeight="1" x14ac:dyDescent="0.25">
      <c r="A79" s="83" t="s">
        <v>92</v>
      </c>
      <c r="B79" s="120">
        <f t="shared" si="141"/>
        <v>0.30541745958110206</v>
      </c>
      <c r="C79" s="120">
        <f t="shared" si="141"/>
        <v>0.29892290275814204</v>
      </c>
      <c r="D79" s="120">
        <f t="shared" si="141"/>
        <v>0.30065462631753392</v>
      </c>
      <c r="E79" s="120">
        <f t="shared" si="141"/>
        <v>0.29782831399539939</v>
      </c>
      <c r="F79" s="120">
        <f t="shared" si="141"/>
        <v>0.27767857671309859</v>
      </c>
      <c r="G79" s="120">
        <f t="shared" si="141"/>
        <v>0.28607564854650014</v>
      </c>
      <c r="H79" s="120">
        <f t="shared" si="141"/>
        <v>0.27303902212182396</v>
      </c>
      <c r="I79" s="120">
        <f t="shared" si="141"/>
        <v>0.25022980108984827</v>
      </c>
      <c r="J79" s="120">
        <f t="shared" si="141"/>
        <v>0.25728604739875433</v>
      </c>
      <c r="K79" s="120">
        <f t="shared" ref="K79:V79" si="154">IF(K57=0,0,K57/K68)</f>
        <v>0.25403768827322554</v>
      </c>
      <c r="L79" s="120">
        <f t="shared" si="154"/>
        <v>0.28069053916095454</v>
      </c>
      <c r="M79" s="120">
        <f t="shared" si="154"/>
        <v>0.27306581262285939</v>
      </c>
      <c r="N79" s="120">
        <f t="shared" si="154"/>
        <v>0.29613964656813357</v>
      </c>
      <c r="O79" s="120">
        <f t="shared" si="154"/>
        <v>0.30782642765410928</v>
      </c>
      <c r="P79" s="120">
        <f t="shared" si="154"/>
        <v>0.28729489193523949</v>
      </c>
      <c r="Q79" s="120">
        <f t="shared" si="154"/>
        <v>0.27992002672264282</v>
      </c>
      <c r="R79" s="120">
        <f t="shared" si="154"/>
        <v>0.28577219283811423</v>
      </c>
      <c r="S79" s="120">
        <f t="shared" si="154"/>
        <v>0.29312986072834041</v>
      </c>
      <c r="T79" s="120">
        <f t="shared" si="154"/>
        <v>0.30707864499798898</v>
      </c>
      <c r="U79" s="120">
        <f t="shared" si="154"/>
        <v>0.28982217678249628</v>
      </c>
      <c r="V79" s="120">
        <f t="shared" si="154"/>
        <v>0.266481028346511</v>
      </c>
      <c r="W79" s="120">
        <f t="shared" ref="W79:Y79" si="155">IF(W57=0,0,W57/W68)</f>
        <v>0.27107848989612238</v>
      </c>
      <c r="X79" s="120">
        <f t="shared" si="155"/>
        <v>0.18885706723454737</v>
      </c>
      <c r="Y79" s="120">
        <f t="shared" si="155"/>
        <v>0.23166881485115798</v>
      </c>
      <c r="DA79" s="171"/>
    </row>
    <row r="80" spans="1:105" ht="11.45" customHeight="1" x14ac:dyDescent="0.25">
      <c r="A80" s="85" t="s">
        <v>93</v>
      </c>
      <c r="B80" s="122">
        <f t="shared" si="141"/>
        <v>0.3491125813015179</v>
      </c>
      <c r="C80" s="122">
        <f t="shared" si="141"/>
        <v>0.34159481004902326</v>
      </c>
      <c r="D80" s="122">
        <f t="shared" si="141"/>
        <v>0.36181213817749841</v>
      </c>
      <c r="E80" s="122">
        <f t="shared" si="141"/>
        <v>0.35421983271330654</v>
      </c>
      <c r="F80" s="122">
        <f t="shared" si="141"/>
        <v>0.22402535553137864</v>
      </c>
      <c r="G80" s="122">
        <f t="shared" si="141"/>
        <v>0.2227919710880569</v>
      </c>
      <c r="H80" s="122">
        <f t="shared" si="141"/>
        <v>0.23065688585270314</v>
      </c>
      <c r="I80" s="122">
        <f t="shared" si="141"/>
        <v>0.22143878931653235</v>
      </c>
      <c r="J80" s="122">
        <f t="shared" si="141"/>
        <v>0.24082684047202446</v>
      </c>
      <c r="K80" s="122">
        <f t="shared" ref="K80:V80" si="156">IF(K58=0,0,K58/K69)</f>
        <v>0.23821548131121778</v>
      </c>
      <c r="L80" s="122">
        <f t="shared" si="156"/>
        <v>0.26539549034874127</v>
      </c>
      <c r="M80" s="122">
        <f t="shared" si="156"/>
        <v>0.25569440153464107</v>
      </c>
      <c r="N80" s="122">
        <f t="shared" si="156"/>
        <v>0.2774961049581578</v>
      </c>
      <c r="O80" s="122">
        <f t="shared" si="156"/>
        <v>0.28525275896977198</v>
      </c>
      <c r="P80" s="122">
        <f t="shared" si="156"/>
        <v>0.26494648075125471</v>
      </c>
      <c r="Q80" s="122">
        <f t="shared" si="156"/>
        <v>0.26333591383917626</v>
      </c>
      <c r="R80" s="122">
        <f t="shared" si="156"/>
        <v>0.26639182873147088</v>
      </c>
      <c r="S80" s="122">
        <f t="shared" si="156"/>
        <v>0.27237543462922981</v>
      </c>
      <c r="T80" s="122">
        <f t="shared" si="156"/>
        <v>0.28603509264629967</v>
      </c>
      <c r="U80" s="122">
        <f t="shared" si="156"/>
        <v>0.27545517814300091</v>
      </c>
      <c r="V80" s="122">
        <f t="shared" si="156"/>
        <v>0.24699282872935441</v>
      </c>
      <c r="W80" s="122">
        <f t="shared" ref="W80:Y80" si="157">IF(W58=0,0,W58/W69)</f>
        <v>0.25123770270102269</v>
      </c>
      <c r="X80" s="122">
        <f t="shared" si="157"/>
        <v>0.21993394863585236</v>
      </c>
      <c r="Y80" s="122">
        <f t="shared" si="157"/>
        <v>0.19530736158203701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127022.28804895948</v>
      </c>
      <c r="C82" s="54">
        <f t="shared" si="158"/>
        <v>126090.37134376758</v>
      </c>
      <c r="D82" s="54">
        <f t="shared" si="158"/>
        <v>125020.11224359933</v>
      </c>
      <c r="E82" s="54">
        <f t="shared" si="158"/>
        <v>125030.15833376454</v>
      </c>
      <c r="F82" s="54">
        <f t="shared" si="158"/>
        <v>128417.59354318993</v>
      </c>
      <c r="G82" s="54">
        <f t="shared" si="158"/>
        <v>129723.85261135951</v>
      </c>
      <c r="H82" s="54">
        <f t="shared" si="158"/>
        <v>131152.02030737576</v>
      </c>
      <c r="I82" s="54">
        <f t="shared" si="158"/>
        <v>131152.4426294931</v>
      </c>
      <c r="J82" s="54">
        <f t="shared" si="158"/>
        <v>127893.65606023387</v>
      </c>
      <c r="K82" s="54">
        <f t="shared" ref="K82:V82" si="159">IF(K14=0,0,K14/K25*1000000)</f>
        <v>125020.56435801009</v>
      </c>
      <c r="L82" s="54">
        <f t="shared" si="159"/>
        <v>126096.94299070124</v>
      </c>
      <c r="M82" s="54">
        <f t="shared" si="159"/>
        <v>128492.33525659717</v>
      </c>
      <c r="N82" s="54">
        <f t="shared" si="159"/>
        <v>127041.43250202732</v>
      </c>
      <c r="O82" s="54">
        <f t="shared" si="159"/>
        <v>127116.66310525149</v>
      </c>
      <c r="P82" s="54">
        <f t="shared" si="159"/>
        <v>128280.28022949168</v>
      </c>
      <c r="Q82" s="54">
        <f t="shared" si="159"/>
        <v>129597.05924598491</v>
      </c>
      <c r="R82" s="54">
        <f t="shared" si="159"/>
        <v>128921.73061947443</v>
      </c>
      <c r="S82" s="54">
        <f t="shared" si="159"/>
        <v>129151.30987466755</v>
      </c>
      <c r="T82" s="54">
        <f t="shared" si="159"/>
        <v>129760.74261101086</v>
      </c>
      <c r="U82" s="54">
        <f t="shared" si="159"/>
        <v>129653.88787918424</v>
      </c>
      <c r="V82" s="54">
        <f t="shared" si="159"/>
        <v>122597.21863522632</v>
      </c>
      <c r="W82" s="54">
        <f t="shared" ref="W82:Y82" si="160">IF(W14=0,0,W14/W25*1000000)</f>
        <v>131132.30528619426</v>
      </c>
      <c r="X82" s="54">
        <f t="shared" si="160"/>
        <v>122763.42332218202</v>
      </c>
      <c r="Y82" s="54">
        <f t="shared" si="160"/>
        <v>119480.76735993661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119346.57283225065</v>
      </c>
      <c r="C83" s="28">
        <f t="shared" si="161"/>
        <v>118917.51871143919</v>
      </c>
      <c r="D83" s="28">
        <f t="shared" si="161"/>
        <v>118613.04092689665</v>
      </c>
      <c r="E83" s="28">
        <f t="shared" si="161"/>
        <v>118493.49536220427</v>
      </c>
      <c r="F83" s="28">
        <f t="shared" si="161"/>
        <v>120780.36358116945</v>
      </c>
      <c r="G83" s="28">
        <f t="shared" si="161"/>
        <v>122150.88927891926</v>
      </c>
      <c r="H83" s="28">
        <f t="shared" si="161"/>
        <v>123422.02148724227</v>
      </c>
      <c r="I83" s="28">
        <f t="shared" si="161"/>
        <v>122656.4271810683</v>
      </c>
      <c r="J83" s="28">
        <f t="shared" si="161"/>
        <v>122015.21298583501</v>
      </c>
      <c r="K83" s="28">
        <f t="shared" ref="K83:V83" si="162">IF(K15=0,0,K15/K26*1000000)</f>
        <v>121312.67722481111</v>
      </c>
      <c r="L83" s="28">
        <f t="shared" si="162"/>
        <v>122012.68892280896</v>
      </c>
      <c r="M83" s="28">
        <f t="shared" si="162"/>
        <v>122574.58919958175</v>
      </c>
      <c r="N83" s="28">
        <f t="shared" si="162"/>
        <v>122047.64454935846</v>
      </c>
      <c r="O83" s="28">
        <f t="shared" si="162"/>
        <v>122203.2244039911</v>
      </c>
      <c r="P83" s="28">
        <f t="shared" si="162"/>
        <v>122587.20194269008</v>
      </c>
      <c r="Q83" s="28">
        <f t="shared" si="162"/>
        <v>123749.19047014067</v>
      </c>
      <c r="R83" s="28">
        <f t="shared" si="162"/>
        <v>123330.99983146235</v>
      </c>
      <c r="S83" s="28">
        <f t="shared" si="162"/>
        <v>123836.74076959952</v>
      </c>
      <c r="T83" s="28">
        <f t="shared" si="162"/>
        <v>124557.79811458467</v>
      </c>
      <c r="U83" s="28">
        <f t="shared" si="162"/>
        <v>124379.89800088412</v>
      </c>
      <c r="V83" s="28">
        <f t="shared" si="162"/>
        <v>116114.71599325014</v>
      </c>
      <c r="W83" s="28">
        <f t="shared" ref="W83:Y83" si="163">IF(W15=0,0,W15/W26*1000000)</f>
        <v>124716.72208071371</v>
      </c>
      <c r="X83" s="28">
        <f t="shared" si="163"/>
        <v>113884.50446277951</v>
      </c>
      <c r="Y83" s="28">
        <f t="shared" si="163"/>
        <v>110243.54435755727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109999.99988132229</v>
      </c>
      <c r="C84" s="108">
        <f t="shared" si="161"/>
        <v>109999.9999099431</v>
      </c>
      <c r="D84" s="108">
        <f t="shared" si="161"/>
        <v>109999.99992101488</v>
      </c>
      <c r="E84" s="108">
        <f t="shared" si="161"/>
        <v>109999.99991472464</v>
      </c>
      <c r="F84" s="108">
        <f t="shared" si="161"/>
        <v>109999.99999963376</v>
      </c>
      <c r="G84" s="108">
        <f t="shared" si="161"/>
        <v>109999.99993930724</v>
      </c>
      <c r="H84" s="108">
        <f t="shared" si="161"/>
        <v>109999.99993421708</v>
      </c>
      <c r="I84" s="108">
        <f t="shared" si="161"/>
        <v>109999.99994214613</v>
      </c>
      <c r="J84" s="108">
        <f t="shared" si="161"/>
        <v>109999.99991444957</v>
      </c>
      <c r="K84" s="108">
        <f t="shared" ref="K84:V84" si="164">IF(K16=0,0,K16/K27*1000000)</f>
        <v>109999.99999423469</v>
      </c>
      <c r="L84" s="108">
        <f t="shared" si="164"/>
        <v>109999.99995881354</v>
      </c>
      <c r="M84" s="108">
        <f t="shared" si="164"/>
        <v>109999.99997502039</v>
      </c>
      <c r="N84" s="108">
        <f t="shared" si="164"/>
        <v>109999.99994601315</v>
      </c>
      <c r="O84" s="108">
        <f t="shared" si="164"/>
        <v>109999.99994244328</v>
      </c>
      <c r="P84" s="108">
        <f t="shared" si="164"/>
        <v>109999.99999975771</v>
      </c>
      <c r="Q84" s="108">
        <f t="shared" si="164"/>
        <v>109999.99996792444</v>
      </c>
      <c r="R84" s="108">
        <f t="shared" si="164"/>
        <v>109999.99996021364</v>
      </c>
      <c r="S84" s="108">
        <f t="shared" si="164"/>
        <v>109999.99993031708</v>
      </c>
      <c r="T84" s="108">
        <f t="shared" si="164"/>
        <v>109999.99998055455</v>
      </c>
      <c r="U84" s="108">
        <f t="shared" si="164"/>
        <v>109999.99995508359</v>
      </c>
      <c r="V84" s="108">
        <f t="shared" si="164"/>
        <v>101654.42071720968</v>
      </c>
      <c r="W84" s="108">
        <f t="shared" ref="W84:Y84" si="165">IF(W16=0,0,W16/W27*1000000)</f>
        <v>109999.99993972135</v>
      </c>
      <c r="X84" s="108">
        <f t="shared" si="165"/>
        <v>90301.939197865926</v>
      </c>
      <c r="Y84" s="108">
        <f t="shared" si="165"/>
        <v>80444.210770953985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149999.99961033586</v>
      </c>
      <c r="C85" s="110">
        <f t="shared" si="161"/>
        <v>149999.99894947631</v>
      </c>
      <c r="D85" s="110">
        <f t="shared" si="161"/>
        <v>149999.99915557564</v>
      </c>
      <c r="E85" s="110">
        <f t="shared" si="161"/>
        <v>149999.99930603293</v>
      </c>
      <c r="F85" s="110">
        <f t="shared" si="161"/>
        <v>149999.99935956663</v>
      </c>
      <c r="G85" s="110">
        <f t="shared" si="161"/>
        <v>149999.99970878178</v>
      </c>
      <c r="H85" s="110">
        <f t="shared" si="161"/>
        <v>149999.99960307076</v>
      </c>
      <c r="I85" s="110">
        <f t="shared" si="161"/>
        <v>147128.99512036229</v>
      </c>
      <c r="J85" s="110">
        <f t="shared" si="161"/>
        <v>149999.9995515249</v>
      </c>
      <c r="K85" s="110">
        <f t="shared" ref="K85:V85" si="166">IF(K17=0,0,K17/K28*1000000)</f>
        <v>147465.08488865927</v>
      </c>
      <c r="L85" s="110">
        <f t="shared" si="166"/>
        <v>149999.99968696086</v>
      </c>
      <c r="M85" s="110">
        <f t="shared" si="166"/>
        <v>149999.99980717228</v>
      </c>
      <c r="N85" s="110">
        <f t="shared" si="166"/>
        <v>149999.99989110485</v>
      </c>
      <c r="O85" s="110">
        <f t="shared" si="166"/>
        <v>149999.99993365831</v>
      </c>
      <c r="P85" s="110">
        <f t="shared" si="166"/>
        <v>149999.99971934216</v>
      </c>
      <c r="Q85" s="110">
        <f t="shared" si="166"/>
        <v>149999.99982663852</v>
      </c>
      <c r="R85" s="110">
        <f t="shared" si="166"/>
        <v>149999.99988119162</v>
      </c>
      <c r="S85" s="110">
        <f t="shared" si="166"/>
        <v>149999.99956717255</v>
      </c>
      <c r="T85" s="110">
        <f t="shared" si="166"/>
        <v>149999.99951478103</v>
      </c>
      <c r="U85" s="110">
        <f t="shared" si="166"/>
        <v>149999.99977857628</v>
      </c>
      <c r="V85" s="110">
        <f t="shared" si="166"/>
        <v>142816.20143445398</v>
      </c>
      <c r="W85" s="110">
        <f t="shared" ref="W85:Y85" si="167">IF(W17=0,0,W17/W28*1000000)</f>
        <v>149999.99973242995</v>
      </c>
      <c r="X85" s="110">
        <f t="shared" si="167"/>
        <v>149999.99963540689</v>
      </c>
      <c r="Y85" s="110">
        <f t="shared" si="167"/>
        <v>149999.9996568489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149999.9995358139</v>
      </c>
      <c r="C86" s="84">
        <f t="shared" si="161"/>
        <v>149999.99926819667</v>
      </c>
      <c r="D86" s="84">
        <f t="shared" si="161"/>
        <v>149999.99943251404</v>
      </c>
      <c r="E86" s="84">
        <f t="shared" si="161"/>
        <v>149999.99925256029</v>
      </c>
      <c r="F86" s="84">
        <f t="shared" si="161"/>
        <v>149999.99925808352</v>
      </c>
      <c r="G86" s="84">
        <f t="shared" si="161"/>
        <v>149999.99956733143</v>
      </c>
      <c r="H86" s="84">
        <f t="shared" si="161"/>
        <v>149999.99951054752</v>
      </c>
      <c r="I86" s="84">
        <f t="shared" si="161"/>
        <v>149999.99996527648</v>
      </c>
      <c r="J86" s="84">
        <f t="shared" si="161"/>
        <v>149999.99950227115</v>
      </c>
      <c r="K86" s="84">
        <f t="shared" ref="K86:V86" si="168">IF(K18=0,0,K18/K29*1000000)</f>
        <v>144866.26440066556</v>
      </c>
      <c r="L86" s="84">
        <f t="shared" si="168"/>
        <v>149999.99979368609</v>
      </c>
      <c r="M86" s="84">
        <f t="shared" si="168"/>
        <v>149999.99974448071</v>
      </c>
      <c r="N86" s="84">
        <f t="shared" si="168"/>
        <v>149999.99999756328</v>
      </c>
      <c r="O86" s="84">
        <f t="shared" si="168"/>
        <v>149999.99991911007</v>
      </c>
      <c r="P86" s="84">
        <f t="shared" si="168"/>
        <v>149999.99986055642</v>
      </c>
      <c r="Q86" s="84">
        <f t="shared" si="168"/>
        <v>149999.9996458661</v>
      </c>
      <c r="R86" s="84">
        <f t="shared" si="168"/>
        <v>149999.99985508094</v>
      </c>
      <c r="S86" s="84">
        <f t="shared" si="168"/>
        <v>149999.99952473529</v>
      </c>
      <c r="T86" s="84">
        <f t="shared" si="168"/>
        <v>149999.99946594753</v>
      </c>
      <c r="U86" s="84">
        <f t="shared" si="168"/>
        <v>149999.99953885115</v>
      </c>
      <c r="V86" s="84">
        <f t="shared" si="168"/>
        <v>139906.03299770493</v>
      </c>
      <c r="W86" s="84">
        <f t="shared" ref="W86:Y86" si="169">IF(W18=0,0,W18/W29*1000000)</f>
        <v>149999.99930011306</v>
      </c>
      <c r="X86" s="84">
        <f t="shared" si="169"/>
        <v>149999.99953852387</v>
      </c>
      <c r="Y86" s="84">
        <f t="shared" si="169"/>
        <v>149999.99957546304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149999.99976443866</v>
      </c>
      <c r="C87" s="84">
        <f t="shared" si="161"/>
        <v>149999.99827126786</v>
      </c>
      <c r="D87" s="84">
        <f t="shared" si="161"/>
        <v>149999.99850376611</v>
      </c>
      <c r="E87" s="84">
        <f t="shared" si="161"/>
        <v>149999.99942205506</v>
      </c>
      <c r="F87" s="84">
        <f t="shared" si="161"/>
        <v>149999.9994562658</v>
      </c>
      <c r="G87" s="84">
        <f t="shared" si="161"/>
        <v>149999.99983559895</v>
      </c>
      <c r="H87" s="84">
        <f t="shared" si="161"/>
        <v>149999.99969350296</v>
      </c>
      <c r="I87" s="84">
        <f t="shared" si="161"/>
        <v>144297.10444939788</v>
      </c>
      <c r="J87" s="84">
        <f t="shared" si="161"/>
        <v>149999.99961025923</v>
      </c>
      <c r="K87" s="84">
        <f t="shared" ref="K87:V87" si="170">IF(K19=0,0,K19/K30*1000000)</f>
        <v>149999.99946470861</v>
      </c>
      <c r="L87" s="84">
        <f t="shared" si="170"/>
        <v>149999.99958242994</v>
      </c>
      <c r="M87" s="84">
        <f t="shared" si="170"/>
        <v>149999.99986591173</v>
      </c>
      <c r="N87" s="84">
        <f t="shared" si="170"/>
        <v>149999.99978389952</v>
      </c>
      <c r="O87" s="84">
        <f t="shared" si="170"/>
        <v>149999.99994746878</v>
      </c>
      <c r="P87" s="84">
        <f t="shared" si="170"/>
        <v>149999.99959373457</v>
      </c>
      <c r="Q87" s="84">
        <f t="shared" si="170"/>
        <v>149999.99998316512</v>
      </c>
      <c r="R87" s="84">
        <f t="shared" si="170"/>
        <v>149999.99990389121</v>
      </c>
      <c r="S87" s="84">
        <f t="shared" si="170"/>
        <v>149999.99960261254</v>
      </c>
      <c r="T87" s="84">
        <f t="shared" si="170"/>
        <v>149999.99955134804</v>
      </c>
      <c r="U87" s="84">
        <f t="shared" si="170"/>
        <v>149999.99994928218</v>
      </c>
      <c r="V87" s="84">
        <f t="shared" si="170"/>
        <v>144777.56541664599</v>
      </c>
      <c r="W87" s="84">
        <f t="shared" ref="W87:Y87" si="171">IF(W19=0,0,W19/W30*1000000)</f>
        <v>149999.99999585954</v>
      </c>
      <c r="X87" s="84">
        <f t="shared" si="171"/>
        <v>149999.99968604502</v>
      </c>
      <c r="Y87" s="84">
        <f t="shared" si="171"/>
        <v>149999.99969440597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449996.73577497358</v>
      </c>
      <c r="G88" s="113">
        <f t="shared" si="161"/>
        <v>449999.88341971935</v>
      </c>
      <c r="H88" s="113">
        <f t="shared" si="161"/>
        <v>449999.91749608639</v>
      </c>
      <c r="I88" s="113">
        <f t="shared" si="161"/>
        <v>449999.97426308988</v>
      </c>
      <c r="J88" s="113">
        <f t="shared" si="161"/>
        <v>335117.19533928426</v>
      </c>
      <c r="K88" s="113">
        <f t="shared" ref="K88:V88" si="172">IF(K20=0,0,K20/K31*1000000)</f>
        <v>308257.99140867381</v>
      </c>
      <c r="L88" s="113">
        <f t="shared" si="172"/>
        <v>341711.01594854257</v>
      </c>
      <c r="M88" s="113">
        <f t="shared" si="172"/>
        <v>356584.88941661437</v>
      </c>
      <c r="N88" s="113">
        <f t="shared" si="172"/>
        <v>334723.81399611826</v>
      </c>
      <c r="O88" s="113">
        <f t="shared" si="172"/>
        <v>301001.34088268696</v>
      </c>
      <c r="P88" s="113">
        <f t="shared" si="172"/>
        <v>284633.2562996503</v>
      </c>
      <c r="Q88" s="113">
        <f t="shared" si="172"/>
        <v>449999.99109046621</v>
      </c>
      <c r="R88" s="113">
        <f t="shared" si="172"/>
        <v>449999.99464030511</v>
      </c>
      <c r="S88" s="113">
        <f t="shared" si="172"/>
        <v>449999.9902702705</v>
      </c>
      <c r="T88" s="113">
        <f t="shared" si="172"/>
        <v>449999.9623036682</v>
      </c>
      <c r="U88" s="113">
        <f t="shared" si="172"/>
        <v>449999.98088138195</v>
      </c>
      <c r="V88" s="113">
        <f t="shared" si="172"/>
        <v>350019.71928665118</v>
      </c>
      <c r="W88" s="113">
        <f t="shared" ref="W88:Y88" si="173">IF(W20=0,0,W20/W31*1000000)</f>
        <v>361114.51588628453</v>
      </c>
      <c r="X88" s="113">
        <f t="shared" si="173"/>
        <v>364717.16222070873</v>
      </c>
      <c r="Y88" s="113">
        <f t="shared" si="173"/>
        <v>378109.49217753275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199999.99952239374</v>
      </c>
      <c r="C89" s="28">
        <f t="shared" si="161"/>
        <v>194606.20738583582</v>
      </c>
      <c r="D89" s="28">
        <f t="shared" si="161"/>
        <v>193608.77306189397</v>
      </c>
      <c r="E89" s="28">
        <f t="shared" si="161"/>
        <v>199999.99834669137</v>
      </c>
      <c r="F89" s="28">
        <f t="shared" si="161"/>
        <v>199999.99839577411</v>
      </c>
      <c r="G89" s="28">
        <f t="shared" si="161"/>
        <v>199999.99904657376</v>
      </c>
      <c r="H89" s="28">
        <f t="shared" si="161"/>
        <v>199999.99882268484</v>
      </c>
      <c r="I89" s="28">
        <f t="shared" si="161"/>
        <v>199999.99906569763</v>
      </c>
      <c r="J89" s="28">
        <f t="shared" si="161"/>
        <v>186103.50592059814</v>
      </c>
      <c r="K89" s="28">
        <f t="shared" ref="K89:V89" si="174">IF(K21=0,0,K21/K32*1000000)</f>
        <v>163997.86686298906</v>
      </c>
      <c r="L89" s="28">
        <f t="shared" si="174"/>
        <v>171874.75060613707</v>
      </c>
      <c r="M89" s="28">
        <f t="shared" si="174"/>
        <v>197970.60612176819</v>
      </c>
      <c r="N89" s="28">
        <f t="shared" si="174"/>
        <v>192772.53111910482</v>
      </c>
      <c r="O89" s="28">
        <f t="shared" si="174"/>
        <v>197550.62921942904</v>
      </c>
      <c r="P89" s="28">
        <f t="shared" si="174"/>
        <v>199999.99925782616</v>
      </c>
      <c r="Q89" s="28">
        <f t="shared" si="174"/>
        <v>199999.99874739198</v>
      </c>
      <c r="R89" s="28">
        <f t="shared" si="174"/>
        <v>199999.99913023386</v>
      </c>
      <c r="S89" s="28">
        <f t="shared" si="174"/>
        <v>199999.99800662222</v>
      </c>
      <c r="T89" s="28">
        <f t="shared" si="174"/>
        <v>199999.99935431051</v>
      </c>
      <c r="U89" s="28">
        <f t="shared" si="174"/>
        <v>199999.99819839164</v>
      </c>
      <c r="V89" s="28">
        <f t="shared" si="174"/>
        <v>199999.99808110943</v>
      </c>
      <c r="W89" s="28">
        <f t="shared" ref="W89:Y89" si="175">IF(W21=0,0,W21/W32*1000000)</f>
        <v>199999.99853068995</v>
      </c>
      <c r="X89" s="28">
        <f t="shared" si="175"/>
        <v>199999.99858670068</v>
      </c>
      <c r="Y89" s="28">
        <f t="shared" si="175"/>
        <v>199451.4354229162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199999.99930316643</v>
      </c>
      <c r="C90" s="84">
        <f t="shared" si="161"/>
        <v>181080.37805066805</v>
      </c>
      <c r="D90" s="84">
        <f t="shared" si="161"/>
        <v>191536.8679659554</v>
      </c>
      <c r="E90" s="84">
        <f t="shared" si="161"/>
        <v>199999.99421820021</v>
      </c>
      <c r="F90" s="84">
        <f t="shared" si="161"/>
        <v>199999.99690298431</v>
      </c>
      <c r="G90" s="84">
        <f t="shared" si="161"/>
        <v>199999.99911240509</v>
      </c>
      <c r="H90" s="84">
        <f t="shared" si="161"/>
        <v>199999.99740055684</v>
      </c>
      <c r="I90" s="84">
        <f t="shared" si="161"/>
        <v>199999.99998169232</v>
      </c>
      <c r="J90" s="84">
        <f t="shared" si="161"/>
        <v>199999.99899386818</v>
      </c>
      <c r="K90" s="84">
        <f t="shared" ref="K90:V90" si="176">IF(K22=0,0,K22/K33*1000000)</f>
        <v>199999.99562070199</v>
      </c>
      <c r="L90" s="84">
        <f t="shared" si="176"/>
        <v>199999.99898193206</v>
      </c>
      <c r="M90" s="84">
        <f t="shared" si="176"/>
        <v>199999.99951615397</v>
      </c>
      <c r="N90" s="84">
        <f t="shared" si="176"/>
        <v>166449.86353400562</v>
      </c>
      <c r="O90" s="84">
        <f t="shared" si="176"/>
        <v>187647.02286708151</v>
      </c>
      <c r="P90" s="84">
        <f t="shared" si="176"/>
        <v>199999.998642444</v>
      </c>
      <c r="Q90" s="84">
        <f t="shared" si="176"/>
        <v>199999.99880644516</v>
      </c>
      <c r="R90" s="84">
        <f t="shared" si="176"/>
        <v>199999.99756721652</v>
      </c>
      <c r="S90" s="84">
        <f t="shared" si="176"/>
        <v>199999.99477077794</v>
      </c>
      <c r="T90" s="84">
        <f t="shared" si="176"/>
        <v>199999.99936127223</v>
      </c>
      <c r="U90" s="84">
        <f t="shared" si="176"/>
        <v>199999.99580514492</v>
      </c>
      <c r="V90" s="84">
        <f t="shared" si="176"/>
        <v>199999.99551514283</v>
      </c>
      <c r="W90" s="84">
        <f t="shared" ref="W90:Y90" si="177">IF(W22=0,0,W22/W33*1000000)</f>
        <v>199999.99535588961</v>
      </c>
      <c r="X90" s="84">
        <f t="shared" si="177"/>
        <v>199999.99692760917</v>
      </c>
      <c r="Y90" s="84">
        <f t="shared" si="177"/>
        <v>197366.01850838255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199999.99962514086</v>
      </c>
      <c r="C91" s="86">
        <f t="shared" si="161"/>
        <v>199999.99798173731</v>
      </c>
      <c r="D91" s="86">
        <f t="shared" si="161"/>
        <v>194419.8796988164</v>
      </c>
      <c r="E91" s="86">
        <f t="shared" si="161"/>
        <v>199999.99974112285</v>
      </c>
      <c r="F91" s="86">
        <f t="shared" si="161"/>
        <v>199999.9987326019</v>
      </c>
      <c r="G91" s="86">
        <f t="shared" si="161"/>
        <v>199999.99903274156</v>
      </c>
      <c r="H91" s="86">
        <f t="shared" si="161"/>
        <v>199999.9991892438</v>
      </c>
      <c r="I91" s="86">
        <f t="shared" si="161"/>
        <v>199999.9988268709</v>
      </c>
      <c r="J91" s="86">
        <f t="shared" si="161"/>
        <v>182323.26842936545</v>
      </c>
      <c r="K91" s="86">
        <f t="shared" ref="K91:V91" si="178">IF(K23=0,0,K23/K34*1000000)</f>
        <v>153477.35783488106</v>
      </c>
      <c r="L91" s="86">
        <f t="shared" si="178"/>
        <v>163794.21054077955</v>
      </c>
      <c r="M91" s="86">
        <f t="shared" si="178"/>
        <v>197351.39383954418</v>
      </c>
      <c r="N91" s="86">
        <f t="shared" si="178"/>
        <v>199999.99993755217</v>
      </c>
      <c r="O91" s="86">
        <f t="shared" si="178"/>
        <v>199999.99948269097</v>
      </c>
      <c r="P91" s="86">
        <f t="shared" si="178"/>
        <v>199999.99944646179</v>
      </c>
      <c r="Q91" s="86">
        <f t="shared" si="178"/>
        <v>199999.99873055157</v>
      </c>
      <c r="R91" s="86">
        <f t="shared" si="178"/>
        <v>199999.99957534426</v>
      </c>
      <c r="S91" s="86">
        <f t="shared" si="178"/>
        <v>199999.99886640819</v>
      </c>
      <c r="T91" s="86">
        <f t="shared" si="178"/>
        <v>199999.99935253934</v>
      </c>
      <c r="U91" s="86">
        <f t="shared" si="178"/>
        <v>199999.9988207086</v>
      </c>
      <c r="V91" s="86">
        <f t="shared" si="178"/>
        <v>199999.99874489408</v>
      </c>
      <c r="W91" s="86">
        <f t="shared" ref="W91:Y91" si="179">IF(W23=0,0,W23/W34*1000000)</f>
        <v>199999.99931312658</v>
      </c>
      <c r="X91" s="86">
        <f t="shared" si="179"/>
        <v>199999.99906339031</v>
      </c>
      <c r="Y91" s="86">
        <f t="shared" si="179"/>
        <v>199999.99980525303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13005290.067601528</v>
      </c>
      <c r="C94" s="28">
        <f t="shared" si="180"/>
        <v>12981519.592820818</v>
      </c>
      <c r="D94" s="28">
        <f t="shared" si="180"/>
        <v>12344612.521199452</v>
      </c>
      <c r="E94" s="28">
        <f t="shared" si="180"/>
        <v>11837459.683632189</v>
      </c>
      <c r="F94" s="28">
        <f t="shared" si="180"/>
        <v>10629552.049411282</v>
      </c>
      <c r="G94" s="28">
        <f t="shared" si="180"/>
        <v>10392238.542850778</v>
      </c>
      <c r="H94" s="28">
        <f t="shared" si="180"/>
        <v>10529529.94506138</v>
      </c>
      <c r="I94" s="28">
        <f t="shared" si="180"/>
        <v>10588859.568872983</v>
      </c>
      <c r="J94" s="28">
        <f t="shared" si="180"/>
        <v>9953564.6490609311</v>
      </c>
      <c r="K94" s="28">
        <f t="shared" ref="K94:V94" si="181">IF(K4=0,0,K4/K26*1000000)</f>
        <v>9604920.8748392835</v>
      </c>
      <c r="L94" s="28">
        <f t="shared" si="181"/>
        <v>9799380.7847127188</v>
      </c>
      <c r="M94" s="28">
        <f t="shared" si="181"/>
        <v>9886389.340771459</v>
      </c>
      <c r="N94" s="28">
        <f t="shared" si="181"/>
        <v>10113606.061788032</v>
      </c>
      <c r="O94" s="28">
        <f t="shared" si="181"/>
        <v>10254889.096475266</v>
      </c>
      <c r="P94" s="28">
        <f t="shared" si="181"/>
        <v>10425138.011926912</v>
      </c>
      <c r="Q94" s="28">
        <f t="shared" si="181"/>
        <v>10712839.311943103</v>
      </c>
      <c r="R94" s="28">
        <f t="shared" si="181"/>
        <v>10938361.080902033</v>
      </c>
      <c r="S94" s="28">
        <f t="shared" si="181"/>
        <v>11086672.033411607</v>
      </c>
      <c r="T94" s="28">
        <f t="shared" si="181"/>
        <v>11425849.488487752</v>
      </c>
      <c r="U94" s="28">
        <f t="shared" si="181"/>
        <v>11895973.800005781</v>
      </c>
      <c r="V94" s="28">
        <f t="shared" si="181"/>
        <v>6007589.5605503432</v>
      </c>
      <c r="W94" s="28">
        <f t="shared" ref="W94:Y94" si="182">IF(W4=0,0,W4/W26*1000000)</f>
        <v>6338855.760934121</v>
      </c>
      <c r="X94" s="28">
        <f t="shared" si="182"/>
        <v>8901102.9980185311</v>
      </c>
      <c r="Y94" s="28">
        <f t="shared" si="182"/>
        <v>9913714.2790712286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8909422.1498977188</v>
      </c>
      <c r="C95" s="108">
        <f t="shared" si="180"/>
        <v>8852211.1258357558</v>
      </c>
      <c r="D95" s="108">
        <f t="shared" si="180"/>
        <v>8768586.3842159081</v>
      </c>
      <c r="E95" s="108">
        <f t="shared" si="180"/>
        <v>8533414.7496475596</v>
      </c>
      <c r="F95" s="108">
        <f t="shared" si="180"/>
        <v>8291281.3269003443</v>
      </c>
      <c r="G95" s="108">
        <f t="shared" si="180"/>
        <v>8084377.8278433671</v>
      </c>
      <c r="H95" s="108">
        <f t="shared" si="180"/>
        <v>8117411.3164382773</v>
      </c>
      <c r="I95" s="108">
        <f t="shared" si="180"/>
        <v>8070889.3755514752</v>
      </c>
      <c r="J95" s="108">
        <f t="shared" si="180"/>
        <v>7976640.8276828034</v>
      </c>
      <c r="K95" s="108">
        <f t="shared" ref="K95:V95" si="183">IF(K5=0,0,K5/K27*1000000)</f>
        <v>7821453.1857575532</v>
      </c>
      <c r="L95" s="108">
        <f t="shared" si="183"/>
        <v>7897713.4641278656</v>
      </c>
      <c r="M95" s="108">
        <f t="shared" si="183"/>
        <v>7940510.0774866426</v>
      </c>
      <c r="N95" s="108">
        <f t="shared" si="183"/>
        <v>8044316.861191472</v>
      </c>
      <c r="O95" s="108">
        <f t="shared" si="183"/>
        <v>8114399.5143762827</v>
      </c>
      <c r="P95" s="108">
        <f t="shared" si="183"/>
        <v>8171094.0203549499</v>
      </c>
      <c r="Q95" s="108">
        <f t="shared" si="183"/>
        <v>8297600.0871612001</v>
      </c>
      <c r="R95" s="108">
        <f t="shared" si="183"/>
        <v>8398079.6689254288</v>
      </c>
      <c r="S95" s="108">
        <f t="shared" si="183"/>
        <v>8488282.1710800827</v>
      </c>
      <c r="T95" s="108">
        <f t="shared" si="183"/>
        <v>8614740.7201788742</v>
      </c>
      <c r="U95" s="108">
        <f t="shared" si="183"/>
        <v>8736775.8703588452</v>
      </c>
      <c r="V95" s="108">
        <f t="shared" si="183"/>
        <v>3182323.3717525499</v>
      </c>
      <c r="W95" s="108">
        <f t="shared" ref="W95:Y95" si="184">IF(W5=0,0,W5/W27*1000000)</f>
        <v>3298094.9966384876</v>
      </c>
      <c r="X95" s="108">
        <f t="shared" si="184"/>
        <v>4748318.4968625074</v>
      </c>
      <c r="Y95" s="108">
        <f t="shared" si="184"/>
        <v>5683753.0543230064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26438276.464564443</v>
      </c>
      <c r="C96" s="110">
        <f t="shared" si="180"/>
        <v>27374441.17548003</v>
      </c>
      <c r="D96" s="110">
        <f t="shared" si="180"/>
        <v>25376082.232015725</v>
      </c>
      <c r="E96" s="110">
        <f t="shared" si="180"/>
        <v>24093768.689374279</v>
      </c>
      <c r="F96" s="110">
        <f t="shared" si="180"/>
        <v>16979871.787953604</v>
      </c>
      <c r="G96" s="110">
        <f t="shared" si="180"/>
        <v>15741183.838169003</v>
      </c>
      <c r="H96" s="110">
        <f t="shared" si="180"/>
        <v>15642273.625484854</v>
      </c>
      <c r="I96" s="110">
        <f t="shared" si="180"/>
        <v>15747512.256246356</v>
      </c>
      <c r="J96" s="110">
        <f t="shared" si="180"/>
        <v>14590510.954680942</v>
      </c>
      <c r="K96" s="110">
        <f t="shared" ref="K96:V96" si="185">IF(K6=0,0,K6/K28*1000000)</f>
        <v>13721778.572893402</v>
      </c>
      <c r="L96" s="110">
        <f t="shared" si="185"/>
        <v>14216136.18861324</v>
      </c>
      <c r="M96" s="110">
        <f t="shared" si="185"/>
        <v>14105952.531666717</v>
      </c>
      <c r="N96" s="110">
        <f t="shared" si="185"/>
        <v>14927976.469180511</v>
      </c>
      <c r="O96" s="110">
        <f t="shared" si="185"/>
        <v>15133265.334027905</v>
      </c>
      <c r="P96" s="110">
        <f t="shared" si="185"/>
        <v>15310041.914230144</v>
      </c>
      <c r="Q96" s="110">
        <f t="shared" si="185"/>
        <v>15292618.673826778</v>
      </c>
      <c r="R96" s="110">
        <f t="shared" si="185"/>
        <v>15989927.904636929</v>
      </c>
      <c r="S96" s="110">
        <f t="shared" si="185"/>
        <v>15952658.127550341</v>
      </c>
      <c r="T96" s="110">
        <f t="shared" si="185"/>
        <v>16328468.361518145</v>
      </c>
      <c r="U96" s="110">
        <f t="shared" si="185"/>
        <v>17703661.807305232</v>
      </c>
      <c r="V96" s="110">
        <f t="shared" si="185"/>
        <v>11357160.574931715</v>
      </c>
      <c r="W96" s="110">
        <f t="shared" ref="W96:Y96" si="186">IF(W6=0,0,W6/W28*1000000)</f>
        <v>11755160.061329305</v>
      </c>
      <c r="X96" s="110">
        <f t="shared" si="186"/>
        <v>15333133.619482357</v>
      </c>
      <c r="Y96" s="110">
        <f t="shared" si="186"/>
        <v>15464249.334232297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21422189.523245785</v>
      </c>
      <c r="C97" s="84">
        <f t="shared" si="180"/>
        <v>21981329.416710161</v>
      </c>
      <c r="D97" s="84">
        <f t="shared" si="180"/>
        <v>19629727.001940247</v>
      </c>
      <c r="E97" s="84">
        <f t="shared" si="180"/>
        <v>18661411.776233274</v>
      </c>
      <c r="F97" s="84">
        <f t="shared" si="180"/>
        <v>18247268.086894069</v>
      </c>
      <c r="G97" s="84">
        <f t="shared" si="180"/>
        <v>17329473.316253509</v>
      </c>
      <c r="H97" s="84">
        <f t="shared" si="180"/>
        <v>16089959.088084225</v>
      </c>
      <c r="I97" s="84">
        <f t="shared" si="180"/>
        <v>15873855.581358276</v>
      </c>
      <c r="J97" s="84">
        <f t="shared" si="180"/>
        <v>13055678.843589416</v>
      </c>
      <c r="K97" s="84">
        <f t="shared" ref="K97:V97" si="187">IF(K7=0,0,K7/K29*1000000)</f>
        <v>13309692.829586145</v>
      </c>
      <c r="L97" s="84">
        <f t="shared" si="187"/>
        <v>13721130.426563231</v>
      </c>
      <c r="M97" s="84">
        <f t="shared" si="187"/>
        <v>13791828.804079501</v>
      </c>
      <c r="N97" s="84">
        <f t="shared" si="187"/>
        <v>13767243.445959108</v>
      </c>
      <c r="O97" s="84">
        <f t="shared" si="187"/>
        <v>14310642.686905932</v>
      </c>
      <c r="P97" s="84">
        <f t="shared" si="187"/>
        <v>14968836.335174771</v>
      </c>
      <c r="Q97" s="84">
        <f t="shared" si="187"/>
        <v>14764892.469463568</v>
      </c>
      <c r="R97" s="84">
        <f t="shared" si="187"/>
        <v>15477902.068089858</v>
      </c>
      <c r="S97" s="84">
        <f t="shared" si="187"/>
        <v>15737038.451924263</v>
      </c>
      <c r="T97" s="84">
        <f t="shared" si="187"/>
        <v>16870228.596307203</v>
      </c>
      <c r="U97" s="84">
        <f t="shared" si="187"/>
        <v>18814138.884603787</v>
      </c>
      <c r="V97" s="84">
        <f t="shared" si="187"/>
        <v>12871053.782719722</v>
      </c>
      <c r="W97" s="84">
        <f t="shared" ref="W97:Y97" si="188">IF(W7=0,0,W7/W29*1000000)</f>
        <v>14240016.906278277</v>
      </c>
      <c r="X97" s="84">
        <f t="shared" si="188"/>
        <v>19913022.563965283</v>
      </c>
      <c r="Y97" s="84">
        <f t="shared" si="188"/>
        <v>21141460.928867165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36810963.793257415</v>
      </c>
      <c r="C98" s="84">
        <f t="shared" si="180"/>
        <v>38850501.45349469</v>
      </c>
      <c r="D98" s="84">
        <f t="shared" si="180"/>
        <v>38900855.341902785</v>
      </c>
      <c r="E98" s="84">
        <f t="shared" si="180"/>
        <v>35880612.696517028</v>
      </c>
      <c r="F98" s="84">
        <f t="shared" si="180"/>
        <v>15772220.378752468</v>
      </c>
      <c r="G98" s="84">
        <f t="shared" si="180"/>
        <v>14317204.649167955</v>
      </c>
      <c r="H98" s="84">
        <f t="shared" si="180"/>
        <v>15204705.696687015</v>
      </c>
      <c r="I98" s="84">
        <f t="shared" si="180"/>
        <v>15622890.215166606</v>
      </c>
      <c r="J98" s="84">
        <f t="shared" si="180"/>
        <v>16420774.476930365</v>
      </c>
      <c r="K98" s="84">
        <f t="shared" ref="K98:V98" si="189">IF(K8=0,0,K8/K30*1000000)</f>
        <v>14123730.982502935</v>
      </c>
      <c r="L98" s="84">
        <f t="shared" si="189"/>
        <v>14700964.207606886</v>
      </c>
      <c r="M98" s="84">
        <f t="shared" si="189"/>
        <v>14400273.678684222</v>
      </c>
      <c r="N98" s="84">
        <f t="shared" si="189"/>
        <v>16096853.31775444</v>
      </c>
      <c r="O98" s="84">
        <f t="shared" si="189"/>
        <v>15914169.721310379</v>
      </c>
      <c r="P98" s="84">
        <f t="shared" si="189"/>
        <v>15613538.349794555</v>
      </c>
      <c r="Q98" s="84">
        <f t="shared" si="189"/>
        <v>15749564.439532205</v>
      </c>
      <c r="R98" s="84">
        <f t="shared" si="189"/>
        <v>16435063.690779237</v>
      </c>
      <c r="S98" s="84">
        <f t="shared" si="189"/>
        <v>16132725.39868537</v>
      </c>
      <c r="T98" s="84">
        <f t="shared" si="189"/>
        <v>15922793.059823908</v>
      </c>
      <c r="U98" s="84">
        <f t="shared" si="189"/>
        <v>16912901.967451401</v>
      </c>
      <c r="V98" s="84">
        <f t="shared" si="189"/>
        <v>10336843.134489145</v>
      </c>
      <c r="W98" s="84">
        <f t="shared" ref="W98:Y98" si="190">IF(W8=0,0,W8/W30*1000000)</f>
        <v>10241027.794328712</v>
      </c>
      <c r="X98" s="84">
        <f t="shared" si="190"/>
        <v>12939350.116118275</v>
      </c>
      <c r="Y98" s="84">
        <f t="shared" si="190"/>
        <v>12844392.820594136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13989535.827201253</v>
      </c>
      <c r="G99" s="113">
        <f t="shared" si="180"/>
        <v>13989633.681442052</v>
      </c>
      <c r="H99" s="113">
        <f t="shared" si="180"/>
        <v>34887369.19299151</v>
      </c>
      <c r="I99" s="113">
        <f t="shared" si="180"/>
        <v>55364053.146798536</v>
      </c>
      <c r="J99" s="113">
        <f t="shared" si="180"/>
        <v>42574788.590091281</v>
      </c>
      <c r="K99" s="113">
        <f t="shared" ref="K99:V99" si="191">IF(K9=0,0,K9/K31*1000000)</f>
        <v>39545752.247713245</v>
      </c>
      <c r="L99" s="113">
        <f t="shared" si="191"/>
        <v>45603824.932469316</v>
      </c>
      <c r="M99" s="113">
        <f t="shared" si="191"/>
        <v>47959742.087652229</v>
      </c>
      <c r="N99" s="113">
        <f t="shared" si="191"/>
        <v>45603824.932469316</v>
      </c>
      <c r="O99" s="113">
        <f t="shared" si="191"/>
        <v>41396830.012499817</v>
      </c>
      <c r="P99" s="113">
        <f t="shared" si="191"/>
        <v>41396830.012499817</v>
      </c>
      <c r="Q99" s="113">
        <f t="shared" si="191"/>
        <v>69946693.711076736</v>
      </c>
      <c r="R99" s="113">
        <f t="shared" si="191"/>
        <v>74821342.605748668</v>
      </c>
      <c r="S99" s="113">
        <f t="shared" si="191"/>
        <v>74821620.003856868</v>
      </c>
      <c r="T99" s="113">
        <f t="shared" si="191"/>
        <v>74827218.862641364</v>
      </c>
      <c r="U99" s="113">
        <f t="shared" si="191"/>
        <v>74860011.353910014</v>
      </c>
      <c r="V99" s="113">
        <f t="shared" si="191"/>
        <v>45670399.336490966</v>
      </c>
      <c r="W99" s="113">
        <f t="shared" ref="W99:Y99" si="192">IF(W9=0,0,W9/W31*1000000)</f>
        <v>46559948.108106151</v>
      </c>
      <c r="X99" s="113">
        <f t="shared" si="192"/>
        <v>49543670.565108471</v>
      </c>
      <c r="Y99" s="113">
        <f t="shared" si="192"/>
        <v>52718600.273453727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140770887.31890693</v>
      </c>
      <c r="C100" s="28">
        <f t="shared" si="180"/>
        <v>134974494.33303198</v>
      </c>
      <c r="D100" s="28">
        <f t="shared" si="180"/>
        <v>140184260.8169935</v>
      </c>
      <c r="E100" s="28">
        <f t="shared" si="180"/>
        <v>142792464.81768578</v>
      </c>
      <c r="F100" s="28">
        <f t="shared" si="180"/>
        <v>98239163.24291487</v>
      </c>
      <c r="G100" s="28">
        <f t="shared" si="180"/>
        <v>98187628.500152662</v>
      </c>
      <c r="H100" s="28">
        <f t="shared" si="180"/>
        <v>100523780.56337187</v>
      </c>
      <c r="I100" s="28">
        <f t="shared" si="180"/>
        <v>95505064.451274067</v>
      </c>
      <c r="J100" s="28">
        <f t="shared" si="180"/>
        <v>95597654.028492078</v>
      </c>
      <c r="K100" s="28">
        <f t="shared" ref="K100:V100" si="193">IF(K10=0,0,K10/K32*1000000)</f>
        <v>83543101.673143461</v>
      </c>
      <c r="L100" s="28">
        <f t="shared" si="193"/>
        <v>97224759.829248488</v>
      </c>
      <c r="M100" s="28">
        <f t="shared" si="193"/>
        <v>108007664.56066558</v>
      </c>
      <c r="N100" s="28">
        <f t="shared" si="193"/>
        <v>113740473.41819285</v>
      </c>
      <c r="O100" s="28">
        <f t="shared" si="193"/>
        <v>120102696.44872968</v>
      </c>
      <c r="P100" s="28">
        <f t="shared" si="193"/>
        <v>113479707.49252591</v>
      </c>
      <c r="Q100" s="28">
        <f t="shared" si="193"/>
        <v>112146652.34232807</v>
      </c>
      <c r="R100" s="28">
        <f t="shared" si="193"/>
        <v>113688779.82219596</v>
      </c>
      <c r="S100" s="28">
        <f t="shared" si="193"/>
        <v>116227590.89240803</v>
      </c>
      <c r="T100" s="28">
        <f t="shared" si="193"/>
        <v>121927288.24502355</v>
      </c>
      <c r="U100" s="28">
        <f t="shared" si="193"/>
        <v>116936429.17976438</v>
      </c>
      <c r="V100" s="28">
        <f t="shared" si="193"/>
        <v>105419192.80860695</v>
      </c>
      <c r="W100" s="28">
        <f t="shared" ref="W100:Y100" si="194">IF(W10=0,0,W10/W32*1000000)</f>
        <v>107167485.63429898</v>
      </c>
      <c r="X100" s="28">
        <f t="shared" si="194"/>
        <v>89459088.800481245</v>
      </c>
      <c r="Y100" s="28">
        <f t="shared" si="194"/>
        <v>84942786.277369186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128275332.57713006</v>
      </c>
      <c r="C101" s="84">
        <f t="shared" si="180"/>
        <v>113671051.70283963</v>
      </c>
      <c r="D101" s="84">
        <f t="shared" si="180"/>
        <v>120931535.47510381</v>
      </c>
      <c r="E101" s="84">
        <f t="shared" si="180"/>
        <v>125087888.26190202</v>
      </c>
      <c r="F101" s="84">
        <f t="shared" si="180"/>
        <v>116625000.4135541</v>
      </c>
      <c r="G101" s="84">
        <f t="shared" si="180"/>
        <v>120151771.85629956</v>
      </c>
      <c r="H101" s="84">
        <f t="shared" si="180"/>
        <v>114676387.80069228</v>
      </c>
      <c r="I101" s="84">
        <f t="shared" si="180"/>
        <v>105096516.4481159</v>
      </c>
      <c r="J101" s="84">
        <f t="shared" si="180"/>
        <v>108060139.36386308</v>
      </c>
      <c r="K101" s="84">
        <f t="shared" ref="K101:V101" si="195">IF(K11=0,0,K11/K33*1000000)</f>
        <v>106695826.73849055</v>
      </c>
      <c r="L101" s="84">
        <f t="shared" si="195"/>
        <v>117890025.84750062</v>
      </c>
      <c r="M101" s="84">
        <f t="shared" si="195"/>
        <v>114687641.02414516</v>
      </c>
      <c r="N101" s="84">
        <f t="shared" si="195"/>
        <v>103514047.89237641</v>
      </c>
      <c r="O101" s="84">
        <f t="shared" si="195"/>
        <v>121301696.68911558</v>
      </c>
      <c r="P101" s="84">
        <f t="shared" si="195"/>
        <v>120663853.79376088</v>
      </c>
      <c r="Q101" s="84">
        <f t="shared" si="195"/>
        <v>117566410.52190019</v>
      </c>
      <c r="R101" s="84">
        <f t="shared" si="195"/>
        <v>120024319.53204204</v>
      </c>
      <c r="S101" s="84">
        <f t="shared" si="195"/>
        <v>123114538.28693658</v>
      </c>
      <c r="T101" s="84">
        <f t="shared" si="195"/>
        <v>128973030.48726207</v>
      </c>
      <c r="U101" s="84">
        <f t="shared" si="195"/>
        <v>121725311.69554818</v>
      </c>
      <c r="V101" s="84">
        <f t="shared" si="195"/>
        <v>111922029.39576299</v>
      </c>
      <c r="W101" s="84">
        <f t="shared" ref="W101:Y101" si="196">IF(W11=0,0,W11/W33*1000000)</f>
        <v>113852963.11264269</v>
      </c>
      <c r="X101" s="84">
        <f t="shared" si="196"/>
        <v>79319967.020000175</v>
      </c>
      <c r="Y101" s="84">
        <f t="shared" si="196"/>
        <v>96019458.359430254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146627283.87181464</v>
      </c>
      <c r="C102" s="86">
        <f t="shared" si="180"/>
        <v>143469818.77279082</v>
      </c>
      <c r="D102" s="86">
        <f t="shared" si="180"/>
        <v>147721291.99388561</v>
      </c>
      <c r="E102" s="86">
        <f t="shared" si="180"/>
        <v>148772329.54701996</v>
      </c>
      <c r="F102" s="86">
        <f t="shared" si="180"/>
        <v>94090648.726927489</v>
      </c>
      <c r="G102" s="86">
        <f t="shared" si="180"/>
        <v>93572627.40443933</v>
      </c>
      <c r="H102" s="86">
        <f t="shared" si="180"/>
        <v>96875891.665421665</v>
      </c>
      <c r="I102" s="86">
        <f t="shared" si="180"/>
        <v>93004290.967413366</v>
      </c>
      <c r="J102" s="86">
        <f t="shared" si="180"/>
        <v>92207507.028791472</v>
      </c>
      <c r="K102" s="86">
        <f t="shared" ref="K102:V102" si="197">IF(K12=0,0,K12/K34*1000000)</f>
        <v>76777433.600721404</v>
      </c>
      <c r="L102" s="86">
        <f t="shared" si="197"/>
        <v>91287514.127785847</v>
      </c>
      <c r="M102" s="86">
        <f t="shared" si="197"/>
        <v>105969457.73364194</v>
      </c>
      <c r="N102" s="86">
        <f t="shared" si="197"/>
        <v>116548364.04603529</v>
      </c>
      <c r="O102" s="86">
        <f t="shared" si="197"/>
        <v>119806158.4574202</v>
      </c>
      <c r="P102" s="86">
        <f t="shared" si="197"/>
        <v>111277521.60754517</v>
      </c>
      <c r="Q102" s="86">
        <f t="shared" si="197"/>
        <v>110601083.11044216</v>
      </c>
      <c r="R102" s="86">
        <f t="shared" si="197"/>
        <v>111884567.82965565</v>
      </c>
      <c r="S102" s="86">
        <f t="shared" si="197"/>
        <v>114397681.89587513</v>
      </c>
      <c r="T102" s="86">
        <f t="shared" si="197"/>
        <v>120134738.52253328</v>
      </c>
      <c r="U102" s="86">
        <f t="shared" si="197"/>
        <v>115691174.13789234</v>
      </c>
      <c r="V102" s="86">
        <f t="shared" si="197"/>
        <v>103736987.41532432</v>
      </c>
      <c r="W102" s="86">
        <f t="shared" ref="W102:Y102" si="198">IF(W12=0,0,W12/W34*1000000)</f>
        <v>105519834.77203569</v>
      </c>
      <c r="X102" s="86">
        <f t="shared" si="198"/>
        <v>92372257.994474232</v>
      </c>
      <c r="Y102" s="86">
        <f t="shared" si="198"/>
        <v>82029091.784580976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0.52498698594482041</v>
      </c>
      <c r="C106" s="123">
        <f t="shared" si="199"/>
        <v>0.52988535360041222</v>
      </c>
      <c r="D106" s="123">
        <f t="shared" si="199"/>
        <v>0.55736714975845414</v>
      </c>
      <c r="E106" s="123">
        <f t="shared" si="199"/>
        <v>0.56781200684286603</v>
      </c>
      <c r="F106" s="123">
        <f t="shared" si="199"/>
        <v>0.57008918362680083</v>
      </c>
      <c r="G106" s="123">
        <f t="shared" si="199"/>
        <v>0.54339369366901358</v>
      </c>
      <c r="H106" s="123">
        <f t="shared" si="199"/>
        <v>0.52978099016357816</v>
      </c>
      <c r="I106" s="123">
        <f t="shared" si="199"/>
        <v>0.52909532781737256</v>
      </c>
      <c r="J106" s="123">
        <f t="shared" si="199"/>
        <v>0.57444803277246514</v>
      </c>
      <c r="K106" s="123">
        <f t="shared" ref="K106:V106" si="202">IF(K5=0,0,K5/K$4)</f>
        <v>0.58133607612541804</v>
      </c>
      <c r="L106" s="123">
        <f t="shared" si="202"/>
        <v>0.57836204679866288</v>
      </c>
      <c r="M106" s="123">
        <f t="shared" si="202"/>
        <v>0.56652583685407865</v>
      </c>
      <c r="N106" s="123">
        <f t="shared" si="202"/>
        <v>0.56905018565097609</v>
      </c>
      <c r="O106" s="123">
        <f t="shared" si="202"/>
        <v>0.56051927993494377</v>
      </c>
      <c r="P106" s="123">
        <f t="shared" si="202"/>
        <v>0.5468342423523832</v>
      </c>
      <c r="Q106" s="123">
        <f t="shared" si="202"/>
        <v>0.53705550205974695</v>
      </c>
      <c r="R106" s="123">
        <f t="shared" si="202"/>
        <v>0.54264239429690031</v>
      </c>
      <c r="S106" s="123">
        <f t="shared" si="202"/>
        <v>0.53326185583385455</v>
      </c>
      <c r="T106" s="123">
        <f t="shared" si="202"/>
        <v>0.51228358180464617</v>
      </c>
      <c r="U106" s="123">
        <f t="shared" si="202"/>
        <v>0.5055295425146209</v>
      </c>
      <c r="V106" s="123">
        <f t="shared" si="202"/>
        <v>0.36179233919537462</v>
      </c>
      <c r="W106" s="123">
        <f t="shared" ref="W106:Y106" si="203">IF(W5=0,0,W5/W$4)</f>
        <v>0.34863350022670481</v>
      </c>
      <c r="X106" s="123">
        <f t="shared" si="203"/>
        <v>0.33690971977129952</v>
      </c>
      <c r="Y106" s="123">
        <f t="shared" si="203"/>
        <v>0.34213470575072724</v>
      </c>
      <c r="DA106" s="203"/>
    </row>
    <row r="107" spans="1:105" ht="11.45" customHeight="1" x14ac:dyDescent="0.25">
      <c r="A107" s="109" t="s">
        <v>24</v>
      </c>
      <c r="B107" s="124">
        <f t="shared" si="199"/>
        <v>0.47501301405517959</v>
      </c>
      <c r="C107" s="124">
        <f t="shared" si="199"/>
        <v>0.47011464639958778</v>
      </c>
      <c r="D107" s="124">
        <f t="shared" si="199"/>
        <v>0.44263285024154592</v>
      </c>
      <c r="E107" s="124">
        <f t="shared" si="199"/>
        <v>0.43218799315713397</v>
      </c>
      <c r="F107" s="124">
        <f t="shared" si="199"/>
        <v>0.42984548038286891</v>
      </c>
      <c r="G107" s="124">
        <f t="shared" si="199"/>
        <v>0.45619538120154507</v>
      </c>
      <c r="H107" s="124">
        <f t="shared" si="199"/>
        <v>0.46016520841258629</v>
      </c>
      <c r="I107" s="124">
        <f t="shared" si="199"/>
        <v>0.4484448813522296</v>
      </c>
      <c r="J107" s="124">
        <f t="shared" si="199"/>
        <v>0.40965581371969989</v>
      </c>
      <c r="K107" s="124">
        <f t="shared" ref="K107:V107" si="204">IF(K6=0,0,K6/K$4)</f>
        <v>0.40346212812202836</v>
      </c>
      <c r="L107" s="124">
        <f t="shared" si="204"/>
        <v>0.40421702237078938</v>
      </c>
      <c r="M107" s="124">
        <f t="shared" si="204"/>
        <v>0.41494962625934345</v>
      </c>
      <c r="N107" s="124">
        <f t="shared" si="204"/>
        <v>0.41472032578751944</v>
      </c>
      <c r="O107" s="124">
        <f t="shared" si="204"/>
        <v>0.42508877955174368</v>
      </c>
      <c r="P107" s="124">
        <f t="shared" si="204"/>
        <v>0.43858193028219111</v>
      </c>
      <c r="Q107" s="124">
        <f t="shared" si="204"/>
        <v>0.43063809420706872</v>
      </c>
      <c r="R107" s="124">
        <f t="shared" si="204"/>
        <v>0.42082343211866796</v>
      </c>
      <c r="S107" s="124">
        <f t="shared" si="204"/>
        <v>0.42856717395836436</v>
      </c>
      <c r="T107" s="124">
        <f t="shared" si="204"/>
        <v>0.44982533834729993</v>
      </c>
      <c r="U107" s="124">
        <f t="shared" si="204"/>
        <v>0.45434255834714959</v>
      </c>
      <c r="V107" s="124">
        <f t="shared" si="204"/>
        <v>0.58641501626069814</v>
      </c>
      <c r="W107" s="124">
        <f t="shared" ref="W107:Y107" si="205">IF(W6=0,0,W6/W$4)</f>
        <v>0.5985059722953775</v>
      </c>
      <c r="X107" s="124">
        <f t="shared" si="205"/>
        <v>0.62193398204604611</v>
      </c>
      <c r="Y107" s="124">
        <f t="shared" si="205"/>
        <v>0.61703329742856172</v>
      </c>
      <c r="DA107" s="176"/>
    </row>
    <row r="108" spans="1:105" ht="11.45" customHeight="1" x14ac:dyDescent="0.25">
      <c r="A108" s="111" t="s">
        <v>92</v>
      </c>
      <c r="B108" s="125">
        <f t="shared" si="199"/>
        <v>0.25943196397004409</v>
      </c>
      <c r="C108" s="125">
        <f t="shared" si="199"/>
        <v>0.25680976163563168</v>
      </c>
      <c r="D108" s="125">
        <f t="shared" si="199"/>
        <v>0.24030132940097756</v>
      </c>
      <c r="E108" s="125">
        <f t="shared" si="199"/>
        <v>0.22913793718569167</v>
      </c>
      <c r="F108" s="125">
        <f t="shared" si="199"/>
        <v>0.22538957704562004</v>
      </c>
      <c r="G108" s="125">
        <f t="shared" si="199"/>
        <v>0.23741534989135479</v>
      </c>
      <c r="H108" s="125">
        <f t="shared" si="199"/>
        <v>0.23396275419704149</v>
      </c>
      <c r="I108" s="125">
        <f t="shared" si="199"/>
        <v>0.22447119004254895</v>
      </c>
      <c r="J108" s="125">
        <f t="shared" si="199"/>
        <v>0.19937205856563583</v>
      </c>
      <c r="K108" s="125">
        <f t="shared" ref="K108:V108" si="206">IF(K7=0,0,K7/K$4)</f>
        <v>0.19323699580129081</v>
      </c>
      <c r="L108" s="125">
        <f t="shared" si="206"/>
        <v>0.19304484906921829</v>
      </c>
      <c r="M108" s="125">
        <f t="shared" si="206"/>
        <v>0.19625243215859134</v>
      </c>
      <c r="N108" s="125">
        <f t="shared" si="206"/>
        <v>0.19190528276994728</v>
      </c>
      <c r="O108" s="125">
        <f t="shared" si="206"/>
        <v>0.19576169187997605</v>
      </c>
      <c r="P108" s="125">
        <f t="shared" si="206"/>
        <v>0.20186311117264794</v>
      </c>
      <c r="Q108" s="125">
        <f t="shared" si="206"/>
        <v>0.19294518974357106</v>
      </c>
      <c r="R108" s="125">
        <f t="shared" si="206"/>
        <v>0.18944045836313167</v>
      </c>
      <c r="S108" s="125">
        <f t="shared" si="206"/>
        <v>0.19239417118877719</v>
      </c>
      <c r="T108" s="125">
        <f t="shared" si="206"/>
        <v>0.19899782569851476</v>
      </c>
      <c r="U108" s="125">
        <f t="shared" si="206"/>
        <v>0.20082280384188811</v>
      </c>
      <c r="V108" s="125">
        <f t="shared" si="206"/>
        <v>0.267572835145298</v>
      </c>
      <c r="W108" s="125">
        <f t="shared" ref="W108:Y108" si="207">IF(W7=0,0,W7/W$4)</f>
        <v>0.2745137100512744</v>
      </c>
      <c r="X108" s="125">
        <f t="shared" si="207"/>
        <v>0.27725148278331946</v>
      </c>
      <c r="Y108" s="125">
        <f t="shared" si="207"/>
        <v>0.26635913965776825</v>
      </c>
      <c r="DA108" s="171"/>
    </row>
    <row r="109" spans="1:105" ht="11.45" customHeight="1" x14ac:dyDescent="0.25">
      <c r="A109" s="111" t="s">
        <v>93</v>
      </c>
      <c r="B109" s="125">
        <f t="shared" si="199"/>
        <v>0.21558105008513551</v>
      </c>
      <c r="C109" s="125">
        <f t="shared" si="199"/>
        <v>0.21330488476395612</v>
      </c>
      <c r="D109" s="125">
        <f t="shared" si="199"/>
        <v>0.20233152084056835</v>
      </c>
      <c r="E109" s="125">
        <f t="shared" si="199"/>
        <v>0.20305005597144229</v>
      </c>
      <c r="F109" s="125">
        <f t="shared" si="199"/>
        <v>0.20445590333724886</v>
      </c>
      <c r="G109" s="125">
        <f t="shared" si="199"/>
        <v>0.21878003131019025</v>
      </c>
      <c r="H109" s="125">
        <f t="shared" si="199"/>
        <v>0.2262024542155448</v>
      </c>
      <c r="I109" s="125">
        <f t="shared" si="199"/>
        <v>0.22397369130968064</v>
      </c>
      <c r="J109" s="125">
        <f t="shared" si="199"/>
        <v>0.21028375515406406</v>
      </c>
      <c r="K109" s="125">
        <f t="shared" ref="K109:V109" si="208">IF(K8=0,0,K8/K$4)</f>
        <v>0.21022513232073753</v>
      </c>
      <c r="L109" s="125">
        <f t="shared" si="208"/>
        <v>0.21117217330157112</v>
      </c>
      <c r="M109" s="125">
        <f t="shared" si="208"/>
        <v>0.21869719410075211</v>
      </c>
      <c r="N109" s="125">
        <f t="shared" si="208"/>
        <v>0.22281504301757216</v>
      </c>
      <c r="O109" s="125">
        <f t="shared" si="208"/>
        <v>0.2293270876717676</v>
      </c>
      <c r="P109" s="125">
        <f t="shared" si="208"/>
        <v>0.2367188191095432</v>
      </c>
      <c r="Q109" s="125">
        <f t="shared" si="208"/>
        <v>0.23769290446349764</v>
      </c>
      <c r="R109" s="125">
        <f t="shared" si="208"/>
        <v>0.23138297375553635</v>
      </c>
      <c r="S109" s="125">
        <f t="shared" si="208"/>
        <v>0.23617300276958716</v>
      </c>
      <c r="T109" s="125">
        <f t="shared" si="208"/>
        <v>0.25082751264878517</v>
      </c>
      <c r="U109" s="125">
        <f t="shared" si="208"/>
        <v>0.25351975450526149</v>
      </c>
      <c r="V109" s="125">
        <f t="shared" si="208"/>
        <v>0.31884218111540008</v>
      </c>
      <c r="W109" s="125">
        <f t="shared" ref="W109:Y109" si="209">IF(W8=0,0,W8/W$4)</f>
        <v>0.3239922622441031</v>
      </c>
      <c r="X109" s="125">
        <f t="shared" si="209"/>
        <v>0.34468249926272659</v>
      </c>
      <c r="Y109" s="125">
        <f t="shared" si="209"/>
        <v>0.35067415777079342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6.5335990330273432E-5</v>
      </c>
      <c r="G110" s="126">
        <f t="shared" si="199"/>
        <v>4.1092512944141573E-4</v>
      </c>
      <c r="H110" s="126">
        <f t="shared" si="199"/>
        <v>1.0053801423835662E-2</v>
      </c>
      <c r="I110" s="126">
        <f t="shared" si="199"/>
        <v>2.2459790830397858E-2</v>
      </c>
      <c r="J110" s="126">
        <f t="shared" si="199"/>
        <v>1.5896153507834982E-2</v>
      </c>
      <c r="K110" s="126">
        <f t="shared" ref="K110:V110" si="210">IF(K9=0,0,K9/K$4)</f>
        <v>1.5201795752553577E-2</v>
      </c>
      <c r="L110" s="126">
        <f t="shared" si="210"/>
        <v>1.7420930830547698E-2</v>
      </c>
      <c r="M110" s="126">
        <f t="shared" si="210"/>
        <v>1.8524536886577833E-2</v>
      </c>
      <c r="N110" s="126">
        <f t="shared" si="210"/>
        <v>1.6229488561504371E-2</v>
      </c>
      <c r="O110" s="126">
        <f t="shared" si="210"/>
        <v>1.4391940513312544E-2</v>
      </c>
      <c r="P110" s="126">
        <f t="shared" si="210"/>
        <v>1.4583827365425657E-2</v>
      </c>
      <c r="Q110" s="126">
        <f t="shared" si="210"/>
        <v>3.2306403733184434E-2</v>
      </c>
      <c r="R110" s="126">
        <f t="shared" si="210"/>
        <v>3.6534173584431624E-2</v>
      </c>
      <c r="S110" s="126">
        <f t="shared" si="210"/>
        <v>3.8170970207781117E-2</v>
      </c>
      <c r="T110" s="126">
        <f t="shared" si="210"/>
        <v>3.7891079848053906E-2</v>
      </c>
      <c r="U110" s="126">
        <f t="shared" si="210"/>
        <v>4.0127899138229457E-2</v>
      </c>
      <c r="V110" s="126">
        <f t="shared" si="210"/>
        <v>5.1792644543927312E-2</v>
      </c>
      <c r="W110" s="126">
        <f t="shared" ref="W110:Y110" si="211">IF(W9=0,0,W9/W$4)</f>
        <v>5.2860527477917543E-2</v>
      </c>
      <c r="X110" s="126">
        <f t="shared" si="211"/>
        <v>4.1156298182654351E-2</v>
      </c>
      <c r="Y110" s="126">
        <f t="shared" si="211"/>
        <v>4.0831996820711078E-2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0.29078937203418864</v>
      </c>
      <c r="C112" s="125">
        <f t="shared" si="212"/>
        <v>0.24009319062398282</v>
      </c>
      <c r="D112" s="125">
        <f t="shared" si="212"/>
        <v>0.24270116244160145</v>
      </c>
      <c r="E112" s="125">
        <f t="shared" si="212"/>
        <v>0.22117609510891242</v>
      </c>
      <c r="F112" s="125">
        <f t="shared" si="212"/>
        <v>0.21855188153963195</v>
      </c>
      <c r="G112" s="125">
        <f t="shared" si="212"/>
        <v>0.21247322993056009</v>
      </c>
      <c r="H112" s="125">
        <f t="shared" si="212"/>
        <v>0.23378394710036085</v>
      </c>
      <c r="I112" s="125">
        <f t="shared" si="212"/>
        <v>0.22757787509781574</v>
      </c>
      <c r="J112" s="125">
        <f t="shared" si="212"/>
        <v>0.24173271577998959</v>
      </c>
      <c r="K112" s="125">
        <f t="shared" ref="K112:V112" si="215">IF(K11=0,0,K11/K$10)</f>
        <v>0.28880802748997214</v>
      </c>
      <c r="L112" s="125">
        <f t="shared" si="215"/>
        <v>0.27062166546913458</v>
      </c>
      <c r="M112" s="125">
        <f t="shared" si="215"/>
        <v>0.24824716702564856</v>
      </c>
      <c r="N112" s="125">
        <f t="shared" si="215"/>
        <v>0.19605422090994495</v>
      </c>
      <c r="O112" s="125">
        <f t="shared" si="215"/>
        <v>0.20026125766537248</v>
      </c>
      <c r="P112" s="125">
        <f t="shared" si="215"/>
        <v>0.24946926000151878</v>
      </c>
      <c r="Q112" s="125">
        <f t="shared" si="215"/>
        <v>0.23261829731272179</v>
      </c>
      <c r="R112" s="125">
        <f t="shared" si="215"/>
        <v>0.23400657224667065</v>
      </c>
      <c r="S112" s="125">
        <f t="shared" si="215"/>
        <v>0.22236667686346492</v>
      </c>
      <c r="T112" s="125">
        <f t="shared" si="215"/>
        <v>0.21453633488017443</v>
      </c>
      <c r="U112" s="125">
        <f t="shared" si="215"/>
        <v>0.21481973169368368</v>
      </c>
      <c r="V112" s="125">
        <f t="shared" si="215"/>
        <v>0.21819962485268002</v>
      </c>
      <c r="W112" s="125">
        <f t="shared" ref="W112:Y112" si="216">IF(W11=0,0,W11/W$10)</f>
        <v>0.21005760812124458</v>
      </c>
      <c r="X112" s="125">
        <f t="shared" si="216"/>
        <v>0.19789600019594886</v>
      </c>
      <c r="Y112" s="125">
        <f t="shared" si="216"/>
        <v>0.2354223379814967</v>
      </c>
      <c r="DA112" s="171"/>
    </row>
    <row r="113" spans="1:105" ht="11.45" customHeight="1" x14ac:dyDescent="0.25">
      <c r="A113" s="85" t="s">
        <v>93</v>
      </c>
      <c r="B113" s="127">
        <f t="shared" si="212"/>
        <v>0.70921062796581136</v>
      </c>
      <c r="C113" s="127">
        <f t="shared" si="212"/>
        <v>0.75990680937601707</v>
      </c>
      <c r="D113" s="127">
        <f t="shared" si="212"/>
        <v>0.75729883755839855</v>
      </c>
      <c r="E113" s="127">
        <f t="shared" si="212"/>
        <v>0.77882390489108755</v>
      </c>
      <c r="F113" s="127">
        <f t="shared" si="212"/>
        <v>0.78144811846036799</v>
      </c>
      <c r="G113" s="127">
        <f t="shared" si="212"/>
        <v>0.78752677006943983</v>
      </c>
      <c r="H113" s="127">
        <f t="shared" si="212"/>
        <v>0.76621605289963923</v>
      </c>
      <c r="I113" s="127">
        <f t="shared" si="212"/>
        <v>0.77242212490218431</v>
      </c>
      <c r="J113" s="127">
        <f t="shared" si="212"/>
        <v>0.75826728422001033</v>
      </c>
      <c r="K113" s="127">
        <f t="shared" ref="K113:V113" si="217">IF(K12=0,0,K12/K$10)</f>
        <v>0.71119197251002786</v>
      </c>
      <c r="L113" s="127">
        <f t="shared" si="217"/>
        <v>0.72937833453086554</v>
      </c>
      <c r="M113" s="127">
        <f t="shared" si="217"/>
        <v>0.75175283297435136</v>
      </c>
      <c r="N113" s="127">
        <f t="shared" si="217"/>
        <v>0.80394577909005493</v>
      </c>
      <c r="O113" s="127">
        <f t="shared" si="217"/>
        <v>0.79973874233462761</v>
      </c>
      <c r="P113" s="127">
        <f t="shared" si="217"/>
        <v>0.75053073999848119</v>
      </c>
      <c r="Q113" s="127">
        <f t="shared" si="217"/>
        <v>0.76738170268727812</v>
      </c>
      <c r="R113" s="127">
        <f t="shared" si="217"/>
        <v>0.76599342775332935</v>
      </c>
      <c r="S113" s="127">
        <f t="shared" si="217"/>
        <v>0.7776333231365351</v>
      </c>
      <c r="T113" s="127">
        <f t="shared" si="217"/>
        <v>0.78546366511982557</v>
      </c>
      <c r="U113" s="127">
        <f t="shared" si="217"/>
        <v>0.78518026830631638</v>
      </c>
      <c r="V113" s="127">
        <f t="shared" si="217"/>
        <v>0.78180037514731993</v>
      </c>
      <c r="W113" s="127">
        <f t="shared" ref="W113:Y113" si="218">IF(W12=0,0,W12/W$10)</f>
        <v>0.78994239187875537</v>
      </c>
      <c r="X113" s="127">
        <f t="shared" si="218"/>
        <v>0.80210399980405112</v>
      </c>
      <c r="Y113" s="127">
        <f t="shared" si="218"/>
        <v>0.76457766201850319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0.70632044238383995</v>
      </c>
      <c r="C117" s="123">
        <f t="shared" si="219"/>
        <v>0.71879083555786571</v>
      </c>
      <c r="D117" s="123">
        <f t="shared" si="219"/>
        <v>0.72769516778338295</v>
      </c>
      <c r="E117" s="123">
        <f t="shared" si="219"/>
        <v>0.73120374103224561</v>
      </c>
      <c r="F117" s="123">
        <f t="shared" si="219"/>
        <v>0.66562935314501748</v>
      </c>
      <c r="G117" s="123">
        <f t="shared" si="219"/>
        <v>0.62903259539722245</v>
      </c>
      <c r="H117" s="123">
        <f t="shared" si="219"/>
        <v>0.61247424597665445</v>
      </c>
      <c r="I117" s="123">
        <f t="shared" si="219"/>
        <v>0.6225354616958807</v>
      </c>
      <c r="J117" s="123">
        <f t="shared" si="219"/>
        <v>0.64623139579875533</v>
      </c>
      <c r="K117" s="123">
        <f t="shared" ref="K117:V117" si="222">IF(K16=0,0,K16/K$15)</f>
        <v>0.64732162267965931</v>
      </c>
      <c r="L117" s="123">
        <f t="shared" si="222"/>
        <v>0.64697087979393275</v>
      </c>
      <c r="M117" s="123">
        <f t="shared" si="222"/>
        <v>0.63299644068981253</v>
      </c>
      <c r="N117" s="123">
        <f t="shared" si="222"/>
        <v>0.64480844465733544</v>
      </c>
      <c r="O117" s="123">
        <f t="shared" si="222"/>
        <v>0.63763941792801127</v>
      </c>
      <c r="P117" s="123">
        <f t="shared" si="222"/>
        <v>0.62604400349178868</v>
      </c>
      <c r="Q117" s="123">
        <f t="shared" si="222"/>
        <v>0.61634173951060811</v>
      </c>
      <c r="R117" s="123">
        <f t="shared" si="222"/>
        <v>0.63038579499833414</v>
      </c>
      <c r="S117" s="123">
        <f t="shared" si="222"/>
        <v>0.61867858490431493</v>
      </c>
      <c r="T117" s="123">
        <f t="shared" si="222"/>
        <v>0.60003763140977651</v>
      </c>
      <c r="U117" s="123">
        <f t="shared" si="222"/>
        <v>0.608748400796157</v>
      </c>
      <c r="V117" s="123">
        <f t="shared" si="222"/>
        <v>0.59793547122534629</v>
      </c>
      <c r="W117" s="123">
        <f t="shared" ref="W117:Y117" si="223">IF(W16=0,0,W16/W$15)</f>
        <v>0.59099638204682325</v>
      </c>
      <c r="X117" s="123">
        <f t="shared" si="223"/>
        <v>0.50078344717444245</v>
      </c>
      <c r="Y117" s="123">
        <f t="shared" si="223"/>
        <v>0.43545166550116715</v>
      </c>
      <c r="DA117" s="203"/>
    </row>
    <row r="118" spans="1:105" ht="11.45" customHeight="1" x14ac:dyDescent="0.25">
      <c r="A118" s="109" t="s">
        <v>24</v>
      </c>
      <c r="B118" s="124">
        <f t="shared" si="219"/>
        <v>0.29367955761616005</v>
      </c>
      <c r="C118" s="124">
        <f t="shared" si="219"/>
        <v>0.2812091644421344</v>
      </c>
      <c r="D118" s="124">
        <f t="shared" si="219"/>
        <v>0.27230483221661705</v>
      </c>
      <c r="E118" s="124">
        <f t="shared" si="219"/>
        <v>0.26879625896775433</v>
      </c>
      <c r="F118" s="124">
        <f t="shared" si="219"/>
        <v>0.33418568713161995</v>
      </c>
      <c r="G118" s="124">
        <f t="shared" si="219"/>
        <v>0.36984284822450381</v>
      </c>
      <c r="H118" s="124">
        <f t="shared" si="219"/>
        <v>0.3764622972127899</v>
      </c>
      <c r="I118" s="124">
        <f t="shared" si="219"/>
        <v>0.36170479287542212</v>
      </c>
      <c r="J118" s="124">
        <f t="shared" si="219"/>
        <v>0.34356153827444674</v>
      </c>
      <c r="K118" s="124">
        <f t="shared" ref="K118:V118" si="224">IF(K17=0,0,K17/K$15)</f>
        <v>0.34329634336245529</v>
      </c>
      <c r="L118" s="124">
        <f t="shared" si="224"/>
        <v>0.34254522426093453</v>
      </c>
      <c r="M118" s="124">
        <f t="shared" si="224"/>
        <v>0.35589466795637531</v>
      </c>
      <c r="N118" s="124">
        <f t="shared" si="224"/>
        <v>0.34532042681108327</v>
      </c>
      <c r="O118" s="124">
        <f t="shared" si="224"/>
        <v>0.35357907607421923</v>
      </c>
      <c r="P118" s="124">
        <f t="shared" si="224"/>
        <v>0.36542839788703702</v>
      </c>
      <c r="Q118" s="124">
        <f t="shared" si="224"/>
        <v>0.36566556811889916</v>
      </c>
      <c r="R118" s="124">
        <f t="shared" si="224"/>
        <v>0.3501262484457906</v>
      </c>
      <c r="S118" s="124">
        <f t="shared" si="224"/>
        <v>0.36076864884350546</v>
      </c>
      <c r="T118" s="124">
        <f t="shared" si="224"/>
        <v>0.37905942578206003</v>
      </c>
      <c r="U118" s="124">
        <f t="shared" si="224"/>
        <v>0.36818100222355177</v>
      </c>
      <c r="V118" s="124">
        <f t="shared" si="224"/>
        <v>0.38152744476928552</v>
      </c>
      <c r="W118" s="124">
        <f t="shared" ref="W118:Y118" si="225">IF(W17=0,0,W17/W$15)</f>
        <v>0.38816590107321142</v>
      </c>
      <c r="X118" s="124">
        <f t="shared" si="225"/>
        <v>0.47553645370389724</v>
      </c>
      <c r="Y118" s="124">
        <f t="shared" si="225"/>
        <v>0.53821307762573589</v>
      </c>
      <c r="DA118" s="176"/>
    </row>
    <row r="119" spans="1:105" ht="11.45" customHeight="1" x14ac:dyDescent="0.25">
      <c r="A119" s="111" t="s">
        <v>92</v>
      </c>
      <c r="B119" s="125">
        <f t="shared" si="219"/>
        <v>0.19795249257792794</v>
      </c>
      <c r="C119" s="125">
        <f t="shared" si="219"/>
        <v>0.19130597054129728</v>
      </c>
      <c r="D119" s="125">
        <f t="shared" si="219"/>
        <v>0.19110770341443711</v>
      </c>
      <c r="E119" s="125">
        <f t="shared" si="219"/>
        <v>0.18399573753128734</v>
      </c>
      <c r="F119" s="125">
        <f t="shared" si="219"/>
        <v>0.16305940867270685</v>
      </c>
      <c r="G119" s="125">
        <f t="shared" si="219"/>
        <v>0.17483451072293688</v>
      </c>
      <c r="H119" s="125">
        <f t="shared" si="219"/>
        <v>0.18607986047958108</v>
      </c>
      <c r="I119" s="125">
        <f t="shared" si="219"/>
        <v>0.18311685537099834</v>
      </c>
      <c r="J119" s="125">
        <f t="shared" si="219"/>
        <v>0.18686189620140101</v>
      </c>
      <c r="K119" s="125">
        <f t="shared" ref="K119:V119" si="226">IF(K18=0,0,K18/K$15)</f>
        <v>0.16652410570116735</v>
      </c>
      <c r="L119" s="125">
        <f t="shared" si="226"/>
        <v>0.16949356699606094</v>
      </c>
      <c r="M119" s="125">
        <f t="shared" si="226"/>
        <v>0.17215582087794887</v>
      </c>
      <c r="N119" s="125">
        <f t="shared" si="226"/>
        <v>0.17326379726170521</v>
      </c>
      <c r="O119" s="125">
        <f t="shared" si="226"/>
        <v>0.17219008211695649</v>
      </c>
      <c r="P119" s="125">
        <f t="shared" si="226"/>
        <v>0.17202709748401612</v>
      </c>
      <c r="Q119" s="125">
        <f t="shared" si="226"/>
        <v>0.16969035160327126</v>
      </c>
      <c r="R119" s="125">
        <f t="shared" si="226"/>
        <v>0.16282905533334613</v>
      </c>
      <c r="S119" s="125">
        <f t="shared" si="226"/>
        <v>0.16417682367763975</v>
      </c>
      <c r="T119" s="125">
        <f t="shared" si="226"/>
        <v>0.16230660656333781</v>
      </c>
      <c r="U119" s="125">
        <f t="shared" si="226"/>
        <v>0.15313333507445667</v>
      </c>
      <c r="V119" s="125">
        <f t="shared" si="226"/>
        <v>0.15047950274812638</v>
      </c>
      <c r="W119" s="125">
        <f t="shared" ref="W119:Y119" si="227">IF(W18=0,0,W18/W$15)</f>
        <v>0.14697077126670718</v>
      </c>
      <c r="X119" s="125">
        <f t="shared" si="227"/>
        <v>0.16323269065223317</v>
      </c>
      <c r="Y119" s="125">
        <f t="shared" si="227"/>
        <v>0.16994449340147291</v>
      </c>
      <c r="DA119" s="171"/>
    </row>
    <row r="120" spans="1:105" ht="11.45" customHeight="1" x14ac:dyDescent="0.25">
      <c r="A120" s="111" t="s">
        <v>93</v>
      </c>
      <c r="B120" s="125">
        <f t="shared" si="219"/>
        <v>9.5727065038232098E-2</v>
      </c>
      <c r="C120" s="125">
        <f t="shared" si="219"/>
        <v>8.9903193900837119E-2</v>
      </c>
      <c r="D120" s="125">
        <f t="shared" si="219"/>
        <v>8.1197128802179941E-2</v>
      </c>
      <c r="E120" s="125">
        <f t="shared" si="219"/>
        <v>8.4800521436467019E-2</v>
      </c>
      <c r="F120" s="125">
        <f t="shared" si="219"/>
        <v>0.17112627845891309</v>
      </c>
      <c r="G120" s="125">
        <f t="shared" si="219"/>
        <v>0.19500833750156693</v>
      </c>
      <c r="H120" s="125">
        <f t="shared" si="219"/>
        <v>0.19038243673320884</v>
      </c>
      <c r="I120" s="125">
        <f t="shared" si="219"/>
        <v>0.17858793750442378</v>
      </c>
      <c r="J120" s="125">
        <f t="shared" si="219"/>
        <v>0.15669964207304576</v>
      </c>
      <c r="K120" s="125">
        <f t="shared" ref="K120:V120" si="228">IF(K19=0,0,K19/K$15)</f>
        <v>0.17677223766128794</v>
      </c>
      <c r="L120" s="125">
        <f t="shared" si="228"/>
        <v>0.17305165726487362</v>
      </c>
      <c r="M120" s="125">
        <f t="shared" si="228"/>
        <v>0.18373884707842644</v>
      </c>
      <c r="N120" s="125">
        <f t="shared" si="228"/>
        <v>0.17205662954937806</v>
      </c>
      <c r="O120" s="125">
        <f t="shared" si="228"/>
        <v>0.18138899395726274</v>
      </c>
      <c r="P120" s="125">
        <f t="shared" si="228"/>
        <v>0.19340130040302092</v>
      </c>
      <c r="Q120" s="125">
        <f t="shared" si="228"/>
        <v>0.19597521651562791</v>
      </c>
      <c r="R120" s="125">
        <f t="shared" si="228"/>
        <v>0.18729719311244444</v>
      </c>
      <c r="S120" s="125">
        <f t="shared" si="228"/>
        <v>0.19659182516586574</v>
      </c>
      <c r="T120" s="125">
        <f t="shared" si="228"/>
        <v>0.21675281921872222</v>
      </c>
      <c r="U120" s="125">
        <f t="shared" si="228"/>
        <v>0.2150476671490951</v>
      </c>
      <c r="V120" s="125">
        <f t="shared" si="228"/>
        <v>0.23104794202115916</v>
      </c>
      <c r="W120" s="125">
        <f t="shared" ref="W120:Y120" si="229">IF(W19=0,0,W19/W$15)</f>
        <v>0.24119512980650423</v>
      </c>
      <c r="X120" s="125">
        <f t="shared" si="229"/>
        <v>0.31230376305166407</v>
      </c>
      <c r="Y120" s="125">
        <f t="shared" si="229"/>
        <v>0.36826858422426295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1.8495972336265835E-4</v>
      </c>
      <c r="G121" s="126">
        <f t="shared" si="219"/>
        <v>1.1245563782738049E-3</v>
      </c>
      <c r="H121" s="126">
        <f t="shared" si="219"/>
        <v>1.1063456810555615E-2</v>
      </c>
      <c r="I121" s="126">
        <f t="shared" si="219"/>
        <v>1.5759745428697181E-2</v>
      </c>
      <c r="J121" s="126">
        <f t="shared" si="219"/>
        <v>1.020706592679802E-2</v>
      </c>
      <c r="K121" s="126">
        <f t="shared" ref="K121:V121" si="230">IF(K20=0,0,K20/K$15)</f>
        <v>9.3820339578852448E-3</v>
      </c>
      <c r="L121" s="126">
        <f t="shared" si="230"/>
        <v>1.0483895945132686E-2</v>
      </c>
      <c r="M121" s="126">
        <f t="shared" si="230"/>
        <v>1.1108891353812095E-2</v>
      </c>
      <c r="N121" s="126">
        <f t="shared" si="230"/>
        <v>9.8711285315813291E-3</v>
      </c>
      <c r="O121" s="126">
        <f t="shared" si="230"/>
        <v>8.7815059977694766E-3</v>
      </c>
      <c r="P121" s="126">
        <f t="shared" si="230"/>
        <v>8.5275986211742379E-3</v>
      </c>
      <c r="Q121" s="126">
        <f t="shared" si="230"/>
        <v>1.799269237049277E-2</v>
      </c>
      <c r="R121" s="126">
        <f t="shared" si="230"/>
        <v>1.9487956555875235E-2</v>
      </c>
      <c r="S121" s="126">
        <f t="shared" si="230"/>
        <v>2.0552766252179638E-2</v>
      </c>
      <c r="T121" s="126">
        <f t="shared" si="230"/>
        <v>2.0902942808163447E-2</v>
      </c>
      <c r="U121" s="126">
        <f t="shared" si="230"/>
        <v>2.3070596980291132E-2</v>
      </c>
      <c r="V121" s="126">
        <f t="shared" si="230"/>
        <v>2.0537084005368085E-2</v>
      </c>
      <c r="W121" s="126">
        <f t="shared" ref="W121:Y121" si="231">IF(W20=0,0,W20/W$15)</f>
        <v>2.083771687996527E-2</v>
      </c>
      <c r="X121" s="126">
        <f t="shared" si="231"/>
        <v>2.3680099121660299E-2</v>
      </c>
      <c r="Y121" s="126">
        <f t="shared" si="231"/>
        <v>2.633525687309702E-2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0.31911574156065475</v>
      </c>
      <c r="C123" s="125">
        <f t="shared" si="232"/>
        <v>0.26527503321235935</v>
      </c>
      <c r="D123" s="125">
        <f t="shared" si="232"/>
        <v>0.27832927861635626</v>
      </c>
      <c r="E123" s="125">
        <f t="shared" si="232"/>
        <v>0.25248071229159674</v>
      </c>
      <c r="F123" s="125">
        <f t="shared" si="232"/>
        <v>0.18409735246499681</v>
      </c>
      <c r="G123" s="125">
        <f t="shared" si="232"/>
        <v>0.17363241716041738</v>
      </c>
      <c r="H123" s="125">
        <f t="shared" si="232"/>
        <v>0.20493186506095795</v>
      </c>
      <c r="I123" s="125">
        <f t="shared" si="232"/>
        <v>0.20680837446382869</v>
      </c>
      <c r="J123" s="125">
        <f t="shared" si="232"/>
        <v>0.22982251953773986</v>
      </c>
      <c r="K123" s="125">
        <f t="shared" ref="K123:V123" si="235">IF(K22=0,0,K22/K$21)</f>
        <v>0.27578091587324582</v>
      </c>
      <c r="L123" s="125">
        <f t="shared" si="235"/>
        <v>0.25970498802876812</v>
      </c>
      <c r="M123" s="125">
        <f t="shared" si="235"/>
        <v>0.23618457914149094</v>
      </c>
      <c r="N123" s="125">
        <f t="shared" si="235"/>
        <v>0.18600740338768726</v>
      </c>
      <c r="O123" s="125">
        <f t="shared" si="235"/>
        <v>0.18834152511052929</v>
      </c>
      <c r="P123" s="125">
        <f t="shared" si="235"/>
        <v>0.23461623076144966</v>
      </c>
      <c r="Q123" s="125">
        <f t="shared" si="235"/>
        <v>0.22189469942213894</v>
      </c>
      <c r="R123" s="125">
        <f t="shared" si="235"/>
        <v>0.22165442441091546</v>
      </c>
      <c r="S123" s="125">
        <f t="shared" si="235"/>
        <v>0.2099276258357147</v>
      </c>
      <c r="T123" s="125">
        <f t="shared" si="235"/>
        <v>0.20281630542487641</v>
      </c>
      <c r="U123" s="125">
        <f t="shared" si="235"/>
        <v>0.20636835257278974</v>
      </c>
      <c r="V123" s="125">
        <f t="shared" si="235"/>
        <v>0.20552189905934515</v>
      </c>
      <c r="W123" s="125">
        <f t="shared" ref="W123:Y123" si="236">IF(W22=0,0,W22/W$21)</f>
        <v>0.19772296414535556</v>
      </c>
      <c r="X123" s="125">
        <f t="shared" si="236"/>
        <v>0.22319217182057233</v>
      </c>
      <c r="Y123" s="125">
        <f t="shared" si="236"/>
        <v>0.20608677968844674</v>
      </c>
      <c r="DA123" s="171"/>
    </row>
    <row r="124" spans="1:105" ht="11.45" customHeight="1" x14ac:dyDescent="0.25">
      <c r="A124" s="85" t="s">
        <v>93</v>
      </c>
      <c r="B124" s="127">
        <f t="shared" si="232"/>
        <v>0.6808842584393453</v>
      </c>
      <c r="C124" s="127">
        <f t="shared" si="232"/>
        <v>0.73472496678764077</v>
      </c>
      <c r="D124" s="127">
        <f t="shared" si="232"/>
        <v>0.72167072138364374</v>
      </c>
      <c r="E124" s="127">
        <f t="shared" si="232"/>
        <v>0.74751928770840326</v>
      </c>
      <c r="F124" s="127">
        <f t="shared" si="232"/>
        <v>0.81590264753500319</v>
      </c>
      <c r="G124" s="127">
        <f t="shared" si="232"/>
        <v>0.82636758283958267</v>
      </c>
      <c r="H124" s="127">
        <f t="shared" si="232"/>
        <v>0.79506813493904205</v>
      </c>
      <c r="I124" s="127">
        <f t="shared" si="232"/>
        <v>0.79319162553617129</v>
      </c>
      <c r="J124" s="127">
        <f t="shared" si="232"/>
        <v>0.77017748046226009</v>
      </c>
      <c r="K124" s="127">
        <f t="shared" ref="K124:V124" si="237">IF(K23=0,0,K23/K$21)</f>
        <v>0.72421908412675418</v>
      </c>
      <c r="L124" s="127">
        <f t="shared" si="237"/>
        <v>0.74029501197123193</v>
      </c>
      <c r="M124" s="127">
        <f t="shared" si="237"/>
        <v>0.76381542085850895</v>
      </c>
      <c r="N124" s="127">
        <f t="shared" si="237"/>
        <v>0.81399259661231271</v>
      </c>
      <c r="O124" s="127">
        <f t="shared" si="237"/>
        <v>0.81165847488947063</v>
      </c>
      <c r="P124" s="127">
        <f t="shared" si="237"/>
        <v>0.76538376923855034</v>
      </c>
      <c r="Q124" s="127">
        <f t="shared" si="237"/>
        <v>0.77810530057786098</v>
      </c>
      <c r="R124" s="127">
        <f t="shared" si="237"/>
        <v>0.77834557558908457</v>
      </c>
      <c r="S124" s="127">
        <f t="shared" si="237"/>
        <v>0.79007237416428522</v>
      </c>
      <c r="T124" s="127">
        <f t="shared" si="237"/>
        <v>0.79718369457512361</v>
      </c>
      <c r="U124" s="127">
        <f t="shared" si="237"/>
        <v>0.79363164742721026</v>
      </c>
      <c r="V124" s="127">
        <f t="shared" si="237"/>
        <v>0.79447810094065485</v>
      </c>
      <c r="W124" s="127">
        <f t="shared" ref="W124:Y124" si="238">IF(W23=0,0,W23/W$21)</f>
        <v>0.80227703585464438</v>
      </c>
      <c r="X124" s="127">
        <f t="shared" si="238"/>
        <v>0.77680782817942773</v>
      </c>
      <c r="Y124" s="127">
        <f t="shared" si="238"/>
        <v>0.7939132203115532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209.48374892519342</v>
      </c>
      <c r="C4" s="146">
        <f t="shared" ref="C4:V4" si="0">SUM(C5,C8)</f>
        <v>202.27953568357694</v>
      </c>
      <c r="D4" s="146">
        <f t="shared" si="0"/>
        <v>193.04385210662079</v>
      </c>
      <c r="E4" s="146">
        <f t="shared" si="0"/>
        <v>195.14350816852959</v>
      </c>
      <c r="F4" s="146">
        <f t="shared" si="0"/>
        <v>238.04436801375749</v>
      </c>
      <c r="G4" s="146">
        <f t="shared" si="0"/>
        <v>237.29690455717969</v>
      </c>
      <c r="H4" s="146">
        <f t="shared" si="0"/>
        <v>242.84832330180572</v>
      </c>
      <c r="I4" s="146">
        <f t="shared" si="0"/>
        <v>240.29389509888219</v>
      </c>
      <c r="J4" s="146">
        <f t="shared" si="0"/>
        <v>247.51607910576095</v>
      </c>
      <c r="K4" s="146">
        <f t="shared" si="0"/>
        <v>231.72304385210657</v>
      </c>
      <c r="L4" s="146">
        <f t="shared" si="0"/>
        <v>225.63430782459159</v>
      </c>
      <c r="M4" s="146">
        <f t="shared" si="0"/>
        <v>221.99604471195181</v>
      </c>
      <c r="N4" s="146">
        <f t="shared" si="0"/>
        <v>219.4641444539983</v>
      </c>
      <c r="O4" s="146">
        <f t="shared" si="0"/>
        <v>215.79535683576952</v>
      </c>
      <c r="P4" s="146">
        <f t="shared" si="0"/>
        <v>214.70963026655207</v>
      </c>
      <c r="Q4" s="146">
        <f t="shared" si="0"/>
        <v>216.4071367153912</v>
      </c>
      <c r="R4" s="146">
        <f t="shared" si="0"/>
        <v>219.12613929492696</v>
      </c>
      <c r="S4" s="146">
        <f t="shared" si="0"/>
        <v>225.92072226999142</v>
      </c>
      <c r="T4" s="146">
        <f t="shared" si="0"/>
        <v>228.85674978503872</v>
      </c>
      <c r="U4" s="146">
        <f t="shared" si="0"/>
        <v>225.57489251934646</v>
      </c>
      <c r="V4" s="146">
        <f t="shared" si="0"/>
        <v>205.08950988822016</v>
      </c>
      <c r="W4" s="146">
        <f t="shared" ref="W4:Y4" si="1">SUM(W5,W8)</f>
        <v>209.38882201203785</v>
      </c>
      <c r="X4" s="146">
        <f t="shared" si="1"/>
        <v>219.87497850386927</v>
      </c>
      <c r="Y4" s="146">
        <f t="shared" si="1"/>
        <v>215.21556319862424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106.04436801375751</v>
      </c>
      <c r="C5" s="101">
        <f t="shared" ref="C5:V5" si="2">SUM(C6:C7)</f>
        <v>97.120464316423039</v>
      </c>
      <c r="D5" s="101">
        <f t="shared" si="2"/>
        <v>94.161650902837479</v>
      </c>
      <c r="E5" s="101">
        <f t="shared" si="2"/>
        <v>92.134049871023208</v>
      </c>
      <c r="F5" s="101">
        <f t="shared" si="2"/>
        <v>91.010834049871008</v>
      </c>
      <c r="G5" s="101">
        <f t="shared" si="2"/>
        <v>92.241014617368862</v>
      </c>
      <c r="H5" s="101">
        <f t="shared" si="2"/>
        <v>98.996216680997406</v>
      </c>
      <c r="I5" s="101">
        <f t="shared" si="2"/>
        <v>97.817540842648299</v>
      </c>
      <c r="J5" s="101">
        <f t="shared" si="2"/>
        <v>108.39312123817714</v>
      </c>
      <c r="K5" s="101">
        <f t="shared" si="2"/>
        <v>97.845141874462584</v>
      </c>
      <c r="L5" s="101">
        <f t="shared" si="2"/>
        <v>94.937833190025785</v>
      </c>
      <c r="M5" s="101">
        <f t="shared" si="2"/>
        <v>92.761306964746339</v>
      </c>
      <c r="N5" s="101">
        <f t="shared" si="2"/>
        <v>89.627515047291482</v>
      </c>
      <c r="O5" s="101">
        <f t="shared" si="2"/>
        <v>87.592433361994836</v>
      </c>
      <c r="P5" s="101">
        <f t="shared" si="2"/>
        <v>89.344196044711964</v>
      </c>
      <c r="Q5" s="101">
        <f t="shared" si="2"/>
        <v>87.172398968185718</v>
      </c>
      <c r="R5" s="101">
        <f t="shared" si="2"/>
        <v>87.053912295786745</v>
      </c>
      <c r="S5" s="101">
        <f t="shared" si="2"/>
        <v>89.232502149613069</v>
      </c>
      <c r="T5" s="101">
        <f t="shared" si="2"/>
        <v>87.99888220120377</v>
      </c>
      <c r="U5" s="101">
        <f t="shared" si="2"/>
        <v>83.735855546001716</v>
      </c>
      <c r="V5" s="101">
        <f t="shared" si="2"/>
        <v>74.516079105760966</v>
      </c>
      <c r="W5" s="101">
        <f t="shared" ref="W5:Y5" si="3">SUM(W6:W7)</f>
        <v>73.694067067927776</v>
      </c>
      <c r="X5" s="101">
        <f t="shared" si="3"/>
        <v>79.864402407566644</v>
      </c>
      <c r="Y5" s="101">
        <f t="shared" si="3"/>
        <v>74.893981083404995</v>
      </c>
      <c r="DA5" s="175"/>
    </row>
    <row r="6" spans="1:105" ht="11.45" customHeight="1" x14ac:dyDescent="0.25">
      <c r="A6" s="164" t="s">
        <v>175</v>
      </c>
      <c r="B6" s="165">
        <v>106.04436801375751</v>
      </c>
      <c r="C6" s="165">
        <v>97.120464316423039</v>
      </c>
      <c r="D6" s="165">
        <v>94.161650902837479</v>
      </c>
      <c r="E6" s="165">
        <v>92.134049871023208</v>
      </c>
      <c r="F6" s="165">
        <v>91.010834049871008</v>
      </c>
      <c r="G6" s="165">
        <v>92.241014617368862</v>
      </c>
      <c r="H6" s="165">
        <v>98.996216680997406</v>
      </c>
      <c r="I6" s="165">
        <v>97.817540842648299</v>
      </c>
      <c r="J6" s="165">
        <v>108.39312123817714</v>
      </c>
      <c r="K6" s="165">
        <v>97.845141874462584</v>
      </c>
      <c r="L6" s="165">
        <v>94.937833190025785</v>
      </c>
      <c r="M6" s="165">
        <v>92.761306964746339</v>
      </c>
      <c r="N6" s="165">
        <v>89.627515047291482</v>
      </c>
      <c r="O6" s="165">
        <v>87.592433361994836</v>
      </c>
      <c r="P6" s="165">
        <v>89.344196044711964</v>
      </c>
      <c r="Q6" s="165">
        <v>87.172398968185718</v>
      </c>
      <c r="R6" s="165">
        <v>79.984092863284602</v>
      </c>
      <c r="S6" s="165">
        <v>83.046431642304384</v>
      </c>
      <c r="T6" s="165">
        <v>82.69647463456576</v>
      </c>
      <c r="U6" s="165">
        <v>79.317196904557179</v>
      </c>
      <c r="V6" s="165">
        <v>70.097420464316428</v>
      </c>
      <c r="W6" s="165">
        <v>68.391659501289766</v>
      </c>
      <c r="X6" s="165">
        <v>74.561994840928634</v>
      </c>
      <c r="Y6" s="165">
        <v>71.359071367153916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7.0698194325021486</v>
      </c>
      <c r="S7" s="167">
        <v>6.1860705073086839</v>
      </c>
      <c r="T7" s="167">
        <v>5.3024075666380046</v>
      </c>
      <c r="U7" s="167">
        <v>4.4186586414445399</v>
      </c>
      <c r="V7" s="167">
        <v>4.4186586414445399</v>
      </c>
      <c r="W7" s="167">
        <v>5.3024075666380046</v>
      </c>
      <c r="X7" s="167">
        <v>5.3024075666380046</v>
      </c>
      <c r="Y7" s="167">
        <v>3.5349097162510739</v>
      </c>
      <c r="DA7" s="177" t="s">
        <v>1105</v>
      </c>
    </row>
    <row r="8" spans="1:105" ht="11.45" customHeight="1" x14ac:dyDescent="0.25">
      <c r="A8" s="85" t="s">
        <v>91</v>
      </c>
      <c r="B8" s="88">
        <v>103.4393809114359</v>
      </c>
      <c r="C8" s="88">
        <v>105.1590713671539</v>
      </c>
      <c r="D8" s="88">
        <v>98.88220120378331</v>
      </c>
      <c r="E8" s="88">
        <v>103.0094582975064</v>
      </c>
      <c r="F8" s="88">
        <v>147.0335339638865</v>
      </c>
      <c r="G8" s="88">
        <v>145.05588993981081</v>
      </c>
      <c r="H8" s="88">
        <v>143.85210662080831</v>
      </c>
      <c r="I8" s="88">
        <v>142.47635425623389</v>
      </c>
      <c r="J8" s="88">
        <v>139.12295786758381</v>
      </c>
      <c r="K8" s="88">
        <v>133.877901977644</v>
      </c>
      <c r="L8" s="88">
        <v>130.69647463456579</v>
      </c>
      <c r="M8" s="88">
        <v>129.23473774720549</v>
      </c>
      <c r="N8" s="88">
        <v>129.83662940670681</v>
      </c>
      <c r="O8" s="88">
        <v>128.20292347377469</v>
      </c>
      <c r="P8" s="88">
        <v>125.3654342218401</v>
      </c>
      <c r="Q8" s="88">
        <v>129.23473774720549</v>
      </c>
      <c r="R8" s="88">
        <v>132.07222699914021</v>
      </c>
      <c r="S8" s="88">
        <v>136.68822012037833</v>
      </c>
      <c r="T8" s="88">
        <v>140.85786758383495</v>
      </c>
      <c r="U8" s="88">
        <v>141.83903697334475</v>
      </c>
      <c r="V8" s="88">
        <v>130.57343078245918</v>
      </c>
      <c r="W8" s="88">
        <v>135.69475494411006</v>
      </c>
      <c r="X8" s="88">
        <v>140.01057609630263</v>
      </c>
      <c r="Y8" s="88">
        <v>140.32158211521923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209.48374892519342</v>
      </c>
      <c r="C10" s="62">
        <f t="shared" ref="C10:V10" si="5">SUM(C11,C17)</f>
        <v>202.27953568357694</v>
      </c>
      <c r="D10" s="62">
        <f t="shared" si="5"/>
        <v>193.04385210662079</v>
      </c>
      <c r="E10" s="62">
        <f t="shared" si="5"/>
        <v>195.14350816852959</v>
      </c>
      <c r="F10" s="62">
        <f t="shared" si="5"/>
        <v>238.04436801375752</v>
      </c>
      <c r="G10" s="62">
        <f t="shared" si="5"/>
        <v>237.29690455717966</v>
      </c>
      <c r="H10" s="62">
        <f t="shared" si="5"/>
        <v>242.84832330180575</v>
      </c>
      <c r="I10" s="62">
        <f t="shared" si="5"/>
        <v>240.29389509888222</v>
      </c>
      <c r="J10" s="62">
        <f t="shared" si="5"/>
        <v>247.51607910576095</v>
      </c>
      <c r="K10" s="62">
        <f t="shared" si="5"/>
        <v>231.72304385210657</v>
      </c>
      <c r="L10" s="62">
        <f t="shared" si="5"/>
        <v>225.63430782459159</v>
      </c>
      <c r="M10" s="62">
        <f t="shared" si="5"/>
        <v>221.99604471195184</v>
      </c>
      <c r="N10" s="62">
        <f t="shared" si="5"/>
        <v>219.46414445399827</v>
      </c>
      <c r="O10" s="62">
        <f t="shared" si="5"/>
        <v>215.79535683576955</v>
      </c>
      <c r="P10" s="62">
        <f t="shared" si="5"/>
        <v>214.70963026655204</v>
      </c>
      <c r="Q10" s="62">
        <f t="shared" si="5"/>
        <v>216.4071367153912</v>
      </c>
      <c r="R10" s="62">
        <f t="shared" si="5"/>
        <v>219.12613929492693</v>
      </c>
      <c r="S10" s="62">
        <f t="shared" si="5"/>
        <v>225.92072226999139</v>
      </c>
      <c r="T10" s="62">
        <f t="shared" si="5"/>
        <v>228.85674978503874</v>
      </c>
      <c r="U10" s="62">
        <f t="shared" si="5"/>
        <v>225.57489251934646</v>
      </c>
      <c r="V10" s="62">
        <f t="shared" si="5"/>
        <v>205.08950988822016</v>
      </c>
      <c r="W10" s="62">
        <f t="shared" ref="W10:Y10" si="6">SUM(W11,W17)</f>
        <v>209.38882201203782</v>
      </c>
      <c r="X10" s="62">
        <f t="shared" si="6"/>
        <v>219.87497850386927</v>
      </c>
      <c r="Y10" s="62">
        <f t="shared" si="6"/>
        <v>215.21556319862421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141.26334901698803</v>
      </c>
      <c r="C11" s="29">
        <f t="shared" ref="C11:V11" si="8">SUM(C12,C13,C16)</f>
        <v>137.41338720651149</v>
      </c>
      <c r="D11" s="29">
        <f t="shared" si="8"/>
        <v>134.95026738978586</v>
      </c>
      <c r="E11" s="29">
        <f t="shared" si="8"/>
        <v>138.41694780461458</v>
      </c>
      <c r="F11" s="29">
        <f t="shared" si="8"/>
        <v>164.73160019107303</v>
      </c>
      <c r="G11" s="29">
        <f t="shared" si="8"/>
        <v>168.24932164095648</v>
      </c>
      <c r="H11" s="29">
        <f t="shared" si="8"/>
        <v>172.08669957260497</v>
      </c>
      <c r="I11" s="29">
        <f t="shared" si="8"/>
        <v>165.40196909497033</v>
      </c>
      <c r="J11" s="29">
        <f t="shared" si="8"/>
        <v>181.77999410090985</v>
      </c>
      <c r="K11" s="29">
        <f t="shared" si="8"/>
        <v>175.39396903706566</v>
      </c>
      <c r="L11" s="29">
        <f t="shared" si="8"/>
        <v>172.33289244794287</v>
      </c>
      <c r="M11" s="29">
        <f t="shared" si="8"/>
        <v>166.65476795934433</v>
      </c>
      <c r="N11" s="29">
        <f t="shared" si="8"/>
        <v>171.1841351116679</v>
      </c>
      <c r="O11" s="29">
        <f t="shared" si="8"/>
        <v>170.66269746752425</v>
      </c>
      <c r="P11" s="29">
        <f t="shared" si="8"/>
        <v>163.08159765623518</v>
      </c>
      <c r="Q11" s="29">
        <f t="shared" si="8"/>
        <v>163.6903181146192</v>
      </c>
      <c r="R11" s="29">
        <f t="shared" si="8"/>
        <v>166.63787259075352</v>
      </c>
      <c r="S11" s="29">
        <f t="shared" si="8"/>
        <v>174.69859983577285</v>
      </c>
      <c r="T11" s="29">
        <f t="shared" si="8"/>
        <v>178.35697917924273</v>
      </c>
      <c r="U11" s="29">
        <f t="shared" si="8"/>
        <v>174.06989055274701</v>
      </c>
      <c r="V11" s="29">
        <f t="shared" si="8"/>
        <v>151.38494381744707</v>
      </c>
      <c r="W11" s="29">
        <f t="shared" ref="W11:Y11" si="9">SUM(W12,W13,W16)</f>
        <v>153.38973890545464</v>
      </c>
      <c r="X11" s="29">
        <f t="shared" si="9"/>
        <v>150.82122622866058</v>
      </c>
      <c r="Y11" s="29">
        <f t="shared" si="9"/>
        <v>149.84319076035476</v>
      </c>
      <c r="DA11" s="173" t="s">
        <v>395</v>
      </c>
    </row>
    <row r="12" spans="1:105" ht="11.45" customHeight="1" x14ac:dyDescent="0.25">
      <c r="A12" s="107" t="s">
        <v>23</v>
      </c>
      <c r="B12" s="115">
        <v>44.643565152336329</v>
      </c>
      <c r="C12" s="115">
        <v>45.18537656142319</v>
      </c>
      <c r="D12" s="115">
        <v>46.02113410087496</v>
      </c>
      <c r="E12" s="115">
        <v>48.03086478145341</v>
      </c>
      <c r="F12" s="115">
        <v>50.343549614081248</v>
      </c>
      <c r="G12" s="115">
        <v>46.918389002663304</v>
      </c>
      <c r="H12" s="115">
        <v>45.912842769806147</v>
      </c>
      <c r="I12" s="115">
        <v>45.86881156153553</v>
      </c>
      <c r="J12" s="115">
        <v>53.209935748960646</v>
      </c>
      <c r="K12" s="115">
        <v>52.791903480196119</v>
      </c>
      <c r="L12" s="115">
        <v>51.707071897127292</v>
      </c>
      <c r="M12" s="115">
        <v>48.814391453315757</v>
      </c>
      <c r="N12" s="115">
        <v>51.75528454760417</v>
      </c>
      <c r="O12" s="115">
        <v>50.630678920849746</v>
      </c>
      <c r="P12" s="115">
        <v>46.100141056557057</v>
      </c>
      <c r="Q12" s="115">
        <v>44.173212115712182</v>
      </c>
      <c r="R12" s="115">
        <v>46.274182707014219</v>
      </c>
      <c r="S12" s="115">
        <v>46.153114514079689</v>
      </c>
      <c r="T12" s="115">
        <v>44.511026411851738</v>
      </c>
      <c r="U12" s="115">
        <v>44.679902773989483</v>
      </c>
      <c r="V12" s="115">
        <v>37.903770890777679</v>
      </c>
      <c r="W12" s="115">
        <v>37.763238973476646</v>
      </c>
      <c r="X12" s="115">
        <v>28.253592423885578</v>
      </c>
      <c r="Y12" s="115">
        <v>22.789881793568863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96.619783864651708</v>
      </c>
      <c r="C13" s="116">
        <f t="shared" ref="C13:V13" si="11">SUM(C14:C15)</f>
        <v>92.228010645088304</v>
      </c>
      <c r="D13" s="116">
        <f t="shared" si="11"/>
        <v>88.929133288910904</v>
      </c>
      <c r="E13" s="116">
        <f t="shared" si="11"/>
        <v>90.386083023161163</v>
      </c>
      <c r="F13" s="116">
        <f t="shared" si="11"/>
        <v>114.3146742510806</v>
      </c>
      <c r="G13" s="116">
        <f t="shared" si="11"/>
        <v>120.89543903238703</v>
      </c>
      <c r="H13" s="116">
        <f t="shared" si="11"/>
        <v>121.91118994214503</v>
      </c>
      <c r="I13" s="116">
        <f t="shared" si="11"/>
        <v>113.61733084503139</v>
      </c>
      <c r="J13" s="116">
        <f t="shared" si="11"/>
        <v>124.15381059039854</v>
      </c>
      <c r="K13" s="116">
        <f t="shared" si="11"/>
        <v>118.57818296937293</v>
      </c>
      <c r="L13" s="116">
        <f t="shared" si="11"/>
        <v>116.14190682743545</v>
      </c>
      <c r="M13" s="116">
        <f t="shared" si="11"/>
        <v>113.21171186152816</v>
      </c>
      <c r="N13" s="116">
        <f t="shared" si="11"/>
        <v>115.17940323463958</v>
      </c>
      <c r="O13" s="116">
        <f t="shared" si="11"/>
        <v>116.27857574613463</v>
      </c>
      <c r="P13" s="116">
        <f t="shared" si="11"/>
        <v>113.50438224115788</v>
      </c>
      <c r="Q13" s="116">
        <f t="shared" si="11"/>
        <v>112.17338770493498</v>
      </c>
      <c r="R13" s="116">
        <f t="shared" si="11"/>
        <v>112.04364709848731</v>
      </c>
      <c r="S13" s="116">
        <f t="shared" si="11"/>
        <v>119.48625127704378</v>
      </c>
      <c r="T13" s="116">
        <f t="shared" si="11"/>
        <v>124.57497410346893</v>
      </c>
      <c r="U13" s="116">
        <f t="shared" si="11"/>
        <v>119.17541827192036</v>
      </c>
      <c r="V13" s="116">
        <f t="shared" si="11"/>
        <v>105.57534977387431</v>
      </c>
      <c r="W13" s="116">
        <f t="shared" ref="W13:Y13" si="12">SUM(W14:W15)</f>
        <v>107.50035081937529</v>
      </c>
      <c r="X13" s="116">
        <f t="shared" si="12"/>
        <v>114.38326890092191</v>
      </c>
      <c r="Y13" s="116">
        <f t="shared" si="12"/>
        <v>118.58614301107512</v>
      </c>
      <c r="DA13" s="176" t="s">
        <v>397</v>
      </c>
    </row>
    <row r="14" spans="1:105" ht="11.45" customHeight="1" x14ac:dyDescent="0.25">
      <c r="A14" s="111" t="s">
        <v>95</v>
      </c>
      <c r="B14" s="87">
        <v>75.289504477639213</v>
      </c>
      <c r="C14" s="87">
        <v>72.188695067172048</v>
      </c>
      <c r="D14" s="87">
        <v>70.995375970634555</v>
      </c>
      <c r="E14" s="87">
        <v>70.905469879595401</v>
      </c>
      <c r="F14" s="87">
        <v>69.799653331958339</v>
      </c>
      <c r="G14" s="87">
        <v>72.872796771205898</v>
      </c>
      <c r="H14" s="87">
        <v>75.674528498473691</v>
      </c>
      <c r="I14" s="87">
        <v>72.38030949263954</v>
      </c>
      <c r="J14" s="87">
        <v>83.643917016329766</v>
      </c>
      <c r="K14" s="87">
        <v>73.107062058136222</v>
      </c>
      <c r="L14" s="87">
        <v>72.400764104433549</v>
      </c>
      <c r="M14" s="87">
        <v>70.931167718925323</v>
      </c>
      <c r="N14" s="87">
        <v>73.885355433238445</v>
      </c>
      <c r="O14" s="87">
        <v>72.496265917074467</v>
      </c>
      <c r="P14" s="87">
        <v>68.448281259030452</v>
      </c>
      <c r="Q14" s="87">
        <v>66.273766246896272</v>
      </c>
      <c r="R14" s="87">
        <v>66.008508685384868</v>
      </c>
      <c r="S14" s="87">
        <v>69.477765797379291</v>
      </c>
      <c r="T14" s="87">
        <v>68.993053813781444</v>
      </c>
      <c r="U14" s="87">
        <v>64.051280660823465</v>
      </c>
      <c r="V14" s="87">
        <v>54.028437801047716</v>
      </c>
      <c r="W14" s="87">
        <v>52.945896248729319</v>
      </c>
      <c r="X14" s="87">
        <v>51.742538537854919</v>
      </c>
      <c r="Y14" s="87">
        <v>49.842643691139955</v>
      </c>
      <c r="DA14" s="171" t="s">
        <v>1108</v>
      </c>
    </row>
    <row r="15" spans="1:105" ht="11.45" customHeight="1" x14ac:dyDescent="0.25">
      <c r="A15" s="111" t="s">
        <v>93</v>
      </c>
      <c r="B15" s="87">
        <v>21.330279387012496</v>
      </c>
      <c r="C15" s="87">
        <v>20.039315577916259</v>
      </c>
      <c r="D15" s="87">
        <v>17.933757318276346</v>
      </c>
      <c r="E15" s="87">
        <v>19.480613143565765</v>
      </c>
      <c r="F15" s="87">
        <v>44.515020919122264</v>
      </c>
      <c r="G15" s="87">
        <v>48.022642261181126</v>
      </c>
      <c r="H15" s="87">
        <v>46.236661443671331</v>
      </c>
      <c r="I15" s="87">
        <v>41.237021352391849</v>
      </c>
      <c r="J15" s="87">
        <v>40.509893574068776</v>
      </c>
      <c r="K15" s="87">
        <v>45.471120911236703</v>
      </c>
      <c r="L15" s="87">
        <v>43.7411427230019</v>
      </c>
      <c r="M15" s="87">
        <v>42.280544142602842</v>
      </c>
      <c r="N15" s="87">
        <v>41.294047801401142</v>
      </c>
      <c r="O15" s="87">
        <v>43.782309829060175</v>
      </c>
      <c r="P15" s="87">
        <v>45.05610098212744</v>
      </c>
      <c r="Q15" s="87">
        <v>45.899621458038716</v>
      </c>
      <c r="R15" s="87">
        <v>46.035138413102445</v>
      </c>
      <c r="S15" s="87">
        <v>50.008485479664493</v>
      </c>
      <c r="T15" s="87">
        <v>55.581920289687488</v>
      </c>
      <c r="U15" s="87">
        <v>55.124137611096891</v>
      </c>
      <c r="V15" s="87">
        <v>51.546911972826599</v>
      </c>
      <c r="W15" s="87">
        <v>54.554454570645973</v>
      </c>
      <c r="X15" s="87">
        <v>62.640730363066986</v>
      </c>
      <c r="Y15" s="87">
        <v>68.743499319935168</v>
      </c>
      <c r="DA15" s="171" t="s">
        <v>1109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7.3376325911176044E-2</v>
      </c>
      <c r="G16" s="117">
        <v>0.43549360590615649</v>
      </c>
      <c r="H16" s="117">
        <v>4.262666860653777</v>
      </c>
      <c r="I16" s="117">
        <v>5.9158266884033903</v>
      </c>
      <c r="J16" s="117">
        <v>4.4162477615506566</v>
      </c>
      <c r="K16" s="117">
        <v>4.0238825874966162</v>
      </c>
      <c r="L16" s="117">
        <v>4.4839137233801152</v>
      </c>
      <c r="M16" s="117">
        <v>4.6286646445004065</v>
      </c>
      <c r="N16" s="117">
        <v>4.249447329424159</v>
      </c>
      <c r="O16" s="117">
        <v>3.7534428005398457</v>
      </c>
      <c r="P16" s="117">
        <v>3.4770743585202331</v>
      </c>
      <c r="Q16" s="117">
        <v>7.3437182939720369</v>
      </c>
      <c r="R16" s="117">
        <v>8.3200427852519798</v>
      </c>
      <c r="S16" s="117">
        <v>9.059234044649406</v>
      </c>
      <c r="T16" s="117">
        <v>9.2709786639220368</v>
      </c>
      <c r="U16" s="117">
        <v>10.214569506837158</v>
      </c>
      <c r="V16" s="117">
        <v>7.9058231527950698</v>
      </c>
      <c r="W16" s="117">
        <v>8.126149112602727</v>
      </c>
      <c r="X16" s="117">
        <v>8.1843649038530977</v>
      </c>
      <c r="Y16" s="117">
        <v>8.4671659557107795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68.22039990820538</v>
      </c>
      <c r="C17" s="29">
        <f t="shared" si="13"/>
        <v>64.866148477065451</v>
      </c>
      <c r="D17" s="29">
        <f t="shared" si="13"/>
        <v>58.093584716834926</v>
      </c>
      <c r="E17" s="29">
        <f t="shared" si="13"/>
        <v>56.726560363915027</v>
      </c>
      <c r="F17" s="29">
        <f t="shared" si="13"/>
        <v>73.312767822684492</v>
      </c>
      <c r="G17" s="29">
        <f t="shared" si="13"/>
        <v>69.047582916223178</v>
      </c>
      <c r="H17" s="29">
        <f t="shared" si="13"/>
        <v>70.761623729200764</v>
      </c>
      <c r="I17" s="29">
        <f t="shared" si="13"/>
        <v>74.891926003911891</v>
      </c>
      <c r="J17" s="29">
        <f t="shared" si="13"/>
        <v>65.736085004851105</v>
      </c>
      <c r="K17" s="29">
        <f t="shared" si="13"/>
        <v>56.329074815040912</v>
      </c>
      <c r="L17" s="29">
        <f t="shared" si="13"/>
        <v>53.301415376648706</v>
      </c>
      <c r="M17" s="29">
        <f t="shared" si="13"/>
        <v>55.341276752607513</v>
      </c>
      <c r="N17" s="29">
        <f t="shared" si="13"/>
        <v>48.280009342330374</v>
      </c>
      <c r="O17" s="29">
        <f t="shared" si="13"/>
        <v>45.132659368245285</v>
      </c>
      <c r="P17" s="29">
        <f t="shared" si="13"/>
        <v>51.628032610316879</v>
      </c>
      <c r="Q17" s="29">
        <f t="shared" si="13"/>
        <v>52.716818600772001</v>
      </c>
      <c r="R17" s="29">
        <f t="shared" si="13"/>
        <v>52.488266704173427</v>
      </c>
      <c r="S17" s="29">
        <f t="shared" si="13"/>
        <v>51.222122434218527</v>
      </c>
      <c r="T17" s="29">
        <f t="shared" si="13"/>
        <v>50.499770605796002</v>
      </c>
      <c r="U17" s="29">
        <f t="shared" si="13"/>
        <v>51.505001966599444</v>
      </c>
      <c r="V17" s="29">
        <f t="shared" si="13"/>
        <v>53.704566070773097</v>
      </c>
      <c r="W17" s="29">
        <f t="shared" si="13"/>
        <v>55.999083106583178</v>
      </c>
      <c r="X17" s="29">
        <f t="shared" ref="X17:Y17" si="14">SUM(X18:X19)</f>
        <v>69.053752275208694</v>
      </c>
      <c r="Y17" s="29">
        <f t="shared" si="14"/>
        <v>65.372372438269451</v>
      </c>
      <c r="DA17" s="173" t="s">
        <v>402</v>
      </c>
    </row>
    <row r="18" spans="1:105" ht="11.45" customHeight="1" x14ac:dyDescent="0.25">
      <c r="A18" s="83" t="s">
        <v>95</v>
      </c>
      <c r="B18" s="87">
        <v>30.754863536118297</v>
      </c>
      <c r="C18" s="87">
        <v>24.931769249250994</v>
      </c>
      <c r="D18" s="87">
        <v>23.166274932202921</v>
      </c>
      <c r="E18" s="87">
        <v>21.228579991427811</v>
      </c>
      <c r="F18" s="87">
        <v>21.211180717912672</v>
      </c>
      <c r="G18" s="87">
        <v>19.368217846162963</v>
      </c>
      <c r="H18" s="87">
        <v>23.321688182523719</v>
      </c>
      <c r="I18" s="87">
        <v>25.437231350008755</v>
      </c>
      <c r="J18" s="87">
        <v>24.749204221847371</v>
      </c>
      <c r="K18" s="87">
        <v>24.738079816326362</v>
      </c>
      <c r="L18" s="87">
        <v>22.537069085592236</v>
      </c>
      <c r="M18" s="87">
        <v>21.830139245821012</v>
      </c>
      <c r="N18" s="87">
        <v>15.74215961405304</v>
      </c>
      <c r="O18" s="87">
        <v>15.096167444920365</v>
      </c>
      <c r="P18" s="87">
        <v>20.895914785681509</v>
      </c>
      <c r="Q18" s="87">
        <v>20.898632721289452</v>
      </c>
      <c r="R18" s="87">
        <v>21.04540361040187</v>
      </c>
      <c r="S18" s="87">
        <v>19.754736352233774</v>
      </c>
      <c r="T18" s="87">
        <v>19.005828387422326</v>
      </c>
      <c r="U18" s="87">
        <v>19.684574885178243</v>
      </c>
      <c r="V18" s="87">
        <v>20.487641304713254</v>
      </c>
      <c r="W18" s="87">
        <v>20.748170819198457</v>
      </c>
      <c r="X18" s="87">
        <v>28.121863869711728</v>
      </c>
      <c r="Y18" s="87">
        <v>25.051337392265037</v>
      </c>
      <c r="DA18" s="171" t="s">
        <v>1110</v>
      </c>
    </row>
    <row r="19" spans="1:105" ht="11.45" customHeight="1" x14ac:dyDescent="0.25">
      <c r="A19" s="85" t="s">
        <v>93</v>
      </c>
      <c r="B19" s="88">
        <v>37.46553637208708</v>
      </c>
      <c r="C19" s="88">
        <v>39.93437922781446</v>
      </c>
      <c r="D19" s="88">
        <v>34.927309784632001</v>
      </c>
      <c r="E19" s="88">
        <v>35.49798037248722</v>
      </c>
      <c r="F19" s="88">
        <v>52.101587104771816</v>
      </c>
      <c r="G19" s="88">
        <v>49.679365070060214</v>
      </c>
      <c r="H19" s="88">
        <v>47.439935546677049</v>
      </c>
      <c r="I19" s="88">
        <v>49.454694653903132</v>
      </c>
      <c r="J19" s="88">
        <v>40.986880783003727</v>
      </c>
      <c r="K19" s="88">
        <v>31.590994998714553</v>
      </c>
      <c r="L19" s="88">
        <v>30.764346291056469</v>
      </c>
      <c r="M19" s="88">
        <v>33.511137506786497</v>
      </c>
      <c r="N19" s="88">
        <v>32.53784972827733</v>
      </c>
      <c r="O19" s="88">
        <v>30.03649192332492</v>
      </c>
      <c r="P19" s="88">
        <v>30.732117824635374</v>
      </c>
      <c r="Q19" s="88">
        <v>31.818185879482545</v>
      </c>
      <c r="R19" s="88">
        <v>31.442863093771557</v>
      </c>
      <c r="S19" s="88">
        <v>31.467386081984753</v>
      </c>
      <c r="T19" s="88">
        <v>31.493942218373675</v>
      </c>
      <c r="U19" s="88">
        <v>31.820427081421201</v>
      </c>
      <c r="V19" s="88">
        <v>33.216924766059847</v>
      </c>
      <c r="W19" s="88">
        <v>35.250912287384722</v>
      </c>
      <c r="X19" s="88">
        <v>40.931888405496963</v>
      </c>
      <c r="Y19" s="88">
        <v>40.321035046004411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126.28172727574585</v>
      </c>
      <c r="C23" s="62">
        <f>IF(C10=0,0,C10/TrRail_act!C14*100)</f>
        <v>121.42160130515762</v>
      </c>
      <c r="D23" s="62">
        <f>IF(D10=0,0,D10/TrRail_act!D14*100)</f>
        <v>116.96784419510995</v>
      </c>
      <c r="E23" s="62">
        <f>IF(E10=0,0,E10/TrRail_act!E14*100)</f>
        <v>112.68095133444777</v>
      </c>
      <c r="F23" s="62">
        <f>IF(F10=0,0,F10/TrRail_act!F14*100)</f>
        <v>116.3253246549383</v>
      </c>
      <c r="G23" s="62">
        <f>IF(G10=0,0,G10/TrRail_act!G14*100)</f>
        <v>117.5295519786842</v>
      </c>
      <c r="H23" s="62">
        <f>IF(H10=0,0,H10/TrRail_act!H14*100)</f>
        <v>119.07620858695742</v>
      </c>
      <c r="I23" s="62">
        <f>IF(I10=0,0,I10/TrRail_act!I14*100)</f>
        <v>117.89344479102037</v>
      </c>
      <c r="J23" s="62">
        <f>IF(J10=0,0,J10/TrRail_act!J14*100)</f>
        <v>109.9315516477664</v>
      </c>
      <c r="K23" s="62">
        <f>IF(K10=0,0,K10/TrRail_act!K14*100)</f>
        <v>105.15820310717973</v>
      </c>
      <c r="L23" s="62">
        <f>IF(L10=0,0,L10/TrRail_act!L14*100)</f>
        <v>103.48705651678543</v>
      </c>
      <c r="M23" s="62">
        <f>IF(M10=0,0,M10/TrRail_act!M14*100)</f>
        <v>102.30781789832302</v>
      </c>
      <c r="N23" s="62">
        <f>IF(N10=0,0,N10/TrRail_act!N14*100)</f>
        <v>97.243012004273382</v>
      </c>
      <c r="O23" s="62">
        <f>IF(O10=0,0,O10/TrRail_act!O14*100)</f>
        <v>95.206954648168917</v>
      </c>
      <c r="P23" s="62">
        <f>IF(P10=0,0,P10/TrRail_act!P14*100)</f>
        <v>95.837541270484252</v>
      </c>
      <c r="Q23" s="62">
        <f>IF(Q10=0,0,Q10/TrRail_act!Q14*100)</f>
        <v>94.109381850782853</v>
      </c>
      <c r="R23" s="62">
        <f>IF(R10=0,0,R10/TrRail_act!R14*100)</f>
        <v>90.21551364255734</v>
      </c>
      <c r="S23" s="62">
        <f>IF(S10=0,0,S10/TrRail_act!S14*100)</f>
        <v>89.547118606923831</v>
      </c>
      <c r="T23" s="62">
        <f>IF(T10=0,0,T10/TrRail_act!T14*100)</f>
        <v>89.534608272718373</v>
      </c>
      <c r="U23" s="62">
        <f>IF(U10=0,0,U10/TrRail_act!U14*100)</f>
        <v>87.69575449558964</v>
      </c>
      <c r="V23" s="62">
        <f>IF(V10=0,0,V10/TrRail_act!V14*100)</f>
        <v>89.35958194941071</v>
      </c>
      <c r="W23" s="62">
        <f>IF(W10=0,0,W10/TrRail_act!W14*100)</f>
        <v>89.323282951977276</v>
      </c>
      <c r="X23" s="62">
        <f>IF(X10=0,0,X10/TrRail_act!X14*100)</f>
        <v>100.92864965218493</v>
      </c>
      <c r="Y23" s="62">
        <f>IF(Y10=0,0,Y10/TrRail_act!Y14*100)</f>
        <v>105.35381064638844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100.16643958470625</v>
      </c>
      <c r="C24" s="29">
        <f>IF(C11=0,0,C11/TrRail_act!C15*100)</f>
        <v>96.616023188240192</v>
      </c>
      <c r="D24" s="29">
        <f>IF(D11=0,0,D11/TrRail_act!D15*100)</f>
        <v>94.235801767296905</v>
      </c>
      <c r="E24" s="29">
        <f>IF(E11=0,0,E11/TrRail_act!E15*100)</f>
        <v>91.687812619921289</v>
      </c>
      <c r="F24" s="29">
        <f>IF(F11=0,0,F11/TrRail_act!F15*100)</f>
        <v>94.721381970245318</v>
      </c>
      <c r="G24" s="29">
        <f>IF(G11=0,0,G11/TrRail_act!G15*100)</f>
        <v>98.034118026724613</v>
      </c>
      <c r="H24" s="29">
        <f>IF(H11=0,0,H11/TrRail_act!H15*100)</f>
        <v>99.731470319150048</v>
      </c>
      <c r="I24" s="29">
        <f>IF(I11=0,0,I11/TrRail_act!I15*100)</f>
        <v>97.478618011028388</v>
      </c>
      <c r="J24" s="29">
        <f>IF(J11=0,0,J11/TrRail_act!J15*100)</f>
        <v>93.171324876087468</v>
      </c>
      <c r="K24" s="29">
        <f>IF(K11=0,0,K11/TrRail_act!K15*100)</f>
        <v>89.83163230101367</v>
      </c>
      <c r="L24" s="29">
        <f>IF(L11=0,0,L11/TrRail_act!L15*100)</f>
        <v>88.974156286483193</v>
      </c>
      <c r="M24" s="29">
        <f>IF(M11=0,0,M11/TrRail_act!M15*100)</f>
        <v>87.369028355597962</v>
      </c>
      <c r="N24" s="29">
        <f>IF(N11=0,0,N11/TrRail_act!N15*100)</f>
        <v>84.952406776980993</v>
      </c>
      <c r="O24" s="29">
        <f>IF(O11=0,0,O11/TrRail_act!O15*100)</f>
        <v>83.785941984325191</v>
      </c>
      <c r="P24" s="29">
        <f>IF(P11=0,0,P11/TrRail_act!P15*100)</f>
        <v>82.220108540417414</v>
      </c>
      <c r="Q24" s="29">
        <f>IF(Q11=0,0,Q11/TrRail_act!Q15*100)</f>
        <v>80.740377218336846</v>
      </c>
      <c r="R24" s="29">
        <f>IF(R11=0,0,R11/TrRail_act!R15*100)</f>
        <v>77.35663700838677</v>
      </c>
      <c r="S24" s="29">
        <f>IF(S11=0,0,S11/TrRail_act!S15*100)</f>
        <v>77.633286205572048</v>
      </c>
      <c r="T24" s="29">
        <f>IF(T11=0,0,T11/TrRail_act!T15*100)</f>
        <v>78.077188172157264</v>
      </c>
      <c r="U24" s="29">
        <f>IF(U11=0,0,U11/TrRail_act!U15*100)</f>
        <v>75.830509456119671</v>
      </c>
      <c r="V24" s="29">
        <f>IF(V11=0,0,V11/TrRail_act!V15*100)</f>
        <v>75.474966968546298</v>
      </c>
      <c r="W24" s="29">
        <f>IF(W11=0,0,W11/TrRail_act!W15*100)</f>
        <v>75.209980338884947</v>
      </c>
      <c r="X24" s="29">
        <f>IF(X11=0,0,X11/TrRail_act!X15*100)</f>
        <v>83.207747132808933</v>
      </c>
      <c r="Y24" s="29">
        <f>IF(Y11=0,0,Y11/TrRail_act!Y15*100)</f>
        <v>88.681079528742671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44.817727571072396</v>
      </c>
      <c r="C25" s="115">
        <f>IF(C12=0,0,C12/TrRail_act!C16*100)</f>
        <v>44.199309750553113</v>
      </c>
      <c r="D25" s="115">
        <f>IF(D12=0,0,D12/TrRail_act!D16*100)</f>
        <v>44.162129436605198</v>
      </c>
      <c r="E25" s="115">
        <f>IF(E12=0,0,E12/TrRail_act!E16*100)</f>
        <v>43.511529010580297</v>
      </c>
      <c r="F25" s="115">
        <f>IF(F12=0,0,F12/TrRail_act!F16*100)</f>
        <v>43.489305936779104</v>
      </c>
      <c r="G25" s="115">
        <f>IF(G12=0,0,G12/TrRail_act!G16*100)</f>
        <v>43.460414635438326</v>
      </c>
      <c r="H25" s="115">
        <f>IF(H12=0,0,H12/TrRail_act!H16*100)</f>
        <v>43.444146382934932</v>
      </c>
      <c r="I25" s="115">
        <f>IF(I12=0,0,I12/TrRail_act!I16*100)</f>
        <v>43.423225557375986</v>
      </c>
      <c r="J25" s="115">
        <f>IF(J12=0,0,J12/TrRail_act!J16*100)</f>
        <v>42.202761265062598</v>
      </c>
      <c r="K25" s="115">
        <f>IF(K12=0,0,K12/TrRail_act!K16*100)</f>
        <v>41.769746775186618</v>
      </c>
      <c r="L25" s="115">
        <f>IF(L12=0,0,L12/TrRail_act!L16*100)</f>
        <v>41.263010707152063</v>
      </c>
      <c r="M25" s="115">
        <f>IF(M12=0,0,M12/TrRail_act!M16*100)</f>
        <v>40.428383260612996</v>
      </c>
      <c r="N25" s="115">
        <f>IF(N12=0,0,N12/TrRail_act!N16*100)</f>
        <v>39.832371017239247</v>
      </c>
      <c r="O25" s="115">
        <f>IF(O12=0,0,O12/TrRail_act!O16*100)</f>
        <v>38.982630846300495</v>
      </c>
      <c r="P25" s="115">
        <f>IF(P12=0,0,P12/TrRail_act!P16*100)</f>
        <v>37.125343661356027</v>
      </c>
      <c r="Q25" s="115">
        <f>IF(Q12=0,0,Q12/TrRail_act!Q16*100)</f>
        <v>35.351283175341962</v>
      </c>
      <c r="R25" s="115">
        <f>IF(R12=0,0,R12/TrRail_act!R16*100)</f>
        <v>34.076596142144552</v>
      </c>
      <c r="S25" s="115">
        <f>IF(S12=0,0,S12/TrRail_act!S16*100)</f>
        <v>33.150835312134284</v>
      </c>
      <c r="T25" s="115">
        <f>IF(T12=0,0,T12/TrRail_act!T16*100)</f>
        <v>32.47305719333567</v>
      </c>
      <c r="U25" s="115">
        <f>IF(U12=0,0,U12/TrRail_act!U16*100)</f>
        <v>31.973833092944197</v>
      </c>
      <c r="V25" s="115">
        <f>IF(V12=0,0,V12/TrRail_act!V16*100)</f>
        <v>31.604458098633387</v>
      </c>
      <c r="W25" s="115">
        <f>IF(W12=0,0,W12/TrRail_act!W16*100)</f>
        <v>31.330229891036112</v>
      </c>
      <c r="X25" s="115">
        <f>IF(X12=0,0,X12/TrRail_act!X16*100)</f>
        <v>31.126121379112281</v>
      </c>
      <c r="Y25" s="115">
        <f>IF(Y12=0,0,Y12/TrRail_act!Y16*100)</f>
        <v>30.973913095517634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233.28406980785411</v>
      </c>
      <c r="C26" s="116">
        <f>IF(C13=0,0,C13/TrRail_act!C17*100)</f>
        <v>230.59691006230642</v>
      </c>
      <c r="D26" s="116">
        <f>IF(D13=0,0,D13/TrRail_act!D17*100)</f>
        <v>228.05042816080251</v>
      </c>
      <c r="E26" s="116">
        <f>IF(E13=0,0,E13/TrRail_act!E17*100)</f>
        <v>222.74126901644985</v>
      </c>
      <c r="F26" s="116">
        <f>IF(F13=0,0,F13/TrRail_act!F17*100)</f>
        <v>196.6913432185687</v>
      </c>
      <c r="G26" s="116">
        <f>IF(G13=0,0,G13/TrRail_act!G17*100)</f>
        <v>190.4656292548284</v>
      </c>
      <c r="H26" s="116">
        <f>IF(H13=0,0,H13/TrRail_act!H17*100)</f>
        <v>187.67524811826587</v>
      </c>
      <c r="I26" s="116">
        <f>IF(I13=0,0,I13/TrRail_act!I17*100)</f>
        <v>185.12241482095152</v>
      </c>
      <c r="J26" s="116">
        <f>IF(J13=0,0,J13/TrRail_act!J17*100)</f>
        <v>185.22162974443557</v>
      </c>
      <c r="K26" s="116">
        <f>IF(K13=0,0,K13/TrRail_act!K17*100)</f>
        <v>176.90913084817092</v>
      </c>
      <c r="L26" s="116">
        <f>IF(L13=0,0,L13/TrRail_act!L17*100)</f>
        <v>175.05186260705642</v>
      </c>
      <c r="M26" s="116">
        <f>IF(M13=0,0,M13/TrRail_act!M17*100)</f>
        <v>166.76681658316269</v>
      </c>
      <c r="N26" s="116">
        <f>IF(N13=0,0,N13/TrRail_act!N17*100)</f>
        <v>165.5254317659859</v>
      </c>
      <c r="O26" s="116">
        <f>IF(O13=0,0,O13/TrRail_act!O17*100)</f>
        <v>161.45284339915429</v>
      </c>
      <c r="P26" s="116">
        <f>IF(P13=0,0,P13/TrRail_act!P17*100)</f>
        <v>156.59699493668205</v>
      </c>
      <c r="Q26" s="116">
        <f>IF(Q13=0,0,Q13/TrRail_act!Q17*100)</f>
        <v>151.31206187752409</v>
      </c>
      <c r="R26" s="116">
        <f>IF(R13=0,0,R13/TrRail_act!R17*100)</f>
        <v>148.55471315890699</v>
      </c>
      <c r="S26" s="116">
        <f>IF(S13=0,0,S13/TrRail_act!S17*100)</f>
        <v>147.17962497609486</v>
      </c>
      <c r="T26" s="116">
        <f>IF(T13=0,0,T13/TrRail_act!T17*100)</f>
        <v>143.86579884471232</v>
      </c>
      <c r="U26" s="116">
        <f>IF(U13=0,0,U13/TrRail_act!U17*100)</f>
        <v>141.00860845077239</v>
      </c>
      <c r="V26" s="116">
        <f>IF(V13=0,0,V13/TrRail_act!V17*100)</f>
        <v>137.96120933397685</v>
      </c>
      <c r="W26" s="116">
        <f>IF(W13=0,0,W13/TrRail_act!W17*100)</f>
        <v>135.79121271497883</v>
      </c>
      <c r="X26" s="116">
        <f>IF(X13=0,0,X13/TrRail_act!X17*100)</f>
        <v>132.70276907401245</v>
      </c>
      <c r="Y26" s="116">
        <f>IF(Y13=0,0,Y13/TrRail_act!Y17*100)</f>
        <v>130.39881858276667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269.69084441157617</v>
      </c>
      <c r="C27" s="87">
        <f>IF(C14=0,0,C14/TrRail_act!C18*100)</f>
        <v>265.31437400320323</v>
      </c>
      <c r="D27" s="87">
        <f>IF(D14=0,0,D14/TrRail_act!D18*100)</f>
        <v>259.41438237646895</v>
      </c>
      <c r="E27" s="87">
        <f>IF(E14=0,0,E14/TrRail_act!E18*100)</f>
        <v>255.26679206323908</v>
      </c>
      <c r="F27" s="87">
        <f>IF(F14=0,0,F14/TrRail_act!F18*100)</f>
        <v>246.13791145347852</v>
      </c>
      <c r="G27" s="87">
        <f>IF(G14=0,0,G14/TrRail_act!G18*100)</f>
        <v>242.86347186217765</v>
      </c>
      <c r="H27" s="87">
        <f>IF(H14=0,0,H14/TrRail_act!H18*100)</f>
        <v>235.68680459646086</v>
      </c>
      <c r="I27" s="87">
        <f>IF(I14=0,0,I14/TrRail_act!I18*100)</f>
        <v>232.94897402763567</v>
      </c>
      <c r="J27" s="87">
        <f>IF(J14=0,0,J14/TrRail_act!J18*100)</f>
        <v>229.42978440518945</v>
      </c>
      <c r="K27" s="87">
        <f>IF(K14=0,0,K14/TrRail_act!K18*100)</f>
        <v>224.85205264108049</v>
      </c>
      <c r="L27" s="87">
        <f>IF(L14=0,0,L14/TrRail_act!L18*100)</f>
        <v>220.53911693626179</v>
      </c>
      <c r="M27" s="87">
        <f>IF(M14=0,0,M14/TrRail_act!M18*100)</f>
        <v>216.00070104443142</v>
      </c>
      <c r="N27" s="87">
        <f>IF(N14=0,0,N14/TrRail_act!N18*100)</f>
        <v>211.62292512432322</v>
      </c>
      <c r="O27" s="87">
        <f>IF(O14=0,0,O14/TrRail_act!O18*100)</f>
        <v>206.69979963162791</v>
      </c>
      <c r="P27" s="87">
        <f>IF(P14=0,0,P14/TrRail_act!P18*100)</f>
        <v>200.60362376015252</v>
      </c>
      <c r="Q27" s="87">
        <f>IF(Q14=0,0,Q14/TrRail_act!Q18*100)</f>
        <v>192.6425789005375</v>
      </c>
      <c r="R27" s="87">
        <f>IF(R14=0,0,R14/TrRail_act!R18*100)</f>
        <v>188.18798243468675</v>
      </c>
      <c r="S27" s="87">
        <f>IF(S14=0,0,S14/TrRail_act!S18*100)</f>
        <v>188.05831527650147</v>
      </c>
      <c r="T27" s="87">
        <f>IF(T14=0,0,T14/TrRail_act!T18*100)</f>
        <v>186.08151230815946</v>
      </c>
      <c r="U27" s="87">
        <f>IF(U14=0,0,U14/TrRail_act!U18*100)</f>
        <v>182.21259532460212</v>
      </c>
      <c r="V27" s="87">
        <f>IF(V14=0,0,V14/TrRail_act!V18*100)</f>
        <v>179.00506125256211</v>
      </c>
      <c r="W27" s="87">
        <f>IF(W14=0,0,W14/TrRail_act!W18*100)</f>
        <v>176.63651921758861</v>
      </c>
      <c r="X27" s="87">
        <f>IF(X14=0,0,X14/TrRail_act!X18*100)</f>
        <v>174.88070223858736</v>
      </c>
      <c r="Y27" s="87">
        <f>IF(Y14=0,0,Y14/TrRail_act!Y18*100)</f>
        <v>173.57530276137868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157.99907306580124</v>
      </c>
      <c r="C28" s="87">
        <f>IF(C15=0,0,C15/TrRail_act!C19*100)</f>
        <v>156.72124618687758</v>
      </c>
      <c r="D28" s="87">
        <f>IF(D15=0,0,D15/TrRail_act!D19*100)</f>
        <v>154.23139849099169</v>
      </c>
      <c r="E28" s="87">
        <f>IF(E15=0,0,E15/TrRail_act!E19*100)</f>
        <v>152.16908973959806</v>
      </c>
      <c r="F28" s="87">
        <f>IF(F15=0,0,F15/TrRail_act!F19*100)</f>
        <v>149.57567957013097</v>
      </c>
      <c r="G28" s="87">
        <f>IF(G15=0,0,G15/TrRail_act!G19*100)</f>
        <v>143.48840103698484</v>
      </c>
      <c r="H28" s="87">
        <f>IF(H15=0,0,H15/TrRail_act!H19*100)</f>
        <v>140.74873596636164</v>
      </c>
      <c r="I28" s="87">
        <f>IF(I15=0,0,I15/TrRail_act!I19*100)</f>
        <v>136.08299341587519</v>
      </c>
      <c r="J28" s="87">
        <f>IF(J15=0,0,J15/TrRail_act!J19*100)</f>
        <v>132.50409000926203</v>
      </c>
      <c r="K28" s="87">
        <f>IF(K15=0,0,K15/TrRail_act!K19*100)</f>
        <v>131.74563525695316</v>
      </c>
      <c r="L28" s="87">
        <f>IF(L15=0,0,L15/TrRail_act!L19*100)</f>
        <v>130.49986518056895</v>
      </c>
      <c r="M28" s="87">
        <f>IF(M15=0,0,M15/TrRail_act!M19*100)</f>
        <v>120.63667083982956</v>
      </c>
      <c r="N28" s="87">
        <f>IF(N15=0,0,N15/TrRail_act!N19*100)</f>
        <v>119.10451346466826</v>
      </c>
      <c r="O28" s="87">
        <f>IF(O15=0,0,O15/TrRail_act!O19*100)</f>
        <v>118.50052893266781</v>
      </c>
      <c r="P28" s="87">
        <f>IF(P15=0,0,P15/TrRail_act!P19*100)</f>
        <v>117.45386295782481</v>
      </c>
      <c r="Q28" s="87">
        <f>IF(Q15=0,0,Q15/TrRail_act!Q19*100)</f>
        <v>115.52493486077269</v>
      </c>
      <c r="R28" s="87">
        <f>IF(R15=0,0,R15/TrRail_act!R19*100)</f>
        <v>114.09905640983334</v>
      </c>
      <c r="S28" s="87">
        <f>IF(S15=0,0,S15/TrRail_act!S19*100)</f>
        <v>113.04120887481346</v>
      </c>
      <c r="T28" s="87">
        <f>IF(T15=0,0,T15/TrRail_act!T19*100)</f>
        <v>112.25426446836735</v>
      </c>
      <c r="U28" s="87">
        <f>IF(U15=0,0,U15/TrRail_act!U19*100)</f>
        <v>111.66765343367335</v>
      </c>
      <c r="V28" s="87">
        <f>IF(V15=0,0,V15/TrRail_act!V19*100)</f>
        <v>111.22970775232319</v>
      </c>
      <c r="W28" s="87">
        <f>IF(W15=0,0,W15/TrRail_act!W19*100)</f>
        <v>110.90237601197617</v>
      </c>
      <c r="X28" s="87">
        <f>IF(X15=0,0,X15/TrRail_act!X19*100)</f>
        <v>110.65750951860747</v>
      </c>
      <c r="Y28" s="87">
        <f>IF(Y15=0,0,Y15/TrRail_act!Y19*100)</f>
        <v>110.47421451683155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228.11293029381153</v>
      </c>
      <c r="G29" s="117">
        <f>IF(G16=0,0,G16/TrRail_act!G20*100)</f>
        <v>225.64435539179092</v>
      </c>
      <c r="H29" s="117">
        <f>IF(H16=0,0,H16/TrRail_act!H20*100)</f>
        <v>223.29318285247655</v>
      </c>
      <c r="I29" s="117">
        <f>IF(I16=0,0,I16/TrRail_act!I20*100)</f>
        <v>221.22537110175458</v>
      </c>
      <c r="J29" s="117">
        <f>IF(J16=0,0,J16/TrRail_act!J20*100)</f>
        <v>221.76280007786656</v>
      </c>
      <c r="K29" s="117">
        <f>IF(K16=0,0,K16/TrRail_act!K20*100)</f>
        <v>219.66604696011305</v>
      </c>
      <c r="L29" s="117">
        <f>IF(L16=0,0,L16/TrRail_act!L20*100)</f>
        <v>220.81585170414635</v>
      </c>
      <c r="M29" s="117">
        <f>IF(M16=0,0,M16/TrRail_act!M20*100)</f>
        <v>218.43627392639954</v>
      </c>
      <c r="N29" s="117">
        <f>IF(N16=0,0,N16/TrRail_act!N20*100)</f>
        <v>213.63766281382883</v>
      </c>
      <c r="O29" s="117">
        <f>IF(O16=0,0,O16/TrRail_act!O20*100)</f>
        <v>209.8424511726214</v>
      </c>
      <c r="P29" s="117">
        <f>IF(P16=0,0,P16/TrRail_act!P20*100)</f>
        <v>205.57027457467595</v>
      </c>
      <c r="Q29" s="117">
        <f>IF(Q16=0,0,Q16/TrRail_act!Q20*100)</f>
        <v>201.32033093435373</v>
      </c>
      <c r="R29" s="117">
        <f>IF(R16=0,0,R16/TrRail_act!R20*100)</f>
        <v>198.19063328375367</v>
      </c>
      <c r="S29" s="117">
        <f>IF(S16=0,0,S16/TrRail_act!S20*100)</f>
        <v>195.87533069512227</v>
      </c>
      <c r="T29" s="117">
        <f>IF(T16=0,0,T16/TrRail_act!T20*100)</f>
        <v>194.15662123396936</v>
      </c>
      <c r="U29" s="117">
        <f>IF(U16=0,0,U16/TrRail_act!U20*100)</f>
        <v>192.87749318815943</v>
      </c>
      <c r="V29" s="117">
        <f>IF(V16=0,0,V16/TrRail_act!V20*100)</f>
        <v>191.92368045119093</v>
      </c>
      <c r="W29" s="117">
        <f>IF(W16=0,0,W16/TrRail_act!W20*100)</f>
        <v>191.21141755622818</v>
      </c>
      <c r="X29" s="117">
        <f>IF(X16=0,0,X16/TrRail_act!X20*100)</f>
        <v>190.67895561018707</v>
      </c>
      <c r="Y29" s="117">
        <f>IF(Y16=0,0,Y16/TrRail_act!Y20*100)</f>
        <v>190.28058242102682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274.44690932962044</v>
      </c>
      <c r="C30" s="29">
        <f>IF(C17=0,0,C17/TrRail_act!C21*100)</f>
        <v>266.21126393616902</v>
      </c>
      <c r="D30" s="29">
        <f>IF(D17=0,0,D17/TrRail_act!D21*100)</f>
        <v>266.05445112039786</v>
      </c>
      <c r="E30" s="29">
        <f>IF(E17=0,0,E17/TrRail_act!E21*100)</f>
        <v>255.331151240471</v>
      </c>
      <c r="F30" s="29">
        <f>IF(F17=0,0,F17/TrRail_act!F21*100)</f>
        <v>238.60936336112761</v>
      </c>
      <c r="G30" s="29">
        <f>IF(G17=0,0,G17/TrRail_act!G21*100)</f>
        <v>228.02429882049444</v>
      </c>
      <c r="H30" s="29">
        <f>IF(H17=0,0,H17/TrRail_act!H21*100)</f>
        <v>225.40167241062835</v>
      </c>
      <c r="I30" s="29">
        <f>IF(I17=0,0,I17/TrRail_act!I21*100)</f>
        <v>219.34979923015564</v>
      </c>
      <c r="J30" s="29">
        <f>IF(J17=0,0,J17/TrRail_act!J21*100)</f>
        <v>218.74272170287895</v>
      </c>
      <c r="K30" s="29">
        <f>IF(K17=0,0,K17/TrRail_act!K21*100)</f>
        <v>224.33679714883158</v>
      </c>
      <c r="L30" s="29">
        <f>IF(L17=0,0,L17/TrRail_act!L21*100)</f>
        <v>218.96242754064184</v>
      </c>
      <c r="M30" s="29">
        <f>IF(M17=0,0,M17/TrRail_act!M21*100)</f>
        <v>210.902315224739</v>
      </c>
      <c r="N30" s="29">
        <f>IF(N17=0,0,N17/TrRail_act!N21*100)</f>
        <v>199.66620617937335</v>
      </c>
      <c r="O30" s="29">
        <f>IF(O17=0,0,O17/TrRail_act!O21*100)</f>
        <v>196.48270341385563</v>
      </c>
      <c r="P30" s="29">
        <f>IF(P17=0,0,P17/TrRail_act!P21*100)</f>
        <v>200.98573107287629</v>
      </c>
      <c r="Q30" s="29">
        <f>IF(Q17=0,0,Q17/TrRail_act!Q21*100)</f>
        <v>193.69683393098543</v>
      </c>
      <c r="R30" s="29">
        <f>IF(R17=0,0,R17/TrRail_act!R21*100)</f>
        <v>191.02781940362271</v>
      </c>
      <c r="S30" s="29">
        <f>IF(S17=0,0,S17/TrRail_act!S21*100)</f>
        <v>187.88815092666482</v>
      </c>
      <c r="T30" s="29">
        <f>IF(T17=0,0,T17/TrRail_act!T21*100)</f>
        <v>185.86392498306498</v>
      </c>
      <c r="U30" s="29">
        <f>IF(U17=0,0,U17/TrRail_act!U21*100)</f>
        <v>186.1190070804887</v>
      </c>
      <c r="V30" s="29">
        <f>IF(V17=0,0,V17/TrRail_act!V21*100)</f>
        <v>185.61051929828596</v>
      </c>
      <c r="W30" s="29">
        <f>IF(W17=0,0,W17/TrRail_act!W21*100)</f>
        <v>183.79520330905854</v>
      </c>
      <c r="X30" s="29">
        <f>IF(X17=0,0,X17/TrRail_act!X21*100)</f>
        <v>188.70618891885115</v>
      </c>
      <c r="Y30" s="29">
        <f>IF(Y17=0,0,Y17/TrRail_act!Y21*100)</f>
        <v>185.13711939693124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387.71237218386199</v>
      </c>
      <c r="C31" s="87">
        <f>IF(C18=0,0,C18/TrRail_act!C22*100)</f>
        <v>385.71367518439661</v>
      </c>
      <c r="D31" s="87">
        <f>IF(D18=0,0,D18/TrRail_act!D22*100)</f>
        <v>381.18839066044512</v>
      </c>
      <c r="E31" s="87">
        <f>IF(E18=0,0,E18/TrRail_act!E22*100)</f>
        <v>378.45137762169213</v>
      </c>
      <c r="F31" s="87">
        <f>IF(F18=0,0,F18/TrRail_act!F22*100)</f>
        <v>374.99473244598136</v>
      </c>
      <c r="G31" s="87">
        <f>IF(G18=0,0,G18/TrRail_act!G22*100)</f>
        <v>368.37614501666405</v>
      </c>
      <c r="H31" s="87">
        <f>IF(H18=0,0,H18/TrRail_act!H22*100)</f>
        <v>362.50152343200205</v>
      </c>
      <c r="I31" s="87">
        <f>IF(I18=0,0,I18/TrRail_act!I22*100)</f>
        <v>360.24997600674044</v>
      </c>
      <c r="J31" s="87">
        <f>IF(J18=0,0,J18/TrRail_act!J22*100)</f>
        <v>358.34259450221055</v>
      </c>
      <c r="K31" s="87">
        <f>IF(K18=0,0,K18/TrRail_act!K22*100)</f>
        <v>357.24789119301892</v>
      </c>
      <c r="L31" s="87">
        <f>IF(L18=0,0,L18/TrRail_act!L22*100)</f>
        <v>356.49053428261323</v>
      </c>
      <c r="M31" s="87">
        <f>IF(M18=0,0,M18/TrRail_act!M22*100)</f>
        <v>352.23875746954621</v>
      </c>
      <c r="N31" s="87">
        <f>IF(N18=0,0,N18/TrRail_act!N22*100)</f>
        <v>350.00262532295017</v>
      </c>
      <c r="O31" s="87">
        <f>IF(O18=0,0,O18/TrRail_act!O22*100)</f>
        <v>348.9426236201179</v>
      </c>
      <c r="P31" s="87">
        <f>IF(P18=0,0,P18/TrRail_act!P22*100)</f>
        <v>346.72326640927105</v>
      </c>
      <c r="Q31" s="87">
        <f>IF(Q18=0,0,Q18/TrRail_act!Q22*100)</f>
        <v>346.05431941147594</v>
      </c>
      <c r="R31" s="87">
        <f>IF(R18=0,0,R18/TrRail_act!R22*100)</f>
        <v>345.55345627274335</v>
      </c>
      <c r="S31" s="87">
        <f>IF(S18=0,0,S18/TrRail_act!S22*100)</f>
        <v>345.17828470899599</v>
      </c>
      <c r="T31" s="87">
        <f>IF(T18=0,0,T18/TrRail_act!T22*100)</f>
        <v>344.89717336957636</v>
      </c>
      <c r="U31" s="87">
        <f>IF(U18=0,0,U18/TrRail_act!U22*100)</f>
        <v>344.68649011417375</v>
      </c>
      <c r="V31" s="87">
        <f>IF(V18=0,0,V18/TrRail_act!V22*100)</f>
        <v>344.52856213471381</v>
      </c>
      <c r="W31" s="87">
        <f>IF(W18=0,0,W18/TrRail_act!W22*100)</f>
        <v>344.41016363767238</v>
      </c>
      <c r="X31" s="87">
        <f>IF(X18=0,0,X18/TrRail_act!X22*100)</f>
        <v>344.32139146720556</v>
      </c>
      <c r="Y31" s="87">
        <f>IF(Y18=0,0,Y18/TrRail_act!Y22*100)</f>
        <v>344.25482735542812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221.36183396778205</v>
      </c>
      <c r="C32" s="88">
        <f>IF(C19=0,0,C19/TrRail_act!C23*100)</f>
        <v>223.06449807705647</v>
      </c>
      <c r="D32" s="88">
        <f>IF(D19=0,0,D19/TrRail_act!D23*100)</f>
        <v>221.6503407873625</v>
      </c>
      <c r="E32" s="88">
        <f>IF(E19=0,0,E19/TrRail_act!E23*100)</f>
        <v>213.74629454797139</v>
      </c>
      <c r="F32" s="88">
        <f>IF(F19=0,0,F19/TrRail_act!F23*100)</f>
        <v>207.83585693932642</v>
      </c>
      <c r="G32" s="88">
        <f>IF(G19=0,0,G19/TrRail_act!G23*100)</f>
        <v>198.53423796376455</v>
      </c>
      <c r="H32" s="88">
        <f>IF(H19=0,0,H19/TrRail_act!H23*100)</f>
        <v>190.0636593087151</v>
      </c>
      <c r="I32" s="88">
        <f>IF(I19=0,0,I19/TrRail_act!I23*100)</f>
        <v>182.61298106073235</v>
      </c>
      <c r="J32" s="88">
        <f>IF(J19=0,0,J19/TrRail_act!J23*100)</f>
        <v>177.08583701360695</v>
      </c>
      <c r="K32" s="88">
        <f>IF(K19=0,0,K19/TrRail_act!K23*100)</f>
        <v>173.7245666116896</v>
      </c>
      <c r="L32" s="88">
        <f>IF(L19=0,0,L19/TrRail_act!L23*100)</f>
        <v>170.71580323888199</v>
      </c>
      <c r="M32" s="88">
        <f>IF(M19=0,0,M19/TrRail_act!M23*100)</f>
        <v>167.19870933075808</v>
      </c>
      <c r="N32" s="88">
        <f>IF(N19=0,0,N19/TrRail_act!N23*100)</f>
        <v>165.31246994653847</v>
      </c>
      <c r="O32" s="88">
        <f>IF(O19=0,0,O19/TrRail_act!O23*100)</f>
        <v>161.10509721835905</v>
      </c>
      <c r="P32" s="88">
        <f>IF(P19=0,0,P19/TrRail_act!P23*100)</f>
        <v>156.31220571826216</v>
      </c>
      <c r="Q32" s="88">
        <f>IF(Q19=0,0,Q19/TrRail_act!Q23*100)</f>
        <v>150.24857773699821</v>
      </c>
      <c r="R32" s="88">
        <f>IF(R19=0,0,R19/TrRail_act!R23*100)</f>
        <v>147.02257010156015</v>
      </c>
      <c r="S32" s="88">
        <f>IF(S19=0,0,S19/TrRail_act!S23*100)</f>
        <v>146.09508812373642</v>
      </c>
      <c r="T32" s="88">
        <f>IF(T19=0,0,T19/TrRail_act!T23*100)</f>
        <v>145.40331835379908</v>
      </c>
      <c r="U32" s="88">
        <f>IF(U19=0,0,U19/TrRail_act!U23*100)</f>
        <v>144.88664147188729</v>
      </c>
      <c r="V32" s="88">
        <f>IF(V19=0,0,V19/TrRail_act!V23*100)</f>
        <v>144.50033901783959</v>
      </c>
      <c r="W32" s="88">
        <f>IF(W19=0,0,W19/TrRail_act!W23*100)</f>
        <v>144.21128824855575</v>
      </c>
      <c r="X32" s="88">
        <f>IF(X19=0,0,X19/TrRail_act!X23*100)</f>
        <v>143.99487967977504</v>
      </c>
      <c r="Y32" s="88">
        <f>IF(Y19=0,0,Y19/TrRail_act!Y23*100)</f>
        <v>143.83278639728067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9.1920450948066126</v>
      </c>
      <c r="C35" s="29">
        <f>IF(C11=0,0,C11/TrRail_act!C4*1000)</f>
        <v>8.850533763139989</v>
      </c>
      <c r="D35" s="29">
        <f>IF(D11=0,0,D11/TrRail_act!D4*1000)</f>
        <v>9.0546341512202009</v>
      </c>
      <c r="E35" s="29">
        <f>IF(E11=0,0,E11/TrRail_act!E4*1000)</f>
        <v>9.1779906245185856</v>
      </c>
      <c r="F35" s="29">
        <f>IF(F11=0,0,F11/TrRail_act!F4*1000)</f>
        <v>10.762902237174417</v>
      </c>
      <c r="G35" s="29">
        <f>IF(G11=0,0,G11/TrRail_act!G4*1000)</f>
        <v>11.522979045623405</v>
      </c>
      <c r="H35" s="29">
        <f>IF(H11=0,0,H11/TrRail_act!H4*1000)</f>
        <v>11.690037197204294</v>
      </c>
      <c r="I35" s="29">
        <f>IF(I11=0,0,I11/TrRail_act!I4*1000)</f>
        <v>11.291469996379831</v>
      </c>
      <c r="J35" s="29">
        <f>IF(J11=0,0,J11/TrRail_act!J4*1000)</f>
        <v>11.42135450941265</v>
      </c>
      <c r="K35" s="29">
        <f>IF(K11=0,0,K11/TrRail_act!K4*1000)</f>
        <v>11.345971461834802</v>
      </c>
      <c r="L35" s="29">
        <f>IF(L11=0,0,L11/TrRail_act!L4*1000)</f>
        <v>11.078226565180179</v>
      </c>
      <c r="M35" s="29">
        <f>IF(M11=0,0,M11/TrRail_act!M4*1000)</f>
        <v>10.832289110129626</v>
      </c>
      <c r="N35" s="29">
        <f>IF(N11=0,0,N11/TrRail_act!N4*1000)</f>
        <v>10.251774770132226</v>
      </c>
      <c r="O35" s="29">
        <f>IF(O11=0,0,O11/TrRail_act!O4*1000)</f>
        <v>9.9844202837157088</v>
      </c>
      <c r="P35" s="29">
        <f>IF(P11=0,0,P11/TrRail_act!P4*1000)</f>
        <v>9.6681051491721117</v>
      </c>
      <c r="Q35" s="29">
        <f>IF(Q11=0,0,Q11/TrRail_act!Q4*1000)</f>
        <v>9.3267116476618739</v>
      </c>
      <c r="R35" s="29">
        <f>IF(R11=0,0,R11/TrRail_act!R4*1000)</f>
        <v>8.7220300329097267</v>
      </c>
      <c r="S35" s="29">
        <f>IF(S11=0,0,S11/TrRail_act!S4*1000)</f>
        <v>8.6715410268821334</v>
      </c>
      <c r="T35" s="29">
        <f>IF(T11=0,0,T11/TrRail_act!T4*1000)</f>
        <v>8.5115094956402704</v>
      </c>
      <c r="U35" s="29">
        <f>IF(U11=0,0,U11/TrRail_act!U4*1000)</f>
        <v>7.9285573338289135</v>
      </c>
      <c r="V35" s="29">
        <f>IF(V11=0,0,V11/TrRail_act!V4*1000)</f>
        <v>14.587804752343731</v>
      </c>
      <c r="W35" s="29">
        <f>IF(W11=0,0,W11/TrRail_act!W4*1000)</f>
        <v>14.797532187794076</v>
      </c>
      <c r="X35" s="29">
        <f>IF(X11=0,0,X11/TrRail_act!X4*1000)</f>
        <v>10.645953711347538</v>
      </c>
      <c r="Y35" s="29">
        <f>IF(Y11=0,0,Y11/TrRail_act!Y4*1000)</f>
        <v>9.861608121329601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5.5334116450590392</v>
      </c>
      <c r="C36" s="115">
        <f>IF(C12=0,0,C12/TrRail_act!C5*1000)</f>
        <v>5.4923272835083496</v>
      </c>
      <c r="D36" s="115">
        <f>IF(D12=0,0,D12/TrRail_act!D5*1000)</f>
        <v>5.5400426268057013</v>
      </c>
      <c r="E36" s="115">
        <f>IF(E12=0,0,E12/TrRail_act!E5*1000)</f>
        <v>5.6088545182349785</v>
      </c>
      <c r="F36" s="115">
        <f>IF(F12=0,0,F12/TrRail_act!F5*1000)</f>
        <v>5.769703697677067</v>
      </c>
      <c r="G36" s="115">
        <f>IF(G12=0,0,G12/TrRail_act!G5*1000)</f>
        <v>5.9134366417109847</v>
      </c>
      <c r="H36" s="115">
        <f>IF(H12=0,0,H12/TrRail_act!H5*1000)</f>
        <v>5.8871676116589917</v>
      </c>
      <c r="I36" s="115">
        <f>IF(I12=0,0,I12/TrRail_act!I5*1000)</f>
        <v>5.9182508724111704</v>
      </c>
      <c r="J36" s="115">
        <f>IF(J12=0,0,J12/TrRail_act!J5*1000)</f>
        <v>5.8198730967494248</v>
      </c>
      <c r="K36" s="115">
        <f>IF(K12=0,0,K12/TrRail_act!K5*1000)</f>
        <v>5.8744481823356862</v>
      </c>
      <c r="L36" s="115">
        <f>IF(L12=0,0,L12/TrRail_act!L5*1000)</f>
        <v>5.7471459261006217</v>
      </c>
      <c r="M36" s="115">
        <f>IF(M12=0,0,M12/TrRail_act!M5*1000)</f>
        <v>5.6005497307613297</v>
      </c>
      <c r="N36" s="115">
        <f>IF(N12=0,0,N12/TrRail_act!N5*1000)</f>
        <v>5.4467779991164154</v>
      </c>
      <c r="O36" s="115">
        <f>IF(O12=0,0,O12/TrRail_act!O5*1000)</f>
        <v>5.284543093117529</v>
      </c>
      <c r="P36" s="115">
        <f>IF(P12=0,0,P12/TrRail_act!P5*1000)</f>
        <v>4.9978470356198024</v>
      </c>
      <c r="Q36" s="115">
        <f>IF(Q12=0,0,Q12/TrRail_act!Q5*1000)</f>
        <v>4.6864648902163442</v>
      </c>
      <c r="R36" s="115">
        <f>IF(R12=0,0,R12/TrRail_act!R5*1000)</f>
        <v>4.4634317868524631</v>
      </c>
      <c r="S36" s="115">
        <f>IF(S12=0,0,S12/TrRail_act!S5*1000)</f>
        <v>4.2960304670935736</v>
      </c>
      <c r="T36" s="115">
        <f>IF(T12=0,0,T12/TrRail_act!T5*1000)</f>
        <v>4.1464234463475558</v>
      </c>
      <c r="U36" s="115">
        <f>IF(U12=0,0,U12/TrRail_act!U5*1000)</f>
        <v>4.0256516717113096</v>
      </c>
      <c r="V36" s="115">
        <f>IF(V12=0,0,V12/TrRail_act!V5*1000)</f>
        <v>10.095557568458565</v>
      </c>
      <c r="W36" s="115">
        <f>IF(W12=0,0,W12/TrRail_act!W5*1000)</f>
        <v>10.449442146566492</v>
      </c>
      <c r="X36" s="115">
        <f>IF(X12=0,0,X12/TrRail_act!X5*1000)</f>
        <v>5.9194620624105543</v>
      </c>
      <c r="Y36" s="115">
        <f>IF(Y12=0,0,Y12/TrRail_act!Y5*1000)</f>
        <v>4.3838498429517294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13.235586830774206</v>
      </c>
      <c r="C37" s="116">
        <f>IF(C13=0,0,C13/TrRail_act!C6*1000)</f>
        <v>12.635704979461337</v>
      </c>
      <c r="D37" s="116">
        <f>IF(D13=0,0,D13/TrRail_act!D6*1000)</f>
        <v>13.480238485510217</v>
      </c>
      <c r="E37" s="116">
        <f>IF(E13=0,0,E13/TrRail_act!E6*1000)</f>
        <v>13.867149896158509</v>
      </c>
      <c r="F37" s="116">
        <f>IF(F13=0,0,F13/TrRail_act!F6*1000)</f>
        <v>17.375691480632408</v>
      </c>
      <c r="G37" s="116">
        <f>IF(G13=0,0,G13/TrRail_act!G6*1000)</f>
        <v>18.149743136524101</v>
      </c>
      <c r="H37" s="116">
        <f>IF(H13=0,0,H13/TrRail_act!H6*1000)</f>
        <v>17.996927951305732</v>
      </c>
      <c r="I37" s="116">
        <f>IF(I13=0,0,I13/TrRail_act!I6*1000)</f>
        <v>17.295985819003104</v>
      </c>
      <c r="J37" s="116">
        <f>IF(J13=0,0,J13/TrRail_act!J6*1000)</f>
        <v>19.041995489324929</v>
      </c>
      <c r="K37" s="116">
        <f>IF(K13=0,0,K13/TrRail_act!K6*1000)</f>
        <v>19.01205434814381</v>
      </c>
      <c r="L37" s="116">
        <f>IF(L13=0,0,L13/TrRail_act!L6*1000)</f>
        <v>18.470405029808436</v>
      </c>
      <c r="M37" s="116">
        <f>IF(M13=0,0,M13/TrRail_act!M6*1000)</f>
        <v>17.733664138710548</v>
      </c>
      <c r="N37" s="116">
        <f>IF(N13=0,0,N13/TrRail_act!N6*1000)</f>
        <v>16.632404799225931</v>
      </c>
      <c r="O37" s="116">
        <f>IF(O13=0,0,O13/TrRail_act!O6*1000)</f>
        <v>16.003107039104684</v>
      </c>
      <c r="P37" s="116">
        <f>IF(P13=0,0,P13/TrRail_act!P6*1000)</f>
        <v>15.342576674933481</v>
      </c>
      <c r="Q37" s="116">
        <f>IF(Q13=0,0,Q13/TrRail_act!Q6*1000)</f>
        <v>14.841676065749533</v>
      </c>
      <c r="R37" s="116">
        <f>IF(R13=0,0,R13/TrRail_act!R6*1000)</f>
        <v>13.935777002299417</v>
      </c>
      <c r="S37" s="116">
        <f>IF(S13=0,0,S13/TrRail_act!S6*1000)</f>
        <v>13.839037673968472</v>
      </c>
      <c r="T37" s="116">
        <f>IF(T13=0,0,T13/TrRail_act!T6*1000)</f>
        <v>13.216101644755881</v>
      </c>
      <c r="U37" s="116">
        <f>IF(U13=0,0,U13/TrRail_act!U6*1000)</f>
        <v>11.947410353074723</v>
      </c>
      <c r="V37" s="116">
        <f>IF(V13=0,0,V13/TrRail_act!V6*1000)</f>
        <v>17.348610801428752</v>
      </c>
      <c r="W37" s="116">
        <f>IF(W13=0,0,W13/TrRail_act!W6*1000)</f>
        <v>17.327438983939974</v>
      </c>
      <c r="X37" s="116">
        <f>IF(X13=0,0,X13/TrRail_act!X6*1000)</f>
        <v>12.981961682918767</v>
      </c>
      <c r="Y37" s="116">
        <f>IF(Y13=0,0,Y13/TrRail_act!Y6*1000)</f>
        <v>12.648413977243679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18.883983120704062</v>
      </c>
      <c r="C38" s="87">
        <f>IF(C14=0,0,C14/TrRail_act!C7*1000)</f>
        <v>18.104981346609922</v>
      </c>
      <c r="D38" s="87">
        <f>IF(D14=0,0,D14/TrRail_act!D7*1000)</f>
        <v>19.82307609545979</v>
      </c>
      <c r="E38" s="87">
        <f>IF(E14=0,0,E14/TrRail_act!E7*1000)</f>
        <v>20.518286117803033</v>
      </c>
      <c r="F38" s="87">
        <f>IF(F14=0,0,F14/TrRail_act!F7*1000)</f>
        <v>20.233542007269538</v>
      </c>
      <c r="G38" s="87">
        <f>IF(G14=0,0,G14/TrRail_act!G7*1000)</f>
        <v>21.021712552613817</v>
      </c>
      <c r="H38" s="87">
        <f>IF(H14=0,0,H14/TrRail_act!H7*1000)</f>
        <v>21.972100973390972</v>
      </c>
      <c r="I38" s="87">
        <f>IF(I14=0,0,I14/TrRail_act!I7*1000)</f>
        <v>22.0125135427663</v>
      </c>
      <c r="J38" s="87">
        <f>IF(J14=0,0,J14/TrRail_act!J7*1000)</f>
        <v>26.359768771030044</v>
      </c>
      <c r="K38" s="87">
        <f>IF(K14=0,0,K14/TrRail_act!K7*1000)</f>
        <v>24.473500122052016</v>
      </c>
      <c r="L38" s="87">
        <f>IF(L14=0,0,L14/TrRail_act!L7*1000)</f>
        <v>24.109433017921422</v>
      </c>
      <c r="M38" s="87">
        <f>IF(M14=0,0,M14/TrRail_act!M7*1000)</f>
        <v>23.492247157163597</v>
      </c>
      <c r="N38" s="87">
        <f>IF(N14=0,0,N14/TrRail_act!N7*1000)</f>
        <v>23.057221943329541</v>
      </c>
      <c r="O38" s="87">
        <f>IF(O14=0,0,O14/TrRail_act!O7*1000)</f>
        <v>21.66567260909493</v>
      </c>
      <c r="P38" s="87">
        <f>IF(P14=0,0,P14/TrRail_act!P7*1000)</f>
        <v>20.102126085339865</v>
      </c>
      <c r="Q38" s="87">
        <f>IF(Q14=0,0,Q14/TrRail_act!Q7*1000)</f>
        <v>19.571010643404446</v>
      </c>
      <c r="R38" s="87">
        <f>IF(R14=0,0,R14/TrRail_act!R7*1000)</f>
        <v>18.237741273817647</v>
      </c>
      <c r="S38" s="87">
        <f>IF(S14=0,0,S14/TrRail_act!S7*1000)</f>
        <v>17.925067215330145</v>
      </c>
      <c r="T38" s="87">
        <f>IF(T14=0,0,T14/TrRail_act!T7*1000)</f>
        <v>16.545256981850532</v>
      </c>
      <c r="U38" s="87">
        <f>IF(U14=0,0,U14/TrRail_act!U7*1000)</f>
        <v>14.527313411633074</v>
      </c>
      <c r="V38" s="87">
        <f>IF(V14=0,0,V14/TrRail_act!V7*1000)</f>
        <v>19.457527277199553</v>
      </c>
      <c r="W38" s="87">
        <f>IF(W14=0,0,W14/TrRail_act!W7*1000)</f>
        <v>18.60635274058637</v>
      </c>
      <c r="X38" s="87">
        <f>IF(X14=0,0,X14/TrRail_act!X7*1000)</f>
        <v>13.173341802240808</v>
      </c>
      <c r="Y38" s="87">
        <f>IF(Y14=0,0,Y14/TrRail_act!Y7*1000)</f>
        <v>12.315277278197438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6.438261452690563</v>
      </c>
      <c r="C39" s="87">
        <f>IF(C15=0,0,C15/TrRail_act!C8*1000)</f>
        <v>6.0509351945540883</v>
      </c>
      <c r="D39" s="87">
        <f>IF(D15=0,0,D15/TrRail_act!D8*1000)</f>
        <v>5.9470953375059912</v>
      </c>
      <c r="E39" s="87">
        <f>IF(E15=0,0,E15/TrRail_act!E8*1000)</f>
        <v>6.3614753644410422</v>
      </c>
      <c r="F39" s="87">
        <f>IF(F15=0,0,F15/TrRail_act!F8*1000)</f>
        <v>14.225233553301946</v>
      </c>
      <c r="G39" s="87">
        <f>IF(G15=0,0,G15/TrRail_act!G8*1000)</f>
        <v>15.03314415025066</v>
      </c>
      <c r="H39" s="87">
        <f>IF(H15=0,0,H15/TrRail_act!H8*1000)</f>
        <v>13.885379153649376</v>
      </c>
      <c r="I39" s="87">
        <f>IF(I15=0,0,I15/TrRail_act!I8*1000)</f>
        <v>12.568981567606732</v>
      </c>
      <c r="J39" s="87">
        <f>IF(J15=0,0,J15/TrRail_act!J8*1000)</f>
        <v>12.103943987337756</v>
      </c>
      <c r="K39" s="87">
        <f>IF(K15=0,0,K15/TrRail_act!K8*1000)</f>
        <v>13.991943943496565</v>
      </c>
      <c r="L39" s="87">
        <f>IF(L15=0,0,L15/TrRail_act!L8*1000)</f>
        <v>13.315439345443481</v>
      </c>
      <c r="M39" s="87">
        <f>IF(M15=0,0,M15/TrRail_act!M8*1000)</f>
        <v>12.566081043712421</v>
      </c>
      <c r="N39" s="87">
        <f>IF(N15=0,0,N15/TrRail_act!N8*1000)</f>
        <v>11.098863014584525</v>
      </c>
      <c r="O39" s="87">
        <f>IF(O15=0,0,O15/TrRail_act!O8*1000)</f>
        <v>11.169341313403804</v>
      </c>
      <c r="P39" s="87">
        <f>IF(P15=0,0,P15/TrRail_act!P8*1000)</f>
        <v>11.283848030634321</v>
      </c>
      <c r="Q39" s="87">
        <f>IF(Q15=0,0,Q15/TrRail_act!Q8*1000)</f>
        <v>11.00267902245921</v>
      </c>
      <c r="R39" s="87">
        <f>IF(R15=0,0,R15/TrRail_act!R8*1000)</f>
        <v>10.413624657938644</v>
      </c>
      <c r="S39" s="87">
        <f>IF(S15=0,0,S15/TrRail_act!S8*1000)</f>
        <v>10.510425775723295</v>
      </c>
      <c r="T39" s="87">
        <f>IF(T15=0,0,T15/TrRail_act!T8*1000)</f>
        <v>10.574865575800068</v>
      </c>
      <c r="U39" s="87">
        <f>IF(U15=0,0,U15/TrRail_act!U8*1000)</f>
        <v>9.9037693481714992</v>
      </c>
      <c r="V39" s="87">
        <f>IF(V15=0,0,V15/TrRail_act!V8*1000)</f>
        <v>15.57880494157488</v>
      </c>
      <c r="W39" s="87">
        <f>IF(W15=0,0,W15/TrRail_act!W8*1000)</f>
        <v>16.243834833208428</v>
      </c>
      <c r="X39" s="87">
        <f>IF(X15=0,0,X15/TrRail_act!X8*1000)</f>
        <v>12.828021688951042</v>
      </c>
      <c r="Y39" s="87">
        <f>IF(Y15=0,0,Y15/TrRail_act!Y8*1000)</f>
        <v>12.901452310922044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73.376325911176039</v>
      </c>
      <c r="G40" s="117">
        <f>IF(G16=0,0,G16/TrRail_act!G9*1000)</f>
        <v>72.582267651026086</v>
      </c>
      <c r="H40" s="117">
        <f>IF(H16=0,0,H16/TrRail_act!H9*1000)</f>
        <v>28.801803112525523</v>
      </c>
      <c r="I40" s="117">
        <f>IF(I16=0,0,I16/TrRail_act!I9*1000)</f>
        <v>17.981236134964711</v>
      </c>
      <c r="J40" s="117">
        <f>IF(J16=0,0,J16/TrRail_act!J9*1000)</f>
        <v>17.455524749212081</v>
      </c>
      <c r="K40" s="117">
        <f>IF(K16=0,0,K16/TrRail_act!K9*1000)</f>
        <v>17.122904627645177</v>
      </c>
      <c r="L40" s="117">
        <f>IF(L16=0,0,L16/TrRail_act!L9*1000)</f>
        <v>16.545807097343598</v>
      </c>
      <c r="M40" s="117">
        <f>IF(M16=0,0,M16/TrRail_act!M9*1000)</f>
        <v>16.24092857719441</v>
      </c>
      <c r="N40" s="117">
        <f>IF(N16=0,0,N16/TrRail_act!N9*1000)</f>
        <v>15.680617451749663</v>
      </c>
      <c r="O40" s="117">
        <f>IF(O16=0,0,O16/TrRail_act!O9*1000)</f>
        <v>15.257897563170104</v>
      </c>
      <c r="P40" s="117">
        <f>IF(P16=0,0,P16/TrRail_act!P9*1000)</f>
        <v>14.134448611870866</v>
      </c>
      <c r="Q40" s="117">
        <f>IF(Q16=0,0,Q16/TrRail_act!Q9*1000)</f>
        <v>12.951884116352799</v>
      </c>
      <c r="R40" s="117">
        <f>IF(R16=0,0,R16/TrRail_act!R9*1000)</f>
        <v>11.919832070561576</v>
      </c>
      <c r="S40" s="117">
        <f>IF(S16=0,0,S16/TrRail_act!S9*1000)</f>
        <v>11.7805384195701</v>
      </c>
      <c r="T40" s="117">
        <f>IF(T16=0,0,T16/TrRail_act!T9*1000)</f>
        <v>11.676295546501306</v>
      </c>
      <c r="U40" s="117">
        <f>IF(U16=0,0,U16/TrRail_act!U9*1000)</f>
        <v>11.594290019111417</v>
      </c>
      <c r="V40" s="117">
        <f>IF(V16=0,0,V16/TrRail_act!V9*1000)</f>
        <v>14.709105620259342</v>
      </c>
      <c r="W40" s="117">
        <f>IF(W16=0,0,W16/TrRail_act!W9*1000)</f>
        <v>14.830175137314209</v>
      </c>
      <c r="X40" s="117">
        <f>IF(X16=0,0,X16/TrRail_act!X9*1000)</f>
        <v>14.036886405895961</v>
      </c>
      <c r="Y40" s="117">
        <f>IF(Y16=0,0,Y16/TrRail_act!Y9*1000)</f>
        <v>13.64734534249162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3.8991998118544458</v>
      </c>
      <c r="C41" s="29">
        <f>IF(C17=0,0,C17/TrRail_act!C10*1000)</f>
        <v>3.8382336376961805</v>
      </c>
      <c r="D41" s="29">
        <f>IF(D17=0,0,D17/TrRail_act!D10*1000)</f>
        <v>3.674483536801703</v>
      </c>
      <c r="E41" s="29">
        <f>IF(E17=0,0,E17/TrRail_act!E10*1000)</f>
        <v>3.5762552240521388</v>
      </c>
      <c r="F41" s="29">
        <f>IF(F17=0,0,F17/TrRail_act!F10*1000)</f>
        <v>4.857723815444241</v>
      </c>
      <c r="G41" s="29">
        <f>IF(G17=0,0,G17/TrRail_act!G10*1000)</f>
        <v>4.6446645308908359</v>
      </c>
      <c r="H41" s="29">
        <f>IF(H17=0,0,H17/TrRail_act!H10*1000)</f>
        <v>4.4845442505355706</v>
      </c>
      <c r="I41" s="29">
        <f>IF(I17=0,0,I17/TrRail_act!I10*1000)</f>
        <v>4.5934694555883153</v>
      </c>
      <c r="J41" s="29">
        <f>IF(J17=0,0,J17/TrRail_act!J10*1000)</f>
        <v>4.2583458576699558</v>
      </c>
      <c r="K41" s="29">
        <f>IF(K17=0,0,K17/TrRail_act!K10*1000)</f>
        <v>4.4038053955938476</v>
      </c>
      <c r="L41" s="29">
        <f>IF(L17=0,0,L17/TrRail_act!L10*1000)</f>
        <v>3.8708362655518305</v>
      </c>
      <c r="M41" s="29">
        <f>IF(M17=0,0,M17/TrRail_act!M10*1000)</f>
        <v>3.8656941011880073</v>
      </c>
      <c r="N41" s="29">
        <f>IF(N17=0,0,N17/TrRail_act!N10*1000)</f>
        <v>3.3840337381601158</v>
      </c>
      <c r="O41" s="29">
        <f>IF(O17=0,0,O17/TrRail_act!O10*1000)</f>
        <v>3.231840985910869</v>
      </c>
      <c r="P41" s="29">
        <f>IF(P17=0,0,P17/TrRail_act!P10*1000)</f>
        <v>3.5422320830406093</v>
      </c>
      <c r="Q41" s="29">
        <f>IF(Q17=0,0,Q17/TrRail_act!Q10*1000)</f>
        <v>3.4543489024816196</v>
      </c>
      <c r="R41" s="29">
        <f>IF(R17=0,0,R17/TrRail_act!R10*1000)</f>
        <v>3.3605395162413356</v>
      </c>
      <c r="S41" s="29">
        <f>IF(S17=0,0,S17/TrRail_act!S10*1000)</f>
        <v>3.2331075196754733</v>
      </c>
      <c r="T41" s="29">
        <f>IF(T17=0,0,T17/TrRail_act!T10*1000)</f>
        <v>3.0487666388430332</v>
      </c>
      <c r="U41" s="29">
        <f>IF(U17=0,0,U17/TrRail_act!U10*1000)</f>
        <v>3.1832510486155408</v>
      </c>
      <c r="V41" s="29">
        <f>IF(V17=0,0,V17/TrRail_act!V10*1000)</f>
        <v>3.5213799797241556</v>
      </c>
      <c r="W41" s="29">
        <f>IF(W17=0,0,W17/TrRail_act!W10*1000)</f>
        <v>3.4300553170760248</v>
      </c>
      <c r="X41" s="29">
        <f>IF(X17=0,0,X17/TrRail_act!X10*1000)</f>
        <v>4.2188265075274138</v>
      </c>
      <c r="Y41" s="29">
        <f>IF(Y17=0,0,Y17/TrRail_act!Y10*1000)</f>
        <v>4.3471453942192744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6.04500277712991</v>
      </c>
      <c r="C42" s="87">
        <f>IF(C18=0,0,C18/TrRail_act!C11*1000)</f>
        <v>6.1445000354437909</v>
      </c>
      <c r="D42" s="87">
        <f>IF(D18=0,0,D18/TrRail_act!D11*1000)</f>
        <v>6.0374351624035736</v>
      </c>
      <c r="E42" s="87">
        <f>IF(E18=0,0,E18/TrRail_act!E11*1000)</f>
        <v>6.0509673948394012</v>
      </c>
      <c r="F42" s="87">
        <f>IF(F18=0,0,F18/TrRail_act!F11*1000)</f>
        <v>6.4307777116299469</v>
      </c>
      <c r="G42" s="87">
        <f>IF(G18=0,0,G18/TrRail_act!G11*1000)</f>
        <v>6.1318470412969797</v>
      </c>
      <c r="H42" s="87">
        <f>IF(H18=0,0,H18/TrRail_act!H11*1000)</f>
        <v>6.3221649316425923</v>
      </c>
      <c r="I42" s="87">
        <f>IF(I18=0,0,I18/TrRail_act!I11*1000)</f>
        <v>6.8556026050894303</v>
      </c>
      <c r="J42" s="87">
        <f>IF(J18=0,0,J18/TrRail_act!J11*1000)</f>
        <v>6.6322807801106016</v>
      </c>
      <c r="K42" s="87">
        <f>IF(K18=0,0,K18/TrRail_act!K11*1000)</f>
        <v>6.6965671346481397</v>
      </c>
      <c r="L42" s="87">
        <f>IF(L18=0,0,L18/TrRail_act!L11*1000)</f>
        <v>6.0478489152102126</v>
      </c>
      <c r="M42" s="87">
        <f>IF(M18=0,0,M18/TrRail_act!M11*1000)</f>
        <v>6.1425756685193802</v>
      </c>
      <c r="N42" s="87">
        <f>IF(N18=0,0,N18/TrRail_act!N11*1000)</f>
        <v>5.6280176853019492</v>
      </c>
      <c r="O42" s="87">
        <f>IF(O18=0,0,O18/TrRail_act!O11*1000)</f>
        <v>5.3979495968269529</v>
      </c>
      <c r="P42" s="87">
        <f>IF(P18=0,0,P18/TrRail_act!P11*1000)</f>
        <v>5.7469283990947373</v>
      </c>
      <c r="Q42" s="87">
        <f>IF(Q18=0,0,Q18/TrRail_act!Q11*1000)</f>
        <v>5.886958967448261</v>
      </c>
      <c r="R42" s="87">
        <f>IF(R18=0,0,R18/TrRail_act!R11*1000)</f>
        <v>5.7580572573412452</v>
      </c>
      <c r="S42" s="87">
        <f>IF(S18=0,0,S18/TrRail_act!S11*1000)</f>
        <v>5.6074332160420823</v>
      </c>
      <c r="T42" s="87">
        <f>IF(T18=0,0,T18/TrRail_act!T11*1000)</f>
        <v>5.3483611413188097</v>
      </c>
      <c r="U42" s="87">
        <f>IF(U18=0,0,U18/TrRail_act!U11*1000)</f>
        <v>5.6633493573913842</v>
      </c>
      <c r="V42" s="87">
        <f>IF(V18=0,0,V18/TrRail_act!V11*1000)</f>
        <v>6.1565816179160455</v>
      </c>
      <c r="W42" s="87">
        <f>IF(W18=0,0,W18/TrRail_act!W11*1000)</f>
        <v>6.0500868176707749</v>
      </c>
      <c r="X42" s="87">
        <f>IF(X18=0,0,X18/TrRail_act!X11*1000)</f>
        <v>8.6818338210084463</v>
      </c>
      <c r="Y42" s="87">
        <f>IF(Y18=0,0,Y18/TrRail_act!Y11*1000)</f>
        <v>7.0760870544692596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3.0193812189333702</v>
      </c>
      <c r="C43" s="88">
        <f>IF(C19=0,0,C19/TrRail_act!C12*1000)</f>
        <v>3.1095668445682465</v>
      </c>
      <c r="D43" s="88">
        <f>IF(D19=0,0,D19/TrRail_act!D12*1000)</f>
        <v>2.9171984626877188</v>
      </c>
      <c r="E43" s="88">
        <f>IF(E19=0,0,E19/TrRail_act!E12*1000)</f>
        <v>2.8734684053427562</v>
      </c>
      <c r="F43" s="88">
        <f>IF(F19=0,0,F19/TrRail_act!F12*1000)</f>
        <v>4.4177792040834927</v>
      </c>
      <c r="G43" s="88">
        <f>IF(G19=0,0,G19/TrRail_act!G12*1000)</f>
        <v>4.2434255083057764</v>
      </c>
      <c r="H43" s="88">
        <f>IF(H19=0,0,H19/TrRail_act!H12*1000)</f>
        <v>3.9238587696236693</v>
      </c>
      <c r="I43" s="88">
        <f>IF(I19=0,0,I19/TrRail_act!I12*1000)</f>
        <v>3.9269796713696326</v>
      </c>
      <c r="J43" s="88">
        <f>IF(J19=0,0,J19/TrRail_act!J12*1000)</f>
        <v>3.5015444660909507</v>
      </c>
      <c r="K43" s="88">
        <f>IF(K19=0,0,K19/TrRail_act!K12*1000)</f>
        <v>3.472737525095055</v>
      </c>
      <c r="L43" s="88">
        <f>IF(L19=0,0,L19/TrRail_act!L12*1000)</f>
        <v>3.0630980025598769</v>
      </c>
      <c r="M43" s="88">
        <f>IF(M19=0,0,M19/TrRail_act!M12*1000)</f>
        <v>3.1138121342034988</v>
      </c>
      <c r="N43" s="88">
        <f>IF(N19=0,0,N19/TrRail_act!N12*1000)</f>
        <v>2.8368046389673025</v>
      </c>
      <c r="O43" s="88">
        <f>IF(O19=0,0,O19/TrRail_act!O12*1000)</f>
        <v>2.6894293060721268</v>
      </c>
      <c r="P43" s="88">
        <f>IF(P19=0,0,P19/TrRail_act!P12*1000)</f>
        <v>2.8094120542497691</v>
      </c>
      <c r="Q43" s="88">
        <f>IF(Q19=0,0,Q19/TrRail_act!Q12*1000)</f>
        <v>2.7169458482301012</v>
      </c>
      <c r="R43" s="88">
        <f>IF(R19=0,0,R19/TrRail_act!R12*1000)</f>
        <v>2.6281116804818376</v>
      </c>
      <c r="S43" s="88">
        <f>IF(S19=0,0,S19/TrRail_act!S12*1000)</f>
        <v>2.5541616731124206</v>
      </c>
      <c r="T43" s="88">
        <f>IF(T19=0,0,T19/TrRail_act!T12*1000)</f>
        <v>2.4206706514920597</v>
      </c>
      <c r="U43" s="88">
        <f>IF(U19=0,0,U19/TrRail_act!U12*1000)</f>
        <v>2.5047138072067456</v>
      </c>
      <c r="V43" s="88">
        <f>IF(V19=0,0,V19/TrRail_act!V12*1000)</f>
        <v>2.7858981007901802</v>
      </c>
      <c r="W43" s="88">
        <f>IF(W19=0,0,W19/TrRail_act!W12*1000)</f>
        <v>2.7333493852569859</v>
      </c>
      <c r="X43" s="88">
        <f>IF(X19=0,0,X19/TrRail_act!X12*1000)</f>
        <v>3.1177083278413291</v>
      </c>
      <c r="Y43" s="88">
        <f>IF(Y19=0,0,Y19/TrRail_act!Y12*1000)</f>
        <v>3.5068725772302649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160405.93937339933</v>
      </c>
      <c r="C45" s="54">
        <f>IF(C10=0,0,1000000*C10/TrRail_act!C25)</f>
        <v>153100.94797722218</v>
      </c>
      <c r="D45" s="54">
        <f>IF(D10=0,0,1000000*D10/TrRail_act!D25)</f>
        <v>146233.33010164482</v>
      </c>
      <c r="E45" s="54">
        <f>IF(E10=0,0,1000000*E10/TrRail_act!E25)</f>
        <v>140885.17186545223</v>
      </c>
      <c r="F45" s="54">
        <f>IF(F10=0,0,1000000*F10/TrRail_act!F25)</f>
        <v>149382.18260317479</v>
      </c>
      <c r="G45" s="54">
        <f>IF(G10=0,0,1000000*G10/TrRail_act!G25)</f>
        <v>152463.86278361946</v>
      </c>
      <c r="H45" s="54">
        <f>IF(H10=0,0,1000000*H10/TrRail_act!H25)</f>
        <v>156170.8532672195</v>
      </c>
      <c r="I45" s="54">
        <f>IF(I10=0,0,1000000*I10/TrRail_act!I25)</f>
        <v>154620.13254347612</v>
      </c>
      <c r="J45" s="54">
        <f>IF(J10=0,0,1000000*J10/TrRail_act!J25)</f>
        <v>140595.48056607271</v>
      </c>
      <c r="K45" s="54">
        <f>IF(K10=0,0,1000000*K10/TrRail_act!K25)</f>
        <v>131469.37899333861</v>
      </c>
      <c r="L45" s="54">
        <f>IF(L10=0,0,1000000*L10/TrRail_act!L25)</f>
        <v>130494.01465872566</v>
      </c>
      <c r="M45" s="54">
        <f>IF(M10=0,0,1000000*M10/TrRail_act!M25)</f>
        <v>131457.70436762215</v>
      </c>
      <c r="N45" s="54">
        <f>IF(N10=0,0,1000000*N10/TrRail_act!N25)</f>
        <v>123538.9154583473</v>
      </c>
      <c r="O45" s="54">
        <f>IF(O10=0,0,1000000*O10/TrRail_act!O25)</f>
        <v>121023.90379288247</v>
      </c>
      <c r="P45" s="54">
        <f>IF(P10=0,0,1000000*P10/TrRail_act!P25)</f>
        <v>122940.66650683191</v>
      </c>
      <c r="Q45" s="54">
        <f>IF(Q10=0,0,1000000*Q10/TrRail_act!Q25)</f>
        <v>121962.99135318921</v>
      </c>
      <c r="R45" s="54">
        <f>IF(R10=0,0,1000000*R10/TrRail_act!R25)</f>
        <v>116307.401475233</v>
      </c>
      <c r="S45" s="54">
        <f>IF(S10=0,0,1000000*S10/TrRail_act!S25)</f>
        <v>115651.2766358643</v>
      </c>
      <c r="T45" s="54">
        <f>IF(T10=0,0,1000000*T10/TrRail_act!T25)</f>
        <v>116180.77258853892</v>
      </c>
      <c r="U45" s="54">
        <f>IF(U10=0,0,1000000*U10/TrRail_act!U25)</f>
        <v>113700.95520851649</v>
      </c>
      <c r="V45" s="54">
        <f>IF(V10=0,0,1000000*V10/TrRail_act!V25)</f>
        <v>109552.36205404329</v>
      </c>
      <c r="W45" s="54">
        <f>IF(W10=0,0,1000000*W10/TrRail_act!W25)</f>
        <v>117131.68009223796</v>
      </c>
      <c r="X45" s="54">
        <f>IF(X10=0,0,1000000*X10/TrRail_act!X25)</f>
        <v>123903.46542587376</v>
      </c>
      <c r="Y45" s="54">
        <f>IF(Y10=0,0,1000000*Y10/TrRail_act!Y25)</f>
        <v>125877.54140323952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119545.21277243379</v>
      </c>
      <c r="C46" s="28">
        <f>IF(C11=0,0,1000000*C11/TrRail_act!C26)</f>
        <v>114893.37745312395</v>
      </c>
      <c r="D46" s="28">
        <f>IF(D11=0,0,1000000*D11/TrRail_act!D26)</f>
        <v>111775.95011803306</v>
      </c>
      <c r="E46" s="28">
        <f>IF(E11=0,0,1000000*E11/TrRail_act!E26)</f>
        <v>108644.09399449297</v>
      </c>
      <c r="F46" s="28">
        <f>IF(F11=0,0,1000000*F11/TrRail_act!F26)</f>
        <v>114404.8295327706</v>
      </c>
      <c r="G46" s="28">
        <f>IF(G11=0,0,1000000*G11/TrRail_act!G26)</f>
        <v>119749.54696638942</v>
      </c>
      <c r="H46" s="28">
        <f>IF(H11=0,0,1000000*H11/TrRail_act!H26)</f>
        <v>123090.59672684403</v>
      </c>
      <c r="I46" s="28">
        <f>IF(I11=0,0,1000000*I11/TrRail_act!I26)</f>
        <v>119563.79011780875</v>
      </c>
      <c r="J46" s="28">
        <f>IF(J11=0,0,1000000*J11/TrRail_act!J26)</f>
        <v>113683.19048928241</v>
      </c>
      <c r="K46" s="28">
        <f>IF(K11=0,0,1000000*K11/TrRail_act!K26)</f>
        <v>108977.15813910788</v>
      </c>
      <c r="L46" s="28">
        <f>IF(L11=0,0,1000000*L11/TrRail_act!L26)</f>
        <v>108559.76053152062</v>
      </c>
      <c r="M46" s="28">
        <f>IF(M11=0,0,1000000*M11/TrRail_act!M26)</f>
        <v>107092.22759454029</v>
      </c>
      <c r="N46" s="28">
        <f>IF(N11=0,0,1000000*N11/TrRail_act!N26)</f>
        <v>103682.41145929488</v>
      </c>
      <c r="O46" s="28">
        <f>IF(O11=0,0,1000000*O11/TrRail_act!O26)</f>
        <v>102389.12270210272</v>
      </c>
      <c r="P46" s="28">
        <f>IF(P11=0,0,1000000*P11/TrRail_act!P26)</f>
        <v>100791.33049394049</v>
      </c>
      <c r="Q46" s="28">
        <f>IF(Q11=0,0,1000000*Q11/TrRail_act!Q26)</f>
        <v>99915.563190229732</v>
      </c>
      <c r="R46" s="28">
        <f>IF(R11=0,0,1000000*R11/TrRail_act!R26)</f>
        <v>95404.713858438437</v>
      </c>
      <c r="S46" s="28">
        <f>IF(S11=0,0,1000000*S11/TrRail_act!S26)</f>
        <v>96138.531389315525</v>
      </c>
      <c r="T46" s="28">
        <f>IF(T11=0,0,1000000*T11/TrRail_act!T26)</f>
        <v>97251.226417020036</v>
      </c>
      <c r="U46" s="28">
        <f>IF(U11=0,0,1000000*U11/TrRail_act!U26)</f>
        <v>94317.910315072426</v>
      </c>
      <c r="V46" s="28">
        <f>IF(V11=0,0,1000000*V11/TrRail_act!V26)</f>
        <v>87637.543541526888</v>
      </c>
      <c r="W46" s="28">
        <f>IF(W11=0,0,1000000*W11/TrRail_act!W26)</f>
        <v>93799.422156206565</v>
      </c>
      <c r="X46" s="28">
        <f>IF(X11=0,0,1000000*X11/TrRail_act!X26)</f>
        <v>94760.730496842094</v>
      </c>
      <c r="Y46" s="28">
        <f>IF(Y11=0,0,1000000*Y11/TrRail_act!Y26)</f>
        <v>97765.165247030061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49299.500274990984</v>
      </c>
      <c r="C47" s="108">
        <f>IF(C12=0,0,1000000*C12/TrRail_act!C27)</f>
        <v>48619.240685803888</v>
      </c>
      <c r="D47" s="108">
        <f>IF(D12=0,0,1000000*D12/TrRail_act!D27)</f>
        <v>48578.342345384204</v>
      </c>
      <c r="E47" s="108">
        <f>IF(E12=0,0,1000000*E12/TrRail_act!E27)</f>
        <v>47862.681874533715</v>
      </c>
      <c r="F47" s="108">
        <f>IF(F12=0,0,1000000*F12/TrRail_act!F27)</f>
        <v>47838.236530297741</v>
      </c>
      <c r="G47" s="108">
        <f>IF(G12=0,0,1000000*G12/TrRail_act!G27)</f>
        <v>47806.456072604837</v>
      </c>
      <c r="H47" s="108">
        <f>IF(H12=0,0,1000000*H12/TrRail_act!H27)</f>
        <v>47788.560992649604</v>
      </c>
      <c r="I47" s="108">
        <f>IF(I12=0,0,1000000*I12/TrRail_act!I27)</f>
        <v>47765.548087991563</v>
      </c>
      <c r="J47" s="108">
        <f>IF(J12=0,0,1000000*J12/TrRail_act!J27)</f>
        <v>46423.037355464214</v>
      </c>
      <c r="K47" s="108">
        <f>IF(K12=0,0,1000000*K12/TrRail_act!K27)</f>
        <v>45946.721450297126</v>
      </c>
      <c r="L47" s="108">
        <f>IF(L12=0,0,1000000*L12/TrRail_act!L27)</f>
        <v>45389.311760872493</v>
      </c>
      <c r="M47" s="108">
        <f>IF(M12=0,0,1000000*M12/TrRail_act!M27)</f>
        <v>44471.221576575437</v>
      </c>
      <c r="N47" s="108">
        <f>IF(N12=0,0,1000000*N12/TrRail_act!N27)</f>
        <v>43815.608097458928</v>
      </c>
      <c r="O47" s="108">
        <f>IF(O12=0,0,1000000*O12/TrRail_act!O27)</f>
        <v>42880.893908493417</v>
      </c>
      <c r="P47" s="108">
        <f>IF(P12=0,0,1000000*P12/TrRail_act!P27)</f>
        <v>40837.878027401675</v>
      </c>
      <c r="Q47" s="108">
        <f>IF(Q12=0,0,1000000*Q12/TrRail_act!Q27)</f>
        <v>38886.411481537034</v>
      </c>
      <c r="R47" s="108">
        <f>IF(R12=0,0,1000000*R12/TrRail_act!R27)</f>
        <v>37484.255742801164</v>
      </c>
      <c r="S47" s="108">
        <f>IF(S12=0,0,1000000*S12/TrRail_act!S27)</f>
        <v>36465.918820247236</v>
      </c>
      <c r="T47" s="108">
        <f>IF(T12=0,0,1000000*T12/TrRail_act!T27)</f>
        <v>35720.362906354712</v>
      </c>
      <c r="U47" s="108">
        <f>IF(U12=0,0,1000000*U12/TrRail_act!U27)</f>
        <v>35171.216387877124</v>
      </c>
      <c r="V47" s="108">
        <f>IF(V12=0,0,1000000*V12/TrRail_act!V27)</f>
        <v>32127.32880097903</v>
      </c>
      <c r="W47" s="108">
        <f>IF(W12=0,0,1000000*W12/TrRail_act!W27)</f>
        <v>34463.252861254288</v>
      </c>
      <c r="X47" s="108">
        <f>IF(X12=0,0,1000000*X12/TrRail_act!X27)</f>
        <v>28107.491202419926</v>
      </c>
      <c r="Y47" s="108">
        <f>IF(Y12=0,0,1000000*Y12/TrRail_act!Y27)</f>
        <v>24916.719934570327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349926.10380275676</v>
      </c>
      <c r="C48" s="110">
        <f>IF(C13=0,0,1000000*C13/TrRail_act!C28)</f>
        <v>345895.36267098447</v>
      </c>
      <c r="D48" s="110">
        <f>IF(D13=0,0,1000000*D13/TrRail_act!D28)</f>
        <v>342075.64031549043</v>
      </c>
      <c r="E48" s="110">
        <f>IF(E13=0,0,1000000*E13/TrRail_act!E28)</f>
        <v>334111.90197892365</v>
      </c>
      <c r="F48" s="110">
        <f>IF(F13=0,0,1000000*F13/TrRail_act!F28)</f>
        <v>295037.01356817601</v>
      </c>
      <c r="G48" s="110">
        <f>IF(G13=0,0,1000000*G13/TrRail_act!G28)</f>
        <v>285698.44332757196</v>
      </c>
      <c r="H48" s="110">
        <f>IF(H13=0,0,1000000*H13/TrRail_act!H28)</f>
        <v>281512.87143246084</v>
      </c>
      <c r="I48" s="110">
        <f>IF(I13=0,0,1000000*I13/TrRail_act!I28)</f>
        <v>272368.7486686146</v>
      </c>
      <c r="J48" s="110">
        <f>IF(J13=0,0,1000000*J13/TrRail_act!J28)</f>
        <v>277832.44378598046</v>
      </c>
      <c r="K48" s="110">
        <f>IF(K13=0,0,1000000*K13/TrRail_act!K28)</f>
        <v>260879.19998104457</v>
      </c>
      <c r="L48" s="110">
        <f>IF(L13=0,0,1000000*L13/TrRail_act!L28)</f>
        <v>262577.7933626037</v>
      </c>
      <c r="M48" s="110">
        <f>IF(M13=0,0,1000000*M13/TrRail_act!M28)</f>
        <v>250150.22455317134</v>
      </c>
      <c r="N48" s="110">
        <f>IF(N13=0,0,1000000*N13/TrRail_act!N28)</f>
        <v>248288.1474687297</v>
      </c>
      <c r="O48" s="110">
        <f>IF(O13=0,0,1000000*O13/TrRail_act!O28)</f>
        <v>242179.26499162088</v>
      </c>
      <c r="P48" s="110">
        <f>IF(P13=0,0,1000000*P13/TrRail_act!P28)</f>
        <v>234895.49196552136</v>
      </c>
      <c r="Q48" s="110">
        <f>IF(Q13=0,0,1000000*Q13/TrRail_act!Q28)</f>
        <v>226968.0925539693</v>
      </c>
      <c r="R48" s="110">
        <f>IF(R13=0,0,1000000*R13/TrRail_act!R28)</f>
        <v>222832.06956186504</v>
      </c>
      <c r="S48" s="110">
        <f>IF(S13=0,0,1000000*S13/TrRail_act!S28)</f>
        <v>220769.4368271085</v>
      </c>
      <c r="T48" s="110">
        <f>IF(T13=0,0,1000000*T13/TrRail_act!T28)</f>
        <v>215798.69756900429</v>
      </c>
      <c r="U48" s="110">
        <f>IF(U13=0,0,1000000*U13/TrRail_act!U28)</f>
        <v>211512.91236393206</v>
      </c>
      <c r="V48" s="110">
        <f>IF(V13=0,0,1000000*V13/TrRail_act!V28)</f>
        <v>197030.95862382112</v>
      </c>
      <c r="W48" s="110">
        <f>IF(W13=0,0,1000000*W13/TrRail_act!W28)</f>
        <v>203686.81870913162</v>
      </c>
      <c r="X48" s="110">
        <f>IF(X13=0,0,1000000*X13/TrRail_act!X28)</f>
        <v>199054.15312719348</v>
      </c>
      <c r="Y48" s="110">
        <f>IF(Y13=0,0,1000000*Y13/TrRail_act!Y28)</f>
        <v>195598.22742668504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404536.26536549674</v>
      </c>
      <c r="C49" s="84">
        <f>IF(C14=0,0,1000000*C14/TrRail_act!C29)</f>
        <v>397971.55906322546</v>
      </c>
      <c r="D49" s="84">
        <f>IF(D14=0,0,1000000*D14/TrRail_act!D29)</f>
        <v>389121.57209256326</v>
      </c>
      <c r="E49" s="84">
        <f>IF(E14=0,0,1000000*E14/TrRail_act!E29)</f>
        <v>382900.1861868932</v>
      </c>
      <c r="F49" s="84">
        <f>IF(F14=0,0,1000000*F14/TrRail_act!F29)</f>
        <v>369206.86535408004</v>
      </c>
      <c r="G49" s="84">
        <f>IF(G14=0,0,1000000*G14/TrRail_act!G29)</f>
        <v>364295.2067424726</v>
      </c>
      <c r="H49" s="84">
        <f>IF(H14=0,0,1000000*H14/TrRail_act!H29)</f>
        <v>353530.20574111637</v>
      </c>
      <c r="I49" s="84">
        <f>IF(I14=0,0,1000000*I14/TrRail_act!I29)</f>
        <v>349423.46096056543</v>
      </c>
      <c r="J49" s="84">
        <f>IF(J14=0,0,1000000*J14/TrRail_act!J29)</f>
        <v>344144.67546584591</v>
      </c>
      <c r="K49" s="84">
        <f>IF(K14=0,0,1000000*K14/TrRail_act!K29)</f>
        <v>325734.76908935135</v>
      </c>
      <c r="L49" s="84">
        <f>IF(L14=0,0,1000000*L14/TrRail_act!L29)</f>
        <v>330808.67494938982</v>
      </c>
      <c r="M49" s="84">
        <f>IF(M14=0,0,1000000*M14/TrRail_act!M29)</f>
        <v>324001.05101472361</v>
      </c>
      <c r="N49" s="84">
        <f>IF(N14=0,0,1000000*N14/TrRail_act!N29)</f>
        <v>317434.38768132817</v>
      </c>
      <c r="O49" s="84">
        <f>IF(O14=0,0,1000000*O14/TrRail_act!O29)</f>
        <v>310049.69928024249</v>
      </c>
      <c r="P49" s="84">
        <f>IF(P14=0,0,1000000*P14/TrRail_act!P29)</f>
        <v>300905.43536049989</v>
      </c>
      <c r="Q49" s="84">
        <f>IF(Q14=0,0,1000000*Q14/TrRail_act!Q29)</f>
        <v>288963.86766859359</v>
      </c>
      <c r="R49" s="84">
        <f>IF(R14=0,0,1000000*R14/TrRail_act!R29)</f>
        <v>282281.97337930987</v>
      </c>
      <c r="S49" s="84">
        <f>IF(S14=0,0,1000000*S14/TrRail_act!S29)</f>
        <v>282087.47202097741</v>
      </c>
      <c r="T49" s="84">
        <f>IF(T14=0,0,1000000*T14/TrRail_act!T29)</f>
        <v>279122.26746846625</v>
      </c>
      <c r="U49" s="84">
        <f>IF(U14=0,0,1000000*U14/TrRail_act!U29)</f>
        <v>273318.89214663184</v>
      </c>
      <c r="V49" s="84">
        <f>IF(V14=0,0,1000000*V14/TrRail_act!V29)</f>
        <v>250438.88006357147</v>
      </c>
      <c r="W49" s="84">
        <f>IF(W14=0,0,1000000*W14/TrRail_act!W29)</f>
        <v>264954.77759012702</v>
      </c>
      <c r="X49" s="84">
        <f>IF(X14=0,0,1000000*X14/TrRail_act!X29)</f>
        <v>262321.05255084828</v>
      </c>
      <c r="Y49" s="84">
        <f>IF(Y14=0,0,1000000*Y14/TrRail_act!Y29)</f>
        <v>260362.95340517667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236998.6092265172</v>
      </c>
      <c r="C50" s="84">
        <f>IF(C15=0,0,1000000*C15/TrRail_act!C30)</f>
        <v>235081.86657102584</v>
      </c>
      <c r="D50" s="84">
        <f>IF(D15=0,0,1000000*D15/TrRail_act!D30)</f>
        <v>231347.09542882509</v>
      </c>
      <c r="E50" s="84">
        <f>IF(E15=0,0,1000000*E15/TrRail_act!E30)</f>
        <v>228253.63372994357</v>
      </c>
      <c r="F50" s="84">
        <f>IF(F15=0,0,1000000*F15/TrRail_act!F30)</f>
        <v>224363.51854190233</v>
      </c>
      <c r="G50" s="84">
        <f>IF(G15=0,0,1000000*G15/TrRail_act!G30)</f>
        <v>215232.60131958078</v>
      </c>
      <c r="H50" s="84">
        <f>IF(H15=0,0,1000000*H15/TrRail_act!H30)</f>
        <v>211123.10351815177</v>
      </c>
      <c r="I50" s="84">
        <f>IF(I15=0,0,1000000*I15/TrRail_act!I30)</f>
        <v>196363.81914717265</v>
      </c>
      <c r="J50" s="84">
        <f>IF(J15=0,0,1000000*J15/TrRail_act!J30)</f>
        <v>198756.13449747057</v>
      </c>
      <c r="K50" s="84">
        <f>IF(K15=0,0,1000000*K15/TrRail_act!K30)</f>
        <v>197618.45218020672</v>
      </c>
      <c r="L50" s="84">
        <f>IF(L15=0,0,1000000*L15/TrRail_act!L30)</f>
        <v>195749.79722592505</v>
      </c>
      <c r="M50" s="84">
        <f>IF(M15=0,0,1000000*M15/TrRail_act!M30)</f>
        <v>180955.00609798473</v>
      </c>
      <c r="N50" s="84">
        <f>IF(N15=0,0,1000000*N15/TrRail_act!N30)</f>
        <v>178656.76993961693</v>
      </c>
      <c r="O50" s="84">
        <f>IF(O15=0,0,1000000*O15/TrRail_act!O30)</f>
        <v>177750.7933367519</v>
      </c>
      <c r="P50" s="84">
        <f>IF(P15=0,0,1000000*P15/TrRail_act!P30)</f>
        <v>176180.79395956275</v>
      </c>
      <c r="Q50" s="84">
        <f>IF(Q15=0,0,1000000*Q15/TrRail_act!Q30)</f>
        <v>173287.40227171057</v>
      </c>
      <c r="R50" s="84">
        <f>IF(R15=0,0,1000000*R15/TrRail_act!R30)</f>
        <v>171148.58450509078</v>
      </c>
      <c r="S50" s="84">
        <f>IF(S15=0,0,1000000*S15/TrRail_act!S30)</f>
        <v>169561.81286300858</v>
      </c>
      <c r="T50" s="84">
        <f>IF(T15=0,0,1000000*T15/TrRail_act!T30)</f>
        <v>168381.39619892009</v>
      </c>
      <c r="U50" s="84">
        <f>IF(U15=0,0,1000000*U15/TrRail_act!U30)</f>
        <v>167501.48009387462</v>
      </c>
      <c r="V50" s="84">
        <f>IF(V15=0,0,1000000*V15/TrRail_act!V30)</f>
        <v>161035.66290386388</v>
      </c>
      <c r="W50" s="84">
        <f>IF(W15=0,0,1000000*W15/TrRail_act!W30)</f>
        <v>166353.56401337241</v>
      </c>
      <c r="X50" s="84">
        <f>IF(X15=0,0,1000000*X15/TrRail_act!X30)</f>
        <v>165986.26393049641</v>
      </c>
      <c r="Y50" s="84">
        <f>IF(Y15=0,0,1000000*Y15/TrRail_act!Y30)</f>
        <v>165711.32143764471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1026500.7402027928</v>
      </c>
      <c r="G51" s="113">
        <f>IF(G16=0,0,1000000*G16/TrRail_act!G31)</f>
        <v>1015399.3362062364</v>
      </c>
      <c r="H51" s="113">
        <f>IF(H16=0,0,1000000*H16/TrRail_act!H31)</f>
        <v>1004819.1386105296</v>
      </c>
      <c r="I51" s="113">
        <f>IF(I16=0,0,1000000*I16/TrRail_act!I31)</f>
        <v>995514.11302132066</v>
      </c>
      <c r="J51" s="113">
        <f>IF(J16=0,0,1000000*J16/TrRail_act!J31)</f>
        <v>743165.27592681046</v>
      </c>
      <c r="K51" s="113">
        <f>IF(K16=0,0,1000000*K16/TrRail_act!K31)</f>
        <v>677138.14416607877</v>
      </c>
      <c r="L51" s="113">
        <f>IF(L16=0,0,1000000*L16/TrRail_act!L31)</f>
        <v>754552.09023366566</v>
      </c>
      <c r="M51" s="113">
        <f>IF(M16=0,0,1000000*M16/TrRail_act!M31)</f>
        <v>778910.74582622456</v>
      </c>
      <c r="N51" s="113">
        <f>IF(N16=0,0,1000000*N16/TrRail_act!N31)</f>
        <v>715096.13310261478</v>
      </c>
      <c r="O51" s="113">
        <f>IF(O16=0,0,1000000*O16/TrRail_act!O31)</f>
        <v>631628.59177068807</v>
      </c>
      <c r="P51" s="113">
        <f>IF(P16=0,0,1000000*P16/TrRail_act!P31)</f>
        <v>585121.3665060323</v>
      </c>
      <c r="Q51" s="113">
        <f>IF(Q16=0,0,1000000*Q16/TrRail_act!Q31)</f>
        <v>905941.4712678889</v>
      </c>
      <c r="R51" s="113">
        <f>IF(R16=0,0,1000000*R16/TrRail_act!R31)</f>
        <v>891857.83915447816</v>
      </c>
      <c r="S51" s="113">
        <f>IF(S16=0,0,1000000*S16/TrRail_act!S31)</f>
        <v>881438.96906991047</v>
      </c>
      <c r="T51" s="113">
        <f>IF(T16=0,0,1000000*T16/TrRail_act!T31)</f>
        <v>873704.72236293775</v>
      </c>
      <c r="U51" s="113">
        <f>IF(U16=0,0,1000000*U16/TrRail_act!U31)</f>
        <v>867948.68247120618</v>
      </c>
      <c r="V51" s="113">
        <f>IF(V16=0,0,1000000*V16/TrRail_act!V31)</f>
        <v>671770.7275598679</v>
      </c>
      <c r="W51" s="113">
        <f>IF(W16=0,0,1000000*W16/TrRail_act!W31)</f>
        <v>690492.18482747546</v>
      </c>
      <c r="X51" s="113">
        <f>IF(X16=0,0,1000000*X16/TrRail_act!X31)</f>
        <v>695438.875853559</v>
      </c>
      <c r="Y51" s="113">
        <f>IF(Y16=0,0,1000000*Y16/TrRail_act!Y31)</f>
        <v>719468.94390459626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548893.81734846532</v>
      </c>
      <c r="C52" s="28">
        <f>IF(C17=0,0,1000000*C17/TrRail_act!C32)</f>
        <v>518063.6443800758</v>
      </c>
      <c r="D52" s="28">
        <f>IF(D17=0,0,1000000*D17/TrRail_act!D32)</f>
        <v>515104.75849075872</v>
      </c>
      <c r="E52" s="28">
        <f>IF(E17=0,0,1000000*E17/TrRail_act!E32)</f>
        <v>510662.29825953004</v>
      </c>
      <c r="F52" s="28">
        <f>IF(F17=0,0,1000000*F17/TrRail_act!F32)</f>
        <v>477218.72289442213</v>
      </c>
      <c r="G52" s="28">
        <f>IF(G17=0,0,1000000*G17/TrRail_act!G32)</f>
        <v>456048.59546694538</v>
      </c>
      <c r="H52" s="28">
        <f>IF(H17=0,0,1000000*H17/TrRail_act!H32)</f>
        <v>450803.34216756863</v>
      </c>
      <c r="I52" s="28">
        <f>IF(I17=0,0,1000000*I17/TrRail_act!I32)</f>
        <v>438699.59641092096</v>
      </c>
      <c r="J52" s="28">
        <f>IF(J17=0,0,1000000*J17/TrRail_act!J32)</f>
        <v>407087.87403519475</v>
      </c>
      <c r="K52" s="28">
        <f>IF(K17=0,0,1000000*K17/TrRail_act!K32)</f>
        <v>367907.56191283459</v>
      </c>
      <c r="L52" s="28">
        <f>IF(L17=0,0,1000000*L17/TrRail_act!L32)</f>
        <v>376341.12625662185</v>
      </c>
      <c r="M52" s="28">
        <f>IF(M17=0,0,1000000*M17/TrRail_act!M32)</f>
        <v>417524.59177525784</v>
      </c>
      <c r="N52" s="28">
        <f>IF(N17=0,0,1000000*N17/TrRail_act!N32)</f>
        <v>384901.59944146848</v>
      </c>
      <c r="O52" s="28">
        <f>IF(O17=0,0,1000000*O17/TrRail_act!O32)</f>
        <v>388152.8169014164</v>
      </c>
      <c r="P52" s="28">
        <f>IF(P17=0,0,1000000*P17/TrRail_act!P32)</f>
        <v>401971.46065408911</v>
      </c>
      <c r="Q52" s="28">
        <f>IF(Q17=0,0,1000000*Q17/TrRail_act!Q32)</f>
        <v>387393.66543570877</v>
      </c>
      <c r="R52" s="28">
        <f>IF(R17=0,0,1000000*R17/TrRail_act!R32)</f>
        <v>382055.63714575017</v>
      </c>
      <c r="S52" s="28">
        <f>IF(S17=0,0,1000000*S17/TrRail_act!S32)</f>
        <v>375776.29810800898</v>
      </c>
      <c r="T52" s="28">
        <f>IF(T17=0,0,1000000*T17/TrRail_act!T32)</f>
        <v>371727.84876602615</v>
      </c>
      <c r="U52" s="28">
        <f>IF(U17=0,0,1000000*U17/TrRail_act!U32)</f>
        <v>372238.01080784178</v>
      </c>
      <c r="V52" s="28">
        <f>IF(V17=0,0,1000000*V17/TrRail_act!V32)</f>
        <v>371221.03503490915</v>
      </c>
      <c r="W52" s="28">
        <f>IF(W17=0,0,1000000*W17/TrRail_act!W32)</f>
        <v>367590.40391759574</v>
      </c>
      <c r="X52" s="28">
        <f>IF(X17=0,0,1000000*X17/TrRail_act!X32)</f>
        <v>377412.37517071905</v>
      </c>
      <c r="Y52" s="28">
        <f>IF(Y17=0,0,1000000*Y17/TrRail_act!Y32)</f>
        <v>369258.64213781763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775424.74166601396</v>
      </c>
      <c r="C53" s="84">
        <f>IF(C18=0,0,1000000*C18/TrRail_act!C33)</f>
        <v>698451.78121703106</v>
      </c>
      <c r="D53" s="84">
        <f>IF(D18=0,0,1000000*D18/TrRail_act!D33)</f>
        <v>730116.30452084693</v>
      </c>
      <c r="E53" s="84">
        <f>IF(E18=0,0,1000000*E18/TrRail_act!E33)</f>
        <v>756902.73336208332</v>
      </c>
      <c r="F53" s="84">
        <f>IF(F18=0,0,1000000*F18/TrRail_act!F33)</f>
        <v>749989.45327831712</v>
      </c>
      <c r="G53" s="84">
        <f>IF(G18=0,0,1000000*G18/TrRail_act!G33)</f>
        <v>736752.28676364024</v>
      </c>
      <c r="H53" s="84">
        <f>IF(H18=0,0,1000000*H18/TrRail_act!H33)</f>
        <v>725003.037440983</v>
      </c>
      <c r="I53" s="84">
        <f>IF(I18=0,0,1000000*I18/TrRail_act!I33)</f>
        <v>720499.95194752759</v>
      </c>
      <c r="J53" s="84">
        <f>IF(J18=0,0,1000000*J18/TrRail_act!J33)</f>
        <v>716685.1853990223</v>
      </c>
      <c r="K53" s="84">
        <f>IF(K18=0,0,1000000*K18/TrRail_act!K33)</f>
        <v>714495.76674108789</v>
      </c>
      <c r="L53" s="84">
        <f>IF(L18=0,0,1000000*L18/TrRail_act!L33)</f>
        <v>712981.06493591052</v>
      </c>
      <c r="M53" s="84">
        <f>IF(M18=0,0,1000000*M18/TrRail_act!M33)</f>
        <v>704477.51323479915</v>
      </c>
      <c r="N53" s="84">
        <f>IF(N18=0,0,1000000*N18/TrRail_act!N33)</f>
        <v>582578.89221548755</v>
      </c>
      <c r="O53" s="84">
        <f>IF(O18=0,0,1000000*O18/TrRail_act!O33)</f>
        <v>654780.44473743683</v>
      </c>
      <c r="P53" s="84">
        <f>IF(P18=0,0,1000000*P18/TrRail_act!P33)</f>
        <v>693446.52811157971</v>
      </c>
      <c r="Q53" s="84">
        <f>IF(Q18=0,0,1000000*Q18/TrRail_act!Q33)</f>
        <v>692108.63469260384</v>
      </c>
      <c r="R53" s="84">
        <f>IF(R18=0,0,1000000*R18/TrRail_act!R33)</f>
        <v>691106.9041389192</v>
      </c>
      <c r="S53" s="84">
        <f>IF(S18=0,0,1000000*S18/TrRail_act!S33)</f>
        <v>690356.55136785284</v>
      </c>
      <c r="T53" s="84">
        <f>IF(T18=0,0,1000000*T18/TrRail_act!T33)</f>
        <v>689794.34453619854</v>
      </c>
      <c r="U53" s="84">
        <f>IF(U18=0,0,1000000*U18/TrRail_act!U33)</f>
        <v>689372.96576924867</v>
      </c>
      <c r="V53" s="84">
        <f>IF(V18=0,0,1000000*V18/TrRail_act!V33)</f>
        <v>689057.10881781369</v>
      </c>
      <c r="W53" s="84">
        <f>IF(W18=0,0,1000000*W18/TrRail_act!W33)</f>
        <v>688820.31128055661</v>
      </c>
      <c r="X53" s="84">
        <f>IF(X18=0,0,1000000*X18/TrRail_act!X33)</f>
        <v>688642.77235551225</v>
      </c>
      <c r="Y53" s="84">
        <f>IF(Y18=0,0,1000000*Y18/TrRail_act!Y33)</f>
        <v>679442.04627431463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442723.66710576898</v>
      </c>
      <c r="C54" s="86">
        <f>IF(C19=0,0,1000000*C19/TrRail_act!C34)</f>
        <v>446128.99165208533</v>
      </c>
      <c r="D54" s="86">
        <f>IF(D19=0,0,1000000*D19/TrRail_act!D34)</f>
        <v>430932.32591080677</v>
      </c>
      <c r="E54" s="86">
        <f>IF(E19=0,0,1000000*E19/TrRail_act!E34)</f>
        <v>427492.58854260243</v>
      </c>
      <c r="F54" s="86">
        <f>IF(F19=0,0,1000000*F19/TrRail_act!F34)</f>
        <v>415671.71124454518</v>
      </c>
      <c r="G54" s="86">
        <f>IF(G19=0,0,1000000*G19/TrRail_act!G34)</f>
        <v>397068.47400718997</v>
      </c>
      <c r="H54" s="86">
        <f>IF(H19=0,0,1000000*H19/TrRail_act!H34)</f>
        <v>380127.31707647728</v>
      </c>
      <c r="I54" s="86">
        <f>IF(I19=0,0,1000000*I19/TrRail_act!I34)</f>
        <v>365225.95997917862</v>
      </c>
      <c r="J54" s="86">
        <f>IF(J19=0,0,1000000*J19/TrRail_act!J34)</f>
        <v>322868.6859687072</v>
      </c>
      <c r="K54" s="86">
        <f>IF(K19=0,0,1000000*K19/TrRail_act!K34)</f>
        <v>266627.87474571919</v>
      </c>
      <c r="L54" s="86">
        <f>IF(L19=0,0,1000000*L19/TrRail_act!L34)</f>
        <v>279622.60218347737</v>
      </c>
      <c r="M54" s="86">
        <f>IF(M19=0,0,1000000*M19/TrRail_act!M34)</f>
        <v>329968.98334597907</v>
      </c>
      <c r="N54" s="86">
        <f>IF(N19=0,0,1000000*N19/TrRail_act!N34)</f>
        <v>330624.93978984287</v>
      </c>
      <c r="O54" s="86">
        <f>IF(O19=0,0,1000000*O19/TrRail_act!O34)</f>
        <v>322210.19360330683</v>
      </c>
      <c r="P54" s="86">
        <f>IF(P19=0,0,1000000*P19/TrRail_act!P34)</f>
        <v>312624.41057127656</v>
      </c>
      <c r="Q54" s="86">
        <f>IF(Q19=0,0,1000000*Q19/TrRail_act!Q34)</f>
        <v>300497.15356666822</v>
      </c>
      <c r="R54" s="86">
        <f>IF(R19=0,0,1000000*R19/TrRail_act!R34)</f>
        <v>294045.13957878051</v>
      </c>
      <c r="S54" s="86">
        <f>IF(S19=0,0,1000000*S19/TrRail_act!S34)</f>
        <v>292190.17459135083</v>
      </c>
      <c r="T54" s="86">
        <f>IF(T19=0,0,1000000*T19/TrRail_act!T34)</f>
        <v>290806.63576616888</v>
      </c>
      <c r="U54" s="86">
        <f>IF(U19=0,0,1000000*U19/TrRail_act!U34)</f>
        <v>289773.28123513883</v>
      </c>
      <c r="V54" s="86">
        <f>IF(V19=0,0,1000000*V19/TrRail_act!V34)</f>
        <v>289000.67622204678</v>
      </c>
      <c r="W54" s="86">
        <f>IF(W19=0,0,1000000*W19/TrRail_act!W34)</f>
        <v>288422.57550656243</v>
      </c>
      <c r="X54" s="86">
        <f>IF(X19=0,0,1000000*X19/TrRail_act!X34)</f>
        <v>287989.75801088009</v>
      </c>
      <c r="Y54" s="86">
        <f>IF(Y19=0,0,1000000*Y19/TrRail_act!Y34)</f>
        <v>287665.5725144514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0.67434037123057755</v>
      </c>
      <c r="C57" s="31">
        <f t="shared" ref="C57:V57" si="18">IF(C11=0,0,C11/C$10)</f>
        <v>0.67932421706496959</v>
      </c>
      <c r="D57" s="31">
        <f t="shared" si="18"/>
        <v>0.69906534664077757</v>
      </c>
      <c r="E57" s="31">
        <f t="shared" si="18"/>
        <v>0.7093084935476055</v>
      </c>
      <c r="F57" s="31">
        <f t="shared" si="18"/>
        <v>0.69202057400304695</v>
      </c>
      <c r="G57" s="31">
        <f t="shared" si="18"/>
        <v>0.70902451068599881</v>
      </c>
      <c r="H57" s="31">
        <f t="shared" si="18"/>
        <v>0.70861802639971283</v>
      </c>
      <c r="I57" s="31">
        <f t="shared" si="18"/>
        <v>0.68833196543302333</v>
      </c>
      <c r="J57" s="31">
        <f t="shared" si="18"/>
        <v>0.73441691043933033</v>
      </c>
      <c r="K57" s="31">
        <f t="shared" si="18"/>
        <v>0.75691207107139491</v>
      </c>
      <c r="L57" s="31">
        <f t="shared" si="18"/>
        <v>0.7637707851676292</v>
      </c>
      <c r="M57" s="31">
        <f t="shared" si="18"/>
        <v>0.75071052808884553</v>
      </c>
      <c r="N57" s="31">
        <f t="shared" si="18"/>
        <v>0.78000957986806674</v>
      </c>
      <c r="O57" s="31">
        <f t="shared" si="18"/>
        <v>0.79085435372646418</v>
      </c>
      <c r="P57" s="31">
        <f t="shared" si="18"/>
        <v>0.7595448674275902</v>
      </c>
      <c r="Q57" s="31">
        <f t="shared" si="18"/>
        <v>0.75639981471543261</v>
      </c>
      <c r="R57" s="31">
        <f t="shared" si="18"/>
        <v>0.76046551601254542</v>
      </c>
      <c r="S57" s="31">
        <f t="shared" si="18"/>
        <v>0.77327390812337948</v>
      </c>
      <c r="T57" s="31">
        <f t="shared" si="18"/>
        <v>0.77933895044288803</v>
      </c>
      <c r="U57" s="31">
        <f t="shared" si="18"/>
        <v>0.77167227526360405</v>
      </c>
      <c r="V57" s="31">
        <f t="shared" si="18"/>
        <v>0.73814084347832476</v>
      </c>
      <c r="W57" s="31">
        <f t="shared" ref="W57:Y57" si="19">IF(W11=0,0,W11/W$10)</f>
        <v>0.73255934787500843</v>
      </c>
      <c r="X57" s="31">
        <f t="shared" si="19"/>
        <v>0.68594083444563692</v>
      </c>
      <c r="Y57" s="31">
        <f t="shared" si="19"/>
        <v>0.69624700246265758</v>
      </c>
      <c r="DA57" s="173"/>
    </row>
    <row r="58" spans="1:105" ht="11.45" customHeight="1" x14ac:dyDescent="0.25">
      <c r="A58" s="107" t="s">
        <v>23</v>
      </c>
      <c r="B58" s="123">
        <f t="shared" si="15"/>
        <v>0.21311230766773478</v>
      </c>
      <c r="C58" s="123">
        <f t="shared" ref="C58:V58" si="20">IF(C12=0,0,C12/C$10)</f>
        <v>0.22338085960463172</v>
      </c>
      <c r="D58" s="123">
        <f t="shared" si="20"/>
        <v>0.23839730506132281</v>
      </c>
      <c r="E58" s="123">
        <f t="shared" si="20"/>
        <v>0.2461309896098263</v>
      </c>
      <c r="F58" s="123">
        <f t="shared" si="20"/>
        <v>0.21148809372869387</v>
      </c>
      <c r="G58" s="123">
        <f t="shared" si="20"/>
        <v>0.19772018977751871</v>
      </c>
      <c r="H58" s="123">
        <f t="shared" si="20"/>
        <v>0.18905974785235322</v>
      </c>
      <c r="I58" s="123">
        <f t="shared" si="20"/>
        <v>0.19088629589470124</v>
      </c>
      <c r="J58" s="123">
        <f t="shared" si="20"/>
        <v>0.21497567326211811</v>
      </c>
      <c r="K58" s="123">
        <f t="shared" si="20"/>
        <v>0.227823278179833</v>
      </c>
      <c r="L58" s="123">
        <f t="shared" si="20"/>
        <v>0.22916316404030382</v>
      </c>
      <c r="M58" s="123">
        <f t="shared" si="20"/>
        <v>0.21988856385551486</v>
      </c>
      <c r="N58" s="123">
        <f t="shared" si="20"/>
        <v>0.23582569570243653</v>
      </c>
      <c r="O58" s="123">
        <f t="shared" si="20"/>
        <v>0.23462357885384014</v>
      </c>
      <c r="P58" s="123">
        <f t="shared" si="20"/>
        <v>0.21470923777068532</v>
      </c>
      <c r="Q58" s="123">
        <f t="shared" si="20"/>
        <v>0.20412086581879588</v>
      </c>
      <c r="R58" s="123">
        <f t="shared" si="20"/>
        <v>0.21117600508961976</v>
      </c>
      <c r="S58" s="123">
        <f t="shared" si="20"/>
        <v>0.20428898265880818</v>
      </c>
      <c r="T58" s="123">
        <f t="shared" si="20"/>
        <v>0.19449295882101003</v>
      </c>
      <c r="U58" s="123">
        <f t="shared" si="20"/>
        <v>0.19807125817496513</v>
      </c>
      <c r="V58" s="123">
        <f t="shared" si="20"/>
        <v>0.18481574660467204</v>
      </c>
      <c r="W58" s="123">
        <f t="shared" ref="W58:Y58" si="21">IF(W12=0,0,W12/W$10)</f>
        <v>0.18034983248201103</v>
      </c>
      <c r="X58" s="123">
        <f t="shared" si="21"/>
        <v>0.12849844314317185</v>
      </c>
      <c r="Y58" s="123">
        <f t="shared" si="21"/>
        <v>0.10589327953265115</v>
      </c>
      <c r="DA58" s="203"/>
    </row>
    <row r="59" spans="1:105" ht="11.45" customHeight="1" x14ac:dyDescent="0.25">
      <c r="A59" s="109" t="s">
        <v>24</v>
      </c>
      <c r="B59" s="124">
        <f t="shared" si="15"/>
        <v>0.46122806356284279</v>
      </c>
      <c r="C59" s="124">
        <f t="shared" ref="C59:V59" si="22">IF(C13=0,0,C13/C$10)</f>
        <v>0.45594335746033793</v>
      </c>
      <c r="D59" s="124">
        <f t="shared" si="22"/>
        <v>0.46066804157945479</v>
      </c>
      <c r="E59" s="124">
        <f t="shared" si="22"/>
        <v>0.46317750393777918</v>
      </c>
      <c r="F59" s="124">
        <f t="shared" si="22"/>
        <v>0.48022423384733853</v>
      </c>
      <c r="G59" s="124">
        <f t="shared" si="22"/>
        <v>0.50946909424710074</v>
      </c>
      <c r="H59" s="124">
        <f t="shared" si="22"/>
        <v>0.50200548344176499</v>
      </c>
      <c r="I59" s="124">
        <f t="shared" si="22"/>
        <v>0.47282653934373675</v>
      </c>
      <c r="J59" s="124">
        <f t="shared" si="22"/>
        <v>0.50159897102017748</v>
      </c>
      <c r="K59" s="124">
        <f t="shared" si="22"/>
        <v>0.51172374140335175</v>
      </c>
      <c r="L59" s="124">
        <f t="shared" si="22"/>
        <v>0.51473513911600854</v>
      </c>
      <c r="M59" s="124">
        <f t="shared" si="22"/>
        <v>0.50997175201217926</v>
      </c>
      <c r="N59" s="124">
        <f t="shared" si="22"/>
        <v>0.52482105230078824</v>
      </c>
      <c r="O59" s="124">
        <f t="shared" si="22"/>
        <v>0.53883724585709281</v>
      </c>
      <c r="P59" s="124">
        <f t="shared" si="22"/>
        <v>0.5286413194426699</v>
      </c>
      <c r="Q59" s="124">
        <f t="shared" si="22"/>
        <v>0.51834421640382544</v>
      </c>
      <c r="R59" s="124">
        <f t="shared" si="22"/>
        <v>0.51132031741628592</v>
      </c>
      <c r="S59" s="124">
        <f t="shared" si="22"/>
        <v>0.52888575282726469</v>
      </c>
      <c r="T59" s="124">
        <f t="shared" si="22"/>
        <v>0.54433602775745127</v>
      </c>
      <c r="U59" s="124">
        <f t="shared" si="22"/>
        <v>0.52831863041539195</v>
      </c>
      <c r="V59" s="124">
        <f t="shared" si="22"/>
        <v>0.51477693730613516</v>
      </c>
      <c r="W59" s="124">
        <f t="shared" ref="W59:Y59" si="23">IF(W13=0,0,W13/W$10)</f>
        <v>0.51340061893654987</v>
      </c>
      <c r="X59" s="124">
        <f t="shared" si="23"/>
        <v>0.52021957968677657</v>
      </c>
      <c r="Y59" s="124">
        <f t="shared" si="23"/>
        <v>0.55101100147497695</v>
      </c>
      <c r="DA59" s="176"/>
    </row>
    <row r="60" spans="1:105" ht="11.45" customHeight="1" x14ac:dyDescent="0.25">
      <c r="A60" s="111" t="s">
        <v>92</v>
      </c>
      <c r="B60" s="125">
        <f t="shared" si="15"/>
        <v>0.35940498899761941</v>
      </c>
      <c r="C60" s="125">
        <f t="shared" ref="C60:V60" si="24">IF(C14=0,0,C14/C$10)</f>
        <v>0.35687591838304306</v>
      </c>
      <c r="D60" s="125">
        <f t="shared" si="24"/>
        <v>0.36776812727205022</v>
      </c>
      <c r="E60" s="125">
        <f t="shared" si="24"/>
        <v>0.36335039041298833</v>
      </c>
      <c r="F60" s="125">
        <f t="shared" si="24"/>
        <v>0.29322119197512098</v>
      </c>
      <c r="G60" s="125">
        <f t="shared" si="24"/>
        <v>0.30709543770574677</v>
      </c>
      <c r="H60" s="125">
        <f t="shared" si="24"/>
        <v>0.31161231615516366</v>
      </c>
      <c r="I60" s="125">
        <f t="shared" si="24"/>
        <v>0.30121576523138327</v>
      </c>
      <c r="J60" s="125">
        <f t="shared" si="24"/>
        <v>0.33793326606708901</v>
      </c>
      <c r="K60" s="125">
        <f t="shared" si="24"/>
        <v>0.31549327526007992</v>
      </c>
      <c r="L60" s="125">
        <f t="shared" si="24"/>
        <v>0.32087657591822427</v>
      </c>
      <c r="M60" s="125">
        <f t="shared" si="24"/>
        <v>0.31951545718285729</v>
      </c>
      <c r="N60" s="125">
        <f t="shared" si="24"/>
        <v>0.33666253600129886</v>
      </c>
      <c r="O60" s="125">
        <f t="shared" si="24"/>
        <v>0.33594914635835998</v>
      </c>
      <c r="P60" s="125">
        <f t="shared" si="24"/>
        <v>0.31879464919228395</v>
      </c>
      <c r="Q60" s="125">
        <f t="shared" si="24"/>
        <v>0.30624575165493045</v>
      </c>
      <c r="R60" s="125">
        <f t="shared" si="24"/>
        <v>0.30123521044900303</v>
      </c>
      <c r="S60" s="125">
        <f t="shared" si="24"/>
        <v>0.3075316203811902</v>
      </c>
      <c r="T60" s="125">
        <f t="shared" si="24"/>
        <v>0.30146829350056509</v>
      </c>
      <c r="U60" s="125">
        <f t="shared" si="24"/>
        <v>0.28394685217606874</v>
      </c>
      <c r="V60" s="125">
        <f t="shared" si="24"/>
        <v>0.26343832910076587</v>
      </c>
      <c r="W60" s="125">
        <f t="shared" ref="W60:Y60" si="25">IF(W14=0,0,W14/W$10)</f>
        <v>0.25285922973331137</v>
      </c>
      <c r="X60" s="125">
        <f t="shared" si="25"/>
        <v>0.23532708855702913</v>
      </c>
      <c r="Y60" s="125">
        <f t="shared" si="25"/>
        <v>0.23159404901001407</v>
      </c>
      <c r="DA60" s="171"/>
    </row>
    <row r="61" spans="1:105" ht="11.45" customHeight="1" x14ac:dyDescent="0.25">
      <c r="A61" s="111" t="s">
        <v>93</v>
      </c>
      <c r="B61" s="125">
        <f t="shared" si="15"/>
        <v>0.10182307456522334</v>
      </c>
      <c r="C61" s="125">
        <f t="shared" ref="C61:V61" si="26">IF(C15=0,0,C15/C$10)</f>
        <v>9.90674390772949E-2</v>
      </c>
      <c r="D61" s="125">
        <f t="shared" si="26"/>
        <v>9.2899914307404532E-2</v>
      </c>
      <c r="E61" s="125">
        <f t="shared" si="26"/>
        <v>9.9827113524790914E-2</v>
      </c>
      <c r="F61" s="125">
        <f t="shared" si="26"/>
        <v>0.18700304187221756</v>
      </c>
      <c r="G61" s="125">
        <f t="shared" si="26"/>
        <v>0.20237365654135395</v>
      </c>
      <c r="H61" s="125">
        <f t="shared" si="26"/>
        <v>0.19039316728660127</v>
      </c>
      <c r="I61" s="125">
        <f t="shared" si="26"/>
        <v>0.17161077411235351</v>
      </c>
      <c r="J61" s="125">
        <f t="shared" si="26"/>
        <v>0.16366570495308846</v>
      </c>
      <c r="K61" s="125">
        <f t="shared" si="26"/>
        <v>0.19623046614327189</v>
      </c>
      <c r="L61" s="125">
        <f t="shared" si="26"/>
        <v>0.19385856319778427</v>
      </c>
      <c r="M61" s="125">
        <f t="shared" si="26"/>
        <v>0.19045629482932197</v>
      </c>
      <c r="N61" s="125">
        <f t="shared" si="26"/>
        <v>0.18815851629948946</v>
      </c>
      <c r="O61" s="125">
        <f t="shared" si="26"/>
        <v>0.20288809949873285</v>
      </c>
      <c r="P61" s="125">
        <f t="shared" si="26"/>
        <v>0.20984667025038597</v>
      </c>
      <c r="Q61" s="125">
        <f t="shared" si="26"/>
        <v>0.21209846474889507</v>
      </c>
      <c r="R61" s="125">
        <f t="shared" si="26"/>
        <v>0.21008510696728286</v>
      </c>
      <c r="S61" s="125">
        <f t="shared" si="26"/>
        <v>0.22135413244607452</v>
      </c>
      <c r="T61" s="125">
        <f t="shared" si="26"/>
        <v>0.24286773425688621</v>
      </c>
      <c r="U61" s="125">
        <f t="shared" si="26"/>
        <v>0.24437177823932316</v>
      </c>
      <c r="V61" s="125">
        <f t="shared" si="26"/>
        <v>0.25133860820536941</v>
      </c>
      <c r="W61" s="125">
        <f t="shared" ref="W61:Y61" si="27">IF(W15=0,0,W15/W$10)</f>
        <v>0.26054138920323849</v>
      </c>
      <c r="X61" s="125">
        <f t="shared" si="27"/>
        <v>0.28489249112974746</v>
      </c>
      <c r="Y61" s="125">
        <f t="shared" si="27"/>
        <v>0.31941695246496288</v>
      </c>
      <c r="DA61" s="171"/>
    </row>
    <row r="62" spans="1:105" ht="11.45" customHeight="1" x14ac:dyDescent="0.25">
      <c r="A62" s="112" t="s">
        <v>25</v>
      </c>
      <c r="B62" s="126">
        <f t="shared" si="15"/>
        <v>0</v>
      </c>
      <c r="C62" s="126">
        <f t="shared" ref="C62:V62" si="28">IF(C16=0,0,C16/C$10)</f>
        <v>0</v>
      </c>
      <c r="D62" s="126">
        <f t="shared" si="28"/>
        <v>0</v>
      </c>
      <c r="E62" s="126">
        <f t="shared" si="28"/>
        <v>0</v>
      </c>
      <c r="F62" s="126">
        <f t="shared" si="28"/>
        <v>3.0824642701454436E-4</v>
      </c>
      <c r="G62" s="126">
        <f t="shared" si="28"/>
        <v>1.8352266613794739E-3</v>
      </c>
      <c r="H62" s="126">
        <f t="shared" si="28"/>
        <v>1.7552795105594543E-2</v>
      </c>
      <c r="I62" s="126">
        <f t="shared" si="28"/>
        <v>2.4619130194585243E-2</v>
      </c>
      <c r="J62" s="126">
        <f t="shared" si="28"/>
        <v>1.7842266157034759E-2</v>
      </c>
      <c r="K62" s="126">
        <f t="shared" si="28"/>
        <v>1.736505148821018E-2</v>
      </c>
      <c r="L62" s="126">
        <f t="shared" si="28"/>
        <v>1.9872482011316805E-2</v>
      </c>
      <c r="M62" s="126">
        <f t="shared" si="28"/>
        <v>2.0850212221151382E-2</v>
      </c>
      <c r="N62" s="126">
        <f t="shared" si="28"/>
        <v>1.9362831864841969E-2</v>
      </c>
      <c r="O62" s="126">
        <f t="shared" si="28"/>
        <v>1.7393529015531102E-2</v>
      </c>
      <c r="P62" s="126">
        <f t="shared" si="28"/>
        <v>1.6194310214234949E-2</v>
      </c>
      <c r="Q62" s="126">
        <f t="shared" si="28"/>
        <v>3.3934732492811273E-2</v>
      </c>
      <c r="R62" s="126">
        <f t="shared" si="28"/>
        <v>3.7969193506639763E-2</v>
      </c>
      <c r="S62" s="126">
        <f t="shared" si="28"/>
        <v>4.0099172637306703E-2</v>
      </c>
      <c r="T62" s="126">
        <f t="shared" si="28"/>
        <v>4.0509963864426589E-2</v>
      </c>
      <c r="U62" s="126">
        <f t="shared" si="28"/>
        <v>4.528238667324691E-2</v>
      </c>
      <c r="V62" s="126">
        <f t="shared" si="28"/>
        <v>3.8548159567517504E-2</v>
      </c>
      <c r="W62" s="126">
        <f t="shared" ref="W62:Y62" si="29">IF(W16=0,0,W16/W$10)</f>
        <v>3.8808896456447674E-2</v>
      </c>
      <c r="X62" s="126">
        <f t="shared" si="29"/>
        <v>3.7222811615688557E-2</v>
      </c>
      <c r="Y62" s="126">
        <f t="shared" si="29"/>
        <v>3.9342721455029546E-2</v>
      </c>
      <c r="DA62" s="204"/>
    </row>
    <row r="63" spans="1:105" ht="11.45" customHeight="1" x14ac:dyDescent="0.25">
      <c r="A63" s="27" t="s">
        <v>34</v>
      </c>
      <c r="B63" s="31">
        <f t="shared" si="15"/>
        <v>0.32565962876942239</v>
      </c>
      <c r="C63" s="31">
        <f t="shared" ref="C63:V63" si="30">IF(C17=0,0,C17/C$10)</f>
        <v>0.32067578293503041</v>
      </c>
      <c r="D63" s="31">
        <f t="shared" si="30"/>
        <v>0.30093465335922243</v>
      </c>
      <c r="E63" s="31">
        <f t="shared" si="30"/>
        <v>0.29069150645239455</v>
      </c>
      <c r="F63" s="31">
        <f t="shared" si="30"/>
        <v>0.30797942599695305</v>
      </c>
      <c r="G63" s="31">
        <f t="shared" si="30"/>
        <v>0.29097548931400113</v>
      </c>
      <c r="H63" s="31">
        <f t="shared" si="30"/>
        <v>0.29138197360028717</v>
      </c>
      <c r="I63" s="31">
        <f t="shared" si="30"/>
        <v>0.31166803456697667</v>
      </c>
      <c r="J63" s="31">
        <f t="shared" si="30"/>
        <v>0.26558308956066967</v>
      </c>
      <c r="K63" s="31">
        <f t="shared" si="30"/>
        <v>0.24308792892860503</v>
      </c>
      <c r="L63" s="31">
        <f t="shared" si="30"/>
        <v>0.23622921483237069</v>
      </c>
      <c r="M63" s="31">
        <f t="shared" si="30"/>
        <v>0.24928947191115447</v>
      </c>
      <c r="N63" s="31">
        <f t="shared" si="30"/>
        <v>0.21999042013193326</v>
      </c>
      <c r="O63" s="31">
        <f t="shared" si="30"/>
        <v>0.20914564627353577</v>
      </c>
      <c r="P63" s="31">
        <f t="shared" si="30"/>
        <v>0.24045513257240989</v>
      </c>
      <c r="Q63" s="31">
        <f t="shared" si="30"/>
        <v>0.24360018528456737</v>
      </c>
      <c r="R63" s="31">
        <f t="shared" si="30"/>
        <v>0.23953448398745464</v>
      </c>
      <c r="S63" s="31">
        <f t="shared" si="30"/>
        <v>0.22672609187662049</v>
      </c>
      <c r="T63" s="31">
        <f t="shared" si="30"/>
        <v>0.22066104955711194</v>
      </c>
      <c r="U63" s="31">
        <f t="shared" si="30"/>
        <v>0.22832772473639595</v>
      </c>
      <c r="V63" s="31">
        <f t="shared" si="30"/>
        <v>0.26185915652167518</v>
      </c>
      <c r="W63" s="31">
        <f t="shared" ref="W63:Y63" si="31">IF(W17=0,0,W17/W$10)</f>
        <v>0.26744065212499152</v>
      </c>
      <c r="X63" s="31">
        <f t="shared" si="31"/>
        <v>0.31405916555436303</v>
      </c>
      <c r="Y63" s="31">
        <f t="shared" si="31"/>
        <v>0.30375299753734236</v>
      </c>
      <c r="DA63" s="173"/>
    </row>
    <row r="64" spans="1:105" ht="11.45" customHeight="1" x14ac:dyDescent="0.25">
      <c r="A64" s="83" t="s">
        <v>92</v>
      </c>
      <c r="B64" s="125">
        <f t="shared" si="15"/>
        <v>0.14681264629792762</v>
      </c>
      <c r="C64" s="125">
        <f t="shared" ref="C64:V64" si="32">IF(C18=0,0,C18/C$10)</f>
        <v>0.12325403637593579</v>
      </c>
      <c r="D64" s="125">
        <f t="shared" si="32"/>
        <v>0.12000524585164135</v>
      </c>
      <c r="E64" s="125">
        <f t="shared" si="32"/>
        <v>0.10878445401880554</v>
      </c>
      <c r="F64" s="125">
        <f t="shared" si="32"/>
        <v>8.9105996898388259E-2</v>
      </c>
      <c r="G64" s="125">
        <f t="shared" si="32"/>
        <v>8.1620187512795594E-2</v>
      </c>
      <c r="H64" s="125">
        <f t="shared" si="32"/>
        <v>9.6033968303499945E-2</v>
      </c>
      <c r="I64" s="125">
        <f t="shared" si="32"/>
        <v>0.10585883315737672</v>
      </c>
      <c r="J64" s="125">
        <f t="shared" si="32"/>
        <v>9.9990288757249995E-2</v>
      </c>
      <c r="K64" s="125">
        <f t="shared" si="32"/>
        <v>0.10675709849606083</v>
      </c>
      <c r="L64" s="125">
        <f t="shared" si="32"/>
        <v>9.9883166274131435E-2</v>
      </c>
      <c r="M64" s="125">
        <f t="shared" si="32"/>
        <v>9.8335712576079606E-2</v>
      </c>
      <c r="N64" s="125">
        <f t="shared" si="32"/>
        <v>7.1729984199549929E-2</v>
      </c>
      <c r="O64" s="125">
        <f t="shared" si="32"/>
        <v>6.9955941899200638E-2</v>
      </c>
      <c r="P64" s="125">
        <f t="shared" si="32"/>
        <v>9.7321739876037233E-2</v>
      </c>
      <c r="Q64" s="125">
        <f t="shared" si="32"/>
        <v>9.6570903522347235E-2</v>
      </c>
      <c r="R64" s="125">
        <f t="shared" si="32"/>
        <v>9.6042415013191898E-2</v>
      </c>
      <c r="S64" s="125">
        <f t="shared" si="32"/>
        <v>8.7441010960585791E-2</v>
      </c>
      <c r="T64" s="125">
        <f t="shared" si="32"/>
        <v>8.3046833467984568E-2</v>
      </c>
      <c r="U64" s="125">
        <f t="shared" si="32"/>
        <v>8.7264033090429127E-2</v>
      </c>
      <c r="V64" s="125">
        <f t="shared" si="32"/>
        <v>9.989609568953392E-2</v>
      </c>
      <c r="W64" s="125">
        <f t="shared" ref="W64:Y64" si="33">IF(W18=0,0,W18/W$10)</f>
        <v>9.9089199795037955E-2</v>
      </c>
      <c r="X64" s="125">
        <f t="shared" si="33"/>
        <v>0.12789933652781166</v>
      </c>
      <c r="Y64" s="125">
        <f t="shared" si="33"/>
        <v>0.11640114227773087</v>
      </c>
      <c r="DA64" s="171"/>
    </row>
    <row r="65" spans="1:105" ht="11.45" customHeight="1" x14ac:dyDescent="0.25">
      <c r="A65" s="85" t="s">
        <v>93</v>
      </c>
      <c r="B65" s="127">
        <f t="shared" si="15"/>
        <v>0.17884698247149478</v>
      </c>
      <c r="C65" s="127">
        <f t="shared" ref="C65:V65" si="34">IF(C19=0,0,C19/C$10)</f>
        <v>0.19742174655909461</v>
      </c>
      <c r="D65" s="127">
        <f t="shared" si="34"/>
        <v>0.18092940750758105</v>
      </c>
      <c r="E65" s="127">
        <f t="shared" si="34"/>
        <v>0.18190705243358901</v>
      </c>
      <c r="F65" s="127">
        <f t="shared" si="34"/>
        <v>0.21887342909856478</v>
      </c>
      <c r="G65" s="127">
        <f t="shared" si="34"/>
        <v>0.20935530180120554</v>
      </c>
      <c r="H65" s="127">
        <f t="shared" si="34"/>
        <v>0.19534800529678722</v>
      </c>
      <c r="I65" s="127">
        <f t="shared" si="34"/>
        <v>0.20580920140959996</v>
      </c>
      <c r="J65" s="127">
        <f t="shared" si="34"/>
        <v>0.16559280080341962</v>
      </c>
      <c r="K65" s="127">
        <f t="shared" si="34"/>
        <v>0.13633083043254424</v>
      </c>
      <c r="L65" s="127">
        <f t="shared" si="34"/>
        <v>0.13634604855823926</v>
      </c>
      <c r="M65" s="127">
        <f t="shared" si="34"/>
        <v>0.15095375933507488</v>
      </c>
      <c r="N65" s="127">
        <f t="shared" si="34"/>
        <v>0.14826043593238333</v>
      </c>
      <c r="O65" s="127">
        <f t="shared" si="34"/>
        <v>0.13918970437433512</v>
      </c>
      <c r="P65" s="127">
        <f t="shared" si="34"/>
        <v>0.14313339269637265</v>
      </c>
      <c r="Q65" s="127">
        <f t="shared" si="34"/>
        <v>0.14702928176222013</v>
      </c>
      <c r="R65" s="127">
        <f t="shared" si="34"/>
        <v>0.14349206897426273</v>
      </c>
      <c r="S65" s="127">
        <f t="shared" si="34"/>
        <v>0.1392850809160347</v>
      </c>
      <c r="T65" s="127">
        <f t="shared" si="34"/>
        <v>0.13761421608912736</v>
      </c>
      <c r="U65" s="127">
        <f t="shared" si="34"/>
        <v>0.14106369164596683</v>
      </c>
      <c r="V65" s="127">
        <f t="shared" si="34"/>
        <v>0.16196306083214129</v>
      </c>
      <c r="W65" s="127">
        <f t="shared" ref="W65:Y65" si="35">IF(W19=0,0,W19/W$10)</f>
        <v>0.16835145232995358</v>
      </c>
      <c r="X65" s="127">
        <f t="shared" si="35"/>
        <v>0.18615982902655137</v>
      </c>
      <c r="Y65" s="127">
        <f t="shared" si="35"/>
        <v>0.18735185525961148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328.99404095999995</v>
      </c>
      <c r="C4" s="26">
        <f t="shared" ref="C4:W4" si="0">SUM(C5:C6)</f>
        <v>301.30835436000001</v>
      </c>
      <c r="D4" s="26">
        <f t="shared" si="0"/>
        <v>292.12887599999999</v>
      </c>
      <c r="E4" s="26">
        <f t="shared" si="0"/>
        <v>285.83840843999997</v>
      </c>
      <c r="F4" s="26">
        <f t="shared" si="0"/>
        <v>282.35372255999994</v>
      </c>
      <c r="G4" s="26">
        <f t="shared" si="0"/>
        <v>286.48570877395707</v>
      </c>
      <c r="H4" s="26">
        <f t="shared" si="0"/>
        <v>307.90088205416703</v>
      </c>
      <c r="I4" s="26">
        <f t="shared" si="0"/>
        <v>304.17100312498917</v>
      </c>
      <c r="J4" s="26">
        <f t="shared" si="0"/>
        <v>337.02702552040648</v>
      </c>
      <c r="K4" s="26">
        <f t="shared" si="0"/>
        <v>303.87566818261644</v>
      </c>
      <c r="L4" s="26">
        <f t="shared" si="0"/>
        <v>294.88535801771712</v>
      </c>
      <c r="M4" s="26">
        <f t="shared" si="0"/>
        <v>288.1344391231894</v>
      </c>
      <c r="N4" s="26">
        <f t="shared" si="0"/>
        <v>278.41427554070549</v>
      </c>
      <c r="O4" s="26">
        <f t="shared" si="0"/>
        <v>272.10806128484472</v>
      </c>
      <c r="P4" s="26">
        <f t="shared" si="0"/>
        <v>278.03047593715229</v>
      </c>
      <c r="Q4" s="26">
        <f t="shared" si="0"/>
        <v>271.28099544976607</v>
      </c>
      <c r="R4" s="26">
        <f t="shared" si="0"/>
        <v>248.95309586296298</v>
      </c>
      <c r="S4" s="26">
        <f t="shared" si="0"/>
        <v>258.44716371632256</v>
      </c>
      <c r="T4" s="26">
        <f t="shared" si="0"/>
        <v>257.0386712420364</v>
      </c>
      <c r="U4" s="26">
        <f t="shared" si="0"/>
        <v>246.30445557650216</v>
      </c>
      <c r="V4" s="26">
        <f t="shared" si="0"/>
        <v>217.61551300852625</v>
      </c>
      <c r="W4" s="26">
        <f t="shared" si="0"/>
        <v>212.37023397938543</v>
      </c>
      <c r="X4" s="26">
        <f t="shared" ref="X4:Y4" si="1">SUM(X5:X6)</f>
        <v>231.55141261956743</v>
      </c>
      <c r="Y4" s="26">
        <f t="shared" si="1"/>
        <v>221.57201257766394</v>
      </c>
      <c r="DA4" s="202" t="s">
        <v>1137</v>
      </c>
    </row>
    <row r="5" spans="1:105" ht="11.45" customHeight="1" x14ac:dyDescent="0.25">
      <c r="A5" s="107" t="s">
        <v>92</v>
      </c>
      <c r="B5" s="129">
        <v>328.99404095999995</v>
      </c>
      <c r="C5" s="129">
        <v>301.30835436000001</v>
      </c>
      <c r="D5" s="129">
        <v>292.12887599999999</v>
      </c>
      <c r="E5" s="129">
        <v>285.83840843999997</v>
      </c>
      <c r="F5" s="129">
        <v>282.35372255999994</v>
      </c>
      <c r="G5" s="129">
        <v>286.48570877395707</v>
      </c>
      <c r="H5" s="129">
        <v>307.90088205416703</v>
      </c>
      <c r="I5" s="129">
        <v>304.17100312498917</v>
      </c>
      <c r="J5" s="129">
        <v>337.02702552040648</v>
      </c>
      <c r="K5" s="129">
        <v>303.87566818261644</v>
      </c>
      <c r="L5" s="129">
        <v>294.88535801771712</v>
      </c>
      <c r="M5" s="129">
        <v>288.1344391231894</v>
      </c>
      <c r="N5" s="129">
        <v>278.41427554070549</v>
      </c>
      <c r="O5" s="129">
        <v>272.10806128484472</v>
      </c>
      <c r="P5" s="129">
        <v>278.03047593715229</v>
      </c>
      <c r="Q5" s="129">
        <v>271.28099544976607</v>
      </c>
      <c r="R5" s="129">
        <v>248.95309586296298</v>
      </c>
      <c r="S5" s="129">
        <v>258.44716371632256</v>
      </c>
      <c r="T5" s="129">
        <v>257.0386712420364</v>
      </c>
      <c r="U5" s="129">
        <v>246.30445557650216</v>
      </c>
      <c r="V5" s="129">
        <v>217.61551300852625</v>
      </c>
      <c r="W5" s="129">
        <v>212.37023397938543</v>
      </c>
      <c r="X5" s="129">
        <v>231.55141261956743</v>
      </c>
      <c r="Y5" s="129">
        <v>221.57201257766394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328.99404095999995</v>
      </c>
      <c r="C8" s="79">
        <f t="shared" si="2"/>
        <v>301.30835436000001</v>
      </c>
      <c r="D8" s="79">
        <f t="shared" si="2"/>
        <v>292.12887599999999</v>
      </c>
      <c r="E8" s="79">
        <f t="shared" si="2"/>
        <v>285.83840843999997</v>
      </c>
      <c r="F8" s="79">
        <f t="shared" si="2"/>
        <v>282.35372255999994</v>
      </c>
      <c r="G8" s="79">
        <f t="shared" si="2"/>
        <v>286.48570877395707</v>
      </c>
      <c r="H8" s="79">
        <f t="shared" si="2"/>
        <v>307.90088205416703</v>
      </c>
      <c r="I8" s="79">
        <f t="shared" si="2"/>
        <v>304.17100312498911</v>
      </c>
      <c r="J8" s="79">
        <f t="shared" si="2"/>
        <v>337.02702552040643</v>
      </c>
      <c r="K8" s="79">
        <f t="shared" si="2"/>
        <v>303.87566818261644</v>
      </c>
      <c r="L8" s="79">
        <f t="shared" si="2"/>
        <v>294.88535801771712</v>
      </c>
      <c r="M8" s="79">
        <f t="shared" si="2"/>
        <v>288.1344391231894</v>
      </c>
      <c r="N8" s="79">
        <f t="shared" si="2"/>
        <v>278.41427554070549</v>
      </c>
      <c r="O8" s="79">
        <f t="shared" si="2"/>
        <v>272.10806128484472</v>
      </c>
      <c r="P8" s="79">
        <f t="shared" si="2"/>
        <v>278.03047593715229</v>
      </c>
      <c r="Q8" s="79">
        <f t="shared" si="2"/>
        <v>271.28099544976607</v>
      </c>
      <c r="R8" s="79">
        <f t="shared" si="2"/>
        <v>248.95309586296301</v>
      </c>
      <c r="S8" s="79">
        <f t="shared" si="2"/>
        <v>258.44716371632251</v>
      </c>
      <c r="T8" s="79">
        <f t="shared" si="2"/>
        <v>257.0386712420364</v>
      </c>
      <c r="U8" s="79">
        <f t="shared" si="2"/>
        <v>246.30445557650216</v>
      </c>
      <c r="V8" s="79">
        <f t="shared" si="2"/>
        <v>217.61551300852628</v>
      </c>
      <c r="W8" s="79">
        <f t="shared" si="2"/>
        <v>212.3702339793854</v>
      </c>
      <c r="X8" s="79">
        <f t="shared" ref="X8:Y8" si="3">SUM(X9,X15)</f>
        <v>231.55141261956743</v>
      </c>
      <c r="Y8" s="79">
        <f t="shared" si="3"/>
        <v>221.57201257766388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233.57957413411208</v>
      </c>
      <c r="C9" s="32">
        <f t="shared" si="4"/>
        <v>223.95956472386183</v>
      </c>
      <c r="D9" s="32">
        <f t="shared" si="4"/>
        <v>220.25738912436489</v>
      </c>
      <c r="E9" s="32">
        <f t="shared" si="4"/>
        <v>219.97846277729047</v>
      </c>
      <c r="F9" s="32">
        <f t="shared" si="4"/>
        <v>216.54775673055016</v>
      </c>
      <c r="G9" s="32">
        <f t="shared" si="4"/>
        <v>226.33114910911158</v>
      </c>
      <c r="H9" s="32">
        <f t="shared" si="4"/>
        <v>235.36509631267347</v>
      </c>
      <c r="I9" s="32">
        <f t="shared" si="4"/>
        <v>225.07201832326584</v>
      </c>
      <c r="J9" s="32">
        <f t="shared" si="4"/>
        <v>260.07425778380889</v>
      </c>
      <c r="K9" s="32">
        <f t="shared" si="4"/>
        <v>227.04711655778536</v>
      </c>
      <c r="L9" s="32">
        <f t="shared" si="4"/>
        <v>224.88321595626223</v>
      </c>
      <c r="M9" s="32">
        <f t="shared" si="4"/>
        <v>220.32583299858763</v>
      </c>
      <c r="N9" s="32">
        <f t="shared" si="4"/>
        <v>229.51364539291944</v>
      </c>
      <c r="O9" s="32">
        <f t="shared" si="4"/>
        <v>225.21144363646479</v>
      </c>
      <c r="P9" s="32">
        <f t="shared" si="4"/>
        <v>213.0044150378213</v>
      </c>
      <c r="Q9" s="32">
        <f t="shared" si="4"/>
        <v>206.24433298233129</v>
      </c>
      <c r="R9" s="32">
        <f t="shared" si="4"/>
        <v>188.76834087236278</v>
      </c>
      <c r="S9" s="32">
        <f t="shared" si="4"/>
        <v>201.23084166767885</v>
      </c>
      <c r="T9" s="32">
        <f t="shared" si="4"/>
        <v>201.52395614159408</v>
      </c>
      <c r="U9" s="32">
        <f t="shared" si="4"/>
        <v>188.40335133943893</v>
      </c>
      <c r="V9" s="32">
        <f t="shared" si="4"/>
        <v>157.78374748404153</v>
      </c>
      <c r="W9" s="32">
        <f t="shared" si="4"/>
        <v>152.5785293438424</v>
      </c>
      <c r="X9" s="32">
        <f t="shared" ref="X9:Y9" si="5">SUM(X10,X11,X14)</f>
        <v>150.0174987827566</v>
      </c>
      <c r="Y9" s="32">
        <f t="shared" si="5"/>
        <v>147.4582431736207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233.57957413411208</v>
      </c>
      <c r="C11" s="130">
        <f t="shared" si="6"/>
        <v>223.95956472386183</v>
      </c>
      <c r="D11" s="130">
        <f t="shared" si="6"/>
        <v>220.25738912436489</v>
      </c>
      <c r="E11" s="130">
        <f t="shared" si="6"/>
        <v>219.97846277729047</v>
      </c>
      <c r="F11" s="130">
        <f t="shared" si="6"/>
        <v>216.54775673055016</v>
      </c>
      <c r="G11" s="130">
        <f t="shared" si="6"/>
        <v>226.33114910911158</v>
      </c>
      <c r="H11" s="130">
        <f t="shared" si="6"/>
        <v>235.36509631267347</v>
      </c>
      <c r="I11" s="130">
        <f t="shared" si="6"/>
        <v>225.07201832326584</v>
      </c>
      <c r="J11" s="130">
        <f t="shared" si="6"/>
        <v>260.07425778380889</v>
      </c>
      <c r="K11" s="130">
        <f t="shared" si="6"/>
        <v>227.04711655778536</v>
      </c>
      <c r="L11" s="130">
        <f t="shared" si="6"/>
        <v>224.88321595626223</v>
      </c>
      <c r="M11" s="130">
        <f t="shared" si="6"/>
        <v>220.32583299858763</v>
      </c>
      <c r="N11" s="130">
        <f t="shared" si="6"/>
        <v>229.51364539291944</v>
      </c>
      <c r="O11" s="130">
        <f t="shared" si="6"/>
        <v>225.21144363646479</v>
      </c>
      <c r="P11" s="130">
        <f t="shared" si="6"/>
        <v>213.0044150378213</v>
      </c>
      <c r="Q11" s="130">
        <f t="shared" si="6"/>
        <v>206.24433298233129</v>
      </c>
      <c r="R11" s="130">
        <f t="shared" si="6"/>
        <v>188.76834087236278</v>
      </c>
      <c r="S11" s="130">
        <f t="shared" si="6"/>
        <v>201.23084166767885</v>
      </c>
      <c r="T11" s="130">
        <f t="shared" si="6"/>
        <v>201.52395614159408</v>
      </c>
      <c r="U11" s="130">
        <f t="shared" si="6"/>
        <v>188.40335133943893</v>
      </c>
      <c r="V11" s="130">
        <f t="shared" si="6"/>
        <v>157.78374748404153</v>
      </c>
      <c r="W11" s="130">
        <f t="shared" si="6"/>
        <v>152.5785293438424</v>
      </c>
      <c r="X11" s="130">
        <f t="shared" ref="X11:Y11" si="7">SUM(X12:X13)</f>
        <v>150.0174987827566</v>
      </c>
      <c r="Y11" s="130">
        <f t="shared" si="7"/>
        <v>147.4582431736207</v>
      </c>
      <c r="DA11" s="176" t="s">
        <v>409</v>
      </c>
    </row>
    <row r="12" spans="1:105" ht="11.45" customHeight="1" x14ac:dyDescent="0.25">
      <c r="A12" s="111" t="s">
        <v>92</v>
      </c>
      <c r="B12" s="96">
        <v>233.57957413411208</v>
      </c>
      <c r="C12" s="96">
        <v>223.95956472386183</v>
      </c>
      <c r="D12" s="96">
        <v>220.25738912436489</v>
      </c>
      <c r="E12" s="96">
        <v>219.97846277729047</v>
      </c>
      <c r="F12" s="96">
        <v>216.54775673055016</v>
      </c>
      <c r="G12" s="96">
        <v>226.33114910911158</v>
      </c>
      <c r="H12" s="96">
        <v>235.36509631267347</v>
      </c>
      <c r="I12" s="96">
        <v>225.07201832326584</v>
      </c>
      <c r="J12" s="96">
        <v>260.07425778380889</v>
      </c>
      <c r="K12" s="96">
        <v>227.04711655778536</v>
      </c>
      <c r="L12" s="96">
        <v>224.88321595626223</v>
      </c>
      <c r="M12" s="96">
        <v>220.32583299858763</v>
      </c>
      <c r="N12" s="96">
        <v>229.51364539291944</v>
      </c>
      <c r="O12" s="96">
        <v>225.21144363646479</v>
      </c>
      <c r="P12" s="96">
        <v>213.0044150378213</v>
      </c>
      <c r="Q12" s="96">
        <v>206.24433298233129</v>
      </c>
      <c r="R12" s="96">
        <v>188.76834087236278</v>
      </c>
      <c r="S12" s="96">
        <v>201.23084166767885</v>
      </c>
      <c r="T12" s="96">
        <v>201.52395614159408</v>
      </c>
      <c r="U12" s="96">
        <v>188.40335133943893</v>
      </c>
      <c r="V12" s="96">
        <v>157.78374748404153</v>
      </c>
      <c r="W12" s="96">
        <v>152.5785293438424</v>
      </c>
      <c r="X12" s="96">
        <v>150.0174987827566</v>
      </c>
      <c r="Y12" s="96">
        <v>147.4582431736207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95.414466825887885</v>
      </c>
      <c r="C15" s="32">
        <f t="shared" si="8"/>
        <v>77.348789636138179</v>
      </c>
      <c r="D15" s="32">
        <f t="shared" si="8"/>
        <v>71.871486875635071</v>
      </c>
      <c r="E15" s="32">
        <f t="shared" si="8"/>
        <v>65.859945662709478</v>
      </c>
      <c r="F15" s="32">
        <f t="shared" si="8"/>
        <v>65.805965829449761</v>
      </c>
      <c r="G15" s="32">
        <f t="shared" si="8"/>
        <v>60.1545596648455</v>
      </c>
      <c r="H15" s="32">
        <f t="shared" si="8"/>
        <v>72.535785741493541</v>
      </c>
      <c r="I15" s="32">
        <f t="shared" si="8"/>
        <v>79.09898480172329</v>
      </c>
      <c r="J15" s="32">
        <f t="shared" si="8"/>
        <v>76.952767736597551</v>
      </c>
      <c r="K15" s="32">
        <f t="shared" si="8"/>
        <v>76.828551624831093</v>
      </c>
      <c r="L15" s="32">
        <f t="shared" si="8"/>
        <v>70.002142061454876</v>
      </c>
      <c r="M15" s="32">
        <f t="shared" si="8"/>
        <v>67.808606124601766</v>
      </c>
      <c r="N15" s="32">
        <f t="shared" si="8"/>
        <v>48.900630147786039</v>
      </c>
      <c r="O15" s="32">
        <f t="shared" si="8"/>
        <v>46.896617648379909</v>
      </c>
      <c r="P15" s="32">
        <f t="shared" si="8"/>
        <v>65.026060899331</v>
      </c>
      <c r="Q15" s="32">
        <f t="shared" si="8"/>
        <v>65.036662467434795</v>
      </c>
      <c r="R15" s="32">
        <f t="shared" si="8"/>
        <v>60.184754990600219</v>
      </c>
      <c r="S15" s="32">
        <f t="shared" si="8"/>
        <v>57.216322048643676</v>
      </c>
      <c r="T15" s="32">
        <f t="shared" si="8"/>
        <v>55.514715100442295</v>
      </c>
      <c r="U15" s="32">
        <f t="shared" si="8"/>
        <v>57.901104237063237</v>
      </c>
      <c r="V15" s="32">
        <f t="shared" si="8"/>
        <v>59.831765524484744</v>
      </c>
      <c r="W15" s="32">
        <f t="shared" si="8"/>
        <v>59.791704635542992</v>
      </c>
      <c r="X15" s="32">
        <f t="shared" ref="X15:Y15" si="9">SUM(X16:X17)</f>
        <v>81.533913836810811</v>
      </c>
      <c r="Y15" s="32">
        <f t="shared" si="9"/>
        <v>74.113769404043182</v>
      </c>
      <c r="DA15" s="173" t="s">
        <v>414</v>
      </c>
    </row>
    <row r="16" spans="1:105" ht="11.45" customHeight="1" x14ac:dyDescent="0.25">
      <c r="A16" s="83" t="s">
        <v>92</v>
      </c>
      <c r="B16" s="96">
        <v>95.414466825887885</v>
      </c>
      <c r="C16" s="96">
        <v>77.348789636138179</v>
      </c>
      <c r="D16" s="96">
        <v>71.871486875635071</v>
      </c>
      <c r="E16" s="96">
        <v>65.859945662709478</v>
      </c>
      <c r="F16" s="96">
        <v>65.805965829449761</v>
      </c>
      <c r="G16" s="96">
        <v>60.1545596648455</v>
      </c>
      <c r="H16" s="96">
        <v>72.535785741493541</v>
      </c>
      <c r="I16" s="96">
        <v>79.09898480172329</v>
      </c>
      <c r="J16" s="96">
        <v>76.952767736597551</v>
      </c>
      <c r="K16" s="96">
        <v>76.828551624831093</v>
      </c>
      <c r="L16" s="96">
        <v>70.002142061454876</v>
      </c>
      <c r="M16" s="96">
        <v>67.808606124601766</v>
      </c>
      <c r="N16" s="96">
        <v>48.900630147786039</v>
      </c>
      <c r="O16" s="96">
        <v>46.896617648379909</v>
      </c>
      <c r="P16" s="96">
        <v>65.026060899331</v>
      </c>
      <c r="Q16" s="96">
        <v>65.036662467434795</v>
      </c>
      <c r="R16" s="96">
        <v>60.184754990600219</v>
      </c>
      <c r="S16" s="96">
        <v>57.216322048643676</v>
      </c>
      <c r="T16" s="96">
        <v>55.514715100442295</v>
      </c>
      <c r="U16" s="96">
        <v>57.901104237063237</v>
      </c>
      <c r="V16" s="96">
        <v>59.831765524484744</v>
      </c>
      <c r="W16" s="96">
        <v>59.791704635542992</v>
      </c>
      <c r="X16" s="96">
        <v>81.533913836810811</v>
      </c>
      <c r="Y16" s="96">
        <v>74.113769404043182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1.5704991086324487</v>
      </c>
      <c r="C22" s="134">
        <f>IF(C4=0,0,C4/TrRail_ene!C4)</f>
        <v>1.4895641980874055</v>
      </c>
      <c r="D22" s="134">
        <f>IF(D4=0,0,D4/TrRail_ene!D4)</f>
        <v>1.5132772829183556</v>
      </c>
      <c r="E22" s="134">
        <f>IF(E4=0,0,E4/TrRail_ene!E4)</f>
        <v>1.4647600175002724</v>
      </c>
      <c r="F22" s="134">
        <f>IF(F4=0,0,F4/TrRail_ene!F4)</f>
        <v>1.1861390585123259</v>
      </c>
      <c r="G22" s="134">
        <f>IF(G4=0,0,G4/TrRail_ene!G4)</f>
        <v>1.20728801460166</v>
      </c>
      <c r="H22" s="134">
        <f>IF(H4=0,0,H4/TrRail_ene!H4)</f>
        <v>1.2678732052496637</v>
      </c>
      <c r="I22" s="134">
        <f>IF(I4=0,0,I4/TrRail_ene!I4)</f>
        <v>1.2658290923280477</v>
      </c>
      <c r="J22" s="134">
        <f>IF(J4=0,0,J4/TrRail_ene!J4)</f>
        <v>1.3616368954212403</v>
      </c>
      <c r="K22" s="134">
        <f>IF(K4=0,0,K4/TrRail_ene!K4)</f>
        <v>1.3113744025240757</v>
      </c>
      <c r="L22" s="134">
        <f>IF(L4=0,0,L4/TrRail_ene!L4)</f>
        <v>1.3069172009380834</v>
      </c>
      <c r="M22" s="134">
        <f>IF(M4=0,0,M4/TrRail_ene!M4)</f>
        <v>1.2979260035783728</v>
      </c>
      <c r="N22" s="134">
        <f>IF(N4=0,0,N4/TrRail_ene!N4)</f>
        <v>1.2686093950944395</v>
      </c>
      <c r="O22" s="134">
        <f>IF(O4=0,0,O4/TrRail_ene!O4)</f>
        <v>1.2609541988057316</v>
      </c>
      <c r="P22" s="134">
        <f>IF(P4=0,0,P4/TrRail_ene!P4)</f>
        <v>1.2949138592059906</v>
      </c>
      <c r="Q22" s="134">
        <f>IF(Q4=0,0,Q4/TrRail_ene!Q4)</f>
        <v>1.2535676945189773</v>
      </c>
      <c r="R22" s="134">
        <f>IF(R4=0,0,R4/TrRail_ene!R4)</f>
        <v>1.136117747814154</v>
      </c>
      <c r="S22" s="134">
        <f>IF(S4=0,0,S4/TrRail_ene!S4)</f>
        <v>1.1439728109910154</v>
      </c>
      <c r="T22" s="134">
        <f>IF(T4=0,0,T4/TrRail_ene!T4)</f>
        <v>1.1231421904028109</v>
      </c>
      <c r="U22" s="134">
        <f>IF(U4=0,0,U4/TrRail_ene!U4)</f>
        <v>1.0918965884262932</v>
      </c>
      <c r="V22" s="134">
        <f>IF(V4=0,0,V4/TrRail_ene!V4)</f>
        <v>1.0610757865047955</v>
      </c>
      <c r="W22" s="134">
        <f>IF(W4=0,0,W4/TrRail_ene!W4)</f>
        <v>1.0142386395734926</v>
      </c>
      <c r="X22" s="134">
        <f>IF(X4=0,0,X4/TrRail_ene!X4)</f>
        <v>1.053104878941433</v>
      </c>
      <c r="Y22" s="134">
        <f>IF(Y4=0,0,Y4/TrRail_ene!Y4)</f>
        <v>1.0295352681960703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1.5512093999999998</v>
      </c>
      <c r="F23" s="129">
        <f>IF(F5=0,0,F5/SUM(TrRail_ene!F5:F7))</f>
        <v>1.5512093999999998</v>
      </c>
      <c r="G23" s="129">
        <f>IF(G5=0,0,G5/SUM(TrRail_ene!G5:G7))</f>
        <v>1.5529193274941069</v>
      </c>
      <c r="H23" s="129">
        <f>IF(H5=0,0,H5/SUM(TrRail_ene!H5:H7))</f>
        <v>1.5551143891000303</v>
      </c>
      <c r="I23" s="129">
        <f>IF(I5=0,0,I5/SUM(TrRail_ene!I5:I7))</f>
        <v>1.5547876204242659</v>
      </c>
      <c r="J23" s="129">
        <f>IF(J5=0,0,J5/SUM(TrRail_ene!J5:J7))</f>
        <v>1.5546513545810792</v>
      </c>
      <c r="K23" s="129">
        <f>IF(K5=0,0,K5/SUM(TrRail_ene!K5:K7))</f>
        <v>1.5528398363022224</v>
      </c>
      <c r="L23" s="129">
        <f>IF(L5=0,0,L5/SUM(TrRail_ene!L5:L7))</f>
        <v>1.5530444929550906</v>
      </c>
      <c r="M23" s="129">
        <f>IF(M5=0,0,M5/SUM(TrRail_ene!M5:M7))</f>
        <v>1.5530960513131518</v>
      </c>
      <c r="N23" s="129">
        <f>IF(N5=0,0,N5/SUM(TrRail_ene!N5:N7))</f>
        <v>1.5531741306997169</v>
      </c>
      <c r="O23" s="129">
        <f>IF(O5=0,0,O5/SUM(TrRail_ene!O5:O7))</f>
        <v>1.5532623700514108</v>
      </c>
      <c r="P23" s="129">
        <f>IF(P5=0,0,P5/SUM(TrRail_ene!P5:P7))</f>
        <v>1.5559515236894235</v>
      </c>
      <c r="Q23" s="129">
        <f>IF(Q5=0,0,Q5/SUM(TrRail_ene!Q5:Q7))</f>
        <v>1.5560028097240521</v>
      </c>
      <c r="R23" s="129">
        <f>IF(R5=0,0,R5/SUM(TrRail_ene!R5:R7))</f>
        <v>1.4298788491956831</v>
      </c>
      <c r="S23" s="129">
        <f>IF(S5=0,0,S5/SUM(TrRail_ene!S5:S7))</f>
        <v>1.4481671895908126</v>
      </c>
      <c r="T23" s="129">
        <f>IF(T5=0,0,T5/SUM(TrRail_ene!T5:T7))</f>
        <v>1.4604655469050962</v>
      </c>
      <c r="U23" s="129">
        <f>IF(U5=0,0,U5/SUM(TrRail_ene!U5:U7))</f>
        <v>1.4707227505497369</v>
      </c>
      <c r="V23" s="129">
        <f>IF(V5=0,0,V5/SUM(TrRail_ene!V5:V7))</f>
        <v>1.4601916500441714</v>
      </c>
      <c r="W23" s="129">
        <f>IF(W5=0,0,W5/SUM(TrRail_ene!W5:W7))</f>
        <v>1.4408909864048649</v>
      </c>
      <c r="X23" s="129">
        <f>IF(X5=0,0,X5/SUM(TrRail_ene!X5:X7))</f>
        <v>1.4496534478396685</v>
      </c>
      <c r="Y23" s="129">
        <f>IF(Y5=0,0,Y5/SUM(TrRail_ene!Y5:Y7))</f>
        <v>1.4792377796749268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1983.2534012312483</v>
      </c>
      <c r="C26" s="54">
        <f>IF(C8=0,0,C8/TrRail_act!C14*1000)</f>
        <v>1808.6527017860576</v>
      </c>
      <c r="D26" s="54">
        <f>IF(D8=0,0,D8/TrRail_act!D14*1000)</f>
        <v>1770.0478145239354</v>
      </c>
      <c r="E26" s="54">
        <f>IF(E8=0,0,E8/TrRail_act!E14*1000)</f>
        <v>1650.5055224859309</v>
      </c>
      <c r="F26" s="54">
        <f>IF(F8=0,0,F8/TrRail_act!F14*1000)</f>
        <v>1379.7801106734914</v>
      </c>
      <c r="G26" s="54">
        <f>IF(G8=0,0,G8/TrRail_act!G14*1000)</f>
        <v>1418.9201946536828</v>
      </c>
      <c r="H26" s="54">
        <f>IF(H8=0,0,H8/TrRail_act!H14*1000)</f>
        <v>1509.7353425012323</v>
      </c>
      <c r="I26" s="54">
        <f>IF(I8=0,0,I8/TrRail_act!I14*1000)</f>
        <v>1492.3295221124408</v>
      </c>
      <c r="J26" s="54">
        <f>IF(J8=0,0,J8/TrRail_act!J14*1000)</f>
        <v>1496.8685669450435</v>
      </c>
      <c r="K26" s="54">
        <f>IF(K8=0,0,K8/TrRail_act!K14*1000)</f>
        <v>1379.0177577018324</v>
      </c>
      <c r="L26" s="54">
        <f>IF(L8=0,0,L8/TrRail_act!L14*1000)</f>
        <v>1352.4901423623846</v>
      </c>
      <c r="M26" s="54">
        <f>IF(M8=0,0,M8/TrRail_act!M14*1000)</f>
        <v>1327.8797721959429</v>
      </c>
      <c r="N26" s="54">
        <f>IF(N8=0,0,N8/TrRail_act!N14*1000)</f>
        <v>1233.633986359026</v>
      </c>
      <c r="O26" s="54">
        <f>IF(O8=0,0,O8/TrRail_act!O14*1000)</f>
        <v>1200.5160921911545</v>
      </c>
      <c r="P26" s="54">
        <f>IF(P8=0,0,P8/TrRail_act!P14*1000)</f>
        <v>1241.0136042337617</v>
      </c>
      <c r="Q26" s="54">
        <f>IF(Q8=0,0,Q8/TrRail_act!Q14*1000)</f>
        <v>1179.7248083929192</v>
      </c>
      <c r="R26" s="54">
        <f>IF(R8=0,0,R8/TrRail_act!R14*1000)</f>
        <v>1024.9544617747933</v>
      </c>
      <c r="S26" s="54">
        <f>IF(S8=0,0,S8/TrRail_act!S14*1000)</f>
        <v>1024.3946898890852</v>
      </c>
      <c r="T26" s="54">
        <f>IF(T8=0,0,T8/TrRail_act!T14*1000)</f>
        <v>1005.6009605227854</v>
      </c>
      <c r="U26" s="54">
        <f>IF(U8=0,0,U8/TrRail_act!U14*1000)</f>
        <v>957.54695153204091</v>
      </c>
      <c r="V26" s="54">
        <f>IF(V8=0,0,V8/TrRail_act!V14*1000)</f>
        <v>948.17288698710718</v>
      </c>
      <c r="W26" s="54">
        <f>IF(W8=0,0,W8/TrRail_act!W14*1000)</f>
        <v>905.95124983451569</v>
      </c>
      <c r="X26" s="54">
        <f>IF(X8=0,0,X8/TrRail_act!X14*1000)</f>
        <v>1062.884533736865</v>
      </c>
      <c r="Y26" s="54">
        <f>IF(Y8=0,0,Y8/TrRail_act!Y14*1000)</f>
        <v>1084.6546369930752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1656.2565211385652</v>
      </c>
      <c r="C27" s="28">
        <f>IF(C9=0,0,C9/TrRail_act!C15*1000)</f>
        <v>1574.6706298761167</v>
      </c>
      <c r="D27" s="28">
        <f>IF(D9=0,0,D9/TrRail_act!D15*1000)</f>
        <v>1538.0578386965849</v>
      </c>
      <c r="E27" s="28">
        <f>IF(E9=0,0,E9/TrRail_act!E15*1000)</f>
        <v>1457.1441138850287</v>
      </c>
      <c r="F27" s="28">
        <f>IF(F9=0,0,F9/TrRail_act!F15*1000)</f>
        <v>1245.1589589539938</v>
      </c>
      <c r="G27" s="28">
        <f>IF(G9=0,0,G9/TrRail_act!G15*1000)</f>
        <v>1318.7675509465855</v>
      </c>
      <c r="H27" s="28">
        <f>IF(H9=0,0,H9/TrRail_act!H15*1000)</f>
        <v>1364.0395902396676</v>
      </c>
      <c r="I27" s="28">
        <f>IF(I9=0,0,I9/TrRail_act!I15*1000)</f>
        <v>1326.4478905028932</v>
      </c>
      <c r="J27" s="28">
        <f>IF(J9=0,0,J9/TrRail_act!J15*1000)</f>
        <v>1333.0104494574464</v>
      </c>
      <c r="K27" s="28">
        <f>IF(K9=0,0,K9/TrRail_act!K15*1000)</f>
        <v>1162.8685525278306</v>
      </c>
      <c r="L27" s="28">
        <f>IF(L9=0,0,L9/TrRail_act!L15*1000)</f>
        <v>1161.0548699368896</v>
      </c>
      <c r="M27" s="28">
        <f>IF(M9=0,0,M9/TrRail_act!M15*1000)</f>
        <v>1155.0616994900695</v>
      </c>
      <c r="N27" s="28">
        <f>IF(N9=0,0,N9/TrRail_act!N15*1000)</f>
        <v>1138.9920305154551</v>
      </c>
      <c r="O27" s="28">
        <f>IF(O9=0,0,O9/TrRail_act!O15*1000)</f>
        <v>1105.6635826538302</v>
      </c>
      <c r="P27" s="28">
        <f>IF(P9=0,0,P9/TrRail_act!P15*1000)</f>
        <v>1073.8946868128255</v>
      </c>
      <c r="Q27" s="28">
        <f>IF(Q9=0,0,Q9/TrRail_act!Q15*1000)</f>
        <v>1017.3017827772481</v>
      </c>
      <c r="R27" s="28">
        <f>IF(R9=0,0,R9/TrRail_act!R15*1000)</f>
        <v>876.30043497981262</v>
      </c>
      <c r="S27" s="28">
        <f>IF(S9=0,0,S9/TrRail_act!S15*1000)</f>
        <v>894.23793546490253</v>
      </c>
      <c r="T27" s="28">
        <f>IF(T9=0,0,T9/TrRail_act!T15*1000)</f>
        <v>882.18716852410046</v>
      </c>
      <c r="U27" s="28">
        <f>IF(U9=0,0,U9/TrRail_act!U15*1000)</f>
        <v>820.74631459487068</v>
      </c>
      <c r="V27" s="28">
        <f>IF(V9=0,0,V9/TrRail_act!V15*1000)</f>
        <v>786.65175209841482</v>
      </c>
      <c r="W27" s="28">
        <f>IF(W9=0,0,W9/TrRail_act!W15*1000)</f>
        <v>748.12228470898674</v>
      </c>
      <c r="X27" s="28">
        <f>IF(X9=0,0,X9/TrRail_act!X15*1000)</f>
        <v>827.64332424185056</v>
      </c>
      <c r="Y27" s="28">
        <f>IF(Y9=0,0,Y9/TrRail_act!Y15*1000)</f>
        <v>872.69605803858508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5639.672487191965</v>
      </c>
      <c r="C29" s="110">
        <f>IF(C11=0,0,C11/TrRail_act!C17*1000)</f>
        <v>5599.6419355676553</v>
      </c>
      <c r="D29" s="110">
        <f>IF(D11=0,0,D11/TrRail_act!D17*1000)</f>
        <v>5648.2943257983316</v>
      </c>
      <c r="E29" s="110">
        <f>IF(E11=0,0,E11/TrRail_act!E17*1000)</f>
        <v>5420.9984896398146</v>
      </c>
      <c r="F29" s="110">
        <f>IF(F11=0,0,F11/TrRail_act!F17*1000)</f>
        <v>3725.9493955035377</v>
      </c>
      <c r="G29" s="110">
        <f>IF(G11=0,0,G11/TrRail_act!G17*1000)</f>
        <v>3565.7511218009577</v>
      </c>
      <c r="H29" s="110">
        <f>IF(H11=0,0,H11/TrRail_act!H17*1000)</f>
        <v>3623.3099578326796</v>
      </c>
      <c r="I29" s="110">
        <f>IF(I11=0,0,I11/TrRail_act!I17*1000)</f>
        <v>3667.2112635226995</v>
      </c>
      <c r="J29" s="110">
        <f>IF(J11=0,0,J11/TrRail_act!J17*1000)</f>
        <v>3879.975785859358</v>
      </c>
      <c r="K29" s="110">
        <f>IF(K11=0,0,K11/TrRail_act!K17*1000)</f>
        <v>3387.3607307843176</v>
      </c>
      <c r="L29" s="110">
        <f>IF(L11=0,0,L11/TrRail_act!L17*1000)</f>
        <v>3389.4936717974897</v>
      </c>
      <c r="M29" s="110">
        <f>IF(M11=0,0,M11/TrRail_act!M17*1000)</f>
        <v>3245.5156075326595</v>
      </c>
      <c r="N29" s="110">
        <f>IF(N11=0,0,N11/TrRail_act!N17*1000)</f>
        <v>3298.3627439409224</v>
      </c>
      <c r="O29" s="110">
        <f>IF(O11=0,0,O11/TrRail_act!O17*1000)</f>
        <v>3127.0616885195495</v>
      </c>
      <c r="P29" s="110">
        <f>IF(P11=0,0,P11/TrRail_act!P17*1000)</f>
        <v>2938.7280600584104</v>
      </c>
      <c r="Q29" s="110">
        <f>IF(Q11=0,0,Q11/TrRail_act!Q17*1000)</f>
        <v>2782.0551659008383</v>
      </c>
      <c r="R29" s="110">
        <f>IF(R11=0,0,R11/TrRail_act!R17*1000)</f>
        <v>2502.8127393181967</v>
      </c>
      <c r="S29" s="110">
        <f>IF(S11=0,0,S11/TrRail_act!S17*1000)</f>
        <v>2478.7019003217374</v>
      </c>
      <c r="T29" s="110">
        <f>IF(T11=0,0,T11/TrRail_act!T17*1000)</f>
        <v>2327.3057165219088</v>
      </c>
      <c r="U29" s="110">
        <f>IF(U11=0,0,U11/TrRail_act!U17*1000)</f>
        <v>2229.1924614201866</v>
      </c>
      <c r="V29" s="110">
        <f>IF(V11=0,0,V11/TrRail_act!V17*1000)</f>
        <v>2061.8484014278793</v>
      </c>
      <c r="W29" s="110">
        <f>IF(W11=0,0,W11/TrRail_act!W17*1000)</f>
        <v>1927.3261320496169</v>
      </c>
      <c r="X29" s="110">
        <f>IF(X11=0,0,X11/TrRail_act!X17*1000)</f>
        <v>1740.4413852932505</v>
      </c>
      <c r="Y29" s="110">
        <f>IF(Y11=0,0,Y11/TrRail_act!Y17*1000)</f>
        <v>1621.469440854878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8366.9394589034873</v>
      </c>
      <c r="C30" s="84">
        <f>IF(C12=0,0,C12/TrRail_act!C18*1000)</f>
        <v>8231.1630181776891</v>
      </c>
      <c r="D30" s="84">
        <f>IF(D12=0,0,D12/TrRail_act!D18*1000)</f>
        <v>8048.1205687514594</v>
      </c>
      <c r="E30" s="84">
        <f>IF(E12=0,0,E12/TrRail_act!E18*1000)</f>
        <v>7919.4449471268354</v>
      </c>
      <c r="F30" s="84">
        <f>IF(F12=0,0,F12/TrRail_act!F18*1000)</f>
        <v>7636.2288388600691</v>
      </c>
      <c r="G30" s="84">
        <f>IF(G12=0,0,G12/TrRail_act!G18*1000)</f>
        <v>7542.9475879419369</v>
      </c>
      <c r="H30" s="84">
        <f>IF(H12=0,0,H12/TrRail_act!H18*1000)</f>
        <v>7330.3988229792685</v>
      </c>
      <c r="I30" s="84">
        <f>IF(I12=0,0,I12/TrRail_act!I18*1000)</f>
        <v>7243.7236201740343</v>
      </c>
      <c r="J30" s="84">
        <f>IF(J12=0,0,J12/TrRail_act!J18*1000)</f>
        <v>7133.6665021354538</v>
      </c>
      <c r="K30" s="84">
        <f>IF(K12=0,0,K12/TrRail_act!K18*1000)</f>
        <v>6983.1844923078834</v>
      </c>
      <c r="L30" s="84">
        <f>IF(L12=0,0,L12/TrRail_act!L18*1000)</f>
        <v>6850.1412207808025</v>
      </c>
      <c r="M30" s="84">
        <f>IF(M12=0,0,M12/TrRail_act!M18*1000)</f>
        <v>6709.39671745958</v>
      </c>
      <c r="N30" s="84">
        <f>IF(N12=0,0,N12/TrRail_act!N18*1000)</f>
        <v>6573.7450553220397</v>
      </c>
      <c r="O30" s="84">
        <f>IF(O12=0,0,O12/TrRail_act!O18*1000)</f>
        <v>6421.1804132994803</v>
      </c>
      <c r="P30" s="84">
        <f>IF(P12=0,0,P12/TrRail_act!P18*1000)</f>
        <v>6242.5902809445834</v>
      </c>
      <c r="Q30" s="84">
        <f>IF(Q12=0,0,Q12/TrRail_act!Q18*1000)</f>
        <v>5995.0478808344751</v>
      </c>
      <c r="R30" s="84">
        <f>IF(R12=0,0,R12/TrRail_act!R18*1000)</f>
        <v>5381.7203151233471</v>
      </c>
      <c r="S30" s="84">
        <f>IF(S12=0,0,S12/TrRail_act!S18*1000)</f>
        <v>5446.7976382630804</v>
      </c>
      <c r="T30" s="84">
        <f>IF(T12=0,0,T12/TrRail_act!T18*1000)</f>
        <v>5435.3127528412697</v>
      </c>
      <c r="U30" s="84">
        <f>IF(U12=0,0,U12/TrRail_act!U18*1000)</f>
        <v>5359.6841876120998</v>
      </c>
      <c r="V30" s="84">
        <f>IF(V12=0,0,V12/TrRail_act!V18*1000)</f>
        <v>5227.6339151327338</v>
      </c>
      <c r="W30" s="84">
        <f>IF(W12=0,0,W12/TrRail_act!W18*1000)</f>
        <v>5090.2793682110614</v>
      </c>
      <c r="X30" s="84">
        <f>IF(X12=0,0,X12/TrRail_act!X18*1000)</f>
        <v>5070.3282592158121</v>
      </c>
      <c r="Y30" s="84">
        <f>IF(Y12=0,0,Y12/TrRail_act!Y18*1000)</f>
        <v>5135.1829092628986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3838.4714192431638</v>
      </c>
      <c r="C33" s="28">
        <f>IF(C15=0,0,C15/TrRail_act!C21*1000)</f>
        <v>3174.4013690360453</v>
      </c>
      <c r="D33" s="28">
        <f>IF(D15=0,0,D15/TrRail_act!D21*1000)</f>
        <v>3291.5388308552228</v>
      </c>
      <c r="E33" s="28">
        <f>IF(E15=0,0,E15/TrRail_act!E21*1000)</f>
        <v>2964.413078955436</v>
      </c>
      <c r="F33" s="28">
        <f>IF(F15=0,0,F15/TrRail_act!F21*1000)</f>
        <v>2141.7714919597711</v>
      </c>
      <c r="G33" s="28">
        <f>IF(G15=0,0,G15/TrRail_act!G21*1000)</f>
        <v>1986.5577778551267</v>
      </c>
      <c r="H33" s="28">
        <f>IF(H15=0,0,H15/TrRail_act!H21*1000)</f>
        <v>2310.5302781519877</v>
      </c>
      <c r="I33" s="28">
        <f>IF(I15=0,0,I15/TrRail_act!I21*1000)</f>
        <v>2316.7178842030125</v>
      </c>
      <c r="J33" s="28">
        <f>IF(J15=0,0,J15/TrRail_act!J21*1000)</f>
        <v>2560.6724002548422</v>
      </c>
      <c r="K33" s="28">
        <f>IF(K15=0,0,K15/TrRail_act!K21*1000)</f>
        <v>3059.7824050353611</v>
      </c>
      <c r="L33" s="28">
        <f>IF(L15=0,0,L15/TrRail_act!L21*1000)</f>
        <v>2875.6907955461425</v>
      </c>
      <c r="M33" s="28">
        <f>IF(M15=0,0,M15/TrRail_act!M21*1000)</f>
        <v>2584.1456617943149</v>
      </c>
      <c r="N33" s="28">
        <f>IF(N15=0,0,N15/TrRail_act!N21*1000)</f>
        <v>2022.3283786377676</v>
      </c>
      <c r="O33" s="28">
        <f>IF(O15=0,0,O15/TrRail_act!O21*1000)</f>
        <v>2041.6200475442677</v>
      </c>
      <c r="P33" s="28">
        <f>IF(P15=0,0,P15/TrRail_act!P21*1000)</f>
        <v>2531.4368430978648</v>
      </c>
      <c r="Q33" s="28">
        <f>IF(Q15=0,0,Q15/TrRail_act!Q21*1000)</f>
        <v>2389.6350242189674</v>
      </c>
      <c r="R33" s="28">
        <f>IF(R15=0,0,R15/TrRail_act!R21*1000)</f>
        <v>2190.387152998047</v>
      </c>
      <c r="S33" s="28">
        <f>IF(S15=0,0,S15/TrRail_act!S21*1000)</f>
        <v>2098.7550772325262</v>
      </c>
      <c r="T33" s="28">
        <f>IF(T15=0,0,T15/TrRail_act!T21*1000)</f>
        <v>2043.2138045594575</v>
      </c>
      <c r="U33" s="28">
        <f>IF(U15=0,0,U15/TrRail_act!U21*1000)</f>
        <v>2092.3202830774671</v>
      </c>
      <c r="V33" s="28">
        <f>IF(V15=0,0,V15/TrRail_act!V21*1000)</f>
        <v>2067.8698073638543</v>
      </c>
      <c r="W33" s="28">
        <f>IF(W15=0,0,W15/TrRail_act!W21*1000)</f>
        <v>1962.4300792155113</v>
      </c>
      <c r="X33" s="28">
        <f>IF(X15=0,0,X15/TrRail_act!X21*1000)</f>
        <v>2228.1126862538845</v>
      </c>
      <c r="Y33" s="28">
        <f>IF(Y15=0,0,Y15/TrRail_act!Y21*1000)</f>
        <v>2098.9309800665092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12028.461524558106</v>
      </c>
      <c r="C34" s="84">
        <f>IF(C16=0,0,C16/TrRail_act!C22*1000)</f>
        <v>11966.453573091658</v>
      </c>
      <c r="D34" s="84">
        <f>IF(D16=0,0,D16/TrRail_act!D22*1000)</f>
        <v>11826.060295267092</v>
      </c>
      <c r="E34" s="84">
        <f>IF(E16=0,0,E16/TrRail_act!E22*1000)</f>
        <v>11741.146688194369</v>
      </c>
      <c r="F34" s="84">
        <f>IF(F16=0,0,F16/TrRail_act!F22*1000)</f>
        <v>11633.907078413824</v>
      </c>
      <c r="G34" s="84">
        <f>IF(G16=0,0,G16/TrRail_act!G22*1000)</f>
        <v>11441.168707682993</v>
      </c>
      <c r="H34" s="84">
        <f>IF(H16=0,0,H16/TrRail_act!H22*1000)</f>
        <v>11274.626703195765</v>
      </c>
      <c r="I34" s="84">
        <f>IF(I16=0,0,I16/TrRail_act!I22*1000)</f>
        <v>11202.244059068376</v>
      </c>
      <c r="J34" s="84">
        <f>IF(J16=0,0,J16/TrRail_act!J22*1000)</f>
        <v>11141.9559989392</v>
      </c>
      <c r="K34" s="84">
        <f>IF(K16=0,0,K16/TrRail_act!K22*1000)</f>
        <v>11094.975137589636</v>
      </c>
      <c r="L34" s="84">
        <f>IF(L16=0,0,L16/TrRail_act!L22*1000)</f>
        <v>11072.913221164607</v>
      </c>
      <c r="M34" s="84">
        <f>IF(M16=0,0,M16/TrRail_act!M22*1000)</f>
        <v>10941.212466908064</v>
      </c>
      <c r="N34" s="84">
        <f>IF(N16=0,0,N16/TrRail_act!N22*1000)</f>
        <v>10872.300466571834</v>
      </c>
      <c r="O34" s="84">
        <f>IF(O16=0,0,O16/TrRail_act!O22*1000)</f>
        <v>10839.988931522834</v>
      </c>
      <c r="P34" s="84">
        <f>IF(P16=0,0,P16/TrRail_act!P22*1000)</f>
        <v>10789.691893361585</v>
      </c>
      <c r="Q34" s="84">
        <f>IF(Q16=0,0,Q16/TrRail_act!Q22*1000)</f>
        <v>10769.229866428022</v>
      </c>
      <c r="R34" s="84">
        <f>IF(R16=0,0,R16/TrRail_act!R22*1000)</f>
        <v>9881.9915678172238</v>
      </c>
      <c r="S34" s="84">
        <f>IF(S16=0,0,S16/TrRail_act!S22*1000)</f>
        <v>9997.5173294960787</v>
      </c>
      <c r="T34" s="84">
        <f>IF(T16=0,0,T16/TrRail_act!T22*1000)</f>
        <v>10074.208778624401</v>
      </c>
      <c r="U34" s="84">
        <f>IF(U16=0,0,U16/TrRail_act!U22*1000)</f>
        <v>10138.765256361048</v>
      </c>
      <c r="V34" s="84">
        <f>IF(V16=0,0,V16/TrRail_act!V22*1000)</f>
        <v>10061.554592616672</v>
      </c>
      <c r="W34" s="84">
        <f>IF(W16=0,0,W16/TrRail_act!W22*1000)</f>
        <v>9925.1500082349339</v>
      </c>
      <c r="X34" s="84">
        <f>IF(X16=0,0,X16/TrRail_act!X22*1000)</f>
        <v>9982.933846107735</v>
      </c>
      <c r="Y34" s="84">
        <f>IF(Y16=0,0,Y16/TrRail_act!Y22*1000)</f>
        <v>10184.694929192372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15.199087333036964</v>
      </c>
      <c r="C38" s="29">
        <f>IF(C9=0,0,C9/TrRail_act!C4*1000)</f>
        <v>14.424807724066845</v>
      </c>
      <c r="D38" s="29">
        <f>IF(D9=0,0,D9/TrRail_act!D4*1000)</f>
        <v>14.778407751232212</v>
      </c>
      <c r="E38" s="29">
        <f>IF(E9=0,0,E9/TrRail_act!E4*1000)</f>
        <v>14.586077073566811</v>
      </c>
      <c r="F38" s="29">
        <f>IF(F9=0,0,F9/TrRail_act!F4*1000)</f>
        <v>14.148362139789629</v>
      </c>
      <c r="G38" s="29">
        <f>IF(G9=0,0,G9/TrRail_act!G4*1000)</f>
        <v>15.500859457381006</v>
      </c>
      <c r="H38" s="29">
        <f>IF(H9=0,0,H9/TrRail_act!H4*1000)</f>
        <v>15.988607705605233</v>
      </c>
      <c r="I38" s="29">
        <f>IF(I9=0,0,I9/TrRail_act!I4*1000)</f>
        <v>15.364955785155091</v>
      </c>
      <c r="J38" s="29">
        <f>IF(J9=0,0,J9/TrRail_act!J4*1000)</f>
        <v>16.340633696314914</v>
      </c>
      <c r="K38" s="29">
        <f>IF(K9=0,0,K9/TrRail_act!K4*1000)</f>
        <v>14.687335711139056</v>
      </c>
      <c r="L38" s="29">
        <f>IF(L9=0,0,L9/TrRail_act!L4*1000)</f>
        <v>14.456365129613154</v>
      </c>
      <c r="M38" s="29">
        <f>IF(M9=0,0,M9/TrRail_act!M4*1000)</f>
        <v>14.320821124380085</v>
      </c>
      <c r="N38" s="29">
        <f>IF(N9=0,0,N9/TrRail_act!N4*1000)</f>
        <v>13.744978164625671</v>
      </c>
      <c r="O38" s="29">
        <f>IF(O9=0,0,O9/TrRail_act!O4*1000)</f>
        <v>13.175730486720495</v>
      </c>
      <c r="P38" s="29">
        <f>IF(P9=0,0,P9/TrRail_act!P4*1000)</f>
        <v>12.627722020264484</v>
      </c>
      <c r="Q38" s="29">
        <f>IF(Q9=0,0,Q9/TrRail_act!Q4*1000)</f>
        <v>11.751345130526492</v>
      </c>
      <c r="R38" s="29">
        <f>IF(R9=0,0,R9/TrRail_act!R4*1000)</f>
        <v>9.8803658061261608</v>
      </c>
      <c r="S38" s="29">
        <f>IF(S9=0,0,S9/TrRail_act!S4*1000)</f>
        <v>9.9885259586263828</v>
      </c>
      <c r="T38" s="29">
        <f>IF(T9=0,0,T9/TrRail_act!T4*1000)</f>
        <v>9.6170784804242508</v>
      </c>
      <c r="U38" s="29">
        <f>IF(U9=0,0,U9/TrRail_act!U4*1000)</f>
        <v>8.5814196139085279</v>
      </c>
      <c r="V38" s="29">
        <f>IF(V9=0,0,V9/TrRail_act!V4*1000)</f>
        <v>15.204408333803087</v>
      </c>
      <c r="W38" s="29">
        <f>IF(W9=0,0,W9/TrRail_act!W4*1000)</f>
        <v>14.719274674060369</v>
      </c>
      <c r="X38" s="29">
        <f>IF(X9=0,0,X9/TrRail_act!X4*1000)</f>
        <v>10.589221344162956</v>
      </c>
      <c r="Y38" s="29">
        <f>IF(Y9=0,0,Y9/TrRail_act!Y4*1000)</f>
        <v>9.70464791265454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31.997201936179735</v>
      </c>
      <c r="C40" s="116">
        <f>IF(C11=0,0,C11/TrRail_act!C6*1000)</f>
        <v>30.6835956602085</v>
      </c>
      <c r="D40" s="116">
        <f>IF(D11=0,0,D11/TrRail_act!D6*1000)</f>
        <v>33.387507825430482</v>
      </c>
      <c r="E40" s="116">
        <f>IF(E11=0,0,E11/TrRail_act!E6*1000)</f>
        <v>33.749380604064207</v>
      </c>
      <c r="F40" s="116">
        <f>IF(F11=0,0,F11/TrRail_act!F6*1000)</f>
        <v>32.914995703077999</v>
      </c>
      <c r="G40" s="116">
        <f>IF(G11=0,0,G11/TrRail_act!G6*1000)</f>
        <v>33.978554137383519</v>
      </c>
      <c r="H40" s="116">
        <f>IF(H11=0,0,H11/TrRail_act!H6*1000)</f>
        <v>34.745364085130426</v>
      </c>
      <c r="I40" s="116">
        <f>IF(I11=0,0,I11/TrRail_act!I6*1000)</f>
        <v>34.262752066260596</v>
      </c>
      <c r="J40" s="116">
        <f>IF(J11=0,0,J11/TrRail_act!J6*1000)</f>
        <v>39.888689844142469</v>
      </c>
      <c r="K40" s="116">
        <f>IF(K11=0,0,K11/TrRail_act!K6*1000)</f>
        <v>36.403257424689009</v>
      </c>
      <c r="L40" s="116">
        <f>IF(L11=0,0,L11/TrRail_act!L6*1000)</f>
        <v>35.763870222051878</v>
      </c>
      <c r="M40" s="116">
        <f>IF(M11=0,0,M11/TrRail_act!M6*1000)</f>
        <v>34.512191885743675</v>
      </c>
      <c r="N40" s="116">
        <f>IF(N11=0,0,N11/TrRail_act!N6*1000)</f>
        <v>33.142764677677896</v>
      </c>
      <c r="O40" s="116">
        <f>IF(O11=0,0,O11/TrRail_act!O6*1000)</f>
        <v>30.995244100807156</v>
      </c>
      <c r="P40" s="116">
        <f>IF(P11=0,0,P11/TrRail_act!P6*1000)</f>
        <v>28.792162075942322</v>
      </c>
      <c r="Q40" s="116">
        <f>IF(Q11=0,0,Q11/TrRail_act!Q6*1000)</f>
        <v>27.288215530872094</v>
      </c>
      <c r="R40" s="116">
        <f>IF(R11=0,0,R11/TrRail_act!R6*1000)</f>
        <v>23.478649362234176</v>
      </c>
      <c r="S40" s="116">
        <f>IF(S11=0,0,S11/TrRail_act!S6*1000)</f>
        <v>23.306791946685063</v>
      </c>
      <c r="T40" s="116">
        <f>IF(T11=0,0,T11/TrRail_act!T6*1000)</f>
        <v>21.379583719668375</v>
      </c>
      <c r="U40" s="116">
        <f>IF(U11=0,0,U11/TrRail_act!U6*1000)</f>
        <v>18.887554018991374</v>
      </c>
      <c r="V40" s="116">
        <f>IF(V11=0,0,V11/TrRail_act!V6*1000)</f>
        <v>25.927726801326958</v>
      </c>
      <c r="W40" s="116">
        <f>IF(W11=0,0,W11/TrRail_act!W6*1000)</f>
        <v>24.593363066385646</v>
      </c>
      <c r="X40" s="116">
        <f>IF(X11=0,0,X11/TrRail_act!X6*1000)</f>
        <v>17.026278752812967</v>
      </c>
      <c r="Y40" s="116">
        <f>IF(Y11=0,0,Y11/TrRail_act!Y6*1000)</f>
        <v>15.727916067249382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58.586024252554949</v>
      </c>
      <c r="C41" s="87">
        <f>IF(C12=0,0,C12/TrRail_act!C7*1000)</f>
        <v>56.169234503371939</v>
      </c>
      <c r="D41" s="87">
        <f>IF(D12=0,0,D12/TrRail_act!D7*1000)</f>
        <v>61.499483952385049</v>
      </c>
      <c r="E41" s="87">
        <f>IF(E12=0,0,E12/TrRail_act!E7*1000)</f>
        <v>63.656316595651127</v>
      </c>
      <c r="F41" s="87">
        <f>IF(F12=0,0,F12/TrRail_act!F7*1000)</f>
        <v>62.772921113942751</v>
      </c>
      <c r="G41" s="87">
        <f>IF(G12=0,0,G12/TrRail_act!G7*1000)</f>
        <v>65.290047439958954</v>
      </c>
      <c r="H41" s="87">
        <f>IF(H12=0,0,H12/TrRail_act!H7*1000)</f>
        <v>68.338260764958164</v>
      </c>
      <c r="I41" s="87">
        <f>IF(I12=0,0,I12/TrRail_act!I7*1000)</f>
        <v>68.449567101429068</v>
      </c>
      <c r="J41" s="87">
        <f>IF(J12=0,0,J12/TrRail_act!J7*1000)</f>
        <v>81.960500452651772</v>
      </c>
      <c r="K41" s="87">
        <f>IF(K12=0,0,K12/TrRail_act!K7*1000)</f>
        <v>76.006851846539348</v>
      </c>
      <c r="L41" s="87">
        <f>IF(L12=0,0,L12/TrRail_act!L7*1000)</f>
        <v>74.886044353504971</v>
      </c>
      <c r="M41" s="87">
        <f>IF(M12=0,0,M12/TrRail_act!M7*1000)</f>
        <v>72.971432592526781</v>
      </c>
      <c r="N41" s="87">
        <f>IF(N12=0,0,N12/TrRail_act!N7*1000)</f>
        <v>71.623761296362602</v>
      </c>
      <c r="O41" s="87">
        <f>IF(O12=0,0,O12/TrRail_act!O7*1000)</f>
        <v>67.30494797112145</v>
      </c>
      <c r="P41" s="87">
        <f>IF(P12=0,0,P12/TrRail_act!P7*1000)</f>
        <v>62.55586742376294</v>
      </c>
      <c r="Q41" s="87">
        <f>IF(Q12=0,0,Q12/TrRail_act!Q7*1000)</f>
        <v>60.905095100553282</v>
      </c>
      <c r="R41" s="87">
        <f>IF(R12=0,0,R12/TrRail_act!R7*1000)</f>
        <v>52.155521009069993</v>
      </c>
      <c r="S41" s="87">
        <f>IF(S12=0,0,S12/TrRail_act!S7*1000)</f>
        <v>51.916988424902122</v>
      </c>
      <c r="T41" s="87">
        <f>IF(T12=0,0,T12/TrRail_act!T7*1000)</f>
        <v>48.327555573367398</v>
      </c>
      <c r="U41" s="87">
        <f>IF(U12=0,0,U12/TrRail_act!U7*1000)</f>
        <v>42.731300677710152</v>
      </c>
      <c r="V41" s="87">
        <f>IF(V12=0,0,V12/TrRail_act!V7*1000)</f>
        <v>56.823437721346984</v>
      </c>
      <c r="W41" s="87">
        <f>IF(W12=0,0,W12/TrRail_act!W7*1000)</f>
        <v>53.619451907560695</v>
      </c>
      <c r="X41" s="87">
        <f>IF(X12=0,0,X12/TrRail_act!X7*1000)</f>
        <v>38.19356072637764</v>
      </c>
      <c r="Y41" s="87">
        <f>IF(Y12=0,0,Y12/TrRail_act!Y7*1000)</f>
        <v>36.434446834163701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5.4535017618820243</v>
      </c>
      <c r="C44" s="29">
        <f>IF(C15=0,0,C15/TrRail_act!C10*1000)</f>
        <v>4.5768514577596555</v>
      </c>
      <c r="D44" s="29">
        <f>IF(D15=0,0,D15/TrRail_act!D10*1000)</f>
        <v>4.5459510990281515</v>
      </c>
      <c r="E44" s="29">
        <f>IF(E15=0,0,E15/TrRail_act!E10*1000)</f>
        <v>4.1520581050756196</v>
      </c>
      <c r="F44" s="29">
        <f>IF(F15=0,0,F15/TrRail_act!F10*1000)</f>
        <v>4.360321085969372</v>
      </c>
      <c r="G44" s="29">
        <f>IF(G15=0,0,G15/TrRail_act!G10*1000)</f>
        <v>4.0464522847333173</v>
      </c>
      <c r="H44" s="29">
        <f>IF(H15=0,0,H15/TrRail_act!H10*1000)</f>
        <v>4.5969824286389214</v>
      </c>
      <c r="I44" s="29">
        <f>IF(I15=0,0,I15/TrRail_act!I10*1000)</f>
        <v>4.8515079000075625</v>
      </c>
      <c r="J44" s="29">
        <f>IF(J15=0,0,J15/TrRail_act!J10*1000)</f>
        <v>4.9849561272655016</v>
      </c>
      <c r="K44" s="29">
        <f>IF(K15=0,0,K15/TrRail_act!K10*1000)</f>
        <v>6.0064538835768193</v>
      </c>
      <c r="L44" s="29">
        <f>IF(L15=0,0,L15/TrRail_act!L10*1000)</f>
        <v>5.0836704474549652</v>
      </c>
      <c r="M44" s="29">
        <f>IF(M15=0,0,M15/TrRail_act!M10*1000)</f>
        <v>4.7365609195726295</v>
      </c>
      <c r="N44" s="29">
        <f>IF(N15=0,0,N15/TrRail_act!N10*1000)</f>
        <v>3.4275341801209813</v>
      </c>
      <c r="O44" s="29">
        <f>IF(O15=0,0,O15/TrRail_act!O10*1000)</f>
        <v>3.3581537879255219</v>
      </c>
      <c r="P44" s="29">
        <f>IF(P15=0,0,P15/TrRail_act!P10*1000)</f>
        <v>4.4614793069866892</v>
      </c>
      <c r="Q44" s="29">
        <f>IF(Q15=0,0,Q15/TrRail_act!Q10*1000)</f>
        <v>4.2616252190180717</v>
      </c>
      <c r="R44" s="29">
        <f>IF(R15=0,0,R15/TrRail_act!R10*1000)</f>
        <v>3.8533039881298561</v>
      </c>
      <c r="S44" s="29">
        <f>IF(S15=0,0,S15/TrRail_act!S10*1000)</f>
        <v>3.611457555301627</v>
      </c>
      <c r="T44" s="29">
        <f>IF(T15=0,0,T15/TrRail_act!T10*1000)</f>
        <v>3.3515283204806989</v>
      </c>
      <c r="U44" s="29">
        <f>IF(U15=0,0,U15/TrRail_act!U10*1000)</f>
        <v>3.5785602124266522</v>
      </c>
      <c r="V44" s="29">
        <f>IF(V15=0,0,V15/TrRail_act!V10*1000)</f>
        <v>3.9231372057232146</v>
      </c>
      <c r="W44" s="29">
        <f>IF(W15=0,0,W15/TrRail_act!W10*1000)</f>
        <v>3.6623609356574169</v>
      </c>
      <c r="X44" s="29">
        <f>IF(X15=0,0,X15/TrRail_act!X10*1000)</f>
        <v>4.9812997212127819</v>
      </c>
      <c r="Y44" s="29">
        <f>IF(Y15=0,0,Y15/TrRail_act!Y10*1000)</f>
        <v>4.928432597688734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18.754130261820041</v>
      </c>
      <c r="C45" s="87">
        <f>IF(C16=0,0,C16/TrRail_act!C11*1000)</f>
        <v>19.062812426561486</v>
      </c>
      <c r="D45" s="87">
        <f>IF(D16=0,0,D16/TrRail_act!D11*1000)</f>
        <v>18.730652351621902</v>
      </c>
      <c r="E45" s="87">
        <f>IF(E16=0,0,E16/TrRail_act!E11*1000)</f>
        <v>18.772635003936781</v>
      </c>
      <c r="F45" s="87">
        <f>IF(F16=0,0,F16/TrRail_act!F11*1000)</f>
        <v>19.950965671181724</v>
      </c>
      <c r="G45" s="87">
        <f>IF(G16=0,0,G16/TrRail_act!G11*1000)</f>
        <v>19.044527567335273</v>
      </c>
      <c r="H45" s="87">
        <f>IF(H16=0,0,H16/TrRail_act!H11*1000)</f>
        <v>19.663379310922007</v>
      </c>
      <c r="I45" s="87">
        <f>IF(I16=0,0,I16/TrRail_act!I11*1000)</f>
        <v>21.318012121882784</v>
      </c>
      <c r="J45" s="87">
        <f>IF(J16=0,0,J16/TrRail_act!J11*1000)</f>
        <v>20.621768597522006</v>
      </c>
      <c r="K45" s="87">
        <f>IF(K16=0,0,K16/TrRail_act!K11*1000)</f>
        <v>20.797392426307724</v>
      </c>
      <c r="L45" s="87">
        <f>IF(L16=0,0,L16/TrRail_act!L11*1000)</f>
        <v>18.785156903983278</v>
      </c>
      <c r="M45" s="87">
        <f>IF(M16=0,0,M16/TrRail_act!M11*1000)</f>
        <v>19.080020031339387</v>
      </c>
      <c r="N45" s="87">
        <f>IF(N16=0,0,N16/TrRail_act!N11*1000)</f>
        <v>17.482582951862973</v>
      </c>
      <c r="O45" s="87">
        <f>IF(O16=0,0,O16/TrRail_act!O11*1000)</f>
        <v>16.768863968370979</v>
      </c>
      <c r="P45" s="87">
        <f>IF(P16=0,0,P16/TrRail_act!P11*1000)</f>
        <v>17.883883998210955</v>
      </c>
      <c r="Q45" s="87">
        <f>IF(Q16=0,0,Q16/TrRail_act!Q11*1000)</f>
        <v>18.320249388159393</v>
      </c>
      <c r="R45" s="87">
        <f>IF(R16=0,0,R16/TrRail_act!R11*1000)</f>
        <v>16.466648569459906</v>
      </c>
      <c r="S45" s="87">
        <f>IF(S16=0,0,S16/TrRail_act!S11*1000)</f>
        <v>16.241001602587666</v>
      </c>
      <c r="T45" s="87">
        <f>IF(T16=0,0,T16/TrRail_act!T11*1000)</f>
        <v>15.622194358604277</v>
      </c>
      <c r="U45" s="87">
        <f>IF(U16=0,0,U16/TrRail_act!U11*1000)</f>
        <v>16.658433488453486</v>
      </c>
      <c r="V45" s="87">
        <f>IF(V16=0,0,V16/TrRail_act!V11*1000)</f>
        <v>17.979578142592892</v>
      </c>
      <c r="W45" s="87">
        <f>IF(W16=0,0,W16/TrRail_act!W11*1000)</f>
        <v>17.435031125097424</v>
      </c>
      <c r="X45" s="87">
        <f>IF(X16=0,0,X16/TrRail_act!X11*1000)</f>
        <v>25.171300664391875</v>
      </c>
      <c r="Y45" s="87">
        <f>IF(Y16=0,0,Y16/TrRail_act!Y11*1000)</f>
        <v>20.934430606479193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251.91738480527428</v>
      </c>
      <c r="C48" s="62">
        <f>IF(C8=0,0,1000000*C8/TrRail_act!C25/1000)</f>
        <v>228.05369080011252</v>
      </c>
      <c r="D48" s="62">
        <f>IF(D8=0,0,1000000*D8/TrRail_act!D25/1000)</f>
        <v>221.29157644832009</v>
      </c>
      <c r="E48" s="62">
        <f>IF(E8=0,0,1000000*E8/TrRail_act!E25/1000)</f>
        <v>206.36296680716868</v>
      </c>
      <c r="F48" s="62">
        <f>IF(F8=0,0,1000000*F8/TrRail_act!F25/1000)</f>
        <v>177.18804143144607</v>
      </c>
      <c r="G48" s="62">
        <f>IF(G8=0,0,1000000*G8/TrRail_act!G25/1000)</f>
        <v>184.06779419853586</v>
      </c>
      <c r="H48" s="62">
        <f>IF(H8=0,0,1000000*H8/TrRail_act!H25/1000)</f>
        <v>198.00484029848448</v>
      </c>
      <c r="I48" s="62">
        <f>IF(I8=0,0,1000000*I8/TrRail_act!I25/1000)</f>
        <v>195.72266203315073</v>
      </c>
      <c r="J48" s="62">
        <f>IF(J8=0,0,1000000*J8/TrRail_act!J25/1000)</f>
        <v>191.43999366824454</v>
      </c>
      <c r="K48" s="62">
        <f>IF(K8=0,0,1000000*K8/TrRail_act!K25/1000)</f>
        <v>172.40557832760069</v>
      </c>
      <c r="L48" s="62">
        <f>IF(L8=0,0,1000000*L8/TrRail_act!L25/1000)</f>
        <v>170.54487237695497</v>
      </c>
      <c r="M48" s="62">
        <f>IF(M8=0,0,1000000*M8/TrRail_act!M25/1000)</f>
        <v>170.62237286945501</v>
      </c>
      <c r="N48" s="62">
        <f>IF(N8=0,0,1000000*N8/TrRail_act!N25/1000)</f>
        <v>156.7226288102371</v>
      </c>
      <c r="O48" s="62">
        <f>IF(O8=0,0,1000000*O8/TrRail_act!O25/1000)</f>
        <v>152.60559964349602</v>
      </c>
      <c r="P48" s="62">
        <f>IF(P8=0,0,1000000*P8/TrRail_act!P25/1000)</f>
        <v>159.1975729197184</v>
      </c>
      <c r="Q48" s="62">
        <f>IF(Q8=0,0,1000000*Q8/TrRail_act!Q25/1000)</f>
        <v>152.88886588725535</v>
      </c>
      <c r="R48" s="62">
        <f>IF(R8=0,0,1000000*R8/TrRail_act!R25/1000)</f>
        <v>132.13890301815835</v>
      </c>
      <c r="S48" s="62">
        <f>IF(S8=0,0,1000000*S8/TrRail_act!S25/1000)</f>
        <v>132.30191602782921</v>
      </c>
      <c r="T48" s="62">
        <f>IF(T8=0,0,1000000*T8/TrRail_act!T25/1000)</f>
        <v>130.48752740778244</v>
      </c>
      <c r="U48" s="62">
        <f>IF(U8=0,0,1000000*U8/TrRail_act!U25/1000)</f>
        <v>124.14968509298993</v>
      </c>
      <c r="V48" s="62">
        <f>IF(V8=0,0,1000000*V8/TrRail_act!V25/1000)</f>
        <v>116.24335872995212</v>
      </c>
      <c r="W48" s="62">
        <f>IF(W8=0,0,1000000*W8/TrRail_act!W25/1000)</f>
        <v>118.79947586770896</v>
      </c>
      <c r="X48" s="62">
        <f>IF(X8=0,0,1000000*X8/TrRail_act!X25/1000)</f>
        <v>130.48334395773881</v>
      </c>
      <c r="Y48" s="62">
        <f>IF(Y8=0,0,1000000*Y8/TrRail_act!Y25/1000)</f>
        <v>129.59536834844613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197.66853952895383</v>
      </c>
      <c r="C49" s="29">
        <f>IF(C9=0,0,1000000*C9/TrRail_act!C26/1000)</f>
        <v>187.25592409264684</v>
      </c>
      <c r="D49" s="29">
        <f>IF(D9=0,0,1000000*D9/TrRail_act!D26/1000)</f>
        <v>182.43371736925221</v>
      </c>
      <c r="E49" s="29">
        <f>IF(E9=0,0,1000000*E9/TrRail_act!E26/1000)</f>
        <v>172.66209930069891</v>
      </c>
      <c r="F49" s="29">
        <f>IF(F9=0,0,1000000*F9/TrRail_act!F26/1000)</f>
        <v>150.39075177881384</v>
      </c>
      <c r="G49" s="29">
        <f>IF(G9=0,0,1000000*G9/TrRail_act!G26/1000)</f>
        <v>161.08862910030788</v>
      </c>
      <c r="H49" s="29">
        <f>IF(H9=0,0,1000000*H9/TrRail_act!H26/1000)</f>
        <v>168.35252361600942</v>
      </c>
      <c r="I49" s="29">
        <f>IF(I9=0,0,1000000*I9/TrRail_act!I26/1000)</f>
        <v>162.69735909094979</v>
      </c>
      <c r="J49" s="29">
        <f>IF(J9=0,0,1000000*J9/TrRail_act!J26/1000)</f>
        <v>162.64755390289397</v>
      </c>
      <c r="K49" s="29">
        <f>IF(K9=0,0,1000000*K9/TrRail_act!K26/1000)</f>
        <v>141.07069736769202</v>
      </c>
      <c r="L49" s="29">
        <f>IF(L9=0,0,1000000*L9/TrRail_act!L26/1000)</f>
        <v>141.66342666792212</v>
      </c>
      <c r="M49" s="29">
        <f>IF(M9=0,0,1000000*M9/TrRail_act!M26/1000)</f>
        <v>141.581213315166</v>
      </c>
      <c r="N49" s="29">
        <f>IF(N9=0,0,1000000*N9/TrRail_act!N26/1000)</f>
        <v>139.01129448490232</v>
      </c>
      <c r="O49" s="29">
        <f>IF(O9=0,0,1000000*O9/TrRail_act!O26/1000)</f>
        <v>135.11565490636679</v>
      </c>
      <c r="P49" s="29">
        <f>IF(P9=0,0,1000000*P9/TrRail_act!P26/1000)</f>
        <v>131.64574483750573</v>
      </c>
      <c r="Q49" s="29">
        <f>IF(Q9=0,0,1000000*Q9/TrRail_act!Q26/1000)</f>
        <v>125.89027208251537</v>
      </c>
      <c r="R49" s="29">
        <f>IF(R9=0,0,1000000*R9/TrRail_act!R26/1000)</f>
        <v>108.07500879880564</v>
      </c>
      <c r="S49" s="29">
        <f>IF(S9=0,0,1000000*S9/TrRail_act!S26/1000)</f>
        <v>110.73951140050899</v>
      </c>
      <c r="T49" s="29">
        <f>IF(T9=0,0,1000000*T9/TrRail_act!T26/1000)</f>
        <v>109.883291236302</v>
      </c>
      <c r="U49" s="29">
        <f>IF(U9=0,0,1000000*U9/TrRail_act!U26/1000)</f>
        <v>102.08434289391155</v>
      </c>
      <c r="V49" s="29">
        <f>IF(V9=0,0,1000000*V9/TrRail_act!V26/1000)</f>
        <v>91.341844780500068</v>
      </c>
      <c r="W49" s="29">
        <f>IF(W9=0,0,1000000*W9/TrRail_act!W26/1000)</f>
        <v>93.303359064439277</v>
      </c>
      <c r="X49" s="29">
        <f>IF(X9=0,0,1000000*X9/TrRail_act!X26/1000)</f>
        <v>94.255749853210716</v>
      </c>
      <c r="Y49" s="29">
        <f>IF(Y9=0,0,1000000*Y9/TrRail_act!Y26/1000)</f>
        <v>96.209106585042136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845.95087088121647</v>
      </c>
      <c r="C51" s="116">
        <f>IF(C11=0,0,1000000*C11/TrRail_act!C28/1000)</f>
        <v>839.94628445259195</v>
      </c>
      <c r="D51" s="116">
        <f>IF(D11=0,0,1000000*D11/TrRail_act!D28/1000)</f>
        <v>847.24414410019244</v>
      </c>
      <c r="E51" s="116">
        <f>IF(E11=0,0,1000000*E11/TrRail_act!E28/1000)</f>
        <v>813.14976968397775</v>
      </c>
      <c r="F51" s="116">
        <f>IF(F11=0,0,1000000*F11/TrRail_act!F28/1000)</f>
        <v>558.89240693930833</v>
      </c>
      <c r="G51" s="116">
        <f>IF(G11=0,0,1000000*G11/TrRail_act!G28/1000)</f>
        <v>534.86266723173185</v>
      </c>
      <c r="H51" s="116">
        <f>IF(H11=0,0,1000000*H11/TrRail_act!H28/1000)</f>
        <v>543.49649223670428</v>
      </c>
      <c r="I51" s="116">
        <f>IF(I11=0,0,1000000*I11/TrRail_act!I28/1000)</f>
        <v>539.55310809616901</v>
      </c>
      <c r="J51" s="116">
        <f>IF(J11=0,0,1000000*J11/TrRail_act!J28/1000)</f>
        <v>581.99636613883115</v>
      </c>
      <c r="K51" s="116">
        <f>IF(K11=0,0,1000000*K11/TrRail_act!K28/1000)</f>
        <v>499.51743771362038</v>
      </c>
      <c r="L51" s="116">
        <f>IF(L11=0,0,1000000*L11/TrRail_act!L28/1000)</f>
        <v>508.42404970857922</v>
      </c>
      <c r="M51" s="116">
        <f>IF(M11=0,0,1000000*M11/TrRail_act!M28/1000)</f>
        <v>486.8273405040735</v>
      </c>
      <c r="N51" s="116">
        <f>IF(N11=0,0,1000000*N11/TrRail_act!N28/1000)</f>
        <v>494.75441123196259</v>
      </c>
      <c r="O51" s="116">
        <f>IF(O11=0,0,1000000*O11/TrRail_act!O28/1000)</f>
        <v>469.05925307047784</v>
      </c>
      <c r="P51" s="116">
        <f>IF(P11=0,0,1000000*P11/TrRail_act!P28/1000)</f>
        <v>440.80920818398454</v>
      </c>
      <c r="Q51" s="116">
        <f>IF(Q11=0,0,1000000*Q11/TrRail_act!Q28/1000)</f>
        <v>417.30827440282445</v>
      </c>
      <c r="R51" s="116">
        <f>IF(R11=0,0,1000000*R11/TrRail_act!R28/1000)</f>
        <v>375.42191060037436</v>
      </c>
      <c r="S51" s="116">
        <f>IF(S11=0,0,1000000*S11/TrRail_act!S28/1000)</f>
        <v>371.80528397541036</v>
      </c>
      <c r="T51" s="116">
        <f>IF(T11=0,0,1000000*T11/TrRail_act!T28/1000)</f>
        <v>349.0958563490334</v>
      </c>
      <c r="U51" s="116">
        <f>IF(U11=0,0,1000000*U11/TrRail_act!U28/1000)</f>
        <v>334.37886871943192</v>
      </c>
      <c r="V51" s="116">
        <f>IF(V11=0,0,1000000*V11/TrRail_act!V28/1000)</f>
        <v>294.46535662563093</v>
      </c>
      <c r="W51" s="116">
        <f>IF(W11=0,0,1000000*W11/TrRail_act!W28/1000)</f>
        <v>289.09891929174779</v>
      </c>
      <c r="X51" s="116">
        <f>IF(X11=0,0,1000000*X11/TrRail_act!X28/1000)</f>
        <v>261.06620715943461</v>
      </c>
      <c r="Y51" s="116">
        <f>IF(Y11=0,0,1000000*Y11/TrRail_act!Y28/1000)</f>
        <v>243.22041557182268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1255.0409149517061</v>
      </c>
      <c r="C52" s="87">
        <f>IF(C12=0,0,1000000*C12/TrRail_act!C29/1000)</f>
        <v>1234.674446703061</v>
      </c>
      <c r="D52" s="87">
        <f>IF(D12=0,0,1000000*D12/TrRail_act!D29/1000)</f>
        <v>1207.2180807455236</v>
      </c>
      <c r="E52" s="87">
        <f>IF(E12=0,0,1000000*E12/TrRail_act!E29/1000)</f>
        <v>1187.9167361497175</v>
      </c>
      <c r="F52" s="87">
        <f>IF(F12=0,0,1000000*F12/TrRail_act!F29/1000)</f>
        <v>1145.4343201635666</v>
      </c>
      <c r="G52" s="87">
        <f>IF(G12=0,0,1000000*G12/TrRail_act!G29/1000)</f>
        <v>1131.4421349276943</v>
      </c>
      <c r="H52" s="87">
        <f>IF(H12=0,0,1000000*H12/TrRail_act!H29/1000)</f>
        <v>1099.5598198590083</v>
      </c>
      <c r="I52" s="87">
        <f>IF(I12=0,0,1000000*I12/TrRail_act!I29/1000)</f>
        <v>1086.5585427745775</v>
      </c>
      <c r="J52" s="87">
        <f>IF(J12=0,0,1000000*J12/TrRail_act!J29/1000)</f>
        <v>1070.0499717696864</v>
      </c>
      <c r="K52" s="87">
        <f>IF(K12=0,0,1000000*K12/TrRail_act!K29/1000)</f>
        <v>1011.6278510213012</v>
      </c>
      <c r="L52" s="87">
        <f>IF(L12=0,0,1000000*L12/TrRail_act!L29/1000)</f>
        <v>1027.5211817038407</v>
      </c>
      <c r="M52" s="87">
        <f>IF(M12=0,0,1000000*M12/TrRail_act!M29/1000)</f>
        <v>1006.4095059045566</v>
      </c>
      <c r="N52" s="87">
        <f>IF(N12=0,0,1000000*N12/TrRail_act!N29/1000)</f>
        <v>986.06175828228754</v>
      </c>
      <c r="O52" s="87">
        <f>IF(O12=0,0,1000000*O12/TrRail_act!O29/1000)</f>
        <v>963.17706147551326</v>
      </c>
      <c r="P52" s="87">
        <f>IF(P12=0,0,1000000*P12/TrRail_act!P29/1000)</f>
        <v>936.38854127119839</v>
      </c>
      <c r="Q52" s="87">
        <f>IF(Q12=0,0,1000000*Q12/TrRail_act!Q29/1000)</f>
        <v>899.25718000212157</v>
      </c>
      <c r="R52" s="87">
        <f>IF(R12=0,0,1000000*R12/TrRail_act!R29/1000)</f>
        <v>807.25804648858843</v>
      </c>
      <c r="S52" s="87">
        <f>IF(S12=0,0,1000000*S12/TrRail_act!S29/1000)</f>
        <v>817.01964315079158</v>
      </c>
      <c r="T52" s="87">
        <f>IF(T12=0,0,1000000*T12/TrRail_act!T29/1000)</f>
        <v>815.29691002344816</v>
      </c>
      <c r="U52" s="87">
        <f>IF(U12=0,0,1000000*U12/TrRail_act!U29/1000)</f>
        <v>803.95262567020268</v>
      </c>
      <c r="V52" s="87">
        <f>IF(V12=0,0,1000000*V12/TrRail_act!V29/1000)</f>
        <v>731.3775230304816</v>
      </c>
      <c r="W52" s="87">
        <f>IF(W12=0,0,1000000*W12/TrRail_act!W29/1000)</f>
        <v>763.54190166903925</v>
      </c>
      <c r="X52" s="87">
        <f>IF(X12=0,0,1000000*X12/TrRail_act!X29/1000)</f>
        <v>760.54923654253616</v>
      </c>
      <c r="Y52" s="87">
        <f>IF(Y12=0,0,1000000*Y12/TrRail_act!Y29/1000)</f>
        <v>770.27743420935985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767.69428201535482</v>
      </c>
      <c r="C55" s="29">
        <f>IF(C15=0,0,1000000*C15/TrRail_act!C32/1000)</f>
        <v>617.75821114850976</v>
      </c>
      <c r="D55" s="29">
        <f>IF(D15=0,0,1000000*D15/TrRail_act!D32/1000)</f>
        <v>637.27079452746068</v>
      </c>
      <c r="E55" s="29">
        <f>IF(E15=0,0,1000000*E15/TrRail_act!E32/1000)</f>
        <v>592.88261088999741</v>
      </c>
      <c r="F55" s="29">
        <f>IF(F15=0,0,1000000*F15/TrRail_act!F32/1000)</f>
        <v>428.354294956069</v>
      </c>
      <c r="G55" s="29">
        <f>IF(G15=0,0,1000000*G15/TrRail_act!G32/1000)</f>
        <v>397.31155367698904</v>
      </c>
      <c r="H55" s="29">
        <f>IF(H15=0,0,1000000*H15/TrRail_act!H32/1000)</f>
        <v>462.10605291017515</v>
      </c>
      <c r="I55" s="29">
        <f>IF(I15=0,0,1000000*I15/TrRail_act!I32/1000)</f>
        <v>463.3435746760876</v>
      </c>
      <c r="J55" s="29">
        <f>IF(J15=0,0,1000000*J15/TrRail_act!J32/1000)</f>
        <v>476.55011120153915</v>
      </c>
      <c r="K55" s="29">
        <f>IF(K15=0,0,1000000*K15/TrRail_act!K32/1000)</f>
        <v>501.79778749070556</v>
      </c>
      <c r="L55" s="29">
        <f>IF(L15=0,0,1000000*L15/TrRail_act!L32/1000)</f>
        <v>494.25863830485719</v>
      </c>
      <c r="M55" s="29">
        <f>IF(M15=0,0,1000000*M15/TrRail_act!M32/1000)</f>
        <v>511.58488297235829</v>
      </c>
      <c r="N55" s="29">
        <f>IF(N15=0,0,1000000*N15/TrRail_act!N32/1000)</f>
        <v>389.84936030399786</v>
      </c>
      <c r="O55" s="29">
        <f>IF(O15=0,0,1000000*O15/TrRail_act!O32/1000)</f>
        <v>403.32332501937066</v>
      </c>
      <c r="P55" s="29">
        <f>IF(P15=0,0,1000000*P15/TrRail_act!P32/1000)</f>
        <v>506.28736674080676</v>
      </c>
      <c r="Q55" s="29">
        <f>IF(Q15=0,0,1000000*Q15/TrRail_act!Q32/1000)</f>
        <v>477.9270018505174</v>
      </c>
      <c r="R55" s="29">
        <f>IF(R15=0,0,1000000*R15/TrRail_act!R32/1000)</f>
        <v>438.07742869448481</v>
      </c>
      <c r="S55" s="29">
        <f>IF(S15=0,0,1000000*S15/TrRail_act!S32/1000)</f>
        <v>419.75101126289354</v>
      </c>
      <c r="T55" s="29">
        <f>IF(T15=0,0,1000000*T15/TrRail_act!T32/1000)</f>
        <v>408.64275959260988</v>
      </c>
      <c r="U55" s="29">
        <f>IF(U15=0,0,1000000*U15/TrRail_act!U32/1000)</f>
        <v>418.46405284595181</v>
      </c>
      <c r="V55" s="29">
        <f>IF(V15=0,0,1000000*V15/TrRail_act!V32/1000)</f>
        <v>413.57395750475507</v>
      </c>
      <c r="W55" s="29">
        <f>IF(W15=0,0,1000000*W15/TrRail_act!W32/1000)</f>
        <v>392.48601295968399</v>
      </c>
      <c r="X55" s="29">
        <f>IF(X15=0,0,1000000*X15/TrRail_act!X32/1000)</f>
        <v>445.62253410178675</v>
      </c>
      <c r="Y55" s="29">
        <f>IF(Y15=0,0,1000000*Y15/TrRail_act!Y32/1000)</f>
        <v>418.63479682789352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2405.6922965297854</v>
      </c>
      <c r="C56" s="87">
        <f>IF(C16=0,0,1000000*C16/TrRail_act!C33/1000)</f>
        <v>2166.8899369412047</v>
      </c>
      <c r="D56" s="87">
        <f>IF(D16=0,0,1000000*D16/TrRail_act!D33/1000)</f>
        <v>2265.1265493320006</v>
      </c>
      <c r="E56" s="87">
        <f>IF(E16=0,0,1000000*E16/TrRail_act!E33/1000)</f>
        <v>2348.2292697539142</v>
      </c>
      <c r="F56" s="87">
        <f>IF(F16=0,0,1000000*F16/TrRail_act!F33/1000)</f>
        <v>2326.7813796523719</v>
      </c>
      <c r="G56" s="87">
        <f>IF(G16=0,0,1000000*G16/TrRail_act!G33/1000)</f>
        <v>2288.2337313814755</v>
      </c>
      <c r="H56" s="87">
        <f>IF(H16=0,0,1000000*H16/TrRail_act!H33/1000)</f>
        <v>2254.9253113314016</v>
      </c>
      <c r="I56" s="87">
        <f>IF(I16=0,0,1000000*I16/TrRail_act!I33/1000)</f>
        <v>2240.4488116085881</v>
      </c>
      <c r="J56" s="87">
        <f>IF(J16=0,0,1000000*J16/TrRail_act!J33/1000)</f>
        <v>2228.3911885775633</v>
      </c>
      <c r="K56" s="87">
        <f>IF(K16=0,0,1000000*K16/TrRail_act!K33/1000)</f>
        <v>2218.9949789297239</v>
      </c>
      <c r="L56" s="87">
        <f>IF(L16=0,0,1000000*L16/TrRail_act!L33/1000)</f>
        <v>2214.5826329599431</v>
      </c>
      <c r="M56" s="87">
        <f>IF(M16=0,0,1000000*M16/TrRail_act!M33/1000)</f>
        <v>2188.2424880877506</v>
      </c>
      <c r="N56" s="87">
        <f>IF(N16=0,0,1000000*N16/TrRail_act!N33/1000)</f>
        <v>1809.6929289615873</v>
      </c>
      <c r="O56" s="87">
        <f>IF(O16=0,0,1000000*O16/TrRail_act!O33/1000)</f>
        <v>2034.0916509123756</v>
      </c>
      <c r="P56" s="87">
        <f>IF(P16=0,0,1000000*P16/TrRail_act!P33/1000)</f>
        <v>2157.9383640247061</v>
      </c>
      <c r="Q56" s="87">
        <f>IF(Q16=0,0,1000000*Q16/TrRail_act!Q33/1000)</f>
        <v>2153.8459604319382</v>
      </c>
      <c r="R56" s="87">
        <f>IF(R16=0,0,1000000*R16/TrRail_act!R33/1000)</f>
        <v>1976.3982895226991</v>
      </c>
      <c r="S56" s="87">
        <f>IF(S16=0,0,1000000*S16/TrRail_act!S33/1000)</f>
        <v>1999.5034136199774</v>
      </c>
      <c r="T56" s="87">
        <f>IF(T16=0,0,1000000*T16/TrRail_act!T33/1000)</f>
        <v>2014.8417492902029</v>
      </c>
      <c r="U56" s="87">
        <f>IF(U16=0,0,1000000*U16/TrRail_act!U33/1000)</f>
        <v>2027.7530087415582</v>
      </c>
      <c r="V56" s="87">
        <f>IF(V16=0,0,1000000*V16/TrRail_act!V33/1000)</f>
        <v>2012.3108733986994</v>
      </c>
      <c r="W56" s="87">
        <f>IF(W16=0,0,1000000*W16/TrRail_act!W33/1000)</f>
        <v>1985.0299555534943</v>
      </c>
      <c r="X56" s="87">
        <f>IF(X16=0,0,1000000*X16/TrRail_act!X33/1000)</f>
        <v>1996.5867385500724</v>
      </c>
      <c r="Y56" s="87">
        <f>IF(Y16=0,0,1000000*Y16/TrRail_act!Y33/1000)</f>
        <v>2010.1126878972116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0.70998117003131789</v>
      </c>
      <c r="C60" s="31">
        <f t="shared" ref="C60:V60" si="13">IF(C9=0,0,C9/C$8)</f>
        <v>0.74329025890957323</v>
      </c>
      <c r="D60" s="31">
        <f t="shared" si="13"/>
        <v>0.75397335634963003</v>
      </c>
      <c r="E60" s="31">
        <f t="shared" si="13"/>
        <v>0.76959028696616161</v>
      </c>
      <c r="F60" s="31">
        <f t="shared" si="13"/>
        <v>0.76693784933022779</v>
      </c>
      <c r="G60" s="31">
        <f t="shared" si="13"/>
        <v>0.79002596701146921</v>
      </c>
      <c r="H60" s="31">
        <f t="shared" si="13"/>
        <v>0.76441838926355266</v>
      </c>
      <c r="I60" s="31">
        <f t="shared" si="13"/>
        <v>0.73995225057919101</v>
      </c>
      <c r="J60" s="31">
        <f t="shared" si="13"/>
        <v>0.77167181884665159</v>
      </c>
      <c r="K60" s="31">
        <f t="shared" si="13"/>
        <v>0.74717109769163759</v>
      </c>
      <c r="L60" s="31">
        <f t="shared" si="13"/>
        <v>0.76261235033158525</v>
      </c>
      <c r="M60" s="31">
        <f t="shared" si="13"/>
        <v>0.76466330671561689</v>
      </c>
      <c r="N60" s="31">
        <f t="shared" si="13"/>
        <v>0.82436019111154901</v>
      </c>
      <c r="O60" s="31">
        <f t="shared" si="13"/>
        <v>0.82765443468693045</v>
      </c>
      <c r="P60" s="31">
        <f t="shared" si="13"/>
        <v>0.76611894548556658</v>
      </c>
      <c r="Q60" s="31">
        <f t="shared" si="13"/>
        <v>0.76026089715717726</v>
      </c>
      <c r="R60" s="31">
        <f t="shared" si="13"/>
        <v>0.7582486179495872</v>
      </c>
      <c r="S60" s="31">
        <f t="shared" si="13"/>
        <v>0.77861501273256151</v>
      </c>
      <c r="T60" s="31">
        <f t="shared" si="13"/>
        <v>0.78402193400631237</v>
      </c>
      <c r="U60" s="31">
        <f t="shared" si="13"/>
        <v>0.76492059755257191</v>
      </c>
      <c r="V60" s="31">
        <f t="shared" si="13"/>
        <v>0.72505744329844479</v>
      </c>
      <c r="W60" s="31">
        <f t="shared" ref="W60:Y60" si="14">IF(W9=0,0,W9/W$8)</f>
        <v>0.71845534322221949</v>
      </c>
      <c r="X60" s="31">
        <f t="shared" si="14"/>
        <v>0.64787986860279367</v>
      </c>
      <c r="Y60" s="31">
        <f t="shared" si="14"/>
        <v>0.66550933693367376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0.70998117003131789</v>
      </c>
      <c r="C62" s="124">
        <f t="shared" ref="C62:V62" si="17">IF(C11=0,0,C11/C$8)</f>
        <v>0.74329025890957323</v>
      </c>
      <c r="D62" s="124">
        <f t="shared" si="17"/>
        <v>0.75397335634963003</v>
      </c>
      <c r="E62" s="124">
        <f t="shared" si="17"/>
        <v>0.76959028696616161</v>
      </c>
      <c r="F62" s="124">
        <f t="shared" si="17"/>
        <v>0.76693784933022779</v>
      </c>
      <c r="G62" s="124">
        <f t="shared" si="17"/>
        <v>0.79002596701146921</v>
      </c>
      <c r="H62" s="124">
        <f t="shared" si="17"/>
        <v>0.76441838926355266</v>
      </c>
      <c r="I62" s="124">
        <f t="shared" si="17"/>
        <v>0.73995225057919101</v>
      </c>
      <c r="J62" s="124">
        <f t="shared" si="17"/>
        <v>0.77167181884665159</v>
      </c>
      <c r="K62" s="124">
        <f t="shared" si="17"/>
        <v>0.74717109769163759</v>
      </c>
      <c r="L62" s="124">
        <f t="shared" si="17"/>
        <v>0.76261235033158525</v>
      </c>
      <c r="M62" s="124">
        <f t="shared" si="17"/>
        <v>0.76466330671561689</v>
      </c>
      <c r="N62" s="124">
        <f t="shared" si="17"/>
        <v>0.82436019111154901</v>
      </c>
      <c r="O62" s="124">
        <f t="shared" si="17"/>
        <v>0.82765443468693045</v>
      </c>
      <c r="P62" s="124">
        <f t="shared" si="17"/>
        <v>0.76611894548556658</v>
      </c>
      <c r="Q62" s="124">
        <f t="shared" si="17"/>
        <v>0.76026089715717726</v>
      </c>
      <c r="R62" s="124">
        <f t="shared" si="17"/>
        <v>0.7582486179495872</v>
      </c>
      <c r="S62" s="124">
        <f t="shared" si="17"/>
        <v>0.77861501273256151</v>
      </c>
      <c r="T62" s="124">
        <f t="shared" si="17"/>
        <v>0.78402193400631237</v>
      </c>
      <c r="U62" s="124">
        <f t="shared" si="17"/>
        <v>0.76492059755257191</v>
      </c>
      <c r="V62" s="124">
        <f t="shared" si="17"/>
        <v>0.72505744329844479</v>
      </c>
      <c r="W62" s="124">
        <f t="shared" ref="W62:Y62" si="18">IF(W11=0,0,W11/W$8)</f>
        <v>0.71845534322221949</v>
      </c>
      <c r="X62" s="124">
        <f t="shared" si="18"/>
        <v>0.64787986860279367</v>
      </c>
      <c r="Y62" s="124">
        <f t="shared" si="18"/>
        <v>0.66550933693367376</v>
      </c>
      <c r="DA62" s="176"/>
    </row>
    <row r="63" spans="1:105" ht="11.45" customHeight="1" x14ac:dyDescent="0.25">
      <c r="A63" s="111" t="s">
        <v>92</v>
      </c>
      <c r="B63" s="125">
        <f t="shared" si="10"/>
        <v>0.70998117003131789</v>
      </c>
      <c r="C63" s="125">
        <f t="shared" ref="C63:V63" si="19">IF(C12=0,0,C12/C$8)</f>
        <v>0.74329025890957323</v>
      </c>
      <c r="D63" s="125">
        <f t="shared" si="19"/>
        <v>0.75397335634963003</v>
      </c>
      <c r="E63" s="125">
        <f t="shared" si="19"/>
        <v>0.76959028696616161</v>
      </c>
      <c r="F63" s="125">
        <f t="shared" si="19"/>
        <v>0.76693784933022779</v>
      </c>
      <c r="G63" s="125">
        <f t="shared" si="19"/>
        <v>0.79002596701146921</v>
      </c>
      <c r="H63" s="125">
        <f t="shared" si="19"/>
        <v>0.76441838926355266</v>
      </c>
      <c r="I63" s="125">
        <f t="shared" si="19"/>
        <v>0.73995225057919101</v>
      </c>
      <c r="J63" s="125">
        <f t="shared" si="19"/>
        <v>0.77167181884665159</v>
      </c>
      <c r="K63" s="125">
        <f t="shared" si="19"/>
        <v>0.74717109769163759</v>
      </c>
      <c r="L63" s="125">
        <f t="shared" si="19"/>
        <v>0.76261235033158525</v>
      </c>
      <c r="M63" s="125">
        <f t="shared" si="19"/>
        <v>0.76466330671561689</v>
      </c>
      <c r="N63" s="125">
        <f t="shared" si="19"/>
        <v>0.82436019111154901</v>
      </c>
      <c r="O63" s="125">
        <f t="shared" si="19"/>
        <v>0.82765443468693045</v>
      </c>
      <c r="P63" s="125">
        <f t="shared" si="19"/>
        <v>0.76611894548556658</v>
      </c>
      <c r="Q63" s="125">
        <f t="shared" si="19"/>
        <v>0.76026089715717726</v>
      </c>
      <c r="R63" s="125">
        <f t="shared" si="19"/>
        <v>0.7582486179495872</v>
      </c>
      <c r="S63" s="125">
        <f t="shared" si="19"/>
        <v>0.77861501273256151</v>
      </c>
      <c r="T63" s="125">
        <f t="shared" si="19"/>
        <v>0.78402193400631237</v>
      </c>
      <c r="U63" s="125">
        <f t="shared" si="19"/>
        <v>0.76492059755257191</v>
      </c>
      <c r="V63" s="125">
        <f t="shared" si="19"/>
        <v>0.72505744329844479</v>
      </c>
      <c r="W63" s="125">
        <f t="shared" ref="W63:Y63" si="20">IF(W12=0,0,W12/W$8)</f>
        <v>0.71845534322221949</v>
      </c>
      <c r="X63" s="125">
        <f t="shared" si="20"/>
        <v>0.64787986860279367</v>
      </c>
      <c r="Y63" s="125">
        <f t="shared" si="20"/>
        <v>0.66550933693367376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0.29001882996868217</v>
      </c>
      <c r="C66" s="31">
        <f t="shared" ref="C66:V66" si="25">IF(C15=0,0,C15/C$8)</f>
        <v>0.25670974109042682</v>
      </c>
      <c r="D66" s="31">
        <f t="shared" si="25"/>
        <v>0.24602664365036983</v>
      </c>
      <c r="E66" s="31">
        <f t="shared" si="25"/>
        <v>0.23040971303383836</v>
      </c>
      <c r="F66" s="31">
        <f t="shared" si="25"/>
        <v>0.23306215066977218</v>
      </c>
      <c r="G66" s="31">
        <f t="shared" si="25"/>
        <v>0.20997403298853085</v>
      </c>
      <c r="H66" s="31">
        <f t="shared" si="25"/>
        <v>0.23558161073644726</v>
      </c>
      <c r="I66" s="31">
        <f t="shared" si="25"/>
        <v>0.26004774942080905</v>
      </c>
      <c r="J66" s="31">
        <f t="shared" si="25"/>
        <v>0.22832818115334846</v>
      </c>
      <c r="K66" s="31">
        <f t="shared" si="25"/>
        <v>0.25282890230836247</v>
      </c>
      <c r="L66" s="31">
        <f t="shared" si="25"/>
        <v>0.23738764966841469</v>
      </c>
      <c r="M66" s="31">
        <f t="shared" si="25"/>
        <v>0.23533669328438306</v>
      </c>
      <c r="N66" s="31">
        <f t="shared" si="25"/>
        <v>0.17563980888845096</v>
      </c>
      <c r="O66" s="31">
        <f t="shared" si="25"/>
        <v>0.17234556531306944</v>
      </c>
      <c r="P66" s="31">
        <f t="shared" si="25"/>
        <v>0.23388105451443347</v>
      </c>
      <c r="Q66" s="31">
        <f t="shared" si="25"/>
        <v>0.23973910284282274</v>
      </c>
      <c r="R66" s="31">
        <f t="shared" si="25"/>
        <v>0.24175138205041283</v>
      </c>
      <c r="S66" s="31">
        <f t="shared" si="25"/>
        <v>0.2213849872674386</v>
      </c>
      <c r="T66" s="31">
        <f t="shared" si="25"/>
        <v>0.21597806599368755</v>
      </c>
      <c r="U66" s="31">
        <f t="shared" si="25"/>
        <v>0.23507940244742814</v>
      </c>
      <c r="V66" s="31">
        <f t="shared" si="25"/>
        <v>0.27494255670155515</v>
      </c>
      <c r="W66" s="31">
        <f t="shared" ref="W66:Y66" si="26">IF(W15=0,0,W15/W$8)</f>
        <v>0.28154465677778046</v>
      </c>
      <c r="X66" s="31">
        <f t="shared" si="26"/>
        <v>0.35212013139720627</v>
      </c>
      <c r="Y66" s="31">
        <f t="shared" si="26"/>
        <v>0.3344906630663263</v>
      </c>
      <c r="DA66" s="173"/>
    </row>
    <row r="67" spans="1:105" ht="11.45" customHeight="1" x14ac:dyDescent="0.25">
      <c r="A67" s="83" t="s">
        <v>92</v>
      </c>
      <c r="B67" s="125">
        <f t="shared" si="10"/>
        <v>0.29001882996868217</v>
      </c>
      <c r="C67" s="125">
        <f t="shared" ref="C67:V67" si="27">IF(C16=0,0,C16/C$8)</f>
        <v>0.25670974109042682</v>
      </c>
      <c r="D67" s="125">
        <f t="shared" si="27"/>
        <v>0.24602664365036983</v>
      </c>
      <c r="E67" s="125">
        <f t="shared" si="27"/>
        <v>0.23040971303383836</v>
      </c>
      <c r="F67" s="125">
        <f t="shared" si="27"/>
        <v>0.23306215066977218</v>
      </c>
      <c r="G67" s="125">
        <f t="shared" si="27"/>
        <v>0.20997403298853085</v>
      </c>
      <c r="H67" s="125">
        <f t="shared" si="27"/>
        <v>0.23558161073644726</v>
      </c>
      <c r="I67" s="125">
        <f t="shared" si="27"/>
        <v>0.26004774942080905</v>
      </c>
      <c r="J67" s="125">
        <f t="shared" si="27"/>
        <v>0.22832818115334846</v>
      </c>
      <c r="K67" s="125">
        <f t="shared" si="27"/>
        <v>0.25282890230836247</v>
      </c>
      <c r="L67" s="125">
        <f t="shared" si="27"/>
        <v>0.23738764966841469</v>
      </c>
      <c r="M67" s="125">
        <f t="shared" si="27"/>
        <v>0.23533669328438306</v>
      </c>
      <c r="N67" s="125">
        <f t="shared" si="27"/>
        <v>0.17563980888845096</v>
      </c>
      <c r="O67" s="125">
        <f t="shared" si="27"/>
        <v>0.17234556531306944</v>
      </c>
      <c r="P67" s="125">
        <f t="shared" si="27"/>
        <v>0.23388105451443347</v>
      </c>
      <c r="Q67" s="125">
        <f t="shared" si="27"/>
        <v>0.23973910284282274</v>
      </c>
      <c r="R67" s="125">
        <f t="shared" si="27"/>
        <v>0.24175138205041283</v>
      </c>
      <c r="S67" s="125">
        <f t="shared" si="27"/>
        <v>0.2213849872674386</v>
      </c>
      <c r="T67" s="125">
        <f t="shared" si="27"/>
        <v>0.21597806599368755</v>
      </c>
      <c r="U67" s="125">
        <f t="shared" si="27"/>
        <v>0.23507940244742814</v>
      </c>
      <c r="V67" s="125">
        <f t="shared" si="27"/>
        <v>0.27494255670155515</v>
      </c>
      <c r="W67" s="125">
        <f t="shared" ref="W67:Y67" si="28">IF(W16=0,0,W16/W$8)</f>
        <v>0.28154465677778046</v>
      </c>
      <c r="X67" s="125">
        <f t="shared" si="28"/>
        <v>0.35212013139720627</v>
      </c>
      <c r="Y67" s="125">
        <f t="shared" si="28"/>
        <v>0.3344906630663263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3116.629816648162</v>
      </c>
      <c r="C4" s="11">
        <f t="shared" si="0"/>
        <v>3151.500792690611</v>
      </c>
      <c r="D4" s="11">
        <f t="shared" ref="D4:V4" si="1">SUM(D5:D7)</f>
        <v>3251.7371764166483</v>
      </c>
      <c r="E4" s="11">
        <f t="shared" si="1"/>
        <v>6217.7641816334763</v>
      </c>
      <c r="F4" s="11">
        <f t="shared" si="1"/>
        <v>7887.9199166304243</v>
      </c>
      <c r="G4" s="11">
        <f t="shared" si="1"/>
        <v>8407.9935820503597</v>
      </c>
      <c r="H4" s="11">
        <f t="shared" si="1"/>
        <v>8738.9509097008176</v>
      </c>
      <c r="I4" s="11">
        <f t="shared" si="1"/>
        <v>9298.2957478206299</v>
      </c>
      <c r="J4" s="11">
        <f t="shared" si="1"/>
        <v>9517.8088628690384</v>
      </c>
      <c r="K4" s="11">
        <f t="shared" si="1"/>
        <v>8843.7496756831897</v>
      </c>
      <c r="L4" s="11">
        <f t="shared" si="1"/>
        <v>8915.0656249232015</v>
      </c>
      <c r="M4" s="11">
        <f t="shared" si="1"/>
        <v>9419.9282901506922</v>
      </c>
      <c r="N4" s="11">
        <f t="shared" si="1"/>
        <v>8756.054411873678</v>
      </c>
      <c r="O4" s="11">
        <f t="shared" si="1"/>
        <v>8842.6867421537099</v>
      </c>
      <c r="P4" s="11">
        <f t="shared" si="1"/>
        <v>9126.8565216686384</v>
      </c>
      <c r="Q4" s="11">
        <f t="shared" si="1"/>
        <v>9640.6980004941288</v>
      </c>
      <c r="R4" s="11">
        <f t="shared" si="1"/>
        <v>10494.997767309816</v>
      </c>
      <c r="S4" s="11">
        <f t="shared" si="1"/>
        <v>12722.387397293583</v>
      </c>
      <c r="T4" s="11">
        <f t="shared" si="1"/>
        <v>14523.081574845392</v>
      </c>
      <c r="U4" s="11">
        <f t="shared" si="1"/>
        <v>15493.247992389282</v>
      </c>
      <c r="V4" s="11">
        <f t="shared" si="1"/>
        <v>3008.2255091872512</v>
      </c>
      <c r="W4" s="11">
        <f t="shared" ref="W4:Y4" si="2">SUM(W5:W7)</f>
        <v>3960.96328338084</v>
      </c>
      <c r="X4" s="11">
        <f t="shared" si="2"/>
        <v>9461.141260556331</v>
      </c>
      <c r="Y4" s="11">
        <f t="shared" si="2"/>
        <v>12641.062117391084</v>
      </c>
      <c r="DA4" s="189" t="s">
        <v>190</v>
      </c>
    </row>
    <row r="5" spans="1:105" ht="11.45" customHeight="1" x14ac:dyDescent="0.25">
      <c r="A5" s="83" t="s">
        <v>27</v>
      </c>
      <c r="B5" s="84">
        <v>18.381355763242688</v>
      </c>
      <c r="C5" s="84">
        <v>23.786529025589669</v>
      </c>
      <c r="D5" s="84">
        <v>17.18744447030296</v>
      </c>
      <c r="E5" s="84">
        <v>30.436247522444024</v>
      </c>
      <c r="F5" s="84">
        <v>31.966998024227102</v>
      </c>
      <c r="G5" s="84">
        <v>47.232191295922291</v>
      </c>
      <c r="H5" s="84">
        <v>53.025205084432088</v>
      </c>
      <c r="I5" s="84">
        <v>54.952583011518144</v>
      </c>
      <c r="J5" s="84">
        <v>62.746312159178366</v>
      </c>
      <c r="K5" s="84">
        <v>56.881103923996008</v>
      </c>
      <c r="L5" s="84">
        <v>47.288084621744652</v>
      </c>
      <c r="M5" s="84">
        <v>32.095421837433626</v>
      </c>
      <c r="N5" s="84">
        <v>31.188768136824287</v>
      </c>
      <c r="O5" s="84">
        <v>22.267320513265126</v>
      </c>
      <c r="P5" s="84">
        <v>24.440889925599645</v>
      </c>
      <c r="Q5" s="84">
        <v>24.089115349108102</v>
      </c>
      <c r="R5" s="84">
        <v>18.901021290523556</v>
      </c>
      <c r="S5" s="84">
        <v>14.110478008259889</v>
      </c>
      <c r="T5" s="84">
        <v>15.57996615625362</v>
      </c>
      <c r="U5" s="84">
        <v>6.9224926735842045</v>
      </c>
      <c r="V5" s="84">
        <v>1.4154879915544472</v>
      </c>
      <c r="W5" s="84">
        <v>4.7807516887492074</v>
      </c>
      <c r="X5" s="84">
        <v>5.8116835171018808</v>
      </c>
      <c r="Y5" s="84">
        <v>6.1003045711847088</v>
      </c>
      <c r="DA5" s="171" t="s">
        <v>191</v>
      </c>
    </row>
    <row r="6" spans="1:105" ht="11.45" customHeight="1" x14ac:dyDescent="0.25">
      <c r="A6" s="83" t="s">
        <v>181</v>
      </c>
      <c r="B6" s="84">
        <v>1825.0901064949228</v>
      </c>
      <c r="C6" s="84">
        <v>1846.5733411636295</v>
      </c>
      <c r="D6" s="84">
        <v>1906.3741735678179</v>
      </c>
      <c r="E6" s="84">
        <v>3787.10698685029</v>
      </c>
      <c r="F6" s="84">
        <v>4791.5735082591009</v>
      </c>
      <c r="G6" s="84">
        <v>5262.0022172393838</v>
      </c>
      <c r="H6" s="84">
        <v>5418.9837278572622</v>
      </c>
      <c r="I6" s="84">
        <v>5565.4182678507859</v>
      </c>
      <c r="J6" s="84">
        <v>5535.6693599724176</v>
      </c>
      <c r="K6" s="84">
        <v>4922.5021109626105</v>
      </c>
      <c r="L6" s="84">
        <v>4708.3324249063999</v>
      </c>
      <c r="M6" s="84">
        <v>4879.1776289387872</v>
      </c>
      <c r="N6" s="84">
        <v>4430.8344372195843</v>
      </c>
      <c r="O6" s="84">
        <v>4336.8930949601427</v>
      </c>
      <c r="P6" s="84">
        <v>4457.9653708339611</v>
      </c>
      <c r="Q6" s="84">
        <v>4816.7032258135541</v>
      </c>
      <c r="R6" s="84">
        <v>5264.1105025043935</v>
      </c>
      <c r="S6" s="84">
        <v>6217.3728826945389</v>
      </c>
      <c r="T6" s="84">
        <v>6806.5939446776729</v>
      </c>
      <c r="U6" s="84">
        <v>6996.3785547267235</v>
      </c>
      <c r="V6" s="84">
        <v>1594.0075577929335</v>
      </c>
      <c r="W6" s="84">
        <v>2106.8211291464154</v>
      </c>
      <c r="X6" s="84">
        <v>4977.3232548506094</v>
      </c>
      <c r="Y6" s="84">
        <v>6470.8310304539273</v>
      </c>
      <c r="DA6" s="171" t="s">
        <v>192</v>
      </c>
    </row>
    <row r="7" spans="1:105" ht="11.45" customHeight="1" x14ac:dyDescent="0.25">
      <c r="A7" s="83" t="s">
        <v>182</v>
      </c>
      <c r="B7" s="84">
        <v>1273.1583543899965</v>
      </c>
      <c r="C7" s="84">
        <v>1281.1409225013915</v>
      </c>
      <c r="D7" s="84">
        <v>1328.1755583785275</v>
      </c>
      <c r="E7" s="84">
        <v>2400.2209472607424</v>
      </c>
      <c r="F7" s="84">
        <v>3064.3794103470964</v>
      </c>
      <c r="G7" s="84">
        <v>3098.759173515054</v>
      </c>
      <c r="H7" s="84">
        <v>3266.9419767591235</v>
      </c>
      <c r="I7" s="84">
        <v>3677.9248969583259</v>
      </c>
      <c r="J7" s="84">
        <v>3919.3931907374422</v>
      </c>
      <c r="K7" s="84">
        <v>3864.3664607965834</v>
      </c>
      <c r="L7" s="84">
        <v>4159.4451153950567</v>
      </c>
      <c r="M7" s="84">
        <v>4508.6552393744714</v>
      </c>
      <c r="N7" s="84">
        <v>4294.0312065172693</v>
      </c>
      <c r="O7" s="84">
        <v>4483.5263266803013</v>
      </c>
      <c r="P7" s="84">
        <v>4644.4502609090778</v>
      </c>
      <c r="Q7" s="84">
        <v>4799.9056593314654</v>
      </c>
      <c r="R7" s="84">
        <v>5211.9862435148998</v>
      </c>
      <c r="S7" s="84">
        <v>6490.904036590784</v>
      </c>
      <c r="T7" s="84">
        <v>7700.9076640114654</v>
      </c>
      <c r="U7" s="84">
        <v>8489.9469449889748</v>
      </c>
      <c r="V7" s="84">
        <v>1412.8024634027634</v>
      </c>
      <c r="W7" s="84">
        <v>1849.3614025456752</v>
      </c>
      <c r="X7" s="84">
        <v>4478.0063221886203</v>
      </c>
      <c r="Y7" s="84">
        <v>6164.1307823659727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89.278234792229682</v>
      </c>
      <c r="C8" s="13">
        <f t="shared" si="3"/>
        <v>91.540487377017598</v>
      </c>
      <c r="D8" s="13">
        <f t="shared" ref="D8:V8" si="4">SUM(D9:D11)</f>
        <v>96.514656330806957</v>
      </c>
      <c r="E8" s="13">
        <f t="shared" si="4"/>
        <v>132.53098742834098</v>
      </c>
      <c r="F8" s="13">
        <f t="shared" si="4"/>
        <v>109.1179336493073</v>
      </c>
      <c r="G8" s="13">
        <f t="shared" si="4"/>
        <v>108.44712028699027</v>
      </c>
      <c r="H8" s="13">
        <f t="shared" si="4"/>
        <v>92.831334435007705</v>
      </c>
      <c r="I8" s="13">
        <f t="shared" si="4"/>
        <v>86.964832153619781</v>
      </c>
      <c r="J8" s="13">
        <f t="shared" si="4"/>
        <v>89.96242481230324</v>
      </c>
      <c r="K8" s="13">
        <f t="shared" si="4"/>
        <v>105.64740903968759</v>
      </c>
      <c r="L8" s="13">
        <f t="shared" si="4"/>
        <v>108.83778045663274</v>
      </c>
      <c r="M8" s="13">
        <f t="shared" si="4"/>
        <v>161.15655377746597</v>
      </c>
      <c r="N8" s="13">
        <f t="shared" si="4"/>
        <v>155.78517245489434</v>
      </c>
      <c r="O8" s="13">
        <f t="shared" si="4"/>
        <v>148.76636916263988</v>
      </c>
      <c r="P8" s="13">
        <f t="shared" si="4"/>
        <v>157.59349969987449</v>
      </c>
      <c r="Q8" s="13">
        <f t="shared" si="4"/>
        <v>168.6107690008719</v>
      </c>
      <c r="R8" s="13">
        <f t="shared" si="4"/>
        <v>223.38351018758496</v>
      </c>
      <c r="S8" s="13">
        <f t="shared" si="4"/>
        <v>235.6539549998603</v>
      </c>
      <c r="T8" s="13">
        <f t="shared" si="4"/>
        <v>208.96071894412307</v>
      </c>
      <c r="U8" s="13">
        <f t="shared" si="4"/>
        <v>229.17381546433927</v>
      </c>
      <c r="V8" s="13">
        <f t="shared" si="4"/>
        <v>75.94516402808685</v>
      </c>
      <c r="W8" s="13">
        <f t="shared" ref="W8:Y8" si="5">SUM(W9:W11)</f>
        <v>61.546604475158048</v>
      </c>
      <c r="X8" s="13">
        <f t="shared" si="5"/>
        <v>64.101635250827258</v>
      </c>
      <c r="Y8" s="13">
        <f t="shared" si="5"/>
        <v>60.125789532016867</v>
      </c>
      <c r="DA8" s="193" t="s">
        <v>194</v>
      </c>
    </row>
    <row r="9" spans="1:105" ht="11.45" customHeight="1" x14ac:dyDescent="0.25">
      <c r="A9" s="92" t="s">
        <v>27</v>
      </c>
      <c r="B9" s="102">
        <v>8.4758807725573551E-2</v>
      </c>
      <c r="C9" s="102">
        <v>8.0679255509984393E-2</v>
      </c>
      <c r="D9" s="102">
        <v>9.532118951848996E-2</v>
      </c>
      <c r="E9" s="102">
        <v>8.2616097680378517E-2</v>
      </c>
      <c r="F9" s="102">
        <v>4.0665942480712008E-2</v>
      </c>
      <c r="G9" s="102">
        <v>9.3226039003642458E-2</v>
      </c>
      <c r="H9" s="102">
        <v>0.20243792124491669</v>
      </c>
      <c r="I9" s="102">
        <v>0.33908179734814609</v>
      </c>
      <c r="J9" s="102">
        <v>0.40359919227919883</v>
      </c>
      <c r="K9" s="102">
        <v>0.48778467035990392</v>
      </c>
      <c r="L9" s="102">
        <v>0.41748107938489742</v>
      </c>
      <c r="M9" s="102">
        <v>0.39588369994023515</v>
      </c>
      <c r="N9" s="102">
        <v>0.3204827271955884</v>
      </c>
      <c r="O9" s="102">
        <v>0.20099683302086818</v>
      </c>
      <c r="P9" s="102">
        <v>0.12621176596007666</v>
      </c>
      <c r="Q9" s="102">
        <v>0.12755000098236921</v>
      </c>
      <c r="R9" s="102">
        <v>0.11608837388571835</v>
      </c>
      <c r="S9" s="102">
        <v>0.11637210966184963</v>
      </c>
      <c r="T9" s="102">
        <v>0.5979375132602559</v>
      </c>
      <c r="U9" s="102">
        <v>0.49359674594374542</v>
      </c>
      <c r="V9" s="102">
        <v>0.38540144899655249</v>
      </c>
      <c r="W9" s="102">
        <v>0.51555224763530316</v>
      </c>
      <c r="X9" s="102">
        <v>0.12684789719690312</v>
      </c>
      <c r="Y9" s="102">
        <v>3.0301033645357394E-3</v>
      </c>
      <c r="DA9" s="175" t="s">
        <v>195</v>
      </c>
    </row>
    <row r="10" spans="1:105" ht="11.45" customHeight="1" x14ac:dyDescent="0.25">
      <c r="A10" s="92" t="s">
        <v>181</v>
      </c>
      <c r="B10" s="102">
        <v>15.137384166374622</v>
      </c>
      <c r="C10" s="102">
        <v>14.97152327820849</v>
      </c>
      <c r="D10" s="102">
        <v>16.820716006683728</v>
      </c>
      <c r="E10" s="102">
        <v>18.930928689619606</v>
      </c>
      <c r="F10" s="102">
        <v>20.74931711418947</v>
      </c>
      <c r="G10" s="102">
        <v>21.78877753636629</v>
      </c>
      <c r="H10" s="102">
        <v>20.918922054431885</v>
      </c>
      <c r="I10" s="102">
        <v>20.533883665420085</v>
      </c>
      <c r="J10" s="102">
        <v>16.81756001042428</v>
      </c>
      <c r="K10" s="102">
        <v>13.991973108376774</v>
      </c>
      <c r="L10" s="102">
        <v>16.881268987814529</v>
      </c>
      <c r="M10" s="102">
        <v>14.277732185716289</v>
      </c>
      <c r="N10" s="102">
        <v>11.36490926916413</v>
      </c>
      <c r="O10" s="102">
        <v>11.138751111117712</v>
      </c>
      <c r="P10" s="102">
        <v>13.573395075940176</v>
      </c>
      <c r="Q10" s="102">
        <v>14.317106392723401</v>
      </c>
      <c r="R10" s="102">
        <v>16.958478508615009</v>
      </c>
      <c r="S10" s="102">
        <v>19.52519179138546</v>
      </c>
      <c r="T10" s="102">
        <v>22.506478866389408</v>
      </c>
      <c r="U10" s="102">
        <v>18.812245813352046</v>
      </c>
      <c r="V10" s="102">
        <v>16.202966970408603</v>
      </c>
      <c r="W10" s="102">
        <v>19.467099888963297</v>
      </c>
      <c r="X10" s="102">
        <v>20.003483823019849</v>
      </c>
      <c r="Y10" s="102">
        <v>19.409390900416934</v>
      </c>
      <c r="DA10" s="175" t="s">
        <v>196</v>
      </c>
    </row>
    <row r="11" spans="1:105" ht="11.45" customHeight="1" x14ac:dyDescent="0.25">
      <c r="A11" s="85" t="s">
        <v>182</v>
      </c>
      <c r="B11" s="86">
        <v>74.056091818129488</v>
      </c>
      <c r="C11" s="86">
        <v>76.488284843299127</v>
      </c>
      <c r="D11" s="86">
        <v>79.598619134604732</v>
      </c>
      <c r="E11" s="86">
        <v>113.51744264104099</v>
      </c>
      <c r="F11" s="86">
        <v>88.327950592637123</v>
      </c>
      <c r="G11" s="86">
        <v>86.565116711620334</v>
      </c>
      <c r="H11" s="86">
        <v>71.709974459330894</v>
      </c>
      <c r="I11" s="86">
        <v>66.091866690851546</v>
      </c>
      <c r="J11" s="86">
        <v>72.741265609599765</v>
      </c>
      <c r="K11" s="86">
        <v>91.167651260950905</v>
      </c>
      <c r="L11" s="86">
        <v>91.539030389433321</v>
      </c>
      <c r="M11" s="86">
        <v>146.48293789180946</v>
      </c>
      <c r="N11" s="86">
        <v>144.09978045853461</v>
      </c>
      <c r="O11" s="86">
        <v>137.42662121850131</v>
      </c>
      <c r="P11" s="86">
        <v>143.89389285797424</v>
      </c>
      <c r="Q11" s="86">
        <v>154.16611260716613</v>
      </c>
      <c r="R11" s="86">
        <v>206.30894330508423</v>
      </c>
      <c r="S11" s="86">
        <v>216.012391098813</v>
      </c>
      <c r="T11" s="86">
        <v>185.8563025644734</v>
      </c>
      <c r="U11" s="86">
        <v>209.86797290504347</v>
      </c>
      <c r="V11" s="86">
        <v>59.356795608681693</v>
      </c>
      <c r="W11" s="86">
        <v>41.563952338559453</v>
      </c>
      <c r="X11" s="86">
        <v>43.971303530610513</v>
      </c>
      <c r="Y11" s="86">
        <v>40.713368528235399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31.837508996720985</v>
      </c>
      <c r="C13" s="54">
        <f t="shared" si="6"/>
        <v>32.061837685964441</v>
      </c>
      <c r="D13" s="54">
        <f t="shared" ref="D13:V13" si="7">SUM(D14,D18)</f>
        <v>32.97519471277225</v>
      </c>
      <c r="E13" s="54">
        <f t="shared" si="7"/>
        <v>62.828021948457788</v>
      </c>
      <c r="F13" s="54">
        <f t="shared" si="7"/>
        <v>78.721814468329683</v>
      </c>
      <c r="G13" s="54">
        <f t="shared" si="7"/>
        <v>86.075753183945807</v>
      </c>
      <c r="H13" s="54">
        <f t="shared" si="7"/>
        <v>88.141909296734141</v>
      </c>
      <c r="I13" s="54">
        <f t="shared" si="7"/>
        <v>94.414814764728959</v>
      </c>
      <c r="J13" s="54">
        <f t="shared" si="7"/>
        <v>99.015991743688346</v>
      </c>
      <c r="K13" s="54">
        <f t="shared" si="7"/>
        <v>92.186568258176266</v>
      </c>
      <c r="L13" s="54">
        <f t="shared" si="7"/>
        <v>88.090689615406617</v>
      </c>
      <c r="M13" s="54">
        <f t="shared" si="7"/>
        <v>88.872409185411101</v>
      </c>
      <c r="N13" s="54">
        <f t="shared" si="7"/>
        <v>79.998755947288586</v>
      </c>
      <c r="O13" s="54">
        <f t="shared" si="7"/>
        <v>78.296397213617681</v>
      </c>
      <c r="P13" s="54">
        <f t="shared" si="7"/>
        <v>77.96617947357403</v>
      </c>
      <c r="Q13" s="54">
        <f t="shared" si="7"/>
        <v>78.813234038052272</v>
      </c>
      <c r="R13" s="54">
        <f t="shared" si="7"/>
        <v>84.271188386331417</v>
      </c>
      <c r="S13" s="54">
        <f t="shared" si="7"/>
        <v>93.01617989490893</v>
      </c>
      <c r="T13" s="54">
        <f t="shared" si="7"/>
        <v>105.84642239798266</v>
      </c>
      <c r="U13" s="54">
        <f t="shared" si="7"/>
        <v>107.78883604882675</v>
      </c>
      <c r="V13" s="54">
        <f t="shared" si="7"/>
        <v>28.748757051798105</v>
      </c>
      <c r="W13" s="54">
        <f t="shared" ref="W13:Y13" si="8">SUM(W14,W18)</f>
        <v>36.990401051808746</v>
      </c>
      <c r="X13" s="54">
        <f t="shared" si="8"/>
        <v>66.419539733280928</v>
      </c>
      <c r="Y13" s="54">
        <f t="shared" si="8"/>
        <v>82.738871555465167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30.291907888547961</v>
      </c>
      <c r="C14" s="11">
        <f t="shared" si="9"/>
        <v>30.566031659100048</v>
      </c>
      <c r="D14" s="11">
        <f t="shared" ref="D14:V14" si="10">SUM(D15:D17)</f>
        <v>31.277188624385598</v>
      </c>
      <c r="E14" s="11">
        <f t="shared" si="10"/>
        <v>60.463663923988769</v>
      </c>
      <c r="F14" s="11">
        <f t="shared" si="10"/>
        <v>76.520260268806894</v>
      </c>
      <c r="G14" s="11">
        <f t="shared" si="10"/>
        <v>83.760810113441934</v>
      </c>
      <c r="H14" s="11">
        <f t="shared" si="10"/>
        <v>85.920027931615195</v>
      </c>
      <c r="I14" s="11">
        <f t="shared" si="10"/>
        <v>92.261866678576922</v>
      </c>
      <c r="J14" s="11">
        <f t="shared" si="10"/>
        <v>96.906555896746511</v>
      </c>
      <c r="K14" s="11">
        <f t="shared" si="10"/>
        <v>90.092194203144402</v>
      </c>
      <c r="L14" s="11">
        <f t="shared" si="10"/>
        <v>85.89400328723795</v>
      </c>
      <c r="M14" s="11">
        <f t="shared" si="10"/>
        <v>86.141267794811867</v>
      </c>
      <c r="N14" s="11">
        <f t="shared" si="10"/>
        <v>77.590507568400056</v>
      </c>
      <c r="O14" s="11">
        <f t="shared" si="10"/>
        <v>76.028781504353191</v>
      </c>
      <c r="P14" s="11">
        <f t="shared" si="10"/>
        <v>75.855709004851093</v>
      </c>
      <c r="Q14" s="11">
        <f t="shared" si="10"/>
        <v>76.53803668239604</v>
      </c>
      <c r="R14" s="11">
        <f t="shared" si="10"/>
        <v>81.596654244143267</v>
      </c>
      <c r="S14" s="11">
        <f t="shared" si="10"/>
        <v>90.001702709984357</v>
      </c>
      <c r="T14" s="11">
        <f t="shared" si="10"/>
        <v>102.98381879356208</v>
      </c>
      <c r="U14" s="11">
        <f t="shared" si="10"/>
        <v>104.91183666777235</v>
      </c>
      <c r="V14" s="11">
        <f t="shared" si="10"/>
        <v>27.099284330813383</v>
      </c>
      <c r="W14" s="11">
        <f t="shared" ref="W14:Y14" si="11">SUM(W15:W17)</f>
        <v>35.429963708376803</v>
      </c>
      <c r="X14" s="11">
        <f t="shared" si="11"/>
        <v>64.910785058952825</v>
      </c>
      <c r="Y14" s="11">
        <f t="shared" si="11"/>
        <v>81.346209078101225</v>
      </c>
      <c r="DA14" s="189" t="s">
        <v>199</v>
      </c>
    </row>
    <row r="15" spans="1:105" ht="11.45" customHeight="1" x14ac:dyDescent="0.25">
      <c r="A15" s="83" t="s">
        <v>27</v>
      </c>
      <c r="B15" s="84">
        <v>0.70766285949163532</v>
      </c>
      <c r="C15" s="84">
        <v>0.90944750937336938</v>
      </c>
      <c r="D15" s="84">
        <v>0.65099946326899549</v>
      </c>
      <c r="E15" s="84">
        <v>1.1304347546416649</v>
      </c>
      <c r="F15" s="84">
        <v>1.4436574170945906</v>
      </c>
      <c r="G15" s="84">
        <v>1.4540265663763527</v>
      </c>
      <c r="H15" s="84">
        <v>1.5256840125743876</v>
      </c>
      <c r="I15" s="84">
        <v>1.4864458563022229</v>
      </c>
      <c r="J15" s="84">
        <v>1.7651945261632818</v>
      </c>
      <c r="K15" s="84">
        <v>2.110832580671167</v>
      </c>
      <c r="L15" s="84">
        <v>1.5747395954198473</v>
      </c>
      <c r="M15" s="84">
        <v>0.98312023520037817</v>
      </c>
      <c r="N15" s="84">
        <v>0.76754125517849248</v>
      </c>
      <c r="O15" s="84">
        <v>0.54143218946039195</v>
      </c>
      <c r="P15" s="84">
        <v>0.6590279358428841</v>
      </c>
      <c r="Q15" s="84">
        <v>0.68954288489629623</v>
      </c>
      <c r="R15" s="84">
        <v>0.65851731493714305</v>
      </c>
      <c r="S15" s="84">
        <v>0.44932292518384276</v>
      </c>
      <c r="T15" s="84">
        <v>0.40238842743682307</v>
      </c>
      <c r="U15" s="84">
        <v>0.12469094736842105</v>
      </c>
      <c r="V15" s="84">
        <v>8.3000236933797919E-2</v>
      </c>
      <c r="W15" s="84">
        <v>0.13452295522388058</v>
      </c>
      <c r="X15" s="84">
        <v>0.10935458213256484</v>
      </c>
      <c r="Y15" s="84">
        <v>0.12244373696145126</v>
      </c>
      <c r="DA15" s="171" t="s">
        <v>200</v>
      </c>
    </row>
    <row r="16" spans="1:105" ht="11.45" customHeight="1" x14ac:dyDescent="0.25">
      <c r="A16" s="83" t="s">
        <v>181</v>
      </c>
      <c r="B16" s="84">
        <v>19.341373727155933</v>
      </c>
      <c r="C16" s="84">
        <v>19.387879628905978</v>
      </c>
      <c r="D16" s="84">
        <v>20.021652794331956</v>
      </c>
      <c r="E16" s="84">
        <v>40.121064258317283</v>
      </c>
      <c r="F16" s="84">
        <v>52.154787703726882</v>
      </c>
      <c r="G16" s="84">
        <v>58.672166805375966</v>
      </c>
      <c r="H16" s="84">
        <v>59.773620390092915</v>
      </c>
      <c r="I16" s="84">
        <v>63.246326523501757</v>
      </c>
      <c r="J16" s="84">
        <v>65.042885316021838</v>
      </c>
      <c r="K16" s="84">
        <v>56.631494455442791</v>
      </c>
      <c r="L16" s="84">
        <v>53.206142237958026</v>
      </c>
      <c r="M16" s="84">
        <v>51.519894352318346</v>
      </c>
      <c r="N16" s="84">
        <v>43.986544087849488</v>
      </c>
      <c r="O16" s="84">
        <v>43.006755173693996</v>
      </c>
      <c r="P16" s="84">
        <v>42.666026782713537</v>
      </c>
      <c r="Q16" s="84">
        <v>44.587835388919594</v>
      </c>
      <c r="R16" s="84">
        <v>48.521007258918203</v>
      </c>
      <c r="S16" s="84">
        <v>51.415653468180295</v>
      </c>
      <c r="T16" s="84">
        <v>55.329650456278387</v>
      </c>
      <c r="U16" s="84">
        <v>54.762039640853452</v>
      </c>
      <c r="V16" s="84">
        <v>15.984956093879584</v>
      </c>
      <c r="W16" s="84">
        <v>20.165116222272058</v>
      </c>
      <c r="X16" s="84">
        <v>38.063586636051845</v>
      </c>
      <c r="Y16" s="84">
        <v>47.467492203099724</v>
      </c>
      <c r="DA16" s="171" t="s">
        <v>201</v>
      </c>
    </row>
    <row r="17" spans="1:105" ht="11.45" customHeight="1" x14ac:dyDescent="0.25">
      <c r="A17" s="83" t="s">
        <v>182</v>
      </c>
      <c r="B17" s="84">
        <v>10.242871301900395</v>
      </c>
      <c r="C17" s="84">
        <v>10.2687045208207</v>
      </c>
      <c r="D17" s="84">
        <v>10.604536366784647</v>
      </c>
      <c r="E17" s="84">
        <v>19.212164911029824</v>
      </c>
      <c r="F17" s="84">
        <v>22.921815147985424</v>
      </c>
      <c r="G17" s="84">
        <v>23.634616741689609</v>
      </c>
      <c r="H17" s="84">
        <v>24.620723528947895</v>
      </c>
      <c r="I17" s="84">
        <v>27.52909429877295</v>
      </c>
      <c r="J17" s="84">
        <v>30.098476054561381</v>
      </c>
      <c r="K17" s="84">
        <v>31.349867167030446</v>
      </c>
      <c r="L17" s="84">
        <v>31.113121453860074</v>
      </c>
      <c r="M17" s="84">
        <v>33.63825320729314</v>
      </c>
      <c r="N17" s="84">
        <v>32.836422225372075</v>
      </c>
      <c r="O17" s="84">
        <v>32.480594141198793</v>
      </c>
      <c r="P17" s="84">
        <v>32.530654286294677</v>
      </c>
      <c r="Q17" s="84">
        <v>31.260658408580152</v>
      </c>
      <c r="R17" s="84">
        <v>32.41712967028792</v>
      </c>
      <c r="S17" s="84">
        <v>38.136726316620219</v>
      </c>
      <c r="T17" s="84">
        <v>47.251779909846874</v>
      </c>
      <c r="U17" s="84">
        <v>50.025106079550469</v>
      </c>
      <c r="V17" s="84">
        <v>11.031328</v>
      </c>
      <c r="W17" s="84">
        <v>15.130324530880864</v>
      </c>
      <c r="X17" s="84">
        <v>26.737843840768409</v>
      </c>
      <c r="Y17" s="84">
        <v>33.756273138040044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1.5456011081730257</v>
      </c>
      <c r="C18" s="13">
        <f t="shared" si="12"/>
        <v>1.4958060268643933</v>
      </c>
      <c r="D18" s="13">
        <f t="shared" ref="D18:V18" si="13">SUM(D19:D21)</f>
        <v>1.6980060883866517</v>
      </c>
      <c r="E18" s="13">
        <f t="shared" si="13"/>
        <v>2.3643580244690234</v>
      </c>
      <c r="F18" s="13">
        <f t="shared" si="13"/>
        <v>2.2015541995227856</v>
      </c>
      <c r="G18" s="13">
        <f t="shared" si="13"/>
        <v>2.3149430705038725</v>
      </c>
      <c r="H18" s="13">
        <f t="shared" si="13"/>
        <v>2.2218813651189482</v>
      </c>
      <c r="I18" s="13">
        <f t="shared" si="13"/>
        <v>2.152948086152044</v>
      </c>
      <c r="J18" s="13">
        <f t="shared" si="13"/>
        <v>2.1094358469418308</v>
      </c>
      <c r="K18" s="13">
        <f t="shared" si="13"/>
        <v>2.0943740550318695</v>
      </c>
      <c r="L18" s="13">
        <f t="shared" si="13"/>
        <v>2.1966863281686635</v>
      </c>
      <c r="M18" s="13">
        <f t="shared" si="13"/>
        <v>2.7311413905992303</v>
      </c>
      <c r="N18" s="13">
        <f t="shared" si="13"/>
        <v>2.4082483788885312</v>
      </c>
      <c r="O18" s="13">
        <f t="shared" si="13"/>
        <v>2.2676157092644913</v>
      </c>
      <c r="P18" s="13">
        <f t="shared" si="13"/>
        <v>2.110470468722939</v>
      </c>
      <c r="Q18" s="13">
        <f t="shared" si="13"/>
        <v>2.2751973556562253</v>
      </c>
      <c r="R18" s="13">
        <f t="shared" si="13"/>
        <v>2.6745341421881523</v>
      </c>
      <c r="S18" s="13">
        <f t="shared" si="13"/>
        <v>3.0144771849245666</v>
      </c>
      <c r="T18" s="13">
        <f t="shared" si="13"/>
        <v>2.8626036044205794</v>
      </c>
      <c r="U18" s="13">
        <f t="shared" si="13"/>
        <v>2.8769993810544037</v>
      </c>
      <c r="V18" s="13">
        <f t="shared" si="13"/>
        <v>1.6494727209847226</v>
      </c>
      <c r="W18" s="13">
        <f t="shared" ref="W18:Y18" si="14">SUM(W19:W21)</f>
        <v>1.5604373434319463</v>
      </c>
      <c r="X18" s="13">
        <f t="shared" si="14"/>
        <v>1.508754674328098</v>
      </c>
      <c r="Y18" s="13">
        <f t="shared" si="14"/>
        <v>1.3926624773639471</v>
      </c>
      <c r="DA18" s="193" t="s">
        <v>203</v>
      </c>
    </row>
    <row r="19" spans="1:105" ht="11.45" customHeight="1" x14ac:dyDescent="0.25">
      <c r="A19" s="92" t="s">
        <v>27</v>
      </c>
      <c r="B19" s="102">
        <v>8.6219795189966357E-3</v>
      </c>
      <c r="C19" s="102">
        <v>8.2700619876090176E-3</v>
      </c>
      <c r="D19" s="102">
        <v>9.5017733474656793E-3</v>
      </c>
      <c r="E19" s="102">
        <v>7.7421856905275912E-3</v>
      </c>
      <c r="F19" s="102">
        <v>4.0470516109576042E-3</v>
      </c>
      <c r="G19" s="102">
        <v>9.4803636363636357E-3</v>
      </c>
      <c r="H19" s="102">
        <v>2.1401960934618221E-2</v>
      </c>
      <c r="I19" s="102">
        <v>3.598170163564543E-2</v>
      </c>
      <c r="J19" s="102">
        <v>4.4515434545644057E-2</v>
      </c>
      <c r="K19" s="102">
        <v>5.3340052736685392E-2</v>
      </c>
      <c r="L19" s="102">
        <v>4.2683158081705155E-2</v>
      </c>
      <c r="M19" s="102">
        <v>3.6147882387551511E-2</v>
      </c>
      <c r="N19" s="102">
        <v>2.863652602739726E-2</v>
      </c>
      <c r="O19" s="102">
        <v>1.7519883375854303E-2</v>
      </c>
      <c r="P19" s="102">
        <v>9.8047242280919523E-3</v>
      </c>
      <c r="Q19" s="102">
        <v>9.6504664506314869E-3</v>
      </c>
      <c r="R19" s="102">
        <v>7.6067720440017765E-3</v>
      </c>
      <c r="S19" s="102">
        <v>8.2901601425068739E-3</v>
      </c>
      <c r="T19" s="102">
        <v>4.2030447963800899E-2</v>
      </c>
      <c r="U19" s="102">
        <v>3.4893818181818186E-2</v>
      </c>
      <c r="V19" s="102">
        <v>3.131748586118252E-2</v>
      </c>
      <c r="W19" s="102">
        <v>3.7463173210161668E-2</v>
      </c>
      <c r="X19" s="102">
        <v>9.3066956521739123E-3</v>
      </c>
      <c r="Y19" s="102">
        <v>2.2886363636363639E-4</v>
      </c>
      <c r="DA19" s="175" t="s">
        <v>204</v>
      </c>
    </row>
    <row r="20" spans="1:105" ht="11.45" customHeight="1" x14ac:dyDescent="0.25">
      <c r="A20" s="92" t="s">
        <v>181</v>
      </c>
      <c r="B20" s="102">
        <v>0.60150745058052757</v>
      </c>
      <c r="C20" s="102">
        <v>0.56552431094822531</v>
      </c>
      <c r="D20" s="102">
        <v>0.67227249209602991</v>
      </c>
      <c r="E20" s="102">
        <v>0.7616029776028137</v>
      </c>
      <c r="F20" s="102">
        <v>0.91880485414229363</v>
      </c>
      <c r="G20" s="102">
        <v>0.97289115131195347</v>
      </c>
      <c r="H20" s="102">
        <v>1.0585702121131191</v>
      </c>
      <c r="I20" s="102">
        <v>1.0466651145663588</v>
      </c>
      <c r="J20" s="102">
        <v>0.86271569102838452</v>
      </c>
      <c r="K20" s="102">
        <v>0.70503628367263038</v>
      </c>
      <c r="L20" s="102">
        <v>0.83444905216242982</v>
      </c>
      <c r="M20" s="102">
        <v>0.67198486138277735</v>
      </c>
      <c r="N20" s="102">
        <v>0.48981190830667831</v>
      </c>
      <c r="O20" s="102">
        <v>0.49337804383015305</v>
      </c>
      <c r="P20" s="102">
        <v>0.5234300813535997</v>
      </c>
      <c r="Q20" s="102">
        <v>0.554577765581869</v>
      </c>
      <c r="R20" s="102">
        <v>0.60247639803624209</v>
      </c>
      <c r="S20" s="102">
        <v>0.74347559657959184</v>
      </c>
      <c r="T20" s="102">
        <v>0.85281267232979385</v>
      </c>
      <c r="U20" s="102">
        <v>0.69348801492738033</v>
      </c>
      <c r="V20" s="102">
        <v>0.68816203049033564</v>
      </c>
      <c r="W20" s="102">
        <v>0.84150687610413777</v>
      </c>
      <c r="X20" s="102">
        <v>0.88040413912368531</v>
      </c>
      <c r="Y20" s="102">
        <v>0.86199011090272482</v>
      </c>
      <c r="DA20" s="175" t="s">
        <v>205</v>
      </c>
    </row>
    <row r="21" spans="1:105" ht="11.45" customHeight="1" x14ac:dyDescent="0.25">
      <c r="A21" s="85" t="s">
        <v>182</v>
      </c>
      <c r="B21" s="86">
        <v>0.9354716780735014</v>
      </c>
      <c r="C21" s="86">
        <v>0.92201165392855888</v>
      </c>
      <c r="D21" s="86">
        <v>1.0162318229431562</v>
      </c>
      <c r="E21" s="86">
        <v>1.5950128611756824</v>
      </c>
      <c r="F21" s="86">
        <v>1.2787022937695343</v>
      </c>
      <c r="G21" s="86">
        <v>1.3325715555555555</v>
      </c>
      <c r="H21" s="86">
        <v>1.1419091920712106</v>
      </c>
      <c r="I21" s="86">
        <v>1.0703012699500398</v>
      </c>
      <c r="J21" s="86">
        <v>1.202204721367802</v>
      </c>
      <c r="K21" s="86">
        <v>1.3359977186225536</v>
      </c>
      <c r="L21" s="86">
        <v>1.3195541179245283</v>
      </c>
      <c r="M21" s="86">
        <v>2.0230086468289015</v>
      </c>
      <c r="N21" s="86">
        <v>1.8897999445544555</v>
      </c>
      <c r="O21" s="86">
        <v>1.7567177820584841</v>
      </c>
      <c r="P21" s="86">
        <v>1.5772356631412474</v>
      </c>
      <c r="Q21" s="86">
        <v>1.7109691236237248</v>
      </c>
      <c r="R21" s="86">
        <v>2.0644509721079083</v>
      </c>
      <c r="S21" s="86">
        <v>2.2627114282024681</v>
      </c>
      <c r="T21" s="86">
        <v>1.9677604841269845</v>
      </c>
      <c r="U21" s="86">
        <v>2.1486175479452054</v>
      </c>
      <c r="V21" s="86">
        <v>0.92999320463320445</v>
      </c>
      <c r="W21" s="86">
        <v>0.68146729411764695</v>
      </c>
      <c r="X21" s="86">
        <v>0.61904383955223885</v>
      </c>
      <c r="Y21" s="86">
        <v>0.53044350282485875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28643</v>
      </c>
      <c r="C23" s="54">
        <f t="shared" si="15"/>
        <v>29296</v>
      </c>
      <c r="D23" s="54">
        <f t="shared" ref="D23:V23" si="16">SUM(D24,D28)</f>
        <v>29466</v>
      </c>
      <c r="E23" s="54">
        <f t="shared" si="16"/>
        <v>56351</v>
      </c>
      <c r="F23" s="54">
        <f t="shared" si="16"/>
        <v>71465</v>
      </c>
      <c r="G23" s="54">
        <f t="shared" si="16"/>
        <v>79907</v>
      </c>
      <c r="H23" s="54">
        <f t="shared" si="16"/>
        <v>84074</v>
      </c>
      <c r="I23" s="54">
        <f t="shared" si="16"/>
        <v>88513</v>
      </c>
      <c r="J23" s="54">
        <f t="shared" si="16"/>
        <v>91728</v>
      </c>
      <c r="K23" s="54">
        <f t="shared" si="16"/>
        <v>85477</v>
      </c>
      <c r="L23" s="54">
        <f t="shared" si="16"/>
        <v>80636</v>
      </c>
      <c r="M23" s="54">
        <f t="shared" si="16"/>
        <v>77693</v>
      </c>
      <c r="N23" s="54">
        <f t="shared" si="16"/>
        <v>67755</v>
      </c>
      <c r="O23" s="54">
        <f t="shared" si="16"/>
        <v>65647</v>
      </c>
      <c r="P23" s="54">
        <f t="shared" si="16"/>
        <v>64076</v>
      </c>
      <c r="Q23" s="54">
        <f t="shared" si="16"/>
        <v>64688</v>
      </c>
      <c r="R23" s="54">
        <f t="shared" si="16"/>
        <v>68209</v>
      </c>
      <c r="S23" s="54">
        <f t="shared" si="16"/>
        <v>71625</v>
      </c>
      <c r="T23" s="54">
        <f t="shared" si="16"/>
        <v>76057</v>
      </c>
      <c r="U23" s="54">
        <f t="shared" si="16"/>
        <v>74968</v>
      </c>
      <c r="V23" s="54">
        <f t="shared" si="16"/>
        <v>22214</v>
      </c>
      <c r="W23" s="54">
        <f t="shared" ref="W23:Y23" si="17">SUM(W24,W28)</f>
        <v>25635</v>
      </c>
      <c r="X23" s="54">
        <f t="shared" si="17"/>
        <v>45750</v>
      </c>
      <c r="Y23" s="54">
        <f t="shared" si="17"/>
        <v>56029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27696</v>
      </c>
      <c r="C24" s="11">
        <f t="shared" si="18"/>
        <v>28399</v>
      </c>
      <c r="D24" s="11">
        <f t="shared" ref="D24:V24" si="19">SUM(D25:D27)</f>
        <v>28412</v>
      </c>
      <c r="E24" s="11">
        <f t="shared" si="19"/>
        <v>55138</v>
      </c>
      <c r="F24" s="11">
        <f t="shared" si="19"/>
        <v>70122</v>
      </c>
      <c r="G24" s="11">
        <f t="shared" si="19"/>
        <v>78415</v>
      </c>
      <c r="H24" s="11">
        <f t="shared" si="19"/>
        <v>82380</v>
      </c>
      <c r="I24" s="11">
        <f t="shared" si="19"/>
        <v>86764</v>
      </c>
      <c r="J24" s="11">
        <f t="shared" si="19"/>
        <v>90165</v>
      </c>
      <c r="K24" s="11">
        <f t="shared" si="19"/>
        <v>84056</v>
      </c>
      <c r="L24" s="11">
        <f t="shared" si="19"/>
        <v>79057</v>
      </c>
      <c r="M24" s="11">
        <f t="shared" si="19"/>
        <v>76248</v>
      </c>
      <c r="N24" s="11">
        <f t="shared" si="19"/>
        <v>66624</v>
      </c>
      <c r="O24" s="11">
        <f t="shared" si="19"/>
        <v>64566</v>
      </c>
      <c r="P24" s="11">
        <f t="shared" si="19"/>
        <v>63031</v>
      </c>
      <c r="Q24" s="11">
        <f t="shared" si="19"/>
        <v>63580</v>
      </c>
      <c r="R24" s="11">
        <f t="shared" si="19"/>
        <v>66976</v>
      </c>
      <c r="S24" s="11">
        <f t="shared" si="19"/>
        <v>70169</v>
      </c>
      <c r="T24" s="11">
        <f t="shared" si="19"/>
        <v>74412</v>
      </c>
      <c r="U24" s="11">
        <f t="shared" si="19"/>
        <v>73472</v>
      </c>
      <c r="V24" s="11">
        <f t="shared" si="19"/>
        <v>20768</v>
      </c>
      <c r="W24" s="11">
        <f t="shared" ref="W24:Y24" si="20">SUM(W25:W27)</f>
        <v>23855</v>
      </c>
      <c r="X24" s="11">
        <f t="shared" si="20"/>
        <v>44256</v>
      </c>
      <c r="Y24" s="11">
        <f t="shared" si="20"/>
        <v>54632</v>
      </c>
      <c r="DA24" s="189" t="s">
        <v>208</v>
      </c>
    </row>
    <row r="25" spans="1:105" ht="11.45" customHeight="1" x14ac:dyDescent="0.25">
      <c r="A25" s="83" t="s">
        <v>27</v>
      </c>
      <c r="B25" s="84">
        <v>2248</v>
      </c>
      <c r="C25" s="84">
        <v>2889</v>
      </c>
      <c r="D25" s="84">
        <v>2068</v>
      </c>
      <c r="E25" s="84">
        <v>3591</v>
      </c>
      <c r="F25" s="84">
        <v>4586</v>
      </c>
      <c r="G25" s="84">
        <v>4810</v>
      </c>
      <c r="H25" s="84">
        <v>5435</v>
      </c>
      <c r="I25" s="84">
        <v>5175</v>
      </c>
      <c r="J25" s="84">
        <v>6165</v>
      </c>
      <c r="K25" s="84">
        <v>7465</v>
      </c>
      <c r="L25" s="84">
        <v>5692</v>
      </c>
      <c r="M25" s="84">
        <v>3563</v>
      </c>
      <c r="N25" s="84">
        <v>2883</v>
      </c>
      <c r="O25" s="84">
        <v>2093</v>
      </c>
      <c r="P25" s="84">
        <v>2423</v>
      </c>
      <c r="Q25" s="84">
        <v>2606</v>
      </c>
      <c r="R25" s="84">
        <v>2356</v>
      </c>
      <c r="S25" s="84">
        <v>1525</v>
      </c>
      <c r="T25" s="84">
        <v>1404</v>
      </c>
      <c r="U25" s="84">
        <v>516</v>
      </c>
      <c r="V25" s="84">
        <v>292</v>
      </c>
      <c r="W25" s="84">
        <v>404</v>
      </c>
      <c r="X25" s="84">
        <v>380</v>
      </c>
      <c r="Y25" s="84">
        <v>488</v>
      </c>
      <c r="DA25" s="171" t="s">
        <v>209</v>
      </c>
    </row>
    <row r="26" spans="1:105" ht="11.45" customHeight="1" x14ac:dyDescent="0.25">
      <c r="A26" s="83" t="s">
        <v>181</v>
      </c>
      <c r="B26" s="84">
        <v>21483</v>
      </c>
      <c r="C26" s="84">
        <v>21535</v>
      </c>
      <c r="D26" s="84">
        <v>22239</v>
      </c>
      <c r="E26" s="84">
        <v>44110</v>
      </c>
      <c r="F26" s="84">
        <v>56663</v>
      </c>
      <c r="G26" s="84">
        <v>63959</v>
      </c>
      <c r="H26" s="84">
        <v>66277</v>
      </c>
      <c r="I26" s="84">
        <v>69778</v>
      </c>
      <c r="J26" s="84">
        <v>70864</v>
      </c>
      <c r="K26" s="84">
        <v>62987</v>
      </c>
      <c r="L26" s="84">
        <v>59726</v>
      </c>
      <c r="M26" s="84">
        <v>58036</v>
      </c>
      <c r="N26" s="84">
        <v>49261</v>
      </c>
      <c r="O26" s="84">
        <v>47991</v>
      </c>
      <c r="P26" s="84">
        <v>46401</v>
      </c>
      <c r="Q26" s="84">
        <v>48024</v>
      </c>
      <c r="R26" s="84">
        <v>51971</v>
      </c>
      <c r="S26" s="84">
        <v>53874</v>
      </c>
      <c r="T26" s="84">
        <v>55616</v>
      </c>
      <c r="U26" s="84">
        <v>54882</v>
      </c>
      <c r="V26" s="84">
        <v>16230</v>
      </c>
      <c r="W26" s="84">
        <v>18006</v>
      </c>
      <c r="X26" s="84">
        <v>34760</v>
      </c>
      <c r="Y26" s="84">
        <v>42900</v>
      </c>
      <c r="DA26" s="171" t="s">
        <v>210</v>
      </c>
    </row>
    <row r="27" spans="1:105" ht="11.45" customHeight="1" x14ac:dyDescent="0.25">
      <c r="A27" s="83" t="s">
        <v>182</v>
      </c>
      <c r="B27" s="84">
        <v>3965</v>
      </c>
      <c r="C27" s="84">
        <v>3975</v>
      </c>
      <c r="D27" s="84">
        <v>4105</v>
      </c>
      <c r="E27" s="84">
        <v>7437</v>
      </c>
      <c r="F27" s="84">
        <v>8873</v>
      </c>
      <c r="G27" s="84">
        <v>9646</v>
      </c>
      <c r="H27" s="84">
        <v>10668</v>
      </c>
      <c r="I27" s="84">
        <v>11811</v>
      </c>
      <c r="J27" s="84">
        <v>13136</v>
      </c>
      <c r="K27" s="84">
        <v>13604</v>
      </c>
      <c r="L27" s="84">
        <v>13639</v>
      </c>
      <c r="M27" s="84">
        <v>14649</v>
      </c>
      <c r="N27" s="84">
        <v>14480</v>
      </c>
      <c r="O27" s="84">
        <v>14482</v>
      </c>
      <c r="P27" s="84">
        <v>14207</v>
      </c>
      <c r="Q27" s="84">
        <v>12950</v>
      </c>
      <c r="R27" s="84">
        <v>12649</v>
      </c>
      <c r="S27" s="84">
        <v>14770</v>
      </c>
      <c r="T27" s="84">
        <v>17392</v>
      </c>
      <c r="U27" s="84">
        <v>18074</v>
      </c>
      <c r="V27" s="84">
        <v>4246</v>
      </c>
      <c r="W27" s="84">
        <v>5445</v>
      </c>
      <c r="X27" s="84">
        <v>9116</v>
      </c>
      <c r="Y27" s="84">
        <v>11244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947</v>
      </c>
      <c r="C28" s="13">
        <f t="shared" si="21"/>
        <v>897</v>
      </c>
      <c r="D28" s="13">
        <f t="shared" ref="D28:V28" si="22">SUM(D29:D31)</f>
        <v>1054</v>
      </c>
      <c r="E28" s="13">
        <f t="shared" si="22"/>
        <v>1213</v>
      </c>
      <c r="F28" s="13">
        <f t="shared" si="22"/>
        <v>1343</v>
      </c>
      <c r="G28" s="13">
        <f t="shared" si="22"/>
        <v>1492</v>
      </c>
      <c r="H28" s="13">
        <f t="shared" si="22"/>
        <v>1694</v>
      </c>
      <c r="I28" s="13">
        <f t="shared" si="22"/>
        <v>1749</v>
      </c>
      <c r="J28" s="13">
        <f t="shared" si="22"/>
        <v>1563</v>
      </c>
      <c r="K28" s="13">
        <f t="shared" si="22"/>
        <v>1421</v>
      </c>
      <c r="L28" s="13">
        <f t="shared" si="22"/>
        <v>1579</v>
      </c>
      <c r="M28" s="13">
        <f t="shared" si="22"/>
        <v>1445</v>
      </c>
      <c r="N28" s="13">
        <f t="shared" si="22"/>
        <v>1131</v>
      </c>
      <c r="O28" s="13">
        <f t="shared" si="22"/>
        <v>1081</v>
      </c>
      <c r="P28" s="13">
        <f t="shared" si="22"/>
        <v>1045</v>
      </c>
      <c r="Q28" s="13">
        <f t="shared" si="22"/>
        <v>1108</v>
      </c>
      <c r="R28" s="13">
        <f t="shared" si="22"/>
        <v>1233</v>
      </c>
      <c r="S28" s="13">
        <f t="shared" si="22"/>
        <v>1456</v>
      </c>
      <c r="T28" s="13">
        <f t="shared" si="22"/>
        <v>1645</v>
      </c>
      <c r="U28" s="13">
        <f t="shared" si="22"/>
        <v>1496</v>
      </c>
      <c r="V28" s="13">
        <f t="shared" si="22"/>
        <v>1446</v>
      </c>
      <c r="W28" s="13">
        <f t="shared" ref="W28:Y28" si="23">SUM(W29:W31)</f>
        <v>1780</v>
      </c>
      <c r="X28" s="13">
        <f t="shared" si="23"/>
        <v>1494</v>
      </c>
      <c r="Y28" s="13">
        <f t="shared" si="23"/>
        <v>1397</v>
      </c>
      <c r="DA28" s="193" t="s">
        <v>212</v>
      </c>
    </row>
    <row r="29" spans="1:105" ht="11.45" customHeight="1" x14ac:dyDescent="0.25">
      <c r="A29" s="92" t="s">
        <v>27</v>
      </c>
      <c r="B29" s="102">
        <v>49</v>
      </c>
      <c r="C29" s="102">
        <v>47</v>
      </c>
      <c r="D29" s="102">
        <v>54</v>
      </c>
      <c r="E29" s="102">
        <v>44</v>
      </c>
      <c r="F29" s="102">
        <v>23</v>
      </c>
      <c r="G29" s="102">
        <v>58</v>
      </c>
      <c r="H29" s="102">
        <v>131</v>
      </c>
      <c r="I29" s="102">
        <v>188</v>
      </c>
      <c r="J29" s="102">
        <v>210</v>
      </c>
      <c r="K29" s="102">
        <v>232</v>
      </c>
      <c r="L29" s="102">
        <v>174</v>
      </c>
      <c r="M29" s="102">
        <v>149</v>
      </c>
      <c r="N29" s="102">
        <v>124</v>
      </c>
      <c r="O29" s="102">
        <v>79</v>
      </c>
      <c r="P29" s="102">
        <v>42</v>
      </c>
      <c r="Q29" s="102">
        <v>43</v>
      </c>
      <c r="R29" s="102">
        <v>32</v>
      </c>
      <c r="S29" s="102">
        <v>33</v>
      </c>
      <c r="T29" s="102">
        <v>174</v>
      </c>
      <c r="U29" s="102">
        <v>144</v>
      </c>
      <c r="V29" s="102">
        <v>129</v>
      </c>
      <c r="W29" s="102">
        <v>157</v>
      </c>
      <c r="X29" s="102">
        <v>38</v>
      </c>
      <c r="Y29" s="102">
        <v>1</v>
      </c>
      <c r="DA29" s="175" t="s">
        <v>213</v>
      </c>
    </row>
    <row r="30" spans="1:105" ht="11.45" customHeight="1" x14ac:dyDescent="0.25">
      <c r="A30" s="92" t="s">
        <v>181</v>
      </c>
      <c r="B30" s="102">
        <v>759</v>
      </c>
      <c r="C30" s="102">
        <v>713</v>
      </c>
      <c r="D30" s="102">
        <v>849</v>
      </c>
      <c r="E30" s="102">
        <v>932</v>
      </c>
      <c r="F30" s="102">
        <v>1130</v>
      </c>
      <c r="G30" s="102">
        <v>1232</v>
      </c>
      <c r="H30" s="102">
        <v>1378</v>
      </c>
      <c r="I30" s="102">
        <v>1380</v>
      </c>
      <c r="J30" s="102">
        <v>1138</v>
      </c>
      <c r="K30" s="102">
        <v>938</v>
      </c>
      <c r="L30" s="102">
        <v>1142</v>
      </c>
      <c r="M30" s="102">
        <v>934</v>
      </c>
      <c r="N30" s="102">
        <v>698</v>
      </c>
      <c r="O30" s="102">
        <v>717</v>
      </c>
      <c r="P30" s="102">
        <v>752</v>
      </c>
      <c r="Q30" s="102">
        <v>801</v>
      </c>
      <c r="R30" s="102">
        <v>893</v>
      </c>
      <c r="S30" s="102">
        <v>1090</v>
      </c>
      <c r="T30" s="102">
        <v>1190</v>
      </c>
      <c r="U30" s="102">
        <v>1004</v>
      </c>
      <c r="V30" s="102">
        <v>977</v>
      </c>
      <c r="W30" s="102">
        <v>1263</v>
      </c>
      <c r="X30" s="102">
        <v>1233</v>
      </c>
      <c r="Y30" s="102">
        <v>1196</v>
      </c>
      <c r="DA30" s="175" t="s">
        <v>214</v>
      </c>
    </row>
    <row r="31" spans="1:105" ht="11.45" customHeight="1" x14ac:dyDescent="0.25">
      <c r="A31" s="85" t="s">
        <v>182</v>
      </c>
      <c r="B31" s="86">
        <v>139</v>
      </c>
      <c r="C31" s="86">
        <v>137</v>
      </c>
      <c r="D31" s="86">
        <v>151</v>
      </c>
      <c r="E31" s="86">
        <v>237</v>
      </c>
      <c r="F31" s="86">
        <v>190</v>
      </c>
      <c r="G31" s="86">
        <v>202</v>
      </c>
      <c r="H31" s="86">
        <v>185</v>
      </c>
      <c r="I31" s="86">
        <v>181</v>
      </c>
      <c r="J31" s="86">
        <v>215</v>
      </c>
      <c r="K31" s="86">
        <v>251</v>
      </c>
      <c r="L31" s="86">
        <v>263</v>
      </c>
      <c r="M31" s="86">
        <v>362</v>
      </c>
      <c r="N31" s="86">
        <v>309</v>
      </c>
      <c r="O31" s="86">
        <v>285</v>
      </c>
      <c r="P31" s="86">
        <v>251</v>
      </c>
      <c r="Q31" s="86">
        <v>264</v>
      </c>
      <c r="R31" s="86">
        <v>308</v>
      </c>
      <c r="S31" s="86">
        <v>333</v>
      </c>
      <c r="T31" s="86">
        <v>281</v>
      </c>
      <c r="U31" s="86">
        <v>348</v>
      </c>
      <c r="V31" s="86">
        <v>340</v>
      </c>
      <c r="W31" s="86">
        <v>360</v>
      </c>
      <c r="X31" s="86">
        <v>223</v>
      </c>
      <c r="Y31" s="86">
        <v>200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1899166</v>
      </c>
      <c r="C34" s="11">
        <f t="shared" si="24"/>
        <v>1932101</v>
      </c>
      <c r="D34" s="11">
        <f t="shared" ref="D34:V34" si="25">SUM(D35:D37)</f>
        <v>1987093</v>
      </c>
      <c r="E34" s="11">
        <f t="shared" si="25"/>
        <v>3928676</v>
      </c>
      <c r="F34" s="11">
        <f t="shared" si="25"/>
        <v>5073974</v>
      </c>
      <c r="G34" s="11">
        <f t="shared" si="25"/>
        <v>5683437</v>
      </c>
      <c r="H34" s="11">
        <f t="shared" si="25"/>
        <v>6171561</v>
      </c>
      <c r="I34" s="11">
        <f t="shared" si="25"/>
        <v>6632826</v>
      </c>
      <c r="J34" s="11">
        <f t="shared" si="25"/>
        <v>6816728</v>
      </c>
      <c r="K34" s="11">
        <f t="shared" si="25"/>
        <v>6272227</v>
      </c>
      <c r="L34" s="11">
        <f t="shared" si="25"/>
        <v>6196042</v>
      </c>
      <c r="M34" s="11">
        <f t="shared" si="25"/>
        <v>6402713</v>
      </c>
      <c r="N34" s="11">
        <f t="shared" si="25"/>
        <v>5964596</v>
      </c>
      <c r="O34" s="11">
        <f t="shared" si="25"/>
        <v>6015298</v>
      </c>
      <c r="P34" s="11">
        <f t="shared" si="25"/>
        <v>6114182</v>
      </c>
      <c r="Q34" s="11">
        <f t="shared" si="25"/>
        <v>6481627</v>
      </c>
      <c r="R34" s="11">
        <f t="shared" si="25"/>
        <v>6915107</v>
      </c>
      <c r="S34" s="11">
        <f t="shared" si="25"/>
        <v>8158992</v>
      </c>
      <c r="T34" s="11">
        <f t="shared" si="25"/>
        <v>8933161</v>
      </c>
      <c r="U34" s="11">
        <f t="shared" si="25"/>
        <v>9416685</v>
      </c>
      <c r="V34" s="11">
        <f t="shared" si="25"/>
        <v>1945644</v>
      </c>
      <c r="W34" s="11">
        <f t="shared" ref="W34:Y34" si="26">SUM(W35:W37)</f>
        <v>2391950</v>
      </c>
      <c r="X34" s="11">
        <f t="shared" si="26"/>
        <v>5793314</v>
      </c>
      <c r="Y34" s="11">
        <f t="shared" si="26"/>
        <v>7502550</v>
      </c>
      <c r="DA34" s="189" t="s">
        <v>216</v>
      </c>
    </row>
    <row r="35" spans="1:105" ht="11.45" customHeight="1" x14ac:dyDescent="0.25">
      <c r="A35" s="83" t="s">
        <v>27</v>
      </c>
      <c r="B35" s="84">
        <v>59536</v>
      </c>
      <c r="C35" s="84">
        <v>77043</v>
      </c>
      <c r="D35" s="84">
        <v>55669</v>
      </c>
      <c r="E35" s="84">
        <v>98581</v>
      </c>
      <c r="F35" s="84">
        <v>103539</v>
      </c>
      <c r="G35" s="84">
        <v>159310</v>
      </c>
      <c r="H35" s="84">
        <v>192597</v>
      </c>
      <c r="I35" s="84">
        <v>195066</v>
      </c>
      <c r="J35" s="84">
        <v>223440</v>
      </c>
      <c r="K35" s="84">
        <v>205105</v>
      </c>
      <c r="L35" s="84">
        <v>174277</v>
      </c>
      <c r="M35" s="84">
        <v>115721</v>
      </c>
      <c r="N35" s="84">
        <v>117149</v>
      </c>
      <c r="O35" s="84">
        <v>86079</v>
      </c>
      <c r="P35" s="84">
        <v>89822</v>
      </c>
      <c r="Q35" s="84">
        <v>91201</v>
      </c>
      <c r="R35" s="84">
        <v>67623</v>
      </c>
      <c r="S35" s="84">
        <v>47891</v>
      </c>
      <c r="T35" s="84">
        <v>54596</v>
      </c>
      <c r="U35" s="84">
        <v>32004</v>
      </c>
      <c r="V35" s="84">
        <v>5894</v>
      </c>
      <c r="W35" s="84">
        <v>15372</v>
      </c>
      <c r="X35" s="84">
        <v>22082</v>
      </c>
      <c r="Y35" s="84">
        <v>27162</v>
      </c>
      <c r="DA35" s="171" t="s">
        <v>217</v>
      </c>
    </row>
    <row r="36" spans="1:105" ht="11.45" customHeight="1" x14ac:dyDescent="0.25">
      <c r="A36" s="83" t="s">
        <v>181</v>
      </c>
      <c r="B36" s="84">
        <v>1434360</v>
      </c>
      <c r="C36" s="84">
        <v>1447247</v>
      </c>
      <c r="D36" s="84">
        <v>1508641</v>
      </c>
      <c r="E36" s="84">
        <v>3066060</v>
      </c>
      <c r="F36" s="84">
        <v>3994986</v>
      </c>
      <c r="G36" s="84">
        <v>4484142</v>
      </c>
      <c r="H36" s="84">
        <v>4814934</v>
      </c>
      <c r="I36" s="84">
        <v>5140168</v>
      </c>
      <c r="J36" s="84">
        <v>5186664</v>
      </c>
      <c r="K36" s="84">
        <v>4688168</v>
      </c>
      <c r="L36" s="84">
        <v>4522374</v>
      </c>
      <c r="M36" s="84">
        <v>4673879</v>
      </c>
      <c r="N36" s="84">
        <v>4236624</v>
      </c>
      <c r="O36" s="84">
        <v>4256394</v>
      </c>
      <c r="P36" s="84">
        <v>4352387</v>
      </c>
      <c r="Q36" s="84">
        <v>4734437</v>
      </c>
      <c r="R36" s="84">
        <v>5185406</v>
      </c>
      <c r="S36" s="84">
        <v>5971515</v>
      </c>
      <c r="T36" s="84">
        <v>6396020</v>
      </c>
      <c r="U36" s="84">
        <v>6675665</v>
      </c>
      <c r="V36" s="84">
        <v>1458383</v>
      </c>
      <c r="W36" s="84">
        <v>1737569</v>
      </c>
      <c r="X36" s="84">
        <v>4366571</v>
      </c>
      <c r="Y36" s="84">
        <v>5662051</v>
      </c>
      <c r="DA36" s="171" t="s">
        <v>218</v>
      </c>
    </row>
    <row r="37" spans="1:105" ht="11.45" customHeight="1" x14ac:dyDescent="0.25">
      <c r="A37" s="83" t="s">
        <v>182</v>
      </c>
      <c r="B37" s="84">
        <v>405270</v>
      </c>
      <c r="C37" s="84">
        <v>407811</v>
      </c>
      <c r="D37" s="84">
        <v>422783</v>
      </c>
      <c r="E37" s="84">
        <v>764035</v>
      </c>
      <c r="F37" s="84">
        <v>975449</v>
      </c>
      <c r="G37" s="84">
        <v>1039985</v>
      </c>
      <c r="H37" s="84">
        <v>1164030</v>
      </c>
      <c r="I37" s="84">
        <v>1297592</v>
      </c>
      <c r="J37" s="84">
        <v>1406624</v>
      </c>
      <c r="K37" s="84">
        <v>1378954</v>
      </c>
      <c r="L37" s="84">
        <v>1499391</v>
      </c>
      <c r="M37" s="84">
        <v>1613113</v>
      </c>
      <c r="N37" s="84">
        <v>1610823</v>
      </c>
      <c r="O37" s="84">
        <v>1672825</v>
      </c>
      <c r="P37" s="84">
        <v>1671973</v>
      </c>
      <c r="Q37" s="84">
        <v>1655989</v>
      </c>
      <c r="R37" s="84">
        <v>1662078</v>
      </c>
      <c r="S37" s="84">
        <v>2139586</v>
      </c>
      <c r="T37" s="84">
        <v>2482545</v>
      </c>
      <c r="U37" s="84">
        <v>2709016</v>
      </c>
      <c r="V37" s="84">
        <v>481367</v>
      </c>
      <c r="W37" s="84">
        <v>639009</v>
      </c>
      <c r="X37" s="84">
        <v>1404661</v>
      </c>
      <c r="Y37" s="84">
        <v>1813337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20009.733900568084</v>
      </c>
      <c r="C38" s="13">
        <f t="shared" si="27"/>
        <v>19503.123183922609</v>
      </c>
      <c r="D38" s="13">
        <f t="shared" ref="D38:V38" si="28">SUM(D39:D41)</f>
        <v>22434.734071177147</v>
      </c>
      <c r="E38" s="13">
        <f t="shared" si="28"/>
        <v>28077.551550228593</v>
      </c>
      <c r="F38" s="13">
        <f t="shared" si="28"/>
        <v>27521.493486522639</v>
      </c>
      <c r="G38" s="13">
        <f t="shared" si="28"/>
        <v>28242.520064666784</v>
      </c>
      <c r="H38" s="13">
        <f t="shared" si="28"/>
        <v>28935.361590541754</v>
      </c>
      <c r="I38" s="13">
        <f t="shared" si="28"/>
        <v>29010.873670692559</v>
      </c>
      <c r="J38" s="13">
        <f t="shared" si="28"/>
        <v>27195.09848001333</v>
      </c>
      <c r="K38" s="13">
        <f t="shared" si="28"/>
        <v>27537.637269741121</v>
      </c>
      <c r="L38" s="13">
        <f t="shared" si="28"/>
        <v>32114.545475802719</v>
      </c>
      <c r="M38" s="13">
        <f t="shared" si="28"/>
        <v>36122.249419083666</v>
      </c>
      <c r="N38" s="13">
        <f t="shared" si="28"/>
        <v>31278.534538154185</v>
      </c>
      <c r="O38" s="13">
        <f t="shared" si="28"/>
        <v>29925.546598299017</v>
      </c>
      <c r="P38" s="13">
        <f t="shared" si="28"/>
        <v>31096.290203905155</v>
      </c>
      <c r="Q38" s="13">
        <f t="shared" si="28"/>
        <v>32863.704996961998</v>
      </c>
      <c r="R38" s="13">
        <f t="shared" si="28"/>
        <v>41725.78480922828</v>
      </c>
      <c r="S38" s="13">
        <f t="shared" si="28"/>
        <v>46002.271888386138</v>
      </c>
      <c r="T38" s="13">
        <f t="shared" si="28"/>
        <v>46043.931091417413</v>
      </c>
      <c r="U38" s="13">
        <f t="shared" si="28"/>
        <v>48296.829924846192</v>
      </c>
      <c r="V38" s="13">
        <f t="shared" si="28"/>
        <v>36293.330355306629</v>
      </c>
      <c r="W38" s="13">
        <f t="shared" ref="W38:Y38" si="29">SUM(W39:W41)</f>
        <v>44046.0285002991</v>
      </c>
      <c r="X38" s="13">
        <f t="shared" si="29"/>
        <v>36117.146999837612</v>
      </c>
      <c r="Y38" s="13">
        <f t="shared" si="29"/>
        <v>34120.444050328006</v>
      </c>
      <c r="DA38" s="193" t="s">
        <v>220</v>
      </c>
    </row>
    <row r="39" spans="1:105" ht="11.45" customHeight="1" x14ac:dyDescent="0.25">
      <c r="A39" s="92" t="s">
        <v>27</v>
      </c>
      <c r="B39" s="102">
        <v>491.14094350951291</v>
      </c>
      <c r="C39" s="102">
        <v>467.50168786132093</v>
      </c>
      <c r="D39" s="102">
        <v>552.34541651574955</v>
      </c>
      <c r="E39" s="102">
        <v>478.72485765951251</v>
      </c>
      <c r="F39" s="102">
        <v>235.64169783212139</v>
      </c>
      <c r="G39" s="102">
        <v>581.53042048798216</v>
      </c>
      <c r="H39" s="102">
        <v>1263.4027147775344</v>
      </c>
      <c r="I39" s="102">
        <v>1806.3954714147071</v>
      </c>
      <c r="J39" s="102">
        <v>1941.2933820387934</v>
      </c>
      <c r="K39" s="102">
        <v>2163.1911614638816</v>
      </c>
      <c r="L39" s="102">
        <v>1735.248625423603</v>
      </c>
      <c r="M39" s="102">
        <v>1623.420145660913</v>
      </c>
      <c r="N39" s="102">
        <v>1387.7250600641082</v>
      </c>
      <c r="O39" s="102">
        <v>906.33591804861885</v>
      </c>
      <c r="P39" s="102">
        <v>540.41807609021555</v>
      </c>
      <c r="Q39" s="102">
        <v>569.33284068884109</v>
      </c>
      <c r="R39" s="102">
        <v>488.35920653369323</v>
      </c>
      <c r="S39" s="102">
        <v>463.23444033264656</v>
      </c>
      <c r="T39" s="102">
        <v>2486.0721008823921</v>
      </c>
      <c r="U39" s="102">
        <v>2275.6908648742015</v>
      </c>
      <c r="V39" s="102">
        <v>1878.9558963284417</v>
      </c>
      <c r="W39" s="102">
        <v>2313.220325739489</v>
      </c>
      <c r="X39" s="102">
        <v>566.31908166004462</v>
      </c>
      <c r="Y39" s="102">
        <v>14.791343727721088</v>
      </c>
      <c r="DA39" s="175" t="s">
        <v>221</v>
      </c>
    </row>
    <row r="40" spans="1:105" ht="11.45" customHeight="1" x14ac:dyDescent="0.25">
      <c r="A40" s="92" t="s">
        <v>181</v>
      </c>
      <c r="B40" s="102">
        <v>12271.366093962566</v>
      </c>
      <c r="C40" s="102">
        <v>11655.790159314862</v>
      </c>
      <c r="D40" s="102">
        <v>13894.007200879823</v>
      </c>
      <c r="E40" s="102">
        <v>16050.621303251708</v>
      </c>
      <c r="F40" s="102">
        <v>18154.520365740394</v>
      </c>
      <c r="G40" s="102">
        <v>18729.450301461387</v>
      </c>
      <c r="H40" s="102">
        <v>19316.594326642778</v>
      </c>
      <c r="I40" s="102">
        <v>19025.844391983141</v>
      </c>
      <c r="J40" s="102">
        <v>15597.484348811146</v>
      </c>
      <c r="K40" s="102">
        <v>12849.562810536605</v>
      </c>
      <c r="L40" s="102">
        <v>16564.452408853929</v>
      </c>
      <c r="M40" s="102">
        <v>14564.787572487667</v>
      </c>
      <c r="N40" s="102">
        <v>11634.454166400228</v>
      </c>
      <c r="O40" s="102">
        <v>12014.773721481506</v>
      </c>
      <c r="P40" s="102">
        <v>13873.958334355711</v>
      </c>
      <c r="Q40" s="102">
        <v>14800.562853353365</v>
      </c>
      <c r="R40" s="102">
        <v>18617.192026899585</v>
      </c>
      <c r="S40" s="102">
        <v>21121.502451733904</v>
      </c>
      <c r="T40" s="102">
        <v>22878.298823606965</v>
      </c>
      <c r="U40" s="102">
        <v>19781.409012102486</v>
      </c>
      <c r="V40" s="102">
        <v>17234.774473855497</v>
      </c>
      <c r="W40" s="102">
        <v>22441.483839158354</v>
      </c>
      <c r="X40" s="102">
        <v>22058.954602463888</v>
      </c>
      <c r="Y40" s="102">
        <v>21492.164543037874</v>
      </c>
      <c r="DA40" s="175" t="s">
        <v>222</v>
      </c>
    </row>
    <row r="41" spans="1:105" ht="11.45" customHeight="1" x14ac:dyDescent="0.25">
      <c r="A41" s="85" t="s">
        <v>182</v>
      </c>
      <c r="B41" s="86">
        <v>7247.2268630960043</v>
      </c>
      <c r="C41" s="86">
        <v>7379.8313367464261</v>
      </c>
      <c r="D41" s="86">
        <v>7988.3814537815724</v>
      </c>
      <c r="E41" s="86">
        <v>11548.205389317371</v>
      </c>
      <c r="F41" s="86">
        <v>9131.3314229501211</v>
      </c>
      <c r="G41" s="86">
        <v>8931.5393427174131</v>
      </c>
      <c r="H41" s="86">
        <v>8355.3645491214429</v>
      </c>
      <c r="I41" s="86">
        <v>8178.6338072947101</v>
      </c>
      <c r="J41" s="86">
        <v>9656.3207491633893</v>
      </c>
      <c r="K41" s="86">
        <v>12524.883297740636</v>
      </c>
      <c r="L41" s="86">
        <v>13814.844441525189</v>
      </c>
      <c r="M41" s="86">
        <v>19934.041700935086</v>
      </c>
      <c r="N41" s="86">
        <v>18256.355311689847</v>
      </c>
      <c r="O41" s="86">
        <v>17004.436958768893</v>
      </c>
      <c r="P41" s="86">
        <v>16681.913793459225</v>
      </c>
      <c r="Q41" s="86">
        <v>17493.809302919795</v>
      </c>
      <c r="R41" s="86">
        <v>22620.233575795006</v>
      </c>
      <c r="S41" s="86">
        <v>24417.534996319584</v>
      </c>
      <c r="T41" s="86">
        <v>20679.560166928059</v>
      </c>
      <c r="U41" s="86">
        <v>26239.730047869503</v>
      </c>
      <c r="V41" s="86">
        <v>17179.599985122688</v>
      </c>
      <c r="W41" s="86">
        <v>19291.324335401256</v>
      </c>
      <c r="X41" s="86">
        <v>13491.873315713679</v>
      </c>
      <c r="Y41" s="86">
        <v>12613.488163562412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23.157046648522012</v>
      </c>
      <c r="C43" s="54">
        <f t="shared" si="30"/>
        <v>23.425669549821773</v>
      </c>
      <c r="D43" s="54">
        <f t="shared" ref="D43:V43" si="31">SUM(D44,D48)</f>
        <v>24.194000100573021</v>
      </c>
      <c r="E43" s="54">
        <f t="shared" si="31"/>
        <v>45.374136531836406</v>
      </c>
      <c r="F43" s="54">
        <f t="shared" si="31"/>
        <v>56.985555432669663</v>
      </c>
      <c r="G43" s="54">
        <f t="shared" si="31"/>
        <v>62.678438337518251</v>
      </c>
      <c r="H43" s="54">
        <f t="shared" si="31"/>
        <v>66.319183451023392</v>
      </c>
      <c r="I43" s="54">
        <f t="shared" si="31"/>
        <v>70.849429741138209</v>
      </c>
      <c r="J43" s="54">
        <f t="shared" si="31"/>
        <v>75.314302772348171</v>
      </c>
      <c r="K43" s="54">
        <f t="shared" si="31"/>
        <v>75.210663916230374</v>
      </c>
      <c r="L43" s="54">
        <f t="shared" si="31"/>
        <v>73.531847064477034</v>
      </c>
      <c r="M43" s="54">
        <f t="shared" si="31"/>
        <v>73.884847951481078</v>
      </c>
      <c r="N43" s="54">
        <f t="shared" si="31"/>
        <v>71.770795613406946</v>
      </c>
      <c r="O43" s="54">
        <f t="shared" si="31"/>
        <v>69.947789702036118</v>
      </c>
      <c r="P43" s="54">
        <f t="shared" si="31"/>
        <v>68.189212064313494</v>
      </c>
      <c r="Q43" s="54">
        <f t="shared" si="31"/>
        <v>65.876725255729809</v>
      </c>
      <c r="R43" s="54">
        <f t="shared" si="31"/>
        <v>64.444150054383741</v>
      </c>
      <c r="S43" s="54">
        <f t="shared" si="31"/>
        <v>68.73227599859662</v>
      </c>
      <c r="T43" s="54">
        <f t="shared" si="31"/>
        <v>74.959973340854091</v>
      </c>
      <c r="U43" s="54">
        <f t="shared" si="31"/>
        <v>75.795371099403212</v>
      </c>
      <c r="V43" s="54">
        <f t="shared" si="31"/>
        <v>74.638294275754888</v>
      </c>
      <c r="W43" s="54">
        <f t="shared" ref="W43:Y43" si="32">SUM(W44,W48)</f>
        <v>73.661471803147435</v>
      </c>
      <c r="X43" s="54">
        <f t="shared" si="32"/>
        <v>72.514523351816266</v>
      </c>
      <c r="Y43" s="54">
        <f t="shared" si="32"/>
        <v>71.366803962789461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21.972602688919835</v>
      </c>
      <c r="C44" s="11">
        <f t="shared" si="33"/>
        <v>22.28919131531341</v>
      </c>
      <c r="D44" s="11">
        <f t="shared" ref="D44:V44" si="34">SUM(D45:D47)</f>
        <v>22.885894221467943</v>
      </c>
      <c r="E44" s="11">
        <f t="shared" si="34"/>
        <v>43.671554941704549</v>
      </c>
      <c r="F44" s="11">
        <f t="shared" si="34"/>
        <v>55.172827308076393</v>
      </c>
      <c r="G44" s="11">
        <f t="shared" si="34"/>
        <v>60.829923215858003</v>
      </c>
      <c r="H44" s="11">
        <f t="shared" si="34"/>
        <v>64.332105774908669</v>
      </c>
      <c r="I44" s="11">
        <f t="shared" si="34"/>
        <v>68.829155007962996</v>
      </c>
      <c r="J44" s="11">
        <f t="shared" si="34"/>
        <v>73.330260968920555</v>
      </c>
      <c r="K44" s="11">
        <f t="shared" si="34"/>
        <v>73.194122176313471</v>
      </c>
      <c r="L44" s="11">
        <f t="shared" si="34"/>
        <v>71.543632943816249</v>
      </c>
      <c r="M44" s="11">
        <f t="shared" si="34"/>
        <v>71.596453777321742</v>
      </c>
      <c r="N44" s="11">
        <f t="shared" si="34"/>
        <v>69.600051238417336</v>
      </c>
      <c r="O44" s="11">
        <f t="shared" si="34"/>
        <v>67.894354520797123</v>
      </c>
      <c r="P44" s="11">
        <f t="shared" si="34"/>
        <v>66.25166241519068</v>
      </c>
      <c r="Q44" s="11">
        <f t="shared" si="34"/>
        <v>64.054402146298685</v>
      </c>
      <c r="R44" s="11">
        <f t="shared" si="34"/>
        <v>62.415416703709923</v>
      </c>
      <c r="S44" s="11">
        <f t="shared" si="34"/>
        <v>66.463941201512569</v>
      </c>
      <c r="T44" s="11">
        <f t="shared" si="34"/>
        <v>72.660486718099108</v>
      </c>
      <c r="U44" s="11">
        <f t="shared" si="34"/>
        <v>73.552973761867264</v>
      </c>
      <c r="V44" s="11">
        <f t="shared" si="34"/>
        <v>72.454343627421267</v>
      </c>
      <c r="W44" s="11">
        <f t="shared" ref="W44:Y44" si="35">SUM(W45:W47)</f>
        <v>71.355713492975283</v>
      </c>
      <c r="X44" s="11">
        <f t="shared" si="35"/>
        <v>70.257083358529286</v>
      </c>
      <c r="Y44" s="11">
        <f t="shared" si="35"/>
        <v>69.158453224083303</v>
      </c>
      <c r="DA44" s="189" t="s">
        <v>225</v>
      </c>
    </row>
    <row r="45" spans="1:105" ht="11.45" customHeight="1" x14ac:dyDescent="0.25">
      <c r="A45" s="83" t="s">
        <v>27</v>
      </c>
      <c r="B45" s="84">
        <v>0.92969396195202647</v>
      </c>
      <c r="C45" s="84">
        <v>1.194789081885856</v>
      </c>
      <c r="D45" s="84">
        <v>1.1018196856906532</v>
      </c>
      <c r="E45" s="84">
        <v>1.4851116625310175</v>
      </c>
      <c r="F45" s="84">
        <v>1.8966087675765095</v>
      </c>
      <c r="G45" s="84">
        <v>1.9688907081457225</v>
      </c>
      <c r="H45" s="84">
        <v>2.184485530546624</v>
      </c>
      <c r="I45" s="84">
        <v>2.0917542441390462</v>
      </c>
      <c r="J45" s="84">
        <v>2.489903069466882</v>
      </c>
      <c r="K45" s="84">
        <v>3.0052334943639289</v>
      </c>
      <c r="L45" s="84">
        <v>2.9122640981687264</v>
      </c>
      <c r="M45" s="84">
        <v>2.8192947019735239</v>
      </c>
      <c r="N45" s="84">
        <v>2.7263253057783214</v>
      </c>
      <c r="O45" s="84">
        <v>2.6333559095831189</v>
      </c>
      <c r="P45" s="84">
        <v>2.5403865133879164</v>
      </c>
      <c r="Q45" s="84">
        <v>2.4474171171927139</v>
      </c>
      <c r="R45" s="84">
        <v>2.3544477209975114</v>
      </c>
      <c r="S45" s="84">
        <v>2.2614783248023089</v>
      </c>
      <c r="T45" s="84">
        <v>2.1685089286071064</v>
      </c>
      <c r="U45" s="84">
        <v>2.0755395324119039</v>
      </c>
      <c r="V45" s="84">
        <v>2.0290548343143024</v>
      </c>
      <c r="W45" s="84">
        <v>1.9825701362167012</v>
      </c>
      <c r="X45" s="84">
        <v>1.9360854381190999</v>
      </c>
      <c r="Y45" s="84">
        <v>1.8896007400214987</v>
      </c>
      <c r="DA45" s="171" t="s">
        <v>226</v>
      </c>
    </row>
    <row r="46" spans="1:105" ht="11.45" customHeight="1" x14ac:dyDescent="0.25">
      <c r="A46" s="83" t="s">
        <v>181</v>
      </c>
      <c r="B46" s="84">
        <v>14.574719493688853</v>
      </c>
      <c r="C46" s="84">
        <v>14.609899786445496</v>
      </c>
      <c r="D46" s="84">
        <v>15.08750031065494</v>
      </c>
      <c r="E46" s="84">
        <v>30.054306248178424</v>
      </c>
      <c r="F46" s="84">
        <v>38.801504021739689</v>
      </c>
      <c r="G46" s="84">
        <v>43.741910250658989</v>
      </c>
      <c r="H46" s="84">
        <v>46.129602226344026</v>
      </c>
      <c r="I46" s="84">
        <v>48.86901952327932</v>
      </c>
      <c r="J46" s="84">
        <v>51.205081367316154</v>
      </c>
      <c r="K46" s="84">
        <v>49.762462255523118</v>
      </c>
      <c r="L46" s="84">
        <v>48.304990306154231</v>
      </c>
      <c r="M46" s="84">
        <v>46.847518356785343</v>
      </c>
      <c r="N46" s="84">
        <v>45.390046407416456</v>
      </c>
      <c r="O46" s="84">
        <v>43.932574458047583</v>
      </c>
      <c r="P46" s="84">
        <v>42.475102508678695</v>
      </c>
      <c r="Q46" s="84">
        <v>41.017630559309808</v>
      </c>
      <c r="R46" s="84">
        <v>39.560158609940935</v>
      </c>
      <c r="S46" s="84">
        <v>40.147088283876386</v>
      </c>
      <c r="T46" s="84">
        <v>41.063889803028388</v>
      </c>
      <c r="U46" s="84">
        <v>40.475718963589145</v>
      </c>
      <c r="V46" s="84">
        <v>39.746982988904705</v>
      </c>
      <c r="W46" s="84">
        <v>39.018247014220272</v>
      </c>
      <c r="X46" s="84">
        <v>38.289511039535824</v>
      </c>
      <c r="Y46" s="84">
        <v>37.560775064851391</v>
      </c>
      <c r="DA46" s="171" t="s">
        <v>227</v>
      </c>
    </row>
    <row r="47" spans="1:105" ht="11.45" customHeight="1" x14ac:dyDescent="0.25">
      <c r="A47" s="83" t="s">
        <v>182</v>
      </c>
      <c r="B47" s="84">
        <v>6.4681892332789559</v>
      </c>
      <c r="C47" s="84">
        <v>6.4845024469820558</v>
      </c>
      <c r="D47" s="84">
        <v>6.6965742251223492</v>
      </c>
      <c r="E47" s="84">
        <v>12.132137030995105</v>
      </c>
      <c r="F47" s="84">
        <v>14.474714518760196</v>
      </c>
      <c r="G47" s="84">
        <v>15.119122257053291</v>
      </c>
      <c r="H47" s="84">
        <v>16.018018018018019</v>
      </c>
      <c r="I47" s="84">
        <v>17.868381240544629</v>
      </c>
      <c r="J47" s="84">
        <v>19.635276532137517</v>
      </c>
      <c r="K47" s="84">
        <v>20.426426426426428</v>
      </c>
      <c r="L47" s="84">
        <v>20.326378539493295</v>
      </c>
      <c r="M47" s="84">
        <v>21.929640718562876</v>
      </c>
      <c r="N47" s="84">
        <v>21.483679525222552</v>
      </c>
      <c r="O47" s="84">
        <v>21.32842415316642</v>
      </c>
      <c r="P47" s="84">
        <v>21.236173393124066</v>
      </c>
      <c r="Q47" s="84">
        <v>20.58935446979617</v>
      </c>
      <c r="R47" s="84">
        <v>20.500810372771475</v>
      </c>
      <c r="S47" s="84">
        <v>24.055374592833875</v>
      </c>
      <c r="T47" s="84">
        <v>29.42808798646362</v>
      </c>
      <c r="U47" s="84">
        <v>31.00171526586621</v>
      </c>
      <c r="V47" s="84">
        <v>30.67830580420226</v>
      </c>
      <c r="W47" s="84">
        <v>30.354896342538311</v>
      </c>
      <c r="X47" s="84">
        <v>30.031486880874361</v>
      </c>
      <c r="Y47" s="84">
        <v>29.708077419210412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1.1844439596021774</v>
      </c>
      <c r="C48" s="13">
        <f t="shared" si="36"/>
        <v>1.1364782345083635</v>
      </c>
      <c r="D48" s="13">
        <f t="shared" ref="D48:V48" si="37">SUM(D49:D51)</f>
        <v>1.3081058791050793</v>
      </c>
      <c r="E48" s="13">
        <f t="shared" si="37"/>
        <v>1.7025815901318571</v>
      </c>
      <c r="F48" s="13">
        <f t="shared" si="37"/>
        <v>1.8127281245932676</v>
      </c>
      <c r="G48" s="13">
        <f t="shared" si="37"/>
        <v>1.8485151216602496</v>
      </c>
      <c r="H48" s="13">
        <f t="shared" si="37"/>
        <v>1.9870776761147215</v>
      </c>
      <c r="I48" s="13">
        <f t="shared" si="37"/>
        <v>2.0202747331752144</v>
      </c>
      <c r="J48" s="13">
        <f t="shared" si="37"/>
        <v>1.984041803427615</v>
      </c>
      <c r="K48" s="13">
        <f t="shared" si="37"/>
        <v>2.016541739916903</v>
      </c>
      <c r="L48" s="13">
        <f t="shared" si="37"/>
        <v>1.9882141206607815</v>
      </c>
      <c r="M48" s="13">
        <f t="shared" si="37"/>
        <v>2.2883941741593365</v>
      </c>
      <c r="N48" s="13">
        <f t="shared" si="37"/>
        <v>2.1707443749896091</v>
      </c>
      <c r="O48" s="13">
        <f t="shared" si="37"/>
        <v>2.0534351812390006</v>
      </c>
      <c r="P48" s="13">
        <f t="shared" si="37"/>
        <v>1.9375496491228128</v>
      </c>
      <c r="Q48" s="13">
        <f t="shared" si="37"/>
        <v>1.8223231094311214</v>
      </c>
      <c r="R48" s="13">
        <f t="shared" si="37"/>
        <v>2.0287333506738197</v>
      </c>
      <c r="S48" s="13">
        <f t="shared" si="37"/>
        <v>2.2683347970840497</v>
      </c>
      <c r="T48" s="13">
        <f t="shared" si="37"/>
        <v>2.2994866227549799</v>
      </c>
      <c r="U48" s="13">
        <f t="shared" si="37"/>
        <v>2.2423973375359521</v>
      </c>
      <c r="V48" s="13">
        <f t="shared" si="37"/>
        <v>2.1839506483336208</v>
      </c>
      <c r="W48" s="13">
        <f t="shared" ref="W48:Y48" si="38">SUM(W49:W51)</f>
        <v>2.3057583101721493</v>
      </c>
      <c r="X48" s="13">
        <f t="shared" si="38"/>
        <v>2.2574399932869822</v>
      </c>
      <c r="Y48" s="13">
        <f t="shared" si="38"/>
        <v>2.2083507387061552</v>
      </c>
      <c r="DA48" s="193" t="s">
        <v>229</v>
      </c>
    </row>
    <row r="49" spans="1:105" ht="11.45" customHeight="1" x14ac:dyDescent="0.25">
      <c r="A49" s="92" t="s">
        <v>27</v>
      </c>
      <c r="B49" s="102">
        <v>3.1592520954223081E-2</v>
      </c>
      <c r="C49" s="102">
        <v>3.0303030303030304E-2</v>
      </c>
      <c r="D49" s="102">
        <v>3.4816247582205029E-2</v>
      </c>
      <c r="E49" s="102">
        <v>3.1656995486782719E-2</v>
      </c>
      <c r="F49" s="102">
        <v>2.8497743391360408E-2</v>
      </c>
      <c r="G49" s="102">
        <v>3.7155669442664956E-2</v>
      </c>
      <c r="H49" s="102">
        <v>8.3920563741191542E-2</v>
      </c>
      <c r="I49" s="102">
        <v>0.1222366710013004</v>
      </c>
      <c r="J49" s="102">
        <v>0.13806706114398423</v>
      </c>
      <c r="K49" s="102">
        <v>0.15405046480743692</v>
      </c>
      <c r="L49" s="102">
        <v>0.15089121271201461</v>
      </c>
      <c r="M49" s="102">
        <v>0.1477319606165923</v>
      </c>
      <c r="N49" s="102">
        <v>0.14457270852116999</v>
      </c>
      <c r="O49" s="102">
        <v>0.14141345642574768</v>
      </c>
      <c r="P49" s="102">
        <v>0.13825420433032537</v>
      </c>
      <c r="Q49" s="102">
        <v>0.13509495223490306</v>
      </c>
      <c r="R49" s="102">
        <v>0.13193570013948075</v>
      </c>
      <c r="S49" s="102">
        <v>0.12877644804405844</v>
      </c>
      <c r="T49" s="102">
        <v>0.12561719594863613</v>
      </c>
      <c r="U49" s="102">
        <v>0.12245794385321382</v>
      </c>
      <c r="V49" s="102">
        <v>0.12087831780550266</v>
      </c>
      <c r="W49" s="102">
        <v>0.11929869175779151</v>
      </c>
      <c r="X49" s="102">
        <v>0.11771906571008035</v>
      </c>
      <c r="Y49" s="102">
        <v>0.1161394396623692</v>
      </c>
      <c r="DA49" s="175" t="s">
        <v>230</v>
      </c>
    </row>
    <row r="50" spans="1:105" ht="11.45" customHeight="1" x14ac:dyDescent="0.25">
      <c r="A50" s="92" t="s">
        <v>181</v>
      </c>
      <c r="B50" s="102">
        <v>0.65464355334329483</v>
      </c>
      <c r="C50" s="102">
        <v>0.61513577768203576</v>
      </c>
      <c r="D50" s="102">
        <v>0.73207099353004268</v>
      </c>
      <c r="E50" s="102">
        <v>0.8214622290536765</v>
      </c>
      <c r="F50" s="102">
        <v>0.98458880414097516</v>
      </c>
      <c r="G50" s="102">
        <v>1.0615386636871187</v>
      </c>
      <c r="H50" s="102">
        <v>1.2031571123735301</v>
      </c>
      <c r="I50" s="102">
        <v>1.24785885070438</v>
      </c>
      <c r="J50" s="102">
        <v>1.1823944953700505</v>
      </c>
      <c r="K50" s="102">
        <v>1.1176841534477449</v>
      </c>
      <c r="L50" s="102">
        <v>1.0922804150309198</v>
      </c>
      <c r="M50" s="102">
        <v>1.0268160596965903</v>
      </c>
      <c r="N50" s="102">
        <v>0.96214630115275102</v>
      </c>
      <c r="O50" s="102">
        <v>0.89781714802803103</v>
      </c>
      <c r="P50" s="102">
        <v>0.83491165653773147</v>
      </c>
      <c r="Q50" s="102">
        <v>0.77056149052955158</v>
      </c>
      <c r="R50" s="102">
        <v>0.79679765053433904</v>
      </c>
      <c r="S50" s="102">
        <v>0.93739228405804165</v>
      </c>
      <c r="T50" s="102">
        <v>1.0215241503548604</v>
      </c>
      <c r="U50" s="102">
        <v>0.95605979502053096</v>
      </c>
      <c r="V50" s="102">
        <v>0.92410312613114354</v>
      </c>
      <c r="W50" s="102">
        <v>1.072400808282616</v>
      </c>
      <c r="X50" s="102">
        <v>1.0505725117103935</v>
      </c>
      <c r="Y50" s="102">
        <v>1.0279732774425105</v>
      </c>
      <c r="DA50" s="175" t="s">
        <v>231</v>
      </c>
    </row>
    <row r="51" spans="1:105" ht="11.45" customHeight="1" x14ac:dyDescent="0.25">
      <c r="A51" s="85" t="s">
        <v>182</v>
      </c>
      <c r="B51" s="86">
        <v>0.49820788530465948</v>
      </c>
      <c r="C51" s="86">
        <v>0.49103942652329752</v>
      </c>
      <c r="D51" s="86">
        <v>0.54121863799283154</v>
      </c>
      <c r="E51" s="86">
        <v>0.84946236559139787</v>
      </c>
      <c r="F51" s="86">
        <v>0.79964157706093197</v>
      </c>
      <c r="G51" s="86">
        <v>0.74982078853046596</v>
      </c>
      <c r="H51" s="86">
        <v>0.7</v>
      </c>
      <c r="I51" s="86">
        <v>0.65017921146953395</v>
      </c>
      <c r="J51" s="86">
        <v>0.6635802469135802</v>
      </c>
      <c r="K51" s="86">
        <v>0.74480712166172103</v>
      </c>
      <c r="L51" s="86">
        <v>0.74504249291784708</v>
      </c>
      <c r="M51" s="86">
        <v>1.1138461538461539</v>
      </c>
      <c r="N51" s="86">
        <v>1.0640253653156879</v>
      </c>
      <c r="O51" s="86">
        <v>1.0142045767852219</v>
      </c>
      <c r="P51" s="86">
        <v>0.9643837882547559</v>
      </c>
      <c r="Q51" s="86">
        <v>0.91666666666666663</v>
      </c>
      <c r="R51" s="86">
        <v>1.1000000000000001</v>
      </c>
      <c r="S51" s="86">
        <v>1.2021660649819494</v>
      </c>
      <c r="T51" s="86">
        <v>1.1523452764514834</v>
      </c>
      <c r="U51" s="86">
        <v>1.1638795986622072</v>
      </c>
      <c r="V51" s="86">
        <v>1.1389692043969744</v>
      </c>
      <c r="W51" s="86">
        <v>1.1140588101317415</v>
      </c>
      <c r="X51" s="86">
        <v>1.0891484158665086</v>
      </c>
      <c r="Y51" s="86">
        <v>1.0642380216012757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4.1675928936342546</v>
      </c>
      <c r="C53" s="54">
        <f t="shared" si="39"/>
        <v>1.0709349425909309</v>
      </c>
      <c r="D53" s="54">
        <f t="shared" ref="D53:V53" si="40">SUM(D54,D58)</f>
        <v>1.6023292958774542</v>
      </c>
      <c r="E53" s="54">
        <f t="shared" si="40"/>
        <v>21.96546875573905</v>
      </c>
      <c r="F53" s="54">
        <f t="shared" si="40"/>
        <v>12.429570453230312</v>
      </c>
      <c r="G53" s="54">
        <f t="shared" si="40"/>
        <v>6.515871503038392</v>
      </c>
      <c r="H53" s="54">
        <f t="shared" si="40"/>
        <v>4.5946258158374453</v>
      </c>
      <c r="I53" s="54">
        <f t="shared" si="40"/>
        <v>5.543743383913327</v>
      </c>
      <c r="J53" s="54">
        <f t="shared" si="40"/>
        <v>5.4504048737782957</v>
      </c>
      <c r="K53" s="54">
        <f t="shared" si="40"/>
        <v>1.6815397746417435</v>
      </c>
      <c r="L53" s="54">
        <f t="shared" si="40"/>
        <v>0.13913864807622633</v>
      </c>
      <c r="M53" s="54">
        <f t="shared" si="40"/>
        <v>2.2045839024478875</v>
      </c>
      <c r="N53" s="54">
        <f t="shared" si="40"/>
        <v>0</v>
      </c>
      <c r="O53" s="54">
        <f t="shared" si="40"/>
        <v>6.0894709509867084E-2</v>
      </c>
      <c r="P53" s="54">
        <f t="shared" si="40"/>
        <v>0.1247642433635093</v>
      </c>
      <c r="Q53" s="54">
        <f t="shared" si="40"/>
        <v>0</v>
      </c>
      <c r="R53" s="54">
        <f t="shared" si="40"/>
        <v>0.38442131011026737</v>
      </c>
      <c r="S53" s="54">
        <f t="shared" si="40"/>
        <v>5.3064155960701713</v>
      </c>
      <c r="T53" s="54">
        <f t="shared" si="40"/>
        <v>7.2788739693903564</v>
      </c>
      <c r="U53" s="54">
        <f t="shared" si="40"/>
        <v>1.8865799723897292</v>
      </c>
      <c r="V53" s="54">
        <f t="shared" si="40"/>
        <v>0</v>
      </c>
      <c r="W53" s="54">
        <f t="shared" ref="W53:Y53" si="41">SUM(W54,W58)</f>
        <v>0.17202159535597594</v>
      </c>
      <c r="X53" s="54">
        <f t="shared" si="41"/>
        <v>1.8956166322812162E-3</v>
      </c>
      <c r="Y53" s="54">
        <f t="shared" si="41"/>
        <v>7.5267016993095584E-3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3.9361034728027651</v>
      </c>
      <c r="C54" s="11">
        <f t="shared" si="42"/>
        <v>1.0595616702375712</v>
      </c>
      <c r="D54" s="11">
        <f t="shared" ref="D54:V54" si="43">SUM(D55:D57)</f>
        <v>1.3928190434637386</v>
      </c>
      <c r="E54" s="11">
        <f t="shared" si="43"/>
        <v>21.528633764080602</v>
      </c>
      <c r="F54" s="11">
        <f t="shared" si="43"/>
        <v>12.244245410215848</v>
      </c>
      <c r="G54" s="11">
        <f t="shared" si="43"/>
        <v>6.4000689516256166</v>
      </c>
      <c r="H54" s="11">
        <f t="shared" si="43"/>
        <v>4.375199293462563</v>
      </c>
      <c r="I54" s="11">
        <f t="shared" si="43"/>
        <v>5.4274537235315998</v>
      </c>
      <c r="J54" s="11">
        <f t="shared" si="43"/>
        <v>5.4037953662975653</v>
      </c>
      <c r="K54" s="11">
        <f t="shared" si="43"/>
        <v>1.56695141433615</v>
      </c>
      <c r="L54" s="11">
        <f t="shared" si="43"/>
        <v>0.11610219463286597</v>
      </c>
      <c r="M54" s="11">
        <f t="shared" si="43"/>
        <v>1.8194122606355805</v>
      </c>
      <c r="N54" s="11">
        <f t="shared" si="43"/>
        <v>0</v>
      </c>
      <c r="O54" s="11">
        <f t="shared" si="43"/>
        <v>6.0894709509867084E-2</v>
      </c>
      <c r="P54" s="11">
        <f t="shared" si="43"/>
        <v>0.1238993215236448</v>
      </c>
      <c r="Q54" s="11">
        <f t="shared" si="43"/>
        <v>0</v>
      </c>
      <c r="R54" s="11">
        <f t="shared" si="43"/>
        <v>0.12760598454130445</v>
      </c>
      <c r="S54" s="11">
        <f t="shared" si="43"/>
        <v>5.0147151233295126</v>
      </c>
      <c r="T54" s="11">
        <f t="shared" si="43"/>
        <v>7.1627361421133955</v>
      </c>
      <c r="U54" s="11">
        <f t="shared" si="43"/>
        <v>1.8586776692950053</v>
      </c>
      <c r="V54" s="11">
        <f t="shared" si="43"/>
        <v>0</v>
      </c>
      <c r="W54" s="11">
        <f t="shared" ref="W54:Y54" si="44">SUM(W55:W57)</f>
        <v>0</v>
      </c>
      <c r="X54" s="11">
        <f t="shared" si="44"/>
        <v>0</v>
      </c>
      <c r="Y54" s="11">
        <f t="shared" si="44"/>
        <v>0</v>
      </c>
      <c r="DA54" s="189" t="s">
        <v>234</v>
      </c>
    </row>
    <row r="55" spans="1:105" ht="11.45" customHeight="1" x14ac:dyDescent="0.25">
      <c r="A55" s="83" t="s">
        <v>27</v>
      </c>
      <c r="B55" s="84">
        <v>0</v>
      </c>
      <c r="C55" s="84">
        <v>0.3049214226638296</v>
      </c>
      <c r="D55" s="84">
        <v>0</v>
      </c>
      <c r="E55" s="84">
        <v>0.4231182795703643</v>
      </c>
      <c r="F55" s="84">
        <v>0.45132340777549218</v>
      </c>
      <c r="G55" s="84">
        <v>0.11210824329921287</v>
      </c>
      <c r="H55" s="84">
        <v>0.25542112513090132</v>
      </c>
      <c r="I55" s="84">
        <v>0</v>
      </c>
      <c r="J55" s="84">
        <v>0.43797512805783567</v>
      </c>
      <c r="K55" s="84">
        <v>0.55515672762704682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X55" s="84">
        <v>0</v>
      </c>
      <c r="Y55" s="84">
        <v>0</v>
      </c>
      <c r="DA55" s="171" t="s">
        <v>235</v>
      </c>
    </row>
    <row r="56" spans="1:105" ht="11.45" customHeight="1" x14ac:dyDescent="0.25">
      <c r="A56" s="83" t="s">
        <v>181</v>
      </c>
      <c r="B56" s="84">
        <v>2.7264786767180045</v>
      </c>
      <c r="C56" s="84">
        <v>0.52217695230464178</v>
      </c>
      <c r="D56" s="84">
        <v>0.96459718375744519</v>
      </c>
      <c r="E56" s="84">
        <v>15.453802597071483</v>
      </c>
      <c r="F56" s="84">
        <v>9.2341944331092662</v>
      </c>
      <c r="G56" s="84">
        <v>5.4274028884673093</v>
      </c>
      <c r="H56" s="84">
        <v>3.0047323258009349</v>
      </c>
      <c r="I56" s="84">
        <v>3.3609404194389905</v>
      </c>
      <c r="J56" s="84">
        <v>2.9827748650808417</v>
      </c>
      <c r="K56" s="84">
        <v>4.4947108541937286E-3</v>
      </c>
      <c r="L56" s="84">
        <v>0</v>
      </c>
      <c r="M56" s="84">
        <v>0</v>
      </c>
      <c r="N56" s="84">
        <v>0</v>
      </c>
      <c r="O56" s="84">
        <v>0</v>
      </c>
      <c r="P56" s="84">
        <v>0</v>
      </c>
      <c r="Q56" s="84">
        <v>0</v>
      </c>
      <c r="R56" s="84">
        <v>0</v>
      </c>
      <c r="S56" s="84">
        <v>1.244000821701114</v>
      </c>
      <c r="T56" s="84">
        <v>1.5738726669176515</v>
      </c>
      <c r="U56" s="84">
        <v>6.8900308326416138E-2</v>
      </c>
      <c r="V56" s="84">
        <v>0</v>
      </c>
      <c r="W56" s="84">
        <v>0</v>
      </c>
      <c r="X56" s="84">
        <v>0</v>
      </c>
      <c r="Y56" s="84">
        <v>0</v>
      </c>
      <c r="DA56" s="171" t="s">
        <v>236</v>
      </c>
    </row>
    <row r="57" spans="1:105" ht="11.45" customHeight="1" x14ac:dyDescent="0.25">
      <c r="A57" s="83" t="s">
        <v>182</v>
      </c>
      <c r="B57" s="84">
        <v>1.2096247960847606</v>
      </c>
      <c r="C57" s="84">
        <v>0.23246329526909992</v>
      </c>
      <c r="D57" s="84">
        <v>0.42822185970629345</v>
      </c>
      <c r="E57" s="84">
        <v>5.6517128874387552</v>
      </c>
      <c r="F57" s="84">
        <v>2.55872756933109</v>
      </c>
      <c r="G57" s="84">
        <v>0.86055781985909441</v>
      </c>
      <c r="H57" s="84">
        <v>1.1150458425307264</v>
      </c>
      <c r="I57" s="84">
        <v>2.0665133040926094</v>
      </c>
      <c r="J57" s="84">
        <v>1.9830453731588875</v>
      </c>
      <c r="K57" s="84">
        <v>1.0072999758549095</v>
      </c>
      <c r="L57" s="84">
        <v>0.11610219463286597</v>
      </c>
      <c r="M57" s="84">
        <v>1.8194122606355805</v>
      </c>
      <c r="N57" s="84">
        <v>0</v>
      </c>
      <c r="O57" s="84">
        <v>6.0894709509867084E-2</v>
      </c>
      <c r="P57" s="84">
        <v>0.1238993215236448</v>
      </c>
      <c r="Q57" s="84">
        <v>0</v>
      </c>
      <c r="R57" s="84">
        <v>0.12760598454130445</v>
      </c>
      <c r="S57" s="84">
        <v>3.7707143016283986</v>
      </c>
      <c r="T57" s="84">
        <v>5.588863475195744</v>
      </c>
      <c r="U57" s="84">
        <v>1.7897773609685892</v>
      </c>
      <c r="V57" s="84">
        <v>0</v>
      </c>
      <c r="W57" s="84">
        <v>0</v>
      </c>
      <c r="X57" s="84">
        <v>0</v>
      </c>
      <c r="Y57" s="84">
        <v>0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0.23148942083148957</v>
      </c>
      <c r="C58" s="13">
        <f t="shared" si="45"/>
        <v>1.1373272353359817E-2</v>
      </c>
      <c r="D58" s="13">
        <f t="shared" ref="D58:V58" si="46">SUM(D59:D61)</f>
        <v>0.20951025241371563</v>
      </c>
      <c r="E58" s="13">
        <f t="shared" si="46"/>
        <v>0.4368349916584468</v>
      </c>
      <c r="F58" s="13">
        <f t="shared" si="46"/>
        <v>0.18532504301446401</v>
      </c>
      <c r="G58" s="13">
        <f t="shared" si="46"/>
        <v>0.11580255141277504</v>
      </c>
      <c r="H58" s="13">
        <f t="shared" si="46"/>
        <v>0.2194265223748823</v>
      </c>
      <c r="I58" s="13">
        <f t="shared" si="46"/>
        <v>0.11628966038172744</v>
      </c>
      <c r="J58" s="13">
        <f t="shared" si="46"/>
        <v>4.6609507480730117E-2</v>
      </c>
      <c r="K58" s="13">
        <f t="shared" si="46"/>
        <v>0.11458836030559355</v>
      </c>
      <c r="L58" s="13">
        <f t="shared" si="46"/>
        <v>2.3036453443360361E-2</v>
      </c>
      <c r="M58" s="13">
        <f t="shared" si="46"/>
        <v>0.3851716418123069</v>
      </c>
      <c r="N58" s="13">
        <f t="shared" si="46"/>
        <v>0</v>
      </c>
      <c r="O58" s="13">
        <f t="shared" si="46"/>
        <v>0</v>
      </c>
      <c r="P58" s="13">
        <f t="shared" si="46"/>
        <v>8.6492183986450893E-4</v>
      </c>
      <c r="Q58" s="13">
        <f t="shared" si="46"/>
        <v>0</v>
      </c>
      <c r="R58" s="13">
        <f t="shared" si="46"/>
        <v>0.25681532556896292</v>
      </c>
      <c r="S58" s="13">
        <f t="shared" si="46"/>
        <v>0.29170047274065902</v>
      </c>
      <c r="T58" s="13">
        <f t="shared" si="46"/>
        <v>0.11613782727696054</v>
      </c>
      <c r="U58" s="13">
        <f t="shared" si="46"/>
        <v>2.7902303094723857E-2</v>
      </c>
      <c r="V58" s="13">
        <f t="shared" si="46"/>
        <v>0</v>
      </c>
      <c r="W58" s="13">
        <f t="shared" ref="W58:Y58" si="47">SUM(W59:W61)</f>
        <v>0.17202159535597594</v>
      </c>
      <c r="X58" s="13">
        <f t="shared" si="47"/>
        <v>1.8956166322812162E-3</v>
      </c>
      <c r="Y58" s="13">
        <f t="shared" si="47"/>
        <v>7.5267016993095584E-3</v>
      </c>
      <c r="DA58" s="193" t="s">
        <v>238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5.5233182891747251E-3</v>
      </c>
      <c r="E59" s="102">
        <v>0</v>
      </c>
      <c r="F59" s="102">
        <v>0</v>
      </c>
      <c r="G59" s="102">
        <v>9.6680270613045474E-3</v>
      </c>
      <c r="H59" s="102">
        <v>4.7774995308526587E-2</v>
      </c>
      <c r="I59" s="102">
        <v>3.9326208270108853E-2</v>
      </c>
      <c r="J59" s="102">
        <v>1.6840491152683823E-2</v>
      </c>
      <c r="K59" s="102">
        <v>1.6993504673452675E-2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X59" s="102">
        <v>0</v>
      </c>
      <c r="Y59" s="102">
        <v>0</v>
      </c>
      <c r="DA59" s="175" t="s">
        <v>239</v>
      </c>
    </row>
    <row r="60" spans="1:105" ht="11.45" customHeight="1" x14ac:dyDescent="0.25">
      <c r="A60" s="92" t="s">
        <v>181</v>
      </c>
      <c r="B60" s="102">
        <v>0.15418954030591256</v>
      </c>
      <c r="C60" s="102">
        <v>2.1737502507217926E-3</v>
      </c>
      <c r="D60" s="102">
        <v>0.13743974177100685</v>
      </c>
      <c r="E60" s="102">
        <v>0.11222328317588043</v>
      </c>
      <c r="F60" s="102">
        <v>0.18532504301446401</v>
      </c>
      <c r="G60" s="102">
        <v>0.1061345243514705</v>
      </c>
      <c r="H60" s="102">
        <v>0.17165152706635572</v>
      </c>
      <c r="I60" s="102">
        <v>7.6963452111618591E-2</v>
      </c>
      <c r="J60" s="102">
        <v>0</v>
      </c>
      <c r="K60" s="102">
        <v>0</v>
      </c>
      <c r="L60" s="102">
        <v>6.4331013032342677E-3</v>
      </c>
      <c r="M60" s="102">
        <v>0</v>
      </c>
      <c r="N60" s="102">
        <v>0</v>
      </c>
      <c r="O60" s="102">
        <v>0</v>
      </c>
      <c r="P60" s="102">
        <v>8.6492183986450893E-4</v>
      </c>
      <c r="Q60" s="102">
        <v>0</v>
      </c>
      <c r="R60" s="102">
        <v>5.7114011351629412E-2</v>
      </c>
      <c r="S60" s="102">
        <v>0.17316642687470962</v>
      </c>
      <c r="T60" s="102">
        <v>0.11613782727696054</v>
      </c>
      <c r="U60" s="102">
        <v>0</v>
      </c>
      <c r="V60" s="102">
        <v>0</v>
      </c>
      <c r="W60" s="102">
        <v>0.17202159535597594</v>
      </c>
      <c r="X60" s="102">
        <v>1.8956166322812162E-3</v>
      </c>
      <c r="Y60" s="102">
        <v>7.5267016993095584E-3</v>
      </c>
      <c r="DA60" s="175" t="s">
        <v>240</v>
      </c>
    </row>
    <row r="61" spans="1:105" ht="11.45" customHeight="1" x14ac:dyDescent="0.25">
      <c r="A61" s="85" t="s">
        <v>182</v>
      </c>
      <c r="B61" s="86">
        <v>7.7299880525577014E-2</v>
      </c>
      <c r="C61" s="86">
        <v>9.1995221026380247E-3</v>
      </c>
      <c r="D61" s="86">
        <v>6.6547192353534068E-2</v>
      </c>
      <c r="E61" s="86">
        <v>0.32461170848256637</v>
      </c>
      <c r="F61" s="86">
        <v>0</v>
      </c>
      <c r="G61" s="86">
        <v>0</v>
      </c>
      <c r="H61" s="86">
        <v>0</v>
      </c>
      <c r="I61" s="86">
        <v>0</v>
      </c>
      <c r="J61" s="86">
        <v>2.9769016328046294E-2</v>
      </c>
      <c r="K61" s="86">
        <v>9.7594855632140876E-2</v>
      </c>
      <c r="L61" s="86">
        <v>1.6603352140126093E-2</v>
      </c>
      <c r="M61" s="86">
        <v>0.3851716418123069</v>
      </c>
      <c r="N61" s="86">
        <v>0</v>
      </c>
      <c r="O61" s="86">
        <v>0</v>
      </c>
      <c r="P61" s="86">
        <v>0</v>
      </c>
      <c r="Q61" s="86">
        <v>0</v>
      </c>
      <c r="R61" s="86">
        <v>0.1997013142173335</v>
      </c>
      <c r="S61" s="86">
        <v>0.1185340458659494</v>
      </c>
      <c r="T61" s="86">
        <v>0</v>
      </c>
      <c r="U61" s="86">
        <v>2.7902303094723857E-2</v>
      </c>
      <c r="V61" s="86">
        <v>0</v>
      </c>
      <c r="W61" s="86">
        <v>0</v>
      </c>
      <c r="X61" s="86">
        <v>0</v>
      </c>
      <c r="Y61" s="86">
        <v>0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68.571851530906997</v>
      </c>
      <c r="C66" s="14">
        <f t="shared" si="48"/>
        <v>68.034120919750691</v>
      </c>
      <c r="D66" s="14">
        <f t="shared" ref="D66:V66" si="49">IF(D34=0,0,D34/D24)</f>
        <v>69.938511896381812</v>
      </c>
      <c r="E66" s="14">
        <f t="shared" si="49"/>
        <v>71.251695745221085</v>
      </c>
      <c r="F66" s="14">
        <f t="shared" si="49"/>
        <v>72.35923105444796</v>
      </c>
      <c r="G66" s="14">
        <f t="shared" si="49"/>
        <v>72.478951731173879</v>
      </c>
      <c r="H66" s="14">
        <f t="shared" si="49"/>
        <v>74.91576839038602</v>
      </c>
      <c r="I66" s="14">
        <f t="shared" si="49"/>
        <v>76.446752109169708</v>
      </c>
      <c r="J66" s="14">
        <f t="shared" si="49"/>
        <v>75.602817057616591</v>
      </c>
      <c r="K66" s="14">
        <f t="shared" si="49"/>
        <v>74.619622632530692</v>
      </c>
      <c r="L66" s="14">
        <f t="shared" si="49"/>
        <v>78.374362801522949</v>
      </c>
      <c r="M66" s="14">
        <f t="shared" si="49"/>
        <v>83.972209107124115</v>
      </c>
      <c r="N66" s="14">
        <f t="shared" si="49"/>
        <v>89.526236791546594</v>
      </c>
      <c r="O66" s="14">
        <f t="shared" si="49"/>
        <v>93.165102375863455</v>
      </c>
      <c r="P66" s="14">
        <f t="shared" si="49"/>
        <v>97.002776411606987</v>
      </c>
      <c r="Q66" s="14">
        <f t="shared" si="49"/>
        <v>101.94443221138722</v>
      </c>
      <c r="R66" s="14">
        <f t="shared" si="49"/>
        <v>103.24753643096034</v>
      </c>
      <c r="S66" s="14">
        <f t="shared" si="49"/>
        <v>116.27630435092419</v>
      </c>
      <c r="T66" s="14">
        <f t="shared" si="49"/>
        <v>120.05000537547707</v>
      </c>
      <c r="U66" s="14">
        <f t="shared" si="49"/>
        <v>128.1669887848432</v>
      </c>
      <c r="V66" s="14">
        <f t="shared" si="49"/>
        <v>93.68470724191063</v>
      </c>
      <c r="W66" s="14">
        <f t="shared" ref="W66:Y66" si="50">IF(W34=0,0,W34/W24)</f>
        <v>100.27038356738629</v>
      </c>
      <c r="X66" s="14">
        <f t="shared" si="50"/>
        <v>130.90460050614607</v>
      </c>
      <c r="Y66" s="14">
        <f t="shared" si="50"/>
        <v>137.32885488358471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26.483985765124554</v>
      </c>
      <c r="C67" s="87">
        <f t="shared" si="48"/>
        <v>26.667705088265837</v>
      </c>
      <c r="D67" s="87">
        <f t="shared" ref="D67:V67" si="51">IF(D35=0,0,D35/D25)</f>
        <v>26.919245647969053</v>
      </c>
      <c r="E67" s="87">
        <f t="shared" si="51"/>
        <v>27.452241715399609</v>
      </c>
      <c r="F67" s="87">
        <f t="shared" si="51"/>
        <v>22.577191452245966</v>
      </c>
      <c r="G67" s="87">
        <f t="shared" si="51"/>
        <v>33.120582120582121</v>
      </c>
      <c r="H67" s="87">
        <f t="shared" si="51"/>
        <v>35.43643054277829</v>
      </c>
      <c r="I67" s="87">
        <f t="shared" si="51"/>
        <v>37.693913043478261</v>
      </c>
      <c r="J67" s="87">
        <f t="shared" si="51"/>
        <v>36.243309002433087</v>
      </c>
      <c r="K67" s="87">
        <f t="shared" si="51"/>
        <v>27.475552578700604</v>
      </c>
      <c r="L67" s="87">
        <f t="shared" si="51"/>
        <v>30.617884750527054</v>
      </c>
      <c r="M67" s="87">
        <f t="shared" si="51"/>
        <v>32.478529329216954</v>
      </c>
      <c r="N67" s="87">
        <f t="shared" si="51"/>
        <v>40.634408602150536</v>
      </c>
      <c r="O67" s="87">
        <f t="shared" si="51"/>
        <v>41.127090301003342</v>
      </c>
      <c r="P67" s="87">
        <f t="shared" si="51"/>
        <v>37.070573669005363</v>
      </c>
      <c r="Q67" s="87">
        <f t="shared" si="51"/>
        <v>34.996546431312353</v>
      </c>
      <c r="R67" s="87">
        <f t="shared" si="51"/>
        <v>28.702461799660441</v>
      </c>
      <c r="S67" s="87">
        <f t="shared" si="51"/>
        <v>31.403934426229508</v>
      </c>
      <c r="T67" s="87">
        <f t="shared" si="51"/>
        <v>38.886039886039889</v>
      </c>
      <c r="U67" s="87">
        <f t="shared" si="51"/>
        <v>62.02325581395349</v>
      </c>
      <c r="V67" s="87">
        <f t="shared" si="51"/>
        <v>20.184931506849313</v>
      </c>
      <c r="W67" s="87">
        <f t="shared" ref="W67:Y67" si="52">IF(W35=0,0,W35/W25)</f>
        <v>38.049504950495049</v>
      </c>
      <c r="X67" s="87">
        <f t="shared" si="52"/>
        <v>58.110526315789471</v>
      </c>
      <c r="Y67" s="87">
        <f t="shared" si="52"/>
        <v>55.659836065573771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66.767211283340316</v>
      </c>
      <c r="C68" s="87">
        <f t="shared" si="48"/>
        <v>67.20441142326446</v>
      </c>
      <c r="D68" s="87">
        <f t="shared" ref="D68:V68" si="53">IF(D36=0,0,D36/D26)</f>
        <v>67.837627591168669</v>
      </c>
      <c r="E68" s="87">
        <f t="shared" si="53"/>
        <v>69.509408297438227</v>
      </c>
      <c r="F68" s="87">
        <f t="shared" si="53"/>
        <v>70.504314985087277</v>
      </c>
      <c r="G68" s="87">
        <f t="shared" si="53"/>
        <v>70.10963273346988</v>
      </c>
      <c r="H68" s="87">
        <f t="shared" si="53"/>
        <v>72.648641308447878</v>
      </c>
      <c r="I68" s="87">
        <f t="shared" si="53"/>
        <v>73.664593424861707</v>
      </c>
      <c r="J68" s="87">
        <f t="shared" si="53"/>
        <v>73.191804018965911</v>
      </c>
      <c r="K68" s="87">
        <f t="shared" si="53"/>
        <v>74.430723800149238</v>
      </c>
      <c r="L68" s="87">
        <f t="shared" si="53"/>
        <v>75.718681981046785</v>
      </c>
      <c r="M68" s="87">
        <f t="shared" si="53"/>
        <v>80.534133985801915</v>
      </c>
      <c r="N68" s="87">
        <f t="shared" si="53"/>
        <v>86.00361340614279</v>
      </c>
      <c r="O68" s="87">
        <f t="shared" si="53"/>
        <v>88.691504657123204</v>
      </c>
      <c r="P68" s="87">
        <f t="shared" si="53"/>
        <v>93.79942242624081</v>
      </c>
      <c r="Q68" s="87">
        <f t="shared" si="53"/>
        <v>98.58481176078628</v>
      </c>
      <c r="R68" s="87">
        <f t="shared" si="53"/>
        <v>99.774989898212468</v>
      </c>
      <c r="S68" s="87">
        <f t="shared" si="53"/>
        <v>110.84224301147121</v>
      </c>
      <c r="T68" s="87">
        <f t="shared" si="53"/>
        <v>115.00323647871116</v>
      </c>
      <c r="U68" s="87">
        <f t="shared" si="53"/>
        <v>121.63669326919573</v>
      </c>
      <c r="V68" s="87">
        <f t="shared" si="53"/>
        <v>89.857239679605669</v>
      </c>
      <c r="W68" s="87">
        <f t="shared" ref="W68:Y68" si="54">IF(W36=0,0,W36/W26)</f>
        <v>96.499444629567918</v>
      </c>
      <c r="X68" s="87">
        <f t="shared" si="54"/>
        <v>125.62056962025316</v>
      </c>
      <c r="Y68" s="87">
        <f t="shared" si="54"/>
        <v>131.98254079254079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102.21185372005044</v>
      </c>
      <c r="C69" s="87">
        <f t="shared" si="48"/>
        <v>102.59396226415095</v>
      </c>
      <c r="D69" s="87">
        <f t="shared" ref="D69:V69" si="55">IF(D37=0,0,D37/D27)</f>
        <v>102.99220462850182</v>
      </c>
      <c r="E69" s="87">
        <f t="shared" si="55"/>
        <v>102.73430146564475</v>
      </c>
      <c r="F69" s="87">
        <f t="shared" si="55"/>
        <v>109.93452045531387</v>
      </c>
      <c r="G69" s="87">
        <f t="shared" si="55"/>
        <v>107.81515654157164</v>
      </c>
      <c r="H69" s="87">
        <f t="shared" si="55"/>
        <v>109.11417322834646</v>
      </c>
      <c r="I69" s="87">
        <f t="shared" si="55"/>
        <v>109.86300905935146</v>
      </c>
      <c r="J69" s="87">
        <f t="shared" si="55"/>
        <v>107.0816077953715</v>
      </c>
      <c r="K69" s="87">
        <f t="shared" si="55"/>
        <v>101.36386356953837</v>
      </c>
      <c r="L69" s="87">
        <f t="shared" si="55"/>
        <v>109.93408607669184</v>
      </c>
      <c r="M69" s="87">
        <f t="shared" si="55"/>
        <v>110.11761895009899</v>
      </c>
      <c r="N69" s="87">
        <f t="shared" si="55"/>
        <v>111.244682320442</v>
      </c>
      <c r="O69" s="87">
        <f t="shared" si="55"/>
        <v>115.51063389034664</v>
      </c>
      <c r="P69" s="87">
        <f t="shared" si="55"/>
        <v>117.68656296192017</v>
      </c>
      <c r="Q69" s="87">
        <f t="shared" si="55"/>
        <v>127.87559845559845</v>
      </c>
      <c r="R69" s="87">
        <f t="shared" si="55"/>
        <v>131.39995256542019</v>
      </c>
      <c r="S69" s="87">
        <f t="shared" si="55"/>
        <v>144.86025727826674</v>
      </c>
      <c r="T69" s="87">
        <f t="shared" si="55"/>
        <v>142.74062787488501</v>
      </c>
      <c r="U69" s="87">
        <f t="shared" si="55"/>
        <v>149.88469624875512</v>
      </c>
      <c r="V69" s="87">
        <f t="shared" si="55"/>
        <v>113.3695242581253</v>
      </c>
      <c r="W69" s="87">
        <f t="shared" ref="W69:Y69" si="56">IF(W37=0,0,W37/W27)</f>
        <v>117.35702479338843</v>
      </c>
      <c r="X69" s="87">
        <f t="shared" si="56"/>
        <v>154.08742869679685</v>
      </c>
      <c r="Y69" s="87">
        <f t="shared" si="56"/>
        <v>161.27152258982568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21.129602851708643</v>
      </c>
      <c r="C70" s="15">
        <f t="shared" si="48"/>
        <v>21.742612245175707</v>
      </c>
      <c r="D70" s="15">
        <f t="shared" ref="D70:V70" si="57">IF(D38=0,0,D38/D28)</f>
        <v>21.285326443242074</v>
      </c>
      <c r="E70" s="15">
        <f t="shared" si="57"/>
        <v>23.14719831016372</v>
      </c>
      <c r="F70" s="15">
        <f t="shared" si="57"/>
        <v>20.492549133672849</v>
      </c>
      <c r="G70" s="15">
        <f t="shared" si="57"/>
        <v>18.929302992404011</v>
      </c>
      <c r="H70" s="15">
        <f t="shared" si="57"/>
        <v>17.081087125467388</v>
      </c>
      <c r="I70" s="15">
        <f t="shared" si="57"/>
        <v>16.587120452082651</v>
      </c>
      <c r="J70" s="15">
        <f t="shared" si="57"/>
        <v>17.399295252727658</v>
      </c>
      <c r="K70" s="15">
        <f t="shared" si="57"/>
        <v>19.379055080746742</v>
      </c>
      <c r="L70" s="15">
        <f t="shared" si="57"/>
        <v>20.338534183535604</v>
      </c>
      <c r="M70" s="15">
        <f t="shared" si="57"/>
        <v>24.998096483794924</v>
      </c>
      <c r="N70" s="15">
        <f t="shared" si="57"/>
        <v>27.655645038155779</v>
      </c>
      <c r="O70" s="15">
        <f t="shared" si="57"/>
        <v>27.683206843939885</v>
      </c>
      <c r="P70" s="15">
        <f t="shared" si="57"/>
        <v>29.757215506129334</v>
      </c>
      <c r="Q70" s="15">
        <f t="shared" si="57"/>
        <v>29.660383571265342</v>
      </c>
      <c r="R70" s="15">
        <f t="shared" si="57"/>
        <v>33.840863592237049</v>
      </c>
      <c r="S70" s="15">
        <f t="shared" si="57"/>
        <v>31.594966956309161</v>
      </c>
      <c r="T70" s="15">
        <f t="shared" si="57"/>
        <v>27.990231666515143</v>
      </c>
      <c r="U70" s="15">
        <f t="shared" si="57"/>
        <v>32.283977222490769</v>
      </c>
      <c r="V70" s="15">
        <f t="shared" si="57"/>
        <v>25.099121960792967</v>
      </c>
      <c r="W70" s="15">
        <f t="shared" ref="W70:Y70" si="58">IF(W38=0,0,W38/W28)</f>
        <v>24.744959831628709</v>
      </c>
      <c r="X70" s="15">
        <f t="shared" si="58"/>
        <v>24.174797188646327</v>
      </c>
      <c r="Y70" s="15">
        <f t="shared" si="58"/>
        <v>24.424083071100934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10.023284561418631</v>
      </c>
      <c r="C71" s="41">
        <f t="shared" si="48"/>
        <v>9.9468444225812966</v>
      </c>
      <c r="D71" s="41">
        <f t="shared" ref="D71:V71" si="59">IF(D39=0,0,D39/D29)</f>
        <v>10.228618824365732</v>
      </c>
      <c r="E71" s="41">
        <f t="shared" si="59"/>
        <v>10.880110401352557</v>
      </c>
      <c r="F71" s="41">
        <f t="shared" si="59"/>
        <v>10.245291210092235</v>
      </c>
      <c r="G71" s="41">
        <f t="shared" si="59"/>
        <v>10.026386560137624</v>
      </c>
      <c r="H71" s="41">
        <f t="shared" si="59"/>
        <v>9.6442955326529347</v>
      </c>
      <c r="I71" s="41">
        <f t="shared" si="59"/>
        <v>9.6084865500782293</v>
      </c>
      <c r="J71" s="41">
        <f t="shared" si="59"/>
        <v>9.2442542001847308</v>
      </c>
      <c r="K71" s="41">
        <f t="shared" si="59"/>
        <v>9.3240998338960406</v>
      </c>
      <c r="L71" s="41">
        <f t="shared" si="59"/>
        <v>9.9726932495609368</v>
      </c>
      <c r="M71" s="41">
        <f t="shared" si="59"/>
        <v>10.895437219200758</v>
      </c>
      <c r="N71" s="41">
        <f t="shared" si="59"/>
        <v>11.19133112954926</v>
      </c>
      <c r="O71" s="41">
        <f t="shared" si="59"/>
        <v>11.472606557577453</v>
      </c>
      <c r="P71" s="41">
        <f t="shared" si="59"/>
        <v>12.867097049767036</v>
      </c>
      <c r="Q71" s="41">
        <f t="shared" si="59"/>
        <v>13.240298620670723</v>
      </c>
      <c r="R71" s="41">
        <f t="shared" si="59"/>
        <v>15.261225204177913</v>
      </c>
      <c r="S71" s="41">
        <f t="shared" si="59"/>
        <v>14.037407282807472</v>
      </c>
      <c r="T71" s="41">
        <f t="shared" si="59"/>
        <v>14.287770694726392</v>
      </c>
      <c r="U71" s="41">
        <f t="shared" si="59"/>
        <v>15.803408783848621</v>
      </c>
      <c r="V71" s="41">
        <f t="shared" si="59"/>
        <v>14.565549583941408</v>
      </c>
      <c r="W71" s="41">
        <f t="shared" ref="W71:Y71" si="60">IF(W39=0,0,W39/W29)</f>
        <v>14.733887425092286</v>
      </c>
      <c r="X71" s="41">
        <f t="shared" si="60"/>
        <v>14.903133727895911</v>
      </c>
      <c r="Y71" s="41">
        <f t="shared" si="60"/>
        <v>14.791343727721088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16.167807765431576</v>
      </c>
      <c r="C72" s="41">
        <f t="shared" si="48"/>
        <v>16.347531780245248</v>
      </c>
      <c r="D72" s="41">
        <f t="shared" ref="D72:V72" si="61">IF(D40=0,0,D40/D30)</f>
        <v>16.365143935076354</v>
      </c>
      <c r="E72" s="41">
        <f t="shared" si="61"/>
        <v>17.221696677308699</v>
      </c>
      <c r="F72" s="41">
        <f t="shared" si="61"/>
        <v>16.065947226318933</v>
      </c>
      <c r="G72" s="41">
        <f t="shared" si="61"/>
        <v>15.202475894043333</v>
      </c>
      <c r="H72" s="41">
        <f t="shared" si="61"/>
        <v>14.017847842266168</v>
      </c>
      <c r="I72" s="41">
        <f t="shared" si="61"/>
        <v>13.786843762306624</v>
      </c>
      <c r="J72" s="41">
        <f t="shared" si="61"/>
        <v>13.706049515651269</v>
      </c>
      <c r="K72" s="41">
        <f t="shared" si="61"/>
        <v>13.698894254303417</v>
      </c>
      <c r="L72" s="41">
        <f t="shared" si="61"/>
        <v>14.504774438576121</v>
      </c>
      <c r="M72" s="41">
        <f t="shared" si="61"/>
        <v>15.593990976967524</v>
      </c>
      <c r="N72" s="41">
        <f t="shared" si="61"/>
        <v>16.668272444699468</v>
      </c>
      <c r="O72" s="41">
        <f t="shared" si="61"/>
        <v>16.757006585050917</v>
      </c>
      <c r="P72" s="41">
        <f t="shared" si="61"/>
        <v>18.449412678664508</v>
      </c>
      <c r="Q72" s="41">
        <f t="shared" si="61"/>
        <v>18.477606558493591</v>
      </c>
      <c r="R72" s="41">
        <f t="shared" si="61"/>
        <v>20.847919403023052</v>
      </c>
      <c r="S72" s="41">
        <f t="shared" si="61"/>
        <v>19.377525185076976</v>
      </c>
      <c r="T72" s="41">
        <f t="shared" si="61"/>
        <v>19.225461196308373</v>
      </c>
      <c r="U72" s="41">
        <f t="shared" si="61"/>
        <v>19.702598617631956</v>
      </c>
      <c r="V72" s="41">
        <f t="shared" si="61"/>
        <v>17.640506114488737</v>
      </c>
      <c r="W72" s="41">
        <f t="shared" ref="W72:Y72" si="62">IF(W40=0,0,W40/W30)</f>
        <v>17.768395755469797</v>
      </c>
      <c r="X72" s="41">
        <f t="shared" si="62"/>
        <v>17.89047413014103</v>
      </c>
      <c r="Y72" s="41">
        <f t="shared" si="62"/>
        <v>17.970037243342706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53.867382020046904</v>
      </c>
      <c r="D73" s="40">
        <f t="shared" ref="D73:V73" si="63">IF(D41=0,0,D41/D31)</f>
        <v>52.903188435639549</v>
      </c>
      <c r="E73" s="40">
        <f t="shared" si="63"/>
        <v>48.726605018216752</v>
      </c>
      <c r="F73" s="40">
        <f t="shared" si="63"/>
        <v>48.059639068158532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</v>
      </c>
      <c r="M73" s="40">
        <f t="shared" si="63"/>
        <v>55.066413538494714</v>
      </c>
      <c r="N73" s="40">
        <f t="shared" si="63"/>
        <v>59.082056024886235</v>
      </c>
      <c r="O73" s="40">
        <f t="shared" si="63"/>
        <v>59.664691083399624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50.528235250360844</v>
      </c>
      <c r="W73" s="40">
        <f t="shared" ref="W73:Y73" si="64">IF(W41=0,0,W41/W31)</f>
        <v>53.587012042781268</v>
      </c>
      <c r="X73" s="40">
        <f t="shared" si="64"/>
        <v>60.501674061496317</v>
      </c>
      <c r="Y73" s="40">
        <f t="shared" si="64"/>
        <v>63.067440817812056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1111.5284361526719</v>
      </c>
      <c r="C75" s="62">
        <f t="shared" si="65"/>
        <v>1094.4100793952909</v>
      </c>
      <c r="D75" s="62">
        <f t="shared" ref="D75:V75" si="66">IF(D13=0,0,D13*1000000/D23)</f>
        <v>1119.093012718803</v>
      </c>
      <c r="E75" s="62">
        <f t="shared" si="66"/>
        <v>1114.9406744948233</v>
      </c>
      <c r="F75" s="62">
        <f t="shared" si="66"/>
        <v>1101.543615312806</v>
      </c>
      <c r="G75" s="62">
        <f t="shared" si="66"/>
        <v>1077.1991588214526</v>
      </c>
      <c r="H75" s="62">
        <f t="shared" si="66"/>
        <v>1048.3848668641212</v>
      </c>
      <c r="I75" s="62">
        <f t="shared" si="66"/>
        <v>1066.6773780656961</v>
      </c>
      <c r="J75" s="62">
        <f t="shared" si="66"/>
        <v>1079.4522037293775</v>
      </c>
      <c r="K75" s="62">
        <f t="shared" si="66"/>
        <v>1078.4955983267578</v>
      </c>
      <c r="L75" s="62">
        <f t="shared" si="66"/>
        <v>1092.448653398068</v>
      </c>
      <c r="M75" s="62">
        <f t="shared" si="66"/>
        <v>1143.8921033479348</v>
      </c>
      <c r="N75" s="62">
        <f t="shared" si="66"/>
        <v>1180.7063087194833</v>
      </c>
      <c r="O75" s="62">
        <f t="shared" si="66"/>
        <v>1192.6881230462577</v>
      </c>
      <c r="P75" s="62">
        <f t="shared" si="66"/>
        <v>1216.7766320240655</v>
      </c>
      <c r="Q75" s="62">
        <f t="shared" si="66"/>
        <v>1218.3594180999919</v>
      </c>
      <c r="R75" s="62">
        <f t="shared" si="66"/>
        <v>1235.484883026161</v>
      </c>
      <c r="S75" s="62">
        <f t="shared" si="66"/>
        <v>1298.6552166828474</v>
      </c>
      <c r="T75" s="62">
        <f t="shared" si="66"/>
        <v>1391.6723299365299</v>
      </c>
      <c r="U75" s="62">
        <f t="shared" si="66"/>
        <v>1437.7979411058952</v>
      </c>
      <c r="V75" s="62">
        <f t="shared" si="66"/>
        <v>1294.1729113080987</v>
      </c>
      <c r="W75" s="62">
        <f t="shared" ref="W75:Y75" si="67">IF(W13=0,0,W13*1000000/W23)</f>
        <v>1442.9647377339086</v>
      </c>
      <c r="X75" s="62">
        <f t="shared" si="67"/>
        <v>1451.7932182137909</v>
      </c>
      <c r="Y75" s="62">
        <f t="shared" si="67"/>
        <v>1476.7151217309815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1093.7286210480922</v>
      </c>
      <c r="C76" s="14">
        <f t="shared" si="65"/>
        <v>1076.3066185112168</v>
      </c>
      <c r="D76" s="14">
        <f t="shared" ref="D76:V76" si="68">IF(D14=0,0,D14*1000000/D24)</f>
        <v>1100.8443131207096</v>
      </c>
      <c r="E76" s="14">
        <f t="shared" si="68"/>
        <v>1096.5879053282449</v>
      </c>
      <c r="F76" s="14">
        <f t="shared" si="68"/>
        <v>1091.2446916631998</v>
      </c>
      <c r="G76" s="14">
        <f t="shared" si="68"/>
        <v>1068.1733101248731</v>
      </c>
      <c r="H76" s="14">
        <f t="shared" si="68"/>
        <v>1042.9719341055497</v>
      </c>
      <c r="I76" s="14">
        <f t="shared" si="68"/>
        <v>1063.3657585931599</v>
      </c>
      <c r="J76" s="14">
        <f t="shared" si="68"/>
        <v>1074.7690999472802</v>
      </c>
      <c r="K76" s="14">
        <f t="shared" si="68"/>
        <v>1071.8115804123966</v>
      </c>
      <c r="L76" s="14">
        <f t="shared" si="68"/>
        <v>1086.4819470412228</v>
      </c>
      <c r="M76" s="14">
        <f t="shared" si="68"/>
        <v>1129.7511776677666</v>
      </c>
      <c r="N76" s="14">
        <f t="shared" si="68"/>
        <v>1164.6029594200297</v>
      </c>
      <c r="O76" s="14">
        <f t="shared" si="68"/>
        <v>1177.5358780837157</v>
      </c>
      <c r="P76" s="14">
        <f t="shared" si="68"/>
        <v>1203.4666910702842</v>
      </c>
      <c r="Q76" s="14">
        <f t="shared" si="68"/>
        <v>1203.8068053223662</v>
      </c>
      <c r="R76" s="14">
        <f t="shared" si="68"/>
        <v>1218.2969159720387</v>
      </c>
      <c r="S76" s="14">
        <f t="shared" si="68"/>
        <v>1282.641946015824</v>
      </c>
      <c r="T76" s="14">
        <f t="shared" si="68"/>
        <v>1383.9678921889222</v>
      </c>
      <c r="U76" s="14">
        <f t="shared" si="68"/>
        <v>1427.9158954128422</v>
      </c>
      <c r="V76" s="14">
        <f t="shared" si="68"/>
        <v>1304.857681568441</v>
      </c>
      <c r="W76" s="14">
        <f t="shared" ref="W76:Y76" si="69">IF(W14=0,0,W14*1000000/W24)</f>
        <v>1485.2217023004318</v>
      </c>
      <c r="X76" s="14">
        <f t="shared" si="69"/>
        <v>1466.7115206740966</v>
      </c>
      <c r="Y76" s="14">
        <f t="shared" si="69"/>
        <v>1488.9846441298364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314.79664568133245</v>
      </c>
      <c r="C77" s="39">
        <f t="shared" si="65"/>
        <v>314.79664568133245</v>
      </c>
      <c r="D77" s="39">
        <f t="shared" ref="D77:V77" si="70">IF(D15=0,0,D15*1000000/D25)</f>
        <v>314.79664568133245</v>
      </c>
      <c r="E77" s="39">
        <f t="shared" si="70"/>
        <v>314.79664568133245</v>
      </c>
      <c r="F77" s="39">
        <f t="shared" si="70"/>
        <v>314.79664568133245</v>
      </c>
      <c r="G77" s="39">
        <f t="shared" si="70"/>
        <v>302.29242544206915</v>
      </c>
      <c r="H77" s="39">
        <f t="shared" si="70"/>
        <v>280.71462972849815</v>
      </c>
      <c r="I77" s="39">
        <f t="shared" si="70"/>
        <v>287.23591426129911</v>
      </c>
      <c r="J77" s="39">
        <f t="shared" si="70"/>
        <v>286.32514617409277</v>
      </c>
      <c r="K77" s="39">
        <f t="shared" si="70"/>
        <v>282.76390899814697</v>
      </c>
      <c r="L77" s="39">
        <f t="shared" si="70"/>
        <v>276.65839694656489</v>
      </c>
      <c r="M77" s="39">
        <f t="shared" si="70"/>
        <v>275.92484849856248</v>
      </c>
      <c r="N77" s="39">
        <f t="shared" si="70"/>
        <v>266.23005729396203</v>
      </c>
      <c r="O77" s="39">
        <f t="shared" si="70"/>
        <v>258.68714259932727</v>
      </c>
      <c r="P77" s="39">
        <f t="shared" si="70"/>
        <v>271.9884175992093</v>
      </c>
      <c r="Q77" s="39">
        <f t="shared" si="70"/>
        <v>264.59819067394329</v>
      </c>
      <c r="R77" s="39">
        <f t="shared" si="70"/>
        <v>279.50650039776866</v>
      </c>
      <c r="S77" s="39">
        <f t="shared" si="70"/>
        <v>294.63798372711</v>
      </c>
      <c r="T77" s="39">
        <f t="shared" si="70"/>
        <v>286.60144404332129</v>
      </c>
      <c r="U77" s="39">
        <f t="shared" si="70"/>
        <v>241.64912280701753</v>
      </c>
      <c r="V77" s="39">
        <f t="shared" si="70"/>
        <v>284.2473867595819</v>
      </c>
      <c r="W77" s="39">
        <f t="shared" ref="W77:Y77" si="71">IF(W15=0,0,W15*1000000/W25)</f>
        <v>332.97761194029852</v>
      </c>
      <c r="X77" s="39">
        <f t="shared" si="71"/>
        <v>287.77521613832852</v>
      </c>
      <c r="Y77" s="39">
        <f t="shared" si="71"/>
        <v>250.90929705215422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900.3106515456841</v>
      </c>
      <c r="C78" s="39">
        <f t="shared" si="65"/>
        <v>900.29624466709902</v>
      </c>
      <c r="D78" s="39">
        <f t="shared" ref="D78:V78" si="72">IF(D16=0,0,D16*1000000/D26)</f>
        <v>900.29465328171034</v>
      </c>
      <c r="E78" s="39">
        <f t="shared" si="72"/>
        <v>909.56844838624534</v>
      </c>
      <c r="F78" s="39">
        <f t="shared" si="72"/>
        <v>920.4381642999291</v>
      </c>
      <c r="G78" s="39">
        <f t="shared" si="72"/>
        <v>917.34027744924038</v>
      </c>
      <c r="H78" s="39">
        <f t="shared" si="72"/>
        <v>901.87576972543889</v>
      </c>
      <c r="I78" s="39">
        <f t="shared" si="72"/>
        <v>906.39351261861555</v>
      </c>
      <c r="J78" s="39">
        <f t="shared" si="72"/>
        <v>917.8551213030853</v>
      </c>
      <c r="K78" s="39">
        <f t="shared" si="72"/>
        <v>899.09813859118219</v>
      </c>
      <c r="L78" s="39">
        <f t="shared" si="72"/>
        <v>890.83719381773483</v>
      </c>
      <c r="M78" s="39">
        <f t="shared" si="72"/>
        <v>887.72304004959585</v>
      </c>
      <c r="N78" s="39">
        <f t="shared" si="72"/>
        <v>892.92836296156167</v>
      </c>
      <c r="O78" s="39">
        <f t="shared" si="72"/>
        <v>896.14209276101769</v>
      </c>
      <c r="P78" s="39">
        <f t="shared" si="72"/>
        <v>919.50662232955199</v>
      </c>
      <c r="Q78" s="39">
        <f t="shared" si="72"/>
        <v>928.44901276277676</v>
      </c>
      <c r="R78" s="39">
        <f t="shared" si="72"/>
        <v>933.61696444013398</v>
      </c>
      <c r="S78" s="39">
        <f t="shared" si="72"/>
        <v>954.36859093774922</v>
      </c>
      <c r="T78" s="39">
        <f t="shared" si="72"/>
        <v>994.85130998774423</v>
      </c>
      <c r="U78" s="39">
        <f t="shared" si="72"/>
        <v>997.81421305443405</v>
      </c>
      <c r="V78" s="39">
        <f t="shared" si="72"/>
        <v>984.90179259886531</v>
      </c>
      <c r="W78" s="39">
        <f t="shared" ref="W78:Y78" si="73">IF(W16=0,0,W16*1000000/W26)</f>
        <v>1119.9109309270275</v>
      </c>
      <c r="X78" s="39">
        <f t="shared" si="73"/>
        <v>1095.039891716106</v>
      </c>
      <c r="Y78" s="39">
        <f t="shared" si="73"/>
        <v>1106.4683497226042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2583.3218920303648</v>
      </c>
      <c r="C79" s="39">
        <f t="shared" si="65"/>
        <v>2583.3218920303648</v>
      </c>
      <c r="D79" s="39">
        <f t="shared" ref="D79:V79" si="74">IF(D17=0,0,D17*1000000/D27)</f>
        <v>2583.3218920303648</v>
      </c>
      <c r="E79" s="39">
        <f t="shared" si="74"/>
        <v>2583.3218920303648</v>
      </c>
      <c r="F79" s="39">
        <f t="shared" si="74"/>
        <v>2583.3218920303648</v>
      </c>
      <c r="G79" s="39">
        <f t="shared" si="74"/>
        <v>2450.1987084480206</v>
      </c>
      <c r="H79" s="39">
        <f t="shared" si="74"/>
        <v>2307.9043427960155</v>
      </c>
      <c r="I79" s="39">
        <f t="shared" si="74"/>
        <v>2330.8013122320676</v>
      </c>
      <c r="J79" s="39">
        <f t="shared" si="74"/>
        <v>2291.296898185245</v>
      </c>
      <c r="K79" s="39">
        <f t="shared" si="74"/>
        <v>2304.4595094847432</v>
      </c>
      <c r="L79" s="39">
        <f t="shared" si="74"/>
        <v>2281.1878769601931</v>
      </c>
      <c r="M79" s="39">
        <f t="shared" si="74"/>
        <v>2296.283241674731</v>
      </c>
      <c r="N79" s="39">
        <f t="shared" si="74"/>
        <v>2267.7087172218285</v>
      </c>
      <c r="O79" s="39">
        <f t="shared" si="74"/>
        <v>2242.8251720203557</v>
      </c>
      <c r="P79" s="39">
        <f t="shared" si="74"/>
        <v>2289.7623908140126</v>
      </c>
      <c r="Q79" s="39">
        <f t="shared" si="74"/>
        <v>2413.9504562610155</v>
      </c>
      <c r="R79" s="39">
        <f t="shared" si="74"/>
        <v>2562.82154085603</v>
      </c>
      <c r="S79" s="39">
        <f t="shared" si="74"/>
        <v>2582.0396964536367</v>
      </c>
      <c r="T79" s="39">
        <f t="shared" si="74"/>
        <v>2716.8686700693925</v>
      </c>
      <c r="U79" s="39">
        <f t="shared" si="74"/>
        <v>2767.7938519171444</v>
      </c>
      <c r="V79" s="39">
        <f t="shared" si="74"/>
        <v>2598.0518134715026</v>
      </c>
      <c r="W79" s="39">
        <f t="shared" ref="W79:Y79" si="75">IF(W17=0,0,W17*1000000/W27)</f>
        <v>2778.755653054337</v>
      </c>
      <c r="X79" s="39">
        <f t="shared" si="75"/>
        <v>2933.0675560298823</v>
      </c>
      <c r="Y79" s="39">
        <f t="shared" si="75"/>
        <v>3002.1587636108184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1632.1025429493407</v>
      </c>
      <c r="C80" s="15">
        <f t="shared" si="65"/>
        <v>1667.5652473404609</v>
      </c>
      <c r="D80" s="15">
        <f t="shared" ref="D80:V80" si="76">IF(D18=0,0,D18*1000000/D28)</f>
        <v>1611.0114690575442</v>
      </c>
      <c r="E80" s="15">
        <f t="shared" si="76"/>
        <v>1949.1822130824596</v>
      </c>
      <c r="F80" s="15">
        <f t="shared" si="76"/>
        <v>1639.2808633825657</v>
      </c>
      <c r="G80" s="15">
        <f t="shared" si="76"/>
        <v>1551.5704225897268</v>
      </c>
      <c r="H80" s="15">
        <f t="shared" si="76"/>
        <v>1311.6182792909967</v>
      </c>
      <c r="I80" s="15">
        <f t="shared" si="76"/>
        <v>1230.9594546323865</v>
      </c>
      <c r="J80" s="15">
        <f t="shared" si="76"/>
        <v>1349.6070677810819</v>
      </c>
      <c r="K80" s="15">
        <f t="shared" si="76"/>
        <v>1473.8733673693664</v>
      </c>
      <c r="L80" s="15">
        <f t="shared" si="76"/>
        <v>1391.1883015634348</v>
      </c>
      <c r="M80" s="15">
        <f t="shared" si="76"/>
        <v>1890.0632460894328</v>
      </c>
      <c r="N80" s="15">
        <f t="shared" si="76"/>
        <v>2129.3089114841123</v>
      </c>
      <c r="O80" s="15">
        <f t="shared" si="76"/>
        <v>2097.7018587090574</v>
      </c>
      <c r="P80" s="15">
        <f t="shared" si="76"/>
        <v>2019.5889652851092</v>
      </c>
      <c r="Q80" s="15">
        <f t="shared" si="76"/>
        <v>2053.427216296232</v>
      </c>
      <c r="R80" s="15">
        <f t="shared" si="76"/>
        <v>2169.1274470301314</v>
      </c>
      <c r="S80" s="15">
        <f t="shared" si="76"/>
        <v>2070.3826819536857</v>
      </c>
      <c r="T80" s="15">
        <f t="shared" si="76"/>
        <v>1740.1845619577991</v>
      </c>
      <c r="U80" s="15">
        <f t="shared" si="76"/>
        <v>1923.1279285123019</v>
      </c>
      <c r="V80" s="15">
        <f t="shared" si="76"/>
        <v>1140.7141915523671</v>
      </c>
      <c r="W80" s="15">
        <f t="shared" ref="W80:Y80" si="77">IF(W18=0,0,W18*1000000/W28)</f>
        <v>876.65019293929572</v>
      </c>
      <c r="X80" s="15">
        <f t="shared" si="77"/>
        <v>1009.8759533655274</v>
      </c>
      <c r="Y80" s="15">
        <f t="shared" si="77"/>
        <v>996.8951162232978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175.95876569380889</v>
      </c>
      <c r="C81" s="41">
        <f t="shared" si="65"/>
        <v>175.95876569380886</v>
      </c>
      <c r="D81" s="41">
        <f t="shared" ref="D81:V81" si="78">IF(D19=0,0,D19*1000000/D29)</f>
        <v>175.95876569380889</v>
      </c>
      <c r="E81" s="41">
        <f t="shared" si="78"/>
        <v>175.95876569380889</v>
      </c>
      <c r="F81" s="41">
        <f t="shared" si="78"/>
        <v>175.95876569380889</v>
      </c>
      <c r="G81" s="41">
        <f t="shared" si="78"/>
        <v>163.45454545454544</v>
      </c>
      <c r="H81" s="41">
        <f t="shared" si="78"/>
        <v>163.37374759250551</v>
      </c>
      <c r="I81" s="41">
        <f t="shared" si="78"/>
        <v>191.39202997683742</v>
      </c>
      <c r="J81" s="41">
        <f t="shared" si="78"/>
        <v>211.97825974116216</v>
      </c>
      <c r="K81" s="41">
        <f t="shared" si="78"/>
        <v>229.91402041674738</v>
      </c>
      <c r="L81" s="41">
        <f t="shared" si="78"/>
        <v>245.3055062166963</v>
      </c>
      <c r="M81" s="41">
        <f t="shared" si="78"/>
        <v>242.6032375003457</v>
      </c>
      <c r="N81" s="41">
        <f t="shared" si="78"/>
        <v>230.93972602739726</v>
      </c>
      <c r="O81" s="41">
        <f t="shared" si="78"/>
        <v>221.77067564372538</v>
      </c>
      <c r="P81" s="41">
        <f t="shared" si="78"/>
        <v>233.4458149545703</v>
      </c>
      <c r="Q81" s="41">
        <f t="shared" si="78"/>
        <v>224.42945234026715</v>
      </c>
      <c r="R81" s="41">
        <f t="shared" si="78"/>
        <v>237.71162637505552</v>
      </c>
      <c r="S81" s="41">
        <f t="shared" si="78"/>
        <v>251.21697401535985</v>
      </c>
      <c r="T81" s="41">
        <f t="shared" si="78"/>
        <v>241.55429864253389</v>
      </c>
      <c r="U81" s="41">
        <f t="shared" si="78"/>
        <v>242.31818181818184</v>
      </c>
      <c r="V81" s="41">
        <f t="shared" si="78"/>
        <v>242.77120822622106</v>
      </c>
      <c r="W81" s="41">
        <f t="shared" ref="W81:Y81" si="79">IF(W19=0,0,W19*1000000/W29)</f>
        <v>238.61893764434183</v>
      </c>
      <c r="X81" s="41">
        <f t="shared" si="79"/>
        <v>244.91304347826085</v>
      </c>
      <c r="Y81" s="41">
        <f t="shared" si="79"/>
        <v>228.8636363636364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792.49993488870564</v>
      </c>
      <c r="C82" s="41">
        <f t="shared" si="65"/>
        <v>793.16172643509867</v>
      </c>
      <c r="D82" s="41">
        <f t="shared" ref="D82:V82" si="80">IF(D20=0,0,D20*1000000/D30)</f>
        <v>791.8403911614015</v>
      </c>
      <c r="E82" s="41">
        <f t="shared" si="80"/>
        <v>817.17057682705342</v>
      </c>
      <c r="F82" s="41">
        <f t="shared" si="80"/>
        <v>813.10164083388827</v>
      </c>
      <c r="G82" s="41">
        <f t="shared" si="80"/>
        <v>789.68437606489726</v>
      </c>
      <c r="H82" s="41">
        <f t="shared" si="80"/>
        <v>768.19318730995587</v>
      </c>
      <c r="I82" s="41">
        <f t="shared" si="80"/>
        <v>758.45298156982528</v>
      </c>
      <c r="J82" s="41">
        <f t="shared" si="80"/>
        <v>758.09814677362431</v>
      </c>
      <c r="K82" s="41">
        <f t="shared" si="80"/>
        <v>751.63782907529901</v>
      </c>
      <c r="L82" s="41">
        <f t="shared" si="80"/>
        <v>730.69093884626079</v>
      </c>
      <c r="M82" s="41">
        <f t="shared" si="80"/>
        <v>719.46987300083231</v>
      </c>
      <c r="N82" s="41">
        <f t="shared" si="80"/>
        <v>701.73625831902336</v>
      </c>
      <c r="O82" s="41">
        <f t="shared" si="80"/>
        <v>688.11442654135715</v>
      </c>
      <c r="P82" s="41">
        <f t="shared" si="80"/>
        <v>696.05064009787191</v>
      </c>
      <c r="Q82" s="41">
        <f t="shared" si="80"/>
        <v>692.35676102605373</v>
      </c>
      <c r="R82" s="41">
        <f t="shared" si="80"/>
        <v>674.66561930150294</v>
      </c>
      <c r="S82" s="41">
        <f t="shared" si="80"/>
        <v>682.0877032840292</v>
      </c>
      <c r="T82" s="41">
        <f t="shared" si="80"/>
        <v>716.64930447881829</v>
      </c>
      <c r="U82" s="41">
        <f t="shared" si="80"/>
        <v>690.72511446950239</v>
      </c>
      <c r="V82" s="41">
        <f t="shared" si="80"/>
        <v>704.36236488263626</v>
      </c>
      <c r="W82" s="41">
        <f t="shared" ref="W82:Y82" si="81">IF(W20=0,0,W20*1000000/W30)</f>
        <v>666.27622811095625</v>
      </c>
      <c r="X82" s="41">
        <f t="shared" si="81"/>
        <v>714.03417609382427</v>
      </c>
      <c r="Y82" s="41">
        <f t="shared" si="81"/>
        <v>720.72751747719462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6730.0120724712333</v>
      </c>
      <c r="C83" s="40">
        <f t="shared" si="65"/>
        <v>6730.0120724712333</v>
      </c>
      <c r="D83" s="40">
        <f t="shared" ref="D83:V83" si="82">IF(D21=0,0,D21*1000000/D31)</f>
        <v>6730.0120724712324</v>
      </c>
      <c r="E83" s="40">
        <f t="shared" si="82"/>
        <v>6730.0120724712333</v>
      </c>
      <c r="F83" s="40">
        <f t="shared" si="82"/>
        <v>6730.0120724712324</v>
      </c>
      <c r="G83" s="40">
        <f t="shared" si="82"/>
        <v>6596.8888888888887</v>
      </c>
      <c r="H83" s="40">
        <f t="shared" si="82"/>
        <v>6172.4821193038406</v>
      </c>
      <c r="I83" s="40">
        <f t="shared" si="82"/>
        <v>5913.2666848068502</v>
      </c>
      <c r="J83" s="40">
        <f t="shared" si="82"/>
        <v>5591.649866826986</v>
      </c>
      <c r="K83" s="40">
        <f t="shared" si="82"/>
        <v>5322.7000741934407</v>
      </c>
      <c r="L83" s="40">
        <f t="shared" si="82"/>
        <v>5017.316037735849</v>
      </c>
      <c r="M83" s="40">
        <f t="shared" si="82"/>
        <v>5588.4216763229324</v>
      </c>
      <c r="N83" s="40">
        <f t="shared" si="82"/>
        <v>6115.8574257425744</v>
      </c>
      <c r="O83" s="40">
        <f t="shared" si="82"/>
        <v>6163.9220423104707</v>
      </c>
      <c r="P83" s="40">
        <f t="shared" si="82"/>
        <v>6283.8074228734959</v>
      </c>
      <c r="Q83" s="40">
        <f t="shared" si="82"/>
        <v>6480.9436500898664</v>
      </c>
      <c r="R83" s="40">
        <f t="shared" si="82"/>
        <v>6702.7628964542473</v>
      </c>
      <c r="S83" s="40">
        <f t="shared" si="82"/>
        <v>6794.9292138212249</v>
      </c>
      <c r="T83" s="40">
        <f t="shared" si="82"/>
        <v>7002.7063492063498</v>
      </c>
      <c r="U83" s="40">
        <f t="shared" si="82"/>
        <v>6174.1883561643835</v>
      </c>
      <c r="V83" s="40">
        <f t="shared" si="82"/>
        <v>2735.2741312741309</v>
      </c>
      <c r="W83" s="40">
        <f t="shared" ref="W83:Y83" si="83">IF(W21=0,0,W21*1000000/W31)</f>
        <v>1892.9647058823527</v>
      </c>
      <c r="X83" s="40">
        <f t="shared" si="83"/>
        <v>2775.9813432835822</v>
      </c>
      <c r="Y83" s="40">
        <f t="shared" si="83"/>
        <v>2652.2175141242938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112529.96160630278</v>
      </c>
      <c r="C86" s="11">
        <f t="shared" si="84"/>
        <v>110972.24524422025</v>
      </c>
      <c r="D86" s="11">
        <f t="shared" ref="D86:V86" si="85">IF(D4=0,0,D4*1000000/D24)</f>
        <v>114449.42898833762</v>
      </c>
      <c r="E86" s="11">
        <f t="shared" si="85"/>
        <v>112767.31440446654</v>
      </c>
      <c r="F86" s="11">
        <f t="shared" si="85"/>
        <v>112488.51881906427</v>
      </c>
      <c r="G86" s="11">
        <f t="shared" si="85"/>
        <v>107224.30124402678</v>
      </c>
      <c r="H86" s="11">
        <f t="shared" si="85"/>
        <v>106080.97729668386</v>
      </c>
      <c r="I86" s="11">
        <f t="shared" si="85"/>
        <v>107167.67032203022</v>
      </c>
      <c r="J86" s="11">
        <f t="shared" si="85"/>
        <v>105559.90531657559</v>
      </c>
      <c r="K86" s="11">
        <f t="shared" si="85"/>
        <v>105212.59250598637</v>
      </c>
      <c r="L86" s="11">
        <f t="shared" si="85"/>
        <v>112767.5680195707</v>
      </c>
      <c r="M86" s="11">
        <f t="shared" si="85"/>
        <v>123543.28362908788</v>
      </c>
      <c r="N86" s="11">
        <f t="shared" si="85"/>
        <v>131424.92813210972</v>
      </c>
      <c r="O86" s="11">
        <f t="shared" si="85"/>
        <v>136955.77768723026</v>
      </c>
      <c r="P86" s="11">
        <f t="shared" si="85"/>
        <v>144799.48789752088</v>
      </c>
      <c r="Q86" s="11">
        <f t="shared" si="85"/>
        <v>151630.98459411968</v>
      </c>
      <c r="R86" s="11">
        <f t="shared" si="85"/>
        <v>156697.8883078986</v>
      </c>
      <c r="S86" s="11">
        <f t="shared" si="85"/>
        <v>181310.65566409074</v>
      </c>
      <c r="T86" s="11">
        <f t="shared" si="85"/>
        <v>195171.2301086571</v>
      </c>
      <c r="U86" s="11">
        <f t="shared" si="85"/>
        <v>210872.82219606492</v>
      </c>
      <c r="V86" s="11">
        <f t="shared" si="85"/>
        <v>144849.07112804562</v>
      </c>
      <c r="W86" s="11">
        <f t="shared" ref="W86:Y86" si="86">IF(W4=0,0,W4*1000000/W24)</f>
        <v>166043.31517002053</v>
      </c>
      <c r="X86" s="11">
        <f t="shared" si="86"/>
        <v>213782.11452811668</v>
      </c>
      <c r="Y86" s="11">
        <f t="shared" si="86"/>
        <v>231385.673550137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8176.7596811577796</v>
      </c>
      <c r="C87" s="36">
        <f t="shared" si="84"/>
        <v>8233.4818364796356</v>
      </c>
      <c r="D87" s="36">
        <f t="shared" ref="D87:V87" si="87">IF(D5=0,0,D5*1000000/D25)</f>
        <v>8311.1433608815096</v>
      </c>
      <c r="E87" s="36">
        <f t="shared" si="87"/>
        <v>8475.702456820949</v>
      </c>
      <c r="F87" s="36">
        <f t="shared" si="87"/>
        <v>6970.5621509435459</v>
      </c>
      <c r="G87" s="36">
        <f t="shared" si="87"/>
        <v>9819.5823900046344</v>
      </c>
      <c r="H87" s="36">
        <f t="shared" si="87"/>
        <v>9756.2474856360786</v>
      </c>
      <c r="I87" s="36">
        <f t="shared" si="87"/>
        <v>10618.856620583216</v>
      </c>
      <c r="J87" s="36">
        <f t="shared" si="87"/>
        <v>10177.82841186997</v>
      </c>
      <c r="K87" s="36">
        <f t="shared" si="87"/>
        <v>7619.7058170121918</v>
      </c>
      <c r="L87" s="36">
        <f t="shared" si="87"/>
        <v>8307.8152884301926</v>
      </c>
      <c r="M87" s="36">
        <f t="shared" si="87"/>
        <v>9007.9769400599562</v>
      </c>
      <c r="N87" s="36">
        <f t="shared" si="87"/>
        <v>10818.164459529757</v>
      </c>
      <c r="O87" s="36">
        <f t="shared" si="87"/>
        <v>10638.949122439142</v>
      </c>
      <c r="P87" s="36">
        <f t="shared" si="87"/>
        <v>10087.036700618921</v>
      </c>
      <c r="Q87" s="36">
        <f t="shared" si="87"/>
        <v>9243.7127203024193</v>
      </c>
      <c r="R87" s="36">
        <f t="shared" si="87"/>
        <v>8022.5047922425956</v>
      </c>
      <c r="S87" s="36">
        <f t="shared" si="87"/>
        <v>9252.7724644327136</v>
      </c>
      <c r="T87" s="36">
        <f t="shared" si="87"/>
        <v>11096.841991633633</v>
      </c>
      <c r="U87" s="36">
        <f t="shared" si="87"/>
        <v>13415.68347593838</v>
      </c>
      <c r="V87" s="36">
        <f t="shared" si="87"/>
        <v>4847.5616149124908</v>
      </c>
      <c r="W87" s="36">
        <f t="shared" ref="W87:Y87" si="88">IF(W5=0,0,W5*1000000/W25)</f>
        <v>11833.54378403269</v>
      </c>
      <c r="X87" s="36">
        <f t="shared" si="88"/>
        <v>15293.903992373371</v>
      </c>
      <c r="Y87" s="36">
        <f t="shared" si="88"/>
        <v>12500.624121280141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84955.085718704227</v>
      </c>
      <c r="C88" s="36">
        <f t="shared" si="84"/>
        <v>85747.543123456213</v>
      </c>
      <c r="D88" s="36">
        <f t="shared" ref="D88:V88" si="89">IF(D6=0,0,D6*1000000/D26)</f>
        <v>85722.117611754933</v>
      </c>
      <c r="E88" s="36">
        <f t="shared" si="89"/>
        <v>85855.973403996599</v>
      </c>
      <c r="F88" s="36">
        <f t="shared" si="89"/>
        <v>84562.65125847733</v>
      </c>
      <c r="G88" s="36">
        <f t="shared" si="89"/>
        <v>82271.489817529728</v>
      </c>
      <c r="H88" s="36">
        <f t="shared" si="89"/>
        <v>81762.658657713269</v>
      </c>
      <c r="I88" s="36">
        <f t="shared" si="89"/>
        <v>79758.924988546336</v>
      </c>
      <c r="J88" s="36">
        <f t="shared" si="89"/>
        <v>78116.806276422692</v>
      </c>
      <c r="K88" s="36">
        <f t="shared" si="89"/>
        <v>78151.080555711655</v>
      </c>
      <c r="L88" s="36">
        <f t="shared" si="89"/>
        <v>78832.207496005081</v>
      </c>
      <c r="M88" s="36">
        <f t="shared" si="89"/>
        <v>84071.56986937052</v>
      </c>
      <c r="N88" s="36">
        <f t="shared" si="89"/>
        <v>89946.091983913939</v>
      </c>
      <c r="O88" s="36">
        <f t="shared" si="89"/>
        <v>90368.883644019574</v>
      </c>
      <c r="P88" s="36">
        <f t="shared" si="89"/>
        <v>96074.769311738142</v>
      </c>
      <c r="Q88" s="36">
        <f t="shared" si="89"/>
        <v>100297.83495363889</v>
      </c>
      <c r="R88" s="36">
        <f t="shared" si="89"/>
        <v>101289.38258845113</v>
      </c>
      <c r="S88" s="36">
        <f t="shared" si="89"/>
        <v>115405.81509994689</v>
      </c>
      <c r="T88" s="36">
        <f t="shared" si="89"/>
        <v>122385.53554152894</v>
      </c>
      <c r="U88" s="36">
        <f t="shared" si="89"/>
        <v>127480.38618721481</v>
      </c>
      <c r="V88" s="36">
        <f t="shared" si="89"/>
        <v>98213.65112710619</v>
      </c>
      <c r="W88" s="36">
        <f t="shared" ref="W88:Y88" si="90">IF(W6=0,0,W6*1000000/W26)</f>
        <v>117006.61608055179</v>
      </c>
      <c r="X88" s="36">
        <f t="shared" si="90"/>
        <v>143191.11780352733</v>
      </c>
      <c r="Y88" s="36">
        <f t="shared" si="90"/>
        <v>150835.2221551032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321099.20665573684</v>
      </c>
      <c r="C89" s="36">
        <f t="shared" si="84"/>
        <v>322299.60314500413</v>
      </c>
      <c r="D89" s="36">
        <f t="shared" ref="D89:V89" si="91">IF(D7=0,0,D7*1000000/D27)</f>
        <v>323550.68413606024</v>
      </c>
      <c r="E89" s="36">
        <f t="shared" si="91"/>
        <v>322740.47966394277</v>
      </c>
      <c r="F89" s="36">
        <f t="shared" si="91"/>
        <v>345360.01469030726</v>
      </c>
      <c r="G89" s="36">
        <f t="shared" si="91"/>
        <v>321248.10009486362</v>
      </c>
      <c r="H89" s="36">
        <f t="shared" si="91"/>
        <v>306237.53062983911</v>
      </c>
      <c r="I89" s="36">
        <f t="shared" si="91"/>
        <v>311398.26407233306</v>
      </c>
      <c r="J89" s="36">
        <f t="shared" si="91"/>
        <v>298370.37079304521</v>
      </c>
      <c r="K89" s="36">
        <f t="shared" si="91"/>
        <v>284061.04533935484</v>
      </c>
      <c r="L89" s="36">
        <f t="shared" si="91"/>
        <v>304967.01483943523</v>
      </c>
      <c r="M89" s="36">
        <f t="shared" si="91"/>
        <v>307779.0456259452</v>
      </c>
      <c r="N89" s="36">
        <f t="shared" si="91"/>
        <v>296549.1164721871</v>
      </c>
      <c r="O89" s="36">
        <f t="shared" si="91"/>
        <v>309593.03457259369</v>
      </c>
      <c r="P89" s="36">
        <f t="shared" si="91"/>
        <v>326912.80783480522</v>
      </c>
      <c r="Q89" s="36">
        <f t="shared" si="91"/>
        <v>370649.08566266147</v>
      </c>
      <c r="R89" s="36">
        <f t="shared" si="91"/>
        <v>412047.29571625427</v>
      </c>
      <c r="S89" s="36">
        <f t="shared" si="91"/>
        <v>439465.40532097389</v>
      </c>
      <c r="T89" s="36">
        <f t="shared" si="91"/>
        <v>442784.47930148715</v>
      </c>
      <c r="U89" s="36">
        <f t="shared" si="91"/>
        <v>469732.59627027635</v>
      </c>
      <c r="V89" s="36">
        <f t="shared" si="91"/>
        <v>332737.27352867718</v>
      </c>
      <c r="W89" s="36">
        <f t="shared" ref="W89:Y89" si="92">IF(W7=0,0,W7*1000000/W27)</f>
        <v>339643.96740967408</v>
      </c>
      <c r="X89" s="36">
        <f t="shared" si="92"/>
        <v>491224.91467624181</v>
      </c>
      <c r="Y89" s="36">
        <f t="shared" si="92"/>
        <v>548215.11760636535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94274.79914702184</v>
      </c>
      <c r="C90" s="13">
        <f t="shared" si="84"/>
        <v>102051.8253924388</v>
      </c>
      <c r="D90" s="13">
        <f t="shared" ref="D90:V90" si="93">IF(D8=0,0,D8*1000000/D28)</f>
        <v>91569.882666799764</v>
      </c>
      <c r="E90" s="13">
        <f t="shared" si="93"/>
        <v>109258.85196070978</v>
      </c>
      <c r="F90" s="13">
        <f t="shared" si="93"/>
        <v>81249.392143936944</v>
      </c>
      <c r="G90" s="13">
        <f t="shared" si="93"/>
        <v>72685.737457768279</v>
      </c>
      <c r="H90" s="13">
        <f t="shared" si="93"/>
        <v>54800.07935950868</v>
      </c>
      <c r="I90" s="13">
        <f t="shared" si="93"/>
        <v>49722.602717907248</v>
      </c>
      <c r="J90" s="13">
        <f t="shared" si="93"/>
        <v>57557.533469163944</v>
      </c>
      <c r="K90" s="13">
        <f t="shared" si="93"/>
        <v>74347.226628914563</v>
      </c>
      <c r="L90" s="13">
        <f t="shared" si="93"/>
        <v>68928.296679311432</v>
      </c>
      <c r="M90" s="13">
        <f t="shared" si="93"/>
        <v>111527.02683561659</v>
      </c>
      <c r="N90" s="13">
        <f t="shared" si="93"/>
        <v>137741.08970370851</v>
      </c>
      <c r="O90" s="13">
        <f t="shared" si="93"/>
        <v>137619.21291641062</v>
      </c>
      <c r="P90" s="13">
        <f t="shared" si="93"/>
        <v>150807.17674629137</v>
      </c>
      <c r="Q90" s="13">
        <f t="shared" si="93"/>
        <v>152175.78429681578</v>
      </c>
      <c r="R90" s="13">
        <f t="shared" si="93"/>
        <v>181170.73007914433</v>
      </c>
      <c r="S90" s="13">
        <f t="shared" si="93"/>
        <v>161850.24381858538</v>
      </c>
      <c r="T90" s="13">
        <f t="shared" si="93"/>
        <v>127027.79267119942</v>
      </c>
      <c r="U90" s="13">
        <f t="shared" si="93"/>
        <v>153191.05311787385</v>
      </c>
      <c r="V90" s="13">
        <f t="shared" si="93"/>
        <v>52520.860323711517</v>
      </c>
      <c r="W90" s="13">
        <f t="shared" ref="W90:Y90" si="94">IF(W8=0,0,W8*1000000/W28)</f>
        <v>34576.744087167441</v>
      </c>
      <c r="X90" s="13">
        <f t="shared" si="94"/>
        <v>42906.047691316773</v>
      </c>
      <c r="Y90" s="13">
        <f t="shared" si="94"/>
        <v>43039.219421629823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1729.7715862361949</v>
      </c>
      <c r="C91" s="34">
        <f t="shared" si="84"/>
        <v>1716.5799044677528</v>
      </c>
      <c r="D91" s="34">
        <f t="shared" ref="D91:V91" si="95">IF(D9=0,0,D9*1000000/D29)</f>
        <v>1765.2072133053696</v>
      </c>
      <c r="E91" s="34">
        <f t="shared" si="95"/>
        <v>1877.6385836449663</v>
      </c>
      <c r="F91" s="34">
        <f t="shared" si="95"/>
        <v>1768.0844556831307</v>
      </c>
      <c r="G91" s="34">
        <f t="shared" si="95"/>
        <v>1607.3455000628012</v>
      </c>
      <c r="H91" s="34">
        <f t="shared" si="95"/>
        <v>1545.3276430909671</v>
      </c>
      <c r="I91" s="34">
        <f t="shared" si="95"/>
        <v>1803.6265816390749</v>
      </c>
      <c r="J91" s="34">
        <f t="shared" si="95"/>
        <v>1921.9009156152326</v>
      </c>
      <c r="K91" s="34">
        <f t="shared" si="95"/>
        <v>2102.5201308616547</v>
      </c>
      <c r="L91" s="34">
        <f t="shared" si="95"/>
        <v>2399.3165481890655</v>
      </c>
      <c r="M91" s="34">
        <f t="shared" si="95"/>
        <v>2656.9375834915108</v>
      </c>
      <c r="N91" s="34">
        <f t="shared" si="95"/>
        <v>2584.5381225450678</v>
      </c>
      <c r="O91" s="34">
        <f t="shared" si="95"/>
        <v>2544.2637091249139</v>
      </c>
      <c r="P91" s="34">
        <f t="shared" si="95"/>
        <v>3005.0420466684918</v>
      </c>
      <c r="Q91" s="34">
        <f t="shared" si="95"/>
        <v>2966.2790926132375</v>
      </c>
      <c r="R91" s="34">
        <f t="shared" si="95"/>
        <v>3627.7616839286984</v>
      </c>
      <c r="S91" s="34">
        <f t="shared" si="95"/>
        <v>3526.4275655105953</v>
      </c>
      <c r="T91" s="34">
        <f t="shared" si="95"/>
        <v>3436.4224900014706</v>
      </c>
      <c r="U91" s="34">
        <f t="shared" si="95"/>
        <v>3427.7551801648988</v>
      </c>
      <c r="V91" s="34">
        <f t="shared" si="95"/>
        <v>2987.6081317562207</v>
      </c>
      <c r="W91" s="34">
        <f t="shared" ref="W91:Y91" si="96">IF(W9=0,0,W9*1000000/W29)</f>
        <v>3283.7722779318674</v>
      </c>
      <c r="X91" s="34">
        <f t="shared" si="96"/>
        <v>3338.1025578132403</v>
      </c>
      <c r="Y91" s="34">
        <f t="shared" si="96"/>
        <v>3030.1033645357393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19943.852656620056</v>
      </c>
      <c r="C92" s="34">
        <f t="shared" si="84"/>
        <v>20997.928861442484</v>
      </c>
      <c r="D92" s="34">
        <f t="shared" ref="D92:V92" si="97">IF(D10=0,0,D10*1000000/D30)</f>
        <v>19812.386344739374</v>
      </c>
      <c r="E92" s="34">
        <f t="shared" si="97"/>
        <v>20312.155246372968</v>
      </c>
      <c r="F92" s="34">
        <f t="shared" si="97"/>
        <v>18362.227534680944</v>
      </c>
      <c r="G92" s="34">
        <f t="shared" si="97"/>
        <v>17685.696052245366</v>
      </c>
      <c r="H92" s="34">
        <f t="shared" si="97"/>
        <v>15180.640097555795</v>
      </c>
      <c r="I92" s="34">
        <f t="shared" si="97"/>
        <v>14879.625844507309</v>
      </c>
      <c r="J92" s="34">
        <f t="shared" si="97"/>
        <v>14778.172241146114</v>
      </c>
      <c r="K92" s="34">
        <f t="shared" si="97"/>
        <v>14916.815680572252</v>
      </c>
      <c r="L92" s="34">
        <f t="shared" si="97"/>
        <v>14782.197012096787</v>
      </c>
      <c r="M92" s="34">
        <f t="shared" si="97"/>
        <v>15286.65116243714</v>
      </c>
      <c r="N92" s="34">
        <f t="shared" si="97"/>
        <v>16282.104970149183</v>
      </c>
      <c r="O92" s="34">
        <f t="shared" si="97"/>
        <v>15535.217728197646</v>
      </c>
      <c r="P92" s="34">
        <f t="shared" si="97"/>
        <v>18049.727494601299</v>
      </c>
      <c r="Q92" s="34">
        <f t="shared" si="97"/>
        <v>17874.040440353809</v>
      </c>
      <c r="R92" s="34">
        <f t="shared" si="97"/>
        <v>18990.457456455777</v>
      </c>
      <c r="S92" s="34">
        <f t="shared" si="97"/>
        <v>17913.019992096753</v>
      </c>
      <c r="T92" s="34">
        <f t="shared" si="97"/>
        <v>18913.007450747402</v>
      </c>
      <c r="U92" s="34">
        <f t="shared" si="97"/>
        <v>18737.296626844665</v>
      </c>
      <c r="V92" s="34">
        <f t="shared" si="97"/>
        <v>16584.408362751896</v>
      </c>
      <c r="W92" s="34">
        <f t="shared" ref="W92:Y92" si="98">IF(W10=0,0,W10*1000000/W30)</f>
        <v>15413.38075135653</v>
      </c>
      <c r="X92" s="34">
        <f t="shared" si="98"/>
        <v>16223.425647218044</v>
      </c>
      <c r="Y92" s="34">
        <f t="shared" si="98"/>
        <v>16228.587709378706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532777.63897934894</v>
      </c>
      <c r="C93" s="35">
        <f t="shared" si="84"/>
        <v>558308.6484912344</v>
      </c>
      <c r="D93" s="35">
        <f t="shared" ref="D93:V93" si="99">IF(D11=0,0,D11*1000000/D31)</f>
        <v>527143.17307685257</v>
      </c>
      <c r="E93" s="35">
        <f t="shared" si="99"/>
        <v>478976.55122802104</v>
      </c>
      <c r="F93" s="35">
        <f t="shared" si="99"/>
        <v>464883.95048756379</v>
      </c>
      <c r="G93" s="35">
        <f t="shared" si="99"/>
        <v>428540.18174069468</v>
      </c>
      <c r="H93" s="35">
        <f t="shared" si="99"/>
        <v>387621.48356395081</v>
      </c>
      <c r="I93" s="35">
        <f t="shared" si="99"/>
        <v>365148.43475608592</v>
      </c>
      <c r="J93" s="35">
        <f t="shared" si="99"/>
        <v>338331.46795162681</v>
      </c>
      <c r="K93" s="35">
        <f t="shared" si="99"/>
        <v>363217.73410737416</v>
      </c>
      <c r="L93" s="35">
        <f t="shared" si="99"/>
        <v>348057.14976970846</v>
      </c>
      <c r="M93" s="35">
        <f t="shared" si="99"/>
        <v>404648.99970113114</v>
      </c>
      <c r="N93" s="35">
        <f t="shared" si="99"/>
        <v>466342.33158101811</v>
      </c>
      <c r="O93" s="35">
        <f t="shared" si="99"/>
        <v>482198.67094210983</v>
      </c>
      <c r="P93" s="35">
        <f t="shared" si="99"/>
        <v>573282.44166523602</v>
      </c>
      <c r="Q93" s="35">
        <f t="shared" si="99"/>
        <v>583962.54775441717</v>
      </c>
      <c r="R93" s="35">
        <f t="shared" si="99"/>
        <v>669834.23151001369</v>
      </c>
      <c r="S93" s="35">
        <f t="shared" si="99"/>
        <v>648685.8591555946</v>
      </c>
      <c r="T93" s="35">
        <f t="shared" si="99"/>
        <v>661410.32941093738</v>
      </c>
      <c r="U93" s="35">
        <f t="shared" si="99"/>
        <v>603068.88765817089</v>
      </c>
      <c r="V93" s="35">
        <f t="shared" si="99"/>
        <v>174578.81061376969</v>
      </c>
      <c r="W93" s="35">
        <f t="shared" ref="W93:Y93" si="100">IF(W11=0,0,W11*1000000/W31)</f>
        <v>115455.42316266516</v>
      </c>
      <c r="X93" s="35">
        <f t="shared" si="100"/>
        <v>197180.73332112335</v>
      </c>
      <c r="Y93" s="35">
        <f t="shared" si="100"/>
        <v>203566.84264117701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1236.9021160057182</v>
      </c>
      <c r="C95" s="62">
        <f t="shared" si="101"/>
        <v>1250.5939238019726</v>
      </c>
      <c r="D95" s="62">
        <f t="shared" ref="D95:V95" si="102">IF(D23=0,0,D23/D43)</f>
        <v>1217.9052607056126</v>
      </c>
      <c r="E95" s="62">
        <f t="shared" si="102"/>
        <v>1241.9189500269997</v>
      </c>
      <c r="F95" s="62">
        <f t="shared" si="102"/>
        <v>1254.0897330453904</v>
      </c>
      <c r="G95" s="62">
        <f t="shared" si="102"/>
        <v>1274.872222720473</v>
      </c>
      <c r="H95" s="62">
        <f t="shared" si="102"/>
        <v>1267.7176591308382</v>
      </c>
      <c r="I95" s="62">
        <f t="shared" si="102"/>
        <v>1249.3113963429062</v>
      </c>
      <c r="J95" s="62">
        <f t="shared" si="102"/>
        <v>1217.935991218897</v>
      </c>
      <c r="K95" s="62">
        <f t="shared" si="102"/>
        <v>1136.5010697845225</v>
      </c>
      <c r="L95" s="62">
        <f t="shared" si="102"/>
        <v>1096.6132800838475</v>
      </c>
      <c r="M95" s="62">
        <f t="shared" si="102"/>
        <v>1051.5417186893269</v>
      </c>
      <c r="N95" s="62">
        <f t="shared" si="102"/>
        <v>944.04694027584685</v>
      </c>
      <c r="O95" s="62">
        <f t="shared" si="102"/>
        <v>938.51428729404256</v>
      </c>
      <c r="P95" s="62">
        <f t="shared" si="102"/>
        <v>939.67943110364627</v>
      </c>
      <c r="Q95" s="62">
        <f t="shared" si="102"/>
        <v>981.95530741524806</v>
      </c>
      <c r="R95" s="62">
        <f t="shared" si="102"/>
        <v>1058.4203522342857</v>
      </c>
      <c r="S95" s="62">
        <f t="shared" si="102"/>
        <v>1042.086835615082</v>
      </c>
      <c r="T95" s="62">
        <f t="shared" si="102"/>
        <v>1014.6348325680102</v>
      </c>
      <c r="U95" s="62">
        <f t="shared" si="102"/>
        <v>989.08414739050306</v>
      </c>
      <c r="V95" s="62">
        <f t="shared" si="102"/>
        <v>297.62202118297711</v>
      </c>
      <c r="W95" s="62">
        <f t="shared" ref="W95:Y95" si="103">IF(W23=0,0,W23/W43)</f>
        <v>348.01096655395173</v>
      </c>
      <c r="X95" s="62">
        <f t="shared" si="103"/>
        <v>630.90809792731136</v>
      </c>
      <c r="Y95" s="62">
        <f t="shared" si="103"/>
        <v>785.08489786390646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1260.4788059070631</v>
      </c>
      <c r="C96" s="11">
        <f t="shared" si="104"/>
        <v>1274.1153143806052</v>
      </c>
      <c r="D96" s="11">
        <f t="shared" ref="D96:V96" si="105">IF(D24=0,0,D24/D44)</f>
        <v>1241.4633977180727</v>
      </c>
      <c r="E96" s="11">
        <f t="shared" si="105"/>
        <v>1262.560952400288</v>
      </c>
      <c r="F96" s="11">
        <f t="shared" si="105"/>
        <v>1270.9517242690822</v>
      </c>
      <c r="G96" s="11">
        <f t="shared" si="105"/>
        <v>1289.0859605681317</v>
      </c>
      <c r="H96" s="11">
        <f t="shared" si="105"/>
        <v>1280.5425690282707</v>
      </c>
      <c r="I96" s="11">
        <f t="shared" si="105"/>
        <v>1260.5704659596952</v>
      </c>
      <c r="J96" s="11">
        <f t="shared" si="105"/>
        <v>1229.5742413655732</v>
      </c>
      <c r="K96" s="11">
        <f t="shared" si="105"/>
        <v>1148.3982251678888</v>
      </c>
      <c r="L96" s="11">
        <f t="shared" si="105"/>
        <v>1105.0179694129324</v>
      </c>
      <c r="M96" s="11">
        <f t="shared" si="105"/>
        <v>1064.9689471652525</v>
      </c>
      <c r="N96" s="11">
        <f t="shared" si="105"/>
        <v>957.24067460492563</v>
      </c>
      <c r="O96" s="11">
        <f t="shared" si="105"/>
        <v>950.97744806193577</v>
      </c>
      <c r="P96" s="11">
        <f t="shared" si="105"/>
        <v>951.38744753290564</v>
      </c>
      <c r="Q96" s="11">
        <f t="shared" si="105"/>
        <v>992.59376201474549</v>
      </c>
      <c r="R96" s="11">
        <f t="shared" si="105"/>
        <v>1073.0682183528384</v>
      </c>
      <c r="S96" s="11">
        <f t="shared" si="105"/>
        <v>1055.7453971508255</v>
      </c>
      <c r="T96" s="11">
        <f t="shared" si="105"/>
        <v>1024.1054438390461</v>
      </c>
      <c r="U96" s="11">
        <f t="shared" si="105"/>
        <v>998.89910961140163</v>
      </c>
      <c r="V96" s="11">
        <f t="shared" si="105"/>
        <v>286.63567924642803</v>
      </c>
      <c r="W96" s="11">
        <f t="shared" ref="W96:Y96" si="106">IF(W24=0,0,W24/W44)</f>
        <v>334.31100093124905</v>
      </c>
      <c r="X96" s="11">
        <f t="shared" si="106"/>
        <v>629.91513288641625</v>
      </c>
      <c r="Y96" s="11">
        <f t="shared" si="106"/>
        <v>789.95404687528924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2418</v>
      </c>
      <c r="C97" s="36">
        <f t="shared" si="104"/>
        <v>2418</v>
      </c>
      <c r="D97" s="36">
        <f t="shared" ref="D97:V97" si="107">IF(D25=0,0,D25/D45)</f>
        <v>1876.8951279933942</v>
      </c>
      <c r="E97" s="36">
        <f t="shared" si="107"/>
        <v>2418</v>
      </c>
      <c r="F97" s="36">
        <f t="shared" si="107"/>
        <v>2418</v>
      </c>
      <c r="G97" s="36">
        <f t="shared" si="107"/>
        <v>2443</v>
      </c>
      <c r="H97" s="36">
        <f t="shared" si="107"/>
        <v>2488</v>
      </c>
      <c r="I97" s="36">
        <f t="shared" si="107"/>
        <v>2474</v>
      </c>
      <c r="J97" s="36">
        <f t="shared" si="107"/>
        <v>2476</v>
      </c>
      <c r="K97" s="36">
        <f t="shared" si="107"/>
        <v>2484</v>
      </c>
      <c r="L97" s="36">
        <f t="shared" si="107"/>
        <v>1954.4930707277583</v>
      </c>
      <c r="M97" s="36">
        <f t="shared" si="107"/>
        <v>1263.7912586810728</v>
      </c>
      <c r="N97" s="36">
        <f t="shared" si="107"/>
        <v>1057.4673513427081</v>
      </c>
      <c r="O97" s="36">
        <f t="shared" si="107"/>
        <v>794.80331252729843</v>
      </c>
      <c r="P97" s="36">
        <f t="shared" si="107"/>
        <v>953.79186876906886</v>
      </c>
      <c r="Q97" s="36">
        <f t="shared" si="107"/>
        <v>1064.7960176846302</v>
      </c>
      <c r="R97" s="36">
        <f t="shared" si="107"/>
        <v>1000.6592964407937</v>
      </c>
      <c r="S97" s="36">
        <f t="shared" si="107"/>
        <v>674.33765925362582</v>
      </c>
      <c r="T97" s="36">
        <f t="shared" si="107"/>
        <v>647.44949005205535</v>
      </c>
      <c r="U97" s="36">
        <f t="shared" si="107"/>
        <v>248.61005629720597</v>
      </c>
      <c r="V97" s="36">
        <f t="shared" si="107"/>
        <v>143.90936856996194</v>
      </c>
      <c r="W97" s="36">
        <f t="shared" ref="W97:Y97" si="108">IF(W25=0,0,W25/W45)</f>
        <v>203.77589302890695</v>
      </c>
      <c r="X97" s="36">
        <f t="shared" si="108"/>
        <v>196.27232999033794</v>
      </c>
      <c r="Y97" s="36">
        <f t="shared" si="108"/>
        <v>258.25561435504511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1473.9906321560818</v>
      </c>
      <c r="C98" s="36">
        <f t="shared" si="104"/>
        <v>1474.0005280514893</v>
      </c>
      <c r="D98" s="36">
        <f t="shared" ref="D98:V98" si="109">IF(D26=0,0,D26/D46)</f>
        <v>1474.0016266508112</v>
      </c>
      <c r="E98" s="36">
        <f t="shared" si="109"/>
        <v>1467.6765331315371</v>
      </c>
      <c r="F98" s="36">
        <f t="shared" si="109"/>
        <v>1460.3299905141018</v>
      </c>
      <c r="G98" s="36">
        <f t="shared" si="109"/>
        <v>1462.1903715107283</v>
      </c>
      <c r="H98" s="36">
        <f t="shared" si="109"/>
        <v>1436.756373376011</v>
      </c>
      <c r="I98" s="36">
        <f t="shared" si="109"/>
        <v>1427.8575809518841</v>
      </c>
      <c r="J98" s="36">
        <f t="shared" si="109"/>
        <v>1383.9251517180871</v>
      </c>
      <c r="K98" s="36">
        <f t="shared" si="109"/>
        <v>1265.7532836010159</v>
      </c>
      <c r="L98" s="36">
        <f t="shared" si="109"/>
        <v>1236.4353997684311</v>
      </c>
      <c r="M98" s="36">
        <f t="shared" si="109"/>
        <v>1238.8276270688334</v>
      </c>
      <c r="N98" s="36">
        <f t="shared" si="109"/>
        <v>1085.2819923962682</v>
      </c>
      <c r="O98" s="36">
        <f t="shared" si="109"/>
        <v>1092.3785048342186</v>
      </c>
      <c r="P98" s="36">
        <f t="shared" si="109"/>
        <v>1092.4282052178485</v>
      </c>
      <c r="Q98" s="36">
        <f t="shared" si="109"/>
        <v>1170.8136073476812</v>
      </c>
      <c r="R98" s="36">
        <f t="shared" si="109"/>
        <v>1313.7207186762994</v>
      </c>
      <c r="S98" s="36">
        <f t="shared" si="109"/>
        <v>1341.9154988043435</v>
      </c>
      <c r="T98" s="36">
        <f t="shared" si="109"/>
        <v>1354.3772951557653</v>
      </c>
      <c r="U98" s="36">
        <f t="shared" si="109"/>
        <v>1355.9240306360057</v>
      </c>
      <c r="V98" s="36">
        <f t="shared" si="109"/>
        <v>408.33287911514122</v>
      </c>
      <c r="W98" s="36">
        <f t="shared" ref="W98:Y98" si="110">IF(W26=0,0,W26/W46)</f>
        <v>461.47639573447981</v>
      </c>
      <c r="X98" s="36">
        <f t="shared" si="110"/>
        <v>907.82042016960133</v>
      </c>
      <c r="Y98" s="36">
        <f t="shared" si="110"/>
        <v>1142.1489552846035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613</v>
      </c>
      <c r="C99" s="36">
        <f t="shared" si="104"/>
        <v>613</v>
      </c>
      <c r="D99" s="36">
        <f t="shared" ref="D99:V99" si="111">IF(D27=0,0,D27/D47)</f>
        <v>613</v>
      </c>
      <c r="E99" s="36">
        <f t="shared" si="111"/>
        <v>613</v>
      </c>
      <c r="F99" s="36">
        <f t="shared" si="111"/>
        <v>613</v>
      </c>
      <c r="G99" s="36">
        <f t="shared" si="111"/>
        <v>638</v>
      </c>
      <c r="H99" s="36">
        <f t="shared" si="111"/>
        <v>666</v>
      </c>
      <c r="I99" s="36">
        <f t="shared" si="111"/>
        <v>661</v>
      </c>
      <c r="J99" s="36">
        <f t="shared" si="111"/>
        <v>669</v>
      </c>
      <c r="K99" s="36">
        <f t="shared" si="111"/>
        <v>666</v>
      </c>
      <c r="L99" s="36">
        <f t="shared" si="111"/>
        <v>671</v>
      </c>
      <c r="M99" s="36">
        <f t="shared" si="111"/>
        <v>668</v>
      </c>
      <c r="N99" s="36">
        <f t="shared" si="111"/>
        <v>674</v>
      </c>
      <c r="O99" s="36">
        <f t="shared" si="111"/>
        <v>679</v>
      </c>
      <c r="P99" s="36">
        <f t="shared" si="111"/>
        <v>669</v>
      </c>
      <c r="Q99" s="36">
        <f t="shared" si="111"/>
        <v>628.96580944279606</v>
      </c>
      <c r="R99" s="36">
        <f t="shared" si="111"/>
        <v>617</v>
      </c>
      <c r="S99" s="36">
        <f t="shared" si="111"/>
        <v>614</v>
      </c>
      <c r="T99" s="36">
        <f t="shared" si="111"/>
        <v>591</v>
      </c>
      <c r="U99" s="36">
        <f t="shared" si="111"/>
        <v>583</v>
      </c>
      <c r="V99" s="36">
        <f t="shared" si="111"/>
        <v>138.40399229016063</v>
      </c>
      <c r="W99" s="36">
        <f t="shared" ref="W99:Y99" si="112">IF(W27=0,0,W27/W47)</f>
        <v>179.37798036126264</v>
      </c>
      <c r="X99" s="36">
        <f t="shared" si="112"/>
        <v>303.54807393188219</v>
      </c>
      <c r="Y99" s="36">
        <f t="shared" si="112"/>
        <v>378.48292372932849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799.53128412936621</v>
      </c>
      <c r="C100" s="13">
        <f t="shared" si="104"/>
        <v>789.28040393843446</v>
      </c>
      <c r="D100" s="13">
        <f t="shared" ref="D100:V100" si="113">IF(D28=0,0,D28/D48)</f>
        <v>805.7451746345472</v>
      </c>
      <c r="E100" s="13">
        <f t="shared" si="113"/>
        <v>712.44750150626191</v>
      </c>
      <c r="F100" s="13">
        <f t="shared" si="113"/>
        <v>740.8722696909316</v>
      </c>
      <c r="G100" s="13">
        <f t="shared" si="113"/>
        <v>807.13432230944136</v>
      </c>
      <c r="H100" s="13">
        <f t="shared" si="113"/>
        <v>852.50819349560186</v>
      </c>
      <c r="I100" s="13">
        <f t="shared" si="113"/>
        <v>865.72384006958362</v>
      </c>
      <c r="J100" s="13">
        <f t="shared" si="113"/>
        <v>787.78582049015972</v>
      </c>
      <c r="K100" s="13">
        <f t="shared" si="113"/>
        <v>704.67175157929341</v>
      </c>
      <c r="L100" s="13">
        <f t="shared" si="113"/>
        <v>794.18005515181665</v>
      </c>
      <c r="M100" s="13">
        <f t="shared" si="113"/>
        <v>631.44715902400628</v>
      </c>
      <c r="N100" s="13">
        <f t="shared" si="113"/>
        <v>521.019431412975</v>
      </c>
      <c r="O100" s="13">
        <f t="shared" si="113"/>
        <v>526.43492712915668</v>
      </c>
      <c r="P100" s="13">
        <f t="shared" si="113"/>
        <v>539.34101790532338</v>
      </c>
      <c r="Q100" s="13">
        <f t="shared" si="113"/>
        <v>608.01511777232895</v>
      </c>
      <c r="R100" s="13">
        <f t="shared" si="113"/>
        <v>607.76838887696783</v>
      </c>
      <c r="S100" s="13">
        <f t="shared" si="113"/>
        <v>641.88055567092294</v>
      </c>
      <c r="T100" s="13">
        <f t="shared" si="113"/>
        <v>715.37706882988971</v>
      </c>
      <c r="U100" s="13">
        <f t="shared" si="113"/>
        <v>667.14313960249024</v>
      </c>
      <c r="V100" s="13">
        <f t="shared" si="113"/>
        <v>662.10287357148593</v>
      </c>
      <c r="W100" s="13">
        <f t="shared" ref="W100:Y100" si="114">IF(W28=0,0,W28/W48)</f>
        <v>771.9803034634208</v>
      </c>
      <c r="X100" s="13">
        <f t="shared" si="114"/>
        <v>661.81161157893598</v>
      </c>
      <c r="Y100" s="13">
        <f t="shared" si="114"/>
        <v>632.59878764479447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1551</v>
      </c>
      <c r="C101" s="34">
        <f t="shared" si="104"/>
        <v>1551</v>
      </c>
      <c r="D101" s="34">
        <f t="shared" ref="D101:V101" si="115">IF(D29=0,0,D29/D49)</f>
        <v>1551</v>
      </c>
      <c r="E101" s="34">
        <f t="shared" si="115"/>
        <v>1389.89816700611</v>
      </c>
      <c r="F101" s="34">
        <f t="shared" si="115"/>
        <v>807.081447963801</v>
      </c>
      <c r="G101" s="34">
        <f t="shared" si="115"/>
        <v>1561.0000000000002</v>
      </c>
      <c r="H101" s="34">
        <f t="shared" si="115"/>
        <v>1561</v>
      </c>
      <c r="I101" s="34">
        <f t="shared" si="115"/>
        <v>1538</v>
      </c>
      <c r="J101" s="34">
        <f t="shared" si="115"/>
        <v>1520.9999999999998</v>
      </c>
      <c r="K101" s="34">
        <f t="shared" si="115"/>
        <v>1506</v>
      </c>
      <c r="L101" s="34">
        <f t="shared" si="115"/>
        <v>1153.1486616923808</v>
      </c>
      <c r="M101" s="34">
        <f t="shared" si="115"/>
        <v>1008.5833788309263</v>
      </c>
      <c r="N101" s="34">
        <f t="shared" si="115"/>
        <v>857.69991631472067</v>
      </c>
      <c r="O101" s="34">
        <f t="shared" si="115"/>
        <v>558.6455631362121</v>
      </c>
      <c r="P101" s="34">
        <f t="shared" si="115"/>
        <v>303.78822982953227</v>
      </c>
      <c r="Q101" s="34">
        <f t="shared" si="115"/>
        <v>318.29464601483863</v>
      </c>
      <c r="R101" s="34">
        <f t="shared" si="115"/>
        <v>242.54238971082131</v>
      </c>
      <c r="S101" s="34">
        <f t="shared" si="115"/>
        <v>256.25803864934738</v>
      </c>
      <c r="T101" s="34">
        <f t="shared" si="115"/>
        <v>1385.1606755427595</v>
      </c>
      <c r="U101" s="34">
        <f t="shared" si="115"/>
        <v>1175.913913535964</v>
      </c>
      <c r="V101" s="34">
        <f t="shared" si="115"/>
        <v>1067.1889081676782</v>
      </c>
      <c r="W101" s="34">
        <f t="shared" ref="W101:Y101" si="116">IF(W29=0,0,W29/W49)</f>
        <v>1316.0244901826109</v>
      </c>
      <c r="X101" s="34">
        <f t="shared" si="116"/>
        <v>322.80242601981541</v>
      </c>
      <c r="Y101" s="34">
        <f t="shared" si="116"/>
        <v>8.6103394583882604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1159.4095689535961</v>
      </c>
      <c r="C102" s="34">
        <f t="shared" si="104"/>
        <v>1159.0936925937517</v>
      </c>
      <c r="D102" s="34">
        <f t="shared" ref="D102:V102" si="117">IF(D30=0,0,D30/D50)</f>
        <v>1159.7235889734222</v>
      </c>
      <c r="E102" s="34">
        <f t="shared" si="117"/>
        <v>1134.5622075328563</v>
      </c>
      <c r="F102" s="34">
        <f t="shared" si="117"/>
        <v>1147.6872327284809</v>
      </c>
      <c r="G102" s="34">
        <f t="shared" si="117"/>
        <v>1160.579489135898</v>
      </c>
      <c r="H102" s="34">
        <f t="shared" si="117"/>
        <v>1145.3200798369121</v>
      </c>
      <c r="I102" s="34">
        <f t="shared" si="117"/>
        <v>1105.8943078546345</v>
      </c>
      <c r="J102" s="34">
        <f t="shared" si="117"/>
        <v>962.45373642731954</v>
      </c>
      <c r="K102" s="34">
        <f t="shared" si="117"/>
        <v>839.23530373632912</v>
      </c>
      <c r="L102" s="34">
        <f t="shared" si="117"/>
        <v>1045.5190666104479</v>
      </c>
      <c r="M102" s="34">
        <f t="shared" si="117"/>
        <v>909.60790024649975</v>
      </c>
      <c r="N102" s="34">
        <f t="shared" si="117"/>
        <v>725.46139725707371</v>
      </c>
      <c r="O102" s="34">
        <f t="shared" si="117"/>
        <v>798.60359269682192</v>
      </c>
      <c r="P102" s="34">
        <f t="shared" si="117"/>
        <v>900.69409632923896</v>
      </c>
      <c r="Q102" s="34">
        <f t="shared" si="117"/>
        <v>1039.5017267856588</v>
      </c>
      <c r="R102" s="34">
        <f t="shared" si="117"/>
        <v>1120.7362363595662</v>
      </c>
      <c r="S102" s="34">
        <f t="shared" si="117"/>
        <v>1162.8002689346963</v>
      </c>
      <c r="T102" s="34">
        <f t="shared" si="117"/>
        <v>1164.9259585166085</v>
      </c>
      <c r="U102" s="34">
        <f t="shared" si="117"/>
        <v>1050.1435215968261</v>
      </c>
      <c r="V102" s="34">
        <f t="shared" si="117"/>
        <v>1057.24131038309</v>
      </c>
      <c r="W102" s="34">
        <f t="shared" ref="W102:Y102" si="118">IF(W30=0,0,W30/W50)</f>
        <v>1177.7313018092711</v>
      </c>
      <c r="X102" s="34">
        <f t="shared" si="118"/>
        <v>1173.6457848041389</v>
      </c>
      <c r="Y102" s="34">
        <f t="shared" si="118"/>
        <v>1163.4543681675484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279</v>
      </c>
      <c r="C103" s="35">
        <f t="shared" si="104"/>
        <v>279</v>
      </c>
      <c r="D103" s="35">
        <f t="shared" ref="D103:V103" si="119">IF(D31=0,0,D31/D51)</f>
        <v>279</v>
      </c>
      <c r="E103" s="35">
        <f t="shared" si="119"/>
        <v>279</v>
      </c>
      <c r="F103" s="35">
        <f t="shared" si="119"/>
        <v>237.60645450470639</v>
      </c>
      <c r="G103" s="35">
        <f t="shared" si="119"/>
        <v>269.39770554493305</v>
      </c>
      <c r="H103" s="35">
        <f t="shared" si="119"/>
        <v>264.28571428571428</v>
      </c>
      <c r="I103" s="35">
        <f t="shared" si="119"/>
        <v>278.3847850055127</v>
      </c>
      <c r="J103" s="35">
        <f t="shared" si="119"/>
        <v>324</v>
      </c>
      <c r="K103" s="35">
        <f t="shared" si="119"/>
        <v>337</v>
      </c>
      <c r="L103" s="35">
        <f t="shared" si="119"/>
        <v>353</v>
      </c>
      <c r="M103" s="35">
        <f t="shared" si="119"/>
        <v>325</v>
      </c>
      <c r="N103" s="35">
        <f t="shared" si="119"/>
        <v>290.40661066225817</v>
      </c>
      <c r="O103" s="35">
        <f t="shared" si="119"/>
        <v>281.00839468046934</v>
      </c>
      <c r="P103" s="35">
        <f t="shared" si="119"/>
        <v>260.26982520541367</v>
      </c>
      <c r="Q103" s="35">
        <f t="shared" si="119"/>
        <v>288</v>
      </c>
      <c r="R103" s="35">
        <f t="shared" si="119"/>
        <v>280</v>
      </c>
      <c r="S103" s="35">
        <f t="shared" si="119"/>
        <v>277</v>
      </c>
      <c r="T103" s="35">
        <f t="shared" si="119"/>
        <v>243.85052444117065</v>
      </c>
      <c r="U103" s="35">
        <f t="shared" si="119"/>
        <v>299</v>
      </c>
      <c r="V103" s="35">
        <f t="shared" si="119"/>
        <v>298.51553377161986</v>
      </c>
      <c r="W103" s="35">
        <f t="shared" ref="W103:Y103" si="120">IF(W31=0,0,W31/W51)</f>
        <v>323.14272525471858</v>
      </c>
      <c r="X103" s="35">
        <f t="shared" si="120"/>
        <v>204.74711871346281</v>
      </c>
      <c r="Y103" s="35">
        <f t="shared" si="120"/>
        <v>187.92788449624797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5.897830940670157E-3</v>
      </c>
      <c r="C107" s="43">
        <f t="shared" si="124"/>
        <v>7.5476830216126296E-3</v>
      </c>
      <c r="D107" s="43">
        <f t="shared" ref="D107:V107" si="125">IF(D5=0,0,D5/D$4)</f>
        <v>5.2856192053144938E-3</v>
      </c>
      <c r="E107" s="43">
        <f t="shared" si="125"/>
        <v>4.8950469386325425E-3</v>
      </c>
      <c r="F107" s="43">
        <f t="shared" si="125"/>
        <v>4.0526524561728594E-3</v>
      </c>
      <c r="G107" s="43">
        <f t="shared" si="125"/>
        <v>5.6175341756629082E-3</v>
      </c>
      <c r="H107" s="43">
        <f t="shared" si="125"/>
        <v>6.0676854272714333E-3</v>
      </c>
      <c r="I107" s="43">
        <f t="shared" si="125"/>
        <v>5.9099629116871376E-3</v>
      </c>
      <c r="J107" s="43">
        <f t="shared" si="125"/>
        <v>6.5925165196335095E-3</v>
      </c>
      <c r="K107" s="43">
        <f t="shared" si="125"/>
        <v>6.4317858385789144E-3</v>
      </c>
      <c r="L107" s="43">
        <f t="shared" si="125"/>
        <v>5.3042890104526867E-3</v>
      </c>
      <c r="M107" s="43">
        <f t="shared" si="125"/>
        <v>3.4071832448015578E-3</v>
      </c>
      <c r="N107" s="43">
        <f t="shared" si="125"/>
        <v>3.561966003149849E-3</v>
      </c>
      <c r="O107" s="43">
        <f t="shared" si="125"/>
        <v>2.5181623145276925E-3</v>
      </c>
      <c r="P107" s="43">
        <f t="shared" si="125"/>
        <v>2.6779088580578653E-3</v>
      </c>
      <c r="Q107" s="43">
        <f t="shared" si="125"/>
        <v>2.4986899649665851E-3</v>
      </c>
      <c r="R107" s="43">
        <f t="shared" si="125"/>
        <v>1.8009552464505626E-3</v>
      </c>
      <c r="S107" s="43">
        <f t="shared" si="125"/>
        <v>1.1091061423944371E-3</v>
      </c>
      <c r="T107" s="43">
        <f t="shared" si="125"/>
        <v>1.0727727497750065E-3</v>
      </c>
      <c r="U107" s="43">
        <f t="shared" si="125"/>
        <v>4.4680706569627792E-4</v>
      </c>
      <c r="V107" s="43">
        <f t="shared" si="125"/>
        <v>4.7053918904400133E-4</v>
      </c>
      <c r="W107" s="43">
        <f t="shared" ref="W107:Y107" si="126">IF(W5=0,0,W5/W$4)</f>
        <v>1.2069669286781789E-3</v>
      </c>
      <c r="X107" s="43">
        <f t="shared" si="126"/>
        <v>6.1426876071821212E-4</v>
      </c>
      <c r="Y107" s="43">
        <f t="shared" si="126"/>
        <v>4.8257848229320429E-4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0.58559733233180389</v>
      </c>
      <c r="C108" s="43">
        <f t="shared" si="127"/>
        <v>0.58593459517651192</v>
      </c>
      <c r="D108" s="43">
        <f t="shared" ref="D108:V108" si="128">IF(D6=0,0,D6/D$4)</f>
        <v>0.58626330178031349</v>
      </c>
      <c r="E108" s="43">
        <f t="shared" si="128"/>
        <v>0.60907858133908432</v>
      </c>
      <c r="F108" s="43">
        <f t="shared" si="128"/>
        <v>0.60745716981188291</v>
      </c>
      <c r="G108" s="43">
        <f t="shared" si="128"/>
        <v>0.62583328185131659</v>
      </c>
      <c r="H108" s="43">
        <f t="shared" si="128"/>
        <v>0.62009545354486761</v>
      </c>
      <c r="I108" s="43">
        <f t="shared" si="128"/>
        <v>0.59854175633800744</v>
      </c>
      <c r="J108" s="43">
        <f t="shared" si="128"/>
        <v>0.58161173855552206</v>
      </c>
      <c r="K108" s="43">
        <f t="shared" si="128"/>
        <v>0.55660803295886385</v>
      </c>
      <c r="L108" s="43">
        <f t="shared" si="128"/>
        <v>0.5281321106312058</v>
      </c>
      <c r="M108" s="43">
        <f t="shared" si="128"/>
        <v>0.51796335159370244</v>
      </c>
      <c r="N108" s="43">
        <f t="shared" si="128"/>
        <v>0.50603093914207931</v>
      </c>
      <c r="O108" s="43">
        <f t="shared" si="128"/>
        <v>0.49044970396676701</v>
      </c>
      <c r="P108" s="43">
        <f t="shared" si="128"/>
        <v>0.48844477397557723</v>
      </c>
      <c r="Q108" s="43">
        <f t="shared" si="128"/>
        <v>0.49962183501305368</v>
      </c>
      <c r="R108" s="43">
        <f t="shared" si="128"/>
        <v>0.50158281299508489</v>
      </c>
      <c r="S108" s="43">
        <f t="shared" si="128"/>
        <v>0.48869545381216362</v>
      </c>
      <c r="T108" s="43">
        <f t="shared" si="128"/>
        <v>0.46867422107350754</v>
      </c>
      <c r="U108" s="43">
        <f t="shared" si="128"/>
        <v>0.45157597413812395</v>
      </c>
      <c r="V108" s="43">
        <f t="shared" si="128"/>
        <v>0.52988300010247413</v>
      </c>
      <c r="W108" s="43">
        <f t="shared" ref="W108:Y108" si="129">IF(W6=0,0,W6/W$4)</f>
        <v>0.53189615212695418</v>
      </c>
      <c r="X108" s="43">
        <f t="shared" si="129"/>
        <v>0.52608064056723902</v>
      </c>
      <c r="Y108" s="43">
        <f t="shared" si="129"/>
        <v>0.51188982146932172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0.40850483672752591</v>
      </c>
      <c r="C109" s="43">
        <f t="shared" si="130"/>
        <v>0.4065177218018754</v>
      </c>
      <c r="D109" s="43">
        <f t="shared" ref="D109:V109" si="131">IF(D7=0,0,D7/D$4)</f>
        <v>0.40845107901437205</v>
      </c>
      <c r="E109" s="43">
        <f t="shared" si="131"/>
        <v>0.38602637172228321</v>
      </c>
      <c r="F109" s="43">
        <f t="shared" si="131"/>
        <v>0.38849017773194428</v>
      </c>
      <c r="G109" s="43">
        <f t="shared" si="131"/>
        <v>0.36854918397302056</v>
      </c>
      <c r="H109" s="43">
        <f t="shared" si="131"/>
        <v>0.37383686102786096</v>
      </c>
      <c r="I109" s="43">
        <f t="shared" si="131"/>
        <v>0.39554828075030546</v>
      </c>
      <c r="J109" s="43">
        <f t="shared" si="131"/>
        <v>0.41179574492484444</v>
      </c>
      <c r="K109" s="43">
        <f t="shared" si="131"/>
        <v>0.43696018120255725</v>
      </c>
      <c r="L109" s="43">
        <f t="shared" si="131"/>
        <v>0.46656360035834149</v>
      </c>
      <c r="M109" s="43">
        <f t="shared" si="131"/>
        <v>0.47862946516149601</v>
      </c>
      <c r="N109" s="43">
        <f t="shared" si="131"/>
        <v>0.4904070948547708</v>
      </c>
      <c r="O109" s="43">
        <f t="shared" si="131"/>
        <v>0.50703213371870515</v>
      </c>
      <c r="P109" s="43">
        <f t="shared" si="131"/>
        <v>0.50887731716636486</v>
      </c>
      <c r="Q109" s="43">
        <f t="shared" si="131"/>
        <v>0.4978794750219796</v>
      </c>
      <c r="R109" s="43">
        <f t="shared" si="131"/>
        <v>0.49661623175846453</v>
      </c>
      <c r="S109" s="43">
        <f t="shared" si="131"/>
        <v>0.51019544004544193</v>
      </c>
      <c r="T109" s="43">
        <f t="shared" si="131"/>
        <v>0.53025300617671745</v>
      </c>
      <c r="U109" s="43">
        <f t="shared" si="131"/>
        <v>0.54797721879617978</v>
      </c>
      <c r="V109" s="43">
        <f t="shared" si="131"/>
        <v>0.46964646070848193</v>
      </c>
      <c r="W109" s="43">
        <f t="shared" ref="W109:Y109" si="132">IF(W7=0,0,W7/W$4)</f>
        <v>0.46689688094436754</v>
      </c>
      <c r="X109" s="43">
        <f t="shared" si="132"/>
        <v>0.47330509067204291</v>
      </c>
      <c r="Y109" s="43">
        <f t="shared" si="132"/>
        <v>0.48762760004838518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9.4937817624672074E-4</v>
      </c>
      <c r="C111" s="44">
        <f t="shared" si="136"/>
        <v>8.813505129997805E-4</v>
      </c>
      <c r="D111" s="44">
        <f t="shared" ref="D111:V111" si="137">IF(D9=0,0,D9/D$8)</f>
        <v>9.8763434635019205E-4</v>
      </c>
      <c r="E111" s="44">
        <f t="shared" si="137"/>
        <v>6.2337193197967188E-4</v>
      </c>
      <c r="F111" s="44">
        <f t="shared" si="137"/>
        <v>3.7267881750224253E-4</v>
      </c>
      <c r="G111" s="44">
        <f t="shared" si="137"/>
        <v>8.596451317188752E-4</v>
      </c>
      <c r="H111" s="44">
        <f t="shared" si="137"/>
        <v>2.1807067891138183E-3</v>
      </c>
      <c r="I111" s="44">
        <f t="shared" si="137"/>
        <v>3.8990680364813686E-3</v>
      </c>
      <c r="J111" s="44">
        <f t="shared" si="137"/>
        <v>4.486308512929308E-3</v>
      </c>
      <c r="K111" s="44">
        <f t="shared" si="137"/>
        <v>4.6171001711614373E-3</v>
      </c>
      <c r="L111" s="44">
        <f t="shared" si="137"/>
        <v>3.8358103007369395E-3</v>
      </c>
      <c r="M111" s="44">
        <f t="shared" si="137"/>
        <v>2.4565162921446784E-3</v>
      </c>
      <c r="N111" s="44">
        <f t="shared" si="137"/>
        <v>2.0572094387762111E-3</v>
      </c>
      <c r="O111" s="44">
        <f t="shared" si="137"/>
        <v>1.3510905331105244E-3</v>
      </c>
      <c r="P111" s="44">
        <f t="shared" si="137"/>
        <v>8.0086911072117773E-4</v>
      </c>
      <c r="Q111" s="44">
        <f t="shared" si="137"/>
        <v>7.5647600528830773E-4</v>
      </c>
      <c r="R111" s="44">
        <f t="shared" si="137"/>
        <v>5.1968193081142753E-4</v>
      </c>
      <c r="S111" s="44">
        <f t="shared" si="137"/>
        <v>4.9382625325307449E-4</v>
      </c>
      <c r="T111" s="44">
        <f t="shared" si="137"/>
        <v>2.8614828484589336E-3</v>
      </c>
      <c r="U111" s="44">
        <f t="shared" si="137"/>
        <v>2.1538095220156243E-3</v>
      </c>
      <c r="V111" s="44">
        <f t="shared" si="137"/>
        <v>5.0747332490324098E-3</v>
      </c>
      <c r="W111" s="44">
        <f t="shared" ref="W111:Y111" si="138">IF(W9=0,0,W9/W$8)</f>
        <v>8.3766156075010551E-3</v>
      </c>
      <c r="X111" s="44">
        <f t="shared" si="138"/>
        <v>1.9788558700655941E-3</v>
      </c>
      <c r="Y111" s="44">
        <f t="shared" si="138"/>
        <v>5.0396067779238314E-5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0.16955290616579374</v>
      </c>
      <c r="C112" s="44">
        <f t="shared" si="139"/>
        <v>0.16355083643532448</v>
      </c>
      <c r="D112" s="44">
        <f t="shared" ref="D112:V112" si="140">IF(D10=0,0,D10/D$8)</f>
        <v>0.17428146818479265</v>
      </c>
      <c r="E112" s="44">
        <f t="shared" si="140"/>
        <v>0.14284152753223461</v>
      </c>
      <c r="F112" s="44">
        <f t="shared" si="140"/>
        <v>0.19015496738487944</v>
      </c>
      <c r="G112" s="44">
        <f t="shared" si="140"/>
        <v>0.2009161467700139</v>
      </c>
      <c r="H112" s="44">
        <f t="shared" si="140"/>
        <v>0.22534333026395809</v>
      </c>
      <c r="I112" s="44">
        <f t="shared" si="140"/>
        <v>0.23611709649652204</v>
      </c>
      <c r="J112" s="44">
        <f t="shared" si="140"/>
        <v>0.18693982566068312</v>
      </c>
      <c r="K112" s="44">
        <f t="shared" si="140"/>
        <v>0.1324402863786327</v>
      </c>
      <c r="L112" s="44">
        <f t="shared" si="140"/>
        <v>0.15510486264042295</v>
      </c>
      <c r="M112" s="44">
        <f t="shared" si="140"/>
        <v>8.8595417629938791E-2</v>
      </c>
      <c r="N112" s="44">
        <f t="shared" si="140"/>
        <v>7.2952445281367836E-2</v>
      </c>
      <c r="O112" s="44">
        <f t="shared" si="140"/>
        <v>7.4874120903899957E-2</v>
      </c>
      <c r="P112" s="44">
        <f t="shared" si="140"/>
        <v>8.6129155718920727E-2</v>
      </c>
      <c r="Q112" s="44">
        <f t="shared" si="140"/>
        <v>8.4912170661230815E-2</v>
      </c>
      <c r="R112" s="44">
        <f t="shared" si="140"/>
        <v>7.5916429526844798E-2</v>
      </c>
      <c r="S112" s="44">
        <f t="shared" si="140"/>
        <v>8.2855353696045686E-2</v>
      </c>
      <c r="T112" s="44">
        <f t="shared" si="140"/>
        <v>0.10770674498113557</v>
      </c>
      <c r="U112" s="44">
        <f t="shared" si="140"/>
        <v>8.2087239221617522E-2</v>
      </c>
      <c r="V112" s="44">
        <f t="shared" si="140"/>
        <v>0.21335087201097161</v>
      </c>
      <c r="W112" s="44">
        <f t="shared" ref="W112:Y112" si="141">IF(W10=0,0,W10/W$8)</f>
        <v>0.31629851971477596</v>
      </c>
      <c r="X112" s="44">
        <f t="shared" si="141"/>
        <v>0.31205886939930594</v>
      </c>
      <c r="Y112" s="44">
        <f t="shared" si="141"/>
        <v>0.3228130732500647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0.8294977156579596</v>
      </c>
      <c r="C113" s="45">
        <f t="shared" si="142"/>
        <v>0.83556781305167582</v>
      </c>
      <c r="D113" s="45">
        <f t="shared" ref="D113:V113" si="143">IF(D11=0,0,D11/D$8)</f>
        <v>0.82473089746885708</v>
      </c>
      <c r="E113" s="45">
        <f t="shared" si="143"/>
        <v>0.85653510053578563</v>
      </c>
      <c r="F113" s="45">
        <f t="shared" si="143"/>
        <v>0.80947235379761828</v>
      </c>
      <c r="G113" s="45">
        <f t="shared" si="143"/>
        <v>0.79822420809826722</v>
      </c>
      <c r="H113" s="45">
        <f t="shared" si="143"/>
        <v>0.772475962946928</v>
      </c>
      <c r="I113" s="45">
        <f t="shared" si="143"/>
        <v>0.75998383546699655</v>
      </c>
      <c r="J113" s="45">
        <f t="shared" si="143"/>
        <v>0.80857386582638757</v>
      </c>
      <c r="K113" s="45">
        <f t="shared" si="143"/>
        <v>0.86294261345020584</v>
      </c>
      <c r="L113" s="45">
        <f t="shared" si="143"/>
        <v>0.84105932705884012</v>
      </c>
      <c r="M113" s="45">
        <f t="shared" si="143"/>
        <v>0.90894806607791656</v>
      </c>
      <c r="N113" s="45">
        <f t="shared" si="143"/>
        <v>0.92499034527985591</v>
      </c>
      <c r="O113" s="45">
        <f t="shared" si="143"/>
        <v>0.92377478856298967</v>
      </c>
      <c r="P113" s="45">
        <f t="shared" si="143"/>
        <v>0.91306997517035815</v>
      </c>
      <c r="Q113" s="45">
        <f t="shared" si="143"/>
        <v>0.91433135333348092</v>
      </c>
      <c r="R113" s="45">
        <f t="shared" si="143"/>
        <v>0.92356388854234372</v>
      </c>
      <c r="S113" s="45">
        <f t="shared" si="143"/>
        <v>0.9166508200507012</v>
      </c>
      <c r="T113" s="45">
        <f t="shared" si="143"/>
        <v>0.88943177217040548</v>
      </c>
      <c r="U113" s="45">
        <f t="shared" si="143"/>
        <v>0.91575895125636686</v>
      </c>
      <c r="V113" s="45">
        <f t="shared" si="143"/>
        <v>0.7815743947399959</v>
      </c>
      <c r="W113" s="45">
        <f t="shared" ref="W113:Y113" si="144">IF(W11=0,0,W11/W$8)</f>
        <v>0.67532486467772301</v>
      </c>
      <c r="X113" s="45">
        <f t="shared" si="144"/>
        <v>0.68596227473062854</v>
      </c>
      <c r="Y113" s="45">
        <f t="shared" si="144"/>
        <v>0.67713653068215607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2.3361448941919289E-2</v>
      </c>
      <c r="C117" s="43">
        <f t="shared" si="148"/>
        <v>2.9753535542864976E-2</v>
      </c>
      <c r="D117" s="43">
        <f t="shared" ref="D117:V117" si="149">IF(D15=0,0,D15/D$14)</f>
        <v>2.081387400533297E-2</v>
      </c>
      <c r="E117" s="43">
        <f t="shared" si="149"/>
        <v>1.8696100786462073E-2</v>
      </c>
      <c r="F117" s="43">
        <f t="shared" si="149"/>
        <v>1.8866342221304368E-2</v>
      </c>
      <c r="G117" s="43">
        <f t="shared" si="149"/>
        <v>1.7359270575428812E-2</v>
      </c>
      <c r="H117" s="43">
        <f t="shared" si="149"/>
        <v>1.7757024168901552E-2</v>
      </c>
      <c r="I117" s="43">
        <f t="shared" si="149"/>
        <v>1.6111161737933637E-2</v>
      </c>
      <c r="J117" s="43">
        <f t="shared" si="149"/>
        <v>1.8215429387915597E-2</v>
      </c>
      <c r="K117" s="43">
        <f t="shared" si="149"/>
        <v>2.3429694429592376E-2</v>
      </c>
      <c r="L117" s="43">
        <f t="shared" si="149"/>
        <v>1.8333521959079776E-2</v>
      </c>
      <c r="M117" s="43">
        <f t="shared" si="149"/>
        <v>1.141288328309918E-2</v>
      </c>
      <c r="N117" s="43">
        <f t="shared" si="149"/>
        <v>9.8922056219553026E-3</v>
      </c>
      <c r="O117" s="43">
        <f t="shared" si="149"/>
        <v>7.121410849250439E-3</v>
      </c>
      <c r="P117" s="43">
        <f t="shared" si="149"/>
        <v>8.68791478569844E-3</v>
      </c>
      <c r="Q117" s="43">
        <f t="shared" si="149"/>
        <v>9.009153027502376E-3</v>
      </c>
      <c r="R117" s="43">
        <f t="shared" si="149"/>
        <v>8.0703960356856078E-3</v>
      </c>
      <c r="S117" s="43">
        <f t="shared" si="149"/>
        <v>4.9923824956035747E-3</v>
      </c>
      <c r="T117" s="43">
        <f t="shared" si="149"/>
        <v>3.907297594425368E-3</v>
      </c>
      <c r="U117" s="43">
        <f t="shared" si="149"/>
        <v>1.1885307828828108E-3</v>
      </c>
      <c r="V117" s="43">
        <f t="shared" si="149"/>
        <v>3.0628202546080551E-3</v>
      </c>
      <c r="W117" s="43">
        <f t="shared" ref="W117:Y117" si="150">IF(W15=0,0,W15/W$14)</f>
        <v>3.7968696872267738E-3</v>
      </c>
      <c r="X117" s="43">
        <f t="shared" si="150"/>
        <v>1.6846904876169279E-3</v>
      </c>
      <c r="Y117" s="43">
        <f t="shared" si="150"/>
        <v>1.5052174938341863E-3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0.63849968771587529</v>
      </c>
      <c r="C118" s="43">
        <f t="shared" si="151"/>
        <v>0.63429495346785925</v>
      </c>
      <c r="D118" s="43">
        <f t="shared" ref="D118:V118" si="152">IF(D16=0,0,D16/D$14)</f>
        <v>0.64013594811145713</v>
      </c>
      <c r="E118" s="43">
        <f t="shared" si="152"/>
        <v>0.66355661656156062</v>
      </c>
      <c r="F118" s="43">
        <f t="shared" si="152"/>
        <v>0.681581420665757</v>
      </c>
      <c r="G118" s="43">
        <f t="shared" si="152"/>
        <v>0.70047277152540643</v>
      </c>
      <c r="H118" s="43">
        <f t="shared" si="152"/>
        <v>0.69568902418965084</v>
      </c>
      <c r="I118" s="43">
        <f t="shared" si="152"/>
        <v>0.68550885431182662</v>
      </c>
      <c r="J118" s="43">
        <f t="shared" si="152"/>
        <v>0.67119179620132963</v>
      </c>
      <c r="K118" s="43">
        <f t="shared" si="152"/>
        <v>0.62859490720968847</v>
      </c>
      <c r="L118" s="43">
        <f t="shared" si="152"/>
        <v>0.61943954410916768</v>
      </c>
      <c r="M118" s="43">
        <f t="shared" si="152"/>
        <v>0.59808609359033948</v>
      </c>
      <c r="N118" s="43">
        <f t="shared" si="152"/>
        <v>0.56690625524099159</v>
      </c>
      <c r="O118" s="43">
        <f t="shared" si="152"/>
        <v>0.5656641382741554</v>
      </c>
      <c r="P118" s="43">
        <f t="shared" si="152"/>
        <v>0.56246296214810909</v>
      </c>
      <c r="Q118" s="43">
        <f t="shared" si="152"/>
        <v>0.58255786693278111</v>
      </c>
      <c r="R118" s="43">
        <f t="shared" si="152"/>
        <v>0.59464456855963399</v>
      </c>
      <c r="S118" s="43">
        <f t="shared" si="152"/>
        <v>0.57127423059826721</v>
      </c>
      <c r="T118" s="43">
        <f t="shared" si="152"/>
        <v>0.53726547630934485</v>
      </c>
      <c r="U118" s="43">
        <f t="shared" si="152"/>
        <v>0.52198151686420424</v>
      </c>
      <c r="V118" s="43">
        <f t="shared" si="152"/>
        <v>0.58986635583227587</v>
      </c>
      <c r="W118" s="43">
        <f t="shared" ref="W118:Y118" si="153">IF(W16=0,0,W16/W$14)</f>
        <v>0.5691543008130252</v>
      </c>
      <c r="X118" s="43">
        <f t="shared" si="153"/>
        <v>0.58639849451030357</v>
      </c>
      <c r="Y118" s="43">
        <f t="shared" si="153"/>
        <v>0.58352433064859555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0.3381388633422055</v>
      </c>
      <c r="C119" s="43">
        <f t="shared" si="154"/>
        <v>0.33595151098927573</v>
      </c>
      <c r="D119" s="43">
        <f t="shared" ref="D119:V119" si="155">IF(D17=0,0,D17/D$14)</f>
        <v>0.3390501778832099</v>
      </c>
      <c r="E119" s="43">
        <f t="shared" si="155"/>
        <v>0.31774728265197733</v>
      </c>
      <c r="F119" s="43">
        <f t="shared" si="155"/>
        <v>0.29955223711293866</v>
      </c>
      <c r="G119" s="43">
        <f t="shared" si="155"/>
        <v>0.28216795789916466</v>
      </c>
      <c r="H119" s="43">
        <f t="shared" si="155"/>
        <v>0.2865539516414477</v>
      </c>
      <c r="I119" s="43">
        <f t="shared" si="155"/>
        <v>0.29837998395023985</v>
      </c>
      <c r="J119" s="43">
        <f t="shared" si="155"/>
        <v>0.31059277441075472</v>
      </c>
      <c r="K119" s="43">
        <f t="shared" si="155"/>
        <v>0.34797539836071917</v>
      </c>
      <c r="L119" s="43">
        <f t="shared" si="155"/>
        <v>0.36222693393175254</v>
      </c>
      <c r="M119" s="43">
        <f t="shared" si="155"/>
        <v>0.39050102312656132</v>
      </c>
      <c r="N119" s="43">
        <f t="shared" si="155"/>
        <v>0.42320153913705316</v>
      </c>
      <c r="O119" s="43">
        <f t="shared" si="155"/>
        <v>0.42721445087659399</v>
      </c>
      <c r="P119" s="43">
        <f t="shared" si="155"/>
        <v>0.42884912306619255</v>
      </c>
      <c r="Q119" s="43">
        <f t="shared" si="155"/>
        <v>0.40843298003971651</v>
      </c>
      <c r="R119" s="43">
        <f t="shared" si="155"/>
        <v>0.39728503540468035</v>
      </c>
      <c r="S119" s="43">
        <f t="shared" si="155"/>
        <v>0.42373338690612922</v>
      </c>
      <c r="T119" s="43">
        <f t="shared" si="155"/>
        <v>0.45882722609622989</v>
      </c>
      <c r="U119" s="43">
        <f t="shared" si="155"/>
        <v>0.47682995235291287</v>
      </c>
      <c r="V119" s="43">
        <f t="shared" si="155"/>
        <v>0.40707082391311605</v>
      </c>
      <c r="W119" s="43">
        <f t="shared" ref="W119:Y119" si="156">IF(W17=0,0,W17/W$14)</f>
        <v>0.42704882949974798</v>
      </c>
      <c r="X119" s="43">
        <f t="shared" si="156"/>
        <v>0.41191681500207938</v>
      </c>
      <c r="Y119" s="43">
        <f t="shared" si="156"/>
        <v>0.4149704518575702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5.5783988982695716E-3</v>
      </c>
      <c r="C121" s="44">
        <f t="shared" si="160"/>
        <v>5.5288331769495968E-3</v>
      </c>
      <c r="D121" s="44">
        <f t="shared" ref="D121:V121" si="161">IF(D19=0,0,D19/D$18)</f>
        <v>5.5958417419419981E-3</v>
      </c>
      <c r="E121" s="44">
        <f t="shared" si="161"/>
        <v>3.2745403235900769E-3</v>
      </c>
      <c r="F121" s="44">
        <f t="shared" si="161"/>
        <v>1.8382702600893738E-3</v>
      </c>
      <c r="G121" s="44">
        <f t="shared" si="161"/>
        <v>4.0952901853867759E-3</v>
      </c>
      <c r="H121" s="44">
        <f t="shared" si="161"/>
        <v>9.6323598868081183E-3</v>
      </c>
      <c r="I121" s="44">
        <f t="shared" si="161"/>
        <v>1.6712758596959663E-2</v>
      </c>
      <c r="J121" s="44">
        <f t="shared" si="161"/>
        <v>2.1103004677852904E-2</v>
      </c>
      <c r="K121" s="44">
        <f t="shared" si="161"/>
        <v>2.5468255113518263E-2</v>
      </c>
      <c r="L121" s="44">
        <f t="shared" si="161"/>
        <v>1.9430702296622072E-2</v>
      </c>
      <c r="M121" s="44">
        <f t="shared" si="161"/>
        <v>1.3235448926948607E-2</v>
      </c>
      <c r="N121" s="44">
        <f t="shared" si="161"/>
        <v>1.1891018500597416E-2</v>
      </c>
      <c r="O121" s="44">
        <f t="shared" si="161"/>
        <v>7.7261254207561187E-3</v>
      </c>
      <c r="P121" s="44">
        <f t="shared" si="161"/>
        <v>4.6457528657223345E-3</v>
      </c>
      <c r="Q121" s="44">
        <f t="shared" si="161"/>
        <v>4.2415953177160955E-3</v>
      </c>
      <c r="R121" s="44">
        <f t="shared" si="161"/>
        <v>2.844148415984829E-3</v>
      </c>
      <c r="S121" s="44">
        <f t="shared" si="161"/>
        <v>2.7501154044111049E-3</v>
      </c>
      <c r="T121" s="44">
        <f t="shared" si="161"/>
        <v>1.468259450903203E-2</v>
      </c>
      <c r="U121" s="44">
        <f t="shared" si="161"/>
        <v>1.2128545599140797E-2</v>
      </c>
      <c r="V121" s="44">
        <f t="shared" si="161"/>
        <v>1.898636180081003E-2</v>
      </c>
      <c r="W121" s="44">
        <f t="shared" ref="W121:Y121" si="162">IF(W19=0,0,W19/W$18)</f>
        <v>2.4008123983861523E-2</v>
      </c>
      <c r="X121" s="44">
        <f t="shared" si="162"/>
        <v>6.1684618517046279E-3</v>
      </c>
      <c r="Y121" s="44">
        <f t="shared" si="162"/>
        <v>1.6433532179084266E-4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0.38917379613653236</v>
      </c>
      <c r="C122" s="44">
        <f t="shared" si="163"/>
        <v>0.37807329345618057</v>
      </c>
      <c r="D122" s="44">
        <f t="shared" ref="D122:V122" si="164">IF(D20=0,0,D20/D$18)</f>
        <v>0.39591877596551189</v>
      </c>
      <c r="E122" s="44">
        <f t="shared" si="164"/>
        <v>0.32211829584220897</v>
      </c>
      <c r="F122" s="44">
        <f t="shared" si="164"/>
        <v>0.41734373577605133</v>
      </c>
      <c r="G122" s="44">
        <f t="shared" si="164"/>
        <v>0.42026569193349239</v>
      </c>
      <c r="H122" s="44">
        <f t="shared" si="164"/>
        <v>0.47642967294810928</v>
      </c>
      <c r="I122" s="44">
        <f t="shared" si="164"/>
        <v>0.48615436725976025</v>
      </c>
      <c r="J122" s="44">
        <f t="shared" si="164"/>
        <v>0.4089793450126073</v>
      </c>
      <c r="K122" s="44">
        <f t="shared" si="164"/>
        <v>0.33663341177223571</v>
      </c>
      <c r="L122" s="44">
        <f t="shared" si="164"/>
        <v>0.37986718516070267</v>
      </c>
      <c r="M122" s="44">
        <f t="shared" si="164"/>
        <v>0.24604543129689066</v>
      </c>
      <c r="N122" s="44">
        <f t="shared" si="164"/>
        <v>0.20338928185336894</v>
      </c>
      <c r="O122" s="44">
        <f t="shared" si="164"/>
        <v>0.21757568613342421</v>
      </c>
      <c r="P122" s="44">
        <f t="shared" si="164"/>
        <v>0.24801582827658852</v>
      </c>
      <c r="Q122" s="44">
        <f t="shared" si="164"/>
        <v>0.24374930122135033</v>
      </c>
      <c r="R122" s="44">
        <f t="shared" si="164"/>
        <v>0.22526405198302313</v>
      </c>
      <c r="S122" s="44">
        <f t="shared" si="164"/>
        <v>0.24663500533283894</v>
      </c>
      <c r="T122" s="44">
        <f t="shared" si="164"/>
        <v>0.29791504175179434</v>
      </c>
      <c r="U122" s="44">
        <f t="shared" si="164"/>
        <v>0.24104559058793434</v>
      </c>
      <c r="V122" s="44">
        <f t="shared" si="164"/>
        <v>0.41720121935663668</v>
      </c>
      <c r="W122" s="44">
        <f t="shared" ref="W122:Y122" si="165">IF(W20=0,0,W20/W$18)</f>
        <v>0.53927629945933653</v>
      </c>
      <c r="X122" s="44">
        <f t="shared" si="165"/>
        <v>0.58353034731492082</v>
      </c>
      <c r="Y122" s="44">
        <f t="shared" si="165"/>
        <v>0.61895119952848365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0.60524780496519803</v>
      </c>
      <c r="C123" s="45">
        <f t="shared" si="166"/>
        <v>0.61639787336686969</v>
      </c>
      <c r="D123" s="45">
        <f t="shared" ref="D123:V123" si="167">IF(D21=0,0,D21/D$18)</f>
        <v>0.59848538229254622</v>
      </c>
      <c r="E123" s="45">
        <f t="shared" si="167"/>
        <v>0.67460716383420105</v>
      </c>
      <c r="F123" s="45">
        <f t="shared" si="167"/>
        <v>0.58081799396385925</v>
      </c>
      <c r="G123" s="45">
        <f t="shared" si="167"/>
        <v>0.57563901788112082</v>
      </c>
      <c r="H123" s="45">
        <f t="shared" si="167"/>
        <v>0.51393796716508244</v>
      </c>
      <c r="I123" s="45">
        <f t="shared" si="167"/>
        <v>0.49713287414328006</v>
      </c>
      <c r="J123" s="45">
        <f t="shared" si="167"/>
        <v>0.56991765030953967</v>
      </c>
      <c r="K123" s="45">
        <f t="shared" si="167"/>
        <v>0.63789833311424593</v>
      </c>
      <c r="L123" s="45">
        <f t="shared" si="167"/>
        <v>0.60070211254267514</v>
      </c>
      <c r="M123" s="45">
        <f t="shared" si="167"/>
        <v>0.74071911977616078</v>
      </c>
      <c r="N123" s="45">
        <f t="shared" si="167"/>
        <v>0.78471969964603361</v>
      </c>
      <c r="O123" s="45">
        <f t="shared" si="167"/>
        <v>0.77469818844581972</v>
      </c>
      <c r="P123" s="45">
        <f t="shared" si="167"/>
        <v>0.74733841885768915</v>
      </c>
      <c r="Q123" s="45">
        <f t="shared" si="167"/>
        <v>0.75200910346093353</v>
      </c>
      <c r="R123" s="45">
        <f t="shared" si="167"/>
        <v>0.77189179960099197</v>
      </c>
      <c r="S123" s="45">
        <f t="shared" si="167"/>
        <v>0.75061487926274995</v>
      </c>
      <c r="T123" s="45">
        <f t="shared" si="167"/>
        <v>0.68740236373917363</v>
      </c>
      <c r="U123" s="45">
        <f t="shared" si="167"/>
        <v>0.74682586381292493</v>
      </c>
      <c r="V123" s="45">
        <f t="shared" si="167"/>
        <v>0.56381241884255329</v>
      </c>
      <c r="W123" s="45">
        <f t="shared" ref="W123:Y123" si="168">IF(W21=0,0,W21/W$18)</f>
        <v>0.43671557655680204</v>
      </c>
      <c r="X123" s="45">
        <f t="shared" si="168"/>
        <v>0.41030119083337457</v>
      </c>
      <c r="Y123" s="45">
        <f t="shared" si="168"/>
        <v>0.38088446514972552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200.32957867583838</v>
      </c>
      <c r="C3" s="79">
        <f t="shared" si="0"/>
        <v>211.6556319862425</v>
      </c>
      <c r="D3" s="79">
        <f t="shared" ref="D3" si="1">SUM(D4:D5)</f>
        <v>202.47919174548582</v>
      </c>
      <c r="E3" s="79">
        <f t="shared" ref="E3" si="2">SUM(E4:E5)</f>
        <v>259.72527944969909</v>
      </c>
      <c r="F3" s="79">
        <f t="shared" ref="F3" si="3">SUM(F4:F5)</f>
        <v>332.30567497850387</v>
      </c>
      <c r="G3" s="79">
        <f t="shared" ref="G3" si="4">SUM(G4:G5)</f>
        <v>344.5490971625108</v>
      </c>
      <c r="H3" s="79">
        <f t="shared" ref="H3" si="5">SUM(H4:H5)</f>
        <v>352.6865864144454</v>
      </c>
      <c r="I3" s="79">
        <f t="shared" ref="I3" si="6">SUM(I4:I5)</f>
        <v>382.67841788478074</v>
      </c>
      <c r="J3" s="79">
        <f t="shared" ref="J3" si="7">SUM(J4:J5)</f>
        <v>402.32828890799647</v>
      </c>
      <c r="K3" s="79">
        <f t="shared" ref="K3" si="8">SUM(K4:K5)</f>
        <v>372.33645743766112</v>
      </c>
      <c r="L3" s="79">
        <f t="shared" ref="L3" si="9">SUM(L4:L5)</f>
        <v>343.37876182287192</v>
      </c>
      <c r="M3" s="79">
        <f t="shared" ref="M3" si="10">SUM(M4:M5)</f>
        <v>354.74325021496128</v>
      </c>
      <c r="N3" s="79">
        <f t="shared" ref="N3" si="11">SUM(N4:N5)</f>
        <v>315.45528804815132</v>
      </c>
      <c r="O3" s="79">
        <f t="shared" ref="O3" si="12">SUM(O4:O5)</f>
        <v>303.04479793637148</v>
      </c>
      <c r="P3" s="79">
        <f t="shared" ref="P3" si="13">SUM(P4:P5)</f>
        <v>311.31840068787608</v>
      </c>
      <c r="Q3" s="79">
        <f t="shared" ref="Q3" si="14">SUM(Q4:Q5)</f>
        <v>333.04840928632842</v>
      </c>
      <c r="R3" s="79">
        <f t="shared" ref="R3" si="15">SUM(R4:R5)</f>
        <v>358.9035253654344</v>
      </c>
      <c r="S3" s="79">
        <f t="shared" ref="S3" si="16">SUM(S4:S5)</f>
        <v>407.51100601891659</v>
      </c>
      <c r="T3" s="79">
        <f t="shared" ref="T3" si="17">SUM(T4:T5)</f>
        <v>443.70808254514179</v>
      </c>
      <c r="U3" s="79">
        <f t="shared" ref="U3" si="18">SUM(U4:U5)</f>
        <v>466.4605331040413</v>
      </c>
      <c r="V3" s="79">
        <f t="shared" ref="V3:W3" si="19">SUM(V4:V5)</f>
        <v>155.15391229578677</v>
      </c>
      <c r="W3" s="79">
        <f t="shared" si="19"/>
        <v>159.29062768701633</v>
      </c>
      <c r="X3" s="79">
        <f t="shared" ref="X3:Y3" si="20">SUM(X4:X5)</f>
        <v>270.98452278589843</v>
      </c>
      <c r="Y3" s="79">
        <f t="shared" si="20"/>
        <v>347.51556319862414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39.046517626827168</v>
      </c>
      <c r="C4" s="96">
        <f t="shared" si="21"/>
        <v>50.138521066208078</v>
      </c>
      <c r="D4" s="96">
        <f t="shared" ref="D4:V4" si="22">SUM(D7,D11)</f>
        <v>35.850730868443677</v>
      </c>
      <c r="E4" s="96">
        <f t="shared" si="22"/>
        <v>58.339982803095438</v>
      </c>
      <c r="F4" s="96">
        <f t="shared" si="22"/>
        <v>44.028202923473771</v>
      </c>
      <c r="G4" s="96">
        <f t="shared" si="22"/>
        <v>29.692863284608769</v>
      </c>
      <c r="H4" s="96">
        <f t="shared" si="22"/>
        <v>16.570679277730012</v>
      </c>
      <c r="I4" s="96">
        <f t="shared" si="22"/>
        <v>37.254686156491836</v>
      </c>
      <c r="J4" s="96">
        <f t="shared" si="22"/>
        <v>46.562510748065343</v>
      </c>
      <c r="K4" s="96">
        <f t="shared" si="22"/>
        <v>32.083748925193461</v>
      </c>
      <c r="L4" s="96">
        <f t="shared" si="22"/>
        <v>30.015305245055888</v>
      </c>
      <c r="M4" s="96">
        <f t="shared" si="22"/>
        <v>44.48245915735167</v>
      </c>
      <c r="N4" s="96">
        <f t="shared" si="22"/>
        <v>21.741702493551159</v>
      </c>
      <c r="O4" s="96">
        <f t="shared" si="22"/>
        <v>19.67325881341359</v>
      </c>
      <c r="P4" s="96">
        <f t="shared" si="22"/>
        <v>18.63903697334479</v>
      </c>
      <c r="Q4" s="96">
        <f t="shared" si="22"/>
        <v>38.300601891659504</v>
      </c>
      <c r="R4" s="96">
        <f t="shared" si="22"/>
        <v>42.43748925193465</v>
      </c>
      <c r="S4" s="96">
        <f t="shared" si="22"/>
        <v>52.779449699054169</v>
      </c>
      <c r="T4" s="96">
        <f t="shared" si="22"/>
        <v>34.163800515907141</v>
      </c>
      <c r="U4" s="96">
        <f t="shared" si="22"/>
        <v>47.608426483233011</v>
      </c>
      <c r="V4" s="96">
        <f t="shared" si="22"/>
        <v>41.391573516766982</v>
      </c>
      <c r="W4" s="96">
        <f t="shared" ref="W4:Y4" si="23">SUM(W7,W11)</f>
        <v>6.2286328460877041</v>
      </c>
      <c r="X4" s="96">
        <f t="shared" si="23"/>
        <v>6.2286328460877041</v>
      </c>
      <c r="Y4" s="96">
        <f t="shared" si="23"/>
        <v>6.2286328460877041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161.2830610490112</v>
      </c>
      <c r="C5" s="96">
        <f t="shared" si="24"/>
        <v>161.51711092003441</v>
      </c>
      <c r="D5" s="96">
        <f t="shared" ref="D5:V5" si="25">SUM(D8:D9,D12:D13)</f>
        <v>166.62846087704213</v>
      </c>
      <c r="E5" s="96">
        <f t="shared" si="25"/>
        <v>201.38529664660365</v>
      </c>
      <c r="F5" s="96">
        <f t="shared" si="25"/>
        <v>288.2774720550301</v>
      </c>
      <c r="G5" s="96">
        <f t="shared" si="25"/>
        <v>314.85623387790201</v>
      </c>
      <c r="H5" s="96">
        <f t="shared" si="25"/>
        <v>336.11590713671541</v>
      </c>
      <c r="I5" s="96">
        <f t="shared" si="25"/>
        <v>345.42373172828889</v>
      </c>
      <c r="J5" s="96">
        <f t="shared" si="25"/>
        <v>355.76577815993113</v>
      </c>
      <c r="K5" s="96">
        <f t="shared" si="25"/>
        <v>340.25270851246768</v>
      </c>
      <c r="L5" s="96">
        <f t="shared" si="25"/>
        <v>313.36345657781601</v>
      </c>
      <c r="M5" s="96">
        <f t="shared" si="25"/>
        <v>310.26079105760959</v>
      </c>
      <c r="N5" s="96">
        <f t="shared" si="25"/>
        <v>293.71358555460017</v>
      </c>
      <c r="O5" s="96">
        <f t="shared" si="25"/>
        <v>283.37153912295787</v>
      </c>
      <c r="P5" s="96">
        <f t="shared" si="25"/>
        <v>292.67936371453129</v>
      </c>
      <c r="Q5" s="96">
        <f t="shared" si="25"/>
        <v>294.74780739466894</v>
      </c>
      <c r="R5" s="96">
        <f t="shared" si="25"/>
        <v>316.46603611349974</v>
      </c>
      <c r="S5" s="96">
        <f t="shared" si="25"/>
        <v>354.73155631986242</v>
      </c>
      <c r="T5" s="96">
        <f t="shared" si="25"/>
        <v>409.54428202923464</v>
      </c>
      <c r="U5" s="96">
        <f t="shared" si="25"/>
        <v>418.85210662080829</v>
      </c>
      <c r="V5" s="96">
        <f t="shared" si="25"/>
        <v>113.7623387790198</v>
      </c>
      <c r="W5" s="96">
        <f t="shared" ref="W5:Y5" si="26">SUM(W8:W9,W12:W13)</f>
        <v>153.06199484092863</v>
      </c>
      <c r="X5" s="96">
        <f t="shared" si="26"/>
        <v>264.75588993981074</v>
      </c>
      <c r="Y5" s="96">
        <f t="shared" si="26"/>
        <v>341.28693035253644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187.50782639430665</v>
      </c>
      <c r="C6" s="21">
        <f t="shared" si="27"/>
        <v>199.15397233540966</v>
      </c>
      <c r="D6" s="21">
        <f t="shared" ref="D6:V6" si="28">SUM(D7:D9)</f>
        <v>188.532594598099</v>
      </c>
      <c r="E6" s="21">
        <f t="shared" si="28"/>
        <v>246.8884418806208</v>
      </c>
      <c r="F6" s="21">
        <f t="shared" si="28"/>
        <v>319.72255169254476</v>
      </c>
      <c r="G6" s="21">
        <f t="shared" si="28"/>
        <v>330.86770990765069</v>
      </c>
      <c r="H6" s="21">
        <f t="shared" si="28"/>
        <v>339.40515650645568</v>
      </c>
      <c r="I6" s="21">
        <f t="shared" si="28"/>
        <v>370.06460528648375</v>
      </c>
      <c r="J6" s="21">
        <f t="shared" si="28"/>
        <v>389.54933557759</v>
      </c>
      <c r="K6" s="21">
        <f t="shared" si="28"/>
        <v>359.96611620743425</v>
      </c>
      <c r="L6" s="21">
        <f t="shared" si="28"/>
        <v>331.31875264098056</v>
      </c>
      <c r="M6" s="21">
        <f t="shared" si="28"/>
        <v>338.47834618241814</v>
      </c>
      <c r="N6" s="21">
        <f t="shared" si="28"/>
        <v>300.90339344898268</v>
      </c>
      <c r="O6" s="21">
        <f t="shared" si="28"/>
        <v>290.08671055308264</v>
      </c>
      <c r="P6" s="21">
        <f t="shared" si="28"/>
        <v>299.52056478580113</v>
      </c>
      <c r="Q6" s="21">
        <f t="shared" si="28"/>
        <v>320.17784805004715</v>
      </c>
      <c r="R6" s="21">
        <f t="shared" si="28"/>
        <v>344.49097803758667</v>
      </c>
      <c r="S6" s="21">
        <f t="shared" si="28"/>
        <v>391.80777213281652</v>
      </c>
      <c r="T6" s="21">
        <f t="shared" si="28"/>
        <v>427.26023873714041</v>
      </c>
      <c r="U6" s="21">
        <f t="shared" si="28"/>
        <v>443.62239727984843</v>
      </c>
      <c r="V6" s="21">
        <f t="shared" si="28"/>
        <v>135.90074917118818</v>
      </c>
      <c r="W6" s="21">
        <f t="shared" ref="W6:Y6" si="29">SUM(W7:W9)</f>
        <v>151.5095415087352</v>
      </c>
      <c r="X6" s="21">
        <f t="shared" si="29"/>
        <v>263.9670935115862</v>
      </c>
      <c r="Y6" s="21">
        <f t="shared" si="29"/>
        <v>341.34309595367324</v>
      </c>
      <c r="DA6" s="189" t="s">
        <v>280</v>
      </c>
    </row>
    <row r="7" spans="1:105" ht="11.45" customHeight="1" x14ac:dyDescent="0.25">
      <c r="A7" s="83" t="s">
        <v>27</v>
      </c>
      <c r="B7" s="96">
        <v>38.283933807423679</v>
      </c>
      <c r="C7" s="96">
        <v>49.404034280354658</v>
      </c>
      <c r="D7" s="96">
        <v>35.015183852077257</v>
      </c>
      <c r="E7" s="96">
        <v>57.693973196751593</v>
      </c>
      <c r="F7" s="96">
        <v>43.827335223116734</v>
      </c>
      <c r="G7" s="96">
        <v>29.369234751931899</v>
      </c>
      <c r="H7" s="96">
        <v>16.208676197677246</v>
      </c>
      <c r="I7" s="96">
        <v>36.02507696551266</v>
      </c>
      <c r="J7" s="96">
        <v>45.099020841072694</v>
      </c>
      <c r="K7" s="96">
        <v>31.148654251790568</v>
      </c>
      <c r="L7" s="96">
        <v>29.1427465003683</v>
      </c>
      <c r="M7" s="96">
        <v>42.735273470756745</v>
      </c>
      <c r="N7" s="96">
        <v>20.865914691065232</v>
      </c>
      <c r="O7" s="96">
        <v>18.976176594325523</v>
      </c>
      <c r="P7" s="96">
        <v>18.330629529886842</v>
      </c>
      <c r="Q7" s="96">
        <v>37.698452184097498</v>
      </c>
      <c r="R7" s="96">
        <v>41.88821413346173</v>
      </c>
      <c r="S7" s="96">
        <v>51.702205471316006</v>
      </c>
      <c r="T7" s="96">
        <v>30.530391501918572</v>
      </c>
      <c r="U7" s="96">
        <v>37.327078959115823</v>
      </c>
      <c r="V7" s="96">
        <v>29.036289614982294</v>
      </c>
      <c r="W7" s="96">
        <v>4.5911269017480505</v>
      </c>
      <c r="X7" s="96">
        <v>5.6870127707337454</v>
      </c>
      <c r="Y7" s="96">
        <v>6.2161256648319094</v>
      </c>
      <c r="DA7" s="171" t="s">
        <v>281</v>
      </c>
    </row>
    <row r="8" spans="1:105" ht="11.45" customHeight="1" x14ac:dyDescent="0.25">
      <c r="A8" s="83" t="s">
        <v>181</v>
      </c>
      <c r="B8" s="96">
        <v>89.463576022667326</v>
      </c>
      <c r="C8" s="96">
        <v>89.774621062060376</v>
      </c>
      <c r="D8" s="96">
        <v>92.032614915506414</v>
      </c>
      <c r="E8" s="96">
        <v>118.10053267645932</v>
      </c>
      <c r="F8" s="96">
        <v>178.16712022158399</v>
      </c>
      <c r="G8" s="96">
        <v>198.78802434360961</v>
      </c>
      <c r="H8" s="96">
        <v>211.44596740909708</v>
      </c>
      <c r="I8" s="96">
        <v>219.80034228845949</v>
      </c>
      <c r="J8" s="96">
        <v>221.81545430823732</v>
      </c>
      <c r="K8" s="96">
        <v>205.19771404066705</v>
      </c>
      <c r="L8" s="96">
        <v>185.65110755721275</v>
      </c>
      <c r="M8" s="96">
        <v>180.09259445914114</v>
      </c>
      <c r="N8" s="96">
        <v>168.87403919833187</v>
      </c>
      <c r="O8" s="96">
        <v>163.28093356173693</v>
      </c>
      <c r="P8" s="96">
        <v>169.73609055290717</v>
      </c>
      <c r="Q8" s="96">
        <v>171.84078245865607</v>
      </c>
      <c r="R8" s="96">
        <v>189.4060434979628</v>
      </c>
      <c r="S8" s="96">
        <v>216.48770075466462</v>
      </c>
      <c r="T8" s="96">
        <v>253.01990545109476</v>
      </c>
      <c r="U8" s="96">
        <v>254.87264174091831</v>
      </c>
      <c r="V8" s="96">
        <v>59.151479896560652</v>
      </c>
      <c r="W8" s="96">
        <v>85.964745765962604</v>
      </c>
      <c r="X8" s="96">
        <v>164.97627932244143</v>
      </c>
      <c r="Y8" s="96">
        <v>212.62083041029459</v>
      </c>
      <c r="DA8" s="171" t="s">
        <v>282</v>
      </c>
    </row>
    <row r="9" spans="1:105" ht="11.45" customHeight="1" x14ac:dyDescent="0.25">
      <c r="A9" s="83" t="s">
        <v>182</v>
      </c>
      <c r="B9" s="96">
        <v>59.760316564215643</v>
      </c>
      <c r="C9" s="96">
        <v>59.975316992994635</v>
      </c>
      <c r="D9" s="96">
        <v>61.484795830515317</v>
      </c>
      <c r="E9" s="96">
        <v>71.09393600740988</v>
      </c>
      <c r="F9" s="96">
        <v>97.728096247844036</v>
      </c>
      <c r="G9" s="96">
        <v>102.71045081210917</v>
      </c>
      <c r="H9" s="96">
        <v>111.75051289968135</v>
      </c>
      <c r="I9" s="96">
        <v>114.23918603251161</v>
      </c>
      <c r="J9" s="96">
        <v>122.63486042827999</v>
      </c>
      <c r="K9" s="96">
        <v>123.61974791497664</v>
      </c>
      <c r="L9" s="96">
        <v>116.52489858339952</v>
      </c>
      <c r="M9" s="96">
        <v>115.65047825252027</v>
      </c>
      <c r="N9" s="96">
        <v>111.16343955958556</v>
      </c>
      <c r="O9" s="96">
        <v>107.82960039702019</v>
      </c>
      <c r="P9" s="96">
        <v>111.45384470300714</v>
      </c>
      <c r="Q9" s="96">
        <v>110.63861340729355</v>
      </c>
      <c r="R9" s="96">
        <v>113.19672040616216</v>
      </c>
      <c r="S9" s="96">
        <v>123.61786590683589</v>
      </c>
      <c r="T9" s="96">
        <v>143.70994178412704</v>
      </c>
      <c r="U9" s="96">
        <v>151.42267657981429</v>
      </c>
      <c r="V9" s="96">
        <v>47.712979659645235</v>
      </c>
      <c r="W9" s="96">
        <v>60.95366884102453</v>
      </c>
      <c r="X9" s="96">
        <v>93.303801418411027</v>
      </c>
      <c r="Y9" s="96">
        <v>122.50613987854673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12.82175228153169</v>
      </c>
      <c r="C10" s="22">
        <f t="shared" si="30"/>
        <v>12.501659650832829</v>
      </c>
      <c r="D10" s="22">
        <f t="shared" ref="D10:V10" si="31">SUM(D11:D13)</f>
        <v>13.946597147386802</v>
      </c>
      <c r="E10" s="22">
        <f t="shared" si="31"/>
        <v>12.836837569078291</v>
      </c>
      <c r="F10" s="22">
        <f t="shared" si="31"/>
        <v>12.583123285959065</v>
      </c>
      <c r="G10" s="22">
        <f t="shared" si="31"/>
        <v>13.681387254860084</v>
      </c>
      <c r="H10" s="22">
        <f t="shared" si="31"/>
        <v>13.281429907989772</v>
      </c>
      <c r="I10" s="22">
        <f t="shared" si="31"/>
        <v>12.613812598296981</v>
      </c>
      <c r="J10" s="22">
        <f t="shared" si="31"/>
        <v>12.778953330406411</v>
      </c>
      <c r="K10" s="22">
        <f t="shared" si="31"/>
        <v>12.370341230226879</v>
      </c>
      <c r="L10" s="22">
        <f t="shared" si="31"/>
        <v>12.060009181891267</v>
      </c>
      <c r="M10" s="22">
        <f t="shared" si="31"/>
        <v>16.2649040325431</v>
      </c>
      <c r="N10" s="22">
        <f t="shared" si="31"/>
        <v>14.551894599168673</v>
      </c>
      <c r="O10" s="22">
        <f t="shared" si="31"/>
        <v>12.958087383288767</v>
      </c>
      <c r="P10" s="22">
        <f t="shared" si="31"/>
        <v>11.797835902074947</v>
      </c>
      <c r="Q10" s="22">
        <f t="shared" si="31"/>
        <v>12.870561236281318</v>
      </c>
      <c r="R10" s="22">
        <f t="shared" si="31"/>
        <v>14.412547327847708</v>
      </c>
      <c r="S10" s="22">
        <f t="shared" si="31"/>
        <v>15.703233886100069</v>
      </c>
      <c r="T10" s="22">
        <f t="shared" si="31"/>
        <v>16.447843808001458</v>
      </c>
      <c r="U10" s="22">
        <f t="shared" si="31"/>
        <v>22.838135824192861</v>
      </c>
      <c r="V10" s="22">
        <f t="shared" si="31"/>
        <v>19.253163124598604</v>
      </c>
      <c r="W10" s="22">
        <f t="shared" ref="W10:Y10" si="32">SUM(W11:W13)</f>
        <v>7.7810861782811305</v>
      </c>
      <c r="X10" s="22">
        <f t="shared" si="32"/>
        <v>7.0174292743122493</v>
      </c>
      <c r="Y10" s="22">
        <f t="shared" si="32"/>
        <v>6.1724672449508837</v>
      </c>
      <c r="DA10" s="193" t="s">
        <v>284</v>
      </c>
    </row>
    <row r="11" spans="1:105" ht="11.45" customHeight="1" x14ac:dyDescent="0.25">
      <c r="A11" s="92" t="s">
        <v>27</v>
      </c>
      <c r="B11" s="97">
        <v>0.76258381940348752</v>
      </c>
      <c r="C11" s="97">
        <v>0.73448678585341676</v>
      </c>
      <c r="D11" s="97">
        <v>0.83554701636641737</v>
      </c>
      <c r="E11" s="97">
        <v>0.64600960634384719</v>
      </c>
      <c r="F11" s="97">
        <v>0.20086770035703491</v>
      </c>
      <c r="G11" s="97">
        <v>0.32362853267687225</v>
      </c>
      <c r="H11" s="97">
        <v>0.36200308005276494</v>
      </c>
      <c r="I11" s="97">
        <v>1.229609190979174</v>
      </c>
      <c r="J11" s="97">
        <v>1.4634899069926517</v>
      </c>
      <c r="K11" s="97">
        <v>0.93509467340289198</v>
      </c>
      <c r="L11" s="97">
        <v>0.87255874468758887</v>
      </c>
      <c r="M11" s="97">
        <v>1.7471856865949271</v>
      </c>
      <c r="N11" s="97">
        <v>0.87578780248592825</v>
      </c>
      <c r="O11" s="97">
        <v>0.69708221908806667</v>
      </c>
      <c r="P11" s="97">
        <v>0.30840744345794718</v>
      </c>
      <c r="Q11" s="97">
        <v>0.60214970756200736</v>
      </c>
      <c r="R11" s="97">
        <v>0.54927511847292043</v>
      </c>
      <c r="S11" s="97">
        <v>1.0772442277381602</v>
      </c>
      <c r="T11" s="97">
        <v>3.6334090139885689</v>
      </c>
      <c r="U11" s="97">
        <v>10.281347524117185</v>
      </c>
      <c r="V11" s="97">
        <v>12.355283901784686</v>
      </c>
      <c r="W11" s="97">
        <v>1.6375059443396534</v>
      </c>
      <c r="X11" s="97">
        <v>0.54162007535395873</v>
      </c>
      <c r="Y11" s="97">
        <v>1.2507181255794815E-2</v>
      </c>
      <c r="DA11" s="175" t="s">
        <v>285</v>
      </c>
    </row>
    <row r="12" spans="1:105" ht="11.45" customHeight="1" x14ac:dyDescent="0.25">
      <c r="A12" s="92" t="s">
        <v>181</v>
      </c>
      <c r="B12" s="97">
        <v>3.014104903418477</v>
      </c>
      <c r="C12" s="97">
        <v>2.8426889485379352</v>
      </c>
      <c r="D12" s="97">
        <v>3.3463559541683043</v>
      </c>
      <c r="E12" s="97">
        <v>2.4092200966719139</v>
      </c>
      <c r="F12" s="97">
        <v>3.3472238332484818</v>
      </c>
      <c r="G12" s="97">
        <v>3.519028630005077</v>
      </c>
      <c r="H12" s="97">
        <v>4.0081350658245132</v>
      </c>
      <c r="I12" s="97">
        <v>3.8636877433869534</v>
      </c>
      <c r="J12" s="97">
        <v>3.0816191465643046</v>
      </c>
      <c r="K12" s="97">
        <v>2.7175579438860584</v>
      </c>
      <c r="L12" s="97">
        <v>3.1073019069503158</v>
      </c>
      <c r="M12" s="97">
        <v>2.5322872804805461</v>
      </c>
      <c r="N12" s="97">
        <v>2.0360903242232715</v>
      </c>
      <c r="O12" s="97">
        <v>2.0384121131839126</v>
      </c>
      <c r="P12" s="97">
        <v>2.2600819302462805</v>
      </c>
      <c r="Q12" s="97">
        <v>2.327552955198267</v>
      </c>
      <c r="R12" s="97">
        <v>2.5780918104902657</v>
      </c>
      <c r="S12" s="97">
        <v>3.4062566597249089</v>
      </c>
      <c r="T12" s="97">
        <v>4.1844307476290208</v>
      </c>
      <c r="U12" s="97">
        <v>3.477536830325707</v>
      </c>
      <c r="V12" s="97">
        <v>3.0084822204011981</v>
      </c>
      <c r="W12" s="97">
        <v>4.2865860101970545</v>
      </c>
      <c r="X12" s="97">
        <v>4.3546027814073947</v>
      </c>
      <c r="Y12" s="97">
        <v>4.2869336432383456</v>
      </c>
      <c r="DA12" s="175" t="s">
        <v>286</v>
      </c>
    </row>
    <row r="13" spans="1:105" ht="11.45" customHeight="1" x14ac:dyDescent="0.25">
      <c r="A13" s="85" t="s">
        <v>182</v>
      </c>
      <c r="B13" s="98">
        <v>9.0450635587097263</v>
      </c>
      <c r="C13" s="98">
        <v>8.9244839164414778</v>
      </c>
      <c r="D13" s="98">
        <v>9.7646941768520801</v>
      </c>
      <c r="E13" s="98">
        <v>9.7816078660625294</v>
      </c>
      <c r="F13" s="98">
        <v>9.0350317523535484</v>
      </c>
      <c r="G13" s="98">
        <v>9.8387300921781353</v>
      </c>
      <c r="H13" s="98">
        <v>8.9112917621124925</v>
      </c>
      <c r="I13" s="98">
        <v>7.5205156639308539</v>
      </c>
      <c r="J13" s="98">
        <v>8.2338442768494549</v>
      </c>
      <c r="K13" s="98">
        <v>8.7176886129379287</v>
      </c>
      <c r="L13" s="98">
        <v>8.0801485302533624</v>
      </c>
      <c r="M13" s="98">
        <v>11.985431065467628</v>
      </c>
      <c r="N13" s="98">
        <v>11.640016472459473</v>
      </c>
      <c r="O13" s="98">
        <v>10.222593051016787</v>
      </c>
      <c r="P13" s="98">
        <v>9.2293465283707192</v>
      </c>
      <c r="Q13" s="98">
        <v>9.9408585735210444</v>
      </c>
      <c r="R13" s="98">
        <v>11.285180398884522</v>
      </c>
      <c r="S13" s="98">
        <v>11.219732998636999</v>
      </c>
      <c r="T13" s="98">
        <v>8.6300040463838688</v>
      </c>
      <c r="U13" s="98">
        <v>9.0792514697499662</v>
      </c>
      <c r="V13" s="98">
        <v>3.8893970024127187</v>
      </c>
      <c r="W13" s="98">
        <v>1.8569942237444228</v>
      </c>
      <c r="X13" s="98">
        <v>2.1212064175508965</v>
      </c>
      <c r="Y13" s="98">
        <v>1.8730264204567431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629.22503986248034</v>
      </c>
      <c r="C17" s="62">
        <f>IF(C3=0,0,C3/TrAvia_act!C13*100)</f>
        <v>660.14816137285231</v>
      </c>
      <c r="D17" s="62">
        <f>IF(D3=0,0,D3/TrAvia_act!D13*100)</f>
        <v>614.0348632029752</v>
      </c>
      <c r="E17" s="62">
        <f>IF(E3=0,0,E3/TrAvia_act!E13*100)</f>
        <v>413.3908268873559</v>
      </c>
      <c r="F17" s="62">
        <f>IF(F3=0,0,F3/TrAvia_act!F13*100)</f>
        <v>422.12654424040579</v>
      </c>
      <c r="G17" s="62">
        <f>IF(G3=0,0,G3/TrAvia_act!G13*100)</f>
        <v>400.2858928532425</v>
      </c>
      <c r="H17" s="62">
        <f>IF(H3=0,0,H3/TrAvia_act!H13*100)</f>
        <v>400.13495195243428</v>
      </c>
      <c r="I17" s="62">
        <f>IF(I3=0,0,I3/TrAvia_act!I13*100)</f>
        <v>405.31607125255931</v>
      </c>
      <c r="J17" s="62">
        <f>IF(J3=0,0,J3/TrAvia_act!J13*100)</f>
        <v>406.32657596306149</v>
      </c>
      <c r="K17" s="62">
        <f>IF(K3=0,0,K3/TrAvia_act!K13*100)</f>
        <v>403.89447668222277</v>
      </c>
      <c r="L17" s="62">
        <f>IF(L3=0,0,L3/TrAvia_act!L13*100)</f>
        <v>389.80142319468996</v>
      </c>
      <c r="M17" s="62">
        <f>IF(M3=0,0,M3/TrAvia_act!M13*100)</f>
        <v>399.16015945384584</v>
      </c>
      <c r="N17" s="62">
        <f>IF(N3=0,0,N3/TrAvia_act!N13*100)</f>
        <v>394.32524207752147</v>
      </c>
      <c r="O17" s="62">
        <f>IF(O3=0,0,O3/TrAvia_act!O13*100)</f>
        <v>387.0482023707529</v>
      </c>
      <c r="P17" s="62">
        <f>IF(P3=0,0,P3/TrAvia_act!P13*100)</f>
        <v>399.29928949948714</v>
      </c>
      <c r="Q17" s="62">
        <f>IF(Q3=0,0,Q3/TrAvia_act!Q13*100)</f>
        <v>422.57929566185214</v>
      </c>
      <c r="R17" s="62">
        <f>IF(R3=0,0,R3/TrAvia_act!R13*100)</f>
        <v>425.89114054032694</v>
      </c>
      <c r="S17" s="62">
        <f>IF(S3=0,0,S3/TrAvia_act!S13*100)</f>
        <v>438.10765662417941</v>
      </c>
      <c r="T17" s="62">
        <f>IF(T3=0,0,T3/TrAvia_act!T13*100)</f>
        <v>419.19988648912374</v>
      </c>
      <c r="U17" s="62">
        <f>IF(U3=0,0,U3/TrAvia_act!U13*100)</f>
        <v>432.75403112502443</v>
      </c>
      <c r="V17" s="62">
        <f>IF(V3=0,0,V3/TrAvia_act!V13*100)</f>
        <v>539.689114267577</v>
      </c>
      <c r="W17" s="62">
        <f>IF(W3=0,0,W3/TrAvia_act!W13*100)</f>
        <v>430.62692795331935</v>
      </c>
      <c r="X17" s="62">
        <f>IF(X3=0,0,X3/TrAvia_act!X13*100)</f>
        <v>407.98916083141091</v>
      </c>
      <c r="Y17" s="62">
        <f>IF(Y3=0,0,Y3/TrAvia_act!Y13*100)</f>
        <v>420.01486926935206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619.00302577242132</v>
      </c>
      <c r="C18" s="14">
        <f>IF(C6=0,0,C6/TrAvia_act!C14*100)</f>
        <v>651.55324890242343</v>
      </c>
      <c r="D18" s="14">
        <f>IF(D6=0,0,D6/TrAvia_act!D14*100)</f>
        <v>602.77986254527855</v>
      </c>
      <c r="E18" s="14">
        <f>IF(E6=0,0,E6/TrAvia_act!E14*100)</f>
        <v>408.32530789234653</v>
      </c>
      <c r="F18" s="14">
        <f>IF(F6=0,0,F6/TrAvia_act!F14*100)</f>
        <v>417.82731863351756</v>
      </c>
      <c r="G18" s="14">
        <f>IF(G6=0,0,G6/TrAvia_act!G14*100)</f>
        <v>395.01493533734703</v>
      </c>
      <c r="H18" s="14">
        <f>IF(H6=0,0,H6/TrAvia_act!H14*100)</f>
        <v>395.02449507650579</v>
      </c>
      <c r="I18" s="14">
        <f>IF(I6=0,0,I6/TrAvia_act!I14*100)</f>
        <v>401.10244742361391</v>
      </c>
      <c r="J18" s="14">
        <f>IF(J6=0,0,J6/TrAvia_act!J14*100)</f>
        <v>401.98450143316728</v>
      </c>
      <c r="K18" s="14">
        <f>IF(K6=0,0,K6/TrAvia_act!K14*100)</f>
        <v>399.55305716693346</v>
      </c>
      <c r="L18" s="14">
        <f>IF(L6=0,0,L6/TrAvia_act!L14*100)</f>
        <v>385.72978317592003</v>
      </c>
      <c r="M18" s="14">
        <f>IF(M6=0,0,M6/TrAvia_act!M14*100)</f>
        <v>392.93401971825176</v>
      </c>
      <c r="N18" s="14">
        <f>IF(N6=0,0,N6/TrAvia_act!N14*100)</f>
        <v>387.80954382044831</v>
      </c>
      <c r="O18" s="14">
        <f>IF(O6=0,0,O6/TrAvia_act!O14*100)</f>
        <v>381.54854623899649</v>
      </c>
      <c r="P18" s="14">
        <f>IF(P6=0,0,P6/TrAvia_act!P14*100)</f>
        <v>394.85566573063909</v>
      </c>
      <c r="Q18" s="14">
        <f>IF(Q6=0,0,Q6/TrAvia_act!Q14*100)</f>
        <v>418.32513862181281</v>
      </c>
      <c r="R18" s="14">
        <f>IF(R6=0,0,R6/TrAvia_act!R14*100)</f>
        <v>422.18762672161046</v>
      </c>
      <c r="S18" s="14">
        <f>IF(S6=0,0,S6/TrAvia_act!S14*100)</f>
        <v>435.33373295764466</v>
      </c>
      <c r="T18" s="14">
        <f>IF(T6=0,0,T6/TrAvia_act!T14*100)</f>
        <v>414.8809431835229</v>
      </c>
      <c r="U18" s="14">
        <f>IF(U6=0,0,U6/TrAvia_act!U14*100)</f>
        <v>422.85256971020493</v>
      </c>
      <c r="V18" s="14">
        <f>IF(V6=0,0,V6/TrAvia_act!V14*100)</f>
        <v>501.49202286003367</v>
      </c>
      <c r="W18" s="14">
        <f>IF(W6=0,0,W6/TrAvia_act!W14*100)</f>
        <v>427.63109427886138</v>
      </c>
      <c r="X18" s="14">
        <f>IF(X6=0,0,X6/TrAvia_act!X14*100)</f>
        <v>406.6613788014547</v>
      </c>
      <c r="Y18" s="14">
        <f>IF(Y6=0,0,Y6/TrAvia_act!Y14*100)</f>
        <v>419.61770538802449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5409.9114138794503</v>
      </c>
      <c r="C19" s="87">
        <f>IF(C7=0,0,C7/TrAvia_act!C15*100)</f>
        <v>5432.3128900968886</v>
      </c>
      <c r="D19" s="87">
        <f>IF(D7=0,0,D7/TrAvia_act!D15*100)</f>
        <v>5378.6809095430617</v>
      </c>
      <c r="E19" s="87">
        <f>IF(E7=0,0,E7/TrAvia_act!E15*100)</f>
        <v>5103.6977552092285</v>
      </c>
      <c r="F19" s="87">
        <f>IF(F7=0,0,F7/TrAvia_act!F15*100)</f>
        <v>3035.8542618317806</v>
      </c>
      <c r="G19" s="87">
        <f>IF(G7=0,0,G7/TrAvia_act!G15*100)</f>
        <v>2019.8554435717317</v>
      </c>
      <c r="H19" s="87">
        <f>IF(H7=0,0,H7/TrAvia_act!H15*100)</f>
        <v>1062.3874972857107</v>
      </c>
      <c r="I19" s="87">
        <f>IF(I7=0,0,I7/TrAvia_act!I15*100)</f>
        <v>2423.5714212376984</v>
      </c>
      <c r="J19" s="87">
        <f>IF(J7=0,0,J7/TrAvia_act!J15*100)</f>
        <v>2554.9037328535769</v>
      </c>
      <c r="K19" s="87">
        <f>IF(K7=0,0,K7/TrAvia_act!K15*100)</f>
        <v>1475.6572613582855</v>
      </c>
      <c r="L19" s="87">
        <f>IF(L7=0,0,L7/TrAvia_act!L15*100)</f>
        <v>1850.6390888455717</v>
      </c>
      <c r="M19" s="87">
        <f>IF(M7=0,0,M7/TrAvia_act!M15*100)</f>
        <v>4346.9020309653688</v>
      </c>
      <c r="N19" s="87">
        <f>IF(N7=0,0,N7/TrAvia_act!N15*100)</f>
        <v>2718.5398244440739</v>
      </c>
      <c r="O19" s="87">
        <f>IF(O7=0,0,O7/TrAvia_act!O15*100)</f>
        <v>3504.8113067008017</v>
      </c>
      <c r="P19" s="87">
        <f>IF(P7=0,0,P7/TrAvia_act!P15*100)</f>
        <v>2781.4647199200012</v>
      </c>
      <c r="Q19" s="87">
        <f>IF(Q7=0,0,Q7/TrAvia_act!Q15*100)</f>
        <v>5467.1657136694485</v>
      </c>
      <c r="R19" s="87">
        <f>IF(R7=0,0,R7/TrAvia_act!R15*100)</f>
        <v>6360.9890253926051</v>
      </c>
      <c r="S19" s="87">
        <f>IF(S7=0,0,S7/TrAvia_act!S15*100)</f>
        <v>11506.692085689103</v>
      </c>
      <c r="T19" s="87">
        <f>IF(T7=0,0,T7/TrAvia_act!T15*100)</f>
        <v>7587.2936248177739</v>
      </c>
      <c r="U19" s="87">
        <f>IF(U7=0,0,U7/TrAvia_act!U15*100)</f>
        <v>29935.676764750599</v>
      </c>
      <c r="V19" s="87">
        <f>IF(V7=0,0,V7/TrAvia_act!V15*100)</f>
        <v>34983.381599430882</v>
      </c>
      <c r="W19" s="87">
        <f>IF(W7=0,0,W7/TrAvia_act!W15*100)</f>
        <v>3412.8947688572866</v>
      </c>
      <c r="X19" s="87">
        <f>IF(X7=0,0,X7/TrAvia_act!X15*100)</f>
        <v>5200.5253550689604</v>
      </c>
      <c r="Y19" s="87">
        <f>IF(Y7=0,0,Y7/TrAvia_act!Y15*100)</f>
        <v>5076.7199851054211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462.55026806631366</v>
      </c>
      <c r="C20" s="87">
        <f>IF(C8=0,0,C8/TrAvia_act!C16*100)</f>
        <v>463.04507135588295</v>
      </c>
      <c r="D20" s="87">
        <f>IF(D8=0,0,D8/TrAvia_act!D16*100)</f>
        <v>459.66542253474927</v>
      </c>
      <c r="E20" s="87">
        <f>IF(E8=0,0,E8/TrAvia_act!E16*100)</f>
        <v>294.36041854741313</v>
      </c>
      <c r="F20" s="87">
        <f>IF(F8=0,0,F8/TrAvia_act!F16*100)</f>
        <v>341.6122048730964</v>
      </c>
      <c r="G20" s="87">
        <f>IF(G8=0,0,G8/TrAvia_act!G16*100)</f>
        <v>338.81145893762221</v>
      </c>
      <c r="H20" s="87">
        <f>IF(H8=0,0,H8/TrAvia_act!H16*100)</f>
        <v>353.74462184014351</v>
      </c>
      <c r="I20" s="87">
        <f>IF(I8=0,0,I8/TrAvia_act!I16*100)</f>
        <v>347.53060670928244</v>
      </c>
      <c r="J20" s="87">
        <f>IF(J8=0,0,J8/TrAvia_act!J16*100)</f>
        <v>341.02954263254077</v>
      </c>
      <c r="K20" s="87">
        <f>IF(K8=0,0,K8/TrAvia_act!K16*100)</f>
        <v>362.33851148342018</v>
      </c>
      <c r="L20" s="87">
        <f>IF(L8=0,0,L8/TrAvia_act!L16*100)</f>
        <v>348.92796160058111</v>
      </c>
      <c r="M20" s="87">
        <f>IF(M8=0,0,M8/TrAvia_act!M16*100)</f>
        <v>349.5593240692217</v>
      </c>
      <c r="N20" s="87">
        <f>IF(N8=0,0,N8/TrAvia_act!N16*100)</f>
        <v>383.92204411662425</v>
      </c>
      <c r="O20" s="87">
        <f>IF(O8=0,0,O8/TrAvia_act!O16*100)</f>
        <v>379.66345729242835</v>
      </c>
      <c r="P20" s="87">
        <f>IF(P8=0,0,P8/TrAvia_act!P16*100)</f>
        <v>397.82492852528054</v>
      </c>
      <c r="Q20" s="87">
        <f>IF(Q8=0,0,Q8/TrAvia_act!Q16*100)</f>
        <v>385.39835127623121</v>
      </c>
      <c r="R20" s="87">
        <f>IF(R8=0,0,R8/TrAvia_act!R16*100)</f>
        <v>390.35884495812854</v>
      </c>
      <c r="S20" s="87">
        <f>IF(S8=0,0,S8/TrAvia_act!S16*100)</f>
        <v>421.05406846310484</v>
      </c>
      <c r="T20" s="87">
        <f>IF(T8=0,0,T8/TrAvia_act!T16*100)</f>
        <v>457.29532604047745</v>
      </c>
      <c r="U20" s="87">
        <f>IF(U8=0,0,U8/TrAvia_act!U16*100)</f>
        <v>465.41846032845501</v>
      </c>
      <c r="V20" s="87">
        <f>IF(V8=0,0,V8/TrAvia_act!V16*100)</f>
        <v>370.04468169423956</v>
      </c>
      <c r="W20" s="87">
        <f>IF(W8=0,0,W8/TrAvia_act!W16*100)</f>
        <v>426.30424153477418</v>
      </c>
      <c r="X20" s="87">
        <f>IF(X8=0,0,X8/TrAvia_act!X16*100)</f>
        <v>433.42284293877992</v>
      </c>
      <c r="Y20" s="87">
        <f>IF(Y8=0,0,Y8/TrAvia_act!Y16*100)</f>
        <v>447.92935236719751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583.43324642893936</v>
      </c>
      <c r="C21" s="87">
        <f>IF(C9=0,0,C9/TrAvia_act!C17*100)</f>
        <v>584.05923426260267</v>
      </c>
      <c r="D21" s="87">
        <f>IF(D9=0,0,D9/TrAvia_act!D17*100)</f>
        <v>579.7971142151672</v>
      </c>
      <c r="E21" s="87">
        <f>IF(E9=0,0,E9/TrAvia_act!E17*100)</f>
        <v>370.04645929618482</v>
      </c>
      <c r="F21" s="87">
        <f>IF(F9=0,0,F9/TrAvia_act!F17*100)</f>
        <v>426.35408939868915</v>
      </c>
      <c r="G21" s="87">
        <f>IF(G9=0,0,G9/TrAvia_act!G17*100)</f>
        <v>434.57633324316191</v>
      </c>
      <c r="H21" s="87">
        <f>IF(H9=0,0,H9/TrAvia_act!H17*100)</f>
        <v>453.88801335708246</v>
      </c>
      <c r="I21" s="87">
        <f>IF(I9=0,0,I9/TrAvia_act!I17*100)</f>
        <v>414.9761877113537</v>
      </c>
      <c r="J21" s="87">
        <f>IF(J9=0,0,J9/TrAvia_act!J17*100)</f>
        <v>407.44541419961644</v>
      </c>
      <c r="K21" s="87">
        <f>IF(K9=0,0,K9/TrAvia_act!K17*100)</f>
        <v>394.32303574473571</v>
      </c>
      <c r="L21" s="87">
        <f>IF(L9=0,0,L9/TrAvia_act!L17*100)</f>
        <v>374.52011607450839</v>
      </c>
      <c r="M21" s="87">
        <f>IF(M9=0,0,M9/TrAvia_act!M17*100)</f>
        <v>343.80643233711669</v>
      </c>
      <c r="N21" s="87">
        <f>IF(N9=0,0,N9/TrAvia_act!N17*100)</f>
        <v>338.53700259004376</v>
      </c>
      <c r="O21" s="87">
        <f>IF(O9=0,0,O9/TrAvia_act!O17*100)</f>
        <v>331.98161316959334</v>
      </c>
      <c r="P21" s="87">
        <f>IF(P9=0,0,P9/TrAvia_act!P17*100)</f>
        <v>342.61175235557187</v>
      </c>
      <c r="Q21" s="87">
        <f>IF(Q9=0,0,Q9/TrAvia_act!Q17*100)</f>
        <v>353.92285076416186</v>
      </c>
      <c r="R21" s="87">
        <f>IF(R9=0,0,R9/TrAvia_act!R17*100)</f>
        <v>349.18798042108324</v>
      </c>
      <c r="S21" s="87">
        <f>IF(S9=0,0,S9/TrAvia_act!S17*100)</f>
        <v>324.14388398346205</v>
      </c>
      <c r="T21" s="87">
        <f>IF(T9=0,0,T9/TrAvia_act!T17*100)</f>
        <v>304.13656810032484</v>
      </c>
      <c r="U21" s="87">
        <f>IF(U9=0,0,U9/TrAvia_act!U17*100)</f>
        <v>302.69336428596534</v>
      </c>
      <c r="V21" s="87">
        <f>IF(V9=0,0,V9/TrAvia_act!V17*100)</f>
        <v>432.52253635867987</v>
      </c>
      <c r="W21" s="87">
        <f>IF(W9=0,0,W9/TrAvia_act!W17*100)</f>
        <v>402.85764338113574</v>
      </c>
      <c r="X21" s="87">
        <f>IF(X9=0,0,X9/TrAvia_act!X17*100)</f>
        <v>348.95783659319034</v>
      </c>
      <c r="Y21" s="87">
        <f>IF(Y9=0,0,Y9/TrAvia_act!Y17*100)</f>
        <v>362.91370015161476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829.56412322242784</v>
      </c>
      <c r="C22" s="15">
        <f>IF(C10=0,0,C10/TrAvia_act!C18*100)</f>
        <v>835.78080488414855</v>
      </c>
      <c r="D22" s="15">
        <f>IF(D10=0,0,D10/TrAvia_act!D18*100)</f>
        <v>821.35142169237213</v>
      </c>
      <c r="E22" s="15">
        <f>IF(E10=0,0,E10/TrAvia_act!E18*100)</f>
        <v>542.93120738180619</v>
      </c>
      <c r="F22" s="15">
        <f>IF(F10=0,0,F10/TrAvia_act!F18*100)</f>
        <v>571.55637088955677</v>
      </c>
      <c r="G22" s="15">
        <f>IF(G10=0,0,G10/TrAvia_act!G18*100)</f>
        <v>591.00318401705579</v>
      </c>
      <c r="H22" s="15">
        <f>IF(H10=0,0,H10/TrAvia_act!H18*100)</f>
        <v>597.75603308499558</v>
      </c>
      <c r="I22" s="15">
        <f>IF(I10=0,0,I10/TrAvia_act!I18*100)</f>
        <v>585.88559006276842</v>
      </c>
      <c r="J22" s="15">
        <f>IF(J10=0,0,J10/TrAvia_act!J18*100)</f>
        <v>605.79957190605182</v>
      </c>
      <c r="K22" s="15">
        <f>IF(K10=0,0,K10/TrAvia_act!K18*100)</f>
        <v>590.64622198247412</v>
      </c>
      <c r="L22" s="15">
        <f>IF(L10=0,0,L10/TrAvia_act!L18*100)</f>
        <v>549.00916108243246</v>
      </c>
      <c r="M22" s="15">
        <f>IF(M10=0,0,M10/TrAvia_act!M18*100)</f>
        <v>595.53504218155751</v>
      </c>
      <c r="N22" s="15">
        <f>IF(N10=0,0,N10/TrAvia_act!N18*100)</f>
        <v>604.25223273210497</v>
      </c>
      <c r="O22" s="15">
        <f>IF(O10=0,0,O10/TrAvia_act!O18*100)</f>
        <v>571.44106606545631</v>
      </c>
      <c r="P22" s="15">
        <f>IF(P10=0,0,P10/TrAvia_act!P18*100)</f>
        <v>559.01449827980321</v>
      </c>
      <c r="Q22" s="15">
        <f>IF(Q10=0,0,Q10/TrAvia_act!Q18*100)</f>
        <v>565.68988199131934</v>
      </c>
      <c r="R22" s="15">
        <f>IF(R10=0,0,R10/TrAvia_act!R18*100)</f>
        <v>538.88066338372403</v>
      </c>
      <c r="S22" s="15">
        <f>IF(S10=0,0,S10/TrAvia_act!S18*100)</f>
        <v>520.92727603420292</v>
      </c>
      <c r="T22" s="15">
        <f>IF(T10=0,0,T10/TrAvia_act!T18*100)</f>
        <v>574.5763675627968</v>
      </c>
      <c r="U22" s="15">
        <f>IF(U10=0,0,U10/TrAvia_act!U18*100)</f>
        <v>793.81789146658821</v>
      </c>
      <c r="V22" s="15">
        <f>IF(V10=0,0,V10/TrAvia_act!V18*100)</f>
        <v>1167.2313751939234</v>
      </c>
      <c r="W22" s="15">
        <f>IF(W10=0,0,W10/TrAvia_act!W18*100)</f>
        <v>498.64778044646164</v>
      </c>
      <c r="X22" s="15">
        <f>IF(X10=0,0,X10/TrAvia_act!X18*100)</f>
        <v>465.1140038679489</v>
      </c>
      <c r="Y22" s="15">
        <f>IF(Y10=0,0,Y10/TrAvia_act!Y18*100)</f>
        <v>443.21343794903021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8844.6489315278686</v>
      </c>
      <c r="C23" s="101">
        <f>IF(C11=0,0,C11/TrAvia_act!C19*100)</f>
        <v>8881.2730418936844</v>
      </c>
      <c r="D23" s="101">
        <f>IF(D11=0,0,D11/TrAvia_act!D19*100)</f>
        <v>8793.5902679606133</v>
      </c>
      <c r="E23" s="101">
        <f>IF(E11=0,0,E11/TrAvia_act!E19*100)</f>
        <v>8344.0210835323542</v>
      </c>
      <c r="F23" s="101">
        <f>IF(F11=0,0,F11/TrAvia_act!F19*100)</f>
        <v>4963.3095810583463</v>
      </c>
      <c r="G23" s="101">
        <f>IF(G11=0,0,G11/TrAvia_act!G19*100)</f>
        <v>3413.6721447639088</v>
      </c>
      <c r="H23" s="101">
        <f>IF(H11=0,0,H11/TrAvia_act!H19*100)</f>
        <v>1691.4481862604266</v>
      </c>
      <c r="I23" s="101">
        <f>IF(I11=0,0,I11/TrAvia_act!I19*100)</f>
        <v>3417.3180674730966</v>
      </c>
      <c r="J23" s="101">
        <f>IF(J11=0,0,J11/TrAvia_act!J19*100)</f>
        <v>3287.6010802321994</v>
      </c>
      <c r="K23" s="101">
        <f>IF(K11=0,0,K11/TrAvia_act!K19*100)</f>
        <v>1753.0816439552696</v>
      </c>
      <c r="L23" s="101">
        <f>IF(L11=0,0,L11/TrAvia_act!L19*100)</f>
        <v>2044.2694118774327</v>
      </c>
      <c r="M23" s="101">
        <f>IF(M11=0,0,M11/TrAvia_act!M19*100)</f>
        <v>4833.4385618024944</v>
      </c>
      <c r="N23" s="101">
        <f>IF(N11=0,0,N11/TrAvia_act!N19*100)</f>
        <v>3058.2892689149544</v>
      </c>
      <c r="O23" s="101">
        <f>IF(O11=0,0,O11/TrAvia_act!O19*100)</f>
        <v>3978.8062747539584</v>
      </c>
      <c r="P23" s="101">
        <f>IF(P11=0,0,P11/TrAvia_act!P19*100)</f>
        <v>3145.4983973370231</v>
      </c>
      <c r="Q23" s="101">
        <f>IF(Q11=0,0,Q11/TrAvia_act!Q19*100)</f>
        <v>6239.5917403827161</v>
      </c>
      <c r="R23" s="101">
        <f>IF(R11=0,0,R11/TrAvia_act!R19*100)</f>
        <v>7220.8699734343209</v>
      </c>
      <c r="S23" s="101">
        <f>IF(S11=0,0,S11/TrAvia_act!S19*100)</f>
        <v>12994.251126883668</v>
      </c>
      <c r="T23" s="101">
        <f>IF(T11=0,0,T11/TrAvia_act!T19*100)</f>
        <v>8644.7068494674986</v>
      </c>
      <c r="U23" s="101">
        <f>IF(U11=0,0,U11/TrAvia_act!U19*100)</f>
        <v>29464.667553848823</v>
      </c>
      <c r="V23" s="101">
        <f>IF(V11=0,0,V11/TrAvia_act!V19*100)</f>
        <v>39451.710640345002</v>
      </c>
      <c r="W23" s="101">
        <f>IF(W11=0,0,W11/TrAvia_act!W19*100)</f>
        <v>4370.9750243353374</v>
      </c>
      <c r="X23" s="101">
        <f>IF(X11=0,0,X11/TrAvia_act!X19*100)</f>
        <v>5819.6818247456495</v>
      </c>
      <c r="Y23" s="101">
        <f>IF(Y11=0,0,Y11/TrAvia_act!Y19*100)</f>
        <v>5464.9054146471872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501.09186519792905</v>
      </c>
      <c r="C24" s="101">
        <f>IF(C12=0,0,C12/TrAvia_act!C20*100)</f>
        <v>502.66432291328817</v>
      </c>
      <c r="D24" s="101">
        <f>IF(D12=0,0,D12/TrAvia_act!D20*100)</f>
        <v>497.76779408821898</v>
      </c>
      <c r="E24" s="101">
        <f>IF(E12=0,0,E12/TrAvia_act!E20*100)</f>
        <v>316.33543559074093</v>
      </c>
      <c r="F24" s="101">
        <f>IF(F12=0,0,F12/TrAvia_act!F20*100)</f>
        <v>364.30193181479467</v>
      </c>
      <c r="G24" s="101">
        <f>IF(G12=0,0,G12/TrAvia_act!G20*100)</f>
        <v>361.70836020654849</v>
      </c>
      <c r="H24" s="101">
        <f>IF(H12=0,0,H12/TrAvia_act!H20*100)</f>
        <v>378.63667614673091</v>
      </c>
      <c r="I24" s="101">
        <f>IF(I12=0,0,I12/TrAvia_act!I20*100)</f>
        <v>369.14268848902145</v>
      </c>
      <c r="J24" s="101">
        <f>IF(J12=0,0,J12/TrAvia_act!J20*100)</f>
        <v>357.19984910566734</v>
      </c>
      <c r="K24" s="101">
        <f>IF(K12=0,0,K12/TrAvia_act!K20*100)</f>
        <v>385.44937428325358</v>
      </c>
      <c r="L24" s="101">
        <f>IF(L12=0,0,L12/TrAvia_act!L20*100)</f>
        <v>372.37766630543956</v>
      </c>
      <c r="M24" s="101">
        <f>IF(M12=0,0,M12/TrAvia_act!M20*100)</f>
        <v>376.83695362864722</v>
      </c>
      <c r="N24" s="101">
        <f>IF(N12=0,0,N12/TrAvia_act!N20*100)</f>
        <v>415.68820391937999</v>
      </c>
      <c r="O24" s="101">
        <f>IF(O12=0,0,O12/TrAvia_act!O20*100)</f>
        <v>413.15420065300719</v>
      </c>
      <c r="P24" s="101">
        <f>IF(P12=0,0,P12/TrAvia_act!P20*100)</f>
        <v>431.78296600792743</v>
      </c>
      <c r="Q24" s="101">
        <f>IF(Q12=0,0,Q12/TrAvia_act!Q20*100)</f>
        <v>419.69820999876788</v>
      </c>
      <c r="R24" s="101">
        <f>IF(R12=0,0,R12/TrAvia_act!R20*100)</f>
        <v>427.91581859364055</v>
      </c>
      <c r="S24" s="101">
        <f>IF(S12=0,0,S12/TrAvia_act!S20*100)</f>
        <v>458.15312236146229</v>
      </c>
      <c r="T24" s="101">
        <f>IF(T12=0,0,T12/TrAvia_act!T20*100)</f>
        <v>490.66235568446695</v>
      </c>
      <c r="U24" s="101">
        <f>IF(U12=0,0,U12/TrAvia_act!U20*100)</f>
        <v>501.45593802221117</v>
      </c>
      <c r="V24" s="101">
        <f>IF(V12=0,0,V12/TrAvia_act!V20*100)</f>
        <v>437.17643332596634</v>
      </c>
      <c r="W24" s="101">
        <f>IF(W12=0,0,W12/TrAvia_act!W20*100)</f>
        <v>509.39405629605136</v>
      </c>
      <c r="X24" s="101">
        <f>IF(X12=0,0,X12/TrAvia_act!X20*100)</f>
        <v>494.61407413892562</v>
      </c>
      <c r="Y24" s="101">
        <f>IF(Y12=0,0,Y12/TrAvia_act!Y20*100)</f>
        <v>497.32979404471661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966.89870690014016</v>
      </c>
      <c r="C25" s="88">
        <f>IF(C13=0,0,C13/TrAvia_act!C21*100)</f>
        <v>967.93612948551538</v>
      </c>
      <c r="D25" s="88">
        <f>IF(D13=0,0,D13/TrAvia_act!D21*100)</f>
        <v>960.87270211358828</v>
      </c>
      <c r="E25" s="88">
        <f>IF(E13=0,0,E13/TrAvia_act!E21*100)</f>
        <v>613.26200585320146</v>
      </c>
      <c r="F25" s="88">
        <f>IF(F13=0,0,F13/TrAvia_act!F21*100)</f>
        <v>706.57820795166015</v>
      </c>
      <c r="G25" s="88">
        <f>IF(G13=0,0,G13/TrAvia_act!G21*100)</f>
        <v>738.32658750368728</v>
      </c>
      <c r="H25" s="88">
        <f>IF(H13=0,0,H13/TrAvia_act!H21*100)</f>
        <v>780.38532520690808</v>
      </c>
      <c r="I25" s="88">
        <f>IF(I13=0,0,I13/TrAvia_act!I21*100)</f>
        <v>702.65409142996737</v>
      </c>
      <c r="J25" s="88">
        <f>IF(J13=0,0,J13/TrAvia_act!J21*100)</f>
        <v>684.89535355354803</v>
      </c>
      <c r="K25" s="88">
        <f>IF(K13=0,0,K13/TrAvia_act!K21*100)</f>
        <v>652.52271702425355</v>
      </c>
      <c r="L25" s="88">
        <f>IF(L13=0,0,L13/TrAvia_act!L21*100)</f>
        <v>612.33930617126123</v>
      </c>
      <c r="M25" s="88">
        <f>IF(M13=0,0,M13/TrAvia_act!M21*100)</f>
        <v>592.45575070847985</v>
      </c>
      <c r="N25" s="88">
        <f>IF(N13=0,0,N13/TrAvia_act!N21*100)</f>
        <v>615.93908424014455</v>
      </c>
      <c r="O25" s="88">
        <f>IF(O13=0,0,O13/TrAvia_act!O21*100)</f>
        <v>581.91436071411385</v>
      </c>
      <c r="P25" s="88">
        <f>IF(P13=0,0,P13/TrAvia_act!P21*100)</f>
        <v>585.15963999884502</v>
      </c>
      <c r="Q25" s="88">
        <f>IF(Q13=0,0,Q13/TrAvia_act!Q21*100)</f>
        <v>581.0074791102561</v>
      </c>
      <c r="R25" s="88">
        <f>IF(R13=0,0,R13/TrAvia_act!R21*100)</f>
        <v>546.64317784024604</v>
      </c>
      <c r="S25" s="88">
        <f>IF(S13=0,0,S13/TrAvia_act!S21*100)</f>
        <v>495.8534640694383</v>
      </c>
      <c r="T25" s="88">
        <f>IF(T13=0,0,T13/TrAvia_act!T21*100)</f>
        <v>438.56984201065768</v>
      </c>
      <c r="U25" s="88">
        <f>IF(U13=0,0,U13/TrAvia_act!U21*100)</f>
        <v>422.56247410958537</v>
      </c>
      <c r="V25" s="88">
        <f>IF(V13=0,0,V13/TrAvia_act!V21*100)</f>
        <v>418.21778729520105</v>
      </c>
      <c r="W25" s="88">
        <f>IF(W13=0,0,W13/TrAvia_act!W21*100)</f>
        <v>272.49939061988727</v>
      </c>
      <c r="X25" s="88">
        <f>IF(X13=0,0,X13/TrAvia_act!X21*100)</f>
        <v>342.65851334296264</v>
      </c>
      <c r="Y25" s="88">
        <f>IF(Y13=0,0,Y13/TrAvia_act!Y21*100)</f>
        <v>353.10573331221985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60.163650297090932</v>
      </c>
      <c r="C28" s="14">
        <f>IF(C6=0,0,C6/TrAvia_act!C4*1000)</f>
        <v>63.193375295133869</v>
      </c>
      <c r="D28" s="14">
        <f>IF(D6=0,0,D6/TrAvia_act!D4*1000)</f>
        <v>57.979038393828091</v>
      </c>
      <c r="E28" s="14">
        <f>IF(E6=0,0,E6/TrAvia_act!E4*1000)</f>
        <v>39.706948457437385</v>
      </c>
      <c r="F28" s="14">
        <f>IF(F6=0,0,F6/TrAvia_act!F4*1000)</f>
        <v>40.533189367004177</v>
      </c>
      <c r="G28" s="14">
        <f>IF(G6=0,0,G6/TrAvia_act!G4*1000)</f>
        <v>39.351565469078992</v>
      </c>
      <c r="H28" s="14">
        <f>IF(H6=0,0,H6/TrAvia_act!H4*1000)</f>
        <v>38.838203808845449</v>
      </c>
      <c r="I28" s="14">
        <f>IF(I6=0,0,I6/TrAvia_act!I4*1000)</f>
        <v>39.79918635877128</v>
      </c>
      <c r="J28" s="14">
        <f>IF(J6=0,0,J6/TrAvia_act!J4*1000)</f>
        <v>40.928468010878362</v>
      </c>
      <c r="K28" s="14">
        <f>IF(K6=0,0,K6/TrAvia_act!K4*1000)</f>
        <v>40.702883890664445</v>
      </c>
      <c r="L28" s="14">
        <f>IF(L6=0,0,L6/TrAvia_act!L4*1000)</f>
        <v>37.163916294091742</v>
      </c>
      <c r="M28" s="14">
        <f>IF(M6=0,0,M6/TrAvia_act!M4*1000)</f>
        <v>35.93215741741102</v>
      </c>
      <c r="N28" s="14">
        <f>IF(N6=0,0,N6/TrAvia_act!N4*1000)</f>
        <v>34.365180855996236</v>
      </c>
      <c r="O28" s="14">
        <f>IF(O6=0,0,O6/TrAvia_act!O4*1000)</f>
        <v>32.805268241632817</v>
      </c>
      <c r="P28" s="14">
        <f>IF(P6=0,0,P6/TrAvia_act!P4*1000)</f>
        <v>32.817494618732162</v>
      </c>
      <c r="Q28" s="14">
        <f>IF(Q6=0,0,Q6/TrAvia_act!Q4*1000)</f>
        <v>33.211065011437611</v>
      </c>
      <c r="R28" s="14">
        <f>IF(R6=0,0,R6/TrAvia_act!R4*1000)</f>
        <v>32.824302174757875</v>
      </c>
      <c r="S28" s="14">
        <f>IF(S6=0,0,S6/TrAvia_act!S4*1000)</f>
        <v>30.796717620480983</v>
      </c>
      <c r="T28" s="14">
        <f>IF(T6=0,0,T6/TrAvia_act!T4*1000)</f>
        <v>29.419392608602688</v>
      </c>
      <c r="U28" s="14">
        <f>IF(U6=0,0,U6/TrAvia_act!U4*1000)</f>
        <v>28.633272861685825</v>
      </c>
      <c r="V28" s="14">
        <f>IF(V6=0,0,V6/TrAvia_act!V4*1000)</f>
        <v>45.17638347129941</v>
      </c>
      <c r="W28" s="14">
        <f>IF(W6=0,0,W6/TrAvia_act!W4*1000)</f>
        <v>38.250680622168197</v>
      </c>
      <c r="X28" s="14">
        <f>IF(X6=0,0,X6/TrAvia_act!X4*1000)</f>
        <v>27.900132366913258</v>
      </c>
      <c r="Y28" s="14">
        <f>IF(Y6=0,0,Y6/TrAvia_act!Y4*1000)</f>
        <v>27.002722776282116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2082.7589814664434</v>
      </c>
      <c r="C29" s="87">
        <f>IF(C7=0,0,C7/TrAvia_act!C5*1000)</f>
        <v>2076.9753429432917</v>
      </c>
      <c r="D29" s="87">
        <f>IF(D7=0,0,D7/TrAvia_act!D5*1000)</f>
        <v>2037.2536424817347</v>
      </c>
      <c r="E29" s="87">
        <f>IF(E7=0,0,E7/TrAvia_act!E5*1000)</f>
        <v>1895.5678801799538</v>
      </c>
      <c r="F29" s="87">
        <f>IF(F7=0,0,F7/TrAvia_act!F5*1000)</f>
        <v>1371.0181728638058</v>
      </c>
      <c r="G29" s="87">
        <f>IF(G7=0,0,G7/TrAvia_act!G5*1000)</f>
        <v>621.80546669803653</v>
      </c>
      <c r="H29" s="87">
        <f>IF(H7=0,0,H7/TrAvia_act!H5*1000)</f>
        <v>305.67870830236592</v>
      </c>
      <c r="I29" s="87">
        <f>IF(I7=0,0,I7/TrAvia_act!I5*1000)</f>
        <v>655.56658106429234</v>
      </c>
      <c r="J29" s="87">
        <f>IF(J7=0,0,J7/TrAvia_act!J5*1000)</f>
        <v>718.7517367819637</v>
      </c>
      <c r="K29" s="87">
        <f>IF(K7=0,0,K7/TrAvia_act!K5*1000)</f>
        <v>547.60987574030037</v>
      </c>
      <c r="L29" s="87">
        <f>IF(L7=0,0,L7/TrAvia_act!L5*1000)</f>
        <v>616.2809666215046</v>
      </c>
      <c r="M29" s="87">
        <f>IF(M7=0,0,M7/TrAvia_act!M5*1000)</f>
        <v>1331.5068325699217</v>
      </c>
      <c r="N29" s="87">
        <f>IF(N7=0,0,N7/TrAvia_act!N5*1000)</f>
        <v>669.02016134548899</v>
      </c>
      <c r="O29" s="87">
        <f>IF(O7=0,0,O7/TrAvia_act!O5*1000)</f>
        <v>852.19847547534982</v>
      </c>
      <c r="P29" s="87">
        <f>IF(P7=0,0,P7/TrAvia_act!P5*1000)</f>
        <v>749.99844873435427</v>
      </c>
      <c r="Q29" s="87">
        <f>IF(Q7=0,0,Q7/TrAvia_act!Q5*1000)</f>
        <v>1564.9579338119315</v>
      </c>
      <c r="R29" s="87">
        <f>IF(R7=0,0,R7/TrAvia_act!R5*1000)</f>
        <v>2216.1878709942152</v>
      </c>
      <c r="S29" s="87">
        <f>IF(S7=0,0,S7/TrAvia_act!S5*1000)</f>
        <v>3664.1002126966177</v>
      </c>
      <c r="T29" s="87">
        <f>IF(T7=0,0,T7/TrAvia_act!T5*1000)</f>
        <v>1959.5929282339309</v>
      </c>
      <c r="U29" s="87">
        <f>IF(U7=0,0,U7/TrAvia_act!U5*1000)</f>
        <v>5392.1442346271606</v>
      </c>
      <c r="V29" s="87">
        <f>IF(V7=0,0,V7/TrAvia_act!V5*1000)</f>
        <v>20513.271598366227</v>
      </c>
      <c r="W29" s="87">
        <f>IF(W7=0,0,W7/TrAvia_act!W5*1000)</f>
        <v>960.33577994702989</v>
      </c>
      <c r="X29" s="87">
        <f>IF(X7=0,0,X7/TrAvia_act!X5*1000)</f>
        <v>978.54825611180127</v>
      </c>
      <c r="Y29" s="87">
        <f>IF(Y7=0,0,Y7/TrAvia_act!Y5*1000)</f>
        <v>1018.9861165611782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49.018717324856752</v>
      </c>
      <c r="C30" s="87">
        <f>IF(C8=0,0,C8/TrAvia_act!C6*1000)</f>
        <v>48.61687270189244</v>
      </c>
      <c r="D30" s="87">
        <f>IF(D8=0,0,D8/TrAvia_act!D6*1000)</f>
        <v>48.276259819060343</v>
      </c>
      <c r="E30" s="87">
        <f>IF(E8=0,0,E8/TrAvia_act!E6*1000)</f>
        <v>31.184894719513245</v>
      </c>
      <c r="F30" s="87">
        <f>IF(F8=0,0,F8/TrAvia_act!F6*1000)</f>
        <v>37.18342626164084</v>
      </c>
      <c r="G30" s="87">
        <f>IF(G8=0,0,G8/TrAvia_act!G6*1000)</f>
        <v>37.778019874704697</v>
      </c>
      <c r="H30" s="87">
        <f>IF(H8=0,0,H8/TrAvia_act!H6*1000)</f>
        <v>39.019487421990398</v>
      </c>
      <c r="I30" s="87">
        <f>IF(I8=0,0,I8/TrAvia_act!I6*1000)</f>
        <v>39.493948470712233</v>
      </c>
      <c r="J30" s="87">
        <f>IF(J8=0,0,J8/TrAvia_act!J6*1000)</f>
        <v>40.070213714740824</v>
      </c>
      <c r="K30" s="87">
        <f>IF(K8=0,0,K8/TrAvia_act!K6*1000)</f>
        <v>41.685652827590154</v>
      </c>
      <c r="L30" s="87">
        <f>IF(L8=0,0,L8/TrAvia_act!L6*1000)</f>
        <v>39.430331336662881</v>
      </c>
      <c r="M30" s="87">
        <f>IF(M8=0,0,M8/TrAvia_act!M6*1000)</f>
        <v>36.910440273991618</v>
      </c>
      <c r="N30" s="87">
        <f>IF(N8=0,0,N8/TrAvia_act!N6*1000)</f>
        <v>38.113371553621597</v>
      </c>
      <c r="O30" s="87">
        <f>IF(O8=0,0,O8/TrAvia_act!O6*1000)</f>
        <v>37.649287170920573</v>
      </c>
      <c r="P30" s="87">
        <f>IF(P8=0,0,P8/TrAvia_act!P6*1000)</f>
        <v>38.074788930259068</v>
      </c>
      <c r="Q30" s="87">
        <f>IF(Q8=0,0,Q8/TrAvia_act!Q6*1000)</f>
        <v>35.676016229883395</v>
      </c>
      <c r="R30" s="87">
        <f>IF(R8=0,0,R8/TrAvia_act!R6*1000)</f>
        <v>35.980635932291534</v>
      </c>
      <c r="S30" s="87">
        <f>IF(S8=0,0,S8/TrAvia_act!S6*1000)</f>
        <v>34.819803289784559</v>
      </c>
      <c r="T30" s="87">
        <f>IF(T8=0,0,T8/TrAvia_act!T6*1000)</f>
        <v>37.172763280368791</v>
      </c>
      <c r="U30" s="87">
        <f>IF(U8=0,0,U8/TrAvia_act!U6*1000)</f>
        <v>36.429224026010921</v>
      </c>
      <c r="V30" s="87">
        <f>IF(V8=0,0,V8/TrAvia_act!V6*1000)</f>
        <v>37.108657112304989</v>
      </c>
      <c r="W30" s="87">
        <f>IF(W8=0,0,W8/TrAvia_act!W6*1000)</f>
        <v>40.803058492579034</v>
      </c>
      <c r="X30" s="87">
        <f>IF(X8=0,0,X8/TrAvia_act!X6*1000)</f>
        <v>33.145582650607466</v>
      </c>
      <c r="Y30" s="87">
        <f>IF(Y8=0,0,Y8/TrAvia_act!Y6*1000)</f>
        <v>32.858349941395282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46.938635997757231</v>
      </c>
      <c r="C31" s="87">
        <f>IF(C9=0,0,C9/TrAvia_act!C7*1000)</f>
        <v>46.813988952826925</v>
      </c>
      <c r="D31" s="87">
        <f>IF(D9=0,0,D9/TrAvia_act!D7*1000)</f>
        <v>46.29267226207476</v>
      </c>
      <c r="E31" s="87">
        <f>IF(E9=0,0,E9/TrAvia_act!E7*1000)</f>
        <v>29.619746502315131</v>
      </c>
      <c r="F31" s="87">
        <f>IF(F9=0,0,F9/TrAvia_act!F7*1000)</f>
        <v>31.891643677626252</v>
      </c>
      <c r="G31" s="87">
        <f>IF(G9=0,0,G9/TrAvia_act!G7*1000)</f>
        <v>33.145670592916822</v>
      </c>
      <c r="H31" s="87">
        <f>IF(H9=0,0,H9/TrAvia_act!H7*1000)</f>
        <v>34.206457811209816</v>
      </c>
      <c r="I31" s="87">
        <f>IF(I9=0,0,I9/TrAvia_act!I7*1000)</f>
        <v>31.060771830057856</v>
      </c>
      <c r="J31" s="87">
        <f>IF(J9=0,0,J9/TrAvia_act!J7*1000)</f>
        <v>31.289246692089595</v>
      </c>
      <c r="K31" s="87">
        <f>IF(K9=0,0,K9/TrAvia_act!K7*1000)</f>
        <v>31.989654492937046</v>
      </c>
      <c r="L31" s="87">
        <f>IF(L9=0,0,L9/TrAvia_act!L7*1000)</f>
        <v>28.014529666977513</v>
      </c>
      <c r="M31" s="87">
        <f>IF(M9=0,0,M9/TrAvia_act!M7*1000)</f>
        <v>25.650769933024545</v>
      </c>
      <c r="N31" s="87">
        <f>IF(N9=0,0,N9/TrAvia_act!N7*1000)</f>
        <v>25.887897458888318</v>
      </c>
      <c r="O31" s="87">
        <f>IF(O9=0,0,O9/TrAvia_act!O7*1000)</f>
        <v>24.050176700280364</v>
      </c>
      <c r="P31" s="87">
        <f>IF(P9=0,0,P9/TrAvia_act!P7*1000)</f>
        <v>23.997209237243894</v>
      </c>
      <c r="Q31" s="87">
        <f>IF(Q9=0,0,Q9/TrAvia_act!Q7*1000)</f>
        <v>23.050164161497992</v>
      </c>
      <c r="R31" s="87">
        <f>IF(R9=0,0,R9/TrAvia_act!R7*1000)</f>
        <v>21.718537831332352</v>
      </c>
      <c r="S31" s="87">
        <f>IF(S9=0,0,S9/TrAvia_act!S7*1000)</f>
        <v>19.044784087081293</v>
      </c>
      <c r="T31" s="87">
        <f>IF(T9=0,0,T9/TrAvia_act!T7*1000)</f>
        <v>18.661429022935121</v>
      </c>
      <c r="U31" s="87">
        <f>IF(U9=0,0,U9/TrAvia_act!U7*1000)</f>
        <v>17.835526836735838</v>
      </c>
      <c r="V31" s="87">
        <f>IF(V9=0,0,V9/TrAvia_act!V7*1000)</f>
        <v>33.771868959463418</v>
      </c>
      <c r="W31" s="87">
        <f>IF(W9=0,0,W9/TrAvia_act!W7*1000)</f>
        <v>32.95930625410525</v>
      </c>
      <c r="X31" s="87">
        <f>IF(X9=0,0,X9/TrAvia_act!X7*1000)</f>
        <v>20.836013776061154</v>
      </c>
      <c r="Y31" s="87">
        <f>IF(Y9=0,0,Y9/TrAvia_act!Y7*1000)</f>
        <v>19.874033209841357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143.61565628364809</v>
      </c>
      <c r="C32" s="15">
        <f>IF(C10=0,0,C10/TrAvia_act!C8*1000)</f>
        <v>136.56973006210507</v>
      </c>
      <c r="D32" s="15">
        <f>IF(D10=0,0,D10/TrAvia_act!D8*1000)</f>
        <v>144.50237588355918</v>
      </c>
      <c r="E32" s="15">
        <f>IF(E10=0,0,E10/TrAvia_act!E8*1000)</f>
        <v>96.859140780333533</v>
      </c>
      <c r="F32" s="15">
        <f>IF(F10=0,0,F10/TrAvia_act!F8*1000)</f>
        <v>115.31672993735201</v>
      </c>
      <c r="G32" s="15">
        <f>IF(G10=0,0,G10/TrAvia_act!G8*1000)</f>
        <v>126.15722039141464</v>
      </c>
      <c r="H32" s="15">
        <f>IF(H10=0,0,H10/TrAvia_act!H8*1000)</f>
        <v>143.07054820253882</v>
      </c>
      <c r="I32" s="15">
        <f>IF(I10=0,0,I10/TrAvia_act!I8*1000)</f>
        <v>145.04498296524281</v>
      </c>
      <c r="J32" s="15">
        <f>IF(J10=0,0,J10/TrAvia_act!J8*1000)</f>
        <v>142.04767553862959</v>
      </c>
      <c r="K32" s="15">
        <f>IF(K10=0,0,K10/TrAvia_act!K8*1000)</f>
        <v>117.09081502964096</v>
      </c>
      <c r="L32" s="15">
        <f>IF(L10=0,0,L10/TrAvia_act!L8*1000)</f>
        <v>110.80719517885309</v>
      </c>
      <c r="M32" s="15">
        <f>IF(M10=0,0,M10/TrAvia_act!M8*1000)</f>
        <v>100.9261097442093</v>
      </c>
      <c r="N32" s="15">
        <f>IF(N10=0,0,N10/TrAvia_act!N8*1000)</f>
        <v>93.410010528325429</v>
      </c>
      <c r="O32" s="15">
        <f>IF(O10=0,0,O10/TrAvia_act!O8*1000)</f>
        <v>87.103607194461048</v>
      </c>
      <c r="P32" s="15">
        <f>IF(P10=0,0,P10/TrAvia_act!P8*1000)</f>
        <v>74.862452604600307</v>
      </c>
      <c r="Q32" s="15">
        <f>IF(Q10=0,0,Q10/TrAvia_act!Q8*1000)</f>
        <v>76.332972754633275</v>
      </c>
      <c r="R32" s="15">
        <f>IF(R10=0,0,R10/TrAvia_act!R8*1000)</f>
        <v>64.519298294421361</v>
      </c>
      <c r="S32" s="15">
        <f>IF(S10=0,0,S10/TrAvia_act!S8*1000)</f>
        <v>66.6368357200259</v>
      </c>
      <c r="T32" s="15">
        <f>IF(T10=0,0,T10/TrAvia_act!T8*1000)</f>
        <v>78.712611112329085</v>
      </c>
      <c r="U32" s="15">
        <f>IF(U10=0,0,U10/TrAvia_act!U8*1000)</f>
        <v>99.654211271560385</v>
      </c>
      <c r="V32" s="15">
        <f>IF(V10=0,0,V10/TrAvia_act!V8*1000)</f>
        <v>253.51401068115663</v>
      </c>
      <c r="W32" s="15">
        <f>IF(W10=0,0,W10/TrAvia_act!W8*1000)</f>
        <v>126.42592137510682</v>
      </c>
      <c r="X32" s="15">
        <f>IF(X10=0,0,X10/TrAvia_act!X8*1000)</f>
        <v>109.47348295957374</v>
      </c>
      <c r="Y32" s="15">
        <f>IF(Y10=0,0,Y10/TrAvia_act!Y8*1000)</f>
        <v>102.65922980793553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8997.1041342692188</v>
      </c>
      <c r="C33" s="101">
        <f>IF(C11=0,0,C11/TrAvia_act!C9*1000)</f>
        <v>9103.7873516634136</v>
      </c>
      <c r="D33" s="101">
        <f>IF(D11=0,0,D11/TrAvia_act!D9*1000)</f>
        <v>8765.5957776769228</v>
      </c>
      <c r="E33" s="101">
        <f>IF(E11=0,0,E11/TrAvia_act!E9*1000)</f>
        <v>7819.4156403162542</v>
      </c>
      <c r="F33" s="101">
        <f>IF(F11=0,0,F11/TrAvia_act!F9*1000)</f>
        <v>4939.4576420381045</v>
      </c>
      <c r="G33" s="101">
        <f>IF(G11=0,0,G11/TrAvia_act!G9*1000)</f>
        <v>3471.4392688530688</v>
      </c>
      <c r="H33" s="101">
        <f>IF(H11=0,0,H11/TrAvia_act!H9*1000)</f>
        <v>1788.2177302877978</v>
      </c>
      <c r="I33" s="101">
        <f>IF(I11=0,0,I11/TrAvia_act!I9*1000)</f>
        <v>3626.2907669935908</v>
      </c>
      <c r="J33" s="101">
        <f>IF(J11=0,0,J11/TrAvia_act!J9*1000)</f>
        <v>3626.0972147343882</v>
      </c>
      <c r="K33" s="101">
        <f>IF(K11=0,0,K11/TrAvia_act!K9*1000)</f>
        <v>1917.0234946353432</v>
      </c>
      <c r="L33" s="101">
        <f>IF(L11=0,0,L11/TrAvia_act!L9*1000)</f>
        <v>2090.0557840206498</v>
      </c>
      <c r="M33" s="101">
        <f>IF(M11=0,0,M11/TrAvia_act!M9*1000)</f>
        <v>4413.3812199357844</v>
      </c>
      <c r="N33" s="101">
        <f>IF(N11=0,0,N11/TrAvia_act!N9*1000)</f>
        <v>2732.7145214644938</v>
      </c>
      <c r="O33" s="101">
        <f>IF(O11=0,0,O11/TrAvia_act!O9*1000)</f>
        <v>3468.1253859143803</v>
      </c>
      <c r="P33" s="101">
        <f>IF(P11=0,0,P11/TrAvia_act!P9*1000)</f>
        <v>2443.5712559120893</v>
      </c>
      <c r="Q33" s="101">
        <f>IF(Q11=0,0,Q11/TrAvia_act!Q9*1000)</f>
        <v>4720.8914380584001</v>
      </c>
      <c r="R33" s="101">
        <f>IF(R11=0,0,R11/TrAvia_act!R9*1000)</f>
        <v>4731.5256479830359</v>
      </c>
      <c r="S33" s="101">
        <f>IF(S11=0,0,S11/TrAvia_act!S9*1000)</f>
        <v>9256.8935191463152</v>
      </c>
      <c r="T33" s="101">
        <f>IF(T11=0,0,T11/TrAvia_act!T9*1000)</f>
        <v>6076.5697642507766</v>
      </c>
      <c r="U33" s="101">
        <f>IF(U11=0,0,U11/TrAvia_act!U9*1000)</f>
        <v>20829.44753709729</v>
      </c>
      <c r="V33" s="101">
        <f>IF(V11=0,0,V11/TrAvia_act!V9*1000)</f>
        <v>32058.218602844972</v>
      </c>
      <c r="W33" s="101">
        <f>IF(W11=0,0,W11/TrAvia_act!W9*1000)</f>
        <v>3176.2172541201098</v>
      </c>
      <c r="X33" s="101">
        <f>IF(X11=0,0,X11/TrAvia_act!X9*1000)</f>
        <v>4269.8388173767999</v>
      </c>
      <c r="Y33" s="101">
        <f>IF(Y11=0,0,Y11/TrAvia_act!Y9*1000)</f>
        <v>4127.6417835043449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199.11662875768516</v>
      </c>
      <c r="C34" s="101">
        <f>IF(C12=0,0,C12/TrAvia_act!C10*1000)</f>
        <v>189.87306072425883</v>
      </c>
      <c r="D34" s="101">
        <f>IF(D12=0,0,D12/TrAvia_act!D10*1000)</f>
        <v>198.94253923784376</v>
      </c>
      <c r="E34" s="101">
        <f>IF(E12=0,0,E12/TrAvia_act!E10*1000)</f>
        <v>127.26370354947042</v>
      </c>
      <c r="F34" s="101">
        <f>IF(F12=0,0,F12/TrAvia_act!F10*1000)</f>
        <v>161.31730094189339</v>
      </c>
      <c r="G34" s="101">
        <f>IF(G12=0,0,G12/TrAvia_act!G10*1000)</f>
        <v>161.50647387774214</v>
      </c>
      <c r="H34" s="101">
        <f>IF(H12=0,0,H12/TrAvia_act!H10*1000)</f>
        <v>191.60332714062338</v>
      </c>
      <c r="I34" s="101">
        <f>IF(I12=0,0,I12/TrAvia_act!I10*1000)</f>
        <v>188.16156779409269</v>
      </c>
      <c r="J34" s="101">
        <f>IF(J12=0,0,J12/TrAvia_act!J10*1000)</f>
        <v>183.23818346146402</v>
      </c>
      <c r="K34" s="101">
        <f>IF(K12=0,0,K12/TrAvia_act!K10*1000)</f>
        <v>194.22263914008664</v>
      </c>
      <c r="L34" s="101">
        <f>IF(L12=0,0,L12/TrAvia_act!L10*1000)</f>
        <v>184.06802884269371</v>
      </c>
      <c r="M34" s="101">
        <f>IF(M12=0,0,M12/TrAvia_act!M10*1000)</f>
        <v>177.35920855931826</v>
      </c>
      <c r="N34" s="101">
        <f>IF(N12=0,0,N12/TrAvia_act!N10*1000)</f>
        <v>179.15588026273988</v>
      </c>
      <c r="O34" s="101">
        <f>IF(O12=0,0,O12/TrAvia_act!O10*1000)</f>
        <v>183.00185477251134</v>
      </c>
      <c r="P34" s="101">
        <f>IF(P12=0,0,P12/TrAvia_act!P10*1000)</f>
        <v>166.50822565773825</v>
      </c>
      <c r="Q34" s="101">
        <f>IF(Q12=0,0,Q12/TrAvia_act!Q10*1000)</f>
        <v>162.57146460692883</v>
      </c>
      <c r="R34" s="101">
        <f>IF(R12=0,0,R12/TrAvia_act!R10*1000)</f>
        <v>152.02376847549027</v>
      </c>
      <c r="S34" s="101">
        <f>IF(S12=0,0,S12/TrAvia_act!S10*1000)</f>
        <v>174.45445330927575</v>
      </c>
      <c r="T34" s="101">
        <f>IF(T12=0,0,T12/TrAvia_act!T10*1000)</f>
        <v>185.92116396660967</v>
      </c>
      <c r="U34" s="101">
        <f>IF(U12=0,0,U12/TrAvia_act!U10*1000)</f>
        <v>184.85495378002742</v>
      </c>
      <c r="V34" s="101">
        <f>IF(V12=0,0,V12/TrAvia_act!V10*1000)</f>
        <v>185.67477338536665</v>
      </c>
      <c r="W34" s="101">
        <f>IF(W12=0,0,W12/TrAvia_act!W10*1000)</f>
        <v>220.1964357632591</v>
      </c>
      <c r="X34" s="101">
        <f>IF(X12=0,0,X12/TrAvia_act!X10*1000)</f>
        <v>217.6922190121779</v>
      </c>
      <c r="Y34" s="101">
        <f>IF(Y12=0,0,Y12/TrAvia_act!Y10*1000)</f>
        <v>220.86904556836237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122.13800832108488</v>
      </c>
      <c r="C35" s="88">
        <f>IF(C13=0,0,C13/TrAvia_act!C11*1000)</f>
        <v>116.67778843158779</v>
      </c>
      <c r="D35" s="88">
        <f>IF(D13=0,0,D13/TrAvia_act!D11*1000)</f>
        <v>122.67416549449881</v>
      </c>
      <c r="E35" s="88">
        <f>IF(E13=0,0,E13/TrAvia_act!E11*1000)</f>
        <v>86.168324783297194</v>
      </c>
      <c r="F35" s="88">
        <f>IF(F13=0,0,F13/TrAvia_act!F11*1000)</f>
        <v>102.28961151858418</v>
      </c>
      <c r="G35" s="88">
        <f>IF(G13=0,0,G13/TrAvia_act!G11*1000)</f>
        <v>113.65698408233537</v>
      </c>
      <c r="H35" s="88">
        <f>IF(H13=0,0,H13/TrAvia_act!H11*1000)</f>
        <v>124.26851117017733</v>
      </c>
      <c r="I35" s="88">
        <f>IF(I13=0,0,I13/TrAvia_act!I11*1000)</f>
        <v>113.78882214219327</v>
      </c>
      <c r="J35" s="88">
        <f>IF(J13=0,0,J13/TrAvia_act!J11*1000)</f>
        <v>113.19358012053647</v>
      </c>
      <c r="K35" s="88">
        <f>IF(K13=0,0,K13/TrAvia_act!K11*1000)</f>
        <v>95.622608374379666</v>
      </c>
      <c r="L35" s="88">
        <f>IF(L13=0,0,L13/TrAvia_act!L11*1000)</f>
        <v>88.269981622899977</v>
      </c>
      <c r="M35" s="88">
        <f>IF(M13=0,0,M13/TrAvia_act!M11*1000)</f>
        <v>81.821345461543942</v>
      </c>
      <c r="N35" s="88">
        <f>IF(N13=0,0,N13/TrAvia_act!N11*1000)</f>
        <v>80.777475409193585</v>
      </c>
      <c r="O35" s="88">
        <f>IF(O13=0,0,O13/TrAvia_act!O11*1000)</f>
        <v>74.385828308791687</v>
      </c>
      <c r="P35" s="88">
        <f>IF(P13=0,0,P13/TrAvia_act!P11*1000)</f>
        <v>64.13994607457208</v>
      </c>
      <c r="Q35" s="88">
        <f>IF(Q13=0,0,Q13/TrAvia_act!Q11*1000)</f>
        <v>64.481476541161499</v>
      </c>
      <c r="R35" s="88">
        <f>IF(R13=0,0,R13/TrAvia_act!R11*1000)</f>
        <v>54.700393584956203</v>
      </c>
      <c r="S35" s="88">
        <f>IF(S13=0,0,S13/TrAvia_act!S11*1000)</f>
        <v>51.940228713567777</v>
      </c>
      <c r="T35" s="88">
        <f>IF(T13=0,0,T13/TrAvia_act!T11*1000)</f>
        <v>46.433744389110117</v>
      </c>
      <c r="U35" s="88">
        <f>IF(U13=0,0,U13/TrAvia_act!U11*1000)</f>
        <v>43.26172947721733</v>
      </c>
      <c r="V35" s="88">
        <f>IF(V13=0,0,V13/TrAvia_act!V11*1000)</f>
        <v>65.525723929811406</v>
      </c>
      <c r="W35" s="88">
        <f>IF(W13=0,0,W13/TrAvia_act!W11*1000)</f>
        <v>44.677999065590875</v>
      </c>
      <c r="X35" s="88">
        <f>IF(X13=0,0,X13/TrAvia_act!X11*1000)</f>
        <v>48.240698983923096</v>
      </c>
      <c r="Y35" s="88">
        <f>IF(Y13=0,0,Y13/TrAvia_act!Y11*1000)</f>
        <v>46.005194071764606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6994.0152454644549</v>
      </c>
      <c r="C37" s="62">
        <f>IF(C3=0,0,C3/TrAvia_act!C23*1000000)</f>
        <v>7224.7280170071854</v>
      </c>
      <c r="D37" s="62">
        <f>IF(D3=0,0,D3/TrAvia_act!D23*1000000)</f>
        <v>6871.6212497619572</v>
      </c>
      <c r="E37" s="62">
        <f>IF(E3=0,0,E3/TrAvia_act!E23*1000000)</f>
        <v>4609.0624735976135</v>
      </c>
      <c r="F37" s="62">
        <f>IF(F3=0,0,F3/TrAvia_act!F23*1000000)</f>
        <v>4649.9079966207773</v>
      </c>
      <c r="G37" s="62">
        <f>IF(G3=0,0,G3/TrAvia_act!G23*1000000)</f>
        <v>4311.8762706960688</v>
      </c>
      <c r="H37" s="62">
        <f>IF(H3=0,0,H3/TrAvia_act!H23*1000000)</f>
        <v>4194.9542833033447</v>
      </c>
      <c r="I37" s="62">
        <f>IF(I3=0,0,I3/TrAvia_act!I23*1000000)</f>
        <v>4323.4148417156885</v>
      </c>
      <c r="J37" s="62">
        <f>IF(J3=0,0,J3/TrAvia_act!J23*1000000)</f>
        <v>4386.1011785713899</v>
      </c>
      <c r="K37" s="62">
        <f>IF(K3=0,0,K3/TrAvia_act!K23*1000000)</f>
        <v>4355.9841529026653</v>
      </c>
      <c r="L37" s="62">
        <f>IF(L3=0,0,L3/TrAvia_act!L23*1000000)</f>
        <v>4258.380398616895</v>
      </c>
      <c r="M37" s="62">
        <f>IF(M3=0,0,M3/TrAvia_act!M23*1000000)</f>
        <v>4565.9615437035682</v>
      </c>
      <c r="N37" s="62">
        <f>IF(N3=0,0,N3/TrAvia_act!N23*1000000)</f>
        <v>4655.8230100826695</v>
      </c>
      <c r="O37" s="62">
        <f>IF(O3=0,0,O3/TrAvia_act!O23*1000000)</f>
        <v>4616.2779401400139</v>
      </c>
      <c r="P37" s="62">
        <f>IF(P3=0,0,P3/TrAvia_act!P23*1000000)</f>
        <v>4858.5804464678831</v>
      </c>
      <c r="Q37" s="62">
        <f>IF(Q3=0,0,Q3/TrAvia_act!Q23*1000000)</f>
        <v>5148.5346476367858</v>
      </c>
      <c r="R37" s="62">
        <f>IF(R3=0,0,R3/TrAvia_act!R23*1000000)</f>
        <v>5261.8206595234415</v>
      </c>
      <c r="S37" s="62">
        <f>IF(S3=0,0,S3/TrAvia_act!S23*1000000)</f>
        <v>5689.5079374368806</v>
      </c>
      <c r="T37" s="62">
        <f>IF(T3=0,0,T3/TrAvia_act!T23*1000000)</f>
        <v>5833.8888273944776</v>
      </c>
      <c r="U37" s="62">
        <f>IF(U3=0,0,U3/TrAvia_act!U23*1000000)</f>
        <v>6222.1285495683669</v>
      </c>
      <c r="V37" s="62">
        <f>IF(V3=0,0,V3/TrAvia_act!V23*1000000)</f>
        <v>6984.5103221295922</v>
      </c>
      <c r="W37" s="62">
        <f>IF(W3=0,0,W3/TrAvia_act!W23*1000000)</f>
        <v>6213.7947215532013</v>
      </c>
      <c r="X37" s="62">
        <f>IF(X3=0,0,X3/TrAvia_act!X23*1000000)</f>
        <v>5923.1589679977797</v>
      </c>
      <c r="Y37" s="62">
        <f>IF(Y3=0,0,Y3/TrAvia_act!Y23*1000000)</f>
        <v>6202.4230880191353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6770.2132580266698</v>
      </c>
      <c r="C38" s="14">
        <f>IF(C6=0,0,C6/TrAvia_act!C24*1000000)</f>
        <v>7012.7107410616454</v>
      </c>
      <c r="D38" s="14">
        <f>IF(D6=0,0,D6/TrAvia_act!D24*1000000)</f>
        <v>6635.667837466528</v>
      </c>
      <c r="E38" s="14">
        <f>IF(E6=0,0,E6/TrAvia_act!E24*1000000)</f>
        <v>4477.6459407417897</v>
      </c>
      <c r="F38" s="14">
        <f>IF(F6=0,0,F6/TrAvia_act!F24*1000000)</f>
        <v>4559.5184349069441</v>
      </c>
      <c r="G38" s="14">
        <f>IF(G6=0,0,G6/TrAvia_act!G24*1000000)</f>
        <v>4219.4441102805677</v>
      </c>
      <c r="H38" s="14">
        <f>IF(H6=0,0,H6/TrAvia_act!H24*1000000)</f>
        <v>4119.9946164901148</v>
      </c>
      <c r="I38" s="14">
        <f>IF(I6=0,0,I6/TrAvia_act!I24*1000000)</f>
        <v>4265.1860827818418</v>
      </c>
      <c r="J38" s="14">
        <f>IF(J6=0,0,J6/TrAvia_act!J24*1000000)</f>
        <v>4320.4052079808134</v>
      </c>
      <c r="K38" s="14">
        <f>IF(K6=0,0,K6/TrAvia_act!K24*1000000)</f>
        <v>4282.4559366069552</v>
      </c>
      <c r="L38" s="14">
        <f>IF(L6=0,0,L6/TrAvia_act!L24*1000000)</f>
        <v>4190.8844585676225</v>
      </c>
      <c r="M38" s="14">
        <f>IF(M6=0,0,M6/TrAvia_act!M24*1000000)</f>
        <v>4439.1767152242437</v>
      </c>
      <c r="N38" s="14">
        <f>IF(N6=0,0,N6/TrAvia_act!N24*1000000)</f>
        <v>4516.4414242462572</v>
      </c>
      <c r="O38" s="14">
        <f>IF(O6=0,0,O6/TrAvia_act!O24*1000000)</f>
        <v>4492.8710242710195</v>
      </c>
      <c r="P38" s="14">
        <f>IF(P6=0,0,P6/TrAvia_act!P24*1000000)</f>
        <v>4751.9564148720656</v>
      </c>
      <c r="Q38" s="14">
        <f>IF(Q6=0,0,Q6/TrAvia_act!Q24*1000000)</f>
        <v>5035.8264871036044</v>
      </c>
      <c r="R38" s="14">
        <f>IF(R6=0,0,R6/TrAvia_act!R24*1000000)</f>
        <v>5143.4988359649233</v>
      </c>
      <c r="S38" s="14">
        <f>IF(S6=0,0,S6/TrAvia_act!S24*1000000)</f>
        <v>5583.7730640712643</v>
      </c>
      <c r="T38" s="14">
        <f>IF(T6=0,0,T6/TrAvia_act!T24*1000000)</f>
        <v>5741.8190444705215</v>
      </c>
      <c r="U38" s="14">
        <f>IF(U6=0,0,U6/TrAvia_act!U24*1000000)</f>
        <v>6037.9790570536861</v>
      </c>
      <c r="V38" s="14">
        <f>IF(V6=0,0,V6/TrAvia_act!V24*1000000)</f>
        <v>6543.7571827421125</v>
      </c>
      <c r="W38" s="14">
        <f>IF(W6=0,0,W6/TrAvia_act!W24*1000000)</f>
        <v>6351.2698180144707</v>
      </c>
      <c r="X38" s="14">
        <f>IF(X6=0,0,X6/TrAvia_act!X24*1000000)</f>
        <v>5964.5492930130649</v>
      </c>
      <c r="Y38" s="14">
        <f>IF(Y6=0,0,Y6/TrAvia_act!Y24*1000000)</f>
        <v>6248.0431972776623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17030.219665224056</v>
      </c>
      <c r="C39" s="87">
        <f>IF(C7=0,0,C7/TrAvia_act!C25*1000000)</f>
        <v>17100.738760939654</v>
      </c>
      <c r="D39" s="87">
        <f>IF(D7=0,0,D7/TrAvia_act!D25*1000000)</f>
        <v>16931.907085143743</v>
      </c>
      <c r="E39" s="87">
        <f>IF(E7=0,0,E7/TrAvia_act!E25*1000000)</f>
        <v>16066.26933911211</v>
      </c>
      <c r="F39" s="87">
        <f>IF(F7=0,0,F7/TrAvia_act!F25*1000000)</f>
        <v>9556.7673840202206</v>
      </c>
      <c r="G39" s="87">
        <f>IF(G7=0,0,G7/TrAvia_act!G25*1000000)</f>
        <v>6105.8700107966524</v>
      </c>
      <c r="H39" s="87">
        <f>IF(H7=0,0,H7/TrAvia_act!H25*1000000)</f>
        <v>2982.2771292874418</v>
      </c>
      <c r="I39" s="87">
        <f>IF(I7=0,0,I7/TrAvia_act!I25*1000000)</f>
        <v>6961.367529567664</v>
      </c>
      <c r="J39" s="87">
        <f>IF(J7=0,0,J7/TrAvia_act!J25*1000000)</f>
        <v>7315.3318477003559</v>
      </c>
      <c r="K39" s="87">
        <f>IF(K7=0,0,K7/TrAvia_act!K25*1000000)</f>
        <v>4172.6261556316904</v>
      </c>
      <c r="L39" s="87">
        <f>IF(L7=0,0,L7/TrAvia_act!L25*1000000)</f>
        <v>5119.9484364666723</v>
      </c>
      <c r="M39" s="87">
        <f>IF(M7=0,0,M7/TrAvia_act!M25*1000000)</f>
        <v>11994.182843322129</v>
      </c>
      <c r="N39" s="87">
        <f>IF(N7=0,0,N7/TrAvia_act!N25*1000000)</f>
        <v>7237.5701321766328</v>
      </c>
      <c r="O39" s="87">
        <f>IF(O7=0,0,O7/TrAvia_act!O25*1000000)</f>
        <v>9066.4962228024469</v>
      </c>
      <c r="P39" s="87">
        <f>IF(P7=0,0,P7/TrAvia_act!P25*1000000)</f>
        <v>7565.2618777906901</v>
      </c>
      <c r="Q39" s="87">
        <f>IF(Q7=0,0,Q7/TrAvia_act!Q25*1000000)</f>
        <v>14466.021559515541</v>
      </c>
      <c r="R39" s="87">
        <f>IF(R7=0,0,R7/TrAvia_act!R25*1000000)</f>
        <v>17779.377815561005</v>
      </c>
      <c r="S39" s="87">
        <f>IF(S7=0,0,S7/TrAvia_act!S25*1000000)</f>
        <v>33903.085554961312</v>
      </c>
      <c r="T39" s="87">
        <f>IF(T7=0,0,T7/TrAvia_act!T25*1000000)</f>
        <v>21745.293092534597</v>
      </c>
      <c r="U39" s="87">
        <f>IF(U7=0,0,U7/TrAvia_act!U25*1000000)</f>
        <v>72339.300308363992</v>
      </c>
      <c r="V39" s="87">
        <f>IF(V7=0,0,V7/TrAvia_act!V25*1000000)</f>
        <v>99439.347996514698</v>
      </c>
      <c r="W39" s="87">
        <f>IF(W7=0,0,W7/TrAvia_act!W25*1000000)</f>
        <v>11364.175499376362</v>
      </c>
      <c r="X39" s="87">
        <f>IF(X7=0,0,X7/TrAvia_act!X25*1000000)</f>
        <v>14965.823080878277</v>
      </c>
      <c r="Y39" s="87">
        <f>IF(Y7=0,0,Y7/TrAvia_act!Y25*1000000)</f>
        <v>12737.962427934241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4164.3893321541364</v>
      </c>
      <c r="C40" s="87">
        <f>IF(C8=0,0,C8/TrAvia_act!C26*1000000)</f>
        <v>4168.7773885331035</v>
      </c>
      <c r="D40" s="87">
        <f>IF(D8=0,0,D8/TrAvia_act!D26*1000000)</f>
        <v>4138.3432220651293</v>
      </c>
      <c r="E40" s="87">
        <f>IF(E8=0,0,E8/TrAvia_act!E26*1000000)</f>
        <v>2677.4094916449631</v>
      </c>
      <c r="F40" s="87">
        <f>IF(F8=0,0,F8/TrAvia_act!F26*1000000)</f>
        <v>3144.3291075584416</v>
      </c>
      <c r="G40" s="87">
        <f>IF(G8=0,0,G8/TrAvia_act!G26*1000000)</f>
        <v>3108.0539774482031</v>
      </c>
      <c r="H40" s="87">
        <f>IF(H8=0,0,H8/TrAvia_act!H26*1000000)</f>
        <v>3190.3370310831369</v>
      </c>
      <c r="I40" s="87">
        <f>IF(I8=0,0,I8/TrAvia_act!I26*1000000)</f>
        <v>3149.9948735770517</v>
      </c>
      <c r="J40" s="87">
        <f>IF(J8=0,0,J8/TrAvia_act!J26*1000000)</f>
        <v>3130.1571222092648</v>
      </c>
      <c r="K40" s="87">
        <f>IF(K8=0,0,K8/TrAvia_act!K26*1000000)</f>
        <v>3257.7788121464282</v>
      </c>
      <c r="L40" s="87">
        <f>IF(L8=0,0,L8/TrAvia_act!L26*1000000)</f>
        <v>3108.3800615680402</v>
      </c>
      <c r="M40" s="87">
        <f>IF(M8=0,0,M8/TrAvia_act!M26*1000000)</f>
        <v>3103.1186584041134</v>
      </c>
      <c r="N40" s="87">
        <f>IF(N8=0,0,N8/TrAvia_act!N26*1000000)</f>
        <v>3428.1488235791371</v>
      </c>
      <c r="O40" s="87">
        <f>IF(O8=0,0,O8/TrAvia_act!O26*1000000)</f>
        <v>3402.3240516291999</v>
      </c>
      <c r="P40" s="87">
        <f>IF(P8=0,0,P8/TrAvia_act!P26*1000000)</f>
        <v>3658.0265630677609</v>
      </c>
      <c r="Q40" s="87">
        <f>IF(Q8=0,0,Q8/TrAvia_act!Q26*1000000)</f>
        <v>3578.227187628187</v>
      </c>
      <c r="R40" s="87">
        <f>IF(R8=0,0,R8/TrAvia_act!R26*1000000)</f>
        <v>3644.4563987216484</v>
      </c>
      <c r="S40" s="87">
        <f>IF(S8=0,0,S8/TrAvia_act!S26*1000000)</f>
        <v>4018.4077802773991</v>
      </c>
      <c r="T40" s="87">
        <f>IF(T8=0,0,T8/TrAvia_act!T26*1000000)</f>
        <v>4549.4085416264161</v>
      </c>
      <c r="U40" s="87">
        <f>IF(U8=0,0,U8/TrAvia_act!U26*1000000)</f>
        <v>4644.0115473364367</v>
      </c>
      <c r="V40" s="87">
        <f>IF(V8=0,0,V8/TrAvia_act!V26*1000000)</f>
        <v>3644.5767034233304</v>
      </c>
      <c r="W40" s="87">
        <f>IF(W8=0,0,W8/TrAvia_act!W26*1000000)</f>
        <v>4774.2277999534936</v>
      </c>
      <c r="X40" s="87">
        <f>IF(X8=0,0,X8/TrAvia_act!X26*1000000)</f>
        <v>4746.1530299896849</v>
      </c>
      <c r="Y40" s="87">
        <f>IF(Y8=0,0,Y8/TrAvia_act!Y26*1000000)</f>
        <v>4956.1965130604804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15071.958780382256</v>
      </c>
      <c r="C41" s="87">
        <f>IF(C9=0,0,C9/TrAvia_act!C27*1000000)</f>
        <v>15088.130061130725</v>
      </c>
      <c r="D41" s="87">
        <f>IF(D9=0,0,D9/TrAvia_act!D27*1000000)</f>
        <v>14978.025780880709</v>
      </c>
      <c r="E41" s="87">
        <f>IF(E9=0,0,E9/TrAvia_act!E27*1000000)</f>
        <v>9559.4911936815752</v>
      </c>
      <c r="F41" s="87">
        <f>IF(F9=0,0,F9/TrAvia_act!F27*1000000)</f>
        <v>11014.098529003046</v>
      </c>
      <c r="G41" s="87">
        <f>IF(G9=0,0,G9/TrAvia_act!G27*1000000)</f>
        <v>10647.983704344721</v>
      </c>
      <c r="H41" s="87">
        <f>IF(H9=0,0,H9/TrAvia_act!H27*1000000)</f>
        <v>10475.301171698666</v>
      </c>
      <c r="I41" s="87">
        <f>IF(I9=0,0,I9/TrAvia_act!I27*1000000)</f>
        <v>9672.2704286268399</v>
      </c>
      <c r="J41" s="87">
        <f>IF(J9=0,0,J9/TrAvia_act!J27*1000000)</f>
        <v>9335.7841373538358</v>
      </c>
      <c r="K41" s="87">
        <f>IF(K9=0,0,K9/TrAvia_act!K27*1000000)</f>
        <v>9087.0146953084859</v>
      </c>
      <c r="L41" s="87">
        <f>IF(L9=0,0,L9/TrAvia_act!L27*1000000)</f>
        <v>8543.5074846689295</v>
      </c>
      <c r="M41" s="87">
        <f>IF(M9=0,0,M9/TrAvia_act!M27*1000000)</f>
        <v>7894.7694895569848</v>
      </c>
      <c r="N41" s="87">
        <f>IF(N9=0,0,N9/TrAvia_act!N27*1000000)</f>
        <v>7677.0331187559086</v>
      </c>
      <c r="O41" s="87">
        <f>IF(O9=0,0,O9/TrAvia_act!O27*1000000)</f>
        <v>7445.7671866468854</v>
      </c>
      <c r="P41" s="87">
        <f>IF(P9=0,0,P9/TrAvia_act!P27*1000000)</f>
        <v>7844.9950519467247</v>
      </c>
      <c r="Q41" s="87">
        <f>IF(Q9=0,0,Q9/TrAvia_act!Q27*1000000)</f>
        <v>8543.5222708334786</v>
      </c>
      <c r="R41" s="87">
        <f>IF(R9=0,0,R9/TrAvia_act!R27*1000000)</f>
        <v>8949.0647803116572</v>
      </c>
      <c r="S41" s="87">
        <f>IF(S9=0,0,S9/TrAvia_act!S27*1000000)</f>
        <v>8369.5237580796129</v>
      </c>
      <c r="T41" s="87">
        <f>IF(T9=0,0,T9/TrAvia_act!T27*1000000)</f>
        <v>8262.9911329419865</v>
      </c>
      <c r="U41" s="87">
        <f>IF(U9=0,0,U9/TrAvia_act!U27*1000000)</f>
        <v>8377.9283268681138</v>
      </c>
      <c r="V41" s="87">
        <f>IF(V9=0,0,V9/TrAvia_act!V27*1000000)</f>
        <v>11237.159599539624</v>
      </c>
      <c r="W41" s="87">
        <f>IF(W9=0,0,W9/TrAvia_act!W27*1000000)</f>
        <v>11194.429539214791</v>
      </c>
      <c r="X41" s="87">
        <f>IF(X9=0,0,X9/TrAvia_act!X27*1000000)</f>
        <v>10235.169089338639</v>
      </c>
      <c r="Y41" s="87">
        <f>IF(Y9=0,0,Y9/TrAvia_act!Y27*1000000)</f>
        <v>10895.245453445992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13539.337150508649</v>
      </c>
      <c r="C42" s="15">
        <f>IF(C10=0,0,C10/TrAvia_act!C28*1000000)</f>
        <v>13937.190246190445</v>
      </c>
      <c r="D42" s="15">
        <f>IF(D10=0,0,D10/TrAvia_act!D28*1000000)</f>
        <v>13232.065604731311</v>
      </c>
      <c r="E42" s="15">
        <f>IF(E10=0,0,E10/TrAvia_act!E28*1000000)</f>
        <v>10582.71852356001</v>
      </c>
      <c r="F42" s="15">
        <f>IF(F10=0,0,F10/TrAvia_act!F28*1000000)</f>
        <v>9369.4142114363858</v>
      </c>
      <c r="G42" s="15">
        <f>IF(G10=0,0,G10/TrAvia_act!G28*1000000)</f>
        <v>9169.8305997721745</v>
      </c>
      <c r="H42" s="15">
        <f>IF(H10=0,0,H10/TrAvia_act!H28*1000000)</f>
        <v>7840.2773955075399</v>
      </c>
      <c r="I42" s="15">
        <f>IF(I10=0,0,I10/TrAvia_act!I28*1000000)</f>
        <v>7212.0140642063925</v>
      </c>
      <c r="J42" s="15">
        <f>IF(J10=0,0,J10/TrAvia_act!J28*1000000)</f>
        <v>8175.913839031613</v>
      </c>
      <c r="K42" s="15">
        <f>IF(K10=0,0,K10/TrAvia_act!K28*1000000)</f>
        <v>8705.3773611730321</v>
      </c>
      <c r="L42" s="15">
        <f>IF(L10=0,0,L10/TrAvia_act!L28*1000000)</f>
        <v>7637.7512234903525</v>
      </c>
      <c r="M42" s="15">
        <f>IF(M10=0,0,M10/TrAvia_act!M28*1000000)</f>
        <v>11255.988949856815</v>
      </c>
      <c r="N42" s="15">
        <f>IF(N10=0,0,N10/TrAvia_act!N28*1000000)</f>
        <v>12866.396639406432</v>
      </c>
      <c r="O42" s="15">
        <f>IF(O10=0,0,O10/TrAvia_act!O28*1000000)</f>
        <v>11987.129864281929</v>
      </c>
      <c r="P42" s="15">
        <f>IF(P10=0,0,P10/TrAvia_act!P28*1000000)</f>
        <v>11289.79512160282</v>
      </c>
      <c r="Q42" s="15">
        <f>IF(Q10=0,0,Q10/TrAvia_act!Q28*1000000)</f>
        <v>11616.029996643791</v>
      </c>
      <c r="R42" s="15">
        <f>IF(R10=0,0,R10/TrAvia_act!R28*1000000)</f>
        <v>11689.00837619441</v>
      </c>
      <c r="S42" s="15">
        <f>IF(S10=0,0,S10/TrAvia_act!S28*1000000)</f>
        <v>10785.188108585211</v>
      </c>
      <c r="T42" s="15">
        <f>IF(T10=0,0,T10/TrAvia_act!T28*1000000)</f>
        <v>9998.6892449856896</v>
      </c>
      <c r="U42" s="15">
        <f>IF(U10=0,0,U10/TrAvia_act!U28*1000000)</f>
        <v>15266.133572321431</v>
      </c>
      <c r="V42" s="15">
        <f>IF(V10=0,0,V10/TrAvia_act!V28*1000000)</f>
        <v>13314.773945088938</v>
      </c>
      <c r="W42" s="15">
        <f>IF(W10=0,0,W10/TrAvia_act!W28*1000000)</f>
        <v>4371.3967293714213</v>
      </c>
      <c r="X42" s="15">
        <f>IF(X10=0,0,X10/TrAvia_act!X28*1000000)</f>
        <v>4697.0744807980245</v>
      </c>
      <c r="Y42" s="15">
        <f>IF(Y10=0,0,Y10/TrAvia_act!Y28*1000000)</f>
        <v>4418.3731173592587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15562.935089867093</v>
      </c>
      <c r="C43" s="101">
        <f>IF(C11=0,0,C11/TrAvia_act!C29*1000000)</f>
        <v>15627.378422413123</v>
      </c>
      <c r="D43" s="101">
        <f>IF(D11=0,0,D11/TrAvia_act!D29*1000000)</f>
        <v>15473.092895674397</v>
      </c>
      <c r="E43" s="101">
        <f>IF(E11=0,0,E11/TrAvia_act!E29*1000000)</f>
        <v>14682.03650781471</v>
      </c>
      <c r="F43" s="101">
        <f>IF(F11=0,0,F11/TrAvia_act!F29*1000000)</f>
        <v>8733.3782763928211</v>
      </c>
      <c r="G43" s="101">
        <f>IF(G11=0,0,G11/TrAvia_act!G29*1000000)</f>
        <v>5579.8022875322804</v>
      </c>
      <c r="H43" s="101">
        <f>IF(H11=0,0,H11/TrAvia_act!H29*1000000)</f>
        <v>2763.3822904791218</v>
      </c>
      <c r="I43" s="101">
        <f>IF(I11=0,0,I11/TrAvia_act!I29*1000000)</f>
        <v>6540.4744201019885</v>
      </c>
      <c r="J43" s="101">
        <f>IF(J11=0,0,J11/TrAvia_act!J29*1000000)</f>
        <v>6968.9995571078653</v>
      </c>
      <c r="K43" s="101">
        <f>IF(K11=0,0,K11/TrAvia_act!K29*1000000)</f>
        <v>4030.5804888055686</v>
      </c>
      <c r="L43" s="101">
        <f>IF(L11=0,0,L11/TrAvia_act!L29*1000000)</f>
        <v>5014.7054292390167</v>
      </c>
      <c r="M43" s="101">
        <f>IF(M11=0,0,M11/TrAvia_act!M29*1000000)</f>
        <v>11726.078433523002</v>
      </c>
      <c r="N43" s="101">
        <f>IF(N11=0,0,N11/TrAvia_act!N29*1000000)</f>
        <v>7062.8048587574858</v>
      </c>
      <c r="O43" s="101">
        <f>IF(O11=0,0,O11/TrAvia_act!O29*1000000)</f>
        <v>8823.8255580767927</v>
      </c>
      <c r="P43" s="101">
        <f>IF(P11=0,0,P11/TrAvia_act!P29*1000000)</f>
        <v>7343.034368046362</v>
      </c>
      <c r="Q43" s="101">
        <f>IF(Q11=0,0,Q11/TrAvia_act!Q29*1000000)</f>
        <v>14003.481571209473</v>
      </c>
      <c r="R43" s="101">
        <f>IF(R11=0,0,R11/TrAvia_act!R29*1000000)</f>
        <v>17164.847452278762</v>
      </c>
      <c r="S43" s="101">
        <f>IF(S11=0,0,S11/TrAvia_act!S29*1000000)</f>
        <v>32643.764476913944</v>
      </c>
      <c r="T43" s="101">
        <f>IF(T11=0,0,T11/TrAvia_act!T29*1000000)</f>
        <v>20881.660999934305</v>
      </c>
      <c r="U43" s="101">
        <f>IF(U11=0,0,U11/TrAvia_act!U29*1000000)</f>
        <v>71398.246695258233</v>
      </c>
      <c r="V43" s="101">
        <f>IF(V11=0,0,V11/TrAvia_act!V29*1000000)</f>
        <v>95777.394587478193</v>
      </c>
      <c r="W43" s="101">
        <f>IF(W11=0,0,W11/TrAvia_act!W29*1000000)</f>
        <v>10429.974167768494</v>
      </c>
      <c r="X43" s="101">
        <f>IF(X11=0,0,X11/TrAvia_act!X29*1000000)</f>
        <v>14253.159877735756</v>
      </c>
      <c r="Y43" s="101">
        <f>IF(Y11=0,0,Y11/TrAvia_act!Y29*1000000)</f>
        <v>12507.181255794814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3971.1527054261883</v>
      </c>
      <c r="C44" s="101">
        <f>IF(C12=0,0,C12/TrAvia_act!C30*1000000)</f>
        <v>3986.9410217923351</v>
      </c>
      <c r="D44" s="101">
        <f>IF(D12=0,0,D12/TrAvia_act!D30*1000000)</f>
        <v>3941.5264477836331</v>
      </c>
      <c r="E44" s="101">
        <f>IF(E12=0,0,E12/TrAvia_act!E30*1000000)</f>
        <v>2585.0001037252296</v>
      </c>
      <c r="F44" s="101">
        <f>IF(F12=0,0,F12/TrAvia_act!F30*1000000)</f>
        <v>2962.1449851756474</v>
      </c>
      <c r="G44" s="101">
        <f>IF(G12=0,0,G12/TrAvia_act!G30*1000000)</f>
        <v>2856.3544074716533</v>
      </c>
      <c r="H44" s="101">
        <f>IF(H12=0,0,H12/TrAvia_act!H30*1000000)</f>
        <v>2908.6611508160477</v>
      </c>
      <c r="I44" s="101">
        <f>IF(I12=0,0,I12/TrAvia_act!I30*1000000)</f>
        <v>2799.7737270919952</v>
      </c>
      <c r="J44" s="101">
        <f>IF(J12=0,0,J12/TrAvia_act!J30*1000000)</f>
        <v>2707.9254363482464</v>
      </c>
      <c r="K44" s="101">
        <f>IF(K12=0,0,K12/TrAvia_act!K30*1000000)</f>
        <v>2897.1833090469704</v>
      </c>
      <c r="L44" s="101">
        <f>IF(L12=0,0,L12/TrAvia_act!L30*1000000)</f>
        <v>2720.929865981012</v>
      </c>
      <c r="M44" s="101">
        <f>IF(M12=0,0,M12/TrAvia_act!M30*1000000)</f>
        <v>2711.2283516922334</v>
      </c>
      <c r="N44" s="101">
        <f>IF(N12=0,0,N12/TrAvia_act!N30*1000000)</f>
        <v>2917.0348484574092</v>
      </c>
      <c r="O44" s="101">
        <f>IF(O12=0,0,O12/TrAvia_act!O30*1000000)</f>
        <v>2842.9736585549686</v>
      </c>
      <c r="P44" s="101">
        <f>IF(P12=0,0,P12/TrAvia_act!P30*1000000)</f>
        <v>3005.4280987317561</v>
      </c>
      <c r="Q44" s="101">
        <f>IF(Q12=0,0,Q12/TrAvia_act!Q30*1000000)</f>
        <v>2905.8089328317942</v>
      </c>
      <c r="R44" s="101">
        <f>IF(R12=0,0,R12/TrAvia_act!R30*1000000)</f>
        <v>2887.0009076038809</v>
      </c>
      <c r="S44" s="101">
        <f>IF(S12=0,0,S12/TrAvia_act!S30*1000000)</f>
        <v>3125.0061098393658</v>
      </c>
      <c r="T44" s="101">
        <f>IF(T12=0,0,T12/TrAvia_act!T30*1000000)</f>
        <v>3516.3283593521182</v>
      </c>
      <c r="U44" s="101">
        <f>IF(U12=0,0,U12/TrAvia_act!U30*1000000)</f>
        <v>3463.6821019180347</v>
      </c>
      <c r="V44" s="101">
        <f>IF(V12=0,0,V12/TrAvia_act!V30*1000000)</f>
        <v>3079.3062644843376</v>
      </c>
      <c r="W44" s="101">
        <f>IF(W12=0,0,W12/TrAvia_act!W30*1000000)</f>
        <v>3393.9715045107323</v>
      </c>
      <c r="X44" s="101">
        <f>IF(X12=0,0,X12/TrAvia_act!X30*1000000)</f>
        <v>3531.7135291219747</v>
      </c>
      <c r="Y44" s="101">
        <f>IF(Y12=0,0,Y12/TrAvia_act!Y30*1000000)</f>
        <v>3584.3926782929311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65072.399702947674</v>
      </c>
      <c r="C45" s="88">
        <f>IF(C13=0,0,C13/TrAvia_act!C31*1000000)</f>
        <v>65142.218368185968</v>
      </c>
      <c r="D45" s="88">
        <f>IF(D13=0,0,D13/TrAvia_act!D31*1000000)</f>
        <v>64666.848853325035</v>
      </c>
      <c r="E45" s="88">
        <f>IF(E13=0,0,E13/TrAvia_act!E31*1000000)</f>
        <v>41272.607029799699</v>
      </c>
      <c r="F45" s="88">
        <f>IF(F13=0,0,F13/TrAvia_act!F31*1000000)</f>
        <v>47552.798696597623</v>
      </c>
      <c r="G45" s="88">
        <f>IF(G13=0,0,G13/TrAvia_act!G31*1000000)</f>
        <v>48706.584614743246</v>
      </c>
      <c r="H45" s="88">
        <f>IF(H13=0,0,H13/TrAvia_act!H31*1000000)</f>
        <v>48169.144660067526</v>
      </c>
      <c r="I45" s="88">
        <f>IF(I13=0,0,I13/TrAvia_act!I31*1000000)</f>
        <v>41549.810297960517</v>
      </c>
      <c r="J45" s="88">
        <f>IF(J13=0,0,J13/TrAvia_act!J31*1000000)</f>
        <v>38296.950124881187</v>
      </c>
      <c r="K45" s="88">
        <f>IF(K13=0,0,K13/TrAvia_act!K31*1000000)</f>
        <v>34731.827143178998</v>
      </c>
      <c r="L45" s="88">
        <f>IF(L13=0,0,L13/TrAvia_act!L31*1000000)</f>
        <v>30722.998213891111</v>
      </c>
      <c r="M45" s="88">
        <f>IF(M13=0,0,M13/TrAvia_act!M31*1000000)</f>
        <v>33108.925595214445</v>
      </c>
      <c r="N45" s="88">
        <f>IF(N13=0,0,N13/TrAvia_act!N31*1000000)</f>
        <v>37669.956221551693</v>
      </c>
      <c r="O45" s="88">
        <f>IF(O13=0,0,O13/TrAvia_act!O31*1000000)</f>
        <v>35868.747547427323</v>
      </c>
      <c r="P45" s="88">
        <f>IF(P13=0,0,P13/TrAvia_act!P31*1000000)</f>
        <v>36770.304893907247</v>
      </c>
      <c r="Q45" s="88">
        <f>IF(Q13=0,0,Q13/TrAvia_act!Q31*1000000)</f>
        <v>37654.76732394335</v>
      </c>
      <c r="R45" s="88">
        <f>IF(R13=0,0,R13/TrAvia_act!R31*1000000)</f>
        <v>36640.196100274421</v>
      </c>
      <c r="S45" s="88">
        <f>IF(S13=0,0,S13/TrAvia_act!S31*1000000)</f>
        <v>33692.891887798796</v>
      </c>
      <c r="T45" s="88">
        <f>IF(T13=0,0,T13/TrAvia_act!T31*1000000)</f>
        <v>30711.758172184585</v>
      </c>
      <c r="U45" s="88">
        <f>IF(U13=0,0,U13/TrAvia_act!U31*1000000)</f>
        <v>26089.803073994157</v>
      </c>
      <c r="V45" s="88">
        <f>IF(V13=0,0,V13/TrAvia_act!V31*1000000)</f>
        <v>11439.402948272702</v>
      </c>
      <c r="W45" s="88">
        <f>IF(W13=0,0,W13/TrAvia_act!W31*1000000)</f>
        <v>5158.3172881789524</v>
      </c>
      <c r="X45" s="88">
        <f>IF(X13=0,0,X13/TrAvia_act!X31*1000000)</f>
        <v>9512.1364015735271</v>
      </c>
      <c r="Y45" s="88">
        <f>IF(Y13=0,0,Y13/TrAvia_act!Y31*1000000)</f>
        <v>9365.1321022837146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0.93599670919151112</v>
      </c>
      <c r="C48" s="16">
        <f t="shared" si="36"/>
        <v>0.94093396176840016</v>
      </c>
      <c r="D48" s="16">
        <f t="shared" ref="D48:V48" si="37">IF(D6=0,0,D6/D$3)</f>
        <v>0.93112083751836805</v>
      </c>
      <c r="E48" s="16">
        <f t="shared" si="37"/>
        <v>0.95057532483446849</v>
      </c>
      <c r="F48" s="16">
        <f t="shared" si="37"/>
        <v>0.962133889868799</v>
      </c>
      <c r="G48" s="16">
        <f t="shared" si="37"/>
        <v>0.96029190798196429</v>
      </c>
      <c r="H48" s="16">
        <f t="shared" si="37"/>
        <v>0.96234211784742341</v>
      </c>
      <c r="I48" s="16">
        <f t="shared" si="37"/>
        <v>0.96703808731096297</v>
      </c>
      <c r="J48" s="16">
        <f t="shared" si="37"/>
        <v>0.96823749738033282</v>
      </c>
      <c r="K48" s="16">
        <f t="shared" si="37"/>
        <v>0.96677644376981808</v>
      </c>
      <c r="L48" s="16">
        <f t="shared" si="37"/>
        <v>0.96487840681273007</v>
      </c>
      <c r="M48" s="16">
        <f t="shared" si="37"/>
        <v>0.95415020857285593</v>
      </c>
      <c r="N48" s="16">
        <f t="shared" si="37"/>
        <v>0.95387018334925666</v>
      </c>
      <c r="O48" s="16">
        <f t="shared" si="37"/>
        <v>0.95724035696527754</v>
      </c>
      <c r="P48" s="16">
        <f t="shared" si="37"/>
        <v>0.96210363449122527</v>
      </c>
      <c r="Q48" s="16">
        <f t="shared" si="37"/>
        <v>0.96135528386440605</v>
      </c>
      <c r="R48" s="16">
        <f t="shared" si="37"/>
        <v>0.95984283711570417</v>
      </c>
      <c r="S48" s="16">
        <f t="shared" si="37"/>
        <v>0.96146549748555477</v>
      </c>
      <c r="T48" s="16">
        <f t="shared" si="37"/>
        <v>0.9629309348757964</v>
      </c>
      <c r="U48" s="16">
        <f t="shared" si="37"/>
        <v>0.9510395109480807</v>
      </c>
      <c r="V48" s="16">
        <f t="shared" si="37"/>
        <v>0.87590926429303184</v>
      </c>
      <c r="W48" s="16">
        <f t="shared" ref="W48:Y48" si="38">IF(W6=0,0,W6/W$3)</f>
        <v>0.95115163841547623</v>
      </c>
      <c r="X48" s="16">
        <f t="shared" si="38"/>
        <v>0.97410394806991751</v>
      </c>
      <c r="Y48" s="16">
        <f t="shared" si="38"/>
        <v>0.98223829980983324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0.1911047487868604</v>
      </c>
      <c r="C49" s="103">
        <f t="shared" si="39"/>
        <v>0.23341705494312523</v>
      </c>
      <c r="D49" s="103">
        <f t="shared" ref="D49:V49" si="40">IF(D7=0,0,D7/D$3)</f>
        <v>0.17293225812601509</v>
      </c>
      <c r="E49" s="103">
        <f t="shared" si="40"/>
        <v>0.22213460822524658</v>
      </c>
      <c r="F49" s="103">
        <f t="shared" si="40"/>
        <v>0.13188861498062537</v>
      </c>
      <c r="G49" s="103">
        <f t="shared" si="40"/>
        <v>8.5239621853020087E-2</v>
      </c>
      <c r="H49" s="103">
        <f t="shared" si="40"/>
        <v>4.5957733642385465E-2</v>
      </c>
      <c r="I49" s="103">
        <f t="shared" si="40"/>
        <v>9.413929629122518E-2</v>
      </c>
      <c r="J49" s="103">
        <f t="shared" si="40"/>
        <v>0.11209507778705026</v>
      </c>
      <c r="K49" s="103">
        <f t="shared" si="40"/>
        <v>8.3657277254418919E-2</v>
      </c>
      <c r="L49" s="103">
        <f t="shared" si="40"/>
        <v>8.487055619182779E-2</v>
      </c>
      <c r="M49" s="103">
        <f t="shared" si="40"/>
        <v>0.1204681792954785</v>
      </c>
      <c r="N49" s="103">
        <f t="shared" si="40"/>
        <v>6.6145395184753555E-2</v>
      </c>
      <c r="O49" s="103">
        <f t="shared" si="40"/>
        <v>6.2618387524044666E-2</v>
      </c>
      <c r="P49" s="103">
        <f t="shared" si="40"/>
        <v>5.8880649166204925E-2</v>
      </c>
      <c r="Q49" s="103">
        <f t="shared" si="40"/>
        <v>0.11319211001451558</v>
      </c>
      <c r="R49" s="103">
        <f t="shared" si="40"/>
        <v>0.11671162630907926</v>
      </c>
      <c r="S49" s="103">
        <f t="shared" si="40"/>
        <v>0.12687315117304096</v>
      </c>
      <c r="T49" s="103">
        <f t="shared" si="40"/>
        <v>6.8807381931818845E-2</v>
      </c>
      <c r="U49" s="103">
        <f t="shared" si="40"/>
        <v>8.0021944644972212E-2</v>
      </c>
      <c r="V49" s="103">
        <f t="shared" si="40"/>
        <v>0.1871450689533839</v>
      </c>
      <c r="W49" s="103">
        <f t="shared" ref="W49:Y49" si="41">IF(W7=0,0,W7/W$3)</f>
        <v>2.8822329150268458E-2</v>
      </c>
      <c r="X49" s="103">
        <f t="shared" si="41"/>
        <v>2.0986485546360834E-2</v>
      </c>
      <c r="Y49" s="103">
        <f t="shared" si="41"/>
        <v>1.7887330304338207E-2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0.44658196065710326</v>
      </c>
      <c r="C50" s="103">
        <f t="shared" si="42"/>
        <v>0.42415418016325535</v>
      </c>
      <c r="D50" s="103">
        <f t="shared" ref="D50:V50" si="43">IF(D8=0,0,D8/D$3)</f>
        <v>0.45452875489146771</v>
      </c>
      <c r="E50" s="103">
        <f t="shared" si="43"/>
        <v>0.45471327599180356</v>
      </c>
      <c r="F50" s="103">
        <f t="shared" si="43"/>
        <v>0.5361543110363951</v>
      </c>
      <c r="G50" s="103">
        <f t="shared" si="43"/>
        <v>0.57695122692441358</v>
      </c>
      <c r="H50" s="103">
        <f t="shared" si="43"/>
        <v>0.59952937127193406</v>
      </c>
      <c r="I50" s="103">
        <f t="shared" si="43"/>
        <v>0.57437350008758103</v>
      </c>
      <c r="J50" s="103">
        <f t="shared" si="43"/>
        <v>0.55132949987258184</v>
      </c>
      <c r="K50" s="103">
        <f t="shared" si="43"/>
        <v>0.55110830524841237</v>
      </c>
      <c r="L50" s="103">
        <f t="shared" si="43"/>
        <v>0.54065984329275085</v>
      </c>
      <c r="M50" s="103">
        <f t="shared" si="43"/>
        <v>0.50767024982155884</v>
      </c>
      <c r="N50" s="103">
        <f t="shared" si="43"/>
        <v>0.53533431074566362</v>
      </c>
      <c r="O50" s="103">
        <f t="shared" si="43"/>
        <v>0.53880130816837202</v>
      </c>
      <c r="P50" s="103">
        <f t="shared" si="43"/>
        <v>0.54521701954611557</v>
      </c>
      <c r="Q50" s="103">
        <f t="shared" si="43"/>
        <v>0.51596337849769192</v>
      </c>
      <c r="R50" s="103">
        <f t="shared" si="43"/>
        <v>0.52773525505248287</v>
      </c>
      <c r="S50" s="103">
        <f t="shared" si="43"/>
        <v>0.5312438131906928</v>
      </c>
      <c r="T50" s="103">
        <f t="shared" si="43"/>
        <v>0.57023956832103262</v>
      </c>
      <c r="U50" s="103">
        <f t="shared" si="43"/>
        <v>0.54639701250795947</v>
      </c>
      <c r="V50" s="103">
        <f t="shared" si="43"/>
        <v>0.38124388242169333</v>
      </c>
      <c r="W50" s="103">
        <f t="shared" ref="W50:Y50" si="44">IF(W8=0,0,W8/W$3)</f>
        <v>0.53967233988726093</v>
      </c>
      <c r="X50" s="103">
        <f t="shared" si="44"/>
        <v>0.60880332805127457</v>
      </c>
      <c r="Y50" s="103">
        <f t="shared" si="44"/>
        <v>0.61183110319801748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0.29830999974754752</v>
      </c>
      <c r="C51" s="103">
        <f t="shared" si="45"/>
        <v>0.28336272666201956</v>
      </c>
      <c r="D51" s="103">
        <f t="shared" ref="D51:V51" si="46">IF(D9=0,0,D9/D$3)</f>
        <v>0.30365982450088524</v>
      </c>
      <c r="E51" s="103">
        <f t="shared" si="46"/>
        <v>0.27372744061741827</v>
      </c>
      <c r="F51" s="103">
        <f t="shared" si="46"/>
        <v>0.29409096385177852</v>
      </c>
      <c r="G51" s="103">
        <f t="shared" si="46"/>
        <v>0.29810105920453051</v>
      </c>
      <c r="H51" s="103">
        <f t="shared" si="46"/>
        <v>0.31685501293310386</v>
      </c>
      <c r="I51" s="103">
        <f t="shared" si="46"/>
        <v>0.29852529093215668</v>
      </c>
      <c r="J51" s="103">
        <f t="shared" si="46"/>
        <v>0.30481291972070068</v>
      </c>
      <c r="K51" s="103">
        <f t="shared" si="46"/>
        <v>0.33201086126698681</v>
      </c>
      <c r="L51" s="103">
        <f t="shared" si="46"/>
        <v>0.33934800732815146</v>
      </c>
      <c r="M51" s="103">
        <f t="shared" si="46"/>
        <v>0.32601177945581872</v>
      </c>
      <c r="N51" s="103">
        <f t="shared" si="46"/>
        <v>0.35239047741883944</v>
      </c>
      <c r="O51" s="103">
        <f t="shared" si="46"/>
        <v>0.35582066127286083</v>
      </c>
      <c r="P51" s="103">
        <f t="shared" si="46"/>
        <v>0.35800596577890481</v>
      </c>
      <c r="Q51" s="103">
        <f t="shared" si="46"/>
        <v>0.33219979535219851</v>
      </c>
      <c r="R51" s="103">
        <f t="shared" si="46"/>
        <v>0.31539595575414209</v>
      </c>
      <c r="S51" s="103">
        <f t="shared" si="46"/>
        <v>0.30334853312182092</v>
      </c>
      <c r="T51" s="103">
        <f t="shared" si="46"/>
        <v>0.32388398462294482</v>
      </c>
      <c r="U51" s="103">
        <f t="shared" si="46"/>
        <v>0.32462055379514893</v>
      </c>
      <c r="V51" s="103">
        <f t="shared" si="46"/>
        <v>0.30752031291795462</v>
      </c>
      <c r="W51" s="103">
        <f t="shared" ref="W51:Y51" si="47">IF(W9=0,0,W9/W$3)</f>
        <v>0.3826569693779468</v>
      </c>
      <c r="X51" s="103">
        <f t="shared" si="47"/>
        <v>0.3443141344722821</v>
      </c>
      <c r="Y51" s="103">
        <f t="shared" si="47"/>
        <v>0.3525198663074775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6.4003290808488655E-2</v>
      </c>
      <c r="C52" s="17">
        <f t="shared" si="48"/>
        <v>5.9066038231599859E-2</v>
      </c>
      <c r="D52" s="17">
        <f t="shared" ref="D52:V52" si="49">IF(D10=0,0,D10/D$3)</f>
        <v>6.8879162481631825E-2</v>
      </c>
      <c r="E52" s="17">
        <f t="shared" si="49"/>
        <v>4.9424675165531576E-2</v>
      </c>
      <c r="F52" s="17">
        <f t="shared" si="49"/>
        <v>3.7866110131200857E-2</v>
      </c>
      <c r="G52" s="17">
        <f t="shared" si="49"/>
        <v>3.970809201803565E-2</v>
      </c>
      <c r="H52" s="17">
        <f t="shared" si="49"/>
        <v>3.7657882152576781E-2</v>
      </c>
      <c r="I52" s="17">
        <f t="shared" si="49"/>
        <v>3.296191268903706E-2</v>
      </c>
      <c r="J52" s="17">
        <f t="shared" si="49"/>
        <v>3.176250261966708E-2</v>
      </c>
      <c r="K52" s="17">
        <f t="shared" si="49"/>
        <v>3.3223556230181937E-2</v>
      </c>
      <c r="L52" s="17">
        <f t="shared" si="49"/>
        <v>3.5121593187269651E-2</v>
      </c>
      <c r="M52" s="17">
        <f t="shared" si="49"/>
        <v>4.5849791427143911E-2</v>
      </c>
      <c r="N52" s="17">
        <f t="shared" si="49"/>
        <v>4.6129816650743422E-2</v>
      </c>
      <c r="O52" s="17">
        <f t="shared" si="49"/>
        <v>4.2759643034722211E-2</v>
      </c>
      <c r="P52" s="17">
        <f t="shared" si="49"/>
        <v>3.789636550877476E-2</v>
      </c>
      <c r="Q52" s="17">
        <f t="shared" si="49"/>
        <v>3.8644716135594087E-2</v>
      </c>
      <c r="R52" s="17">
        <f t="shared" si="49"/>
        <v>4.0157162884295716E-2</v>
      </c>
      <c r="S52" s="17">
        <f t="shared" si="49"/>
        <v>3.8534502514445283E-2</v>
      </c>
      <c r="T52" s="17">
        <f t="shared" si="49"/>
        <v>3.7069065124203805E-2</v>
      </c>
      <c r="U52" s="17">
        <f t="shared" si="49"/>
        <v>4.8960489051919312E-2</v>
      </c>
      <c r="V52" s="17">
        <f t="shared" si="49"/>
        <v>0.12409073570696823</v>
      </c>
      <c r="W52" s="17">
        <f t="shared" ref="W52:Y52" si="50">IF(W10=0,0,W10/W$3)</f>
        <v>4.884836158452379E-2</v>
      </c>
      <c r="X52" s="17">
        <f t="shared" si="50"/>
        <v>2.5896051930082497E-2</v>
      </c>
      <c r="Y52" s="17">
        <f t="shared" si="50"/>
        <v>1.7761700190166683E-2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3.8066461500298769E-3</v>
      </c>
      <c r="C53" s="104">
        <f t="shared" si="51"/>
        <v>3.4701972206492384E-3</v>
      </c>
      <c r="D53" s="104">
        <f t="shared" ref="D53:V53" si="52">IF(D11=0,0,D11/D$3)</f>
        <v>4.1265821399400441E-3</v>
      </c>
      <c r="E53" s="104">
        <f t="shared" si="52"/>
        <v>2.4872804361308221E-3</v>
      </c>
      <c r="F53" s="104">
        <f t="shared" si="52"/>
        <v>6.0446665670102864E-4</v>
      </c>
      <c r="G53" s="104">
        <f t="shared" si="52"/>
        <v>9.3928132548328489E-4</v>
      </c>
      <c r="H53" s="104">
        <f t="shared" si="52"/>
        <v>1.0264157866989919E-3</v>
      </c>
      <c r="I53" s="104">
        <f t="shared" si="52"/>
        <v>3.213165764026422E-3</v>
      </c>
      <c r="J53" s="104">
        <f t="shared" si="52"/>
        <v>3.6375515899338593E-3</v>
      </c>
      <c r="K53" s="104">
        <f t="shared" si="52"/>
        <v>2.5114238875183241E-3</v>
      </c>
      <c r="L53" s="104">
        <f t="shared" si="52"/>
        <v>2.5410970091903603E-3</v>
      </c>
      <c r="M53" s="104">
        <f t="shared" si="52"/>
        <v>4.9252119259103515E-3</v>
      </c>
      <c r="N53" s="104">
        <f t="shared" si="52"/>
        <v>2.776266037271968E-3</v>
      </c>
      <c r="O53" s="104">
        <f t="shared" si="52"/>
        <v>2.3002612941550277E-3</v>
      </c>
      <c r="P53" s="104">
        <f t="shared" si="52"/>
        <v>9.9064958183166501E-4</v>
      </c>
      <c r="Q53" s="104">
        <f t="shared" si="52"/>
        <v>1.8079945460550966E-3</v>
      </c>
      <c r="R53" s="104">
        <f t="shared" si="52"/>
        <v>1.5304255312445045E-3</v>
      </c>
      <c r="S53" s="104">
        <f t="shared" si="52"/>
        <v>2.6434727205580178E-3</v>
      </c>
      <c r="T53" s="104">
        <f t="shared" si="52"/>
        <v>8.188737498643411E-3</v>
      </c>
      <c r="U53" s="104">
        <f t="shared" si="52"/>
        <v>2.2041194901743145E-2</v>
      </c>
      <c r="V53" s="104">
        <f t="shared" si="52"/>
        <v>7.9632435424705661E-2</v>
      </c>
      <c r="W53" s="104">
        <f t="shared" ref="W53:Y53" si="53">IF(W11=0,0,W11/W$3)</f>
        <v>1.0279989275684959E-2</v>
      </c>
      <c r="X53" s="104">
        <f t="shared" si="53"/>
        <v>1.9987122134716385E-3</v>
      </c>
      <c r="Y53" s="104">
        <f t="shared" si="53"/>
        <v>3.5990276638765321E-5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1.5045730756992833E-2</v>
      </c>
      <c r="C54" s="104">
        <f t="shared" si="54"/>
        <v>1.3430726703850282E-2</v>
      </c>
      <c r="D54" s="104">
        <f t="shared" ref="D54:V54" si="55">IF(D12=0,0,D12/D$3)</f>
        <v>1.6526912841368105E-2</v>
      </c>
      <c r="E54" s="104">
        <f t="shared" si="55"/>
        <v>9.2760323591778316E-3</v>
      </c>
      <c r="F54" s="104">
        <f t="shared" si="55"/>
        <v>1.0072725461173682E-2</v>
      </c>
      <c r="G54" s="104">
        <f t="shared" si="55"/>
        <v>1.0213431580536936E-2</v>
      </c>
      <c r="H54" s="104">
        <f t="shared" si="55"/>
        <v>1.1364580395792301E-2</v>
      </c>
      <c r="I54" s="104">
        <f t="shared" si="55"/>
        <v>1.0096434925029551E-2</v>
      </c>
      <c r="J54" s="104">
        <f t="shared" si="55"/>
        <v>7.6594642522614222E-3</v>
      </c>
      <c r="K54" s="104">
        <f t="shared" si="55"/>
        <v>7.2986619752137723E-3</v>
      </c>
      <c r="L54" s="104">
        <f t="shared" si="55"/>
        <v>9.0491965503480456E-3</v>
      </c>
      <c r="M54" s="104">
        <f t="shared" si="55"/>
        <v>7.138366350722878E-3</v>
      </c>
      <c r="N54" s="104">
        <f t="shared" si="55"/>
        <v>6.4544498106891184E-3</v>
      </c>
      <c r="O54" s="104">
        <f t="shared" si="55"/>
        <v>6.7264382265090255E-3</v>
      </c>
      <c r="P54" s="104">
        <f t="shared" si="55"/>
        <v>7.2597120030569928E-3</v>
      </c>
      <c r="Q54" s="104">
        <f t="shared" si="55"/>
        <v>6.9886325540057534E-3</v>
      </c>
      <c r="R54" s="104">
        <f t="shared" si="55"/>
        <v>7.1832445999666927E-3</v>
      </c>
      <c r="S54" s="104">
        <f t="shared" si="55"/>
        <v>8.3586862916943915E-3</v>
      </c>
      <c r="T54" s="104">
        <f t="shared" si="55"/>
        <v>9.4305939247868141E-3</v>
      </c>
      <c r="U54" s="104">
        <f t="shared" si="55"/>
        <v>7.455157689729053E-3</v>
      </c>
      <c r="V54" s="104">
        <f t="shared" si="55"/>
        <v>1.9390308474244604E-2</v>
      </c>
      <c r="W54" s="104">
        <f t="shared" ref="W54:Y54" si="56">IF(W12=0,0,W12/W$3)</f>
        <v>2.6910472213215162E-2</v>
      </c>
      <c r="X54" s="104">
        <f t="shared" si="56"/>
        <v>1.6069562706531079E-2</v>
      </c>
      <c r="Y54" s="104">
        <f t="shared" si="56"/>
        <v>1.2335947212781745E-2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4.5150913901465944E-2</v>
      </c>
      <c r="C55" s="105">
        <f t="shared" si="57"/>
        <v>4.2165114307100342E-2</v>
      </c>
      <c r="D55" s="105">
        <f t="shared" ref="D55:V55" si="58">IF(D13=0,0,D13/D$3)</f>
        <v>4.8225667500323671E-2</v>
      </c>
      <c r="E55" s="105">
        <f t="shared" si="58"/>
        <v>3.7661362370222919E-2</v>
      </c>
      <c r="F55" s="105">
        <f t="shared" si="58"/>
        <v>2.7188918013326149E-2</v>
      </c>
      <c r="G55" s="105">
        <f t="shared" si="58"/>
        <v>2.8555379112015427E-2</v>
      </c>
      <c r="H55" s="105">
        <f t="shared" si="58"/>
        <v>2.5266885970085484E-2</v>
      </c>
      <c r="I55" s="105">
        <f t="shared" si="58"/>
        <v>1.9652311999981086E-2</v>
      </c>
      <c r="J55" s="105">
        <f t="shared" si="58"/>
        <v>2.0465486777471797E-2</v>
      </c>
      <c r="K55" s="105">
        <f t="shared" si="58"/>
        <v>2.3413470367449844E-2</v>
      </c>
      <c r="L55" s="105">
        <f t="shared" si="58"/>
        <v>2.3531299627731248E-2</v>
      </c>
      <c r="M55" s="105">
        <f t="shared" si="58"/>
        <v>3.378621315051069E-2</v>
      </c>
      <c r="N55" s="105">
        <f t="shared" si="58"/>
        <v>3.6899100802782338E-2</v>
      </c>
      <c r="O55" s="105">
        <f t="shared" si="58"/>
        <v>3.3732943514058158E-2</v>
      </c>
      <c r="P55" s="105">
        <f t="shared" si="58"/>
        <v>2.96460039238861E-2</v>
      </c>
      <c r="Q55" s="105">
        <f t="shared" si="58"/>
        <v>2.9848089035533234E-2</v>
      </c>
      <c r="R55" s="105">
        <f t="shared" si="58"/>
        <v>3.1443492753084515E-2</v>
      </c>
      <c r="S55" s="105">
        <f t="shared" si="58"/>
        <v>2.7532343502192875E-2</v>
      </c>
      <c r="T55" s="105">
        <f t="shared" si="58"/>
        <v>1.9449733700773578E-2</v>
      </c>
      <c r="U55" s="105">
        <f t="shared" si="58"/>
        <v>1.9464136460447111E-2</v>
      </c>
      <c r="V55" s="105">
        <f t="shared" si="58"/>
        <v>2.5067991808017952E-2</v>
      </c>
      <c r="W55" s="105">
        <f t="shared" ref="W55:Y55" si="59">IF(W13=0,0,W13/W$3)</f>
        <v>1.1657900095623674E-2</v>
      </c>
      <c r="X55" s="105">
        <f t="shared" si="59"/>
        <v>7.8277770100797818E-3</v>
      </c>
      <c r="Y55" s="105">
        <f t="shared" si="59"/>
        <v>5.3897627007461705E-3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418.69261111290353</v>
      </c>
      <c r="C57" s="62">
        <v>420.02350647335624</v>
      </c>
      <c r="D57" s="62">
        <v>418.71320189815498</v>
      </c>
      <c r="E57" s="62">
        <v>412.10583506862412</v>
      </c>
      <c r="F57" s="62">
        <v>403.51362798919581</v>
      </c>
      <c r="G57" s="62">
        <v>396.619442929304</v>
      </c>
      <c r="H57" s="62">
        <v>393.1827955620675</v>
      </c>
      <c r="I57" s="62">
        <v>391.45682230071338</v>
      </c>
      <c r="J57" s="62">
        <v>390.67856954209952</v>
      </c>
      <c r="K57" s="62">
        <v>397.61293133798273</v>
      </c>
      <c r="L57" s="62">
        <v>396.07542964932645</v>
      </c>
      <c r="M57" s="62">
        <v>398.44381791358535</v>
      </c>
      <c r="N57" s="62">
        <v>397.32920182362733</v>
      </c>
      <c r="O57" s="62">
        <v>397.29402464499577</v>
      </c>
      <c r="P57" s="62">
        <v>399.85335962851144</v>
      </c>
      <c r="Q57" s="62">
        <v>406.29196302348157</v>
      </c>
      <c r="R57" s="62">
        <v>414.82933158676036</v>
      </c>
      <c r="S57" s="62">
        <v>418.92479594236357</v>
      </c>
      <c r="T57" s="62">
        <v>428.91763912693801</v>
      </c>
      <c r="U57" s="62">
        <v>433.35176339680606</v>
      </c>
      <c r="V57" s="62">
        <v>423.85865343399354</v>
      </c>
      <c r="W57" s="62">
        <v>412.72017989732421</v>
      </c>
      <c r="X57" s="62">
        <v>408.81300284543954</v>
      </c>
      <c r="Y57" s="62">
        <v>415.87529960109691</v>
      </c>
      <c r="DA57" s="172" t="s">
        <v>314</v>
      </c>
    </row>
    <row r="58" spans="1:105" ht="11.45" customHeight="1" x14ac:dyDescent="0.25">
      <c r="A58" s="10" t="s">
        <v>33</v>
      </c>
      <c r="B58" s="14">
        <v>405.20111428239704</v>
      </c>
      <c r="C58" s="14">
        <v>406.85818783630373</v>
      </c>
      <c r="D58" s="14">
        <v>404.54805219170379</v>
      </c>
      <c r="E58" s="14">
        <v>400.21673890231671</v>
      </c>
      <c r="F58" s="14">
        <v>395.92364966697028</v>
      </c>
      <c r="G58" s="14">
        <v>389.26319860529014</v>
      </c>
      <c r="H58" s="14">
        <v>387.27542881470652</v>
      </c>
      <c r="I58" s="14">
        <v>386.42755467468697</v>
      </c>
      <c r="J58" s="14">
        <v>385.48747553786552</v>
      </c>
      <c r="K58" s="14">
        <v>391.76832327076602</v>
      </c>
      <c r="L58" s="14">
        <v>390.26310800886409</v>
      </c>
      <c r="M58" s="14">
        <v>388.70747609177749</v>
      </c>
      <c r="N58" s="14">
        <v>386.39968922433945</v>
      </c>
      <c r="O58" s="14">
        <v>387.47238610732921</v>
      </c>
      <c r="P58" s="14">
        <v>391.16075876989612</v>
      </c>
      <c r="Q58" s="14">
        <v>397.10508512360559</v>
      </c>
      <c r="R58" s="14">
        <v>404.61335927424045</v>
      </c>
      <c r="S58" s="14">
        <v>409.06407088387186</v>
      </c>
      <c r="T58" s="14">
        <v>421.9649127431299</v>
      </c>
      <c r="U58" s="14">
        <v>426.25896650683984</v>
      </c>
      <c r="V58" s="14">
        <v>420.20260239504307</v>
      </c>
      <c r="W58" s="14">
        <v>413.79170636219607</v>
      </c>
      <c r="X58" s="14">
        <v>407.89934025659545</v>
      </c>
      <c r="Y58" s="14">
        <v>415.29903924937622</v>
      </c>
      <c r="DA58" s="189" t="s">
        <v>315</v>
      </c>
    </row>
    <row r="59" spans="1:105" ht="11.45" customHeight="1" x14ac:dyDescent="0.25">
      <c r="A59" s="83" t="s">
        <v>27</v>
      </c>
      <c r="B59" s="87">
        <v>657.67640752529019</v>
      </c>
      <c r="C59" s="87">
        <v>657.67640752529007</v>
      </c>
      <c r="D59" s="87">
        <v>657.67640752529019</v>
      </c>
      <c r="E59" s="87">
        <v>657.67640752529019</v>
      </c>
      <c r="F59" s="87">
        <v>657.67640752529007</v>
      </c>
      <c r="G59" s="87">
        <v>679.35441532206664</v>
      </c>
      <c r="H59" s="87">
        <v>721.44674890723627</v>
      </c>
      <c r="I59" s="87">
        <v>708.08164444463341</v>
      </c>
      <c r="J59" s="87">
        <v>709.94376998068424</v>
      </c>
      <c r="K59" s="87">
        <v>717.25732113100219</v>
      </c>
      <c r="L59" s="87">
        <v>730.22159644847147</v>
      </c>
      <c r="M59" s="87">
        <v>732.02416539584067</v>
      </c>
      <c r="N59" s="87">
        <v>754.14544947742297</v>
      </c>
      <c r="O59" s="87">
        <v>773.61501077408536</v>
      </c>
      <c r="P59" s="87">
        <v>743.36353746723989</v>
      </c>
      <c r="Q59" s="87">
        <v>761.7158243694272</v>
      </c>
      <c r="R59" s="87">
        <v>729.27240747581334</v>
      </c>
      <c r="S59" s="87">
        <v>699.77183789560945</v>
      </c>
      <c r="T59" s="87">
        <v>716.81929453773944</v>
      </c>
      <c r="U59" s="87">
        <v>828.09007839096353</v>
      </c>
      <c r="V59" s="87">
        <v>721.57696010734696</v>
      </c>
      <c r="W59" s="87">
        <v>644.31428153286424</v>
      </c>
      <c r="X59" s="87">
        <v>721.44359855643768</v>
      </c>
      <c r="Y59" s="87">
        <v>796.48047026122458</v>
      </c>
      <c r="DA59" s="171" t="s">
        <v>316</v>
      </c>
    </row>
    <row r="60" spans="1:105" ht="11.45" customHeight="1" x14ac:dyDescent="0.25">
      <c r="A60" s="83" t="s">
        <v>181</v>
      </c>
      <c r="B60" s="87">
        <v>355.52915137134499</v>
      </c>
      <c r="C60" s="87">
        <v>355.53132610425405</v>
      </c>
      <c r="D60" s="87">
        <v>355.53201615022738</v>
      </c>
      <c r="E60" s="87">
        <v>354.01467689346271</v>
      </c>
      <c r="F60" s="87">
        <v>351.04477496076044</v>
      </c>
      <c r="G60" s="87">
        <v>351.26026441053773</v>
      </c>
      <c r="H60" s="87">
        <v>354.19532797238816</v>
      </c>
      <c r="I60" s="87">
        <v>353.35625471680993</v>
      </c>
      <c r="J60" s="87">
        <v>352.73291855447451</v>
      </c>
      <c r="K60" s="87">
        <v>356.02129118039477</v>
      </c>
      <c r="L60" s="87">
        <v>357.9758477059757</v>
      </c>
      <c r="M60" s="87">
        <v>357.86839789578664</v>
      </c>
      <c r="N60" s="87">
        <v>355.15874147608201</v>
      </c>
      <c r="O60" s="87">
        <v>355.67489176071939</v>
      </c>
      <c r="P60" s="87">
        <v>353.8715063036563</v>
      </c>
      <c r="Q60" s="87">
        <v>353.75078367677014</v>
      </c>
      <c r="R60" s="87">
        <v>354.00817319453324</v>
      </c>
      <c r="S60" s="87">
        <v>352.27234234432882</v>
      </c>
      <c r="T60" s="87">
        <v>347.70066282243937</v>
      </c>
      <c r="U60" s="87">
        <v>347.15590295678032</v>
      </c>
      <c r="V60" s="87">
        <v>349.82605273357632</v>
      </c>
      <c r="W60" s="87">
        <v>348.57410100602101</v>
      </c>
      <c r="X60" s="87">
        <v>345.13283712690816</v>
      </c>
      <c r="Y60" s="87">
        <v>343.00448664946811</v>
      </c>
      <c r="DA60" s="171" t="s">
        <v>317</v>
      </c>
    </row>
    <row r="61" spans="1:105" ht="11.45" customHeight="1" x14ac:dyDescent="0.25">
      <c r="A61" s="83" t="s">
        <v>182</v>
      </c>
      <c r="B61" s="87">
        <v>481.55242119686847</v>
      </c>
      <c r="C61" s="87">
        <v>481.55242119686847</v>
      </c>
      <c r="D61" s="87">
        <v>481.55242119686841</v>
      </c>
      <c r="E61" s="87">
        <v>481.55242119686835</v>
      </c>
      <c r="F61" s="87">
        <v>481.55242119686847</v>
      </c>
      <c r="G61" s="87">
        <v>465.75752800986197</v>
      </c>
      <c r="H61" s="87">
        <v>446.87877670020998</v>
      </c>
      <c r="I61" s="87">
        <v>445.03888526478494</v>
      </c>
      <c r="J61" s="87">
        <v>437.24167118864665</v>
      </c>
      <c r="K61" s="87">
        <v>434.42735787418695</v>
      </c>
      <c r="L61" s="87">
        <v>428.27068861623553</v>
      </c>
      <c r="M61" s="87">
        <v>425.90632998387576</v>
      </c>
      <c r="N61" s="87">
        <v>419.65304659589873</v>
      </c>
      <c r="O61" s="87">
        <v>423.13789772784776</v>
      </c>
      <c r="P61" s="87">
        <v>432.93282896036305</v>
      </c>
      <c r="Q61" s="87">
        <v>450.89984828341784</v>
      </c>
      <c r="R61" s="87">
        <v>473.76263372327338</v>
      </c>
      <c r="S61" s="87">
        <v>482.20517237860383</v>
      </c>
      <c r="T61" s="87">
        <v>506.41398547879533</v>
      </c>
      <c r="U61" s="87">
        <v>511.85079699710406</v>
      </c>
      <c r="V61" s="87">
        <v>519.9142520968187</v>
      </c>
      <c r="W61" s="87">
        <v>498.66166477365687</v>
      </c>
      <c r="X61" s="87">
        <v>495.97041817881421</v>
      </c>
      <c r="Y61" s="87">
        <v>515.57574394207495</v>
      </c>
      <c r="DA61" s="171" t="s">
        <v>318</v>
      </c>
    </row>
    <row r="62" spans="1:105" ht="11.45" customHeight="1" x14ac:dyDescent="0.25">
      <c r="A62" s="12" t="s">
        <v>34</v>
      </c>
      <c r="B62" s="15">
        <v>684.59289020532879</v>
      </c>
      <c r="C62" s="15">
        <v>690.54573636486589</v>
      </c>
      <c r="D62" s="15">
        <v>681.10285368358836</v>
      </c>
      <c r="E62" s="15">
        <v>717.14423086087152</v>
      </c>
      <c r="F62" s="15">
        <v>667.80724687603242</v>
      </c>
      <c r="G62" s="15">
        <v>663.8824882765058</v>
      </c>
      <c r="H62" s="15">
        <v>623.84213050989808</v>
      </c>
      <c r="I62" s="15">
        <v>610.64292870142106</v>
      </c>
      <c r="J62" s="15">
        <v>634.29621130041483</v>
      </c>
      <c r="K62" s="15">
        <v>655.59666136934641</v>
      </c>
      <c r="L62" s="15">
        <v>627.85019257700174</v>
      </c>
      <c r="M62" s="15">
        <v>709.65081179265951</v>
      </c>
      <c r="N62" s="15">
        <v>753.70094750741771</v>
      </c>
      <c r="O62" s="15">
        <v>729.15865094378137</v>
      </c>
      <c r="P62" s="15">
        <v>713.74594485034879</v>
      </c>
      <c r="Q62" s="15">
        <v>716.65658228941027</v>
      </c>
      <c r="R62" s="15">
        <v>727.39470921358941</v>
      </c>
      <c r="S62" s="15">
        <v>714.14330294247191</v>
      </c>
      <c r="T62" s="15">
        <v>682.77324730084115</v>
      </c>
      <c r="U62" s="15">
        <v>695.17115482212523</v>
      </c>
      <c r="V62" s="15">
        <v>485.08662741445187</v>
      </c>
      <c r="W62" s="15">
        <v>387.79254520379186</v>
      </c>
      <c r="X62" s="15">
        <v>448.36526258654175</v>
      </c>
      <c r="Y62" s="15">
        <v>449.54052758205825</v>
      </c>
      <c r="DA62" s="193" t="s">
        <v>319</v>
      </c>
    </row>
    <row r="63" spans="1:105" ht="11.45" customHeight="1" x14ac:dyDescent="0.25">
      <c r="A63" s="92" t="s">
        <v>27</v>
      </c>
      <c r="B63" s="101">
        <v>1075.2333060733667</v>
      </c>
      <c r="C63" s="101">
        <v>1075.2333060733667</v>
      </c>
      <c r="D63" s="101">
        <v>1075.2333060733667</v>
      </c>
      <c r="E63" s="101">
        <v>1075.2333060733665</v>
      </c>
      <c r="F63" s="101">
        <v>1075.2333060733667</v>
      </c>
      <c r="G63" s="101">
        <v>1148.1481268315088</v>
      </c>
      <c r="H63" s="101">
        <v>1148.6296648260068</v>
      </c>
      <c r="I63" s="101">
        <v>998.41918236969673</v>
      </c>
      <c r="J63" s="101">
        <v>913.54201533290461</v>
      </c>
      <c r="K63" s="101">
        <v>852.10209483867004</v>
      </c>
      <c r="L63" s="101">
        <v>806.62387523820564</v>
      </c>
      <c r="M63" s="101">
        <v>813.95757346060429</v>
      </c>
      <c r="N63" s="101">
        <v>848.39475758259039</v>
      </c>
      <c r="O63" s="101">
        <v>878.2396510838895</v>
      </c>
      <c r="P63" s="101">
        <v>840.65377460880893</v>
      </c>
      <c r="Q63" s="101">
        <v>869.334498928936</v>
      </c>
      <c r="R63" s="101">
        <v>827.85573258731381</v>
      </c>
      <c r="S63" s="101">
        <v>790.23675313650517</v>
      </c>
      <c r="T63" s="101">
        <v>816.71976487791244</v>
      </c>
      <c r="U63" s="101">
        <v>815.06087389214304</v>
      </c>
      <c r="V63" s="101">
        <v>813.74195784886433</v>
      </c>
      <c r="W63" s="101">
        <v>825.18853440818816</v>
      </c>
      <c r="X63" s="101">
        <v>807.33616537522346</v>
      </c>
      <c r="Y63" s="101">
        <v>857.3824137162685</v>
      </c>
      <c r="DA63" s="175" t="s">
        <v>320</v>
      </c>
    </row>
    <row r="64" spans="1:105" ht="11.45" customHeight="1" x14ac:dyDescent="0.25">
      <c r="A64" s="92" t="s">
        <v>181</v>
      </c>
      <c r="B64" s="101">
        <v>370.22850399815701</v>
      </c>
      <c r="C64" s="101">
        <v>370.69534660230698</v>
      </c>
      <c r="D64" s="101">
        <v>370.27094656530835</v>
      </c>
      <c r="E64" s="101">
        <v>361.98576863905845</v>
      </c>
      <c r="F64" s="101">
        <v>363.1335939473293</v>
      </c>
      <c r="G64" s="101">
        <v>368.92789123283956</v>
      </c>
      <c r="H64" s="101">
        <v>375.88312265813153</v>
      </c>
      <c r="I64" s="101">
        <v>378.88167961212093</v>
      </c>
      <c r="J64" s="101">
        <v>380.18962678385248</v>
      </c>
      <c r="K64" s="101">
        <v>384.30508289936279</v>
      </c>
      <c r="L64" s="101">
        <v>390.37364500441907</v>
      </c>
      <c r="M64" s="101">
        <v>391.0512314323181</v>
      </c>
      <c r="N64" s="101">
        <v>388.49114641110259</v>
      </c>
      <c r="O64" s="101">
        <v>391.08056377471513</v>
      </c>
      <c r="P64" s="101">
        <v>388.81144666429515</v>
      </c>
      <c r="Q64" s="101">
        <v>390.25846072354022</v>
      </c>
      <c r="R64" s="101">
        <v>396.13386120470386</v>
      </c>
      <c r="S64" s="101">
        <v>393.17706500038389</v>
      </c>
      <c r="T64" s="101">
        <v>385.99013772700249</v>
      </c>
      <c r="U64" s="101">
        <v>389.15107563416734</v>
      </c>
      <c r="V64" s="101">
        <v>385.77069334222313</v>
      </c>
      <c r="W64" s="101">
        <v>398.32964214503261</v>
      </c>
      <c r="X64" s="101">
        <v>383.13884094057647</v>
      </c>
      <c r="Y64" s="101">
        <v>383.17927642037301</v>
      </c>
      <c r="DA64" s="175" t="s">
        <v>321</v>
      </c>
    </row>
    <row r="65" spans="1:105" ht="11.45" customHeight="1" x14ac:dyDescent="0.25">
      <c r="A65" s="85" t="s">
        <v>182</v>
      </c>
      <c r="B65" s="88">
        <v>886.72890878603346</v>
      </c>
      <c r="C65" s="88">
        <v>886.72890878603346</v>
      </c>
      <c r="D65" s="88">
        <v>886.72890878603346</v>
      </c>
      <c r="E65" s="88">
        <v>886.72890878603357</v>
      </c>
      <c r="F65" s="88">
        <v>886.72890878603357</v>
      </c>
      <c r="G65" s="88">
        <v>879.22455850622134</v>
      </c>
      <c r="H65" s="88">
        <v>853.7045585904616</v>
      </c>
      <c r="I65" s="88">
        <v>837.28604418741691</v>
      </c>
      <c r="J65" s="88">
        <v>816.64596734416921</v>
      </c>
      <c r="K65" s="88">
        <v>798.76337760697857</v>
      </c>
      <c r="L65" s="88">
        <v>778.0237075097798</v>
      </c>
      <c r="M65" s="88">
        <v>815.48036184458385</v>
      </c>
      <c r="N65" s="88">
        <v>848.35864401267543</v>
      </c>
      <c r="O65" s="88">
        <v>824.1086235648022</v>
      </c>
      <c r="P65" s="88">
        <v>821.58049031160351</v>
      </c>
      <c r="Q65" s="88">
        <v>822.45226173729225</v>
      </c>
      <c r="R65" s="88">
        <v>824.06779334842179</v>
      </c>
      <c r="S65" s="88">
        <v>819.60552064359183</v>
      </c>
      <c r="T65" s="88">
        <v>811.39682665394605</v>
      </c>
      <c r="U65" s="88">
        <v>793.94222622426059</v>
      </c>
      <c r="V65" s="88">
        <v>558.57690079569147</v>
      </c>
      <c r="W65" s="88">
        <v>374.78085761912087</v>
      </c>
      <c r="X65" s="88">
        <v>541.13027845176907</v>
      </c>
      <c r="Y65" s="88">
        <v>557.3799901145868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1.5028329212449494</v>
      </c>
      <c r="C67" s="59">
        <f t="shared" ref="C67:W67" si="61">IF(C3=0,0,C17/C57)</f>
        <v>1.5716933723915953</v>
      </c>
      <c r="D67" s="59">
        <f t="shared" si="61"/>
        <v>1.4664807806856039</v>
      </c>
      <c r="E67" s="59">
        <f t="shared" si="61"/>
        <v>1.0031181111971341</v>
      </c>
      <c r="F67" s="59">
        <f t="shared" si="61"/>
        <v>1.0461271068934215</v>
      </c>
      <c r="G67" s="59">
        <f t="shared" si="61"/>
        <v>1.0092442516102067</v>
      </c>
      <c r="H67" s="59">
        <f t="shared" si="61"/>
        <v>1.0176817410854115</v>
      </c>
      <c r="I67" s="59">
        <f t="shared" si="61"/>
        <v>1.0354042851275163</v>
      </c>
      <c r="J67" s="59">
        <f t="shared" si="61"/>
        <v>1.0400534035928883</v>
      </c>
      <c r="K67" s="59">
        <f t="shared" si="61"/>
        <v>1.015798141481723</v>
      </c>
      <c r="L67" s="59">
        <f t="shared" si="61"/>
        <v>0.9841595666255003</v>
      </c>
      <c r="M67" s="59">
        <f t="shared" si="61"/>
        <v>1.0017978482989436</v>
      </c>
      <c r="N67" s="59">
        <f t="shared" si="61"/>
        <v>0.9924396200120239</v>
      </c>
      <c r="O67" s="59">
        <f t="shared" si="61"/>
        <v>0.97421098320469812</v>
      </c>
      <c r="P67" s="59">
        <f t="shared" si="61"/>
        <v>0.99861431668464895</v>
      </c>
      <c r="Q67" s="59">
        <f t="shared" si="61"/>
        <v>1.0400877549168484</v>
      </c>
      <c r="R67" s="59">
        <f t="shared" si="61"/>
        <v>1.0266659276750132</v>
      </c>
      <c r="S67" s="59">
        <f t="shared" si="61"/>
        <v>1.0457907024545166</v>
      </c>
      <c r="T67" s="59">
        <f t="shared" si="61"/>
        <v>0.9773435462864275</v>
      </c>
      <c r="U67" s="59">
        <f t="shared" si="61"/>
        <v>0.9986206764982416</v>
      </c>
      <c r="V67" s="59">
        <f t="shared" si="61"/>
        <v>1.2732761497144269</v>
      </c>
      <c r="W67" s="59">
        <f t="shared" si="61"/>
        <v>1.0433871395880132</v>
      </c>
      <c r="X67" s="59">
        <f t="shared" ref="X67:Y67" si="62">IF(X3=0,0,X17/X57)</f>
        <v>0.99798479498378356</v>
      </c>
      <c r="Y67" s="59">
        <f t="shared" si="62"/>
        <v>1.0099538724041215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1.5276439376744142</v>
      </c>
      <c r="C68" s="23">
        <f t="shared" ref="C68:W68" si="64">IF(C6=0,0,C18/C58)</f>
        <v>1.6014259227949246</v>
      </c>
      <c r="D68" s="23">
        <f t="shared" si="64"/>
        <v>1.4900080701899867</v>
      </c>
      <c r="E68" s="23">
        <f t="shared" si="64"/>
        <v>1.0202604444088705</v>
      </c>
      <c r="F68" s="23">
        <f t="shared" si="64"/>
        <v>1.0553229618512849</v>
      </c>
      <c r="G68" s="23">
        <f t="shared" si="64"/>
        <v>1.0147759581503339</v>
      </c>
      <c r="H68" s="23">
        <f t="shared" si="64"/>
        <v>1.0200091864477847</v>
      </c>
      <c r="I68" s="23">
        <f t="shared" si="64"/>
        <v>1.0379757928010103</v>
      </c>
      <c r="J68" s="23">
        <f t="shared" si="64"/>
        <v>1.042795231861382</v>
      </c>
      <c r="K68" s="23">
        <f t="shared" si="64"/>
        <v>1.0198707588994813</v>
      </c>
      <c r="L68" s="23">
        <f t="shared" si="64"/>
        <v>0.98838392679217557</v>
      </c>
      <c r="M68" s="23">
        <f t="shared" si="64"/>
        <v>1.010873327338516</v>
      </c>
      <c r="N68" s="23">
        <f t="shared" si="64"/>
        <v>1.0036486949535053</v>
      </c>
      <c r="O68" s="23">
        <f t="shared" si="64"/>
        <v>0.9847115818294937</v>
      </c>
      <c r="P68" s="23">
        <f t="shared" si="64"/>
        <v>1.0094460062209782</v>
      </c>
      <c r="Q68" s="23">
        <f t="shared" si="64"/>
        <v>1.0534368717328364</v>
      </c>
      <c r="R68" s="23">
        <f t="shared" si="64"/>
        <v>1.0434347187124349</v>
      </c>
      <c r="S68" s="23">
        <f t="shared" si="64"/>
        <v>1.0642189425656756</v>
      </c>
      <c r="T68" s="23">
        <f t="shared" si="64"/>
        <v>0.98321194643043852</v>
      </c>
      <c r="U68" s="23">
        <f t="shared" si="64"/>
        <v>0.99200862136801471</v>
      </c>
      <c r="V68" s="23">
        <f t="shared" si="64"/>
        <v>1.1934529200953601</v>
      </c>
      <c r="W68" s="23">
        <f t="shared" si="64"/>
        <v>1.0334453003863533</v>
      </c>
      <c r="X68" s="23">
        <f t="shared" ref="X68:Y68" si="65">IF(X6=0,0,X18/X58)</f>
        <v>0.99696503197489361</v>
      </c>
      <c r="Y68" s="23">
        <f t="shared" si="65"/>
        <v>1.0103989312049793</v>
      </c>
      <c r="DA68" s="189"/>
    </row>
    <row r="69" spans="1:105" ht="11.45" customHeight="1" x14ac:dyDescent="0.25">
      <c r="A69" s="83" t="s">
        <v>27</v>
      </c>
      <c r="B69" s="91">
        <f t="shared" si="63"/>
        <v>8.2257951660998554</v>
      </c>
      <c r="C69" s="91">
        <f t="shared" ref="C69:W69" si="66">IF(C7=0,0,C19/C59)</f>
        <v>8.2598567136346546</v>
      </c>
      <c r="D69" s="91">
        <f t="shared" si="66"/>
        <v>8.1783090407363144</v>
      </c>
      <c r="E69" s="91">
        <f t="shared" si="66"/>
        <v>7.7601958908841837</v>
      </c>
      <c r="F69" s="91">
        <f t="shared" si="66"/>
        <v>4.6160303564105591</v>
      </c>
      <c r="G69" s="91">
        <f t="shared" si="66"/>
        <v>2.9731983748337951</v>
      </c>
      <c r="H69" s="91">
        <f t="shared" si="66"/>
        <v>1.4725792290212574</v>
      </c>
      <c r="I69" s="91">
        <f t="shared" si="66"/>
        <v>3.4227287774682642</v>
      </c>
      <c r="J69" s="91">
        <f t="shared" si="66"/>
        <v>3.5987409720111909</v>
      </c>
      <c r="K69" s="91">
        <f t="shared" si="66"/>
        <v>2.0573610305314216</v>
      </c>
      <c r="L69" s="91">
        <f t="shared" si="66"/>
        <v>2.5343527195667694</v>
      </c>
      <c r="M69" s="91">
        <f t="shared" si="66"/>
        <v>5.938194716037537</v>
      </c>
      <c r="N69" s="91">
        <f t="shared" si="66"/>
        <v>3.6047951046152398</v>
      </c>
      <c r="O69" s="91">
        <f t="shared" si="66"/>
        <v>4.5304334299225388</v>
      </c>
      <c r="P69" s="91">
        <f t="shared" si="66"/>
        <v>3.7417287501037548</v>
      </c>
      <c r="Q69" s="91">
        <f t="shared" si="66"/>
        <v>7.1774348631858134</v>
      </c>
      <c r="R69" s="91">
        <f t="shared" si="66"/>
        <v>8.7223772080031292</v>
      </c>
      <c r="S69" s="91">
        <f t="shared" si="66"/>
        <v>16.443491238933866</v>
      </c>
      <c r="T69" s="91">
        <f t="shared" si="66"/>
        <v>10.584667129685242</v>
      </c>
      <c r="U69" s="91">
        <f t="shared" si="66"/>
        <v>36.150266191955467</v>
      </c>
      <c r="V69" s="91">
        <f t="shared" si="66"/>
        <v>48.481843979922118</v>
      </c>
      <c r="W69" s="91">
        <f t="shared" si="66"/>
        <v>5.2969410529560124</v>
      </c>
      <c r="X69" s="91">
        <f t="shared" ref="X69:Y69" si="67">IF(X7=0,0,X19/X59)</f>
        <v>7.2084988562860319</v>
      </c>
      <c r="Y69" s="91">
        <f t="shared" si="67"/>
        <v>6.3739415775510366</v>
      </c>
      <c r="DA69" s="171"/>
    </row>
    <row r="70" spans="1:105" ht="11.45" customHeight="1" x14ac:dyDescent="0.25">
      <c r="A70" s="83" t="s">
        <v>181</v>
      </c>
      <c r="B70" s="91">
        <f t="shared" si="63"/>
        <v>1.3010192449259574</v>
      </c>
      <c r="C70" s="91">
        <f t="shared" ref="C70:W70" si="68">IF(C8=0,0,C20/C60)</f>
        <v>1.302403015874056</v>
      </c>
      <c r="D70" s="91">
        <f t="shared" si="68"/>
        <v>1.2928945964194716</v>
      </c>
      <c r="E70" s="91">
        <f t="shared" si="68"/>
        <v>0.83149213227675889</v>
      </c>
      <c r="F70" s="91">
        <f t="shared" si="68"/>
        <v>0.9731300085901623</v>
      </c>
      <c r="G70" s="91">
        <f t="shared" si="68"/>
        <v>0.96455959658913792</v>
      </c>
      <c r="H70" s="91">
        <f t="shared" si="68"/>
        <v>0.99872752095623407</v>
      </c>
      <c r="I70" s="91">
        <f t="shared" si="68"/>
        <v>0.98351338647678299</v>
      </c>
      <c r="J70" s="91">
        <f t="shared" si="68"/>
        <v>0.96682085706688492</v>
      </c>
      <c r="K70" s="91">
        <f t="shared" si="68"/>
        <v>1.0177439396449592</v>
      </c>
      <c r="L70" s="91">
        <f t="shared" si="68"/>
        <v>0.97472486995037144</v>
      </c>
      <c r="M70" s="91">
        <f t="shared" si="68"/>
        <v>0.97678176146477014</v>
      </c>
      <c r="N70" s="91">
        <f t="shared" si="68"/>
        <v>1.0809871735692005</v>
      </c>
      <c r="O70" s="91">
        <f t="shared" si="68"/>
        <v>1.0674452037166775</v>
      </c>
      <c r="P70" s="91">
        <f t="shared" si="68"/>
        <v>1.1242072939998393</v>
      </c>
      <c r="Q70" s="91">
        <f t="shared" si="68"/>
        <v>1.0894628904296029</v>
      </c>
      <c r="R70" s="91">
        <f t="shared" si="68"/>
        <v>1.102683142695748</v>
      </c>
      <c r="S70" s="91">
        <f t="shared" si="68"/>
        <v>1.1952515649143562</v>
      </c>
      <c r="T70" s="91">
        <f t="shared" si="68"/>
        <v>1.3151983154947418</v>
      </c>
      <c r="U70" s="91">
        <f t="shared" si="68"/>
        <v>1.3406612313499908</v>
      </c>
      <c r="V70" s="91">
        <f t="shared" si="68"/>
        <v>1.0577962355938697</v>
      </c>
      <c r="W70" s="91">
        <f t="shared" si="68"/>
        <v>1.2229945951360583</v>
      </c>
      <c r="X70" s="91">
        <f t="shared" ref="X70:Y70" si="69">IF(X8=0,0,X20/X60)</f>
        <v>1.2558145627256174</v>
      </c>
      <c r="Y70" s="91">
        <f t="shared" si="69"/>
        <v>1.3058993972430364</v>
      </c>
      <c r="DA70" s="171"/>
    </row>
    <row r="71" spans="1:105" ht="11.45" customHeight="1" x14ac:dyDescent="0.25">
      <c r="A71" s="83" t="s">
        <v>182</v>
      </c>
      <c r="B71" s="91">
        <f t="shared" si="63"/>
        <v>1.2115674654461346</v>
      </c>
      <c r="C71" s="91">
        <f t="shared" ref="C71:W71" si="70">IF(C9=0,0,C21/C61)</f>
        <v>1.2128674024957864</v>
      </c>
      <c r="D71" s="91">
        <f t="shared" si="70"/>
        <v>1.2040166110557968</v>
      </c>
      <c r="E71" s="91">
        <f t="shared" si="70"/>
        <v>0.76844481100615702</v>
      </c>
      <c r="F71" s="91">
        <f t="shared" si="70"/>
        <v>0.88537419942570883</v>
      </c>
      <c r="G71" s="91">
        <f t="shared" si="70"/>
        <v>0.93305273046270587</v>
      </c>
      <c r="H71" s="91">
        <f t="shared" si="70"/>
        <v>1.0156848725478289</v>
      </c>
      <c r="I71" s="91">
        <f t="shared" si="70"/>
        <v>0.93244927904323505</v>
      </c>
      <c r="J71" s="91">
        <f t="shared" si="70"/>
        <v>0.93185403187205662</v>
      </c>
      <c r="K71" s="91">
        <f t="shared" si="70"/>
        <v>0.90768463034718516</v>
      </c>
      <c r="L71" s="91">
        <f t="shared" si="70"/>
        <v>0.87449392645712465</v>
      </c>
      <c r="M71" s="91">
        <f t="shared" si="70"/>
        <v>0.80723484985567773</v>
      </c>
      <c r="N71" s="91">
        <f t="shared" si="70"/>
        <v>0.80670688640570032</v>
      </c>
      <c r="O71" s="91">
        <f t="shared" si="70"/>
        <v>0.78457073911899056</v>
      </c>
      <c r="P71" s="91">
        <f t="shared" si="70"/>
        <v>0.79137392555402519</v>
      </c>
      <c r="Q71" s="91">
        <f t="shared" si="70"/>
        <v>0.78492563728187359</v>
      </c>
      <c r="R71" s="91">
        <f t="shared" si="70"/>
        <v>0.73705259884435148</v>
      </c>
      <c r="S71" s="91">
        <f t="shared" si="70"/>
        <v>0.67221154510752568</v>
      </c>
      <c r="T71" s="91">
        <f t="shared" si="70"/>
        <v>0.60056905382021619</v>
      </c>
      <c r="U71" s="91">
        <f t="shared" si="70"/>
        <v>0.5913703095937114</v>
      </c>
      <c r="V71" s="91">
        <f t="shared" si="70"/>
        <v>0.83191129039897005</v>
      </c>
      <c r="W71" s="91">
        <f t="shared" si="70"/>
        <v>0.80787770915575252</v>
      </c>
      <c r="X71" s="91">
        <f t="shared" ref="X71:Y71" si="71">IF(X9=0,0,X21/X61)</f>
        <v>0.70358598779852866</v>
      </c>
      <c r="Y71" s="91">
        <f t="shared" si="71"/>
        <v>0.70389987196990433</v>
      </c>
      <c r="DA71" s="171"/>
    </row>
    <row r="72" spans="1:105" ht="11.45" customHeight="1" x14ac:dyDescent="0.25">
      <c r="A72" s="12" t="s">
        <v>34</v>
      </c>
      <c r="B72" s="24">
        <f t="shared" si="63"/>
        <v>1.2117626915079678</v>
      </c>
      <c r="C72" s="24">
        <f t="shared" ref="C72:W72" si="72">IF(C10=0,0,C22/C62)</f>
        <v>1.2103192603632908</v>
      </c>
      <c r="D72" s="24">
        <f t="shared" si="72"/>
        <v>1.2059139339239024</v>
      </c>
      <c r="E72" s="24">
        <f t="shared" si="72"/>
        <v>0.75707393857169125</v>
      </c>
      <c r="F72" s="24">
        <f t="shared" si="72"/>
        <v>0.85587027329108478</v>
      </c>
      <c r="G72" s="24">
        <f t="shared" si="72"/>
        <v>0.89022258374573071</v>
      </c>
      <c r="H72" s="24">
        <f t="shared" si="72"/>
        <v>0.95818477760778842</v>
      </c>
      <c r="I72" s="24">
        <f t="shared" si="72"/>
        <v>0.9594569305972297</v>
      </c>
      <c r="J72" s="24">
        <f t="shared" si="72"/>
        <v>0.95507360932214924</v>
      </c>
      <c r="K72" s="24">
        <f t="shared" si="72"/>
        <v>0.9009292706719858</v>
      </c>
      <c r="L72" s="24">
        <f t="shared" si="72"/>
        <v>0.87442700117528449</v>
      </c>
      <c r="M72" s="24">
        <f t="shared" si="72"/>
        <v>0.83919447746021392</v>
      </c>
      <c r="N72" s="24">
        <f t="shared" si="72"/>
        <v>0.80171351081677933</v>
      </c>
      <c r="O72" s="24">
        <f t="shared" si="72"/>
        <v>0.78369922008854398</v>
      </c>
      <c r="P72" s="24">
        <f t="shared" si="72"/>
        <v>0.78321215316608472</v>
      </c>
      <c r="Q72" s="24">
        <f t="shared" si="72"/>
        <v>0.78934582611964976</v>
      </c>
      <c r="R72" s="24">
        <f t="shared" si="72"/>
        <v>0.7408366551996588</v>
      </c>
      <c r="S72" s="24">
        <f t="shared" si="72"/>
        <v>0.72944361991190787</v>
      </c>
      <c r="T72" s="24">
        <f t="shared" si="72"/>
        <v>0.8415332174103608</v>
      </c>
      <c r="U72" s="24">
        <f t="shared" si="72"/>
        <v>1.1419028047412352</v>
      </c>
      <c r="V72" s="24">
        <f t="shared" si="72"/>
        <v>2.4062328442557863</v>
      </c>
      <c r="W72" s="24">
        <f t="shared" si="72"/>
        <v>1.2858622132212814</v>
      </c>
      <c r="X72" s="24">
        <f t="shared" ref="X72:Y72" si="73">IF(X10=0,0,X22/X62)</f>
        <v>1.0373551268998551</v>
      </c>
      <c r="Y72" s="24">
        <f t="shared" si="73"/>
        <v>0.98592542997833921</v>
      </c>
      <c r="DA72" s="193"/>
    </row>
    <row r="73" spans="1:105" ht="11.45" customHeight="1" x14ac:dyDescent="0.25">
      <c r="A73" s="92" t="s">
        <v>27</v>
      </c>
      <c r="B73" s="93">
        <f t="shared" si="63"/>
        <v>8.2257951660998572</v>
      </c>
      <c r="C73" s="93">
        <f t="shared" ref="C73:W73" si="74">IF(C11=0,0,C23/C63)</f>
        <v>8.2598567136346546</v>
      </c>
      <c r="D73" s="93">
        <f t="shared" si="74"/>
        <v>8.1783090407363161</v>
      </c>
      <c r="E73" s="93">
        <f t="shared" si="74"/>
        <v>7.7601958908841828</v>
      </c>
      <c r="F73" s="93">
        <f t="shared" si="74"/>
        <v>4.6160303564105583</v>
      </c>
      <c r="G73" s="93">
        <f t="shared" si="74"/>
        <v>2.973198374833796</v>
      </c>
      <c r="H73" s="93">
        <f t="shared" si="74"/>
        <v>1.4725792290212576</v>
      </c>
      <c r="I73" s="93">
        <f t="shared" si="74"/>
        <v>3.4227287774682646</v>
      </c>
      <c r="J73" s="93">
        <f t="shared" si="74"/>
        <v>3.5987409720111909</v>
      </c>
      <c r="K73" s="93">
        <f t="shared" si="74"/>
        <v>2.0573610305314221</v>
      </c>
      <c r="L73" s="93">
        <f t="shared" si="74"/>
        <v>2.534352719566769</v>
      </c>
      <c r="M73" s="93">
        <f t="shared" si="74"/>
        <v>5.9381947160375352</v>
      </c>
      <c r="N73" s="93">
        <f t="shared" si="74"/>
        <v>3.6047951046152393</v>
      </c>
      <c r="O73" s="93">
        <f t="shared" si="74"/>
        <v>4.5304334299225379</v>
      </c>
      <c r="P73" s="93">
        <f t="shared" si="74"/>
        <v>3.7417287501037557</v>
      </c>
      <c r="Q73" s="93">
        <f t="shared" si="74"/>
        <v>7.1774348631858143</v>
      </c>
      <c r="R73" s="93">
        <f t="shared" si="74"/>
        <v>8.722377208003131</v>
      </c>
      <c r="S73" s="93">
        <f t="shared" si="74"/>
        <v>16.443491238933866</v>
      </c>
      <c r="T73" s="93">
        <f t="shared" si="74"/>
        <v>10.584667129685242</v>
      </c>
      <c r="U73" s="93">
        <f t="shared" si="74"/>
        <v>36.150266191955474</v>
      </c>
      <c r="V73" s="93">
        <f t="shared" si="74"/>
        <v>48.481843979922118</v>
      </c>
      <c r="W73" s="93">
        <f t="shared" si="74"/>
        <v>5.2969410529560133</v>
      </c>
      <c r="X73" s="93">
        <f t="shared" ref="X73:Y73" si="75">IF(X11=0,0,X23/X63)</f>
        <v>7.2084988562860328</v>
      </c>
      <c r="Y73" s="93">
        <f t="shared" si="75"/>
        <v>6.3739415775510357</v>
      </c>
      <c r="DA73" s="175"/>
    </row>
    <row r="74" spans="1:105" ht="11.45" customHeight="1" x14ac:dyDescent="0.25">
      <c r="A74" s="92" t="s">
        <v>181</v>
      </c>
      <c r="B74" s="93">
        <f t="shared" si="63"/>
        <v>1.3534664667537957</v>
      </c>
      <c r="C74" s="93">
        <f t="shared" ref="C74:W74" si="76">IF(C12=0,0,C24/C64)</f>
        <v>1.3560038654937889</v>
      </c>
      <c r="D74" s="93">
        <f t="shared" si="76"/>
        <v>1.3443339227816589</v>
      </c>
      <c r="E74" s="93">
        <f t="shared" si="76"/>
        <v>0.87388914978633825</v>
      </c>
      <c r="F74" s="93">
        <f t="shared" si="76"/>
        <v>1.0032173775352629</v>
      </c>
      <c r="G74" s="93">
        <f t="shared" si="76"/>
        <v>0.9804310511678429</v>
      </c>
      <c r="H74" s="93">
        <f t="shared" si="76"/>
        <v>1.0073255576603894</v>
      </c>
      <c r="I74" s="93">
        <f t="shared" si="76"/>
        <v>0.97429542876533448</v>
      </c>
      <c r="J74" s="93">
        <f t="shared" si="76"/>
        <v>0.93953076028753568</v>
      </c>
      <c r="K74" s="93">
        <f t="shared" si="76"/>
        <v>1.0029775598471344</v>
      </c>
      <c r="L74" s="93">
        <f t="shared" si="76"/>
        <v>0.95390063102549916</v>
      </c>
      <c r="M74" s="93">
        <f t="shared" si="76"/>
        <v>0.96365111100249523</v>
      </c>
      <c r="N74" s="93">
        <f t="shared" si="76"/>
        <v>1.0700068914298948</v>
      </c>
      <c r="O74" s="93">
        <f t="shared" si="76"/>
        <v>1.0564426845078594</v>
      </c>
      <c r="P74" s="93">
        <f t="shared" si="76"/>
        <v>1.1105202012756956</v>
      </c>
      <c r="Q74" s="93">
        <f t="shared" si="76"/>
        <v>1.0754365433119535</v>
      </c>
      <c r="R74" s="93">
        <f t="shared" si="76"/>
        <v>1.0802303476210866</v>
      </c>
      <c r="S74" s="93">
        <f t="shared" si="76"/>
        <v>1.1652590223211901</v>
      </c>
      <c r="T74" s="93">
        <f t="shared" si="76"/>
        <v>1.2711784777037374</v>
      </c>
      <c r="U74" s="93">
        <f t="shared" si="76"/>
        <v>1.2885893664948243</v>
      </c>
      <c r="V74" s="93">
        <f t="shared" si="76"/>
        <v>1.1332546532718089</v>
      </c>
      <c r="W74" s="93">
        <f t="shared" si="76"/>
        <v>1.2788253807899639</v>
      </c>
      <c r="X74" s="93">
        <f t="shared" ref="X74:Y74" si="77">IF(X12=0,0,X24/X64)</f>
        <v>1.2909525772033084</v>
      </c>
      <c r="Y74" s="93">
        <f t="shared" si="77"/>
        <v>1.297903682815855</v>
      </c>
      <c r="DA74" s="175"/>
    </row>
    <row r="75" spans="1:105" ht="11.45" customHeight="1" x14ac:dyDescent="0.25">
      <c r="A75" s="85" t="s">
        <v>182</v>
      </c>
      <c r="B75" s="94">
        <f t="shared" si="63"/>
        <v>1.0904107189015213</v>
      </c>
      <c r="C75" s="94">
        <f t="shared" ref="C75:W75" si="78">IF(C13=0,0,C25/C65)</f>
        <v>1.0915806622462076</v>
      </c>
      <c r="D75" s="94">
        <f t="shared" si="78"/>
        <v>1.083614949950217</v>
      </c>
      <c r="E75" s="94">
        <f t="shared" si="78"/>
        <v>0.69160032990554132</v>
      </c>
      <c r="F75" s="94">
        <f t="shared" si="78"/>
        <v>0.79683677948313791</v>
      </c>
      <c r="G75" s="94">
        <f t="shared" si="78"/>
        <v>0.83974745741643531</v>
      </c>
      <c r="H75" s="94">
        <f t="shared" si="78"/>
        <v>0.91411638529304595</v>
      </c>
      <c r="I75" s="94">
        <f t="shared" si="78"/>
        <v>0.83920435113891168</v>
      </c>
      <c r="J75" s="94">
        <f t="shared" si="78"/>
        <v>0.83866862868485104</v>
      </c>
      <c r="K75" s="94">
        <f t="shared" si="78"/>
        <v>0.81691616731246675</v>
      </c>
      <c r="L75" s="94">
        <f t="shared" si="78"/>
        <v>0.78704453381141226</v>
      </c>
      <c r="M75" s="94">
        <f t="shared" si="78"/>
        <v>0.72651136487011003</v>
      </c>
      <c r="N75" s="94">
        <f t="shared" si="78"/>
        <v>0.72603619776513029</v>
      </c>
      <c r="O75" s="94">
        <f t="shared" si="78"/>
        <v>0.70611366520709162</v>
      </c>
      <c r="P75" s="94">
        <f t="shared" si="78"/>
        <v>0.71223653299862266</v>
      </c>
      <c r="Q75" s="94">
        <f t="shared" si="78"/>
        <v>0.70643307355368612</v>
      </c>
      <c r="R75" s="94">
        <f t="shared" si="78"/>
        <v>0.6633473389599166</v>
      </c>
      <c r="S75" s="94">
        <f t="shared" si="78"/>
        <v>0.60499039059677318</v>
      </c>
      <c r="T75" s="94">
        <f t="shared" si="78"/>
        <v>0.54051214843819451</v>
      </c>
      <c r="U75" s="94">
        <f t="shared" si="78"/>
        <v>0.53223327863434033</v>
      </c>
      <c r="V75" s="94">
        <f t="shared" si="78"/>
        <v>0.74872016135907304</v>
      </c>
      <c r="W75" s="94">
        <f t="shared" si="78"/>
        <v>0.72708993824017731</v>
      </c>
      <c r="X75" s="94">
        <f t="shared" ref="X75:Y75" si="79">IF(X13=0,0,X25/X65)</f>
        <v>0.63322738901867559</v>
      </c>
      <c r="Y75" s="94">
        <f t="shared" si="79"/>
        <v>0.63350988477291403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602.80431371999998</v>
      </c>
      <c r="C3" s="79">
        <f t="shared" si="0"/>
        <v>636.9824584800001</v>
      </c>
      <c r="D3" s="79">
        <f t="shared" ref="D3" si="1">SUM(D4:D5)</f>
        <v>609.27531371999999</v>
      </c>
      <c r="E3" s="79">
        <f t="shared" ref="E3" si="2">SUM(E4:E5)</f>
        <v>781.60377923999999</v>
      </c>
      <c r="F3" s="79">
        <f t="shared" ref="F3" si="3">SUM(F4:F5)</f>
        <v>1000.0932253199998</v>
      </c>
      <c r="G3" s="79">
        <f t="shared" ref="G3" si="4">SUM(G4:G5)</f>
        <v>1037.03291352</v>
      </c>
      <c r="H3" s="79">
        <f t="shared" ref="H3" si="5">SUM(H4:H5)</f>
        <v>1061.5292722800004</v>
      </c>
      <c r="I3" s="79">
        <f t="shared" ref="I3" si="6">SUM(I4:I5)</f>
        <v>1151.8139584799999</v>
      </c>
      <c r="J3" s="79">
        <f t="shared" ref="J3" si="7">SUM(J4:J5)</f>
        <v>1210.9661459999998</v>
      </c>
      <c r="K3" s="79">
        <f t="shared" ref="K3" si="8">SUM(K4:K5)</f>
        <v>1120.6814598000001</v>
      </c>
      <c r="L3" s="79">
        <f t="shared" ref="L3" si="9">SUM(L4:L5)</f>
        <v>1033.5098422800002</v>
      </c>
      <c r="M3" s="79">
        <f t="shared" ref="M3" si="10">SUM(M4:M5)</f>
        <v>1067.803668</v>
      </c>
      <c r="N3" s="79">
        <f t="shared" ref="N3" si="11">SUM(N4:N5)</f>
        <v>949.45155228000033</v>
      </c>
      <c r="O3" s="79">
        <f t="shared" ref="O3" si="12">SUM(O4:O5)</f>
        <v>912.09213971999964</v>
      </c>
      <c r="P3" s="79">
        <f t="shared" ref="P3" si="13">SUM(P4:P5)</f>
        <v>936.99824219999982</v>
      </c>
      <c r="Q3" s="79">
        <f t="shared" ref="Q3" si="14">SUM(Q4:Q5)</f>
        <v>1002.3290852399999</v>
      </c>
      <c r="R3" s="79">
        <f t="shared" ref="R3" si="15">SUM(R4:R5)</f>
        <v>1080.1609790400003</v>
      </c>
      <c r="S3" s="79">
        <f t="shared" ref="S3" si="16">SUM(S4:S5)</f>
        <v>1226.48452524</v>
      </c>
      <c r="T3" s="79">
        <f t="shared" ref="T3" si="17">SUM(T4:T5)</f>
        <v>1335.4489177200003</v>
      </c>
      <c r="U3" s="79">
        <f t="shared" ref="U3" si="18">SUM(U4:U5)</f>
        <v>1403.9408289600001</v>
      </c>
      <c r="V3" s="79">
        <f t="shared" ref="V3:W3" si="19">SUM(V4:V5)</f>
        <v>466.89484608000009</v>
      </c>
      <c r="W3" s="79">
        <f t="shared" si="19"/>
        <v>479.34763847999989</v>
      </c>
      <c r="X3" s="79">
        <f t="shared" ref="X3:Y3" si="20">SUM(X4:X5)</f>
        <v>815.58079848</v>
      </c>
      <c r="Y3" s="79">
        <f t="shared" si="20"/>
        <v>1045.9628935200001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117.45886896000002</v>
      </c>
      <c r="C4" s="96">
        <f t="shared" si="21"/>
        <v>150.76601352</v>
      </c>
      <c r="D4" s="96">
        <f t="shared" ref="D4:V4" si="22">SUM(D7,D11)</f>
        <v>107.67212496000002</v>
      </c>
      <c r="E4" s="96">
        <f t="shared" si="22"/>
        <v>175.37176800000003</v>
      </c>
      <c r="F4" s="96">
        <f t="shared" si="22"/>
        <v>132.28889904000002</v>
      </c>
      <c r="G4" s="96">
        <f t="shared" si="22"/>
        <v>89.218296000000009</v>
      </c>
      <c r="H4" s="96">
        <f t="shared" si="22"/>
        <v>49.716464760000015</v>
      </c>
      <c r="I4" s="96">
        <f t="shared" si="22"/>
        <v>111.98172096000002</v>
      </c>
      <c r="J4" s="96">
        <f t="shared" si="22"/>
        <v>140.00115096000002</v>
      </c>
      <c r="K4" s="96">
        <f t="shared" si="22"/>
        <v>96.415601039999999</v>
      </c>
      <c r="L4" s="96">
        <f t="shared" si="22"/>
        <v>90.188946000000016</v>
      </c>
      <c r="M4" s="96">
        <f t="shared" si="22"/>
        <v>133.82275428</v>
      </c>
      <c r="N4" s="96">
        <f t="shared" si="22"/>
        <v>65.28284352</v>
      </c>
      <c r="O4" s="96">
        <f t="shared" si="22"/>
        <v>59.056188480000017</v>
      </c>
      <c r="P4" s="96">
        <f t="shared" si="22"/>
        <v>55.94286095999999</v>
      </c>
      <c r="Q4" s="96">
        <f t="shared" si="22"/>
        <v>115.04704896000001</v>
      </c>
      <c r="R4" s="96">
        <f t="shared" si="22"/>
        <v>127.50035904000001</v>
      </c>
      <c r="S4" s="96">
        <f t="shared" si="22"/>
        <v>158.63285772000003</v>
      </c>
      <c r="T4" s="96">
        <f t="shared" si="22"/>
        <v>102.59399772000002</v>
      </c>
      <c r="U4" s="96">
        <f t="shared" si="22"/>
        <v>143.06647895999998</v>
      </c>
      <c r="V4" s="96">
        <f t="shared" si="22"/>
        <v>124.43503104000001</v>
      </c>
      <c r="W4" s="96">
        <f t="shared" ref="W4:Y4" si="23">SUM(W7,W11)</f>
        <v>18.583707240000003</v>
      </c>
      <c r="X4" s="96">
        <f t="shared" si="23"/>
        <v>18.583707240000003</v>
      </c>
      <c r="Y4" s="96">
        <f t="shared" si="23"/>
        <v>18.583707240000003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485.34544475999991</v>
      </c>
      <c r="C5" s="96">
        <f t="shared" si="24"/>
        <v>486.2164449600001</v>
      </c>
      <c r="D5" s="96">
        <f t="shared" ref="D5:V5" si="25">SUM(D8:D9,D12:D13)</f>
        <v>501.60318875999997</v>
      </c>
      <c r="E5" s="96">
        <f t="shared" si="25"/>
        <v>606.23201123999991</v>
      </c>
      <c r="F5" s="96">
        <f t="shared" si="25"/>
        <v>867.80432627999971</v>
      </c>
      <c r="G5" s="96">
        <f t="shared" si="25"/>
        <v>947.81461752000007</v>
      </c>
      <c r="H5" s="96">
        <f t="shared" si="25"/>
        <v>1011.8128075200003</v>
      </c>
      <c r="I5" s="96">
        <f t="shared" si="25"/>
        <v>1039.8322375199998</v>
      </c>
      <c r="J5" s="96">
        <f t="shared" si="25"/>
        <v>1070.9649950399998</v>
      </c>
      <c r="K5" s="96">
        <f t="shared" si="25"/>
        <v>1024.2658587600001</v>
      </c>
      <c r="L5" s="96">
        <f t="shared" si="25"/>
        <v>943.32089628000006</v>
      </c>
      <c r="M5" s="96">
        <f t="shared" si="25"/>
        <v>933.98091371999999</v>
      </c>
      <c r="N5" s="96">
        <f t="shared" si="25"/>
        <v>884.1687087600003</v>
      </c>
      <c r="O5" s="96">
        <f t="shared" si="25"/>
        <v>853.03595123999958</v>
      </c>
      <c r="P5" s="96">
        <f t="shared" si="25"/>
        <v>881.05538123999986</v>
      </c>
      <c r="Q5" s="96">
        <f t="shared" si="25"/>
        <v>887.28203627999994</v>
      </c>
      <c r="R5" s="96">
        <f t="shared" si="25"/>
        <v>952.66062000000034</v>
      </c>
      <c r="S5" s="96">
        <f t="shared" si="25"/>
        <v>1067.8516675200001</v>
      </c>
      <c r="T5" s="96">
        <f t="shared" si="25"/>
        <v>1232.8549200000002</v>
      </c>
      <c r="U5" s="96">
        <f t="shared" si="25"/>
        <v>1260.87435</v>
      </c>
      <c r="V5" s="96">
        <f t="shared" si="25"/>
        <v>342.45981504000008</v>
      </c>
      <c r="W5" s="96">
        <f t="shared" ref="W5:Y5" si="26">SUM(W8:W9,W12:W13)</f>
        <v>460.76393123999986</v>
      </c>
      <c r="X5" s="96">
        <f t="shared" si="26"/>
        <v>796.99709124000003</v>
      </c>
      <c r="Y5" s="96">
        <f t="shared" si="26"/>
        <v>1027.3791862800001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564.22094479267105</v>
      </c>
      <c r="C6" s="21">
        <f t="shared" si="27"/>
        <v>599.3510355891874</v>
      </c>
      <c r="D6" s="21">
        <f t="shared" ref="D6:V6" si="28">SUM(D7:D9)</f>
        <v>567.29756266330992</v>
      </c>
      <c r="E6" s="21">
        <f t="shared" si="28"/>
        <v>742.96369308460817</v>
      </c>
      <c r="F6" s="21">
        <f t="shared" si="28"/>
        <v>962.21527228941068</v>
      </c>
      <c r="G6" s="21">
        <f t="shared" si="28"/>
        <v>995.84952126360986</v>
      </c>
      <c r="H6" s="21">
        <f t="shared" si="28"/>
        <v>1021.5516968903278</v>
      </c>
      <c r="I6" s="21">
        <f t="shared" si="28"/>
        <v>1113.8479745980735</v>
      </c>
      <c r="J6" s="21">
        <f t="shared" si="28"/>
        <v>1172.5027753936472</v>
      </c>
      <c r="K6" s="21">
        <f t="shared" si="28"/>
        <v>1083.4477576897305</v>
      </c>
      <c r="L6" s="21">
        <f t="shared" si="28"/>
        <v>997.21032311461897</v>
      </c>
      <c r="M6" s="21">
        <f t="shared" si="28"/>
        <v>1018.8445457592857</v>
      </c>
      <c r="N6" s="21">
        <f t="shared" si="28"/>
        <v>905.65255306959443</v>
      </c>
      <c r="O6" s="21">
        <f t="shared" si="28"/>
        <v>873.09018622855683</v>
      </c>
      <c r="P6" s="21">
        <f t="shared" si="28"/>
        <v>901.48586160954517</v>
      </c>
      <c r="Q6" s="21">
        <f t="shared" si="28"/>
        <v>963.5886405549511</v>
      </c>
      <c r="R6" s="21">
        <f t="shared" si="28"/>
        <v>1036.7779859040625</v>
      </c>
      <c r="S6" s="21">
        <f t="shared" si="28"/>
        <v>1179.2180303207426</v>
      </c>
      <c r="T6" s="21">
        <f t="shared" si="28"/>
        <v>1285.9623683551358</v>
      </c>
      <c r="U6" s="21">
        <f t="shared" si="28"/>
        <v>1335.2448824516887</v>
      </c>
      <c r="V6" s="21">
        <f t="shared" si="28"/>
        <v>408.9865430424295</v>
      </c>
      <c r="W6" s="21">
        <f t="shared" ref="W6:Y6" si="29">SUM(W7:W9)</f>
        <v>455.9679106133645</v>
      </c>
      <c r="X6" s="21">
        <f t="shared" si="29"/>
        <v>794.47063644189416</v>
      </c>
      <c r="Y6" s="21">
        <f t="shared" si="29"/>
        <v>1027.3821927264048</v>
      </c>
      <c r="DA6" s="189" t="s">
        <v>327</v>
      </c>
    </row>
    <row r="7" spans="1:105" ht="11.45" customHeight="1" x14ac:dyDescent="0.25">
      <c r="A7" s="83" t="s">
        <v>27</v>
      </c>
      <c r="B7" s="96">
        <v>115.16488121516744</v>
      </c>
      <c r="C7" s="96">
        <v>148.55741936262527</v>
      </c>
      <c r="D7" s="96">
        <v>105.16268873438185</v>
      </c>
      <c r="E7" s="96">
        <v>173.42984341644507</v>
      </c>
      <c r="F7" s="96">
        <v>131.68536391550003</v>
      </c>
      <c r="G7" s="96">
        <v>88.24588771637795</v>
      </c>
      <c r="H7" s="96">
        <v>48.63035880919314</v>
      </c>
      <c r="I7" s="96">
        <v>108.28570932979368</v>
      </c>
      <c r="J7" s="96">
        <v>135.60082399941342</v>
      </c>
      <c r="K7" s="96">
        <v>93.605526844005809</v>
      </c>
      <c r="L7" s="96">
        <v>87.567111810277112</v>
      </c>
      <c r="M7" s="96">
        <v>128.56645313910224</v>
      </c>
      <c r="N7" s="96">
        <v>62.653154419830777</v>
      </c>
      <c r="O7" s="96">
        <v>56.963651635598161</v>
      </c>
      <c r="P7" s="96">
        <v>55.017212561261879</v>
      </c>
      <c r="Q7" s="96">
        <v>113.23831636924086</v>
      </c>
      <c r="R7" s="96">
        <v>125.85010177804752</v>
      </c>
      <c r="S7" s="96">
        <v>155.3951140284143</v>
      </c>
      <c r="T7" s="96">
        <v>91.682859308352704</v>
      </c>
      <c r="U7" s="96">
        <v>112.17034779385875</v>
      </c>
      <c r="V7" s="96">
        <v>87.29147728735505</v>
      </c>
      <c r="W7" s="96">
        <v>13.698055472536783</v>
      </c>
      <c r="X7" s="96">
        <v>16.967733210962976</v>
      </c>
      <c r="Y7" s="96">
        <v>18.546390897778725</v>
      </c>
      <c r="DA7" s="171" t="s">
        <v>328</v>
      </c>
    </row>
    <row r="8" spans="1:105" ht="11.45" customHeight="1" x14ac:dyDescent="0.25">
      <c r="A8" s="83" t="s">
        <v>181</v>
      </c>
      <c r="B8" s="96">
        <v>269.22070310500067</v>
      </c>
      <c r="C8" s="96">
        <v>270.2493677096341</v>
      </c>
      <c r="D8" s="96">
        <v>277.04662738020619</v>
      </c>
      <c r="E8" s="96">
        <v>355.51912004084602</v>
      </c>
      <c r="F8" s="96">
        <v>536.33812114054024</v>
      </c>
      <c r="G8" s="96">
        <v>598.41341853139204</v>
      </c>
      <c r="H8" s="96">
        <v>636.51774099450517</v>
      </c>
      <c r="I8" s="96">
        <v>661.66699255409856</v>
      </c>
      <c r="J8" s="96">
        <v>667.73310280626663</v>
      </c>
      <c r="K8" s="96">
        <v>617.70856639558951</v>
      </c>
      <c r="L8" s="96">
        <v>558.86723706966723</v>
      </c>
      <c r="M8" s="96">
        <v>542.13439395222167</v>
      </c>
      <c r="N8" s="96">
        <v>508.36307383989924</v>
      </c>
      <c r="O8" s="96">
        <v>491.52609648548525</v>
      </c>
      <c r="P8" s="96">
        <v>510.95811496344959</v>
      </c>
      <c r="Q8" s="96">
        <v>517.293888370491</v>
      </c>
      <c r="R8" s="96">
        <v>570.17075527751751</v>
      </c>
      <c r="S8" s="96">
        <v>651.69491726861395</v>
      </c>
      <c r="T8" s="96">
        <v>761.66814916256089</v>
      </c>
      <c r="U8" s="96">
        <v>767.2454582609904</v>
      </c>
      <c r="V8" s="96">
        <v>178.06424412623156</v>
      </c>
      <c r="W8" s="96">
        <v>258.78046505493825</v>
      </c>
      <c r="X8" s="96">
        <v>496.62961142611533</v>
      </c>
      <c r="Y8" s="96">
        <v>640.05444189574985</v>
      </c>
      <c r="DA8" s="171" t="s">
        <v>329</v>
      </c>
    </row>
    <row r="9" spans="1:105" ht="11.45" customHeight="1" x14ac:dyDescent="0.25">
      <c r="A9" s="83" t="s">
        <v>182</v>
      </c>
      <c r="B9" s="96">
        <v>179.83536047250297</v>
      </c>
      <c r="C9" s="96">
        <v>180.54424851692809</v>
      </c>
      <c r="D9" s="96">
        <v>185.08824654872191</v>
      </c>
      <c r="E9" s="96">
        <v>214.01472962731717</v>
      </c>
      <c r="F9" s="96">
        <v>294.19178723337035</v>
      </c>
      <c r="G9" s="96">
        <v>309.19021501583978</v>
      </c>
      <c r="H9" s="96">
        <v>336.40359708662953</v>
      </c>
      <c r="I9" s="96">
        <v>343.89527271418115</v>
      </c>
      <c r="J9" s="96">
        <v>369.16884858796726</v>
      </c>
      <c r="K9" s="96">
        <v>372.13366445013509</v>
      </c>
      <c r="L9" s="96">
        <v>350.77597423467466</v>
      </c>
      <c r="M9" s="96">
        <v>348.14369866796176</v>
      </c>
      <c r="N9" s="96">
        <v>334.63632480986445</v>
      </c>
      <c r="O9" s="96">
        <v>324.60043810747351</v>
      </c>
      <c r="P9" s="96">
        <v>335.51053408483369</v>
      </c>
      <c r="Q9" s="96">
        <v>333.05643581521912</v>
      </c>
      <c r="R9" s="96">
        <v>340.75712884849759</v>
      </c>
      <c r="S9" s="96">
        <v>372.12799902371444</v>
      </c>
      <c r="T9" s="96">
        <v>432.61135988422211</v>
      </c>
      <c r="U9" s="96">
        <v>455.82907639683953</v>
      </c>
      <c r="V9" s="96">
        <v>143.63082162884294</v>
      </c>
      <c r="W9" s="96">
        <v>183.48939008588945</v>
      </c>
      <c r="X9" s="96">
        <v>280.87329180481589</v>
      </c>
      <c r="Y9" s="96">
        <v>368.78135993287628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38.583368927328806</v>
      </c>
      <c r="C10" s="22">
        <f t="shared" si="30"/>
        <v>37.63142289081263</v>
      </c>
      <c r="D10" s="22">
        <f t="shared" ref="D10:V10" si="31">SUM(D11:D13)</f>
        <v>41.977751056690039</v>
      </c>
      <c r="E10" s="22">
        <f t="shared" si="31"/>
        <v>38.6400861553917</v>
      </c>
      <c r="F10" s="22">
        <f t="shared" si="31"/>
        <v>37.877953030589147</v>
      </c>
      <c r="G10" s="22">
        <f t="shared" si="31"/>
        <v>41.183392256390434</v>
      </c>
      <c r="H10" s="22">
        <f t="shared" si="31"/>
        <v>39.977575389672467</v>
      </c>
      <c r="I10" s="22">
        <f t="shared" si="31"/>
        <v>37.965983881926491</v>
      </c>
      <c r="J10" s="22">
        <f t="shared" si="31"/>
        <v>38.463370606352527</v>
      </c>
      <c r="K10" s="22">
        <f t="shared" si="31"/>
        <v>37.233702110269768</v>
      </c>
      <c r="L10" s="22">
        <f t="shared" si="31"/>
        <v>36.299519165381163</v>
      </c>
      <c r="M10" s="22">
        <f t="shared" si="31"/>
        <v>48.959122240714343</v>
      </c>
      <c r="N10" s="22">
        <f t="shared" si="31"/>
        <v>43.798999210405839</v>
      </c>
      <c r="O10" s="22">
        <f t="shared" si="31"/>
        <v>39.001953491442734</v>
      </c>
      <c r="P10" s="22">
        <f t="shared" si="31"/>
        <v>35.512380590454683</v>
      </c>
      <c r="Q10" s="22">
        <f t="shared" si="31"/>
        <v>38.740444685048949</v>
      </c>
      <c r="R10" s="22">
        <f t="shared" si="31"/>
        <v>43.382993135937731</v>
      </c>
      <c r="S10" s="22">
        <f t="shared" si="31"/>
        <v>47.26649491925744</v>
      </c>
      <c r="T10" s="22">
        <f t="shared" si="31"/>
        <v>49.48654936486443</v>
      </c>
      <c r="U10" s="22">
        <f t="shared" si="31"/>
        <v>68.695946508311408</v>
      </c>
      <c r="V10" s="22">
        <f t="shared" si="31"/>
        <v>57.908303037570541</v>
      </c>
      <c r="W10" s="22">
        <f t="shared" ref="W10:Y10" si="32">SUM(W11:W13)</f>
        <v>23.379727866635406</v>
      </c>
      <c r="X10" s="22">
        <f t="shared" si="32"/>
        <v>21.110162038105805</v>
      </c>
      <c r="Y10" s="22">
        <f t="shared" si="32"/>
        <v>18.580700793595199</v>
      </c>
      <c r="DA10" s="193" t="s">
        <v>331</v>
      </c>
    </row>
    <row r="11" spans="1:105" ht="11.45" customHeight="1" x14ac:dyDescent="0.25">
      <c r="A11" s="92" t="s">
        <v>27</v>
      </c>
      <c r="B11" s="97">
        <v>2.293987744832573</v>
      </c>
      <c r="C11" s="97">
        <v>2.2085941573747419</v>
      </c>
      <c r="D11" s="97">
        <v>2.5094362256181686</v>
      </c>
      <c r="E11" s="97">
        <v>1.9419245835549577</v>
      </c>
      <c r="F11" s="97">
        <v>0.60353512449997182</v>
      </c>
      <c r="G11" s="97">
        <v>0.97240828362205889</v>
      </c>
      <c r="H11" s="97">
        <v>1.086105950806876</v>
      </c>
      <c r="I11" s="97">
        <v>3.696011630206347</v>
      </c>
      <c r="J11" s="97">
        <v>4.400326960586586</v>
      </c>
      <c r="K11" s="97">
        <v>2.810074195994186</v>
      </c>
      <c r="L11" s="97">
        <v>2.6218341897229043</v>
      </c>
      <c r="M11" s="97">
        <v>5.2563011408977696</v>
      </c>
      <c r="N11" s="97">
        <v>2.629689100169224</v>
      </c>
      <c r="O11" s="97">
        <v>2.0925368444018591</v>
      </c>
      <c r="P11" s="97">
        <v>0.92564839873810811</v>
      </c>
      <c r="Q11" s="97">
        <v>1.8087325907591461</v>
      </c>
      <c r="R11" s="97">
        <v>1.65025726195249</v>
      </c>
      <c r="S11" s="97">
        <v>3.2377436915857278</v>
      </c>
      <c r="T11" s="97">
        <v>10.911138411647315</v>
      </c>
      <c r="U11" s="97">
        <v>30.896131166141242</v>
      </c>
      <c r="V11" s="97">
        <v>37.143553752644955</v>
      </c>
      <c r="W11" s="97">
        <v>4.8856517674632203</v>
      </c>
      <c r="X11" s="97">
        <v>1.6159740290370268</v>
      </c>
      <c r="Y11" s="97">
        <v>3.7316342221278782E-2</v>
      </c>
      <c r="DA11" s="175" t="s">
        <v>332</v>
      </c>
    </row>
    <row r="12" spans="1:105" ht="11.45" customHeight="1" x14ac:dyDescent="0.25">
      <c r="A12" s="92" t="s">
        <v>181</v>
      </c>
      <c r="B12" s="97">
        <v>9.0702772838518495</v>
      </c>
      <c r="C12" s="97">
        <v>8.5573726945220745</v>
      </c>
      <c r="D12" s="97">
        <v>10.073566115307626</v>
      </c>
      <c r="E12" s="97">
        <v>7.2524974218363498</v>
      </c>
      <c r="F12" s="97">
        <v>10.076178699687169</v>
      </c>
      <c r="G12" s="97">
        <v>10.593364259967682</v>
      </c>
      <c r="H12" s="97">
        <v>12.065725863494139</v>
      </c>
      <c r="I12" s="97">
        <v>11.630894759844985</v>
      </c>
      <c r="J12" s="97">
        <v>9.2766264677986765</v>
      </c>
      <c r="K12" s="97">
        <v>8.1806896800132893</v>
      </c>
      <c r="L12" s="97">
        <v>9.3539395176700797</v>
      </c>
      <c r="M12" s="97">
        <v>7.6229676974735696</v>
      </c>
      <c r="N12" s="97">
        <v>6.1292614350403003</v>
      </c>
      <c r="O12" s="97">
        <v>6.1362507377089734</v>
      </c>
      <c r="P12" s="97">
        <v>6.8035454273741367</v>
      </c>
      <c r="Q12" s="97">
        <v>7.0066540745205312</v>
      </c>
      <c r="R12" s="97">
        <v>7.7608534955635013</v>
      </c>
      <c r="S12" s="97">
        <v>10.253885760331165</v>
      </c>
      <c r="T12" s="97">
        <v>12.596430376350522</v>
      </c>
      <c r="U12" s="97">
        <v>10.468461113668315</v>
      </c>
      <c r="V12" s="97">
        <v>9.056461706110154</v>
      </c>
      <c r="W12" s="97">
        <v>12.903949303087488</v>
      </c>
      <c r="X12" s="97">
        <v>13.108700815216272</v>
      </c>
      <c r="Y12" s="97">
        <v>12.904995786029914</v>
      </c>
      <c r="DA12" s="175" t="s">
        <v>333</v>
      </c>
    </row>
    <row r="13" spans="1:105" ht="11.45" customHeight="1" x14ac:dyDescent="0.25">
      <c r="A13" s="85" t="s">
        <v>182</v>
      </c>
      <c r="B13" s="98">
        <v>27.219103898644381</v>
      </c>
      <c r="C13" s="98">
        <v>26.865456038915813</v>
      </c>
      <c r="D13" s="98">
        <v>29.394748715764244</v>
      </c>
      <c r="E13" s="98">
        <v>29.44566415000039</v>
      </c>
      <c r="F13" s="98">
        <v>27.198239206402008</v>
      </c>
      <c r="G13" s="98">
        <v>29.617619712800696</v>
      </c>
      <c r="H13" s="98">
        <v>26.825743575371451</v>
      </c>
      <c r="I13" s="98">
        <v>22.63907749187516</v>
      </c>
      <c r="J13" s="98">
        <v>24.786417177967262</v>
      </c>
      <c r="K13" s="98">
        <v>26.242938234262294</v>
      </c>
      <c r="L13" s="98">
        <v>24.323745457988181</v>
      </c>
      <c r="M13" s="98">
        <v>36.079853402343005</v>
      </c>
      <c r="N13" s="98">
        <v>35.04004867519631</v>
      </c>
      <c r="O13" s="98">
        <v>30.773165909331901</v>
      </c>
      <c r="P13" s="98">
        <v>27.783186764342439</v>
      </c>
      <c r="Q13" s="98">
        <v>29.925058019769274</v>
      </c>
      <c r="R13" s="98">
        <v>33.971882378421739</v>
      </c>
      <c r="S13" s="98">
        <v>33.774865467340547</v>
      </c>
      <c r="T13" s="98">
        <v>25.978980576866594</v>
      </c>
      <c r="U13" s="98">
        <v>27.331354228501848</v>
      </c>
      <c r="V13" s="98">
        <v>11.70828757881543</v>
      </c>
      <c r="W13" s="98">
        <v>5.5901267960846948</v>
      </c>
      <c r="X13" s="98">
        <v>6.3854871938525077</v>
      </c>
      <c r="Y13" s="98">
        <v>5.6383886653440038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3.0081778375877271</v>
      </c>
      <c r="C18" s="97">
        <f>IF(C4=0,0,C4/TrAvia_ene!C4)</f>
        <v>3.0069896421737887</v>
      </c>
      <c r="D18" s="97">
        <f>IF(D4=0,0,D4/TrAvia_ene!D4)</f>
        <v>3.0033453252350446</v>
      </c>
      <c r="E18" s="97">
        <f>IF(E4=0,0,E4/TrAvia_ene!E4)</f>
        <v>3.0060305055608456</v>
      </c>
      <c r="F18" s="97">
        <f>IF(F4=0,0,F4/TrAvia_ene!F4)</f>
        <v>3.0046399865543862</v>
      </c>
      <c r="G18" s="97">
        <f>IF(G4=0,0,G4/TrAvia_ene!G4)</f>
        <v>3.0047050412361584</v>
      </c>
      <c r="H18" s="97">
        <f>IF(H4=0,0,H4/TrAvia_ene!H4)</f>
        <v>3.0002671542147299</v>
      </c>
      <c r="I18" s="97">
        <f>IF(I4=0,0,I4/TrAvia_ene!I4)</f>
        <v>3.0058425533263171</v>
      </c>
      <c r="J18" s="97">
        <f>IF(J4=0,0,J4/TrAvia_ene!J4)</f>
        <v>3.0067354339524535</v>
      </c>
      <c r="K18" s="97">
        <f>IF(K4=0,0,K4/TrAvia_ene!K4)</f>
        <v>3.0051226639630806</v>
      </c>
      <c r="L18" s="97">
        <f>IF(L4=0,0,L4/TrAvia_ene!L4)</f>
        <v>3.0047652443866419</v>
      </c>
      <c r="M18" s="97">
        <f>IF(M4=0,0,M4/TrAvia_ene!M4)</f>
        <v>3.0084387602451819</v>
      </c>
      <c r="N18" s="97">
        <f>IF(N4=0,0,N4/TrAvia_ene!N4)</f>
        <v>3.0026555436200844</v>
      </c>
      <c r="O18" s="97">
        <f>IF(O4=0,0,O4/TrAvia_ene!O4)</f>
        <v>3.0018508392587417</v>
      </c>
      <c r="P18" s="97">
        <f>IF(P4=0,0,P4/TrAvia_ene!P4)</f>
        <v>3.0013815112874362</v>
      </c>
      <c r="Q18" s="97">
        <f>IF(Q4=0,0,Q4/TrAvia_ene!Q4)</f>
        <v>3.0037921932775977</v>
      </c>
      <c r="R18" s="97">
        <f>IF(R4=0,0,R4/TrAvia_ene!R4)</f>
        <v>3.0044274835177127</v>
      </c>
      <c r="S18" s="97">
        <f>IF(S4=0,0,S4/TrAvia_ene!S4)</f>
        <v>3.0055799866144266</v>
      </c>
      <c r="T18" s="97">
        <f>IF(T4=0,0,T4/TrAvia_ene!T4)</f>
        <v>3.0030030667176746</v>
      </c>
      <c r="U18" s="97">
        <f>IF(U4=0,0,U4/TrAvia_ene!U4)</f>
        <v>3.005066319727788</v>
      </c>
      <c r="V18" s="97">
        <f>IF(V4=0,0,V4/TrAvia_ene!V4)</f>
        <v>3.0062889730344176</v>
      </c>
      <c r="W18" s="97">
        <f>IF(W4=0,0,W4/TrAvia_ene!W4)</f>
        <v>2.983593301967173</v>
      </c>
      <c r="X18" s="97">
        <f>IF(X4=0,0,X4/TrAvia_ene!X4)</f>
        <v>2.983593301967173</v>
      </c>
      <c r="Y18" s="97">
        <f>IF(Y4=0,0,Y4/TrAvia_ene!Y4)</f>
        <v>2.983593301967173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3.0092772396756016</v>
      </c>
      <c r="C19" s="98">
        <f>IF(C5=0,0,C5/TrAvia_ene!C5)</f>
        <v>3.0103092000000005</v>
      </c>
      <c r="D19" s="98">
        <f>IF(D5=0,0,D5/TrAvia_ene!D5)</f>
        <v>3.0103092</v>
      </c>
      <c r="E19" s="98">
        <f>IF(E5=0,0,E5/TrAvia_ene!E5)</f>
        <v>3.0103091999999991</v>
      </c>
      <c r="F19" s="98">
        <f>IF(F5=0,0,F5/TrAvia_ene!F5)</f>
        <v>3.0103091999999991</v>
      </c>
      <c r="G19" s="98">
        <f>IF(G5=0,0,G5/TrAvia_ene!G5)</f>
        <v>3.0103092</v>
      </c>
      <c r="H19" s="98">
        <f>IF(H5=0,0,H5/TrAvia_ene!H5)</f>
        <v>3.0103092000000009</v>
      </c>
      <c r="I19" s="98">
        <f>IF(I5=0,0,I5/TrAvia_ene!I5)</f>
        <v>3.0103091999999996</v>
      </c>
      <c r="J19" s="98">
        <f>IF(J5=0,0,J5/TrAvia_ene!J5)</f>
        <v>3.0103092000000005</v>
      </c>
      <c r="K19" s="98">
        <f>IF(K5=0,0,K5/TrAvia_ene!K5)</f>
        <v>3.0103092000000009</v>
      </c>
      <c r="L19" s="98">
        <f>IF(L5=0,0,L5/TrAvia_ene!L5)</f>
        <v>3.0103092</v>
      </c>
      <c r="M19" s="98">
        <f>IF(M5=0,0,M5/TrAvia_ene!M5)</f>
        <v>3.0103092000000005</v>
      </c>
      <c r="N19" s="98">
        <f>IF(N5=0,0,N5/TrAvia_ene!N5)</f>
        <v>3.0103092000000009</v>
      </c>
      <c r="O19" s="98">
        <f>IF(O5=0,0,O5/TrAvia_ene!O5)</f>
        <v>3.0103091999999987</v>
      </c>
      <c r="P19" s="98">
        <f>IF(P5=0,0,P5/TrAvia_ene!P5)</f>
        <v>3.0103092000000005</v>
      </c>
      <c r="Q19" s="98">
        <f>IF(Q5=0,0,Q5/TrAvia_ene!Q5)</f>
        <v>3.0103092</v>
      </c>
      <c r="R19" s="98">
        <f>IF(R5=0,0,R5/TrAvia_ene!R5)</f>
        <v>3.0103091999999996</v>
      </c>
      <c r="S19" s="98">
        <f>IF(S5=0,0,S5/TrAvia_ene!S5)</f>
        <v>3.0103092000000005</v>
      </c>
      <c r="T19" s="98">
        <f>IF(T5=0,0,T5/TrAvia_ene!T5)</f>
        <v>3.0103092000000014</v>
      </c>
      <c r="U19" s="98">
        <f>IF(U5=0,0,U5/TrAvia_ene!U5)</f>
        <v>3.0103092</v>
      </c>
      <c r="V19" s="98">
        <f>IF(V5=0,0,V5/TrAvia_ene!V5)</f>
        <v>3.0103092</v>
      </c>
      <c r="W19" s="98">
        <f>IF(W5=0,0,W5/TrAvia_ene!W5)</f>
        <v>3.0103091999999991</v>
      </c>
      <c r="X19" s="98">
        <f>IF(X5=0,0,X5/TrAvia_ene!X5)</f>
        <v>3.0103092000000014</v>
      </c>
      <c r="Y19" s="98">
        <f>IF(Y5=0,0,Y5/TrAvia_ene!Y5)</f>
        <v>3.0103092000000014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18933.777569786762</v>
      </c>
      <c r="C21" s="54">
        <f>IF(C3=0,0,C3/TrAvia_act!C13*1000)</f>
        <v>19867.309688204459</v>
      </c>
      <c r="D21" s="54">
        <f>IF(D3=0,0,D3/TrAvia_act!D13*1000)</f>
        <v>18476.776832617456</v>
      </c>
      <c r="E21" s="54">
        <f>IF(E3=0,0,E3/TrAvia_act!E13*1000)</f>
        <v>12440.369042355083</v>
      </c>
      <c r="F21" s="54">
        <f>IF(F3=0,0,F3/TrAvia_act!F13*1000)</f>
        <v>12704.143471214629</v>
      </c>
      <c r="G21" s="54">
        <f>IF(G3=0,0,G3/TrAvia_act!G13*1000)</f>
        <v>12047.90983709242</v>
      </c>
      <c r="H21" s="54">
        <f>IF(H3=0,0,H3/TrAvia_act!H13*1000)</f>
        <v>12043.411366394494</v>
      </c>
      <c r="I21" s="54">
        <f>IF(I3=0,0,I3/TrAvia_act!I13*1000)</f>
        <v>12199.504509437316</v>
      </c>
      <c r="J21" s="54">
        <f>IF(J3=0,0,J3/TrAvia_act!J13*1000)</f>
        <v>12230.005726092133</v>
      </c>
      <c r="K21" s="54">
        <f>IF(K3=0,0,K3/TrAvia_act!K13*1000)</f>
        <v>12156.667516480677</v>
      </c>
      <c r="L21" s="54">
        <f>IF(L3=0,0,L3/TrAvia_act!L13*1000)</f>
        <v>11732.339101807242</v>
      </c>
      <c r="M21" s="54">
        <f>IF(M3=0,0,M3/TrAvia_act!M13*1000)</f>
        <v>12015.018809406663</v>
      </c>
      <c r="N21" s="54">
        <f>IF(N3=0,0,N3/TrAvia_act!N13*1000)</f>
        <v>11868.328963835347</v>
      </c>
      <c r="O21" s="54">
        <f>IF(O3=0,0,O3/TrAvia_act!O13*1000)</f>
        <v>11649.222342013003</v>
      </c>
      <c r="P21" s="54">
        <f>IF(P3=0,0,P3/TrAvia_act!P13*1000)</f>
        <v>12018.008943449478</v>
      </c>
      <c r="Q21" s="54">
        <f>IF(Q3=0,0,Q3/TrAvia_act!Q13*1000)</f>
        <v>12717.776366797227</v>
      </c>
      <c r="R21" s="54">
        <f>IF(R3=0,0,R3/TrAvia_act!R13*1000)</f>
        <v>12817.678256631774</v>
      </c>
      <c r="S21" s="54">
        <f>IF(S3=0,0,S3/TrAvia_act!S13*1000)</f>
        <v>13185.711632381599</v>
      </c>
      <c r="T21" s="54">
        <f>IF(T3=0,0,T3/TrAvia_act!T13*1000)</f>
        <v>12616.85456593621</v>
      </c>
      <c r="U21" s="54">
        <f>IF(U3=0,0,U3/TrAvia_act!U13*1000)</f>
        <v>13024.918724644504</v>
      </c>
      <c r="V21" s="54">
        <f>IF(V3=0,0,V3/TrAvia_act!V13*1000)</f>
        <v>16240.52285943256</v>
      </c>
      <c r="W21" s="54">
        <f>IF(W3=0,0,W3/TrAvia_act!W13*1000)</f>
        <v>12958.703470357776</v>
      </c>
      <c r="X21" s="54">
        <f>IF(X3=0,0,X3/TrAvia_act!X13*1000)</f>
        <v>12279.229903656436</v>
      </c>
      <c r="Y21" s="54">
        <f>IF(Y3=0,0,Y3/TrAvia_act!Y13*1000)</f>
        <v>12641.735061842415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18626.127706072228</v>
      </c>
      <c r="C22" s="11">
        <f>IF(C6=0,0,C6/TrAvia_act!C14*1000)</f>
        <v>19608.40197620976</v>
      </c>
      <c r="D22" s="11">
        <f>IF(D6=0,0,D6/TrAvia_act!D14*1000)</f>
        <v>18137.7415175036</v>
      </c>
      <c r="E22" s="11">
        <f>IF(E6=0,0,E6/TrAvia_act!E14*1000)</f>
        <v>12287.771611370043</v>
      </c>
      <c r="F22" s="11">
        <f>IF(F6=0,0,F6/TrAvia_act!F14*1000)</f>
        <v>12574.647144550461</v>
      </c>
      <c r="G22" s="11">
        <f>IF(G6=0,0,G6/TrAvia_act!G14*1000)</f>
        <v>11889.205941476393</v>
      </c>
      <c r="H22" s="11">
        <f>IF(H6=0,0,H6/TrAvia_act!H14*1000)</f>
        <v>11889.564301624685</v>
      </c>
      <c r="I22" s="11">
        <f>IF(I6=0,0,I6/TrAvia_act!I14*1000)</f>
        <v>12072.679804740039</v>
      </c>
      <c r="J22" s="11">
        <f>IF(J6=0,0,J6/TrAvia_act!J14*1000)</f>
        <v>12099.31324608155</v>
      </c>
      <c r="K22" s="11">
        <f>IF(K6=0,0,K6/TrAvia_act!K14*1000)</f>
        <v>12025.989235501558</v>
      </c>
      <c r="L22" s="11">
        <f>IF(L6=0,0,L6/TrAvia_act!L14*1000)</f>
        <v>11609.778156221804</v>
      </c>
      <c r="M22" s="11">
        <f>IF(M6=0,0,M6/TrAvia_act!M14*1000)</f>
        <v>11827.601007523701</v>
      </c>
      <c r="N22" s="11">
        <f>IF(N6=0,0,N6/TrAvia_act!N14*1000)</f>
        <v>11672.208127665806</v>
      </c>
      <c r="O22" s="11">
        <f>IF(O6=0,0,O6/TrAvia_act!O14*1000)</f>
        <v>11483.679850617706</v>
      </c>
      <c r="P22" s="11">
        <f>IF(P6=0,0,P6/TrAvia_act!P14*1000)</f>
        <v>11884.219044764235</v>
      </c>
      <c r="Q22" s="11">
        <f>IF(Q6=0,0,Q6/TrAvia_act!Q14*1000)</f>
        <v>12589.670212648387</v>
      </c>
      <c r="R22" s="11">
        <f>IF(R6=0,0,R6/TrAvia_act!R14*1000)</f>
        <v>12706.133548098007</v>
      </c>
      <c r="S22" s="11">
        <f>IF(S6=0,0,S6/TrAvia_act!S14*1000)</f>
        <v>13102.174679078887</v>
      </c>
      <c r="T22" s="11">
        <f>IF(T6=0,0,T6/TrAvia_act!T14*1000)</f>
        <v>12487.033239007509</v>
      </c>
      <c r="U22" s="11">
        <f>IF(U6=0,0,U6/TrAvia_act!U14*1000)</f>
        <v>12727.304419233944</v>
      </c>
      <c r="V22" s="11">
        <f>IF(V6=0,0,V6/TrAvia_act!V14*1000)</f>
        <v>15092.152916281602</v>
      </c>
      <c r="W22" s="11">
        <f>IF(W6=0,0,W6/TrAvia_act!W14*1000)</f>
        <v>12869.556242462613</v>
      </c>
      <c r="X22" s="11">
        <f>IF(X6=0,0,X6/TrAvia_act!X14*1000)</f>
        <v>12239.424245452363</v>
      </c>
      <c r="Y22" s="11">
        <f>IF(Y6=0,0,Y6/TrAvia_act!Y14*1000)</f>
        <v>12629.748876680977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162739.75618545047</v>
      </c>
      <c r="C23" s="84">
        <f>IF(C7=0,0,C7/TrAvia_act!C15*1000)</f>
        <v>163349.08593568509</v>
      </c>
      <c r="D23" s="84">
        <f>IF(D7=0,0,D7/TrAvia_act!D15*1000)</f>
        <v>161540.36165607133</v>
      </c>
      <c r="E23" s="84">
        <f>IF(E7=0,0,E7/TrAvia_act!E15*1000)</f>
        <v>153418.71143321347</v>
      </c>
      <c r="F23" s="84">
        <f>IF(F7=0,0,F7/TrAvia_act!F15*1000)</f>
        <v>91216.491084513167</v>
      </c>
      <c r="G23" s="84">
        <f>IF(G7=0,0,G7/TrAvia_act!G15*1000)</f>
        <v>60690.698338682785</v>
      </c>
      <c r="H23" s="84">
        <f>IF(H7=0,0,H7/TrAvia_act!H15*1000)</f>
        <v>31874.463131547087</v>
      </c>
      <c r="I23" s="84">
        <f>IF(I7=0,0,I7/TrAvia_act!I15*1000)</f>
        <v>72848.741089818155</v>
      </c>
      <c r="J23" s="84">
        <f>IF(J7=0,0,J7/TrAvia_act!J15*1000)</f>
        <v>76819.195839082415</v>
      </c>
      <c r="K23" s="84">
        <f>IF(K7=0,0,K7/TrAvia_act!K15*1000)</f>
        <v>44345.310803494758</v>
      </c>
      <c r="L23" s="84">
        <f>IF(L7=0,0,L7/TrAvia_act!L15*1000)</f>
        <v>55607.360140665354</v>
      </c>
      <c r="M23" s="84">
        <f>IF(M7=0,0,M7/TrAvia_act!M15*1000)</f>
        <v>130773.88556944717</v>
      </c>
      <c r="N23" s="84">
        <f>IF(N7=0,0,N7/TrAvia_act!N15*1000)</f>
        <v>81628.386744189702</v>
      </c>
      <c r="O23" s="84">
        <f>IF(O7=0,0,O7/TrAvia_act!O15*1000)</f>
        <v>105209.20762463327</v>
      </c>
      <c r="P23" s="84">
        <f>IF(P7=0,0,P7/TrAvia_act!P15*1000)</f>
        <v>83482.367846661786</v>
      </c>
      <c r="Q23" s="84">
        <f>IF(Q7=0,0,Q7/TrAvia_act!Q15*1000)</f>
        <v>164222.29690075235</v>
      </c>
      <c r="R23" s="84">
        <f>IF(R7=0,0,R7/TrAvia_act!R15*1000)</f>
        <v>191111.30250244093</v>
      </c>
      <c r="S23" s="84">
        <f>IF(S7=0,0,S7/TrAvia_act!S15*1000)</f>
        <v>345842.83444881783</v>
      </c>
      <c r="T23" s="84">
        <f>IF(T7=0,0,T7/TrAvia_act!T15*1000)</f>
        <v>227846.66023415237</v>
      </c>
      <c r="U23" s="84">
        <f>IF(U7=0,0,U7/TrAvia_act!U15*1000)</f>
        <v>899586.94004009757</v>
      </c>
      <c r="V23" s="84">
        <f>IF(V7=0,0,V7/TrAvia_act!V15*1000)</f>
        <v>1051701.5434182419</v>
      </c>
      <c r="W23" s="84">
        <f>IF(W7=0,0,W7/TrAvia_act!W15*1000)</f>
        <v>101826.89972681405</v>
      </c>
      <c r="X23" s="84">
        <f>IF(X7=0,0,X7/TrAvia_act!X15*1000)</f>
        <v>155162.52616094204</v>
      </c>
      <c r="Y23" s="84">
        <f>IF(Y7=0,0,Y7/TrAvia_act!Y15*1000)</f>
        <v>151468.67743523422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13919.419938978059</v>
      </c>
      <c r="C24" s="84">
        <f>IF(C8=0,0,C8/TrAvia_act!C16*1000)</f>
        <v>13939.088383172708</v>
      </c>
      <c r="D24" s="84">
        <f>IF(D8=0,0,D8/TrAvia_act!D16*1000)</f>
        <v>13837.350503782431</v>
      </c>
      <c r="E24" s="84">
        <f>IF(E8=0,0,E8/TrAvia_act!E16*1000)</f>
        <v>8861.1587606912799</v>
      </c>
      <c r="F24" s="84">
        <f>IF(F8=0,0,F8/TrAvia_act!F16*1000)</f>
        <v>10283.583631617668</v>
      </c>
      <c r="G24" s="84">
        <f>IF(G8=0,0,G8/TrAvia_act!G16*1000)</f>
        <v>10199.272519053466</v>
      </c>
      <c r="H24" s="84">
        <f>IF(H8=0,0,H8/TrAvia_act!H16*1000)</f>
        <v>10648.806895759049</v>
      </c>
      <c r="I24" s="84">
        <f>IF(I8=0,0,I8/TrAvia_act!I16*1000)</f>
        <v>10461.745826585344</v>
      </c>
      <c r="J24" s="84">
        <f>IF(J8=0,0,J8/TrAvia_act!J16*1000)</f>
        <v>10266.0436965853</v>
      </c>
      <c r="K24" s="84">
        <f>IF(K8=0,0,K8/TrAvia_act!K16*1000)</f>
        <v>10907.509546328462</v>
      </c>
      <c r="L24" s="84">
        <f>IF(L8=0,0,L8/TrAvia_act!L16*1000)</f>
        <v>10503.810529434764</v>
      </c>
      <c r="M24" s="84">
        <f>IF(M8=0,0,M8/TrAvia_act!M16*1000)</f>
        <v>10522.816491913596</v>
      </c>
      <c r="N24" s="84">
        <f>IF(N8=0,0,N8/TrAvia_act!N16*1000)</f>
        <v>11557.240614870801</v>
      </c>
      <c r="O24" s="84">
        <f>IF(O8=0,0,O8/TrAvia_act!O16*1000)</f>
        <v>11429.043983912037</v>
      </c>
      <c r="P24" s="84">
        <f>IF(P8=0,0,P8/TrAvia_act!P16*1000)</f>
        <v>11975.760423289945</v>
      </c>
      <c r="Q24" s="84">
        <f>IF(Q8=0,0,Q8/TrAvia_act!Q16*1000)</f>
        <v>11601.682025116705</v>
      </c>
      <c r="R24" s="84">
        <f>IF(R8=0,0,R8/TrAvia_act!R16*1000)</f>
        <v>11751.008222788278</v>
      </c>
      <c r="S24" s="84">
        <f>IF(S8=0,0,S8/TrAvia_act!S16*1000)</f>
        <v>12675.029359919146</v>
      </c>
      <c r="T24" s="84">
        <f>IF(T8=0,0,T8/TrAvia_act!T16*1000)</f>
        <v>13766.003270966492</v>
      </c>
      <c r="U24" s="84">
        <f>IF(U8=0,0,U8/TrAvia_act!U16*1000)</f>
        <v>14010.53472976583</v>
      </c>
      <c r="V24" s="84">
        <f>IF(V8=0,0,V8/TrAvia_act!V16*1000)</f>
        <v>11139.489097152407</v>
      </c>
      <c r="W24" s="84">
        <f>IF(W8=0,0,W8/TrAvia_act!W16*1000)</f>
        <v>12833.075802911526</v>
      </c>
      <c r="X24" s="84">
        <f>IF(X8=0,0,X8/TrAvia_act!X16*1000)</f>
        <v>13047.367715887647</v>
      </c>
      <c r="Y24" s="84">
        <f>IF(Y8=0,0,Y8/TrAvia_act!Y16*1000)</f>
        <v>13484.058503810171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17557.123893486536</v>
      </c>
      <c r="C25" s="84">
        <f>IF(C9=0,0,C9/TrAvia_act!C17*1000)</f>
        <v>17581.988862456681</v>
      </c>
      <c r="D25" s="84">
        <f>IF(D9=0,0,D9/TrAvia_act!D17*1000)</f>
        <v>17453.685870553687</v>
      </c>
      <c r="E25" s="84">
        <f>IF(E9=0,0,E9/TrAvia_act!E17*1000)</f>
        <v>11139.542608467304</v>
      </c>
      <c r="F25" s="84">
        <f>IF(F9=0,0,F9/TrAvia_act!F17*1000)</f>
        <v>12834.576377744961</v>
      </c>
      <c r="G25" s="84">
        <f>IF(G9=0,0,G9/TrAvia_act!G17*1000)</f>
        <v>13082.091340641566</v>
      </c>
      <c r="H25" s="84">
        <f>IF(H9=0,0,H9/TrAvia_act!H17*1000)</f>
        <v>13663.432623785484</v>
      </c>
      <c r="I25" s="84">
        <f>IF(I9=0,0,I9/TrAvia_act!I17*1000)</f>
        <v>12492.066356484149</v>
      </c>
      <c r="J25" s="84">
        <f>IF(J9=0,0,J9/TrAvia_act!J17*1000)</f>
        <v>12265.366788629162</v>
      </c>
      <c r="K25" s="84">
        <f>IF(K9=0,0,K9/TrAvia_act!K17*1000)</f>
        <v>11870.342622743072</v>
      </c>
      <c r="L25" s="84">
        <f>IF(L9=0,0,L9/TrAvia_act!L17*1000)</f>
        <v>11274.213510041609</v>
      </c>
      <c r="M25" s="84">
        <f>IF(M9=0,0,M9/TrAvia_act!M17*1000)</f>
        <v>10349.636662835999</v>
      </c>
      <c r="N25" s="84">
        <f>IF(N9=0,0,N9/TrAvia_act!N17*1000)</f>
        <v>10191.010534372328</v>
      </c>
      <c r="O25" s="84">
        <f>IF(O9=0,0,O9/TrAvia_act!O17*1000)</f>
        <v>9993.6730435526806</v>
      </c>
      <c r="P25" s="84">
        <f>IF(P9=0,0,P9/TrAvia_act!P17*1000)</f>
        <v>10313.673101440998</v>
      </c>
      <c r="Q25" s="84">
        <f>IF(Q9=0,0,Q9/TrAvia_act!Q17*1000)</f>
        <v>10654.172137455835</v>
      </c>
      <c r="R25" s="84">
        <f>IF(R9=0,0,R9/TrAvia_act!R17*1000)</f>
        <v>10511.637899910065</v>
      </c>
      <c r="S25" s="84">
        <f>IF(S9=0,0,S9/TrAvia_act!S17*1000)</f>
        <v>9757.7331607914857</v>
      </c>
      <c r="T25" s="84">
        <f>IF(T9=0,0,T9/TrAvia_act!T17*1000)</f>
        <v>9155.4510900883452</v>
      </c>
      <c r="U25" s="84">
        <f>IF(U9=0,0,U9/TrAvia_act!U17*1000)</f>
        <v>9112.0061928899286</v>
      </c>
      <c r="V25" s="84">
        <f>IF(V9=0,0,V9/TrAvia_act!V17*1000)</f>
        <v>13020.265704078687</v>
      </c>
      <c r="W25" s="84">
        <f>IF(W9=0,0,W9/TrAvia_act!W17*1000)</f>
        <v>12127.260701605519</v>
      </c>
      <c r="X25" s="84">
        <f>IF(X9=0,0,X9/TrAvia_act!X17*1000)</f>
        <v>10504.709859085779</v>
      </c>
      <c r="Y25" s="84">
        <f>IF(Y9=0,0,Y9/TrAvia_act!Y17*1000)</f>
        <v>10924.82450372448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24963.341914872322</v>
      </c>
      <c r="C26" s="13">
        <f>IF(C10=0,0,C10/TrAvia_act!C18*1000)</f>
        <v>25157.956456224532</v>
      </c>
      <c r="D26" s="13">
        <f>IF(D10=0,0,D10/TrAvia_act!D18*1000)</f>
        <v>24721.790660111765</v>
      </c>
      <c r="E26" s="13">
        <f>IF(E10=0,0,E10/TrAvia_act!E18*1000)</f>
        <v>16342.739024928051</v>
      </c>
      <c r="F26" s="13">
        <f>IF(F10=0,0,F10/TrAvia_act!F18*1000)</f>
        <v>17205.096762459751</v>
      </c>
      <c r="G26" s="13">
        <f>IF(G10=0,0,G10/TrAvia_act!G18*1000)</f>
        <v>17790.239760594381</v>
      </c>
      <c r="H26" s="13">
        <f>IF(H10=0,0,H10/TrAvia_act!H18*1000)</f>
        <v>17992.668743379225</v>
      </c>
      <c r="I26" s="13">
        <f>IF(I10=0,0,I10/TrAvia_act!I18*1000)</f>
        <v>17634.416791620348</v>
      </c>
      <c r="J26" s="13">
        <f>IF(J10=0,0,J10/TrAvia_act!J18*1000)</f>
        <v>18233.960829913394</v>
      </c>
      <c r="K26" s="13">
        <f>IF(K10=0,0,K10/TrAvia_act!K18*1000)</f>
        <v>17777.961878783492</v>
      </c>
      <c r="L26" s="13">
        <f>IF(L10=0,0,L10/TrAvia_act!L18*1000)</f>
        <v>16524.67113756901</v>
      </c>
      <c r="M26" s="13">
        <f>IF(M10=0,0,M10/TrAvia_act!M18*1000)</f>
        <v>17926.249592655615</v>
      </c>
      <c r="N26" s="13">
        <f>IF(N10=0,0,N10/TrAvia_act!N18*1000)</f>
        <v>18187.077211122305</v>
      </c>
      <c r="O26" s="13">
        <f>IF(O10=0,0,O10/TrAvia_act!O18*1000)</f>
        <v>17199.542820283754</v>
      </c>
      <c r="P26" s="13">
        <f>IF(P10=0,0,P10/TrAvia_act!P18*1000)</f>
        <v>16826.76024931232</v>
      </c>
      <c r="Q26" s="13">
        <f>IF(Q10=0,0,Q10/TrAvia_act!Q18*1000)</f>
        <v>17027.289781582578</v>
      </c>
      <c r="R26" s="13">
        <f>IF(R10=0,0,R10/TrAvia_act!R18*1000)</f>
        <v>16220.766245460683</v>
      </c>
      <c r="S26" s="13">
        <f>IF(S10=0,0,S10/TrAvia_act!S18*1000)</f>
        <v>15679.831698722981</v>
      </c>
      <c r="T26" s="13">
        <f>IF(T10=0,0,T10/TrAvia_act!T18*1000)</f>
        <v>17287.251818045908</v>
      </c>
      <c r="U26" s="13">
        <f>IF(U10=0,0,U10/TrAvia_act!U18*1000)</f>
        <v>23877.636874268199</v>
      </c>
      <c r="V26" s="13">
        <f>IF(V10=0,0,V10/TrAvia_act!V18*1000)</f>
        <v>35107.160185710578</v>
      </c>
      <c r="W26" s="13">
        <f>IF(W10=0,0,W10/TrAvia_act!W18*1000)</f>
        <v>14982.804638099231</v>
      </c>
      <c r="X26" s="13">
        <f>IF(X10=0,0,X10/TrAvia_act!X18*1000)</f>
        <v>13991.77904619047</v>
      </c>
      <c r="Y26" s="13">
        <f>IF(Y10=0,0,Y10/TrAvia_act!Y18*1000)</f>
        <v>13341.854968883081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266062.76897066104</v>
      </c>
      <c r="C27" s="102">
        <f>IF(C11=0,0,C11/TrAvia_act!C19*1000)</f>
        <v>267058.96046291612</v>
      </c>
      <c r="D27" s="102">
        <f>IF(D11=0,0,D11/TrAvia_act!D19*1000)</f>
        <v>264101.88223311887</v>
      </c>
      <c r="E27" s="102">
        <f>IF(E11=0,0,E11/TrAvia_act!E19*1000)</f>
        <v>250823.81916141117</v>
      </c>
      <c r="F27" s="102">
        <f>IF(F11=0,0,F11/TrAvia_act!F19*1000)</f>
        <v>149129.58432896403</v>
      </c>
      <c r="G27" s="102">
        <f>IF(G11=0,0,G11/TrAvia_act!G19*1000)</f>
        <v>102570.77902499567</v>
      </c>
      <c r="H27" s="102">
        <f>IF(H11=0,0,H11/TrAvia_act!H19*1000)</f>
        <v>50747.964362932355</v>
      </c>
      <c r="I27" s="102">
        <f>IF(I11=0,0,I11/TrAvia_act!I19*1000)</f>
        <v>102719.20065461486</v>
      </c>
      <c r="J27" s="102">
        <f>IF(J11=0,0,J11/TrAvia_act!J19*1000)</f>
        <v>98849.466606345159</v>
      </c>
      <c r="K27" s="102">
        <f>IF(K11=0,0,K11/TrAvia_act!K19*1000)</f>
        <v>52682.253800276369</v>
      </c>
      <c r="L27" s="102">
        <f>IF(L11=0,0,L11/TrAvia_act!L19*1000)</f>
        <v>61425.496789720302</v>
      </c>
      <c r="M27" s="102">
        <f>IF(M11=0,0,M11/TrAvia_act!M19*1000)</f>
        <v>145411.03914590355</v>
      </c>
      <c r="N27" s="102">
        <f>IF(N11=0,0,N11/TrAvia_act!N19*1000)</f>
        <v>91829.892273013014</v>
      </c>
      <c r="O27" s="102">
        <f>IF(O11=0,0,O11/TrAvia_act!O19*1000)</f>
        <v>119437.82955118119</v>
      </c>
      <c r="P27" s="102">
        <f>IF(P11=0,0,P11/TrAvia_act!P19*1000)</f>
        <v>94408.407335516051</v>
      </c>
      <c r="Q27" s="102">
        <f>IF(Q11=0,0,Q11/TrAvia_act!Q19*1000)</f>
        <v>187424.36959000982</v>
      </c>
      <c r="R27" s="102">
        <f>IF(R11=0,0,R11/TrAvia_act!R19*1000)</f>
        <v>216945.80203093891</v>
      </c>
      <c r="S27" s="102">
        <f>IF(S11=0,0,S11/TrAvia_act!S19*1000)</f>
        <v>390552.61128003511</v>
      </c>
      <c r="T27" s="102">
        <f>IF(T11=0,0,T11/TrAvia_act!T19*1000)</f>
        <v>259600.81179826183</v>
      </c>
      <c r="U27" s="102">
        <f>IF(U11=0,0,U11/TrAvia_act!U19*1000)</f>
        <v>885432.80088047276</v>
      </c>
      <c r="V27" s="102">
        <f>IF(V11=0,0,V11/TrAvia_act!V19*1000)</f>
        <v>1186032.4266541379</v>
      </c>
      <c r="W27" s="102">
        <f>IF(W11=0,0,W11/TrAvia_act!W19*1000)</f>
        <v>130412.11805672711</v>
      </c>
      <c r="X27" s="102">
        <f>IF(X11=0,0,X11/TrAvia_act!X19*1000)</f>
        <v>173635.63711891216</v>
      </c>
      <c r="Y27" s="102">
        <f>IF(Y11=0,0,Y11/TrAvia_act!Y19*1000)</f>
        <v>163050.55191025481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15079.243449267224</v>
      </c>
      <c r="C28" s="102">
        <f>IF(C12=0,0,C12/TrAvia_act!C20*1000)</f>
        <v>15131.750357776426</v>
      </c>
      <c r="D28" s="102">
        <f>IF(D12=0,0,D12/TrAvia_act!D20*1000)</f>
        <v>14984.349700074714</v>
      </c>
      <c r="E28" s="102">
        <f>IF(E12=0,0,E12/TrAvia_act!E20*1000)</f>
        <v>9522.6747204481453</v>
      </c>
      <c r="F28" s="102">
        <f>IF(F12=0,0,F12/TrAvia_act!F20*1000)</f>
        <v>10966.614569198488</v>
      </c>
      <c r="G28" s="102">
        <f>IF(G12=0,0,G12/TrAvia_act!G20*1000)</f>
        <v>10888.54004446687</v>
      </c>
      <c r="H28" s="102">
        <f>IF(H12=0,0,H12/TrAvia_act!H20*1000)</f>
        <v>11398.134696619247</v>
      </c>
      <c r="I28" s="102">
        <f>IF(I12=0,0,I12/TrAvia_act!I20*1000)</f>
        <v>11112.336312712352</v>
      </c>
      <c r="J28" s="102">
        <f>IF(J12=0,0,J12/TrAvia_act!J20*1000)</f>
        <v>10752.819920014023</v>
      </c>
      <c r="K28" s="102">
        <f>IF(K12=0,0,K12/TrAvia_act!K20*1000)</f>
        <v>11603.217975391221</v>
      </c>
      <c r="L28" s="102">
        <f>IF(L12=0,0,L12/TrAvia_act!L20*1000)</f>
        <v>11209.719147537946</v>
      </c>
      <c r="M28" s="102">
        <f>IF(M12=0,0,M12/TrAvia_act!M20*1000)</f>
        <v>11343.957484082903</v>
      </c>
      <c r="N28" s="102">
        <f>IF(N12=0,0,N12/TrAvia_act!N20*1000)</f>
        <v>12513.500245899862</v>
      </c>
      <c r="O28" s="102">
        <f>IF(O12=0,0,O12/TrAvia_act!O20*1000)</f>
        <v>12437.218912443937</v>
      </c>
      <c r="P28" s="102">
        <f>IF(P12=0,0,P12/TrAvia_act!P20*1000)</f>
        <v>12998.002349769515</v>
      </c>
      <c r="Q28" s="102">
        <f>IF(Q12=0,0,Q12/TrAvia_act!Q20*1000)</f>
        <v>12634.213827828227</v>
      </c>
      <c r="R28" s="102">
        <f>IF(R12=0,0,R12/TrAvia_act!R20*1000)</f>
        <v>12881.589255379669</v>
      </c>
      <c r="S28" s="102">
        <f>IF(S12=0,0,S12/TrAvia_act!S20*1000)</f>
        <v>13791.825592534358</v>
      </c>
      <c r="T28" s="102">
        <f>IF(T12=0,0,T12/TrAvia_act!T20*1000)</f>
        <v>14770.454034106235</v>
      </c>
      <c r="U28" s="102">
        <f>IF(U12=0,0,U12/TrAvia_act!U20*1000)</f>
        <v>15095.374236228923</v>
      </c>
      <c r="V28" s="102">
        <f>IF(V12=0,0,V12/TrAvia_act!V20*1000)</f>
        <v>13160.36239264343</v>
      </c>
      <c r="W28" s="102">
        <f>IF(W12=0,0,W12/TrAvia_act!W20*1000)</f>
        <v>15334.336140933214</v>
      </c>
      <c r="X28" s="102">
        <f>IF(X12=0,0,X12/TrAvia_act!X20*1000)</f>
        <v>14889.412978298902</v>
      </c>
      <c r="Y28" s="102">
        <f>IF(Y12=0,0,Y12/TrAvia_act!Y20*1000)</f>
        <v>14971.16454446916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29096.662717463623</v>
      </c>
      <c r="C29" s="86">
        <f>IF(C13=0,0,C13/TrAvia_act!C21*1000)</f>
        <v>29137.870356026382</v>
      </c>
      <c r="D29" s="86">
        <f>IF(D13=0,0,D13/TrAvia_act!D21*1000)</f>
        <v>28925.239352013938</v>
      </c>
      <c r="E29" s="86">
        <f>IF(E13=0,0,E13/TrAvia_act!E21*1000)</f>
        <v>18461.082582303454</v>
      </c>
      <c r="F29" s="86">
        <f>IF(F13=0,0,F13/TrAvia_act!F21*1000)</f>
        <v>21270.188799163956</v>
      </c>
      <c r="G29" s="86">
        <f>IF(G13=0,0,G13/TrAvia_act!G21*1000)</f>
        <v>22225.913189669554</v>
      </c>
      <c r="H29" s="86">
        <f>IF(H13=0,0,H13/TrAvia_act!H21*1000)</f>
        <v>23492.011240153475</v>
      </c>
      <c r="I29" s="86">
        <f>IF(I13=0,0,I13/TrAvia_act!I21*1000)</f>
        <v>21152.06075849272</v>
      </c>
      <c r="J29" s="86">
        <f>IF(J13=0,0,J13/TrAvia_act!J21*1000)</f>
        <v>20617.467838394987</v>
      </c>
      <c r="K29" s="86">
        <f>IF(K13=0,0,K13/TrAvia_act!K21*1000)</f>
        <v>19642.951382671079</v>
      </c>
      <c r="L29" s="86">
        <f>IF(L13=0,0,L13/TrAvia_act!L21*1000)</f>
        <v>18433.306468889652</v>
      </c>
      <c r="M29" s="86">
        <f>IF(M13=0,0,M13/TrAvia_act!M21*1000)</f>
        <v>17834.749969506436</v>
      </c>
      <c r="N29" s="86">
        <f>IF(N13=0,0,N13/TrAvia_act!N21*1000)</f>
        <v>18541.670919276828</v>
      </c>
      <c r="O29" s="86">
        <f>IF(O13=0,0,O13/TrAvia_act!O21*1000)</f>
        <v>17517.421536698152</v>
      </c>
      <c r="P29" s="86">
        <f>IF(P13=0,0,P13/TrAvia_act!P21*1000)</f>
        <v>17615.114477572115</v>
      </c>
      <c r="Q29" s="86">
        <f>IF(Q13=0,0,Q13/TrAvia_act!Q21*1000)</f>
        <v>17490.121596344117</v>
      </c>
      <c r="R29" s="86">
        <f>IF(R13=0,0,R13/TrAvia_act!R21*1000)</f>
        <v>16455.649873697286</v>
      </c>
      <c r="S29" s="86">
        <f>IF(S13=0,0,S13/TrAvia_act!S21*1000)</f>
        <v>14926.722447400996</v>
      </c>
      <c r="T29" s="86">
        <f>IF(T13=0,0,T13/TrAvia_act!T21*1000)</f>
        <v>13202.308302472296</v>
      </c>
      <c r="U29" s="86">
        <f>IF(U13=0,0,U13/TrAvia_act!U21*1000)</f>
        <v>12720.437033868468</v>
      </c>
      <c r="V29" s="86">
        <f>IF(V13=0,0,V13/TrAvia_act!V21*1000)</f>
        <v>12589.648526983869</v>
      </c>
      <c r="W29" s="86">
        <f>IF(W13=0,0,W13/TrAvia_act!W21*1000)</f>
        <v>8203.0742257744041</v>
      </c>
      <c r="X29" s="86">
        <f>IF(X13=0,0,X13/TrAvia_act!X21*1000)</f>
        <v>10315.080751746436</v>
      </c>
      <c r="Y29" s="86">
        <f>IF(Y13=0,0,Y13/TrAvia_act!Y21*1000)</f>
        <v>10629.574375625223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181.03559870304812</v>
      </c>
      <c r="C32" s="14">
        <f>IF(C6=0,0,C6/TrAvia_act!C4*1000)</f>
        <v>190.17956047457889</v>
      </c>
      <c r="D32" s="14">
        <f>IF(D6=0,0,D6/TrAvia_act!D4*1000)</f>
        <v>174.45984465708293</v>
      </c>
      <c r="E32" s="14">
        <f>IF(E6=0,0,E6/TrAvia_act!E4*1000)</f>
        <v>119.49049069426485</v>
      </c>
      <c r="F32" s="14">
        <f>IF(F6=0,0,F6/TrAvia_act!F4*1000)</f>
        <v>121.98593323199604</v>
      </c>
      <c r="G32" s="14">
        <f>IF(G6=0,0,G6/TrAvia_act!G4*1000)</f>
        <v>118.44080416397793</v>
      </c>
      <c r="H32" s="14">
        <f>IF(H6=0,0,H6/TrAvia_act!H4*1000)</f>
        <v>116.89637662986954</v>
      </c>
      <c r="I32" s="14">
        <f>IF(I6=0,0,I6/TrAvia_act!I4*1000)</f>
        <v>119.79055138777893</v>
      </c>
      <c r="J32" s="14">
        <f>IF(J6=0,0,J6/TrAvia_act!J4*1000)</f>
        <v>123.19040992384555</v>
      </c>
      <c r="K32" s="14">
        <f>IF(K6=0,0,K6/TrAvia_act!K4*1000)</f>
        <v>122.50999829504252</v>
      </c>
      <c r="L32" s="14">
        <f>IF(L6=0,0,L6/TrAvia_act!L4*1000)</f>
        <v>111.85675631223516</v>
      </c>
      <c r="M32" s="14">
        <f>IF(M6=0,0,M6/TrAvia_act!M4*1000)</f>
        <v>108.15841844831996</v>
      </c>
      <c r="N32" s="14">
        <f>IF(N6=0,0,N6/TrAvia_act!N4*1000)</f>
        <v>103.43158122013052</v>
      </c>
      <c r="O32" s="14">
        <f>IF(O6=0,0,O6/TrAvia_act!O4*1000)</f>
        <v>98.735849373299004</v>
      </c>
      <c r="P32" s="14">
        <f>IF(P6=0,0,P6/TrAvia_act!P4*1000)</f>
        <v>98.772875356292886</v>
      </c>
      <c r="Q32" s="14">
        <f>IF(Q6=0,0,Q6/TrAvia_act!Q4*1000)</f>
        <v>99.950090803130948</v>
      </c>
      <c r="R32" s="14">
        <f>IF(R6=0,0,R6/TrAvia_act!R4*1000)</f>
        <v>98.787823388915285</v>
      </c>
      <c r="S32" s="14">
        <f>IF(S6=0,0,S6/TrAvia_act!S4*1000)</f>
        <v>92.688423445712402</v>
      </c>
      <c r="T32" s="14">
        <f>IF(T6=0,0,T6/TrAvia_act!T4*1000)</f>
        <v>88.54610929008885</v>
      </c>
      <c r="U32" s="14">
        <f>IF(U6=0,0,U6/TrAvia_act!U4*1000)</f>
        <v>86.182373322081887</v>
      </c>
      <c r="V32" s="14">
        <f>IF(V6=0,0,V6/TrAvia_act!V4*1000)</f>
        <v>135.95607835694724</v>
      </c>
      <c r="W32" s="14">
        <f>IF(W6=0,0,W6/TrAvia_act!W4*1000)</f>
        <v>115.11540955870151</v>
      </c>
      <c r="X32" s="14">
        <f>IF(X6=0,0,X6/TrAvia_act!X4*1000)</f>
        <v>83.971966442785984</v>
      </c>
      <c r="Y32" s="14">
        <f>IF(Y6=0,0,Y6/TrAvia_act!Y4*1000)</f>
        <v>81.273407502125337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6265.3094090841432</v>
      </c>
      <c r="C33" s="87">
        <f>IF(C7=0,0,C7/TrAvia_act!C5*1000)</f>
        <v>6245.443343280831</v>
      </c>
      <c r="D33" s="87">
        <f>IF(D7=0,0,D7/TrAvia_act!D5*1000)</f>
        <v>6118.5762034655845</v>
      </c>
      <c r="E33" s="87">
        <f>IF(E7=0,0,E7/TrAvia_act!E5*1000)</f>
        <v>5698.1348731822472</v>
      </c>
      <c r="F33" s="87">
        <f>IF(F7=0,0,F7/TrAvia_act!F5*1000)</f>
        <v>4119.4160244793247</v>
      </c>
      <c r="G33" s="87">
        <f>IF(G7=0,0,G7/TrAvia_act!G5*1000)</f>
        <v>1868.3420204557926</v>
      </c>
      <c r="H33" s="87">
        <f>IF(H7=0,0,H7/TrAvia_act!H5*1000)</f>
        <v>917.11778826237389</v>
      </c>
      <c r="I33" s="87">
        <f>IF(I7=0,0,I7/TrAvia_act!I5*1000)</f>
        <v>1970.5299259016965</v>
      </c>
      <c r="J33" s="87">
        <f>IF(J7=0,0,J7/TrAvia_act!J5*1000)</f>
        <v>2161.0963151971964</v>
      </c>
      <c r="K33" s="87">
        <f>IF(K7=0,0,K7/TrAvia_act!K5*1000)</f>
        <v>1645.634848597183</v>
      </c>
      <c r="L33" s="87">
        <f>IF(L7=0,0,L7/TrAvia_act!L5*1000)</f>
        <v>1851.7796292813011</v>
      </c>
      <c r="M33" s="87">
        <f>IF(M7=0,0,M7/TrAvia_act!M5*1000)</f>
        <v>4005.7567646346442</v>
      </c>
      <c r="N33" s="87">
        <f>IF(N7=0,0,N7/TrAvia_act!N5*1000)</f>
        <v>2008.8370962576359</v>
      </c>
      <c r="O33" s="87">
        <f>IF(O7=0,0,O7/TrAvia_act!O5*1000)</f>
        <v>2558.172708820699</v>
      </c>
      <c r="P33" s="87">
        <f>IF(P7=0,0,P7/TrAvia_act!P5*1000)</f>
        <v>2251.0314775255492</v>
      </c>
      <c r="Q33" s="87">
        <f>IF(Q7=0,0,Q7/TrAvia_act!Q5*1000)</f>
        <v>4700.8084243921194</v>
      </c>
      <c r="R33" s="87">
        <f>IF(R7=0,0,R7/TrAvia_act!R5*1000)</f>
        <v>6658.3757482536275</v>
      </c>
      <c r="S33" s="87">
        <f>IF(S7=0,0,S7/TrAvia_act!S5*1000)</f>
        <v>11012.746268230618</v>
      </c>
      <c r="T33" s="87">
        <f>IF(T7=0,0,T7/TrAvia_act!T5*1000)</f>
        <v>5884.6635730047628</v>
      </c>
      <c r="U33" s="87">
        <f>IF(U7=0,0,U7/TrAvia_act!U5*1000)</f>
        <v>16203.751030592453</v>
      </c>
      <c r="V33" s="87">
        <f>IF(V7=0,0,V7/TrAvia_act!V5*1000)</f>
        <v>61668.82220702849</v>
      </c>
      <c r="W33" s="87">
        <f>IF(W7=0,0,W7/TrAvia_act!W5*1000)</f>
        <v>2865.2514006893798</v>
      </c>
      <c r="X33" s="87">
        <f>IF(X7=0,0,X7/TrAvia_act!X5*1000)</f>
        <v>2919.5900225868277</v>
      </c>
      <c r="Y33" s="87">
        <f>IF(Y7=0,0,Y7/TrAvia_act!Y5*1000)</f>
        <v>3040.2401521694719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147.51091036378352</v>
      </c>
      <c r="C34" s="87">
        <f>IF(C8=0,0,C8/TrAvia_act!C6*1000)</f>
        <v>146.35181916973568</v>
      </c>
      <c r="D34" s="87">
        <f>IF(D8=0,0,D8/TrAvia_act!D6*1000)</f>
        <v>145.32646907490766</v>
      </c>
      <c r="E34" s="87">
        <f>IF(E8=0,0,E8/TrAvia_act!E6*1000)</f>
        <v>93.876175475182109</v>
      </c>
      <c r="F34" s="87">
        <f>IF(F8=0,0,F8/TrAvia_act!F6*1000)</f>
        <v>111.93361016293902</v>
      </c>
      <c r="G34" s="87">
        <f>IF(G8=0,0,G8/TrAvia_act!G6*1000)</f>
        <v>113.7235207866064</v>
      </c>
      <c r="H34" s="87">
        <f>IF(H8=0,0,H8/TrAvia_act!H6*1000)</f>
        <v>117.46072196570199</v>
      </c>
      <c r="I34" s="87">
        <f>IF(I8=0,0,I8/TrAvia_act!I6*1000)</f>
        <v>118.88899642571096</v>
      </c>
      <c r="J34" s="87">
        <f>IF(J8=0,0,J8/TrAvia_act!J6*1000)</f>
        <v>120.6237329914505</v>
      </c>
      <c r="K34" s="87">
        <f>IF(K8=0,0,K8/TrAvia_act!K6*1000)</f>
        <v>125.48670421490071</v>
      </c>
      <c r="L34" s="87">
        <f>IF(L8=0,0,L8/TrAvia_act!L6*1000)</f>
        <v>118.6974891818046</v>
      </c>
      <c r="M34" s="87">
        <f>IF(M8=0,0,M8/TrAvia_act!M6*1000)</f>
        <v>111.11183793284749</v>
      </c>
      <c r="N34" s="87">
        <f>IF(N8=0,0,N8/TrAvia_act!N6*1000)</f>
        <v>114.73303303088544</v>
      </c>
      <c r="O34" s="87">
        <f>IF(O8=0,0,O8/TrAvia_act!O6*1000)</f>
        <v>113.33599554406413</v>
      </c>
      <c r="P34" s="87">
        <f>IF(P8=0,0,P8/TrAvia_act!P6*1000)</f>
        <v>114.61688740481704</v>
      </c>
      <c r="Q34" s="87">
        <f>IF(Q8=0,0,Q8/TrAvia_act!Q6*1000)</f>
        <v>107.39583987616732</v>
      </c>
      <c r="R34" s="87">
        <f>IF(R8=0,0,R8/TrAvia_act!R6*1000)</f>
        <v>108.31283936882775</v>
      </c>
      <c r="S34" s="87">
        <f>IF(S8=0,0,S8/TrAvia_act!S6*1000)</f>
        <v>104.81837418542875</v>
      </c>
      <c r="T34" s="87">
        <f>IF(T8=0,0,T8/TrAvia_act!T6*1000)</f>
        <v>111.90151129231637</v>
      </c>
      <c r="U34" s="87">
        <f>IF(U8=0,0,U8/TrAvia_act!U6*1000)</f>
        <v>109.66322823436171</v>
      </c>
      <c r="V34" s="87">
        <f>IF(V8=0,0,V8/TrAvia_act!V6*1000)</f>
        <v>111.70853190481714</v>
      </c>
      <c r="W34" s="87">
        <f>IF(W8=0,0,W8/TrAvia_act!W6*1000)</f>
        <v>122.8298223683488</v>
      </c>
      <c r="X34" s="87">
        <f>IF(X8=0,0,X8/TrAvia_act!X6*1000)</f>
        <v>99.77845239248407</v>
      </c>
      <c r="Y34" s="87">
        <f>IF(Y8=0,0,Y8/TrAvia_act!Y6*1000)</f>
        <v>98.913793125401725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141.2513689694687</v>
      </c>
      <c r="C35" s="87">
        <f>IF(C9=0,0,C9/TrAvia_act!C7*1000)</f>
        <v>140.92458163339325</v>
      </c>
      <c r="D35" s="87">
        <f>IF(D9=0,0,D9/TrAvia_act!D7*1000)</f>
        <v>139.35525720310849</v>
      </c>
      <c r="E35" s="87">
        <f>IF(E9=0,0,E9/TrAvia_act!E7*1000)</f>
        <v>89.164595397587036</v>
      </c>
      <c r="F35" s="87">
        <f>IF(F9=0,0,F9/TrAvia_act!F7*1000)</f>
        <v>96.003708365880129</v>
      </c>
      <c r="G35" s="87">
        <f>IF(G9=0,0,G9/TrAvia_act!G7*1000)</f>
        <v>99.778717126027004</v>
      </c>
      <c r="H35" s="87">
        <f>IF(H9=0,0,H9/TrAvia_act!H7*1000)</f>
        <v>102.9720146484968</v>
      </c>
      <c r="I35" s="87">
        <f>IF(I9=0,0,I9/TrAvia_act!I7*1000)</f>
        <v>93.502527199123989</v>
      </c>
      <c r="J35" s="87">
        <f>IF(J9=0,0,J9/TrAvia_act!J7*1000)</f>
        <v>94.190307178266892</v>
      </c>
      <c r="K35" s="87">
        <f>IF(K9=0,0,K9/TrAvia_act!K7*1000)</f>
        <v>96.298751224909736</v>
      </c>
      <c r="L35" s="87">
        <f>IF(L9=0,0,L9/TrAvia_act!L7*1000)</f>
        <v>84.332396390175361</v>
      </c>
      <c r="M35" s="87">
        <f>IF(M9=0,0,M9/TrAvia_act!M7*1000)</f>
        <v>77.21674871646718</v>
      </c>
      <c r="N35" s="87">
        <f>IF(N9=0,0,N9/TrAvia_act!N7*1000)</f>
        <v>77.930575889148145</v>
      </c>
      <c r="O35" s="87">
        <f>IF(O9=0,0,O9/TrAvia_act!O7*1000)</f>
        <v>72.398468182479618</v>
      </c>
      <c r="P35" s="87">
        <f>IF(P9=0,0,P9/TrAvia_act!P7*1000)</f>
        <v>72.239019741200281</v>
      </c>
      <c r="Q35" s="87">
        <f>IF(Q9=0,0,Q9/TrAvia_act!Q7*1000)</f>
        <v>69.388121236867704</v>
      </c>
      <c r="R35" s="87">
        <f>IF(R9=0,0,R9/TrAvia_act!R7*1000)</f>
        <v>65.379514244207826</v>
      </c>
      <c r="S35" s="87">
        <f>IF(S9=0,0,S9/TrAvia_act!S7*1000)</f>
        <v>57.330688749354415</v>
      </c>
      <c r="T35" s="87">
        <f>IF(T9=0,0,T9/TrAvia_act!T7*1000)</f>
        <v>56.176671472888607</v>
      </c>
      <c r="U35" s="87">
        <f>IF(U9=0,0,U9/TrAvia_act!U7*1000)</f>
        <v>53.690450523472791</v>
      </c>
      <c r="V35" s="87">
        <f>IF(V9=0,0,V9/TrAvia_act!V7*1000)</f>
        <v>101.66376782986717</v>
      </c>
      <c r="W35" s="87">
        <f>IF(W9=0,0,W9/TrAvia_act!W7*1000)</f>
        <v>99.217702842350562</v>
      </c>
      <c r="X35" s="87">
        <f>IF(X9=0,0,X9/TrAvia_act!X7*1000)</f>
        <v>62.722843961403655</v>
      </c>
      <c r="Y35" s="87">
        <f>IF(Y9=0,0,Y9/TrAvia_act!Y7*1000)</f>
        <v>59.826985012690997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432.16993500286929</v>
      </c>
      <c r="C36" s="15">
        <f>IF(C10=0,0,C10/TrAvia_act!C8*1000)</f>
        <v>411.09047995150263</v>
      </c>
      <c r="D36" s="15">
        <f>IF(D10=0,0,D10/TrAvia_act!D8*1000)</f>
        <v>434.93654386345224</v>
      </c>
      <c r="E36" s="15">
        <f>IF(E10=0,0,E10/TrAvia_act!E8*1000)</f>
        <v>291.55510650884008</v>
      </c>
      <c r="F36" s="15">
        <f>IF(F10=0,0,F10/TrAvia_act!F8*1000)</f>
        <v>347.12857697914814</v>
      </c>
      <c r="G36" s="15">
        <f>IF(G10=0,0,G10/TrAvia_act!G8*1000)</f>
        <v>379.75551722723753</v>
      </c>
      <c r="H36" s="15">
        <f>IF(H10=0,0,H10/TrAvia_act!H8*1000)</f>
        <v>430.64742775685545</v>
      </c>
      <c r="I36" s="15">
        <f>IF(I10=0,0,I10/TrAvia_act!I8*1000)</f>
        <v>436.56709202705235</v>
      </c>
      <c r="J36" s="15">
        <f>IF(J10=0,0,J10/TrAvia_act!J8*1000)</f>
        <v>427.54928723411075</v>
      </c>
      <c r="K36" s="15">
        <f>IF(K10=0,0,K10/TrAvia_act!K8*1000)</f>
        <v>352.4336512245419</v>
      </c>
      <c r="L36" s="15">
        <f>IF(L10=0,0,L10/TrAvia_act!L8*1000)</f>
        <v>333.51947286213715</v>
      </c>
      <c r="M36" s="15">
        <f>IF(M10=0,0,M10/TrAvia_act!M8*1000)</f>
        <v>303.79851823041491</v>
      </c>
      <c r="N36" s="15">
        <f>IF(N10=0,0,N10/TrAvia_act!N8*1000)</f>
        <v>281.14998699948353</v>
      </c>
      <c r="O36" s="15">
        <f>IF(O10=0,0,O10/TrAvia_act!O8*1000)</f>
        <v>262.16915631518555</v>
      </c>
      <c r="P36" s="15">
        <f>IF(P10=0,0,P10/TrAvia_act!P8*1000)</f>
        <v>225.34165849534062</v>
      </c>
      <c r="Q36" s="15">
        <f>IF(Q10=0,0,Q10/TrAvia_act!Q8*1000)</f>
        <v>229.76257634438889</v>
      </c>
      <c r="R36" s="15">
        <f>IF(R10=0,0,R10/TrAvia_act!R8*1000)</f>
        <v>194.20857474890212</v>
      </c>
      <c r="S36" s="15">
        <f>IF(S10=0,0,S10/TrAvia_act!S8*1000)</f>
        <v>200.57586098771591</v>
      </c>
      <c r="T36" s="15">
        <f>IF(T10=0,0,T10/TrAvia_act!T8*1000)</f>
        <v>236.82225834080006</v>
      </c>
      <c r="U36" s="15">
        <f>IF(U10=0,0,U10/TrAvia_act!U8*1000)</f>
        <v>299.75477944163686</v>
      </c>
      <c r="V36" s="15">
        <f>IF(V10=0,0,V10/TrAvia_act!V8*1000)</f>
        <v>762.50152038850399</v>
      </c>
      <c r="W36" s="15">
        <f>IF(W10=0,0,W10/TrAvia_act!W8*1000)</f>
        <v>379.87031235934592</v>
      </c>
      <c r="X36" s="15">
        <f>IF(X10=0,0,X10/TrAvia_act!X8*1000)</f>
        <v>329.32329971774584</v>
      </c>
      <c r="Y36" s="15">
        <f>IF(Y10=0,0,Y10/TrAvia_act!Y8*1000)</f>
        <v>309.03046659705001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27064.889259177577</v>
      </c>
      <c r="C37" s="101">
        <f>IF(C11=0,0,C11/TrAvia_act!C9*1000)</f>
        <v>27374.994271004634</v>
      </c>
      <c r="D37" s="101">
        <f>IF(D11=0,0,D11/TrAvia_act!D9*1000)</f>
        <v>26326.111101786031</v>
      </c>
      <c r="E37" s="101">
        <f>IF(E11=0,0,E11/TrAvia_act!E9*1000)</f>
        <v>23505.401950450254</v>
      </c>
      <c r="F37" s="101">
        <f>IF(F11=0,0,F11/TrAvia_act!F9*1000)</f>
        <v>14841.291943159329</v>
      </c>
      <c r="G37" s="101">
        <f>IF(G11=0,0,G11/TrAvia_act!G9*1000)</f>
        <v>10430.651071467979</v>
      </c>
      <c r="H37" s="101">
        <f>IF(H11=0,0,H11/TrAvia_act!H9*1000)</f>
        <v>5365.1309207668946</v>
      </c>
      <c r="I37" s="101">
        <f>IF(I11=0,0,I11/TrAvia_act!I9*1000)</f>
        <v>10900.059098163663</v>
      </c>
      <c r="J37" s="101">
        <f>IF(J11=0,0,J11/TrAvia_act!J9*1000)</f>
        <v>10902.714982498184</v>
      </c>
      <c r="K37" s="101">
        <f>IF(K11=0,0,K11/TrAvia_act!K9*1000)</f>
        <v>5760.8907510783783</v>
      </c>
      <c r="L37" s="101">
        <f>IF(L11=0,0,L11/TrAvia_act!L9*1000)</f>
        <v>6280.1269786545208</v>
      </c>
      <c r="M37" s="101">
        <f>IF(M11=0,0,M11/TrAvia_act!M9*1000)</f>
        <v>13277.38712579298</v>
      </c>
      <c r="N37" s="101">
        <f>IF(N11=0,0,N11/TrAvia_act!N9*1000)</f>
        <v>8205.4004070064693</v>
      </c>
      <c r="O37" s="101">
        <f>IF(O11=0,0,O11/TrAvia_act!O9*1000)</f>
        <v>10410.795100361631</v>
      </c>
      <c r="P37" s="101">
        <f>IF(P11=0,0,P11/TrAvia_act!P9*1000)</f>
        <v>7334.0895890079646</v>
      </c>
      <c r="Q37" s="101">
        <f>IF(Q11=0,0,Q11/TrAvia_act!Q9*1000)</f>
        <v>14180.576846950875</v>
      </c>
      <c r="R37" s="101">
        <f>IF(R11=0,0,R11/TrAvia_act!R9*1000)</f>
        <v>14215.525695769187</v>
      </c>
      <c r="S37" s="101">
        <f>IF(S11=0,0,S11/TrAvia_act!S9*1000)</f>
        <v>27822.333899366957</v>
      </c>
      <c r="T37" s="101">
        <f>IF(T11=0,0,T11/TrAvia_act!T9*1000)</f>
        <v>18247.95763716898</v>
      </c>
      <c r="U37" s="101">
        <f>IF(U11=0,0,U11/TrAvia_act!U9*1000)</f>
        <v>62593.871252268007</v>
      </c>
      <c r="V37" s="101">
        <f>IF(V11=0,0,V11/TrAvia_act!V9*1000)</f>
        <v>96376.269080859667</v>
      </c>
      <c r="W37" s="101">
        <f>IF(W11=0,0,W11/TrAvia_act!W9*1000)</f>
        <v>9476.5405249853247</v>
      </c>
      <c r="X37" s="101">
        <f>IF(X11=0,0,X11/TrAvia_act!X9*1000)</f>
        <v>12739.462496004857</v>
      </c>
      <c r="Y37" s="101">
        <f>IF(Y11=0,0,Y11/TrAvia_act!Y9*1000)</f>
        <v>12315.204378183396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599.19713896143821</v>
      </c>
      <c r="C38" s="101">
        <f>IF(C12=0,0,C12/TrAvia_act!C10*1000)</f>
        <v>571.57662153039507</v>
      </c>
      <c r="D38" s="101">
        <f>IF(D12=0,0,D12/TrAvia_act!D10*1000)</f>
        <v>598.87855613904219</v>
      </c>
      <c r="E38" s="101">
        <f>IF(E12=0,0,E12/TrAvia_act!E10*1000)</f>
        <v>383.10309762104333</v>
      </c>
      <c r="F38" s="101">
        <f>IF(F12=0,0,F12/TrAvia_act!F10*1000)</f>
        <v>485.61495514455027</v>
      </c>
      <c r="G38" s="101">
        <f>IF(G12=0,0,G12/TrAvia_act!G10*1000)</f>
        <v>486.184424173727</v>
      </c>
      <c r="H38" s="101">
        <f>IF(H12=0,0,H12/TrAvia_act!H10*1000)</f>
        <v>576.78525844202818</v>
      </c>
      <c r="I38" s="101">
        <f>IF(I12=0,0,I12/TrAvia_act!I10*1000)</f>
        <v>566.42449861698083</v>
      </c>
      <c r="J38" s="101">
        <f>IF(J12=0,0,J12/TrAvia_act!J10*1000)</f>
        <v>551.60358946533302</v>
      </c>
      <c r="K38" s="101">
        <f>IF(K12=0,0,K12/TrAvia_act!K10*1000)</f>
        <v>584.67019745168318</v>
      </c>
      <c r="L38" s="101">
        <f>IF(L12=0,0,L12/TrAvia_act!L10*1000)</f>
        <v>554.1016806510263</v>
      </c>
      <c r="M38" s="101">
        <f>IF(M12=0,0,M12/TrAvia_act!M10*1000)</f>
        <v>533.90605723083456</v>
      </c>
      <c r="N38" s="101">
        <f>IF(N12=0,0,N12/TrAvia_act!N10*1000)</f>
        <v>539.31459458902452</v>
      </c>
      <c r="O38" s="101">
        <f>IF(O12=0,0,O12/TrAvia_act!O10*1000)</f>
        <v>550.89216703875479</v>
      </c>
      <c r="P38" s="101">
        <f>IF(P12=0,0,P12/TrAvia_act!P10*1000)</f>
        <v>501.24124357316555</v>
      </c>
      <c r="Q38" s="101">
        <f>IF(Q12=0,0,Q12/TrAvia_act!Q10*1000)</f>
        <v>489.39037556371227</v>
      </c>
      <c r="R38" s="101">
        <f>IF(R12=0,0,R12/TrAvia_act!R10*1000)</f>
        <v>457.63854886043822</v>
      </c>
      <c r="S38" s="101">
        <f>IF(S12=0,0,S12/TrAvia_act!S10*1000)</f>
        <v>525.1618457778834</v>
      </c>
      <c r="T38" s="101">
        <f>IF(T12=0,0,T12/TrAvia_act!T10*1000)</f>
        <v>559.68019036339376</v>
      </c>
      <c r="U38" s="101">
        <f>IF(U12=0,0,U12/TrAvia_act!U10*1000)</f>
        <v>556.47056802959139</v>
      </c>
      <c r="V38" s="101">
        <f>IF(V12=0,0,V12/TrAvia_act!V10*1000)</f>
        <v>558.93847852988426</v>
      </c>
      <c r="W38" s="101">
        <f>IF(W12=0,0,W12/TrAvia_act!W10*1000)</f>
        <v>662.85935638534784</v>
      </c>
      <c r="X38" s="101">
        <f>IF(X12=0,0,X12/TrAvia_act!X10*1000)</f>
        <v>655.32088966077413</v>
      </c>
      <c r="Y38" s="101">
        <f>IF(Y12=0,0,Y12/TrAvia_act!Y10*1000)</f>
        <v>664.88411986966071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367.54712853995005</v>
      </c>
      <c r="C39" s="88">
        <f>IF(C13=0,0,C13/TrAvia_act!C11*1000)</f>
        <v>351.23621995126223</v>
      </c>
      <c r="D39" s="88">
        <f>IF(D13=0,0,D13/TrAvia_act!D11*1000)</f>
        <v>369.28716899041228</v>
      </c>
      <c r="E39" s="88">
        <f>IF(E13=0,0,E13/TrAvia_act!E11*1000)</f>
        <v>259.39330084374745</v>
      </c>
      <c r="F39" s="88">
        <f>IF(F13=0,0,F13/TrAvia_act!F11*1000)</f>
        <v>307.92335861881992</v>
      </c>
      <c r="G39" s="88">
        <f>IF(G13=0,0,G13/TrAvia_act!G11*1000)</f>
        <v>342.14266482730778</v>
      </c>
      <c r="H39" s="88">
        <f>IF(H13=0,0,H13/TrAvia_act!H11*1000)</f>
        <v>374.08664244588761</v>
      </c>
      <c r="I39" s="88">
        <f>IF(I13=0,0,I13/TrAvia_act!I11*1000)</f>
        <v>342.53953815180807</v>
      </c>
      <c r="J39" s="88">
        <f>IF(J13=0,0,J13/TrAvia_act!J11*1000)</f>
        <v>340.74767561778805</v>
      </c>
      <c r="K39" s="88">
        <f>IF(K13=0,0,K13/TrAvia_act!K11*1000)</f>
        <v>287.85361771739218</v>
      </c>
      <c r="L39" s="88">
        <f>IF(L13=0,0,L13/TrAvia_act!L11*1000)</f>
        <v>265.71993776324683</v>
      </c>
      <c r="M39" s="88">
        <f>IF(M13=0,0,M13/TrAvia_act!M11*1000)</f>
        <v>246.30754899926401</v>
      </c>
      <c r="N39" s="88">
        <f>IF(N13=0,0,N13/TrAvia_act!N11*1000)</f>
        <v>243.16517737706928</v>
      </c>
      <c r="O39" s="88">
        <f>IF(O13=0,0,O13/TrAvia_act!O11*1000)</f>
        <v>223.92434330757604</v>
      </c>
      <c r="P39" s="88">
        <f>IF(P13=0,0,P13/TrAvia_act!P11*1000)</f>
        <v>193.08106975578821</v>
      </c>
      <c r="Q39" s="88">
        <f>IF(Q13=0,0,Q13/TrAvia_act!Q11*1000)</f>
        <v>194.10918206144262</v>
      </c>
      <c r="R39" s="88">
        <f>IF(R13=0,0,R13/TrAvia_act!R11*1000)</f>
        <v>164.66509805241461</v>
      </c>
      <c r="S39" s="88">
        <f>IF(S13=0,0,S13/TrAvia_act!S11*1000)</f>
        <v>156.35614834655726</v>
      </c>
      <c r="T39" s="88">
        <f>IF(T13=0,0,T13/TrAvia_act!T11*1000)</f>
        <v>139.77992792498662</v>
      </c>
      <c r="U39" s="88">
        <f>IF(U13=0,0,U13/TrAvia_act!U11*1000)</f>
        <v>130.2311822531785</v>
      </c>
      <c r="V39" s="88">
        <f>IF(V13=0,0,V13/TrAvia_act!V11*1000)</f>
        <v>197.25268958257143</v>
      </c>
      <c r="W39" s="88">
        <f>IF(W13=0,0,W13/TrAvia_act!W11*1000)</f>
        <v>134.49459162473963</v>
      </c>
      <c r="X39" s="88">
        <f>IF(X13=0,0,X13/TrAvia_act!X11*1000)</f>
        <v>145.2194199657344</v>
      </c>
      <c r="Y39" s="88">
        <f>IF(Y13=0,0,Y13/TrAvia_act!Y11*1000)</f>
        <v>138.4898589620185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21045.43217260762</v>
      </c>
      <c r="C41" s="54">
        <f>IF(C3=0,0,C3/TrAvia_act!C23*1000000)</f>
        <v>21742.983973238672</v>
      </c>
      <c r="D41" s="54">
        <f>IF(D3=0,0,D3/TrAvia_act!D23*1000000)</f>
        <v>20677.231850946853</v>
      </c>
      <c r="E41" s="54">
        <f>IF(E3=0,0,E3/TrAvia_act!E23*1000000)</f>
        <v>13870.273451047897</v>
      </c>
      <c r="F41" s="54">
        <f>IF(F3=0,0,F3/TrAvia_act!F23*1000000)</f>
        <v>13994.168128734342</v>
      </c>
      <c r="G41" s="54">
        <f>IF(G3=0,0,G3/TrAvia_act!G23*1000000)</f>
        <v>12977.99834207266</v>
      </c>
      <c r="H41" s="54">
        <f>IF(H3=0,0,H3/TrAvia_act!H23*1000000)</f>
        <v>12626.130221947336</v>
      </c>
      <c r="I41" s="54">
        <f>IF(I3=0,0,I3/TrAvia_act!I23*1000000)</f>
        <v>13012.935483827234</v>
      </c>
      <c r="J41" s="54">
        <f>IF(J3=0,0,J3/TrAvia_act!J23*1000000)</f>
        <v>13201.706632653058</v>
      </c>
      <c r="K41" s="54">
        <f>IF(K3=0,0,K3/TrAvia_act!K23*1000000)</f>
        <v>13110.912406846286</v>
      </c>
      <c r="L41" s="54">
        <f>IF(L3=0,0,L3/TrAvia_act!L23*1000000)</f>
        <v>12816.97805297882</v>
      </c>
      <c r="M41" s="54">
        <f>IF(M3=0,0,M3/TrAvia_act!M23*1000000)</f>
        <v>13743.885137657189</v>
      </c>
      <c r="N41" s="54">
        <f>IF(N3=0,0,N3/TrAvia_act!N23*1000000)</f>
        <v>14013.010881558561</v>
      </c>
      <c r="O41" s="54">
        <f>IF(O3=0,0,O3/TrAvia_act!O23*1000000)</f>
        <v>13893.889130044019</v>
      </c>
      <c r="P41" s="54">
        <f>IF(P3=0,0,P3/TrAvia_act!P23*1000000)</f>
        <v>14623.232445845555</v>
      </c>
      <c r="Q41" s="54">
        <f>IF(Q3=0,0,Q3/TrAvia_act!Q23*1000000)</f>
        <v>15494.822613776898</v>
      </c>
      <c r="R41" s="54">
        <f>IF(R3=0,0,R3/TrAvia_act!R23*1000000)</f>
        <v>15836.047721561674</v>
      </c>
      <c r="S41" s="54">
        <f>IF(S3=0,0,S3/TrAvia_act!S23*1000000)</f>
        <v>17123.693197068063</v>
      </c>
      <c r="T41" s="54">
        <f>IF(T3=0,0,T3/TrAvia_act!T23*1000000)</f>
        <v>17558.527390246789</v>
      </c>
      <c r="U41" s="54">
        <f>IF(U3=0,0,U3/TrAvia_act!U23*1000000)</f>
        <v>18727.201325365491</v>
      </c>
      <c r="V41" s="54">
        <f>IF(V3=0,0,V3/TrAvia_act!V23*1000000)</f>
        <v>21018.044750157565</v>
      </c>
      <c r="W41" s="54">
        <f>IF(W3=0,0,W3/TrAvia_act!W23*1000000)</f>
        <v>18698.952154476297</v>
      </c>
      <c r="X41" s="54">
        <f>IF(X3=0,0,X3/TrAvia_act!X23*1000000)</f>
        <v>17826.902699016391</v>
      </c>
      <c r="Y41" s="54">
        <f>IF(Y3=0,0,Y3/TrAvia_act!Y23*1000000)</f>
        <v>18668.241330739442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20371.928971428042</v>
      </c>
      <c r="C42" s="11">
        <f>IF(C6=0,0,C6/TrAvia_act!C24*1000000)</f>
        <v>21104.652825422989</v>
      </c>
      <c r="D42" s="11">
        <f>IF(D6=0,0,D6/TrAvia_act!D24*1000000)</f>
        <v>19966.829602397225</v>
      </c>
      <c r="E42" s="11">
        <f>IF(E6=0,0,E6/TrAvia_act!E24*1000000)</f>
        <v>13474.621732464147</v>
      </c>
      <c r="F42" s="11">
        <f>IF(F6=0,0,F6/TrAvia_act!F24*1000000)</f>
        <v>13722.016946028501</v>
      </c>
      <c r="G42" s="11">
        <f>IF(G6=0,0,G6/TrAvia_act!G24*1000000)</f>
        <v>12699.732465263149</v>
      </c>
      <c r="H42" s="11">
        <f>IF(H6=0,0,H6/TrAvia_act!H24*1000000)</f>
        <v>12400.481875337799</v>
      </c>
      <c r="I42" s="11">
        <f>IF(I6=0,0,I6/TrAvia_act!I24*1000000)</f>
        <v>12837.674318819712</v>
      </c>
      <c r="J42" s="11">
        <f>IF(J6=0,0,J6/TrAvia_act!J24*1000000)</f>
        <v>13003.968007471271</v>
      </c>
      <c r="K42" s="11">
        <f>IF(K6=0,0,K6/TrAvia_act!K24*1000000)</f>
        <v>12889.594528525393</v>
      </c>
      <c r="L42" s="11">
        <f>IF(L6=0,0,L6/TrAvia_act!L24*1000000)</f>
        <v>12613.814375888524</v>
      </c>
      <c r="M42" s="11">
        <f>IF(M6=0,0,M6/TrAvia_act!M24*1000000)</f>
        <v>13362.246167234363</v>
      </c>
      <c r="N42" s="11">
        <f>IF(N6=0,0,N6/TrAvia_act!N24*1000000)</f>
        <v>13593.488128446123</v>
      </c>
      <c r="O42" s="11">
        <f>IF(O6=0,0,O6/TrAvia_act!O24*1000000)</f>
        <v>13522.445036529394</v>
      </c>
      <c r="P42" s="11">
        <f>IF(P6=0,0,P6/TrAvia_act!P24*1000000)</f>
        <v>14302.261769756868</v>
      </c>
      <c r="Q42" s="11">
        <f>IF(Q6=0,0,Q6/TrAvia_act!Q24*1000000)</f>
        <v>15155.530678750411</v>
      </c>
      <c r="R42" s="11">
        <f>IF(R6=0,0,R6/TrAvia_act!R24*1000000)</f>
        <v>15479.84331557666</v>
      </c>
      <c r="S42" s="11">
        <f>IF(S6=0,0,S6/TrAvia_act!S24*1000000)</f>
        <v>16805.398827412999</v>
      </c>
      <c r="T42" s="11">
        <f>IF(T6=0,0,T6/TrAvia_act!T24*1000000)</f>
        <v>17281.653071482229</v>
      </c>
      <c r="U42" s="11">
        <f>IF(U6=0,0,U6/TrAvia_act!U24*1000000)</f>
        <v>18173.52028598226</v>
      </c>
      <c r="V42" s="11">
        <f>IF(V6=0,0,V6/TrAvia_act!V24*1000000)</f>
        <v>19693.111664215594</v>
      </c>
      <c r="W42" s="11">
        <f>IF(W6=0,0,W6/TrAvia_act!W24*1000000)</f>
        <v>19114.144230281472</v>
      </c>
      <c r="X42" s="11">
        <f>IF(X6=0,0,X6/TrAvia_act!X24*1000000)</f>
        <v>17951.704547222842</v>
      </c>
      <c r="Y42" s="11">
        <f>IF(Y6=0,0,Y6/TrAvia_act!Y24*1000000)</f>
        <v>18805.502136594027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51229.929366177683</v>
      </c>
      <c r="C43" s="84">
        <f>IF(C7=0,0,C7/TrAvia_act!C25*1000000)</f>
        <v>51421.744327665372</v>
      </c>
      <c r="D43" s="84">
        <f>IF(D7=0,0,D7/TrAvia_act!D25*1000000)</f>
        <v>50852.363991480583</v>
      </c>
      <c r="E43" s="84">
        <f>IF(E7=0,0,E7/TrAvia_act!E25*1000000)</f>
        <v>48295.695743927892</v>
      </c>
      <c r="F43" s="84">
        <f>IF(F7=0,0,F7/TrAvia_act!F25*1000000)</f>
        <v>28714.645424225913</v>
      </c>
      <c r="G43" s="84">
        <f>IF(G7=0,0,G7/TrAvia_act!G25*1000000)</f>
        <v>18346.338402573379</v>
      </c>
      <c r="H43" s="84">
        <f>IF(H7=0,0,H7/TrAvia_act!H25*1000000)</f>
        <v>8947.6281157669073</v>
      </c>
      <c r="I43" s="84">
        <f>IF(I7=0,0,I7/TrAvia_act!I25*1000000)</f>
        <v>20924.774749718585</v>
      </c>
      <c r="J43" s="84">
        <f>IF(J7=0,0,J7/TrAvia_act!J25*1000000)</f>
        <v>21995.267477601526</v>
      </c>
      <c r="K43" s="84">
        <f>IF(K7=0,0,K7/TrAvia_act!K25*1000000)</f>
        <v>12539.253428533933</v>
      </c>
      <c r="L43" s="84">
        <f>IF(L7=0,0,L7/TrAvia_act!L25*1000000)</f>
        <v>15384.243114946787</v>
      </c>
      <c r="M43" s="84">
        <f>IF(M7=0,0,M7/TrAvia_act!M25*1000000)</f>
        <v>36083.764563318058</v>
      </c>
      <c r="N43" s="84">
        <f>IF(N7=0,0,N7/TrAvia_act!N25*1000000)</f>
        <v>21731.93007971931</v>
      </c>
      <c r="O43" s="84">
        <f>IF(O7=0,0,O7/TrAvia_act!O25*1000000)</f>
        <v>27216.269295555736</v>
      </c>
      <c r="P43" s="84">
        <f>IF(P7=0,0,P7/TrAvia_act!P25*1000000)</f>
        <v>22706.237128048648</v>
      </c>
      <c r="Q43" s="84">
        <f>IF(Q7=0,0,Q7/TrAvia_act!Q25*1000000)</f>
        <v>43452.922628258202</v>
      </c>
      <c r="R43" s="84">
        <f>IF(R7=0,0,R7/TrAvia_act!R25*1000000)</f>
        <v>53416.851348916607</v>
      </c>
      <c r="S43" s="84">
        <f>IF(S7=0,0,S7/TrAvia_act!S25*1000000)</f>
        <v>101898.43542846839</v>
      </c>
      <c r="T43" s="84">
        <f>IF(T7=0,0,T7/TrAvia_act!T25*1000000)</f>
        <v>65301.181843556056</v>
      </c>
      <c r="U43" s="84">
        <f>IF(U7=0,0,U7/TrAvia_act!U25*1000000)</f>
        <v>217384.39494933866</v>
      </c>
      <c r="V43" s="84">
        <f>IF(V7=0,0,V7/TrAvia_act!V25*1000000)</f>
        <v>298943.41536765429</v>
      </c>
      <c r="W43" s="84">
        <f>IF(W7=0,0,W7/TrAvia_act!W25*1000000)</f>
        <v>33906.077902318772</v>
      </c>
      <c r="X43" s="84">
        <f>IF(X7=0,0,X7/TrAvia_act!X25*1000000)</f>
        <v>44651.929502534149</v>
      </c>
      <c r="Y43" s="84">
        <f>IF(Y7=0,0,Y7/TrAvia_act!Y25*1000000)</f>
        <v>38004.899380694107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12531.802034399323</v>
      </c>
      <c r="C44" s="84">
        <f>IF(C8=0,0,C8/TrAvia_act!C26*1000000)</f>
        <v>12549.308925453175</v>
      </c>
      <c r="D44" s="84">
        <f>IF(D8=0,0,D8/TrAvia_act!D26*1000000)</f>
        <v>12457.692674140302</v>
      </c>
      <c r="E44" s="84">
        <f>IF(E8=0,0,E8/TrAvia_act!E26*1000000)</f>
        <v>8059.8304248661534</v>
      </c>
      <c r="F44" s="84">
        <f>IF(F8=0,0,F8/TrAvia_act!F26*1000000)</f>
        <v>9465.402840310966</v>
      </c>
      <c r="G44" s="84">
        <f>IF(G8=0,0,G8/TrAvia_act!G26*1000000)</f>
        <v>9356.2034824089187</v>
      </c>
      <c r="H44" s="84">
        <f>IF(H8=0,0,H8/TrAvia_act!H26*1000000)</f>
        <v>9603.9009157702549</v>
      </c>
      <c r="I44" s="84">
        <f>IF(I8=0,0,I8/TrAvia_act!I26*1000000)</f>
        <v>9482.4585478818335</v>
      </c>
      <c r="J44" s="84">
        <f>IF(J8=0,0,J8/TrAvia_act!J26*1000000)</f>
        <v>9422.7407824320762</v>
      </c>
      <c r="K44" s="84">
        <f>IF(K8=0,0,K8/TrAvia_act!K26*1000000)</f>
        <v>9806.92152976947</v>
      </c>
      <c r="L44" s="84">
        <f>IF(L8=0,0,L8/TrAvia_act!L26*1000000)</f>
        <v>9357.1850964348396</v>
      </c>
      <c r="M44" s="84">
        <f>IF(M8=0,0,M8/TrAvia_act!M26*1000000)</f>
        <v>9341.3466460855616</v>
      </c>
      <c r="N44" s="84">
        <f>IF(N8=0,0,N8/TrAvia_act!N26*1000000)</f>
        <v>10319.787942589457</v>
      </c>
      <c r="O44" s="84">
        <f>IF(O8=0,0,O8/TrAvia_act!O26*1000000)</f>
        <v>10242.04739400065</v>
      </c>
      <c r="P44" s="84">
        <f>IF(P8=0,0,P8/TrAvia_act!P26*1000000)</f>
        <v>11011.791016647261</v>
      </c>
      <c r="Q44" s="84">
        <f>IF(Q8=0,0,Q8/TrAvia_act!Q26*1000000)</f>
        <v>10771.570222607259</v>
      </c>
      <c r="R44" s="84">
        <f>IF(R8=0,0,R8/TrAvia_act!R26*1000000)</f>
        <v>10970.940626070646</v>
      </c>
      <c r="S44" s="84">
        <f>IF(S8=0,0,S8/TrAvia_act!S26*1000000)</f>
        <v>12096.649910320635</v>
      </c>
      <c r="T44" s="84">
        <f>IF(T8=0,0,T8/TrAvia_act!T26*1000000)</f>
        <v>13695.126387416587</v>
      </c>
      <c r="U44" s="84">
        <f>IF(U8=0,0,U8/TrAvia_act!U26*1000000)</f>
        <v>13979.91068585311</v>
      </c>
      <c r="V44" s="84">
        <f>IF(V8=0,0,V8/TrAvia_act!V26*1000000)</f>
        <v>10971.302780420921</v>
      </c>
      <c r="W44" s="84">
        <f>IF(W8=0,0,W8/TrAvia_act!W26*1000000)</f>
        <v>14371.90186909576</v>
      </c>
      <c r="X44" s="84">
        <f>IF(X8=0,0,X8/TrAvia_act!X26*1000000)</f>
        <v>14287.388130785826</v>
      </c>
      <c r="Y44" s="84">
        <f>IF(Y8=0,0,Y8/TrAvia_act!Y26*1000000)</f>
        <v>14919.683960273889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45355.702515133155</v>
      </c>
      <c r="C45" s="84">
        <f>IF(C9=0,0,C9/TrAvia_act!C27*1000000)</f>
        <v>45419.936733818387</v>
      </c>
      <c r="D45" s="84">
        <f>IF(D9=0,0,D9/TrAvia_act!D27*1000000)</f>
        <v>45088.488806022389</v>
      </c>
      <c r="E45" s="84">
        <f>IF(E9=0,0,E9/TrAvia_act!E27*1000000)</f>
        <v>28777.02428765862</v>
      </c>
      <c r="F45" s="84">
        <f>IF(F9=0,0,F9/TrAvia_act!F27*1000000)</f>
        <v>33155.842131564335</v>
      </c>
      <c r="G45" s="84">
        <f>IF(G9=0,0,G9/TrAvia_act!G27*1000000)</f>
        <v>32053.723306639</v>
      </c>
      <c r="H45" s="84">
        <f>IF(H9=0,0,H9/TrAvia_act!H27*1000000)</f>
        <v>31533.895489935279</v>
      </c>
      <c r="I45" s="84">
        <f>IF(I9=0,0,I9/TrAvia_act!I27*1000000)</f>
        <v>29116.524656183316</v>
      </c>
      <c r="J45" s="84">
        <f>IF(J9=0,0,J9/TrAvia_act!J27*1000000)</f>
        <v>28103.596877890323</v>
      </c>
      <c r="K45" s="84">
        <f>IF(K9=0,0,K9/TrAvia_act!K27*1000000)</f>
        <v>27354.723937822338</v>
      </c>
      <c r="L45" s="84">
        <f>IF(L9=0,0,L9/TrAvia_act!L27*1000000)</f>
        <v>25718.599181367746</v>
      </c>
      <c r="M45" s="84">
        <f>IF(M9=0,0,M9/TrAvia_act!M27*1000000)</f>
        <v>23765.697226292697</v>
      </c>
      <c r="N45" s="84">
        <f>IF(N9=0,0,N9/TrAvia_act!N27*1000000)</f>
        <v>23110.243426095614</v>
      </c>
      <c r="O45" s="84">
        <f>IF(O9=0,0,O9/TrAvia_act!O27*1000000)</f>
        <v>22414.061463021237</v>
      </c>
      <c r="P45" s="84">
        <f>IF(P9=0,0,P9/TrAvia_act!P27*1000000)</f>
        <v>23615.860778829712</v>
      </c>
      <c r="Q45" s="84">
        <f>IF(Q9=0,0,Q9/TrAvia_act!Q27*1000000)</f>
        <v>25718.643692294911</v>
      </c>
      <c r="R45" s="84">
        <f>IF(R9=0,0,R9/TrAvia_act!R27*1000000)</f>
        <v>26939.452039568154</v>
      </c>
      <c r="S45" s="84">
        <f>IF(S9=0,0,S9/TrAvia_act!S27*1000000)</f>
        <v>25194.854368565637</v>
      </c>
      <c r="T45" s="84">
        <f>IF(T9=0,0,T9/TrAvia_act!T27*1000000)</f>
        <v>24874.15822701369</v>
      </c>
      <c r="U45" s="84">
        <f>IF(U9=0,0,U9/TrAvia_act!U27*1000000)</f>
        <v>25220.154719311693</v>
      </c>
      <c r="V45" s="84">
        <f>IF(V9=0,0,V9/TrAvia_act!V27*1000000)</f>
        <v>33827.324924362445</v>
      </c>
      <c r="W45" s="84">
        <f>IF(W9=0,0,W9/TrAvia_act!W27*1000000)</f>
        <v>33698.694230650035</v>
      </c>
      <c r="X45" s="84">
        <f>IF(X9=0,0,X9/TrAvia_act!X27*1000000)</f>
        <v>30811.023673191739</v>
      </c>
      <c r="Y45" s="84">
        <f>IF(Y9=0,0,Y9/TrAvia_act!Y27*1000000)</f>
        <v>32798.057624766654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40742.733819776986</v>
      </c>
      <c r="C46" s="13">
        <f>IF(C10=0,0,C10/TrAvia_act!C28*1000000)</f>
        <v>41952.533880504605</v>
      </c>
      <c r="D46" s="13">
        <f>IF(D10=0,0,D10/TrAvia_act!D28*1000000)</f>
        <v>39827.088289079737</v>
      </c>
      <c r="E46" s="13">
        <f>IF(E10=0,0,E10/TrAvia_act!E28*1000000)</f>
        <v>31854.976220438333</v>
      </c>
      <c r="F46" s="13">
        <f>IF(F10=0,0,F10/TrAvia_act!F28*1000000)</f>
        <v>28203.985875345606</v>
      </c>
      <c r="G46" s="13">
        <f>IF(G10=0,0,G10/TrAvia_act!G28*1000000)</f>
        <v>27602.809823317984</v>
      </c>
      <c r="H46" s="13">
        <f>IF(H10=0,0,H10/TrAvia_act!H28*1000000)</f>
        <v>23599.513217043957</v>
      </c>
      <c r="I46" s="13">
        <f>IF(I10=0,0,I10/TrAvia_act!I28*1000000)</f>
        <v>21707.252076573179</v>
      </c>
      <c r="J46" s="13">
        <f>IF(J10=0,0,J10/TrAvia_act!J28*1000000)</f>
        <v>24608.682409694513</v>
      </c>
      <c r="K46" s="13">
        <f>IF(K10=0,0,K10/TrAvia_act!K28*1000000)</f>
        <v>26202.464539246848</v>
      </c>
      <c r="L46" s="13">
        <f>IF(L10=0,0,L10/TrAvia_act!L28*1000000)</f>
        <v>22988.929173768945</v>
      </c>
      <c r="M46" s="13">
        <f>IF(M10=0,0,M10/TrAvia_act!M28*1000000)</f>
        <v>33881.745495304043</v>
      </c>
      <c r="N46" s="13">
        <f>IF(N10=0,0,N10/TrAvia_act!N28*1000000)</f>
        <v>38725.905579492341</v>
      </c>
      <c r="O46" s="13">
        <f>IF(O10=0,0,O10/TrAvia_act!O28*1000000)</f>
        <v>36079.512943055262</v>
      </c>
      <c r="P46" s="13">
        <f>IF(P10=0,0,P10/TrAvia_act!P28*1000000)</f>
        <v>33983.139321009265</v>
      </c>
      <c r="Q46" s="13">
        <f>IF(Q10=0,0,Q10/TrAvia_act!Q28*1000000)</f>
        <v>34964.300257264396</v>
      </c>
      <c r="R46" s="13">
        <f>IF(R10=0,0,R10/TrAvia_act!R28*1000000)</f>
        <v>35184.909274888669</v>
      </c>
      <c r="S46" s="13">
        <f>IF(S10=0,0,S10/TrAvia_act!S28*1000000)</f>
        <v>32463.252004984504</v>
      </c>
      <c r="T46" s="13">
        <f>IF(T10=0,0,T10/TrAvia_act!T28*1000000)</f>
        <v>30083.008732440383</v>
      </c>
      <c r="U46" s="13">
        <f>IF(U10=0,0,U10/TrAvia_act!U28*1000000)</f>
        <v>45919.750339780352</v>
      </c>
      <c r="V46" s="13">
        <f>IF(V10=0,0,V10/TrAvia_act!V28*1000000)</f>
        <v>40047.235848942284</v>
      </c>
      <c r="W46" s="13">
        <f>IF(W10=0,0,W10/TrAvia_act!W28*1000000)</f>
        <v>13134.678576761464</v>
      </c>
      <c r="X46" s="13">
        <f>IF(X10=0,0,X10/TrAvia_act!X28*1000000)</f>
        <v>14129.961203551409</v>
      </c>
      <c r="Y46" s="13">
        <f>IF(Y10=0,0,Y10/TrAvia_act!Y28*1000000)</f>
        <v>13300.430059839084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46816.076425154548</v>
      </c>
      <c r="C47" s="102">
        <f>IF(C11=0,0,C11/TrAvia_act!C29*1000000)</f>
        <v>46991.365050526423</v>
      </c>
      <c r="D47" s="102">
        <f>IF(D11=0,0,D11/TrAvia_act!D29*1000000)</f>
        <v>46471.041215151272</v>
      </c>
      <c r="E47" s="102">
        <f>IF(E11=0,0,E11/TrAvia_act!E29*1000000)</f>
        <v>44134.64962624904</v>
      </c>
      <c r="F47" s="102">
        <f>IF(F11=0,0,F11/TrAvia_act!F29*1000000)</f>
        <v>26240.657586955298</v>
      </c>
      <c r="G47" s="102">
        <f>IF(G11=0,0,G11/TrAvia_act!G29*1000000)</f>
        <v>16765.660062449289</v>
      </c>
      <c r="H47" s="102">
        <f>IF(H11=0,0,H11/TrAvia_act!H29*1000000)</f>
        <v>8290.8851206631753</v>
      </c>
      <c r="I47" s="102">
        <f>IF(I11=0,0,I11/TrAvia_act!I29*1000000)</f>
        <v>19659.636330884823</v>
      </c>
      <c r="J47" s="102">
        <f>IF(J11=0,0,J11/TrAvia_act!J29*1000000)</f>
        <v>20953.937907555173</v>
      </c>
      <c r="K47" s="102">
        <f>IF(K11=0,0,K11/TrAvia_act!K29*1000000)</f>
        <v>12112.388775837009</v>
      </c>
      <c r="L47" s="102">
        <f>IF(L11=0,0,L11/TrAvia_act!L29*1000000)</f>
        <v>15068.012584614393</v>
      </c>
      <c r="M47" s="102">
        <f>IF(M11=0,0,M11/TrAvia_act!M29*1000000)</f>
        <v>35277.1888650857</v>
      </c>
      <c r="N47" s="102">
        <f>IF(N11=0,0,N11/TrAvia_act!N29*1000000)</f>
        <v>21207.170162655031</v>
      </c>
      <c r="O47" s="102">
        <f>IF(O11=0,0,O11/TrAvia_act!O29*1000000)</f>
        <v>26487.808156985557</v>
      </c>
      <c r="P47" s="102">
        <f>IF(P11=0,0,P11/TrAvia_act!P29*1000000)</f>
        <v>22039.247589002574</v>
      </c>
      <c r="Q47" s="102">
        <f>IF(Q11=0,0,Q11/TrAvia_act!Q29*1000000)</f>
        <v>42063.548622305723</v>
      </c>
      <c r="R47" s="102">
        <f>IF(R11=0,0,R11/TrAvia_act!R29*1000000)</f>
        <v>51570.539436015315</v>
      </c>
      <c r="S47" s="102">
        <f>IF(S11=0,0,S11/TrAvia_act!S29*1000000)</f>
        <v>98113.445199567504</v>
      </c>
      <c r="T47" s="102">
        <f>IF(T11=0,0,T11/TrAvia_act!T29*1000000)</f>
        <v>62707.692020961578</v>
      </c>
      <c r="U47" s="102">
        <f>IF(U11=0,0,U11/TrAvia_act!U29*1000000)</f>
        <v>214556.46643153639</v>
      </c>
      <c r="V47" s="102">
        <f>IF(V11=0,0,V11/TrAvia_act!V29*1000000)</f>
        <v>287934.52521430195</v>
      </c>
      <c r="W47" s="102">
        <f>IF(W11=0,0,W11/TrAvia_act!W29*1000000)</f>
        <v>31118.801066644715</v>
      </c>
      <c r="X47" s="102">
        <f>IF(X11=0,0,X11/TrAvia_act!X29*1000000)</f>
        <v>42525.632343079655</v>
      </c>
      <c r="Y47" s="102">
        <f>IF(Y11=0,0,Y11/TrAvia_act!Y29*1000000)</f>
        <v>37316.342221278785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11950.299451715216</v>
      </c>
      <c r="C48" s="102">
        <f>IF(C12=0,0,C12/TrAvia_act!C30*1000000)</f>
        <v>12001.925237758869</v>
      </c>
      <c r="D48" s="102">
        <f>IF(D12=0,0,D12/TrAvia_act!D30*1000000)</f>
        <v>11865.21332780639</v>
      </c>
      <c r="E48" s="102">
        <f>IF(E12=0,0,E12/TrAvia_act!E30*1000000)</f>
        <v>7781.649594245011</v>
      </c>
      <c r="F48" s="102">
        <f>IF(F12=0,0,F12/TrAvia_act!F30*1000000)</f>
        <v>8916.9723006081131</v>
      </c>
      <c r="G48" s="102">
        <f>IF(G12=0,0,G12/TrAvia_act!G30*1000000)</f>
        <v>8598.5099512724701</v>
      </c>
      <c r="H48" s="102">
        <f>IF(H12=0,0,H12/TrAvia_act!H30*1000000)</f>
        <v>8755.9694219841349</v>
      </c>
      <c r="I48" s="102">
        <f>IF(I12=0,0,I12/TrAvia_act!I30*1000000)</f>
        <v>8428.1846085833222</v>
      </c>
      <c r="J48" s="102">
        <f>IF(J12=0,0,J12/TrAvia_act!J30*1000000)</f>
        <v>8151.6928539531427</v>
      </c>
      <c r="K48" s="102">
        <f>IF(K12=0,0,K12/TrAvia_act!K30*1000000)</f>
        <v>8721.4175693105444</v>
      </c>
      <c r="L48" s="102">
        <f>IF(L12=0,0,L12/TrAvia_act!L30*1000000)</f>
        <v>8190.8402081174081</v>
      </c>
      <c r="M48" s="102">
        <f>IF(M12=0,0,M12/TrAvia_act!M30*1000000)</f>
        <v>8161.6356503999668</v>
      </c>
      <c r="N48" s="102">
        <f>IF(N12=0,0,N12/TrAvia_act!N30*1000000)</f>
        <v>8781.1768410319492</v>
      </c>
      <c r="O48" s="102">
        <f>IF(O12=0,0,O12/TrAvia_act!O30*1000000)</f>
        <v>8558.2297597056804</v>
      </c>
      <c r="P48" s="102">
        <f>IF(P12=0,0,P12/TrAvia_act!P30*1000000)</f>
        <v>9047.2678555507136</v>
      </c>
      <c r="Q48" s="102">
        <f>IF(Q12=0,0,Q12/TrAvia_act!Q30*1000000)</f>
        <v>8747.3833639457316</v>
      </c>
      <c r="R48" s="102">
        <f>IF(R12=0,0,R12/TrAvia_act!R30*1000000)</f>
        <v>8690.7653925683117</v>
      </c>
      <c r="S48" s="102">
        <f>IF(S12=0,0,S12/TrAvia_act!S30*1000000)</f>
        <v>9407.2346425056567</v>
      </c>
      <c r="T48" s="102">
        <f>IF(T12=0,0,T12/TrAvia_act!T30*1000000)</f>
        <v>10585.23561037859</v>
      </c>
      <c r="U48" s="102">
        <f>IF(U12=0,0,U12/TrAvia_act!U30*1000000)</f>
        <v>10426.754097279198</v>
      </c>
      <c r="V48" s="102">
        <f>IF(V12=0,0,V12/TrAvia_act!V30*1000000)</f>
        <v>9269.6639775948352</v>
      </c>
      <c r="W48" s="102">
        <f>IF(W12=0,0,W12/TrAvia_act!W30*1000000)</f>
        <v>10216.903644566499</v>
      </c>
      <c r="X48" s="102">
        <f>IF(X12=0,0,X12/TrAvia_act!X30*1000000)</f>
        <v>10631.549728480351</v>
      </c>
      <c r="Y48" s="102">
        <f>IF(Y12=0,0,Y12/TrAvia_act!Y30*1000000)</f>
        <v>10790.130255877855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195820.89135715383</v>
      </c>
      <c r="C49" s="86">
        <f>IF(C13=0,0,C13/TrAvia_act!C31*1000000)</f>
        <v>196098.21926215923</v>
      </c>
      <c r="D49" s="86">
        <f>IF(D13=0,0,D13/TrAvia_act!D31*1000000)</f>
        <v>194667.2100381738</v>
      </c>
      <c r="E49" s="86">
        <f>IF(E13=0,0,E13/TrAvia_act!E31*1000000)</f>
        <v>124243.30864979068</v>
      </c>
      <c r="F49" s="86">
        <f>IF(F13=0,0,F13/TrAvia_act!F31*1000000)</f>
        <v>143148.62740211585</v>
      </c>
      <c r="G49" s="86">
        <f>IF(G13=0,0,G13/TrAvia_act!G31*1000000)</f>
        <v>146621.87976634008</v>
      </c>
      <c r="H49" s="86">
        <f>IF(H13=0,0,H13/TrAvia_act!H31*1000000)</f>
        <v>145004.01932633217</v>
      </c>
      <c r="I49" s="86">
        <f>IF(I13=0,0,I13/TrAvia_act!I31*1000000)</f>
        <v>125077.77619820532</v>
      </c>
      <c r="J49" s="86">
        <f>IF(J13=0,0,J13/TrAvia_act!J31*1000000)</f>
        <v>115285.66129287099</v>
      </c>
      <c r="K49" s="86">
        <f>IF(K13=0,0,K13/TrAvia_act!K31*1000000)</f>
        <v>104553.53878192148</v>
      </c>
      <c r="L49" s="86">
        <f>IF(L13=0,0,L13/TrAvia_act!L31*1000000)</f>
        <v>92485.724174860006</v>
      </c>
      <c r="M49" s="86">
        <f>IF(M13=0,0,M13/TrAvia_act!M31*1000000)</f>
        <v>99668.103321389513</v>
      </c>
      <c r="N49" s="86">
        <f>IF(N13=0,0,N13/TrAvia_act!N31*1000000)</f>
        <v>113398.21577733434</v>
      </c>
      <c r="O49" s="86">
        <f>IF(O13=0,0,O13/TrAvia_act!O31*1000000)</f>
        <v>107976.0207344979</v>
      </c>
      <c r="P49" s="86">
        <f>IF(P13=0,0,P13/TrAvia_act!P31*1000000)</f>
        <v>110689.98710893402</v>
      </c>
      <c r="Q49" s="86">
        <f>IF(Q13=0,0,Q13/TrAvia_act!Q31*1000000)</f>
        <v>113352.49249912605</v>
      </c>
      <c r="R49" s="86">
        <f>IF(R13=0,0,R13/TrAvia_act!R31*1000000)</f>
        <v>110298.31941046019</v>
      </c>
      <c r="S49" s="86">
        <f>IF(S13=0,0,S13/TrAvia_act!S31*1000000)</f>
        <v>101426.02242444608</v>
      </c>
      <c r="T49" s="86">
        <f>IF(T13=0,0,T13/TrAvia_act!T31*1000000)</f>
        <v>92451.888173902465</v>
      </c>
      <c r="U49" s="86">
        <f>IF(U13=0,0,U13/TrAvia_act!U31*1000000)</f>
        <v>78538.374219832898</v>
      </c>
      <c r="V49" s="86">
        <f>IF(V13=0,0,V13/TrAvia_act!V31*1000000)</f>
        <v>34436.139937692446</v>
      </c>
      <c r="W49" s="86">
        <f>IF(W13=0,0,W13/TrAvia_act!W31*1000000)</f>
        <v>15528.129989124152</v>
      </c>
      <c r="X49" s="86">
        <f>IF(X13=0,0,X13/TrAvia_act!X31*1000000)</f>
        <v>28634.471721311693</v>
      </c>
      <c r="Y49" s="86">
        <f>IF(Y13=0,0,Y13/TrAvia_act!Y31*1000000)</f>
        <v>28191.943326720018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0.93599354210120878</v>
      </c>
      <c r="C52" s="16">
        <f t="shared" si="36"/>
        <v>0.9409223560400537</v>
      </c>
      <c r="D52" s="16">
        <f t="shared" ref="D52:V52" si="37">IF(D6=0,0,D6/D$3)</f>
        <v>0.93110216332188134</v>
      </c>
      <c r="E52" s="16">
        <f t="shared" si="37"/>
        <v>0.95056307661029493</v>
      </c>
      <c r="F52" s="16">
        <f t="shared" si="37"/>
        <v>0.962125577824538</v>
      </c>
      <c r="G52" s="16">
        <f t="shared" si="37"/>
        <v>0.96028728527371288</v>
      </c>
      <c r="H52" s="16">
        <f t="shared" si="37"/>
        <v>0.96233963920391286</v>
      </c>
      <c r="I52" s="16">
        <f t="shared" si="37"/>
        <v>0.96703809360668935</v>
      </c>
      <c r="J52" s="16">
        <f t="shared" si="37"/>
        <v>0.96823745177897602</v>
      </c>
      <c r="K52" s="16">
        <f t="shared" si="37"/>
        <v>0.96677583823246749</v>
      </c>
      <c r="L52" s="16">
        <f t="shared" si="37"/>
        <v>0.96487743253097458</v>
      </c>
      <c r="M52" s="16">
        <f t="shared" si="37"/>
        <v>0.95414969651451476</v>
      </c>
      <c r="N52" s="16">
        <f t="shared" si="37"/>
        <v>0.95386915835228503</v>
      </c>
      <c r="O52" s="16">
        <f t="shared" si="37"/>
        <v>0.9572390202776927</v>
      </c>
      <c r="P52" s="16">
        <f t="shared" si="37"/>
        <v>0.96209984289076755</v>
      </c>
      <c r="Q52" s="16">
        <f t="shared" si="37"/>
        <v>0.96134957544829425</v>
      </c>
      <c r="R52" s="16">
        <f t="shared" si="37"/>
        <v>0.95983654846105004</v>
      </c>
      <c r="S52" s="16">
        <f t="shared" si="37"/>
        <v>0.96146180897797451</v>
      </c>
      <c r="T52" s="16">
        <f t="shared" si="37"/>
        <v>0.96294388448091872</v>
      </c>
      <c r="U52" s="16">
        <f t="shared" si="37"/>
        <v>0.95106920100101411</v>
      </c>
      <c r="V52" s="16">
        <f t="shared" si="37"/>
        <v>0.87597142370758085</v>
      </c>
      <c r="W52" s="16">
        <f t="shared" ref="W52:Y52" si="38">IF(W6=0,0,W6/W$3)</f>
        <v>0.95122594545208994</v>
      </c>
      <c r="X52" s="16">
        <f t="shared" si="38"/>
        <v>0.97411640627458507</v>
      </c>
      <c r="Y52" s="16">
        <f t="shared" si="38"/>
        <v>0.98223579353655155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0.191048535310683</v>
      </c>
      <c r="C53" s="103">
        <f t="shared" si="39"/>
        <v>0.23322058148527439</v>
      </c>
      <c r="D53" s="103">
        <f t="shared" ref="D53:V53" si="40">IF(D7=0,0,D7/D$3)</f>
        <v>0.17260290441163462</v>
      </c>
      <c r="E53" s="103">
        <f t="shared" si="40"/>
        <v>0.22188971960330239</v>
      </c>
      <c r="F53" s="103">
        <f t="shared" si="40"/>
        <v>0.13167308864967531</v>
      </c>
      <c r="G53" s="103">
        <f t="shared" si="40"/>
        <v>8.5094587226595353E-2</v>
      </c>
      <c r="H53" s="103">
        <f t="shared" si="40"/>
        <v>4.5811604144219843E-2</v>
      </c>
      <c r="I53" s="103">
        <f t="shared" si="40"/>
        <v>9.4013194173036191E-2</v>
      </c>
      <c r="J53" s="103">
        <f t="shared" si="40"/>
        <v>0.11197738635991022</v>
      </c>
      <c r="K53" s="103">
        <f t="shared" si="40"/>
        <v>8.3525542450493387E-2</v>
      </c>
      <c r="L53" s="103">
        <f t="shared" si="40"/>
        <v>8.4727893463595369E-2</v>
      </c>
      <c r="M53" s="103">
        <f t="shared" si="40"/>
        <v>0.12040270790594647</v>
      </c>
      <c r="N53" s="103">
        <f t="shared" si="40"/>
        <v>6.5988785072156997E-2</v>
      </c>
      <c r="O53" s="103">
        <f t="shared" si="40"/>
        <v>6.2453834601716073E-2</v>
      </c>
      <c r="P53" s="103">
        <f t="shared" si="40"/>
        <v>5.8716452265786215E-2</v>
      </c>
      <c r="Q53" s="103">
        <f t="shared" si="40"/>
        <v>0.11297518752748438</v>
      </c>
      <c r="R53" s="103">
        <f t="shared" si="40"/>
        <v>0.11651050558213792</v>
      </c>
      <c r="S53" s="103">
        <f t="shared" si="40"/>
        <v>0.12669961245373756</v>
      </c>
      <c r="T53" s="103">
        <f t="shared" si="40"/>
        <v>6.8653213231758811E-2</v>
      </c>
      <c r="U53" s="103">
        <f t="shared" si="40"/>
        <v>7.9896777328536978E-2</v>
      </c>
      <c r="V53" s="103">
        <f t="shared" si="40"/>
        <v>0.18696174956790612</v>
      </c>
      <c r="W53" s="103">
        <f t="shared" ref="W53:Y53" si="41">IF(W7=0,0,W7/W$3)</f>
        <v>2.857645343987298E-2</v>
      </c>
      <c r="X53" s="103">
        <f t="shared" si="41"/>
        <v>2.0804478529393756E-2</v>
      </c>
      <c r="Y53" s="103">
        <f t="shared" si="41"/>
        <v>1.7731404252175887E-2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0.44661376333489966</v>
      </c>
      <c r="C54" s="103">
        <f t="shared" si="42"/>
        <v>0.42426500779082182</v>
      </c>
      <c r="D54" s="103">
        <f t="shared" ref="D54:V54" si="43">IF(D8=0,0,D8/D$3)</f>
        <v>0.45471500509132134</v>
      </c>
      <c r="E54" s="103">
        <f t="shared" si="43"/>
        <v>0.45485849670089679</v>
      </c>
      <c r="F54" s="103">
        <f t="shared" si="43"/>
        <v>0.53628812550842764</v>
      </c>
      <c r="G54" s="103">
        <f t="shared" si="43"/>
        <v>0.5770438051963056</v>
      </c>
      <c r="H54" s="103">
        <f t="shared" si="43"/>
        <v>0.59962335247464604</v>
      </c>
      <c r="I54" s="103">
        <f t="shared" si="43"/>
        <v>0.57445648030457319</v>
      </c>
      <c r="J54" s="103">
        <f t="shared" si="43"/>
        <v>0.55140526018162261</v>
      </c>
      <c r="K54" s="103">
        <f t="shared" si="43"/>
        <v>0.55119013613897694</v>
      </c>
      <c r="L54" s="103">
        <f t="shared" si="43"/>
        <v>0.54074689394032693</v>
      </c>
      <c r="M54" s="103">
        <f t="shared" si="43"/>
        <v>0.50770980677341304</v>
      </c>
      <c r="N54" s="103">
        <f t="shared" si="43"/>
        <v>0.53542813492602437</v>
      </c>
      <c r="O54" s="103">
        <f t="shared" si="43"/>
        <v>0.53889960792379743</v>
      </c>
      <c r="P54" s="103">
        <f t="shared" si="43"/>
        <v>0.54531384580163056</v>
      </c>
      <c r="Q54" s="103">
        <f t="shared" si="43"/>
        <v>0.51609186642192373</v>
      </c>
      <c r="R54" s="103">
        <f t="shared" si="43"/>
        <v>0.52785720493649035</v>
      </c>
      <c r="S54" s="103">
        <f t="shared" si="43"/>
        <v>0.53135192809798348</v>
      </c>
      <c r="T54" s="103">
        <f t="shared" si="43"/>
        <v>0.57034615031397085</v>
      </c>
      <c r="U54" s="103">
        <f t="shared" si="43"/>
        <v>0.54649415590352501</v>
      </c>
      <c r="V54" s="103">
        <f t="shared" si="43"/>
        <v>0.38137975953523623</v>
      </c>
      <c r="W54" s="103">
        <f t="shared" ref="W54:Y54" si="44">IF(W8=0,0,W8/W$3)</f>
        <v>0.53985968487406144</v>
      </c>
      <c r="X54" s="103">
        <f t="shared" si="44"/>
        <v>0.60892754261954818</v>
      </c>
      <c r="Y54" s="103">
        <f t="shared" si="44"/>
        <v>0.61192844015886805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0.29833124345562617</v>
      </c>
      <c r="C55" s="103">
        <f t="shared" si="45"/>
        <v>0.28343676676395757</v>
      </c>
      <c r="D55" s="103">
        <f t="shared" ref="D55:V55" si="46">IF(D9=0,0,D9/D$3)</f>
        <v>0.30378425381892543</v>
      </c>
      <c r="E55" s="103">
        <f t="shared" si="46"/>
        <v>0.27381486030609581</v>
      </c>
      <c r="F55" s="103">
        <f t="shared" si="46"/>
        <v>0.294164363666435</v>
      </c>
      <c r="G55" s="103">
        <f t="shared" si="46"/>
        <v>0.29814889285081192</v>
      </c>
      <c r="H55" s="103">
        <f t="shared" si="46"/>
        <v>0.31690468258504706</v>
      </c>
      <c r="I55" s="103">
        <f t="shared" si="46"/>
        <v>0.29856841912907983</v>
      </c>
      <c r="J55" s="103">
        <f t="shared" si="46"/>
        <v>0.30485480523744329</v>
      </c>
      <c r="K55" s="103">
        <f t="shared" si="46"/>
        <v>0.33206015964299712</v>
      </c>
      <c r="L55" s="103">
        <f t="shared" si="46"/>
        <v>0.33940264512705226</v>
      </c>
      <c r="M55" s="103">
        <f t="shared" si="46"/>
        <v>0.32603718183515523</v>
      </c>
      <c r="N55" s="103">
        <f t="shared" si="46"/>
        <v>0.35245223835410372</v>
      </c>
      <c r="O55" s="103">
        <f t="shared" si="46"/>
        <v>0.35588557775217927</v>
      </c>
      <c r="P55" s="103">
        <f t="shared" si="46"/>
        <v>0.35806954482335074</v>
      </c>
      <c r="Q55" s="103">
        <f t="shared" si="46"/>
        <v>0.3322825214988861</v>
      </c>
      <c r="R55" s="103">
        <f t="shared" si="46"/>
        <v>0.31546883794242186</v>
      </c>
      <c r="S55" s="103">
        <f t="shared" si="46"/>
        <v>0.30341026842625346</v>
      </c>
      <c r="T55" s="103">
        <f t="shared" si="46"/>
        <v>0.323944520935189</v>
      </c>
      <c r="U55" s="103">
        <f t="shared" si="46"/>
        <v>0.32467826776895214</v>
      </c>
      <c r="V55" s="103">
        <f t="shared" si="46"/>
        <v>0.30762991460443861</v>
      </c>
      <c r="W55" s="103">
        <f t="shared" ref="W55:Y55" si="47">IF(W9=0,0,W9/W$3)</f>
        <v>0.38278980713815552</v>
      </c>
      <c r="X55" s="103">
        <f t="shared" si="47"/>
        <v>0.34438438512564318</v>
      </c>
      <c r="Y55" s="103">
        <f t="shared" si="47"/>
        <v>0.3525759491255076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6.4006457898791044E-2</v>
      </c>
      <c r="C56" s="17">
        <f t="shared" si="48"/>
        <v>5.9077643959946156E-2</v>
      </c>
      <c r="D56" s="17">
        <f t="shared" ref="D56:V56" si="49">IF(D10=0,0,D10/D$3)</f>
        <v>6.8897836678118607E-2</v>
      </c>
      <c r="E56" s="17">
        <f t="shared" si="49"/>
        <v>4.9436923389704901E-2</v>
      </c>
      <c r="F56" s="17">
        <f t="shared" si="49"/>
        <v>3.7874422175462032E-2</v>
      </c>
      <c r="G56" s="17">
        <f t="shared" si="49"/>
        <v>3.9712714726287401E-2</v>
      </c>
      <c r="H56" s="17">
        <f t="shared" si="49"/>
        <v>3.7660360796086978E-2</v>
      </c>
      <c r="I56" s="17">
        <f t="shared" si="49"/>
        <v>3.2961906393310765E-2</v>
      </c>
      <c r="J56" s="17">
        <f t="shared" si="49"/>
        <v>3.1762548221023958E-2</v>
      </c>
      <c r="K56" s="17">
        <f t="shared" si="49"/>
        <v>3.3224161767532581E-2</v>
      </c>
      <c r="L56" s="17">
        <f t="shared" si="49"/>
        <v>3.5122567469025458E-2</v>
      </c>
      <c r="M56" s="17">
        <f t="shared" si="49"/>
        <v>4.5850303485485258E-2</v>
      </c>
      <c r="N56" s="17">
        <f t="shared" si="49"/>
        <v>4.6130841647714943E-2</v>
      </c>
      <c r="O56" s="17">
        <f t="shared" si="49"/>
        <v>4.2760979722307246E-2</v>
      </c>
      <c r="P56" s="17">
        <f t="shared" si="49"/>
        <v>3.7900157109232502E-2</v>
      </c>
      <c r="Q56" s="17">
        <f t="shared" si="49"/>
        <v>3.8650424551705843E-2</v>
      </c>
      <c r="R56" s="17">
        <f t="shared" si="49"/>
        <v>4.0163451538949901E-2</v>
      </c>
      <c r="S56" s="17">
        <f t="shared" si="49"/>
        <v>3.8538191022025547E-2</v>
      </c>
      <c r="T56" s="17">
        <f t="shared" si="49"/>
        <v>3.7056115519081299E-2</v>
      </c>
      <c r="U56" s="17">
        <f t="shared" si="49"/>
        <v>4.8930798998985899E-2</v>
      </c>
      <c r="V56" s="17">
        <f t="shared" si="49"/>
        <v>0.12402857629241905</v>
      </c>
      <c r="W56" s="17">
        <f t="shared" ref="W56:Y56" si="50">IF(W10=0,0,W10/W$3)</f>
        <v>4.8774054547910103E-2</v>
      </c>
      <c r="X56" s="17">
        <f t="shared" si="50"/>
        <v>2.5883593725414905E-2</v>
      </c>
      <c r="Y56" s="17">
        <f t="shared" si="50"/>
        <v>1.7764206463448423E-2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3.8055264247795683E-3</v>
      </c>
      <c r="C57" s="104">
        <f t="shared" si="51"/>
        <v>3.467276261649342E-3</v>
      </c>
      <c r="D57" s="104">
        <f t="shared" ref="D57:V57" si="52">IF(D11=0,0,D11/D$3)</f>
        <v>4.1187229633456168E-3</v>
      </c>
      <c r="E57" s="104">
        <f t="shared" si="52"/>
        <v>2.484538374984838E-3</v>
      </c>
      <c r="F57" s="104">
        <f t="shared" si="52"/>
        <v>6.0347886498967002E-4</v>
      </c>
      <c r="G57" s="104">
        <f t="shared" si="52"/>
        <v>9.3768314481110758E-4</v>
      </c>
      <c r="H57" s="104">
        <f t="shared" si="52"/>
        <v>1.0231521439574517E-3</v>
      </c>
      <c r="I57" s="104">
        <f t="shared" si="52"/>
        <v>3.2088616421039186E-3</v>
      </c>
      <c r="J57" s="104">
        <f t="shared" si="52"/>
        <v>3.6337324334966064E-3</v>
      </c>
      <c r="K57" s="104">
        <f t="shared" si="52"/>
        <v>2.5074691576459913E-3</v>
      </c>
      <c r="L57" s="104">
        <f t="shared" si="52"/>
        <v>2.5368255651430872E-3</v>
      </c>
      <c r="M57" s="104">
        <f t="shared" si="52"/>
        <v>4.9225351985752583E-3</v>
      </c>
      <c r="N57" s="104">
        <f t="shared" si="52"/>
        <v>2.7696927703728786E-3</v>
      </c>
      <c r="O57" s="104">
        <f t="shared" si="52"/>
        <v>2.2942165087007993E-3</v>
      </c>
      <c r="P57" s="104">
        <f t="shared" si="52"/>
        <v>9.8788701733821486E-4</v>
      </c>
      <c r="Q57" s="104">
        <f t="shared" si="52"/>
        <v>1.8045296872993156E-3</v>
      </c>
      <c r="R57" s="104">
        <f t="shared" si="52"/>
        <v>1.5277882593196122E-3</v>
      </c>
      <c r="S57" s="104">
        <f t="shared" si="52"/>
        <v>2.6398569447520443E-3</v>
      </c>
      <c r="T57" s="104">
        <f t="shared" si="52"/>
        <v>8.170389946682349E-3</v>
      </c>
      <c r="U57" s="104">
        <f t="shared" si="52"/>
        <v>2.2006718893579174E-2</v>
      </c>
      <c r="V57" s="104">
        <f t="shared" si="52"/>
        <v>7.9554430862748465E-2</v>
      </c>
      <c r="W57" s="104">
        <f t="shared" ref="W57:Y57" si="53">IF(W11=0,0,W11/W$3)</f>
        <v>1.0192293390566202E-2</v>
      </c>
      <c r="X57" s="104">
        <f t="shared" si="53"/>
        <v>1.9813782178892902E-3</v>
      </c>
      <c r="Y57" s="104">
        <f t="shared" si="53"/>
        <v>3.5676544983060865E-5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1.5046802216589569E-2</v>
      </c>
      <c r="C58" s="104">
        <f t="shared" si="54"/>
        <v>1.3434236030521331E-2</v>
      </c>
      <c r="D58" s="104">
        <f t="shared" ref="D58:V58" si="55">IF(D12=0,0,D12/D$3)</f>
        <v>1.6533684999975328E-2</v>
      </c>
      <c r="E58" s="104">
        <f t="shared" si="55"/>
        <v>9.2789948238075123E-3</v>
      </c>
      <c r="F58" s="104">
        <f t="shared" si="55"/>
        <v>1.0075239432267022E-2</v>
      </c>
      <c r="G58" s="104">
        <f t="shared" si="55"/>
        <v>1.0215070439770936E-2</v>
      </c>
      <c r="H58" s="104">
        <f t="shared" si="55"/>
        <v>1.1366361888051216E-2</v>
      </c>
      <c r="I58" s="104">
        <f t="shared" si="55"/>
        <v>1.0097893565375595E-2</v>
      </c>
      <c r="J58" s="104">
        <f t="shared" si="55"/>
        <v>7.660516768731104E-3</v>
      </c>
      <c r="K58" s="104">
        <f t="shared" si="55"/>
        <v>7.2997457113935281E-3</v>
      </c>
      <c r="L58" s="104">
        <f t="shared" si="55"/>
        <v>9.0506535448511925E-3</v>
      </c>
      <c r="M58" s="104">
        <f t="shared" si="55"/>
        <v>7.1389225621891848E-3</v>
      </c>
      <c r="N58" s="104">
        <f t="shared" si="55"/>
        <v>6.4555810355163184E-3</v>
      </c>
      <c r="O58" s="104">
        <f t="shared" si="55"/>
        <v>6.7276654084451621E-3</v>
      </c>
      <c r="P58" s="104">
        <f t="shared" si="55"/>
        <v>7.2610012708240893E-3</v>
      </c>
      <c r="Q58" s="104">
        <f t="shared" si="55"/>
        <v>6.9903729001766345E-3</v>
      </c>
      <c r="R58" s="104">
        <f t="shared" si="55"/>
        <v>7.1849045153075308E-3</v>
      </c>
      <c r="S58" s="104">
        <f t="shared" si="55"/>
        <v>8.360387391210396E-3</v>
      </c>
      <c r="T58" s="104">
        <f t="shared" si="55"/>
        <v>9.4323565725421329E-3</v>
      </c>
      <c r="U58" s="104">
        <f t="shared" si="55"/>
        <v>7.4564831349929871E-3</v>
      </c>
      <c r="V58" s="104">
        <f t="shared" si="55"/>
        <v>1.9397219271421073E-2</v>
      </c>
      <c r="W58" s="104">
        <f t="shared" ref="W58:Y58" si="56">IF(W12=0,0,W12/W$3)</f>
        <v>2.691981407065154E-2</v>
      </c>
      <c r="X58" s="104">
        <f t="shared" si="56"/>
        <v>1.6072841390634737E-2</v>
      </c>
      <c r="Y58" s="104">
        <f t="shared" si="56"/>
        <v>1.2337909753758541E-2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4.5154129257421897E-2</v>
      </c>
      <c r="C59" s="105">
        <f t="shared" si="57"/>
        <v>4.2176131667775479E-2</v>
      </c>
      <c r="D59" s="105">
        <f t="shared" ref="D59:V59" si="58">IF(D13=0,0,D13/D$3)</f>
        <v>4.8245428714797665E-2</v>
      </c>
      <c r="E59" s="105">
        <f t="shared" si="58"/>
        <v>3.7673390190912544E-2</v>
      </c>
      <c r="F59" s="105">
        <f t="shared" si="58"/>
        <v>2.7195703878205343E-2</v>
      </c>
      <c r="G59" s="105">
        <f t="shared" si="58"/>
        <v>2.8559961141705361E-2</v>
      </c>
      <c r="H59" s="105">
        <f t="shared" si="58"/>
        <v>2.5270846764078307E-2</v>
      </c>
      <c r="I59" s="105">
        <f t="shared" si="58"/>
        <v>1.9655151185831252E-2</v>
      </c>
      <c r="J59" s="105">
        <f t="shared" si="58"/>
        <v>2.0468299018796241E-2</v>
      </c>
      <c r="K59" s="105">
        <f t="shared" si="58"/>
        <v>2.3416946898493066E-2</v>
      </c>
      <c r="L59" s="105">
        <f t="shared" si="58"/>
        <v>2.3535088359031179E-2</v>
      </c>
      <c r="M59" s="105">
        <f t="shared" si="58"/>
        <v>3.3788845724720816E-2</v>
      </c>
      <c r="N59" s="105">
        <f t="shared" si="58"/>
        <v>3.6905567841825741E-2</v>
      </c>
      <c r="O59" s="105">
        <f t="shared" si="58"/>
        <v>3.3739097805161287E-2</v>
      </c>
      <c r="P59" s="105">
        <f t="shared" si="58"/>
        <v>2.9651268821070199E-2</v>
      </c>
      <c r="Q59" s="105">
        <f t="shared" si="58"/>
        <v>2.9855521964229893E-2</v>
      </c>
      <c r="R59" s="105">
        <f t="shared" si="58"/>
        <v>3.145075876432276E-2</v>
      </c>
      <c r="S59" s="105">
        <f t="shared" si="58"/>
        <v>2.753794668606311E-2</v>
      </c>
      <c r="T59" s="105">
        <f t="shared" si="58"/>
        <v>1.9453368999856818E-2</v>
      </c>
      <c r="U59" s="105">
        <f t="shared" si="58"/>
        <v>1.9467596970413736E-2</v>
      </c>
      <c r="V59" s="105">
        <f t="shared" si="58"/>
        <v>2.5076926158249503E-2</v>
      </c>
      <c r="W59" s="105">
        <f t="shared" ref="W59:Y59" si="59">IF(W13=0,0,W13/W$3)</f>
        <v>1.1661947086692355E-2</v>
      </c>
      <c r="X59" s="105">
        <f t="shared" si="59"/>
        <v>7.829374116890879E-3</v>
      </c>
      <c r="Y59" s="105">
        <f t="shared" si="59"/>
        <v>5.390620164706819E-3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3098470</v>
      </c>
      <c r="C4" s="11">
        <f t="shared" si="0"/>
        <v>3194034</v>
      </c>
      <c r="D4" s="11">
        <f t="shared" ref="D4" si="1">SUM(D5:D7)</f>
        <v>3200111</v>
      </c>
      <c r="E4" s="11">
        <f t="shared" ref="E4" si="2">SUM(E5:E7)</f>
        <v>6272106</v>
      </c>
      <c r="F4" s="11">
        <f t="shared" ref="F4" si="3">SUM(F5:F7)</f>
        <v>8163007</v>
      </c>
      <c r="G4" s="11">
        <f t="shared" ref="G4" si="4">SUM(G5:G7)</f>
        <v>9013442</v>
      </c>
      <c r="H4" s="11">
        <f t="shared" ref="H4" si="5">SUM(H5:H7)</f>
        <v>9529550</v>
      </c>
      <c r="I4" s="11">
        <f t="shared" ref="I4" si="6">SUM(I5:I7)</f>
        <v>10292912</v>
      </c>
      <c r="J4" s="11">
        <f t="shared" ref="J4" si="7">SUM(J5:J7)</f>
        <v>10882059</v>
      </c>
      <c r="K4" s="11">
        <f t="shared" ref="K4" si="8">SUM(K5:K7)</f>
        <v>9932459</v>
      </c>
      <c r="L4" s="11">
        <f t="shared" ref="L4" si="9">SUM(L5:L7)</f>
        <v>9755478</v>
      </c>
      <c r="M4" s="11">
        <f t="shared" ref="M4" si="10">SUM(M5:M7)</f>
        <v>9947571</v>
      </c>
      <c r="N4" s="11">
        <f t="shared" ref="N4" si="11">SUM(N5:N7)</f>
        <v>8859343</v>
      </c>
      <c r="O4" s="11">
        <f t="shared" ref="O4" si="12">SUM(O5:O7)</f>
        <v>8630672</v>
      </c>
      <c r="P4" s="11">
        <f t="shared" ref="P4" si="13">SUM(P5:P7)</f>
        <v>8617477</v>
      </c>
      <c r="Q4" s="11">
        <f t="shared" ref="Q4" si="14">SUM(Q5:Q7)</f>
        <v>8985878</v>
      </c>
      <c r="R4" s="11">
        <f t="shared" ref="R4" si="15">SUM(R5:R7)</f>
        <v>9550734</v>
      </c>
      <c r="S4" s="11">
        <f t="shared" ref="S4" si="16">SUM(S5:S7)</f>
        <v>10466618</v>
      </c>
      <c r="T4" s="11">
        <f t="shared" ref="T4" si="17">SUM(T5:T7)</f>
        <v>11705071</v>
      </c>
      <c r="U4" s="11">
        <f t="shared" ref="U4" si="18">SUM(U5:U7)</f>
        <v>12019108</v>
      </c>
      <c r="V4" s="11">
        <f t="shared" ref="V4:W4" si="19">SUM(V5:V7)</f>
        <v>3049922</v>
      </c>
      <c r="W4" s="11">
        <f t="shared" si="19"/>
        <v>3554234</v>
      </c>
      <c r="X4" s="11">
        <f t="shared" ref="X4:Y4" si="20">SUM(X5:X7)</f>
        <v>7036887</v>
      </c>
      <c r="Y4" s="11">
        <f t="shared" si="20"/>
        <v>8917596</v>
      </c>
      <c r="DA4" s="189" t="s">
        <v>362</v>
      </c>
    </row>
    <row r="5" spans="1:105" ht="11.45" customHeight="1" x14ac:dyDescent="0.25">
      <c r="A5" s="83" t="s">
        <v>27</v>
      </c>
      <c r="B5" s="84">
        <v>287782</v>
      </c>
      <c r="C5" s="84">
        <v>365988</v>
      </c>
      <c r="D5" s="84">
        <v>259729</v>
      </c>
      <c r="E5" s="84">
        <v>455290</v>
      </c>
      <c r="F5" s="84">
        <v>553451</v>
      </c>
      <c r="G5" s="84">
        <v>618775</v>
      </c>
      <c r="H5" s="84">
        <v>725622</v>
      </c>
      <c r="I5" s="84">
        <v>715717</v>
      </c>
      <c r="J5" s="84">
        <v>901224</v>
      </c>
      <c r="K5" s="84">
        <v>879493</v>
      </c>
      <c r="L5" s="84">
        <v>701245</v>
      </c>
      <c r="M5" s="84">
        <v>484293</v>
      </c>
      <c r="N5" s="84">
        <v>434411</v>
      </c>
      <c r="O5" s="84">
        <v>223512</v>
      </c>
      <c r="P5" s="84">
        <v>259811</v>
      </c>
      <c r="Q5" s="84">
        <v>363456</v>
      </c>
      <c r="R5" s="84">
        <v>270063</v>
      </c>
      <c r="S5" s="84">
        <v>174963</v>
      </c>
      <c r="T5" s="84">
        <v>180250</v>
      </c>
      <c r="U5" s="84">
        <v>63370</v>
      </c>
      <c r="V5" s="84">
        <v>22704</v>
      </c>
      <c r="W5" s="84">
        <v>47118</v>
      </c>
      <c r="X5" s="84">
        <v>38572</v>
      </c>
      <c r="Y5" s="84">
        <v>53887</v>
      </c>
      <c r="DA5" s="171" t="s">
        <v>363</v>
      </c>
    </row>
    <row r="6" spans="1:105" ht="11.45" customHeight="1" x14ac:dyDescent="0.25">
      <c r="A6" s="83" t="s">
        <v>181</v>
      </c>
      <c r="B6" s="84">
        <v>2254501</v>
      </c>
      <c r="C6" s="84">
        <v>2268498</v>
      </c>
      <c r="D6" s="84">
        <v>2359128</v>
      </c>
      <c r="E6" s="84">
        <v>4761818</v>
      </c>
      <c r="F6" s="84">
        <v>6231716</v>
      </c>
      <c r="G6" s="84">
        <v>6954200</v>
      </c>
      <c r="H6" s="84">
        <v>7217959</v>
      </c>
      <c r="I6" s="84">
        <v>7755385</v>
      </c>
      <c r="J6" s="84">
        <v>7967630</v>
      </c>
      <c r="K6" s="84">
        <v>7007771</v>
      </c>
      <c r="L6" s="84">
        <v>6843044</v>
      </c>
      <c r="M6" s="84">
        <v>7032958</v>
      </c>
      <c r="N6" s="84">
        <v>6020950</v>
      </c>
      <c r="O6" s="84">
        <v>5957220</v>
      </c>
      <c r="P6" s="84">
        <v>5949828</v>
      </c>
      <c r="Q6" s="84">
        <v>6373342</v>
      </c>
      <c r="R6" s="84">
        <v>6962108</v>
      </c>
      <c r="S6" s="84">
        <v>7509517</v>
      </c>
      <c r="T6" s="84">
        <v>8151370</v>
      </c>
      <c r="U6" s="84">
        <v>8345245</v>
      </c>
      <c r="V6" s="84">
        <v>2270610</v>
      </c>
      <c r="W6" s="84">
        <v>2571137</v>
      </c>
      <c r="X6" s="84">
        <v>5385229</v>
      </c>
      <c r="Y6" s="84">
        <v>6861559</v>
      </c>
      <c r="DA6" s="171" t="s">
        <v>364</v>
      </c>
    </row>
    <row r="7" spans="1:105" ht="11.45" customHeight="1" x14ac:dyDescent="0.25">
      <c r="A7" s="85" t="s">
        <v>182</v>
      </c>
      <c r="B7" s="86">
        <v>556187</v>
      </c>
      <c r="C7" s="86">
        <v>559548</v>
      </c>
      <c r="D7" s="86">
        <v>581254</v>
      </c>
      <c r="E7" s="86">
        <v>1054998</v>
      </c>
      <c r="F7" s="86">
        <v>1377840</v>
      </c>
      <c r="G7" s="86">
        <v>1440467</v>
      </c>
      <c r="H7" s="86">
        <v>1585969</v>
      </c>
      <c r="I7" s="86">
        <v>1821810</v>
      </c>
      <c r="J7" s="86">
        <v>2013205</v>
      </c>
      <c r="K7" s="86">
        <v>2045195</v>
      </c>
      <c r="L7" s="86">
        <v>2211189</v>
      </c>
      <c r="M7" s="86">
        <v>2430320</v>
      </c>
      <c r="N7" s="86">
        <v>2403982</v>
      </c>
      <c r="O7" s="86">
        <v>2449940</v>
      </c>
      <c r="P7" s="86">
        <v>2407838</v>
      </c>
      <c r="Q7" s="86">
        <v>2249080</v>
      </c>
      <c r="R7" s="86">
        <v>2318563</v>
      </c>
      <c r="S7" s="86">
        <v>2782138</v>
      </c>
      <c r="T7" s="86">
        <v>3373451</v>
      </c>
      <c r="U7" s="86">
        <v>3610493</v>
      </c>
      <c r="V7" s="86">
        <v>756608</v>
      </c>
      <c r="W7" s="86">
        <v>935979</v>
      </c>
      <c r="X7" s="86">
        <v>1613086</v>
      </c>
      <c r="Y7" s="86">
        <v>2002150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111.87427787406124</v>
      </c>
      <c r="C12" s="14">
        <f>IF(C4=0,0,C4/TrAvia_act!C24)</f>
        <v>112.46994612486355</v>
      </c>
      <c r="D12" s="14">
        <f>IF(D4=0,0,D4/TrAvia_act!D24)</f>
        <v>112.63237364493875</v>
      </c>
      <c r="E12" s="14">
        <f>IF(E4=0,0,E4/TrAvia_act!E24)</f>
        <v>113.7528746055352</v>
      </c>
      <c r="F12" s="14">
        <f>IF(F4=0,0,F4/TrAvia_act!F24)</f>
        <v>116.4114971050455</v>
      </c>
      <c r="G12" s="14">
        <f>IF(G4=0,0,G4/TrAvia_act!G24)</f>
        <v>114.94538034814768</v>
      </c>
      <c r="H12" s="14">
        <f>IF(H4=0,0,H4/TrAvia_act!H24)</f>
        <v>115.67795581451809</v>
      </c>
      <c r="I12" s="14">
        <f>IF(I4=0,0,I4/TrAvia_act!I24)</f>
        <v>118.63113733806648</v>
      </c>
      <c r="J12" s="14">
        <f>IF(J4=0,0,J4/TrAvia_act!J24)</f>
        <v>120.69050074862751</v>
      </c>
      <c r="K12" s="14">
        <f>IF(K4=0,0,K4/TrAvia_act!K24)</f>
        <v>118.16478300180832</v>
      </c>
      <c r="L12" s="14">
        <f>IF(L4=0,0,L4/TrAvia_act!L24)</f>
        <v>123.39802927002036</v>
      </c>
      <c r="M12" s="14">
        <f>IF(M4=0,0,M4/TrAvia_act!M24)</f>
        <v>130.4633695310041</v>
      </c>
      <c r="N12" s="14">
        <f>IF(N4=0,0,N4/TrAvia_act!N24)</f>
        <v>132.97524915946207</v>
      </c>
      <c r="O12" s="14">
        <f>IF(O4=0,0,O4/TrAvia_act!O24)</f>
        <v>133.67208747638077</v>
      </c>
      <c r="P12" s="14">
        <f>IF(P4=0,0,P4/TrAvia_act!P24)</f>
        <v>136.71807523282195</v>
      </c>
      <c r="Q12" s="14">
        <f>IF(Q4=0,0,Q4/TrAvia_act!Q24)</f>
        <v>141.33183391003459</v>
      </c>
      <c r="R12" s="14">
        <f>IF(R4=0,0,R4/TrAvia_act!R24)</f>
        <v>142.59934902054468</v>
      </c>
      <c r="S12" s="14">
        <f>IF(S4=0,0,S4/TrAvia_act!S24)</f>
        <v>149.16299220453476</v>
      </c>
      <c r="T12" s="14">
        <f>IF(T4=0,0,T4/TrAvia_act!T24)</f>
        <v>157.30085201311616</v>
      </c>
      <c r="U12" s="14">
        <f>IF(U4=0,0,U4/TrAvia_act!U24)</f>
        <v>163.58759799651568</v>
      </c>
      <c r="V12" s="14">
        <f>IF(V4=0,0,V4/TrAvia_act!V24)</f>
        <v>146.85679892141758</v>
      </c>
      <c r="W12" s="14">
        <f>IF(W4=0,0,W4/TrAvia_act!W24)</f>
        <v>148.99325089079858</v>
      </c>
      <c r="X12" s="14">
        <f>IF(X4=0,0,X4/TrAvia_act!X24)</f>
        <v>159.00413503253796</v>
      </c>
      <c r="Y12" s="14">
        <f>IF(Y4=0,0,Y4/TrAvia_act!Y24)</f>
        <v>163.2302679748133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128.01690391459076</v>
      </c>
      <c r="C13" s="87">
        <f>IF(C5=0,0,C5/TrAvia_act!C25)</f>
        <v>126.68328141225338</v>
      </c>
      <c r="D13" s="87">
        <f>IF(D5=0,0,D5/TrAvia_act!D25)</f>
        <v>125.59429400386847</v>
      </c>
      <c r="E13" s="87">
        <f>IF(E5=0,0,E5/TrAvia_act!E25)</f>
        <v>126.78641047062099</v>
      </c>
      <c r="F13" s="87">
        <f>IF(F5=0,0,F5/TrAvia_act!F25)</f>
        <v>120.68273004797209</v>
      </c>
      <c r="G13" s="87">
        <f>IF(G5=0,0,G5/TrAvia_act!G25)</f>
        <v>128.64345114345113</v>
      </c>
      <c r="H13" s="87">
        <f>IF(H5=0,0,H5/TrAvia_act!H25)</f>
        <v>133.50910763569456</v>
      </c>
      <c r="I13" s="87">
        <f>IF(I5=0,0,I5/TrAvia_act!I25)</f>
        <v>138.30280193236715</v>
      </c>
      <c r="J13" s="87">
        <f>IF(J5=0,0,J5/TrAvia_act!J25)</f>
        <v>146.18394160583941</v>
      </c>
      <c r="K13" s="87">
        <f>IF(K5=0,0,K5/TrAvia_act!K25)</f>
        <v>117.81553918285331</v>
      </c>
      <c r="L13" s="87">
        <f>IF(L5=0,0,L5/TrAvia_act!L25)</f>
        <v>123.19834855938159</v>
      </c>
      <c r="M13" s="87">
        <f>IF(M5=0,0,M5/TrAvia_act!M25)</f>
        <v>135.92281785012631</v>
      </c>
      <c r="N13" s="87">
        <f>IF(N5=0,0,N5/TrAvia_act!N25)</f>
        <v>150.68019424210891</v>
      </c>
      <c r="O13" s="87">
        <f>IF(O5=0,0,O5/TrAvia_act!O25)</f>
        <v>106.79025322503584</v>
      </c>
      <c r="P13" s="87">
        <f>IF(P5=0,0,P5/TrAvia_act!P25)</f>
        <v>107.22699133305819</v>
      </c>
      <c r="Q13" s="87">
        <f>IF(Q5=0,0,Q5/TrAvia_act!Q25)</f>
        <v>139.46891788181119</v>
      </c>
      <c r="R13" s="87">
        <f>IF(R5=0,0,R5/TrAvia_act!R25)</f>
        <v>114.62775891341256</v>
      </c>
      <c r="S13" s="87">
        <f>IF(S5=0,0,S5/TrAvia_act!S25)</f>
        <v>114.72983606557376</v>
      </c>
      <c r="T13" s="87">
        <f>IF(T5=0,0,T5/TrAvia_act!T25)</f>
        <v>128.38319088319088</v>
      </c>
      <c r="U13" s="87">
        <f>IF(U5=0,0,U5/TrAvia_act!U25)</f>
        <v>122.81007751937985</v>
      </c>
      <c r="V13" s="87">
        <f>IF(V5=0,0,V5/TrAvia_act!V25)</f>
        <v>77.753424657534254</v>
      </c>
      <c r="W13" s="87">
        <f>IF(W5=0,0,W5/TrAvia_act!W25)</f>
        <v>116.62871287128714</v>
      </c>
      <c r="X13" s="87">
        <f>IF(X5=0,0,X5/TrAvia_act!X25)</f>
        <v>101.50526315789473</v>
      </c>
      <c r="Y13" s="87">
        <f>IF(Y5=0,0,Y5/TrAvia_act!Y25)</f>
        <v>110.42418032786885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104.94349020155472</v>
      </c>
      <c r="C14" s="87">
        <f>IF(C6=0,0,C6/TrAvia_act!C26)</f>
        <v>105.3400510796378</v>
      </c>
      <c r="D14" s="87">
        <f>IF(D6=0,0,D6/TrAvia_act!D26)</f>
        <v>106.0806690948334</v>
      </c>
      <c r="E14" s="87">
        <f>IF(E6=0,0,E6/TrAvia_act!E26)</f>
        <v>107.95325323055997</v>
      </c>
      <c r="F14" s="87">
        <f>IF(F6=0,0,F6/TrAvia_act!F26)</f>
        <v>109.97857508427016</v>
      </c>
      <c r="G14" s="87">
        <f>IF(G6=0,0,G6/TrAvia_act!G26)</f>
        <v>108.72902953454557</v>
      </c>
      <c r="H14" s="87">
        <f>IF(H6=0,0,H6/TrAvia_act!H26)</f>
        <v>108.90594022058934</v>
      </c>
      <c r="I14" s="87">
        <f>IF(I6=0,0,I6/TrAvia_act!I26)</f>
        <v>111.14369858694718</v>
      </c>
      <c r="J14" s="87">
        <f>IF(J6=0,0,J6/TrAvia_act!J26)</f>
        <v>112.43551027319937</v>
      </c>
      <c r="K14" s="87">
        <f>IF(K6=0,0,K6/TrAvia_act!K26)</f>
        <v>111.25741819740581</v>
      </c>
      <c r="L14" s="87">
        <f>IF(L6=0,0,L6/TrAvia_act!L26)</f>
        <v>114.5739543917222</v>
      </c>
      <c r="M14" s="87">
        <f>IF(M6=0,0,M6/TrAvia_act!M26)</f>
        <v>121.18267971603832</v>
      </c>
      <c r="N14" s="87">
        <f>IF(N6=0,0,N6/TrAvia_act!N26)</f>
        <v>122.22549278333773</v>
      </c>
      <c r="O14" s="87">
        <f>IF(O6=0,0,O6/TrAvia_act!O26)</f>
        <v>124.13202475464149</v>
      </c>
      <c r="P14" s="87">
        <f>IF(P6=0,0,P6/TrAvia_act!P26)</f>
        <v>128.22628822654684</v>
      </c>
      <c r="Q14" s="87">
        <f>IF(Q6=0,0,Q6/TrAvia_act!Q26)</f>
        <v>132.7116025320673</v>
      </c>
      <c r="R14" s="87">
        <f>IF(R6=0,0,R6/TrAvia_act!R26)</f>
        <v>133.96140155086491</v>
      </c>
      <c r="S14" s="87">
        <f>IF(S6=0,0,S6/TrAvia_act!S26)</f>
        <v>139.39037383524521</v>
      </c>
      <c r="T14" s="87">
        <f>IF(T6=0,0,T6/TrAvia_act!T26)</f>
        <v>146.56519706559263</v>
      </c>
      <c r="U14" s="87">
        <f>IF(U6=0,0,U6/TrAvia_act!U26)</f>
        <v>152.05796071571737</v>
      </c>
      <c r="V14" s="87">
        <f>IF(V6=0,0,V6/TrAvia_act!V26)</f>
        <v>139.90203327171903</v>
      </c>
      <c r="W14" s="87">
        <f>IF(W6=0,0,W6/TrAvia_act!W26)</f>
        <v>142.79334666222371</v>
      </c>
      <c r="X14" s="87">
        <f>IF(X6=0,0,X6/TrAvia_act!X26)</f>
        <v>154.92603567318758</v>
      </c>
      <c r="Y14" s="87">
        <f>IF(Y6=0,0,Y6/TrAvia_act!Y26)</f>
        <v>159.94310023310024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140.27414880201766</v>
      </c>
      <c r="C15" s="88">
        <f>IF(C7=0,0,C7/TrAvia_act!C27)</f>
        <v>140.7667924528302</v>
      </c>
      <c r="D15" s="88">
        <f>IF(D7=0,0,D7/TrAvia_act!D27)</f>
        <v>141.59658952496954</v>
      </c>
      <c r="E15" s="88">
        <f>IF(E7=0,0,E7/TrAvia_act!E27)</f>
        <v>141.85800726099234</v>
      </c>
      <c r="F15" s="88">
        <f>IF(F7=0,0,F7/TrAvia_act!F27)</f>
        <v>155.28457117096809</v>
      </c>
      <c r="G15" s="88">
        <f>IF(G7=0,0,G7/TrAvia_act!G27)</f>
        <v>149.33309143686503</v>
      </c>
      <c r="H15" s="88">
        <f>IF(H7=0,0,H7/TrAvia_act!H27)</f>
        <v>148.66601049868765</v>
      </c>
      <c r="I15" s="88">
        <f>IF(I7=0,0,I7/TrAvia_act!I27)</f>
        <v>154.24688849377699</v>
      </c>
      <c r="J15" s="88">
        <f>IF(J7=0,0,J7/TrAvia_act!J27)</f>
        <v>153.25860231425091</v>
      </c>
      <c r="K15" s="88">
        <f>IF(K7=0,0,K7/TrAvia_act!K27)</f>
        <v>150.33776830344016</v>
      </c>
      <c r="L15" s="88">
        <f>IF(L7=0,0,L7/TrAvia_act!L27)</f>
        <v>162.12251631351273</v>
      </c>
      <c r="M15" s="88">
        <f>IF(M7=0,0,M7/TrAvia_act!M27)</f>
        <v>165.90347463990716</v>
      </c>
      <c r="N15" s="88">
        <f>IF(N7=0,0,N7/TrAvia_act!N27)</f>
        <v>166.02085635359117</v>
      </c>
      <c r="O15" s="88">
        <f>IF(O7=0,0,O7/TrAvia_act!O27)</f>
        <v>169.17138516779451</v>
      </c>
      <c r="P15" s="88">
        <f>IF(P7=0,0,P7/TrAvia_act!P27)</f>
        <v>169.48250862251004</v>
      </c>
      <c r="Q15" s="88">
        <f>IF(Q7=0,0,Q7/TrAvia_act!Q27)</f>
        <v>173.67413127413127</v>
      </c>
      <c r="R15" s="88">
        <f>IF(R7=0,0,R7/TrAvia_act!R27)</f>
        <v>183.30010277492292</v>
      </c>
      <c r="S15" s="88">
        <f>IF(S7=0,0,S7/TrAvia_act!S27)</f>
        <v>188.36411645226812</v>
      </c>
      <c r="T15" s="88">
        <f>IF(T7=0,0,T7/TrAvia_act!T27)</f>
        <v>193.96567387304509</v>
      </c>
      <c r="U15" s="88">
        <f>IF(U7=0,0,U7/TrAvia_act!U27)</f>
        <v>199.76170189222086</v>
      </c>
      <c r="V15" s="88">
        <f>IF(V7=0,0,V7/TrAvia_act!V27)</f>
        <v>178.19312293923693</v>
      </c>
      <c r="W15" s="88">
        <f>IF(W7=0,0,W7/TrAvia_act!W27)</f>
        <v>171.89696969696971</v>
      </c>
      <c r="X15" s="88">
        <f>IF(X7=0,0,X7/TrAvia_act!X27)</f>
        <v>176.95107503290916</v>
      </c>
      <c r="Y15" s="88">
        <f>IF(Y7=0,0,Y7/TrAvia_act!Y27)</f>
        <v>178.0638562789043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0.61293670747175222</v>
      </c>
      <c r="C18" s="25">
        <f>IF(TrAvia_act!C34=0,0,(TrAvia_act!C34/TrAvia_act!C24)/TrAvia_png!C12)</f>
        <v>0.60490934035141763</v>
      </c>
      <c r="D18" s="25">
        <f>IF(TrAvia_act!D34=0,0,(TrAvia_act!D34/TrAvia_act!D24)/TrAvia_png!D12)</f>
        <v>0.62094502346949842</v>
      </c>
      <c r="E18" s="25">
        <f>IF(TrAvia_act!E34=0,0,(TrAvia_act!E34/TrAvia_act!E24)/TrAvia_png!E12)</f>
        <v>0.62637270479803764</v>
      </c>
      <c r="F18" s="25">
        <f>IF(TrAvia_act!F34=0,0,(TrAvia_act!F34/TrAvia_act!F24)/TrAvia_png!F12)</f>
        <v>0.62158148339208819</v>
      </c>
      <c r="G18" s="25">
        <f>IF(TrAvia_act!G34=0,0,(TrAvia_act!G34/TrAvia_act!G24)/TrAvia_png!G12)</f>
        <v>0.63055123669736812</v>
      </c>
      <c r="H18" s="25">
        <f>IF(TrAvia_act!H34=0,0,(TrAvia_act!H34/TrAvia_act!H24)/TrAvia_png!H12)</f>
        <v>0.64762354990529458</v>
      </c>
      <c r="I18" s="25">
        <f>IF(TrAvia_act!I34=0,0,(TrAvia_act!I34/TrAvia_act!I24)/TrAvia_png!I12)</f>
        <v>0.64440714153584533</v>
      </c>
      <c r="J18" s="25">
        <f>IF(TrAvia_act!J34=0,0,(TrAvia_act!J34/TrAvia_act!J24)/TrAvia_png!J12)</f>
        <v>0.62641895251624713</v>
      </c>
      <c r="K18" s="25">
        <f>IF(TrAvia_act!K34=0,0,(TrAvia_act!K34/TrAvia_act!K24)/TrAvia_png!K12)</f>
        <v>0.63148783196588076</v>
      </c>
      <c r="L18" s="25">
        <f>IF(TrAvia_act!L34=0,0,(TrAvia_act!L34/TrAvia_act!L24)/TrAvia_png!L12)</f>
        <v>0.63513463922526403</v>
      </c>
      <c r="M18" s="25">
        <f>IF(TrAvia_act!M34=0,0,(TrAvia_act!M34/TrAvia_act!M24)/TrAvia_png!M12)</f>
        <v>0.64364587093673409</v>
      </c>
      <c r="N18" s="25">
        <f>IF(TrAvia_act!N34=0,0,(TrAvia_act!N34/TrAvia_act!N24)/TrAvia_png!N12)</f>
        <v>0.67325489034570618</v>
      </c>
      <c r="O18" s="25">
        <f>IF(TrAvia_act!O34=0,0,(TrAvia_act!O34/TrAvia_act!O24)/TrAvia_png!O12)</f>
        <v>0.69696751307430049</v>
      </c>
      <c r="P18" s="25">
        <f>IF(TrAvia_act!P34=0,0,(TrAvia_act!P34/TrAvia_act!P24)/TrAvia_png!P12)</f>
        <v>0.70950952349510188</v>
      </c>
      <c r="Q18" s="25">
        <f>IF(TrAvia_act!Q34=0,0,(TrAvia_act!Q34/TrAvia_act!Q24)/TrAvia_png!Q12)</f>
        <v>0.72131259738892517</v>
      </c>
      <c r="R18" s="25">
        <f>IF(TrAvia_act!R34=0,0,(TrAvia_act!R34/TrAvia_act!R24)/TrAvia_png!R12)</f>
        <v>0.72403932514506208</v>
      </c>
      <c r="S18" s="25">
        <f>IF(TrAvia_act!S34=0,0,(TrAvia_act!S34/TrAvia_act!S24)/TrAvia_png!S12)</f>
        <v>0.77952515320612636</v>
      </c>
      <c r="T18" s="25">
        <f>IF(TrAvia_act!T34=0,0,(TrAvia_act!T34/TrAvia_act!T24)/TrAvia_png!T12)</f>
        <v>0.76318725448141234</v>
      </c>
      <c r="U18" s="25">
        <f>IF(TrAvia_act!U34=0,0,(TrAvia_act!U34/TrAvia_act!U24)/TrAvia_png!U12)</f>
        <v>0.78347619473924346</v>
      </c>
      <c r="V18" s="25">
        <f>IF(TrAvia_act!V34=0,0,(TrAvia_act!V34/TrAvia_act!V24)/TrAvia_png!V12)</f>
        <v>0.63793237991004348</v>
      </c>
      <c r="W18" s="25">
        <f>IF(TrAvia_act!W34=0,0,(TrAvia_act!W34/TrAvia_act!W24)/TrAvia_png!W12)</f>
        <v>0.67298607801287136</v>
      </c>
      <c r="X18" s="25">
        <f>IF(TrAvia_act!X34=0,0,(TrAvia_act!X34/TrAvia_act!X24)/TrAvia_png!X12)</f>
        <v>0.82327796367910988</v>
      </c>
      <c r="Y18" s="25">
        <f>IF(TrAvia_act!Y34=0,0,(TrAvia_act!Y34/TrAvia_act!Y24)/TrAvia_png!Y12)</f>
        <v>0.84131979067004148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0.20687881799417612</v>
      </c>
      <c r="C19" s="89">
        <f>IF(TrAvia_act!C35=0,0,(TrAvia_act!C35/TrAvia_act!C25)/TrAvia_png!C13)</f>
        <v>0.21050690186563495</v>
      </c>
      <c r="D19" s="89">
        <f>IF(TrAvia_act!D35=0,0,(TrAvia_act!D35/TrAvia_act!D25)/TrAvia_png!D13)</f>
        <v>0.21433494141971055</v>
      </c>
      <c r="E19" s="89">
        <f>IF(TrAvia_act!E35=0,0,(TrAvia_act!E35/TrAvia_act!E25)/TrAvia_png!E13)</f>
        <v>0.21652353445056996</v>
      </c>
      <c r="F19" s="89">
        <f>IF(TrAvia_act!F35=0,0,(TrAvia_act!F35/TrAvia_act!F25)/TrAvia_png!F13)</f>
        <v>0.18707889225965804</v>
      </c>
      <c r="G19" s="89">
        <f>IF(TrAvia_act!G35=0,0,(TrAvia_act!G35/TrAvia_act!G25)/TrAvia_png!G13)</f>
        <v>0.2574603046341562</v>
      </c>
      <c r="H19" s="89">
        <f>IF(TrAvia_act!H35=0,0,(TrAvia_act!H35/TrAvia_act!H25)/TrAvia_png!H13)</f>
        <v>0.26542331957961585</v>
      </c>
      <c r="I19" s="89">
        <f>IF(TrAvia_act!I35=0,0,(TrAvia_act!I35/TrAvia_act!I25)/TrAvia_png!I13)</f>
        <v>0.27254627178060603</v>
      </c>
      <c r="J19" s="89">
        <f>IF(TrAvia_act!J35=0,0,(TrAvia_act!J35/TrAvia_act!J25)/TrAvia_png!J13)</f>
        <v>0.24792948257037095</v>
      </c>
      <c r="K19" s="89">
        <f>IF(TrAvia_act!K35=0,0,(TrAvia_act!K35/TrAvia_act!K25)/TrAvia_png!K13)</f>
        <v>0.23320822337414854</v>
      </c>
      <c r="L19" s="89">
        <f>IF(TrAvia_act!L35=0,0,(TrAvia_act!L35/TrAvia_act!L25)/TrAvia_png!L13)</f>
        <v>0.24852512317378375</v>
      </c>
      <c r="M19" s="89">
        <f>IF(TrAvia_act!M35=0,0,(TrAvia_act!M35/TrAvia_act!M25)/TrAvia_png!M13)</f>
        <v>0.23894832260635607</v>
      </c>
      <c r="N19" s="89">
        <f>IF(TrAvia_act!N35=0,0,(TrAvia_act!N35/TrAvia_act!N25)/TrAvia_png!N13)</f>
        <v>0.26967318967521542</v>
      </c>
      <c r="O19" s="89">
        <f>IF(TrAvia_act!O35=0,0,(TrAvia_act!O35/TrAvia_act!O25)/TrAvia_png!O13)</f>
        <v>0.38512026199935567</v>
      </c>
      <c r="P19" s="89">
        <f>IF(TrAvia_act!P35=0,0,(TrAvia_act!P35/TrAvia_act!P25)/TrAvia_png!P13)</f>
        <v>0.34572054301011118</v>
      </c>
      <c r="Q19" s="89">
        <f>IF(TrAvia_act!Q35=0,0,(TrAvia_act!Q35/TrAvia_act!Q25)/TrAvia_png!Q13)</f>
        <v>0.25092720989610845</v>
      </c>
      <c r="R19" s="89">
        <f>IF(TrAvia_act!R35=0,0,(TrAvia_act!R35/TrAvia_act!R25)/TrAvia_png!R13)</f>
        <v>0.2503971295586585</v>
      </c>
      <c r="S19" s="89">
        <f>IF(TrAvia_act!S35=0,0,(TrAvia_act!S35/TrAvia_act!S25)/TrAvia_png!S13)</f>
        <v>0.27372072952567117</v>
      </c>
      <c r="T19" s="89">
        <f>IF(TrAvia_act!T35=0,0,(TrAvia_act!T35/TrAvia_act!T25)/TrAvia_png!T13)</f>
        <v>0.30289042995839116</v>
      </c>
      <c r="U19" s="89">
        <f>IF(TrAvia_act!U35=0,0,(TrAvia_act!U35/TrAvia_act!U25)/TrAvia_png!U13)</f>
        <v>0.50503392772605338</v>
      </c>
      <c r="V19" s="89">
        <f>IF(TrAvia_act!V35=0,0,(TrAvia_act!V35/TrAvia_act!V25)/TrAvia_png!V13)</f>
        <v>0.25960183227625083</v>
      </c>
      <c r="W19" s="89">
        <f>IF(TrAvia_act!W35=0,0,(TrAvia_act!W35/TrAvia_act!W25)/TrAvia_png!W13)</f>
        <v>0.32624474723035779</v>
      </c>
      <c r="X19" s="89">
        <f>IF(TrAvia_act!X35=0,0,(TrAvia_act!X35/TrAvia_act!X25)/TrAvia_png!X13)</f>
        <v>0.57248781499533341</v>
      </c>
      <c r="Y19" s="89">
        <f>IF(TrAvia_act!Y35=0,0,(TrAvia_act!Y35/TrAvia_act!Y25)/TrAvia_png!Y13)</f>
        <v>0.50405478130161263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0.6362206093499182</v>
      </c>
      <c r="C20" s="89">
        <f>IF(TrAvia_act!C36=0,0,(TrAvia_act!C36/TrAvia_act!C26)/TrAvia_png!C14)</f>
        <v>0.63797587654915278</v>
      </c>
      <c r="D20" s="89">
        <f>IF(TrAvia_act!D36=0,0,(TrAvia_act!D36/TrAvia_act!D26)/TrAvia_png!D14)</f>
        <v>0.63949094750263658</v>
      </c>
      <c r="E20" s="89">
        <f>IF(TrAvia_act!E36=0,0,(TrAvia_act!E36/TrAvia_act!E26)/TrAvia_png!E14)</f>
        <v>0.64388433157252123</v>
      </c>
      <c r="F20" s="89">
        <f>IF(TrAvia_act!F36=0,0,(TrAvia_act!F36/TrAvia_act!F26)/TrAvia_png!F14)</f>
        <v>0.64107318112699618</v>
      </c>
      <c r="G20" s="89">
        <f>IF(TrAvia_act!G36=0,0,(TrAvia_act!G36/TrAvia_act!G26)/TrAvia_png!G14)</f>
        <v>0.64481061804377204</v>
      </c>
      <c r="H20" s="89">
        <f>IF(TrAvia_act!H36=0,0,(TrAvia_act!H36/TrAvia_act!H26)/TrAvia_png!H14)</f>
        <v>0.66707693961686398</v>
      </c>
      <c r="I20" s="89">
        <f>IF(TrAvia_act!I36=0,0,(TrAvia_act!I36/TrAvia_act!I26)/TrAvia_png!I14)</f>
        <v>0.66278695383917108</v>
      </c>
      <c r="J20" s="89">
        <f>IF(TrAvia_act!J36=0,0,(TrAvia_act!J36/TrAvia_act!J26)/TrAvia_png!J14)</f>
        <v>0.65096697512309187</v>
      </c>
      <c r="K20" s="89">
        <f>IF(TrAvia_act!K36=0,0,(TrAvia_act!K36/TrAvia_act!K26)/TrAvia_png!K14)</f>
        <v>0.66899560502191069</v>
      </c>
      <c r="L20" s="89">
        <f>IF(TrAvia_act!L36=0,0,(TrAvia_act!L36/TrAvia_act!L26)/TrAvia_png!L14)</f>
        <v>0.66087168225134907</v>
      </c>
      <c r="M20" s="89">
        <f>IF(TrAvia_act!M36=0,0,(TrAvia_act!M36/TrAvia_act!M26)/TrAvia_png!M14)</f>
        <v>0.6645680238670556</v>
      </c>
      <c r="N20" s="89">
        <f>IF(TrAvia_act!N36=0,0,(TrAvia_act!N36/TrAvia_act!N26)/TrAvia_png!N14)</f>
        <v>0.70364709887974486</v>
      </c>
      <c r="O20" s="89">
        <f>IF(TrAvia_act!O36=0,0,(TrAvia_act!O36/TrAvia_act!O26)/TrAvia_png!O14)</f>
        <v>0.71449333749634891</v>
      </c>
      <c r="P20" s="89">
        <f>IF(TrAvia_act!P36=0,0,(TrAvia_act!P36/TrAvia_act!P26)/TrAvia_png!P14)</f>
        <v>0.73151475975439961</v>
      </c>
      <c r="Q20" s="89">
        <f>IF(TrAvia_act!Q36=0,0,(TrAvia_act!Q36/TrAvia_act!Q26)/TrAvia_png!Q14)</f>
        <v>0.74284998357219811</v>
      </c>
      <c r="R20" s="89">
        <f>IF(TrAvia_act!R36=0,0,(TrAvia_act!R36/TrAvia_act!R26)/TrAvia_png!R14)</f>
        <v>0.74480401625484693</v>
      </c>
      <c r="S20" s="89">
        <f>IF(TrAvia_act!S36=0,0,(TrAvia_act!S36/TrAvia_act!S26)/TrAvia_png!S14)</f>
        <v>0.79519295315530936</v>
      </c>
      <c r="T20" s="89">
        <f>IF(TrAvia_act!T36=0,0,(TrAvia_act!T36/TrAvia_act!T26)/TrAvia_png!T14)</f>
        <v>0.78465583086033397</v>
      </c>
      <c r="U20" s="89">
        <f>IF(TrAvia_act!U36=0,0,(TrAvia_act!U36/TrAvia_act!U26)/TrAvia_png!U14)</f>
        <v>0.79993637095136205</v>
      </c>
      <c r="V20" s="89">
        <f>IF(TrAvia_act!V36=0,0,(TrAvia_act!V36/TrAvia_act!V26)/TrAvia_png!V14)</f>
        <v>0.64228687445223975</v>
      </c>
      <c r="W20" s="89">
        <f>IF(TrAvia_act!W36=0,0,(TrAvia_act!W36/TrAvia_act!W26)/TrAvia_png!W14)</f>
        <v>0.67579790575142429</v>
      </c>
      <c r="X20" s="89">
        <f>IF(TrAvia_act!X36=0,0,(TrAvia_act!X36/TrAvia_act!X26)/TrAvia_png!X14)</f>
        <v>0.8108422130238101</v>
      </c>
      <c r="Y20" s="89">
        <f>IF(TrAvia_act!Y36=0,0,(TrAvia_act!Y36/TrAvia_act!Y26)/TrAvia_png!Y14)</f>
        <v>0.82518433493029786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0.72865780753595455</v>
      </c>
      <c r="C21" s="90">
        <f>IF(TrAvia_act!C37=0,0,(TrAvia_act!C37/TrAvia_act!C27)/TrAvia_png!C15)</f>
        <v>0.72882219219798827</v>
      </c>
      <c r="D21" s="90">
        <f>IF(TrAvia_act!D37=0,0,(TrAvia_act!D37/TrAvia_act!D27)/TrAvia_png!D15)</f>
        <v>0.72736359663761452</v>
      </c>
      <c r="E21" s="90">
        <f>IF(TrAvia_act!E37=0,0,(TrAvia_act!E37/TrAvia_act!E27)/TrAvia_png!E15)</f>
        <v>0.72420516436997984</v>
      </c>
      <c r="F21" s="90">
        <f>IF(TrAvia_act!F37=0,0,(TrAvia_act!F37/TrAvia_act!F27)/TrAvia_png!F15)</f>
        <v>0.70795520524879529</v>
      </c>
      <c r="G21" s="90">
        <f>IF(TrAvia_act!G37=0,0,(TrAvia_act!G37/TrAvia_act!G27)/TrAvia_png!G15)</f>
        <v>0.7219776641880723</v>
      </c>
      <c r="H21" s="90">
        <f>IF(TrAvia_act!H37=0,0,(TrAvia_act!H37/TrAvia_act!H27)/TrAvia_png!H15)</f>
        <v>0.73395507730605081</v>
      </c>
      <c r="I21" s="90">
        <f>IF(TrAvia_act!I37=0,0,(TrAvia_act!I37/TrAvia_act!I27)/TrAvia_png!I15)</f>
        <v>0.71225429655123196</v>
      </c>
      <c r="J21" s="90">
        <f>IF(TrAvia_act!J37=0,0,(TrAvia_act!J37/TrAvia_act!J27)/TrAvia_png!J15)</f>
        <v>0.69869884090293832</v>
      </c>
      <c r="K21" s="90">
        <f>IF(TrAvia_act!K37=0,0,(TrAvia_act!K37/TrAvia_act!K27)/TrAvia_png!K15)</f>
        <v>0.67424084256024486</v>
      </c>
      <c r="L21" s="90">
        <f>IF(TrAvia_act!L37=0,0,(TrAvia_act!L37/TrAvia_act!L27)/TrAvia_png!L15)</f>
        <v>0.67809264608317055</v>
      </c>
      <c r="M21" s="90">
        <f>IF(TrAvia_act!M37=0,0,(TrAvia_act!M37/TrAvia_act!M27)/TrAvia_png!M15)</f>
        <v>0.66374510352546168</v>
      </c>
      <c r="N21" s="90">
        <f>IF(TrAvia_act!N37=0,0,(TrAvia_act!N37/TrAvia_act!N27)/TrAvia_png!N15)</f>
        <v>0.67006450131490169</v>
      </c>
      <c r="O21" s="90">
        <f>IF(TrAvia_act!O37=0,0,(TrAvia_act!O37/TrAvia_act!O27)/TrAvia_png!O15)</f>
        <v>0.68280243597802392</v>
      </c>
      <c r="P21" s="90">
        <f>IF(TrAvia_act!P37=0,0,(TrAvia_act!P37/TrAvia_act!P27)/TrAvia_png!P15)</f>
        <v>0.69438766229289506</v>
      </c>
      <c r="Q21" s="90">
        <f>IF(TrAvia_act!Q37=0,0,(TrAvia_act!Q37/TrAvia_act!Q27)/TrAvia_png!Q15)</f>
        <v>0.73629617443576922</v>
      </c>
      <c r="R21" s="90">
        <f>IF(TrAvia_act!R37=0,0,(TrAvia_act!R37/TrAvia_act!R27)/TrAvia_png!R15)</f>
        <v>0.7168569497572419</v>
      </c>
      <c r="S21" s="90">
        <f>IF(TrAvia_act!S37=0,0,(TrAvia_act!S37/TrAvia_act!S27)/TrAvia_png!S15)</f>
        <v>0.76904380731653132</v>
      </c>
      <c r="T21" s="90">
        <f>IF(TrAvia_act!T37=0,0,(TrAvia_act!T37/TrAvia_act!T27)/TrAvia_png!T15)</f>
        <v>0.73590664278212425</v>
      </c>
      <c r="U21" s="90">
        <f>IF(TrAvia_act!U37=0,0,(TrAvia_act!U37/TrAvia_act!U27)/TrAvia_png!U15)</f>
        <v>0.75031747741928878</v>
      </c>
      <c r="V21" s="90">
        <f>IF(TrAvia_act!V37=0,0,(TrAvia_act!V37/TrAvia_act!V27)/TrAvia_png!V15)</f>
        <v>0.63621716926070038</v>
      </c>
      <c r="W21" s="90">
        <f>IF(TrAvia_act!W37=0,0,(TrAvia_act!W37/TrAvia_act!W27)/TrAvia_png!W15)</f>
        <v>0.68271724045090754</v>
      </c>
      <c r="X21" s="90">
        <f>IF(TrAvia_act!X37=0,0,(TrAvia_act!X37/TrAvia_act!X27)/TrAvia_png!X15)</f>
        <v>0.87079114194779461</v>
      </c>
      <c r="Y21" s="90">
        <f>IF(TrAvia_act!Y37=0,0,(TrAvia_act!Y37/TrAvia_act!Y27)/TrAvia_png!Y15)</f>
        <v>0.90569487800614346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5.5330236541883508E-2</v>
      </c>
      <c r="C24" s="23">
        <f>IF(TrAvia_ene!C6=0,0,TrAvia_ene!C6/(C12*TrAvia_act!C14))</f>
        <v>5.7931320441735816E-2</v>
      </c>
      <c r="D24" s="23">
        <f>IF(TrAvia_ene!D6=0,0,TrAvia_ene!D6/(D12*TrAvia_act!D14))</f>
        <v>5.3517460658822319E-2</v>
      </c>
      <c r="E24" s="23">
        <f>IF(TrAvia_ene!E6=0,0,TrAvia_ene!E6/(E12*TrAvia_act!E14))</f>
        <v>3.5895823231571991E-2</v>
      </c>
      <c r="F24" s="23">
        <f>IF(TrAvia_ene!F6=0,0,TrAvia_ene!F6/(F12*TrAvia_act!F14))</f>
        <v>3.5892272586829241E-2</v>
      </c>
      <c r="G24" s="23">
        <f>IF(TrAvia_ene!G6=0,0,TrAvia_ene!G6/(G12*TrAvia_act!G14))</f>
        <v>3.4365446800986868E-2</v>
      </c>
      <c r="H24" s="23">
        <f>IF(TrAvia_ene!H6=0,0,TrAvia_ene!H6/(H12*TrAvia_act!H14))</f>
        <v>3.4148640706436875E-2</v>
      </c>
      <c r="I24" s="23">
        <f>IF(TrAvia_ene!I6=0,0,TrAvia_ene!I6/(I12*TrAvia_act!I14))</f>
        <v>3.3810891172743371E-2</v>
      </c>
      <c r="J24" s="23">
        <f>IF(TrAvia_ene!J6=0,0,TrAvia_ene!J6/(J12*TrAvia_act!J14))</f>
        <v>3.3307053905627167E-2</v>
      </c>
      <c r="K24" s="23">
        <f>IF(TrAvia_ene!K6=0,0,TrAvia_ene!K6/(K12*TrAvia_act!K14))</f>
        <v>3.3813209571993963E-2</v>
      </c>
      <c r="L24" s="23">
        <f>IF(TrAvia_ene!L6=0,0,TrAvia_ene!L6/(L12*TrAvia_act!L14))</f>
        <v>3.1258990557447526E-2</v>
      </c>
      <c r="M24" s="23">
        <f>IF(TrAvia_ene!M6=0,0,TrAvia_ene!M6/(M12*TrAvia_act!M14))</f>
        <v>3.0118340583321555E-2</v>
      </c>
      <c r="N24" s="23">
        <f>IF(TrAvia_ene!N6=0,0,TrAvia_ene!N6/(N12*TrAvia_act!N14))</f>
        <v>2.9164039644354604E-2</v>
      </c>
      <c r="O24" s="23">
        <f>IF(TrAvia_ene!O6=0,0,TrAvia_ene!O6/(O12*TrAvia_act!O14))</f>
        <v>2.8543621442764879E-2</v>
      </c>
      <c r="P24" s="23">
        <f>IF(TrAvia_ene!P6=0,0,TrAvia_ene!P6/(P12*TrAvia_act!P14))</f>
        <v>2.888101409109408E-2</v>
      </c>
      <c r="Q24" s="23">
        <f>IF(TrAvia_ene!Q6=0,0,TrAvia_ene!Q6/(Q12*TrAvia_act!Q14))</f>
        <v>2.9598790806613286E-2</v>
      </c>
      <c r="R24" s="23">
        <f>IF(TrAvia_ene!R6=0,0,TrAvia_ene!R6/(R12*TrAvia_act!R14))</f>
        <v>2.96065605924179E-2</v>
      </c>
      <c r="S24" s="23">
        <f>IF(TrAvia_ene!S6=0,0,TrAvia_ene!S6/(S12*TrAvia_act!S14))</f>
        <v>2.9185103256758743E-2</v>
      </c>
      <c r="T24" s="23">
        <f>IF(TrAvia_ene!T6=0,0,TrAvia_ene!T6/(T12*TrAvia_act!T14))</f>
        <v>2.63749965670198E-2</v>
      </c>
      <c r="U24" s="23">
        <f>IF(TrAvia_ene!U6=0,0,TrAvia_ene!U6/(U12*TrAvia_act!U14))</f>
        <v>2.5848693598350372E-2</v>
      </c>
      <c r="V24" s="23">
        <f>IF(TrAvia_ene!V6=0,0,TrAvia_ene!V6/(V12*TrAvia_act!V14))</f>
        <v>3.414836946898045E-2</v>
      </c>
      <c r="W24" s="23">
        <f>IF(TrAvia_ene!W6=0,0,TrAvia_ene!W6/(W12*TrAvia_act!W14))</f>
        <v>2.8701373499950309E-2</v>
      </c>
      <c r="X24" s="23">
        <f>IF(TrAvia_ene!X6=0,0,TrAvia_ene!X6/(X12*TrAvia_act!X14))</f>
        <v>2.5575522216339665E-2</v>
      </c>
      <c r="Y24" s="23">
        <f>IF(TrAvia_ene!Y6=0,0,TrAvia_ene!Y6/(Y12*TrAvia_act!Y14))</f>
        <v>2.5707101421457705E-2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0.4225935207344797</v>
      </c>
      <c r="C25" s="91">
        <f>IF(TrAvia_ene!C7=0,0,TrAvia_ene!C7/(C13*TrAvia_act!C15))</f>
        <v>0.42881056044159677</v>
      </c>
      <c r="D25" s="91">
        <f>IF(TrAvia_ene!D7=0,0,TrAvia_ene!D7/(D13*TrAvia_act!D15))</f>
        <v>0.42825838165684432</v>
      </c>
      <c r="E25" s="91">
        <f>IF(TrAvia_ene!E7=0,0,TrAvia_ene!E7/(E13*TrAvia_act!E15))</f>
        <v>0.40254296468089218</v>
      </c>
      <c r="F25" s="91">
        <f>IF(TrAvia_ene!F7=0,0,TrAvia_ene!F7/(F13*TrAvia_act!F15))</f>
        <v>0.25155664448633291</v>
      </c>
      <c r="G25" s="91">
        <f>IF(TrAvia_ene!G7=0,0,TrAvia_ene!G7/(G13*TrAvia_act!G15))</f>
        <v>0.15701191359670366</v>
      </c>
      <c r="H25" s="91">
        <f>IF(TrAvia_ene!H7=0,0,TrAvia_ene!H7/(H13*TrAvia_act!H15))</f>
        <v>7.957415910415945E-2</v>
      </c>
      <c r="I25" s="91">
        <f>IF(TrAvia_ene!I7=0,0,TrAvia_ene!I7/(I13*TrAvia_act!I15))</f>
        <v>0.17523661034885424</v>
      </c>
      <c r="J25" s="91">
        <f>IF(TrAvia_ene!J7=0,0,TrAvia_ene!J7/(J13*TrAvia_act!J15))</f>
        <v>0.17477321412925426</v>
      </c>
      <c r="K25" s="91">
        <f>IF(TrAvia_ene!K7=0,0,TrAvia_ene!K7/(K13*TrAvia_act!K15))</f>
        <v>0.12525149666955396</v>
      </c>
      <c r="L25" s="91">
        <f>IF(TrAvia_ene!L7=0,0,TrAvia_ene!L7/(L13*TrAvia_act!L15))</f>
        <v>0.15021622533792031</v>
      </c>
      <c r="M25" s="91">
        <f>IF(TrAvia_ene!M7=0,0,TrAvia_ene!M7/(M13*TrAvia_act!M15))</f>
        <v>0.31980664466200431</v>
      </c>
      <c r="N25" s="91">
        <f>IF(TrAvia_ene!N7=0,0,TrAvia_ene!N7/(N13*TrAvia_act!N15))</f>
        <v>0.18041786036431551</v>
      </c>
      <c r="O25" s="91">
        <f>IF(TrAvia_ene!O7=0,0,TrAvia_ene!O7/(O13*TrAvia_act!O15))</f>
        <v>0.32819580447245683</v>
      </c>
      <c r="P25" s="91">
        <f>IF(TrAvia_ene!P7=0,0,TrAvia_ene!P7/(P13*TrAvia_act!P15))</f>
        <v>0.25939967962735078</v>
      </c>
      <c r="Q25" s="91">
        <f>IF(TrAvia_ene!Q7=0,0,TrAvia_ene!Q7/(Q13*TrAvia_act!Q15))</f>
        <v>0.39199886230582476</v>
      </c>
      <c r="R25" s="91">
        <f>IF(TrAvia_ene!R7=0,0,TrAvia_ene!R7/(R13*TrAvia_act!R15))</f>
        <v>0.5549257078468719</v>
      </c>
      <c r="S25" s="91">
        <f>IF(TrAvia_ene!S7=0,0,TrAvia_ene!S7/(S13*TrAvia_act!S15))</f>
        <v>1.0029380743743468</v>
      </c>
      <c r="T25" s="91">
        <f>IF(TrAvia_ene!T7=0,0,TrAvia_ene!T7/(T13*TrAvia_act!T15))</f>
        <v>0.59098808594974506</v>
      </c>
      <c r="U25" s="91">
        <f>IF(TrAvia_ene!U7=0,0,TrAvia_ene!U7/(U13*TrAvia_act!U15))</f>
        <v>2.437558657189729</v>
      </c>
      <c r="V25" s="91">
        <f>IF(TrAvia_ene!V7=0,0,TrAvia_ene!V7/(V13*TrAvia_act!V15))</f>
        <v>4.4992721225483683</v>
      </c>
      <c r="W25" s="91">
        <f>IF(TrAvia_ene!W7=0,0,TrAvia_ene!W7/(W13*TrAvia_act!W15))</f>
        <v>0.29262903489501757</v>
      </c>
      <c r="X25" s="91">
        <f>IF(TrAvia_ene!X7=0,0,TrAvia_ene!X7/(X13*TrAvia_act!X15))</f>
        <v>0.51234046327030103</v>
      </c>
      <c r="Y25" s="91">
        <f>IF(TrAvia_ene!Y7=0,0,TrAvia_ene!Y7/(Y13*TrAvia_act!Y15))</f>
        <v>0.45974712875674006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4.4076127750081351E-2</v>
      </c>
      <c r="C26" s="93">
        <f>IF(TrAvia_ene!C8=0,0,TrAvia_ene!C8/(C14*TrAvia_act!C16))</f>
        <v>4.3957171712952527E-2</v>
      </c>
      <c r="D26" s="93">
        <f>IF(TrAvia_ene!D8=0,0,TrAvia_ene!D8/(D14*TrAvia_act!D16))</f>
        <v>4.3331685825229865E-2</v>
      </c>
      <c r="E26" s="93">
        <f>IF(TrAvia_ene!E8=0,0,TrAvia_ene!E8/(E14*TrAvia_act!E16))</f>
        <v>2.7267396742434068E-2</v>
      </c>
      <c r="F26" s="93">
        <f>IF(TrAvia_ene!F8=0,0,TrAvia_ene!F8/(F14*TrAvia_act!F16))</f>
        <v>3.1061704937651625E-2</v>
      </c>
      <c r="G26" s="93">
        <f>IF(TrAvia_ene!G8=0,0,TrAvia_ene!G8/(G14*TrAvia_act!G16))</f>
        <v>3.1161085534197146E-2</v>
      </c>
      <c r="H26" s="93">
        <f>IF(TrAvia_ene!H8=0,0,TrAvia_ene!H8/(H14*TrAvia_act!H16))</f>
        <v>3.2481664556004257E-2</v>
      </c>
      <c r="I26" s="93">
        <f>IF(TrAvia_ene!I8=0,0,TrAvia_ene!I8/(I14*TrAvia_act!I16))</f>
        <v>3.1268583925827424E-2</v>
      </c>
      <c r="J26" s="93">
        <f>IF(TrAvia_ene!J8=0,0,TrAvia_ene!J8/(J14*TrAvia_act!J16))</f>
        <v>3.0331124197675308E-2</v>
      </c>
      <c r="K26" s="93">
        <f>IF(TrAvia_ene!K8=0,0,TrAvia_ene!K8/(K14*TrAvia_act!K16))</f>
        <v>3.2567582220946127E-2</v>
      </c>
      <c r="L26" s="93">
        <f>IF(TrAvia_ene!L8=0,0,TrAvia_ene!L8/(L14*TrAvia_act!L16))</f>
        <v>3.0454387600834229E-2</v>
      </c>
      <c r="M26" s="93">
        <f>IF(TrAvia_ene!M8=0,0,TrAvia_ene!M8/(M14*TrAvia_act!M16))</f>
        <v>2.8845650623366942E-2</v>
      </c>
      <c r="N26" s="93">
        <f>IF(TrAvia_ene!N8=0,0,TrAvia_ene!N8/(N14*TrAvia_act!N16))</f>
        <v>3.14109630792965E-2</v>
      </c>
      <c r="O26" s="93">
        <f>IF(TrAvia_ene!O8=0,0,TrAvia_ene!O8/(O14*TrAvia_act!O16))</f>
        <v>3.0585455932332417E-2</v>
      </c>
      <c r="P26" s="93">
        <f>IF(TrAvia_ene!P8=0,0,TrAvia_ene!P8/(P14*TrAvia_act!P16))</f>
        <v>3.102522376865607E-2</v>
      </c>
      <c r="Q26" s="93">
        <f>IF(TrAvia_ene!Q8=0,0,TrAvia_ene!Q8/(Q14*TrAvia_act!Q16))</f>
        <v>2.9040290669619998E-2</v>
      </c>
      <c r="R26" s="93">
        <f>IF(TrAvia_ene!R8=0,0,TrAvia_ene!R8/(R14*TrAvia_act!R16))</f>
        <v>2.9139650708260915E-2</v>
      </c>
      <c r="S26" s="93">
        <f>IF(TrAvia_ene!S8=0,0,TrAvia_ene!S8/(S14*TrAvia_act!S16))</f>
        <v>3.0206825398199789E-2</v>
      </c>
      <c r="T26" s="93">
        <f>IF(TrAvia_ene!T8=0,0,TrAvia_ene!T8/(T14*TrAvia_act!T16))</f>
        <v>3.1200812689237752E-2</v>
      </c>
      <c r="U26" s="93">
        <f>IF(TrAvia_ene!U8=0,0,TrAvia_ene!U8/(U14*TrAvia_act!U16))</f>
        <v>3.0607964103805535E-2</v>
      </c>
      <c r="V26" s="93">
        <f>IF(TrAvia_ene!V8=0,0,TrAvia_ene!V8/(V14*TrAvia_act!V16))</f>
        <v>2.645027188243471E-2</v>
      </c>
      <c r="W26" s="93">
        <f>IF(TrAvia_ene!W8=0,0,TrAvia_ene!W8/(W14*TrAvia_act!W16))</f>
        <v>2.9854629189635339E-2</v>
      </c>
      <c r="X26" s="93">
        <f>IF(TrAvia_ene!X8=0,0,TrAvia_ene!X8/(X14*TrAvia_act!X16))</f>
        <v>2.7976113960152836E-2</v>
      </c>
      <c r="Y26" s="93">
        <f>IF(TrAvia_ene!Y8=0,0,TrAvia_ene!Y8/(Y14*TrAvia_act!Y16))</f>
        <v>2.8005543953717772E-2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4.159235692475273E-2</v>
      </c>
      <c r="C27" s="94">
        <f>IF(TrAvia_ene!C9=0,0,TrAvia_ene!C9/(C15*TrAvia_act!C17))</f>
        <v>4.1491265381948375E-2</v>
      </c>
      <c r="D27" s="94">
        <f>IF(TrAvia_ene!D9=0,0,TrAvia_ene!D9/(D15*TrAvia_act!D17))</f>
        <v>4.094711010768548E-2</v>
      </c>
      <c r="E27" s="94">
        <f>IF(TrAvia_ene!E9=0,0,TrAvia_ene!E9/(E15*TrAvia_act!E17))</f>
        <v>2.6085694169901048E-2</v>
      </c>
      <c r="F27" s="94">
        <f>IF(TrAvia_ene!F9=0,0,TrAvia_ene!F9/(F15*TrAvia_act!F17))</f>
        <v>2.7456307228956693E-2</v>
      </c>
      <c r="G27" s="94">
        <f>IF(TrAvia_ene!G9=0,0,TrAvia_ene!G9/(G15*TrAvia_act!G17))</f>
        <v>2.9101140883224259E-2</v>
      </c>
      <c r="H27" s="94">
        <f>IF(TrAvia_ene!H9=0,0,TrAvia_ene!H9/(H15*TrAvia_act!H17))</f>
        <v>3.0530718611103718E-2</v>
      </c>
      <c r="I27" s="94">
        <f>IF(TrAvia_ene!I9=0,0,TrAvia_ene!I9/(I15*TrAvia_act!I17))</f>
        <v>2.6903374957096503E-2</v>
      </c>
      <c r="J27" s="94">
        <f>IF(TrAvia_ene!J9=0,0,TrAvia_ene!J9/(J15*TrAvia_act!J17))</f>
        <v>2.6585484145559748E-2</v>
      </c>
      <c r="K27" s="94">
        <f>IF(TrAvia_ene!K9=0,0,TrAvia_ene!K9/(K15*TrAvia_act!K17))</f>
        <v>2.6229139902412171E-2</v>
      </c>
      <c r="L27" s="94">
        <f>IF(TrAvia_ene!L9=0,0,TrAvia_ene!L9/(L15*TrAvia_act!L17))</f>
        <v>2.3101054966989342E-2</v>
      </c>
      <c r="M27" s="94">
        <f>IF(TrAvia_ene!M9=0,0,TrAvia_ene!M9/(M15*TrAvia_act!M17))</f>
        <v>2.0723280997179062E-2</v>
      </c>
      <c r="N27" s="94">
        <f>IF(TrAvia_ene!N9=0,0,TrAvia_ene!N9/(N15*TrAvia_act!N17))</f>
        <v>2.0391233368235839E-2</v>
      </c>
      <c r="O27" s="94">
        <f>IF(TrAvia_ene!O9=0,0,TrAvia_ene!O9/(O15*TrAvia_act!O17))</f>
        <v>1.9623981493106162E-2</v>
      </c>
      <c r="P27" s="94">
        <f>IF(TrAvia_ene!P9=0,0,TrAvia_ene!P9/(P15*TrAvia_act!P17))</f>
        <v>2.0215168818315886E-2</v>
      </c>
      <c r="Q27" s="94">
        <f>IF(TrAvia_ene!Q9=0,0,TrAvia_ene!Q9/(Q15*TrAvia_act!Q17))</f>
        <v>2.0378558865829122E-2</v>
      </c>
      <c r="R27" s="94">
        <f>IF(TrAvia_ene!R9=0,0,TrAvia_ene!R9/(R15*TrAvia_act!R17))</f>
        <v>1.9050070083695299E-2</v>
      </c>
      <c r="S27" s="94">
        <f>IF(TrAvia_ene!S9=0,0,TrAvia_ene!S9/(S15*TrAvia_act!S17))</f>
        <v>1.720836696970364E-2</v>
      </c>
      <c r="T27" s="94">
        <f>IF(TrAvia_ene!T9=0,0,TrAvia_ene!T9/(T15*TrAvia_act!T17))</f>
        <v>1.5679917071274634E-2</v>
      </c>
      <c r="U27" s="94">
        <f>IF(TrAvia_ene!U9=0,0,TrAvia_ene!U9/(U15*TrAvia_act!U17))</f>
        <v>1.5152722539843002E-2</v>
      </c>
      <c r="V27" s="94">
        <f>IF(TrAvia_ene!V9=0,0,TrAvia_ene!V9/(V15*TrAvia_act!V17))</f>
        <v>2.4272683997247649E-2</v>
      </c>
      <c r="W27" s="94">
        <f>IF(TrAvia_ene!W9=0,0,TrAvia_ene!W9/(W15*TrAvia_act!W17))</f>
        <v>2.3435994485028873E-2</v>
      </c>
      <c r="X27" s="94">
        <f>IF(TrAvia_ene!X9=0,0,TrAvia_ene!X9/(X15*TrAvia_act!X17))</f>
        <v>1.9720583021509846E-2</v>
      </c>
      <c r="Y27" s="94">
        <f>IF(TrAvia_ene!Y9=0,0,TrAvia_ene!Y9/(Y15*TrAvia_act!Y17))</f>
        <v>2.0381098541591574E-2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89</v>
      </c>
      <c r="C3" s="54">
        <f t="shared" si="0"/>
        <v>78</v>
      </c>
      <c r="D3" s="54">
        <f t="shared" si="0"/>
        <v>80</v>
      </c>
      <c r="E3" s="54">
        <f t="shared" si="0"/>
        <v>58</v>
      </c>
      <c r="F3" s="54">
        <f t="shared" si="0"/>
        <v>48</v>
      </c>
      <c r="G3" s="54">
        <f t="shared" si="0"/>
        <v>63</v>
      </c>
      <c r="H3" s="54">
        <f t="shared" si="0"/>
        <v>43</v>
      </c>
      <c r="I3" s="54">
        <f t="shared" si="0"/>
        <v>36</v>
      </c>
      <c r="J3" s="54">
        <f t="shared" si="0"/>
        <v>28</v>
      </c>
      <c r="K3" s="54">
        <f t="shared" si="0"/>
        <v>33</v>
      </c>
      <c r="L3" s="54">
        <f t="shared" si="0"/>
        <v>43</v>
      </c>
      <c r="M3" s="54">
        <f t="shared" si="0"/>
        <v>42</v>
      </c>
      <c r="N3" s="54">
        <f t="shared" si="0"/>
        <v>38</v>
      </c>
      <c r="O3" s="54">
        <f t="shared" si="0"/>
        <v>25</v>
      </c>
      <c r="P3" s="54">
        <f t="shared" si="0"/>
        <v>27</v>
      </c>
      <c r="Q3" s="54">
        <f t="shared" si="0"/>
        <v>33</v>
      </c>
      <c r="R3" s="54">
        <f t="shared" ref="R3:V3" si="1">SUM(R4:R5)</f>
        <v>36</v>
      </c>
      <c r="S3" s="54">
        <f t="shared" si="1"/>
        <v>25</v>
      </c>
      <c r="T3" s="54">
        <f t="shared" si="1"/>
        <v>23</v>
      </c>
      <c r="U3" s="54">
        <f t="shared" si="1"/>
        <v>32</v>
      </c>
      <c r="V3" s="54">
        <f t="shared" si="1"/>
        <v>18</v>
      </c>
      <c r="W3" s="54">
        <f t="shared" ref="W3:Y3" si="2">SUM(W4:W5)</f>
        <v>22</v>
      </c>
      <c r="X3" s="54">
        <f t="shared" si="2"/>
        <v>20</v>
      </c>
      <c r="Y3" s="54">
        <f t="shared" si="2"/>
        <v>18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89</v>
      </c>
      <c r="C5" s="58">
        <v>78</v>
      </c>
      <c r="D5" s="58">
        <v>80</v>
      </c>
      <c r="E5" s="58">
        <v>58</v>
      </c>
      <c r="F5" s="58">
        <v>48</v>
      </c>
      <c r="G5" s="58">
        <v>63</v>
      </c>
      <c r="H5" s="58">
        <v>43</v>
      </c>
      <c r="I5" s="58">
        <v>36</v>
      </c>
      <c r="J5" s="58">
        <v>28</v>
      </c>
      <c r="K5" s="58">
        <v>33</v>
      </c>
      <c r="L5" s="58">
        <v>43</v>
      </c>
      <c r="M5" s="58">
        <v>42</v>
      </c>
      <c r="N5" s="58">
        <v>38</v>
      </c>
      <c r="O5" s="58">
        <v>25</v>
      </c>
      <c r="P5" s="58">
        <v>27</v>
      </c>
      <c r="Q5" s="58">
        <v>33</v>
      </c>
      <c r="R5" s="58">
        <v>36</v>
      </c>
      <c r="S5" s="58">
        <v>25</v>
      </c>
      <c r="T5" s="58">
        <v>23</v>
      </c>
      <c r="U5" s="58">
        <v>32</v>
      </c>
      <c r="V5" s="58">
        <v>18</v>
      </c>
      <c r="W5" s="58">
        <v>22</v>
      </c>
      <c r="X5" s="58">
        <v>20</v>
      </c>
      <c r="Y5" s="58">
        <v>18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0.11</v>
      </c>
      <c r="C7" s="59">
        <f t="shared" si="3"/>
        <v>0.129</v>
      </c>
      <c r="D7" s="59">
        <f t="shared" si="3"/>
        <v>9.1999999999999998E-2</v>
      </c>
      <c r="E7" s="59">
        <f t="shared" si="3"/>
        <v>7.9000000000000001E-2</v>
      </c>
      <c r="F7" s="59">
        <f t="shared" si="3"/>
        <v>8.7999999999999995E-2</v>
      </c>
      <c r="G7" s="59">
        <f t="shared" si="3"/>
        <v>9.1999999999999998E-2</v>
      </c>
      <c r="H7" s="59">
        <f t="shared" si="3"/>
        <v>8.4000000000000005E-2</v>
      </c>
      <c r="I7" s="59">
        <f t="shared" si="3"/>
        <v>7.0000000000000007E-2</v>
      </c>
      <c r="J7" s="59">
        <f t="shared" si="3"/>
        <v>5.8999999999999997E-2</v>
      </c>
      <c r="K7" s="59">
        <f t="shared" si="3"/>
        <v>6.6000000000000003E-2</v>
      </c>
      <c r="L7" s="59">
        <f t="shared" si="3"/>
        <v>6.9000000000000006E-2</v>
      </c>
      <c r="M7" s="59">
        <f t="shared" si="3"/>
        <v>7.1999999999999995E-2</v>
      </c>
      <c r="N7" s="59">
        <f t="shared" si="3"/>
        <v>6.6000000000000003E-2</v>
      </c>
      <c r="O7" s="59">
        <f t="shared" si="3"/>
        <v>4.4999999999999998E-2</v>
      </c>
      <c r="P7" s="59">
        <f t="shared" si="3"/>
        <v>4.7E-2</v>
      </c>
      <c r="Q7" s="59">
        <f t="shared" si="3"/>
        <v>4.5999999999999999E-2</v>
      </c>
      <c r="R7" s="59">
        <f t="shared" ref="R7:V7" si="4">SUM(R8:R9)</f>
        <v>4.7E-2</v>
      </c>
      <c r="S7" s="59">
        <f t="shared" si="4"/>
        <v>3.6999999999999998E-2</v>
      </c>
      <c r="T7" s="59">
        <f t="shared" si="4"/>
        <v>3.1E-2</v>
      </c>
      <c r="U7" s="59">
        <f t="shared" si="4"/>
        <v>3.7999999999999999E-2</v>
      </c>
      <c r="V7" s="59">
        <f t="shared" si="4"/>
        <v>1.9E-2</v>
      </c>
      <c r="W7" s="59">
        <f t="shared" ref="W7:Y7" si="5">SUM(W8:W9)</f>
        <v>3.1E-2</v>
      </c>
      <c r="X7" s="59">
        <f t="shared" si="5"/>
        <v>2.9000000000000001E-2</v>
      </c>
      <c r="Y7" s="59">
        <f t="shared" si="5"/>
        <v>2.4E-2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>
        <v>0</v>
      </c>
      <c r="Y8" s="60">
        <v>0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0.11</v>
      </c>
      <c r="C9" s="61">
        <v>0.129</v>
      </c>
      <c r="D9" s="61">
        <v>9.1999999999999998E-2</v>
      </c>
      <c r="E9" s="61">
        <v>7.9000000000000001E-2</v>
      </c>
      <c r="F9" s="61">
        <v>8.7999999999999995E-2</v>
      </c>
      <c r="G9" s="61">
        <v>9.1999999999999998E-2</v>
      </c>
      <c r="H9" s="61">
        <v>8.4000000000000005E-2</v>
      </c>
      <c r="I9" s="61">
        <v>7.0000000000000007E-2</v>
      </c>
      <c r="J9" s="61">
        <v>5.8999999999999997E-2</v>
      </c>
      <c r="K9" s="61">
        <v>6.6000000000000003E-2</v>
      </c>
      <c r="L9" s="61">
        <v>6.9000000000000006E-2</v>
      </c>
      <c r="M9" s="61">
        <v>7.1999999999999995E-2</v>
      </c>
      <c r="N9" s="61">
        <v>6.6000000000000003E-2</v>
      </c>
      <c r="O9" s="61">
        <v>4.4999999999999998E-2</v>
      </c>
      <c r="P9" s="61">
        <v>4.7E-2</v>
      </c>
      <c r="Q9" s="61">
        <v>4.5999999999999999E-2</v>
      </c>
      <c r="R9" s="61">
        <v>4.7E-2</v>
      </c>
      <c r="S9" s="61">
        <v>3.6999999999999998E-2</v>
      </c>
      <c r="T9" s="61">
        <v>3.1E-2</v>
      </c>
      <c r="U9" s="61">
        <v>3.7999999999999999E-2</v>
      </c>
      <c r="V9" s="61">
        <v>1.9E-2</v>
      </c>
      <c r="W9" s="61">
        <v>3.1E-2</v>
      </c>
      <c r="X9" s="61">
        <v>2.9000000000000001E-2</v>
      </c>
      <c r="Y9" s="61">
        <v>2.4E-2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809.09090909090912</v>
      </c>
      <c r="C13" s="62">
        <f t="shared" si="6"/>
        <v>604.65116279069764</v>
      </c>
      <c r="D13" s="62">
        <f t="shared" si="6"/>
        <v>869.56521739130437</v>
      </c>
      <c r="E13" s="62">
        <f t="shared" si="6"/>
        <v>734.17721518987344</v>
      </c>
      <c r="F13" s="62">
        <f t="shared" ref="F13:V13" si="7">IF(F3=0,0,F3/F7)</f>
        <v>545.4545454545455</v>
      </c>
      <c r="G13" s="62">
        <f t="shared" si="7"/>
        <v>684.78260869565213</v>
      </c>
      <c r="H13" s="62">
        <f t="shared" si="7"/>
        <v>511.90476190476187</v>
      </c>
      <c r="I13" s="62">
        <f t="shared" si="7"/>
        <v>514.28571428571422</v>
      </c>
      <c r="J13" s="62">
        <f t="shared" si="7"/>
        <v>474.57627118644069</v>
      </c>
      <c r="K13" s="62">
        <f t="shared" si="7"/>
        <v>500</v>
      </c>
      <c r="L13" s="62">
        <f t="shared" si="7"/>
        <v>623.18840579710138</v>
      </c>
      <c r="M13" s="62">
        <f t="shared" si="7"/>
        <v>583.33333333333337</v>
      </c>
      <c r="N13" s="62">
        <f t="shared" si="7"/>
        <v>575.75757575757575</v>
      </c>
      <c r="O13" s="62">
        <f t="shared" si="7"/>
        <v>555.55555555555554</v>
      </c>
      <c r="P13" s="62">
        <f t="shared" si="7"/>
        <v>574.468085106383</v>
      </c>
      <c r="Q13" s="62">
        <f t="shared" si="7"/>
        <v>717.39130434782612</v>
      </c>
      <c r="R13" s="62">
        <f t="shared" si="7"/>
        <v>765.95744680851067</v>
      </c>
      <c r="S13" s="62">
        <f t="shared" si="7"/>
        <v>675.67567567567573</v>
      </c>
      <c r="T13" s="62">
        <f t="shared" si="7"/>
        <v>741.9354838709678</v>
      </c>
      <c r="U13" s="62">
        <f t="shared" si="7"/>
        <v>842.1052631578948</v>
      </c>
      <c r="V13" s="62">
        <f t="shared" si="7"/>
        <v>947.36842105263156</v>
      </c>
      <c r="W13" s="62">
        <f t="shared" ref="W13:Y13" si="8">IF(W3=0,0,W3/W7)</f>
        <v>709.67741935483866</v>
      </c>
      <c r="X13" s="62">
        <f t="shared" si="8"/>
        <v>689.65517241379303</v>
      </c>
      <c r="Y13" s="62">
        <f t="shared" si="8"/>
        <v>750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:Y14" si="10">IF(W4=0,0,W4/W8)</f>
        <v>0</v>
      </c>
      <c r="X14" s="63">
        <f t="shared" si="10"/>
        <v>0</v>
      </c>
      <c r="Y14" s="63">
        <f t="shared" si="10"/>
        <v>0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809.09090909090912</v>
      </c>
      <c r="C15" s="64">
        <f t="shared" si="6"/>
        <v>604.65116279069764</v>
      </c>
      <c r="D15" s="64">
        <f t="shared" si="6"/>
        <v>869.56521739130437</v>
      </c>
      <c r="E15" s="64">
        <f t="shared" si="6"/>
        <v>734.17721518987344</v>
      </c>
      <c r="F15" s="64">
        <f t="shared" ref="F15:V15" si="11">IF(F5=0,0,F5/F9)</f>
        <v>545.4545454545455</v>
      </c>
      <c r="G15" s="64">
        <f t="shared" si="11"/>
        <v>684.78260869565213</v>
      </c>
      <c r="H15" s="64">
        <f t="shared" si="11"/>
        <v>511.90476190476187</v>
      </c>
      <c r="I15" s="64">
        <f t="shared" si="11"/>
        <v>514.28571428571422</v>
      </c>
      <c r="J15" s="64">
        <f t="shared" si="11"/>
        <v>474.57627118644069</v>
      </c>
      <c r="K15" s="64">
        <f t="shared" si="11"/>
        <v>500</v>
      </c>
      <c r="L15" s="64">
        <f t="shared" si="11"/>
        <v>623.18840579710138</v>
      </c>
      <c r="M15" s="64">
        <f t="shared" si="11"/>
        <v>583.33333333333337</v>
      </c>
      <c r="N15" s="64">
        <f t="shared" si="11"/>
        <v>575.75757575757575</v>
      </c>
      <c r="O15" s="64">
        <f t="shared" si="11"/>
        <v>555.55555555555554</v>
      </c>
      <c r="P15" s="64">
        <f t="shared" si="11"/>
        <v>574.468085106383</v>
      </c>
      <c r="Q15" s="64">
        <f t="shared" si="11"/>
        <v>717.39130434782612</v>
      </c>
      <c r="R15" s="64">
        <f t="shared" si="11"/>
        <v>765.95744680851067</v>
      </c>
      <c r="S15" s="64">
        <f t="shared" si="11"/>
        <v>675.67567567567573</v>
      </c>
      <c r="T15" s="64">
        <f t="shared" si="11"/>
        <v>741.9354838709678</v>
      </c>
      <c r="U15" s="64">
        <f t="shared" si="11"/>
        <v>842.1052631578948</v>
      </c>
      <c r="V15" s="64">
        <f t="shared" si="11"/>
        <v>947.36842105263156</v>
      </c>
      <c r="W15" s="64">
        <f t="shared" ref="W15:Y15" si="12">IF(W5=0,0,W5/W9)</f>
        <v>709.67741935483866</v>
      </c>
      <c r="X15" s="64">
        <f t="shared" si="12"/>
        <v>689.65517241379303</v>
      </c>
      <c r="Y15" s="64">
        <f t="shared" si="12"/>
        <v>750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:Y18" si="18">IF(W4=0,0,W4/W$3)</f>
        <v>0</v>
      </c>
      <c r="X18" s="66">
        <f t="shared" si="18"/>
        <v>0</v>
      </c>
      <c r="Y18" s="66">
        <f t="shared" si="18"/>
        <v>0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1</v>
      </c>
      <c r="C19" s="67">
        <f t="shared" si="19"/>
        <v>1</v>
      </c>
      <c r="D19" s="67">
        <f t="shared" si="19"/>
        <v>1</v>
      </c>
      <c r="E19" s="67">
        <f t="shared" si="19"/>
        <v>1</v>
      </c>
      <c r="F19" s="67">
        <f t="shared" ref="F19:V19" si="20">IF(F5=0,0,F5/F$3)</f>
        <v>1</v>
      </c>
      <c r="G19" s="67">
        <f t="shared" si="20"/>
        <v>1</v>
      </c>
      <c r="H19" s="67">
        <f t="shared" si="20"/>
        <v>1</v>
      </c>
      <c r="I19" s="67">
        <f t="shared" si="20"/>
        <v>1</v>
      </c>
      <c r="J19" s="67">
        <f t="shared" si="20"/>
        <v>1</v>
      </c>
      <c r="K19" s="67">
        <f t="shared" si="20"/>
        <v>1</v>
      </c>
      <c r="L19" s="67">
        <f t="shared" si="20"/>
        <v>1</v>
      </c>
      <c r="M19" s="67">
        <f t="shared" si="20"/>
        <v>1</v>
      </c>
      <c r="N19" s="67">
        <f t="shared" si="20"/>
        <v>1</v>
      </c>
      <c r="O19" s="67">
        <f t="shared" si="20"/>
        <v>1</v>
      </c>
      <c r="P19" s="67">
        <f t="shared" si="20"/>
        <v>1</v>
      </c>
      <c r="Q19" s="67">
        <f t="shared" si="20"/>
        <v>1</v>
      </c>
      <c r="R19" s="67">
        <f t="shared" si="20"/>
        <v>1</v>
      </c>
      <c r="S19" s="67">
        <f t="shared" si="20"/>
        <v>1</v>
      </c>
      <c r="T19" s="67">
        <f t="shared" si="20"/>
        <v>1</v>
      </c>
      <c r="U19" s="67">
        <f t="shared" si="20"/>
        <v>1</v>
      </c>
      <c r="V19" s="67">
        <f t="shared" si="20"/>
        <v>1</v>
      </c>
      <c r="W19" s="67">
        <f t="shared" ref="W19:Y19" si="21">IF(W5=0,0,W5/W$3)</f>
        <v>1</v>
      </c>
      <c r="X19" s="67">
        <f t="shared" si="21"/>
        <v>1</v>
      </c>
      <c r="Y19" s="67">
        <f t="shared" si="21"/>
        <v>1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:Y22" si="27">IF(W8=0,0,W8/W$7)</f>
        <v>0</v>
      </c>
      <c r="X22" s="66">
        <f t="shared" si="27"/>
        <v>0</v>
      </c>
      <c r="Y22" s="66">
        <f t="shared" si="27"/>
        <v>0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1</v>
      </c>
      <c r="C23" s="67">
        <f t="shared" si="28"/>
        <v>1</v>
      </c>
      <c r="D23" s="67">
        <f t="shared" si="28"/>
        <v>1</v>
      </c>
      <c r="E23" s="67">
        <f t="shared" si="28"/>
        <v>1</v>
      </c>
      <c r="F23" s="67">
        <f t="shared" ref="F23:V23" si="29">IF(F9=0,0,F9/F$7)</f>
        <v>1</v>
      </c>
      <c r="G23" s="67">
        <f t="shared" si="29"/>
        <v>1</v>
      </c>
      <c r="H23" s="67">
        <f t="shared" si="29"/>
        <v>1</v>
      </c>
      <c r="I23" s="67">
        <f t="shared" si="29"/>
        <v>1</v>
      </c>
      <c r="J23" s="67">
        <f t="shared" si="29"/>
        <v>1</v>
      </c>
      <c r="K23" s="67">
        <f t="shared" si="29"/>
        <v>1</v>
      </c>
      <c r="L23" s="67">
        <f t="shared" si="29"/>
        <v>1</v>
      </c>
      <c r="M23" s="67">
        <f t="shared" si="29"/>
        <v>1</v>
      </c>
      <c r="N23" s="67">
        <f t="shared" si="29"/>
        <v>1</v>
      </c>
      <c r="O23" s="67">
        <f t="shared" si="29"/>
        <v>1</v>
      </c>
      <c r="P23" s="67">
        <f t="shared" si="29"/>
        <v>1</v>
      </c>
      <c r="Q23" s="67">
        <f t="shared" si="29"/>
        <v>1</v>
      </c>
      <c r="R23" s="67">
        <f t="shared" si="29"/>
        <v>1</v>
      </c>
      <c r="S23" s="67">
        <f t="shared" si="29"/>
        <v>1</v>
      </c>
      <c r="T23" s="67">
        <f t="shared" si="29"/>
        <v>1</v>
      </c>
      <c r="U23" s="67">
        <f t="shared" si="29"/>
        <v>1</v>
      </c>
      <c r="V23" s="67">
        <f t="shared" si="29"/>
        <v>1</v>
      </c>
      <c r="W23" s="67">
        <f t="shared" ref="W23:Y23" si="30">IF(W9=0,0,W9/W$7)</f>
        <v>1</v>
      </c>
      <c r="X23" s="67">
        <f t="shared" si="30"/>
        <v>1</v>
      </c>
      <c r="Y23" s="67">
        <f t="shared" si="30"/>
        <v>1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5.0982803095442817</v>
      </c>
      <c r="C3" s="62">
        <f t="shared" ref="C3:V3" si="0">SUM(C4,C10)</f>
        <v>8.0099742046431643</v>
      </c>
      <c r="D3" s="62">
        <f t="shared" si="0"/>
        <v>4.0068787618228718</v>
      </c>
      <c r="E3" s="62">
        <f t="shared" si="0"/>
        <v>4.0058469475494407</v>
      </c>
      <c r="F3" s="62">
        <f t="shared" si="0"/>
        <v>6.0006878761822868</v>
      </c>
      <c r="G3" s="62">
        <f t="shared" si="0"/>
        <v>4.9953568357695612</v>
      </c>
      <c r="H3" s="62">
        <f t="shared" si="0"/>
        <v>6.1305245055889941</v>
      </c>
      <c r="I3" s="62">
        <f t="shared" si="0"/>
        <v>5.1052450558899398</v>
      </c>
      <c r="J3" s="62">
        <f t="shared" si="0"/>
        <v>4.0957007738607052</v>
      </c>
      <c r="K3" s="62">
        <f t="shared" si="0"/>
        <v>5.1323301805674966</v>
      </c>
      <c r="L3" s="62">
        <f t="shared" si="0"/>
        <v>4.1116938950988819</v>
      </c>
      <c r="M3" s="62">
        <f t="shared" si="0"/>
        <v>3.080051590713671</v>
      </c>
      <c r="N3" s="62">
        <f t="shared" si="0"/>
        <v>5.1301805674978498</v>
      </c>
      <c r="O3" s="62">
        <f t="shared" si="0"/>
        <v>2.0522785898538261</v>
      </c>
      <c r="P3" s="62">
        <f t="shared" si="0"/>
        <v>3.0804815133276011</v>
      </c>
      <c r="Q3" s="62">
        <f t="shared" si="0"/>
        <v>3.0770421324161652</v>
      </c>
      <c r="R3" s="62">
        <f t="shared" si="0"/>
        <v>4.104041272570937</v>
      </c>
      <c r="S3" s="62">
        <f t="shared" si="0"/>
        <v>4.1032674118658639</v>
      </c>
      <c r="T3" s="62">
        <f t="shared" si="0"/>
        <v>3.0764402407566638</v>
      </c>
      <c r="U3" s="62">
        <f t="shared" si="0"/>
        <v>5.1300945829750626</v>
      </c>
      <c r="V3" s="62">
        <f t="shared" si="0"/>
        <v>4.1116938950988819</v>
      </c>
      <c r="W3" s="62">
        <f t="shared" ref="W3:Y3" si="1">SUM(W4,W10)</f>
        <v>4.1290627687016332</v>
      </c>
      <c r="X3" s="62">
        <f t="shared" si="1"/>
        <v>3.0936371453138429</v>
      </c>
      <c r="Y3" s="62">
        <f t="shared" si="1"/>
        <v>4.1219260533104043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:Y4" si="3">SUM(W5:W9)</f>
        <v>0</v>
      </c>
      <c r="X4" s="71">
        <f t="shared" si="3"/>
        <v>0</v>
      </c>
      <c r="Y4" s="71">
        <f t="shared" si="3"/>
        <v>0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>
        <v>0</v>
      </c>
      <c r="Y5" s="73">
        <v>0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5.0982803095442817</v>
      </c>
      <c r="C10" s="71">
        <f t="shared" ref="C10:V10" si="4">SUM(C11:C15)</f>
        <v>8.0099742046431643</v>
      </c>
      <c r="D10" s="71">
        <f t="shared" si="4"/>
        <v>4.0068787618228718</v>
      </c>
      <c r="E10" s="71">
        <f t="shared" si="4"/>
        <v>4.0058469475494407</v>
      </c>
      <c r="F10" s="71">
        <f t="shared" si="4"/>
        <v>6.0006878761822868</v>
      </c>
      <c r="G10" s="71">
        <f t="shared" si="4"/>
        <v>4.9953568357695612</v>
      </c>
      <c r="H10" s="71">
        <f t="shared" si="4"/>
        <v>6.1305245055889941</v>
      </c>
      <c r="I10" s="71">
        <f t="shared" si="4"/>
        <v>5.1052450558899398</v>
      </c>
      <c r="J10" s="71">
        <f t="shared" si="4"/>
        <v>4.0957007738607052</v>
      </c>
      <c r="K10" s="71">
        <f t="shared" si="4"/>
        <v>5.1323301805674966</v>
      </c>
      <c r="L10" s="71">
        <f t="shared" si="4"/>
        <v>4.1116938950988819</v>
      </c>
      <c r="M10" s="71">
        <f t="shared" si="4"/>
        <v>3.080051590713671</v>
      </c>
      <c r="N10" s="71">
        <f t="shared" si="4"/>
        <v>5.1301805674978498</v>
      </c>
      <c r="O10" s="71">
        <f t="shared" si="4"/>
        <v>2.0522785898538261</v>
      </c>
      <c r="P10" s="71">
        <f t="shared" si="4"/>
        <v>3.0804815133276011</v>
      </c>
      <c r="Q10" s="71">
        <f t="shared" si="4"/>
        <v>3.0770421324161652</v>
      </c>
      <c r="R10" s="71">
        <f t="shared" si="4"/>
        <v>4.104041272570937</v>
      </c>
      <c r="S10" s="71">
        <f t="shared" si="4"/>
        <v>4.1032674118658639</v>
      </c>
      <c r="T10" s="71">
        <f t="shared" si="4"/>
        <v>3.0764402407566638</v>
      </c>
      <c r="U10" s="71">
        <f t="shared" si="4"/>
        <v>5.1300945829750626</v>
      </c>
      <c r="V10" s="71">
        <f t="shared" si="4"/>
        <v>4.1116938950988819</v>
      </c>
      <c r="W10" s="71">
        <f t="shared" ref="W10:Y10" si="5">SUM(W11:W15)</f>
        <v>4.1290627687016332</v>
      </c>
      <c r="X10" s="71">
        <f t="shared" si="5"/>
        <v>3.0936371453138429</v>
      </c>
      <c r="Y10" s="71">
        <f t="shared" si="5"/>
        <v>4.1219260533104043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5.0982803095442817</v>
      </c>
      <c r="C11" s="73">
        <v>8.0099742046431643</v>
      </c>
      <c r="D11" s="73">
        <v>4.0068787618228718</v>
      </c>
      <c r="E11" s="73">
        <v>4.0058469475494407</v>
      </c>
      <c r="F11" s="73">
        <v>6.0006878761822868</v>
      </c>
      <c r="G11" s="73">
        <v>4.9953568357695612</v>
      </c>
      <c r="H11" s="73">
        <v>6.1305245055889941</v>
      </c>
      <c r="I11" s="73">
        <v>5.1052450558899398</v>
      </c>
      <c r="J11" s="73">
        <v>4.0957007738607052</v>
      </c>
      <c r="K11" s="73">
        <v>5.1323301805674966</v>
      </c>
      <c r="L11" s="73">
        <v>4.1116938950988819</v>
      </c>
      <c r="M11" s="73">
        <v>3.080051590713671</v>
      </c>
      <c r="N11" s="73">
        <v>5.1301805674978498</v>
      </c>
      <c r="O11" s="73">
        <v>2.0522785898538261</v>
      </c>
      <c r="P11" s="73">
        <v>3.0804815133276011</v>
      </c>
      <c r="Q11" s="73">
        <v>3.0770421324161652</v>
      </c>
      <c r="R11" s="73">
        <v>4.104041272570937</v>
      </c>
      <c r="S11" s="73">
        <v>4.1032674118658639</v>
      </c>
      <c r="T11" s="73">
        <v>3.0764402407566638</v>
      </c>
      <c r="U11" s="73">
        <v>5.1300945829750626</v>
      </c>
      <c r="V11" s="73">
        <v>4.1116938950988819</v>
      </c>
      <c r="W11" s="73">
        <v>4.1290627687016332</v>
      </c>
      <c r="X11" s="73">
        <v>3.0936371453138429</v>
      </c>
      <c r="Y11" s="73">
        <v>4.1219260533104043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4634.8002814038919</v>
      </c>
      <c r="C19" s="62">
        <f>IF(C3=0,0,C3/TrNavi_act!C7*100)</f>
        <v>6209.2823291807481</v>
      </c>
      <c r="D19" s="62">
        <f>IF(D3=0,0,D3/TrNavi_act!D7*100)</f>
        <v>4355.3030019813823</v>
      </c>
      <c r="E19" s="62">
        <f>IF(E3=0,0,E3/TrNavi_act!E7*100)</f>
        <v>5070.6923386701783</v>
      </c>
      <c r="F19" s="62">
        <f>IF(F3=0,0,F3/TrNavi_act!F7*100)</f>
        <v>6818.9634956616901</v>
      </c>
      <c r="G19" s="62">
        <f>IF(G3=0,0,G3/TrNavi_act!G7*100)</f>
        <v>5429.7356910538711</v>
      </c>
      <c r="H19" s="62">
        <f>IF(H3=0,0,H3/TrNavi_act!H7*100)</f>
        <v>7298.2434590345165</v>
      </c>
      <c r="I19" s="62">
        <f>IF(I3=0,0,I3/TrNavi_act!I7*100)</f>
        <v>7293.2072226999135</v>
      </c>
      <c r="J19" s="62">
        <f>IF(J3=0,0,J3/TrNavi_act!J7*100)</f>
        <v>6941.8657184079748</v>
      </c>
      <c r="K19" s="62">
        <f>IF(K3=0,0,K3/TrNavi_act!K7*100)</f>
        <v>7776.2578493446908</v>
      </c>
      <c r="L19" s="62">
        <f>IF(L3=0,0,L3/TrNavi_act!L7*100)</f>
        <v>5958.9766595635965</v>
      </c>
      <c r="M19" s="62">
        <f>IF(M3=0,0,M3/TrNavi_act!M7*100)</f>
        <v>4277.8494315467651</v>
      </c>
      <c r="N19" s="62">
        <f>IF(N3=0,0,N3/TrNavi_act!N7*100)</f>
        <v>7773.0008598452268</v>
      </c>
      <c r="O19" s="62">
        <f>IF(O3=0,0,O3/TrNavi_act!O7*100)</f>
        <v>4560.6190885640581</v>
      </c>
      <c r="P19" s="62">
        <f>IF(P3=0,0,P3/TrNavi_act!P7*100)</f>
        <v>6554.2159858034065</v>
      </c>
      <c r="Q19" s="62">
        <f>IF(Q3=0,0,Q3/TrNavi_act!Q7*100)</f>
        <v>6689.2220269916634</v>
      </c>
      <c r="R19" s="62">
        <f>IF(R3=0,0,R3/TrNavi_act!R7*100)</f>
        <v>8732.0027075977378</v>
      </c>
      <c r="S19" s="62">
        <f>IF(S3=0,0,S3/TrNavi_act!S7*100)</f>
        <v>11089.911923961794</v>
      </c>
      <c r="T19" s="62">
        <f>IF(T3=0,0,T3/TrNavi_act!T7*100)</f>
        <v>9924.0007766343988</v>
      </c>
      <c r="U19" s="62">
        <f>IF(U3=0,0,U3/TrNavi_act!U7*100)</f>
        <v>13500.248902565954</v>
      </c>
      <c r="V19" s="62">
        <f>IF(V3=0,0,V3/TrNavi_act!V7*100)</f>
        <v>21640.494184730956</v>
      </c>
      <c r="W19" s="62">
        <f>IF(W3=0,0,W3/TrNavi_act!W7*100)</f>
        <v>13319.557318392364</v>
      </c>
      <c r="X19" s="62">
        <f>IF(X3=0,0,X3/TrNavi_act!X7*100)</f>
        <v>10667.714294185664</v>
      </c>
      <c r="Y19" s="62">
        <f>IF(Y3=0,0,Y3/TrNavi_act!Y7*100)</f>
        <v>17174.69188879335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>
        <f>IF(X4=0,0,X4/TrNavi_act!X8*100)</f>
        <v>0</v>
      </c>
      <c r="Y20" s="63">
        <f>IF(Y4=0,0,Y4/TrNavi_act!Y8*100)</f>
        <v>0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4634.8002814038919</v>
      </c>
      <c r="C21" s="64">
        <f>IF(C10=0,0,C10/TrNavi_act!C9*100)</f>
        <v>6209.2823291807481</v>
      </c>
      <c r="D21" s="64">
        <f>IF(D10=0,0,D10/TrNavi_act!D9*100)</f>
        <v>4355.3030019813823</v>
      </c>
      <c r="E21" s="64">
        <f>IF(E10=0,0,E10/TrNavi_act!E9*100)</f>
        <v>5070.6923386701783</v>
      </c>
      <c r="F21" s="64">
        <f>IF(F10=0,0,F10/TrNavi_act!F9*100)</f>
        <v>6818.9634956616901</v>
      </c>
      <c r="G21" s="64">
        <f>IF(G10=0,0,G10/TrNavi_act!G9*100)</f>
        <v>5429.7356910538711</v>
      </c>
      <c r="H21" s="64">
        <f>IF(H10=0,0,H10/TrNavi_act!H9*100)</f>
        <v>7298.2434590345165</v>
      </c>
      <c r="I21" s="64">
        <f>IF(I10=0,0,I10/TrNavi_act!I9*100)</f>
        <v>7293.2072226999135</v>
      </c>
      <c r="J21" s="64">
        <f>IF(J10=0,0,J10/TrNavi_act!J9*100)</f>
        <v>6941.8657184079748</v>
      </c>
      <c r="K21" s="64">
        <f>IF(K10=0,0,K10/TrNavi_act!K9*100)</f>
        <v>7776.2578493446908</v>
      </c>
      <c r="L21" s="64">
        <f>IF(L10=0,0,L10/TrNavi_act!L9*100)</f>
        <v>5958.9766595635965</v>
      </c>
      <c r="M21" s="64">
        <f>IF(M10=0,0,M10/TrNavi_act!M9*100)</f>
        <v>4277.8494315467651</v>
      </c>
      <c r="N21" s="64">
        <f>IF(N10=0,0,N10/TrNavi_act!N9*100)</f>
        <v>7773.0008598452268</v>
      </c>
      <c r="O21" s="64">
        <f>IF(O10=0,0,O10/TrNavi_act!O9*100)</f>
        <v>4560.6190885640581</v>
      </c>
      <c r="P21" s="64">
        <f>IF(P10=0,0,P10/TrNavi_act!P9*100)</f>
        <v>6554.2159858034065</v>
      </c>
      <c r="Q21" s="64">
        <f>IF(Q10=0,0,Q10/TrNavi_act!Q9*100)</f>
        <v>6689.2220269916634</v>
      </c>
      <c r="R21" s="64">
        <f>IF(R10=0,0,R10/TrNavi_act!R9*100)</f>
        <v>8732.0027075977378</v>
      </c>
      <c r="S21" s="64">
        <f>IF(S10=0,0,S10/TrNavi_act!S9*100)</f>
        <v>11089.911923961794</v>
      </c>
      <c r="T21" s="64">
        <f>IF(T10=0,0,T10/TrNavi_act!T9*100)</f>
        <v>9924.0007766343988</v>
      </c>
      <c r="U21" s="64">
        <f>IF(U10=0,0,U10/TrNavi_act!U9*100)</f>
        <v>13500.248902565954</v>
      </c>
      <c r="V21" s="64">
        <f>IF(V10=0,0,V10/TrNavi_act!V9*100)</f>
        <v>21640.494184730956</v>
      </c>
      <c r="W21" s="64">
        <f>IF(W10=0,0,W10/TrNavi_act!W9*100)</f>
        <v>13319.557318392364</v>
      </c>
      <c r="X21" s="64">
        <f>IF(X10=0,0,X10/TrNavi_act!X9*100)</f>
        <v>10667.714294185664</v>
      </c>
      <c r="Y21" s="64">
        <f>IF(Y10=0,0,Y10/TrNavi_act!Y9*100)</f>
        <v>17174.69188879335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57.28404842184586</v>
      </c>
      <c r="C23" s="62">
        <f>IF(C3=0,0,C3/TrNavi_act!C3*1000)</f>
        <v>102.69197698260467</v>
      </c>
      <c r="D23" s="62">
        <f>IF(D3=0,0,D3/TrNavi_act!D3*1000)</f>
        <v>50.0859845227859</v>
      </c>
      <c r="E23" s="62">
        <f>IF(E3=0,0,E3/TrNavi_act!E3*1000)</f>
        <v>69.066326681886906</v>
      </c>
      <c r="F23" s="62">
        <f>IF(F3=0,0,F3/TrNavi_act!F3*1000)</f>
        <v>125.01433075379764</v>
      </c>
      <c r="G23" s="62">
        <f>IF(G3=0,0,G3/TrNavi_act!G3*1000)</f>
        <v>79.29137834554858</v>
      </c>
      <c r="H23" s="62">
        <f>IF(H3=0,0,H3/TrNavi_act!H3*1000)</f>
        <v>142.57033733927892</v>
      </c>
      <c r="I23" s="62">
        <f>IF(I3=0,0,I3/TrNavi_act!I3*1000)</f>
        <v>141.81236266360943</v>
      </c>
      <c r="J23" s="62">
        <f>IF(J3=0,0,J3/TrNavi_act!J3*1000)</f>
        <v>146.27502763788235</v>
      </c>
      <c r="K23" s="62">
        <f>IF(K3=0,0,K3/TrNavi_act!K3*1000)</f>
        <v>155.52515698689385</v>
      </c>
      <c r="L23" s="62">
        <f>IF(L3=0,0,L3/TrNavi_act!L3*1000)</f>
        <v>95.620788258113535</v>
      </c>
      <c r="M23" s="62">
        <f>IF(M3=0,0,M3/TrNavi_act!M3*1000)</f>
        <v>73.334561683658833</v>
      </c>
      <c r="N23" s="62">
        <f>IF(N3=0,0,N3/TrNavi_act!N3*1000)</f>
        <v>135.00475177625921</v>
      </c>
      <c r="O23" s="62">
        <f>IF(O3=0,0,O3/TrNavi_act!O3*1000)</f>
        <v>82.091143594153039</v>
      </c>
      <c r="P23" s="62">
        <f>IF(P3=0,0,P3/TrNavi_act!P3*1000)</f>
        <v>114.09190790102227</v>
      </c>
      <c r="Q23" s="62">
        <f>IF(Q3=0,0,Q3/TrNavi_act!Q3*1000)</f>
        <v>93.243700982308042</v>
      </c>
      <c r="R23" s="62">
        <f>IF(R3=0,0,R3/TrNavi_act!R3*1000)</f>
        <v>114.0011464603038</v>
      </c>
      <c r="S23" s="62">
        <f>IF(S3=0,0,S3/TrNavi_act!S3*1000)</f>
        <v>164.13069647463453</v>
      </c>
      <c r="T23" s="62">
        <f>IF(T3=0,0,T3/TrNavi_act!T3*1000)</f>
        <v>133.75827133724624</v>
      </c>
      <c r="U23" s="62">
        <f>IF(U3=0,0,U3/TrNavi_act!U3*1000)</f>
        <v>160.31545571797071</v>
      </c>
      <c r="V23" s="62">
        <f>IF(V3=0,0,V3/TrNavi_act!V3*1000)</f>
        <v>228.42743861660455</v>
      </c>
      <c r="W23" s="62">
        <f>IF(W3=0,0,W3/TrNavi_act!W3*1000)</f>
        <v>187.68467130461968</v>
      </c>
      <c r="X23" s="62">
        <f>IF(X3=0,0,X3/TrNavi_act!X3*1000)</f>
        <v>154.68185726569214</v>
      </c>
      <c r="Y23" s="62">
        <f>IF(Y3=0,0,Y3/TrNavi_act!Y3*1000)</f>
        <v>228.995891850578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>
        <f>IF(X4=0,0,X4/TrNavi_act!X4*1000)</f>
        <v>0</v>
      </c>
      <c r="Y24" s="63">
        <f>IF(Y4=0,0,Y4/TrNavi_act!Y4*1000)</f>
        <v>0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57.28404842184586</v>
      </c>
      <c r="C25" s="64">
        <f>IF(C10=0,0,C10/TrNavi_act!C5*1000)</f>
        <v>102.69197698260467</v>
      </c>
      <c r="D25" s="64">
        <f>IF(D10=0,0,D10/TrNavi_act!D5*1000)</f>
        <v>50.0859845227859</v>
      </c>
      <c r="E25" s="64">
        <f>IF(E10=0,0,E10/TrNavi_act!E5*1000)</f>
        <v>69.066326681886906</v>
      </c>
      <c r="F25" s="64">
        <f>IF(F10=0,0,F10/TrNavi_act!F5*1000)</f>
        <v>125.01433075379764</v>
      </c>
      <c r="G25" s="64">
        <f>IF(G10=0,0,G10/TrNavi_act!G5*1000)</f>
        <v>79.29137834554858</v>
      </c>
      <c r="H25" s="64">
        <f>IF(H10=0,0,H10/TrNavi_act!H5*1000)</f>
        <v>142.57033733927892</v>
      </c>
      <c r="I25" s="64">
        <f>IF(I10=0,0,I10/TrNavi_act!I5*1000)</f>
        <v>141.81236266360943</v>
      </c>
      <c r="J25" s="64">
        <f>IF(J10=0,0,J10/TrNavi_act!J5*1000)</f>
        <v>146.27502763788235</v>
      </c>
      <c r="K25" s="64">
        <f>IF(K10=0,0,K10/TrNavi_act!K5*1000)</f>
        <v>155.52515698689385</v>
      </c>
      <c r="L25" s="64">
        <f>IF(L10=0,0,L10/TrNavi_act!L5*1000)</f>
        <v>95.620788258113535</v>
      </c>
      <c r="M25" s="64">
        <f>IF(M10=0,0,M10/TrNavi_act!M5*1000)</f>
        <v>73.334561683658833</v>
      </c>
      <c r="N25" s="64">
        <f>IF(N10=0,0,N10/TrNavi_act!N5*1000)</f>
        <v>135.00475177625921</v>
      </c>
      <c r="O25" s="64">
        <f>IF(O10=0,0,O10/TrNavi_act!O5*1000)</f>
        <v>82.091143594153039</v>
      </c>
      <c r="P25" s="64">
        <f>IF(P10=0,0,P10/TrNavi_act!P5*1000)</f>
        <v>114.09190790102227</v>
      </c>
      <c r="Q25" s="64">
        <f>IF(Q10=0,0,Q10/TrNavi_act!Q5*1000)</f>
        <v>93.243700982308042</v>
      </c>
      <c r="R25" s="64">
        <f>IF(R10=0,0,R10/TrNavi_act!R5*1000)</f>
        <v>114.0011464603038</v>
      </c>
      <c r="S25" s="64">
        <f>IF(S10=0,0,S10/TrNavi_act!S5*1000)</f>
        <v>164.13069647463453</v>
      </c>
      <c r="T25" s="64">
        <f>IF(T10=0,0,T10/TrNavi_act!T5*1000)</f>
        <v>133.75827133724624</v>
      </c>
      <c r="U25" s="64">
        <f>IF(U10=0,0,U10/TrNavi_act!U5*1000)</f>
        <v>160.31545571797071</v>
      </c>
      <c r="V25" s="64">
        <f>IF(V10=0,0,V10/TrNavi_act!V5*1000)</f>
        <v>228.42743861660455</v>
      </c>
      <c r="W25" s="64">
        <f>IF(W10=0,0,W10/TrNavi_act!W5*1000)</f>
        <v>187.68467130461968</v>
      </c>
      <c r="X25" s="64">
        <f>IF(X10=0,0,X10/TrNavi_act!X5*1000)</f>
        <v>154.68185726569214</v>
      </c>
      <c r="Y25" s="64">
        <f>IF(Y10=0,0,Y10/TrNavi_act!Y5*1000)</f>
        <v>228.995891850578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0</v>
      </c>
      <c r="C28" s="77">
        <f t="shared" si="9"/>
        <v>0</v>
      </c>
      <c r="D28" s="77">
        <f t="shared" si="9"/>
        <v>0</v>
      </c>
      <c r="E28" s="77">
        <f t="shared" si="9"/>
        <v>0</v>
      </c>
      <c r="F28" s="77">
        <f t="shared" si="9"/>
        <v>0</v>
      </c>
      <c r="G28" s="77">
        <f t="shared" si="9"/>
        <v>0</v>
      </c>
      <c r="H28" s="77">
        <f t="shared" si="9"/>
        <v>0</v>
      </c>
      <c r="I28" s="77">
        <f t="shared" si="9"/>
        <v>0</v>
      </c>
      <c r="J28" s="77">
        <f t="shared" si="9"/>
        <v>0</v>
      </c>
      <c r="K28" s="77">
        <f t="shared" si="9"/>
        <v>0</v>
      </c>
      <c r="L28" s="77">
        <f t="shared" si="9"/>
        <v>0</v>
      </c>
      <c r="M28" s="77">
        <f t="shared" si="9"/>
        <v>0</v>
      </c>
      <c r="N28" s="77">
        <f t="shared" si="9"/>
        <v>0</v>
      </c>
      <c r="O28" s="77">
        <f t="shared" si="9"/>
        <v>0</v>
      </c>
      <c r="P28" s="77">
        <f t="shared" si="9"/>
        <v>0</v>
      </c>
      <c r="Q28" s="77">
        <f t="shared" si="9"/>
        <v>0</v>
      </c>
      <c r="R28" s="77">
        <f t="shared" si="9"/>
        <v>0</v>
      </c>
      <c r="S28" s="77">
        <f t="shared" si="9"/>
        <v>0</v>
      </c>
      <c r="T28" s="77">
        <f t="shared" si="9"/>
        <v>0</v>
      </c>
      <c r="U28" s="77">
        <f t="shared" si="9"/>
        <v>0</v>
      </c>
      <c r="V28" s="77">
        <f t="shared" ref="V28:W28" si="10">IF(V4=0,0,V4/V$3)</f>
        <v>0</v>
      </c>
      <c r="W28" s="77">
        <f t="shared" si="10"/>
        <v>0</v>
      </c>
      <c r="X28" s="77">
        <f t="shared" ref="X28:Y28" si="11">IF(X4=0,0,X4/X$3)</f>
        <v>0</v>
      </c>
      <c r="Y28" s="77">
        <f t="shared" si="11"/>
        <v>0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1</v>
      </c>
      <c r="C29" s="78">
        <f t="shared" si="12"/>
        <v>1</v>
      </c>
      <c r="D29" s="78">
        <f t="shared" si="12"/>
        <v>1</v>
      </c>
      <c r="E29" s="78">
        <f t="shared" si="12"/>
        <v>1</v>
      </c>
      <c r="F29" s="78">
        <f t="shared" si="12"/>
        <v>1</v>
      </c>
      <c r="G29" s="78">
        <f t="shared" si="12"/>
        <v>1</v>
      </c>
      <c r="H29" s="78">
        <f t="shared" si="12"/>
        <v>1</v>
      </c>
      <c r="I29" s="78">
        <f t="shared" si="12"/>
        <v>1</v>
      </c>
      <c r="J29" s="78">
        <f t="shared" si="12"/>
        <v>1</v>
      </c>
      <c r="K29" s="78">
        <f t="shared" si="12"/>
        <v>1</v>
      </c>
      <c r="L29" s="78">
        <f t="shared" si="12"/>
        <v>1</v>
      </c>
      <c r="M29" s="78">
        <f t="shared" si="12"/>
        <v>1</v>
      </c>
      <c r="N29" s="78">
        <f t="shared" si="12"/>
        <v>1</v>
      </c>
      <c r="O29" s="78">
        <f t="shared" si="12"/>
        <v>1</v>
      </c>
      <c r="P29" s="78">
        <f t="shared" si="12"/>
        <v>1</v>
      </c>
      <c r="Q29" s="78">
        <f t="shared" si="12"/>
        <v>1</v>
      </c>
      <c r="R29" s="78">
        <f t="shared" si="12"/>
        <v>1</v>
      </c>
      <c r="S29" s="78">
        <f t="shared" si="12"/>
        <v>1</v>
      </c>
      <c r="T29" s="78">
        <f t="shared" si="12"/>
        <v>1</v>
      </c>
      <c r="U29" s="78">
        <f t="shared" si="12"/>
        <v>1</v>
      </c>
      <c r="V29" s="78">
        <f t="shared" ref="V29:W29" si="13">IF(V10=0,0,V10/V$3)</f>
        <v>1</v>
      </c>
      <c r="W29" s="78">
        <f t="shared" si="13"/>
        <v>1</v>
      </c>
      <c r="X29" s="78">
        <f t="shared" ref="X29:Y29" si="14">IF(X10=0,0,X10/X$3)</f>
        <v>1</v>
      </c>
      <c r="Y29" s="78">
        <f t="shared" si="14"/>
        <v>1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15.81700068</v>
      </c>
      <c r="C3" s="54">
        <f t="shared" ref="C3:V3" si="1">SUM(C4:C5)</f>
        <v>24.850294560000002</v>
      </c>
      <c r="D3" s="54">
        <f t="shared" si="1"/>
        <v>12.431016</v>
      </c>
      <c r="E3" s="54">
        <f t="shared" si="1"/>
        <v>12.42781488</v>
      </c>
      <c r="F3" s="54">
        <f t="shared" si="1"/>
        <v>18.616646880000001</v>
      </c>
      <c r="G3" s="54">
        <f t="shared" si="1"/>
        <v>15.49768896</v>
      </c>
      <c r="H3" s="54">
        <f t="shared" si="1"/>
        <v>19.01945448</v>
      </c>
      <c r="I3" s="54">
        <f t="shared" si="1"/>
        <v>15.838608240000001</v>
      </c>
      <c r="J3" s="54">
        <f t="shared" si="1"/>
        <v>12.706579080000001</v>
      </c>
      <c r="K3" s="54">
        <f t="shared" si="1"/>
        <v>15.922637639999996</v>
      </c>
      <c r="L3" s="54">
        <f t="shared" si="1"/>
        <v>12.75619644</v>
      </c>
      <c r="M3" s="54">
        <f t="shared" si="1"/>
        <v>9.5556099599999982</v>
      </c>
      <c r="N3" s="54">
        <f t="shared" si="1"/>
        <v>15.915968639999999</v>
      </c>
      <c r="O3" s="54">
        <f t="shared" si="1"/>
        <v>6.3670276799999996</v>
      </c>
      <c r="P3" s="54">
        <f t="shared" si="1"/>
        <v>9.5569437600000011</v>
      </c>
      <c r="Q3" s="54">
        <f t="shared" si="1"/>
        <v>9.5462733600000007</v>
      </c>
      <c r="R3" s="54">
        <f t="shared" si="1"/>
        <v>12.732454799999999</v>
      </c>
      <c r="S3" s="54">
        <f t="shared" si="1"/>
        <v>12.730053959999999</v>
      </c>
      <c r="T3" s="54">
        <f t="shared" si="1"/>
        <v>9.5444060400000001</v>
      </c>
      <c r="U3" s="54">
        <f t="shared" si="1"/>
        <v>15.915701879999995</v>
      </c>
      <c r="V3" s="54">
        <f t="shared" si="1"/>
        <v>12.75619644</v>
      </c>
      <c r="W3" s="54">
        <f t="shared" ref="W3:Y3" si="2">SUM(W4:W5)</f>
        <v>12.81008196</v>
      </c>
      <c r="X3" s="54">
        <f t="shared" si="2"/>
        <v>9.5977580399999987</v>
      </c>
      <c r="Y3" s="54">
        <f t="shared" si="2"/>
        <v>12.787940880000001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15.81700068</v>
      </c>
      <c r="C5" s="58">
        <v>24.850294560000002</v>
      </c>
      <c r="D5" s="58">
        <v>12.431016</v>
      </c>
      <c r="E5" s="58">
        <v>12.42781488</v>
      </c>
      <c r="F5" s="58">
        <v>18.616646880000001</v>
      </c>
      <c r="G5" s="58">
        <v>15.49768896</v>
      </c>
      <c r="H5" s="58">
        <v>19.01945448</v>
      </c>
      <c r="I5" s="58">
        <v>15.838608240000001</v>
      </c>
      <c r="J5" s="58">
        <v>12.706579080000001</v>
      </c>
      <c r="K5" s="58">
        <v>15.922637639999996</v>
      </c>
      <c r="L5" s="58">
        <v>12.75619644</v>
      </c>
      <c r="M5" s="58">
        <v>9.5556099599999982</v>
      </c>
      <c r="N5" s="58">
        <v>15.915968639999999</v>
      </c>
      <c r="O5" s="58">
        <v>6.3670276799999996</v>
      </c>
      <c r="P5" s="58">
        <v>9.5569437600000011</v>
      </c>
      <c r="Q5" s="58">
        <v>9.5462733600000007</v>
      </c>
      <c r="R5" s="58">
        <v>12.732454799999999</v>
      </c>
      <c r="S5" s="58">
        <v>12.730053959999999</v>
      </c>
      <c r="T5" s="58">
        <v>9.5444060400000001</v>
      </c>
      <c r="U5" s="58">
        <v>15.915701879999995</v>
      </c>
      <c r="V5" s="58">
        <v>12.75619644</v>
      </c>
      <c r="W5" s="58">
        <v>12.81008196</v>
      </c>
      <c r="X5" s="58">
        <v>9.5977580399999987</v>
      </c>
      <c r="Y5" s="58">
        <v>12.787940880000001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3.1024188000000001</v>
      </c>
      <c r="C9" s="79">
        <f>IF(C3=0,0,C3/TrNavi_ene!C3)</f>
        <v>3.1024188000000001</v>
      </c>
      <c r="D9" s="79">
        <f>IF(D3=0,0,D3/TrNavi_ene!D3)</f>
        <v>3.1024188000000001</v>
      </c>
      <c r="E9" s="79">
        <f>IF(E3=0,0,E3/TrNavi_ene!E3)</f>
        <v>3.1024188000000001</v>
      </c>
      <c r="F9" s="79">
        <f>IF(F3=0,0,F3/TrNavi_ene!F3)</f>
        <v>3.1024188000000006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3.1024188000000001</v>
      </c>
      <c r="J9" s="79">
        <f>IF(J3=0,0,J3/TrNavi_ene!J3)</f>
        <v>3.1024188000000001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3.1024188000000001</v>
      </c>
      <c r="O9" s="79">
        <f>IF(O3=0,0,O3/TrNavi_ene!O3)</f>
        <v>3.1024188000000001</v>
      </c>
      <c r="P9" s="79">
        <f>IF(P3=0,0,P3/TrNavi_ene!P3)</f>
        <v>3.1024188000000001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3.1024188000000001</v>
      </c>
      <c r="W9" s="79">
        <f>IF(W3=0,0,W3/TrNavi_ene!W3)</f>
        <v>3.1024188000000001</v>
      </c>
      <c r="X9" s="79">
        <f>IF(X3=0,0,X3/TrNavi_ene!X3)</f>
        <v>3.1024188000000001</v>
      </c>
      <c r="Y9" s="79">
        <f>IF(Y3=0,0,Y3/TrNavi_ene!Y3)</f>
        <v>3.1024188000000001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>
        <f>IF(X4=0,0,X4/TrNavi_ene!X4)</f>
        <v>0</v>
      </c>
      <c r="Y10" s="80">
        <f>IF(Y4=0,0,Y4/TrNavi_ene!Y4)</f>
        <v>0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3.1024188000000001</v>
      </c>
      <c r="D11" s="81">
        <f>IF(D5=0,0,D5/TrNavi_ene!D10)</f>
        <v>3.1024188000000001</v>
      </c>
      <c r="E11" s="81">
        <f>IF(E5=0,0,E5/TrNavi_ene!E10)</f>
        <v>3.1024188000000001</v>
      </c>
      <c r="F11" s="81">
        <f>IF(F5=0,0,F5/TrNavi_ene!F10)</f>
        <v>3.1024188000000006</v>
      </c>
      <c r="G11" s="81">
        <f>IF(G5=0,0,G5/TrNavi_ene!G10)</f>
        <v>3.1024188000000001</v>
      </c>
      <c r="H11" s="81">
        <f>IF(H5=0,0,H5/TrNavi_ene!H10)</f>
        <v>3.1024188000000001</v>
      </c>
      <c r="I11" s="81">
        <f>IF(I5=0,0,I5/TrNavi_ene!I10)</f>
        <v>3.1024188000000001</v>
      </c>
      <c r="J11" s="81">
        <f>IF(J5=0,0,J5/TrNavi_ene!J10)</f>
        <v>3.1024188000000001</v>
      </c>
      <c r="K11" s="81">
        <f>IF(K5=0,0,K5/TrNavi_ene!K10)</f>
        <v>3.1024188000000001</v>
      </c>
      <c r="L11" s="81">
        <f>IF(L5=0,0,L5/TrNavi_ene!L10)</f>
        <v>3.1024188000000001</v>
      </c>
      <c r="M11" s="81">
        <f>IF(M5=0,0,M5/TrNavi_ene!M10)</f>
        <v>3.1024188000000001</v>
      </c>
      <c r="N11" s="81">
        <f>IF(N5=0,0,N5/TrNavi_ene!N10)</f>
        <v>3.1024188000000001</v>
      </c>
      <c r="O11" s="81">
        <f>IF(O5=0,0,O5/TrNavi_ene!O10)</f>
        <v>3.1024188000000001</v>
      </c>
      <c r="P11" s="81">
        <f>IF(P5=0,0,P5/TrNavi_ene!P10)</f>
        <v>3.1024188000000001</v>
      </c>
      <c r="Q11" s="81">
        <f>IF(Q5=0,0,Q5/TrNavi_ene!Q10)</f>
        <v>3.1024188000000001</v>
      </c>
      <c r="R11" s="81">
        <f>IF(R5=0,0,R5/TrNavi_ene!R10)</f>
        <v>3.1024188000000001</v>
      </c>
      <c r="S11" s="81">
        <f>IF(S5=0,0,S5/TrNavi_ene!S10)</f>
        <v>3.1024188000000001</v>
      </c>
      <c r="T11" s="81">
        <f>IF(T5=0,0,T5/TrNavi_ene!T10)</f>
        <v>3.1024188000000001</v>
      </c>
      <c r="U11" s="81">
        <f>IF(U5=0,0,U5/TrNavi_ene!U10)</f>
        <v>3.1024188000000001</v>
      </c>
      <c r="V11" s="81">
        <f>IF(V5=0,0,V5/TrNavi_ene!V10)</f>
        <v>3.1024188000000001</v>
      </c>
      <c r="W11" s="81">
        <f>IF(W5=0,0,W5/TrNavi_ene!W10)</f>
        <v>3.1024188000000001</v>
      </c>
      <c r="X11" s="81">
        <f>IF(X5=0,0,X5/TrNavi_ene!X10)</f>
        <v>3.1024188000000001</v>
      </c>
      <c r="Y11" s="81">
        <f>IF(Y5=0,0,Y5/TrNavi_ene!Y10)</f>
        <v>3.1024188000000001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143790.91527272726</v>
      </c>
      <c r="C13" s="54">
        <f>IF(C3=0,0,C3/TrNavi_act!C7*1000)</f>
        <v>192637.94232558142</v>
      </c>
      <c r="D13" s="54">
        <f>IF(D3=0,0,D3/TrNavi_act!D7*1000)</f>
        <v>135119.73913043478</v>
      </c>
      <c r="E13" s="54">
        <f>IF(E3=0,0,E3/TrNavi_act!E7*1000)</f>
        <v>157314.11240506329</v>
      </c>
      <c r="F13" s="54">
        <f>IF(F3=0,0,F3/TrNavi_act!F7*1000)</f>
        <v>211552.80545454548</v>
      </c>
      <c r="G13" s="54">
        <f>IF(G3=0,0,G3/TrNavi_act!G7*1000)</f>
        <v>168453.14086956519</v>
      </c>
      <c r="H13" s="54">
        <f>IF(H3=0,0,H3/TrNavi_act!H7*1000)</f>
        <v>226422.07714285713</v>
      </c>
      <c r="I13" s="54">
        <f>IF(I3=0,0,I3/TrNavi_act!I7*1000)</f>
        <v>226265.83199999999</v>
      </c>
      <c r="J13" s="54">
        <f>IF(J3=0,0,J3/TrNavi_act!J7*1000)</f>
        <v>215365.7471186441</v>
      </c>
      <c r="K13" s="54">
        <f>IF(K3=0,0,K3/TrNavi_act!K7*1000)</f>
        <v>241252.08545454539</v>
      </c>
      <c r="L13" s="54">
        <f>IF(L3=0,0,L3/TrNavi_act!L7*1000)</f>
        <v>184872.41217391304</v>
      </c>
      <c r="M13" s="54">
        <f>IF(M3=0,0,M3/TrNavi_act!M7*1000)</f>
        <v>132716.80499999999</v>
      </c>
      <c r="N13" s="54">
        <f>IF(N3=0,0,N3/TrNavi_act!N7*1000)</f>
        <v>241151.03999999998</v>
      </c>
      <c r="O13" s="54">
        <f>IF(O3=0,0,O3/TrNavi_act!O7*1000)</f>
        <v>141489.50400000002</v>
      </c>
      <c r="P13" s="54">
        <f>IF(P3=0,0,P3/TrNavi_act!P7*1000)</f>
        <v>203339.22893617023</v>
      </c>
      <c r="Q13" s="54">
        <f>IF(Q3=0,0,Q3/TrNavi_act!Q7*1000)</f>
        <v>207527.68173913046</v>
      </c>
      <c r="R13" s="54">
        <f>IF(R3=0,0,R3/TrNavi_act!R7*1000)</f>
        <v>270903.29361702123</v>
      </c>
      <c r="S13" s="54">
        <f>IF(S3=0,0,S3/TrNavi_act!S7*1000)</f>
        <v>344055.51243243238</v>
      </c>
      <c r="T13" s="54">
        <f>IF(T3=0,0,T3/TrNavi_act!T7*1000)</f>
        <v>307884.06580645166</v>
      </c>
      <c r="U13" s="54">
        <f>IF(U3=0,0,U3/TrNavi_act!U7*1000)</f>
        <v>418834.25999999983</v>
      </c>
      <c r="V13" s="54">
        <f>IF(V3=0,0,V3/TrNavi_act!V7*1000)</f>
        <v>671378.76</v>
      </c>
      <c r="W13" s="54">
        <f>IF(W3=0,0,W3/TrNavi_act!W7*1000)</f>
        <v>413228.45032258064</v>
      </c>
      <c r="X13" s="54">
        <f>IF(X3=0,0,X3/TrNavi_act!X7*1000)</f>
        <v>330957.17379310337</v>
      </c>
      <c r="Y13" s="54">
        <f>IF(Y3=0,0,Y3/TrNavi_act!Y7*1000)</f>
        <v>532830.87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56">
        <f>IF(X4=0,0,X4/TrNavi_act!X8*1000)</f>
        <v>0</v>
      </c>
      <c r="Y14" s="56">
        <f>IF(Y4=0,0,Y4/TrNavi_act!Y8*1000)</f>
        <v>0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143790.91527272726</v>
      </c>
      <c r="C15" s="58">
        <f>IF(C5=0,0,C5/TrNavi_act!C9*1000)</f>
        <v>192637.94232558142</v>
      </c>
      <c r="D15" s="58">
        <f>IF(D5=0,0,D5/TrNavi_act!D9*1000)</f>
        <v>135119.73913043478</v>
      </c>
      <c r="E15" s="58">
        <f>IF(E5=0,0,E5/TrNavi_act!E9*1000)</f>
        <v>157314.11240506329</v>
      </c>
      <c r="F15" s="58">
        <f>IF(F5=0,0,F5/TrNavi_act!F9*1000)</f>
        <v>211552.80545454548</v>
      </c>
      <c r="G15" s="58">
        <f>IF(G5=0,0,G5/TrNavi_act!G9*1000)</f>
        <v>168453.14086956519</v>
      </c>
      <c r="H15" s="58">
        <f>IF(H5=0,0,H5/TrNavi_act!H9*1000)</f>
        <v>226422.07714285713</v>
      </c>
      <c r="I15" s="58">
        <f>IF(I5=0,0,I5/TrNavi_act!I9*1000)</f>
        <v>226265.83199999999</v>
      </c>
      <c r="J15" s="58">
        <f>IF(J5=0,0,J5/TrNavi_act!J9*1000)</f>
        <v>215365.7471186441</v>
      </c>
      <c r="K15" s="58">
        <f>IF(K5=0,0,K5/TrNavi_act!K9*1000)</f>
        <v>241252.08545454539</v>
      </c>
      <c r="L15" s="58">
        <f>IF(L5=0,0,L5/TrNavi_act!L9*1000)</f>
        <v>184872.41217391304</v>
      </c>
      <c r="M15" s="58">
        <f>IF(M5=0,0,M5/TrNavi_act!M9*1000)</f>
        <v>132716.80499999999</v>
      </c>
      <c r="N15" s="58">
        <f>IF(N5=0,0,N5/TrNavi_act!N9*1000)</f>
        <v>241151.03999999998</v>
      </c>
      <c r="O15" s="58">
        <f>IF(O5=0,0,O5/TrNavi_act!O9*1000)</f>
        <v>141489.50400000002</v>
      </c>
      <c r="P15" s="58">
        <f>IF(P5=0,0,P5/TrNavi_act!P9*1000)</f>
        <v>203339.22893617023</v>
      </c>
      <c r="Q15" s="58">
        <f>IF(Q5=0,0,Q5/TrNavi_act!Q9*1000)</f>
        <v>207527.68173913046</v>
      </c>
      <c r="R15" s="58">
        <f>IF(R5=0,0,R5/TrNavi_act!R9*1000)</f>
        <v>270903.29361702123</v>
      </c>
      <c r="S15" s="58">
        <f>IF(S5=0,0,S5/TrNavi_act!S9*1000)</f>
        <v>344055.51243243238</v>
      </c>
      <c r="T15" s="58">
        <f>IF(T5=0,0,T5/TrNavi_act!T9*1000)</f>
        <v>307884.06580645166</v>
      </c>
      <c r="U15" s="58">
        <f>IF(U5=0,0,U5/TrNavi_act!U9*1000)</f>
        <v>418834.25999999983</v>
      </c>
      <c r="V15" s="58">
        <f>IF(V5=0,0,V5/TrNavi_act!V9*1000)</f>
        <v>671378.76</v>
      </c>
      <c r="W15" s="58">
        <f>IF(W5=0,0,W5/TrNavi_act!W9*1000)</f>
        <v>413228.45032258064</v>
      </c>
      <c r="X15" s="58">
        <f>IF(X5=0,0,X5/TrNavi_act!X9*1000)</f>
        <v>330957.17379310337</v>
      </c>
      <c r="Y15" s="58">
        <f>IF(Y5=0,0,Y5/TrNavi_act!Y9*1000)</f>
        <v>532830.87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177.71910876404496</v>
      </c>
      <c r="C17" s="62">
        <f>IF(C3=0,0,C3/TrNavi_act!C3*1000)</f>
        <v>318.59352000000001</v>
      </c>
      <c r="D17" s="62">
        <f>IF(D3=0,0,D3/TrNavi_act!D3*1000)</f>
        <v>155.3877</v>
      </c>
      <c r="E17" s="62">
        <f>IF(E3=0,0,E3/TrNavi_act!E3*1000)</f>
        <v>214.27267034482759</v>
      </c>
      <c r="F17" s="62">
        <f>IF(F3=0,0,F3/TrNavi_act!F3*1000)</f>
        <v>387.84681000000006</v>
      </c>
      <c r="G17" s="62">
        <f>IF(G3=0,0,G3/TrNavi_act!G3*1000)</f>
        <v>245.99506285714284</v>
      </c>
      <c r="H17" s="62">
        <f>IF(H3=0,0,H3/TrNavi_act!H3*1000)</f>
        <v>442.31289488372096</v>
      </c>
      <c r="I17" s="62">
        <f>IF(I3=0,0,I3/TrNavi_act!I3*1000)</f>
        <v>439.96134000000001</v>
      </c>
      <c r="J17" s="62">
        <f>IF(J3=0,0,J3/TrNavi_act!J3*1000)</f>
        <v>453.80639571428577</v>
      </c>
      <c r="K17" s="62">
        <f>IF(K3=0,0,K3/TrNavi_act!K3*1000)</f>
        <v>482.50417090909082</v>
      </c>
      <c r="L17" s="62">
        <f>IF(L3=0,0,L3/TrNavi_act!L3*1000)</f>
        <v>296.65573116279069</v>
      </c>
      <c r="M17" s="62">
        <f>IF(M3=0,0,M3/TrNavi_act!M3*1000)</f>
        <v>227.51452285714282</v>
      </c>
      <c r="N17" s="62">
        <f>IF(N3=0,0,N3/TrNavi_act!N3*1000)</f>
        <v>418.84127999999998</v>
      </c>
      <c r="O17" s="62">
        <f>IF(O3=0,0,O3/TrNavi_act!O3*1000)</f>
        <v>254.68110719999999</v>
      </c>
      <c r="P17" s="62">
        <f>IF(P3=0,0,P3/TrNavi_act!P3*1000)</f>
        <v>353.96088000000003</v>
      </c>
      <c r="Q17" s="62">
        <f>IF(Q3=0,0,Q3/TrNavi_act!Q3*1000)</f>
        <v>289.28101090909092</v>
      </c>
      <c r="R17" s="62">
        <f>IF(R3=0,0,R3/TrNavi_act!R3*1000)</f>
        <v>353.67929999999996</v>
      </c>
      <c r="S17" s="62">
        <f>IF(S3=0,0,S3/TrNavi_act!S3*1000)</f>
        <v>509.20215839999992</v>
      </c>
      <c r="T17" s="62">
        <f>IF(T3=0,0,T3/TrNavi_act!T3*1000)</f>
        <v>414.97417565217393</v>
      </c>
      <c r="U17" s="62">
        <f>IF(U3=0,0,U3/TrNavi_act!U3*1000)</f>
        <v>497.36568374999985</v>
      </c>
      <c r="V17" s="62">
        <f>IF(V3=0,0,V3/TrNavi_act!V3*1000)</f>
        <v>708.67758000000003</v>
      </c>
      <c r="W17" s="62">
        <f>IF(W3=0,0,W3/TrNavi_act!W3*1000)</f>
        <v>582.27645272727273</v>
      </c>
      <c r="X17" s="62">
        <f>IF(X3=0,0,X3/TrNavi_act!X3*1000)</f>
        <v>479.88790199999994</v>
      </c>
      <c r="Y17" s="62">
        <f>IF(Y3=0,0,Y3/TrNavi_act!Y3*1000)</f>
        <v>710.44115999999997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>
        <f>IF(X4=0,0,X4/TrNavi_act!X4*1000)</f>
        <v>0</v>
      </c>
      <c r="Y18" s="63">
        <f>IF(Y4=0,0,Y4/TrNavi_act!Y4*1000)</f>
        <v>0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177.71910876404496</v>
      </c>
      <c r="C19" s="64">
        <f>IF(C5=0,0,C5/TrNavi_act!C5*1000)</f>
        <v>318.59352000000001</v>
      </c>
      <c r="D19" s="64">
        <f>IF(D5=0,0,D5/TrNavi_act!D5*1000)</f>
        <v>155.3877</v>
      </c>
      <c r="E19" s="64">
        <f>IF(E5=0,0,E5/TrNavi_act!E5*1000)</f>
        <v>214.27267034482759</v>
      </c>
      <c r="F19" s="64">
        <f>IF(F5=0,0,F5/TrNavi_act!F5*1000)</f>
        <v>387.84681000000006</v>
      </c>
      <c r="G19" s="64">
        <f>IF(G5=0,0,G5/TrNavi_act!G5*1000)</f>
        <v>245.99506285714284</v>
      </c>
      <c r="H19" s="64">
        <f>IF(H5=0,0,H5/TrNavi_act!H5*1000)</f>
        <v>442.31289488372096</v>
      </c>
      <c r="I19" s="64">
        <f>IF(I5=0,0,I5/TrNavi_act!I5*1000)</f>
        <v>439.96134000000001</v>
      </c>
      <c r="J19" s="64">
        <f>IF(J5=0,0,J5/TrNavi_act!J5*1000)</f>
        <v>453.80639571428577</v>
      </c>
      <c r="K19" s="64">
        <f>IF(K5=0,0,K5/TrNavi_act!K5*1000)</f>
        <v>482.50417090909082</v>
      </c>
      <c r="L19" s="64">
        <f>IF(L5=0,0,L5/TrNavi_act!L5*1000)</f>
        <v>296.65573116279069</v>
      </c>
      <c r="M19" s="64">
        <f>IF(M5=0,0,M5/TrNavi_act!M5*1000)</f>
        <v>227.51452285714282</v>
      </c>
      <c r="N19" s="64">
        <f>IF(N5=0,0,N5/TrNavi_act!N5*1000)</f>
        <v>418.84127999999998</v>
      </c>
      <c r="O19" s="64">
        <f>IF(O5=0,0,O5/TrNavi_act!O5*1000)</f>
        <v>254.68110719999999</v>
      </c>
      <c r="P19" s="64">
        <f>IF(P5=0,0,P5/TrNavi_act!P5*1000)</f>
        <v>353.96088000000003</v>
      </c>
      <c r="Q19" s="64">
        <f>IF(Q5=0,0,Q5/TrNavi_act!Q5*1000)</f>
        <v>289.28101090909092</v>
      </c>
      <c r="R19" s="64">
        <f>IF(R5=0,0,R5/TrNavi_act!R5*1000)</f>
        <v>353.67929999999996</v>
      </c>
      <c r="S19" s="64">
        <f>IF(S5=0,0,S5/TrNavi_act!S5*1000)</f>
        <v>509.20215839999992</v>
      </c>
      <c r="T19" s="64">
        <f>IF(T5=0,0,T5/TrNavi_act!T5*1000)</f>
        <v>414.97417565217393</v>
      </c>
      <c r="U19" s="64">
        <f>IF(U5=0,0,U5/TrNavi_act!U5*1000)</f>
        <v>497.36568374999985</v>
      </c>
      <c r="V19" s="64">
        <f>IF(V5=0,0,V5/TrNavi_act!V5*1000)</f>
        <v>708.67758000000003</v>
      </c>
      <c r="W19" s="64">
        <f>IF(W5=0,0,W5/TrNavi_act!W5*1000)</f>
        <v>582.27645272727273</v>
      </c>
      <c r="X19" s="64">
        <f>IF(X5=0,0,X5/TrNavi_act!X5*1000)</f>
        <v>479.88790199999994</v>
      </c>
      <c r="Y19" s="64">
        <f>IF(Y5=0,0,Y5/TrNavi_act!Y5*1000)</f>
        <v>710.44115999999997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0</v>
      </c>
      <c r="C22" s="77">
        <f t="shared" si="6"/>
        <v>0</v>
      </c>
      <c r="D22" s="77">
        <f t="shared" si="6"/>
        <v>0</v>
      </c>
      <c r="E22" s="77">
        <f t="shared" si="6"/>
        <v>0</v>
      </c>
      <c r="F22" s="77">
        <f t="shared" si="6"/>
        <v>0</v>
      </c>
      <c r="G22" s="77">
        <f t="shared" si="6"/>
        <v>0</v>
      </c>
      <c r="H22" s="77">
        <f t="shared" si="6"/>
        <v>0</v>
      </c>
      <c r="I22" s="77">
        <f t="shared" si="6"/>
        <v>0</v>
      </c>
      <c r="J22" s="77">
        <f t="shared" si="6"/>
        <v>0</v>
      </c>
      <c r="K22" s="77">
        <f t="shared" si="6"/>
        <v>0</v>
      </c>
      <c r="L22" s="77">
        <f t="shared" si="6"/>
        <v>0</v>
      </c>
      <c r="M22" s="77">
        <f t="shared" si="6"/>
        <v>0</v>
      </c>
      <c r="N22" s="77">
        <f t="shared" si="6"/>
        <v>0</v>
      </c>
      <c r="O22" s="77">
        <f t="shared" si="6"/>
        <v>0</v>
      </c>
      <c r="P22" s="77">
        <f t="shared" si="6"/>
        <v>0</v>
      </c>
      <c r="Q22" s="77">
        <f t="shared" si="6"/>
        <v>0</v>
      </c>
      <c r="R22" s="77">
        <f t="shared" si="6"/>
        <v>0</v>
      </c>
      <c r="S22" s="77">
        <f t="shared" si="6"/>
        <v>0</v>
      </c>
      <c r="T22" s="77">
        <f t="shared" si="6"/>
        <v>0</v>
      </c>
      <c r="U22" s="77">
        <f t="shared" si="6"/>
        <v>0</v>
      </c>
      <c r="V22" s="77">
        <f t="shared" ref="V22:W22" si="7">IF(V4=0,0,V4/V$3)</f>
        <v>0</v>
      </c>
      <c r="W22" s="77">
        <f t="shared" si="7"/>
        <v>0</v>
      </c>
      <c r="X22" s="77">
        <f t="shared" ref="X22:Y22" si="8">IF(X4=0,0,X4/X$3)</f>
        <v>0</v>
      </c>
      <c r="Y22" s="77">
        <f t="shared" si="8"/>
        <v>0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1</v>
      </c>
      <c r="C23" s="78">
        <f t="shared" si="9"/>
        <v>1</v>
      </c>
      <c r="D23" s="78">
        <f t="shared" si="9"/>
        <v>1</v>
      </c>
      <c r="E23" s="78">
        <f t="shared" si="9"/>
        <v>1</v>
      </c>
      <c r="F23" s="78">
        <f t="shared" si="9"/>
        <v>1</v>
      </c>
      <c r="G23" s="78">
        <f t="shared" si="9"/>
        <v>1</v>
      </c>
      <c r="H23" s="78">
        <f t="shared" si="9"/>
        <v>1</v>
      </c>
      <c r="I23" s="78">
        <f t="shared" si="9"/>
        <v>1</v>
      </c>
      <c r="J23" s="78">
        <f t="shared" si="9"/>
        <v>1</v>
      </c>
      <c r="K23" s="78">
        <f t="shared" si="9"/>
        <v>1</v>
      </c>
      <c r="L23" s="78">
        <f t="shared" si="9"/>
        <v>1</v>
      </c>
      <c r="M23" s="78">
        <f t="shared" si="9"/>
        <v>1</v>
      </c>
      <c r="N23" s="78">
        <f t="shared" si="9"/>
        <v>1</v>
      </c>
      <c r="O23" s="78">
        <f t="shared" si="9"/>
        <v>1</v>
      </c>
      <c r="P23" s="78">
        <f t="shared" si="9"/>
        <v>1</v>
      </c>
      <c r="Q23" s="78">
        <f t="shared" si="9"/>
        <v>1</v>
      </c>
      <c r="R23" s="78">
        <f t="shared" si="9"/>
        <v>1</v>
      </c>
      <c r="S23" s="78">
        <f t="shared" si="9"/>
        <v>1</v>
      </c>
      <c r="T23" s="78">
        <f t="shared" si="9"/>
        <v>1</v>
      </c>
      <c r="U23" s="78">
        <f t="shared" si="9"/>
        <v>1</v>
      </c>
      <c r="V23" s="78">
        <f t="shared" ref="V23:W23" si="10">IF(V5=0,0,V5/V$3)</f>
        <v>1</v>
      </c>
      <c r="W23" s="78">
        <f t="shared" si="10"/>
        <v>1</v>
      </c>
      <c r="X23" s="78">
        <f t="shared" ref="X23:Y23" si="11">IF(X5=0,0,X5/X$3)</f>
        <v>1</v>
      </c>
      <c r="Y23" s="78">
        <f t="shared" si="11"/>
        <v>1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0</v>
      </c>
      <c r="J3" s="54">
        <f t="shared" si="0"/>
        <v>0</v>
      </c>
      <c r="K3" s="54">
        <f t="shared" si="0"/>
        <v>0</v>
      </c>
      <c r="L3" s="54">
        <f t="shared" si="0"/>
        <v>0</v>
      </c>
      <c r="M3" s="54">
        <f t="shared" si="0"/>
        <v>0</v>
      </c>
      <c r="N3" s="54">
        <f t="shared" si="0"/>
        <v>0</v>
      </c>
      <c r="O3" s="54">
        <f t="shared" si="0"/>
        <v>0</v>
      </c>
      <c r="P3" s="54">
        <f t="shared" si="0"/>
        <v>0</v>
      </c>
      <c r="Q3" s="54">
        <f t="shared" si="0"/>
        <v>0</v>
      </c>
      <c r="R3" s="54">
        <f t="shared" ref="R3:W3" si="1">SUM(R4:R5)</f>
        <v>0</v>
      </c>
      <c r="S3" s="54">
        <f t="shared" si="1"/>
        <v>0</v>
      </c>
      <c r="T3" s="54">
        <f t="shared" si="1"/>
        <v>0</v>
      </c>
      <c r="U3" s="54">
        <f t="shared" si="1"/>
        <v>0</v>
      </c>
      <c r="V3" s="54">
        <f t="shared" si="1"/>
        <v>0</v>
      </c>
      <c r="W3" s="54">
        <f t="shared" si="1"/>
        <v>0</v>
      </c>
      <c r="X3" s="54">
        <f t="shared" ref="X3:Y3" si="2">SUM(X4:X5)</f>
        <v>0</v>
      </c>
      <c r="Y3" s="54">
        <f t="shared" si="2"/>
        <v>0</v>
      </c>
      <c r="DA3" s="172" t="s">
        <v>388</v>
      </c>
    </row>
    <row r="4" spans="1:105" ht="11.45" customHeight="1" x14ac:dyDescent="0.25">
      <c r="A4" s="55" t="s">
        <v>166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DA4" s="181" t="s">
        <v>389</v>
      </c>
    </row>
    <row r="5" spans="1:105" ht="11.45" customHeight="1" x14ac:dyDescent="0.25">
      <c r="A5" s="57" t="s">
        <v>167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0</v>
      </c>
      <c r="C7" s="59">
        <f t="shared" si="3"/>
        <v>0</v>
      </c>
      <c r="D7" s="59">
        <f t="shared" si="3"/>
        <v>0</v>
      </c>
      <c r="E7" s="59">
        <f t="shared" si="3"/>
        <v>0</v>
      </c>
      <c r="F7" s="59">
        <f t="shared" si="3"/>
        <v>0</v>
      </c>
      <c r="G7" s="59">
        <f t="shared" si="3"/>
        <v>0</v>
      </c>
      <c r="H7" s="59">
        <f t="shared" si="3"/>
        <v>0</v>
      </c>
      <c r="I7" s="59">
        <f t="shared" si="3"/>
        <v>0</v>
      </c>
      <c r="J7" s="59">
        <f t="shared" si="3"/>
        <v>0</v>
      </c>
      <c r="K7" s="59">
        <f t="shared" si="3"/>
        <v>0</v>
      </c>
      <c r="L7" s="59">
        <f t="shared" si="3"/>
        <v>0</v>
      </c>
      <c r="M7" s="59">
        <f t="shared" si="3"/>
        <v>0</v>
      </c>
      <c r="N7" s="59">
        <f t="shared" si="3"/>
        <v>0</v>
      </c>
      <c r="O7" s="59">
        <f t="shared" si="3"/>
        <v>0</v>
      </c>
      <c r="P7" s="59">
        <f t="shared" si="3"/>
        <v>0</v>
      </c>
      <c r="Q7" s="59">
        <f t="shared" si="3"/>
        <v>0</v>
      </c>
      <c r="R7" s="59">
        <f t="shared" si="3"/>
        <v>0</v>
      </c>
      <c r="S7" s="59">
        <f t="shared" si="3"/>
        <v>0</v>
      </c>
      <c r="T7" s="59">
        <f t="shared" si="3"/>
        <v>0</v>
      </c>
      <c r="U7" s="59">
        <f t="shared" si="3"/>
        <v>0</v>
      </c>
      <c r="V7" s="59">
        <f t="shared" si="3"/>
        <v>0</v>
      </c>
      <c r="W7" s="59">
        <f t="shared" si="3"/>
        <v>0</v>
      </c>
      <c r="X7" s="59">
        <f t="shared" ref="X7:Y7" si="4">SUM(X8:X9)</f>
        <v>0</v>
      </c>
      <c r="Y7" s="59">
        <f t="shared" si="4"/>
        <v>0</v>
      </c>
      <c r="DA7" s="172" t="s">
        <v>963</v>
      </c>
    </row>
    <row r="8" spans="1:105" ht="11.45" customHeight="1" x14ac:dyDescent="0.25">
      <c r="A8" s="55" t="s">
        <v>166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>
        <v>0</v>
      </c>
      <c r="Y8" s="60">
        <v>0</v>
      </c>
      <c r="DA8" s="181" t="s">
        <v>964</v>
      </c>
    </row>
    <row r="9" spans="1:105" ht="11.45" customHeight="1" x14ac:dyDescent="0.25">
      <c r="A9" s="57" t="s">
        <v>167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>
        <v>0</v>
      </c>
      <c r="Y9" s="61">
        <v>0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0</v>
      </c>
      <c r="C13" s="62">
        <f t="shared" si="5"/>
        <v>0</v>
      </c>
      <c r="D13" s="62">
        <f t="shared" si="5"/>
        <v>0</v>
      </c>
      <c r="E13" s="62">
        <f t="shared" si="5"/>
        <v>0</v>
      </c>
      <c r="F13" s="62">
        <f t="shared" si="5"/>
        <v>0</v>
      </c>
      <c r="G13" s="62">
        <f t="shared" si="5"/>
        <v>0</v>
      </c>
      <c r="H13" s="62">
        <f t="shared" si="5"/>
        <v>0</v>
      </c>
      <c r="I13" s="62">
        <f t="shared" si="5"/>
        <v>0</v>
      </c>
      <c r="J13" s="62">
        <f t="shared" si="5"/>
        <v>0</v>
      </c>
      <c r="K13" s="62">
        <f t="shared" si="5"/>
        <v>0</v>
      </c>
      <c r="L13" s="62">
        <f t="shared" si="5"/>
        <v>0</v>
      </c>
      <c r="M13" s="62">
        <f t="shared" si="5"/>
        <v>0</v>
      </c>
      <c r="N13" s="62">
        <f t="shared" si="5"/>
        <v>0</v>
      </c>
      <c r="O13" s="62">
        <f t="shared" si="5"/>
        <v>0</v>
      </c>
      <c r="P13" s="62">
        <f t="shared" si="5"/>
        <v>0</v>
      </c>
      <c r="Q13" s="62">
        <f t="shared" si="5"/>
        <v>0</v>
      </c>
      <c r="R13" s="62">
        <f t="shared" si="5"/>
        <v>0</v>
      </c>
      <c r="S13" s="62">
        <f t="shared" si="5"/>
        <v>0</v>
      </c>
      <c r="T13" s="62">
        <f t="shared" si="5"/>
        <v>0</v>
      </c>
      <c r="U13" s="62">
        <f t="shared" si="5"/>
        <v>0</v>
      </c>
      <c r="V13" s="62">
        <f t="shared" si="5"/>
        <v>0</v>
      </c>
      <c r="W13" s="62">
        <f t="shared" si="5"/>
        <v>0</v>
      </c>
      <c r="X13" s="62">
        <f t="shared" ref="X13:Y13" si="6">IF(X3=0,0,X3/X7)</f>
        <v>0</v>
      </c>
      <c r="Y13" s="62">
        <f t="shared" si="6"/>
        <v>0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0</v>
      </c>
      <c r="C14" s="63">
        <f t="shared" si="5"/>
        <v>0</v>
      </c>
      <c r="D14" s="63">
        <f t="shared" si="5"/>
        <v>0</v>
      </c>
      <c r="E14" s="63">
        <f t="shared" si="5"/>
        <v>0</v>
      </c>
      <c r="F14" s="63">
        <f t="shared" si="5"/>
        <v>0</v>
      </c>
      <c r="G14" s="63">
        <f t="shared" si="5"/>
        <v>0</v>
      </c>
      <c r="H14" s="63">
        <f t="shared" si="5"/>
        <v>0</v>
      </c>
      <c r="I14" s="63">
        <f t="shared" si="5"/>
        <v>0</v>
      </c>
      <c r="J14" s="63">
        <f t="shared" si="5"/>
        <v>0</v>
      </c>
      <c r="K14" s="63">
        <f t="shared" si="5"/>
        <v>0</v>
      </c>
      <c r="L14" s="63">
        <f t="shared" si="5"/>
        <v>0</v>
      </c>
      <c r="M14" s="63">
        <f t="shared" si="5"/>
        <v>0</v>
      </c>
      <c r="N14" s="63">
        <f t="shared" si="5"/>
        <v>0</v>
      </c>
      <c r="O14" s="63">
        <f t="shared" si="5"/>
        <v>0</v>
      </c>
      <c r="P14" s="63">
        <f t="shared" si="5"/>
        <v>0</v>
      </c>
      <c r="Q14" s="63">
        <f t="shared" si="5"/>
        <v>0</v>
      </c>
      <c r="R14" s="63">
        <f t="shared" si="5"/>
        <v>0</v>
      </c>
      <c r="S14" s="63">
        <f t="shared" si="5"/>
        <v>0</v>
      </c>
      <c r="T14" s="63">
        <f t="shared" si="5"/>
        <v>0</v>
      </c>
      <c r="U14" s="63">
        <f t="shared" si="5"/>
        <v>0</v>
      </c>
      <c r="V14" s="63">
        <f t="shared" si="5"/>
        <v>0</v>
      </c>
      <c r="W14" s="63">
        <f t="shared" si="5"/>
        <v>0</v>
      </c>
      <c r="X14" s="63">
        <f t="shared" ref="X14:Y14" si="7">IF(X4=0,0,X4/X8)</f>
        <v>0</v>
      </c>
      <c r="Y14" s="63">
        <f t="shared" si="7"/>
        <v>0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0</v>
      </c>
      <c r="C15" s="64">
        <f t="shared" si="5"/>
        <v>0</v>
      </c>
      <c r="D15" s="64">
        <f t="shared" si="5"/>
        <v>0</v>
      </c>
      <c r="E15" s="64">
        <f t="shared" si="5"/>
        <v>0</v>
      </c>
      <c r="F15" s="64">
        <f t="shared" si="5"/>
        <v>0</v>
      </c>
      <c r="G15" s="64">
        <f t="shared" si="5"/>
        <v>0</v>
      </c>
      <c r="H15" s="64">
        <f t="shared" si="5"/>
        <v>0</v>
      </c>
      <c r="I15" s="64">
        <f t="shared" si="5"/>
        <v>0</v>
      </c>
      <c r="J15" s="64">
        <f t="shared" si="5"/>
        <v>0</v>
      </c>
      <c r="K15" s="64">
        <f t="shared" si="5"/>
        <v>0</v>
      </c>
      <c r="L15" s="64">
        <f t="shared" si="5"/>
        <v>0</v>
      </c>
      <c r="M15" s="64">
        <f t="shared" si="5"/>
        <v>0</v>
      </c>
      <c r="N15" s="64">
        <f t="shared" si="5"/>
        <v>0</v>
      </c>
      <c r="O15" s="64">
        <f t="shared" si="5"/>
        <v>0</v>
      </c>
      <c r="P15" s="64">
        <f t="shared" si="5"/>
        <v>0</v>
      </c>
      <c r="Q15" s="64">
        <f t="shared" si="5"/>
        <v>0</v>
      </c>
      <c r="R15" s="64">
        <f t="shared" si="5"/>
        <v>0</v>
      </c>
      <c r="S15" s="64">
        <f t="shared" si="5"/>
        <v>0</v>
      </c>
      <c r="T15" s="64">
        <f t="shared" si="5"/>
        <v>0</v>
      </c>
      <c r="U15" s="64">
        <f t="shared" si="5"/>
        <v>0</v>
      </c>
      <c r="V15" s="64">
        <f t="shared" si="5"/>
        <v>0</v>
      </c>
      <c r="W15" s="64">
        <f t="shared" si="5"/>
        <v>0</v>
      </c>
      <c r="X15" s="64">
        <f t="shared" ref="X15:Y15" si="8">IF(X5=0,0,X5/X9)</f>
        <v>0</v>
      </c>
      <c r="Y15" s="64">
        <f t="shared" si="8"/>
        <v>0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0</v>
      </c>
      <c r="C17" s="65">
        <f t="shared" si="9"/>
        <v>0</v>
      </c>
      <c r="D17" s="65">
        <f t="shared" si="9"/>
        <v>0</v>
      </c>
      <c r="E17" s="65">
        <f t="shared" si="9"/>
        <v>0</v>
      </c>
      <c r="F17" s="65">
        <f t="shared" si="9"/>
        <v>0</v>
      </c>
      <c r="G17" s="65">
        <f t="shared" si="9"/>
        <v>0</v>
      </c>
      <c r="H17" s="65">
        <f t="shared" si="9"/>
        <v>0</v>
      </c>
      <c r="I17" s="65">
        <f t="shared" si="9"/>
        <v>0</v>
      </c>
      <c r="J17" s="65">
        <f t="shared" si="9"/>
        <v>0</v>
      </c>
      <c r="K17" s="65">
        <f t="shared" si="9"/>
        <v>0</v>
      </c>
      <c r="L17" s="65">
        <f t="shared" si="9"/>
        <v>0</v>
      </c>
      <c r="M17" s="65">
        <f t="shared" si="9"/>
        <v>0</v>
      </c>
      <c r="N17" s="65">
        <f t="shared" si="9"/>
        <v>0</v>
      </c>
      <c r="O17" s="65">
        <f t="shared" si="9"/>
        <v>0</v>
      </c>
      <c r="P17" s="65">
        <f t="shared" si="9"/>
        <v>0</v>
      </c>
      <c r="Q17" s="65">
        <f t="shared" si="9"/>
        <v>0</v>
      </c>
      <c r="R17" s="65">
        <f t="shared" si="9"/>
        <v>0</v>
      </c>
      <c r="S17" s="65">
        <f t="shared" si="9"/>
        <v>0</v>
      </c>
      <c r="T17" s="65">
        <f t="shared" si="9"/>
        <v>0</v>
      </c>
      <c r="U17" s="65">
        <f t="shared" si="9"/>
        <v>0</v>
      </c>
      <c r="V17" s="65">
        <f t="shared" si="9"/>
        <v>0</v>
      </c>
      <c r="W17" s="65">
        <f t="shared" si="9"/>
        <v>0</v>
      </c>
      <c r="X17" s="65">
        <f t="shared" ref="X17:Y17" si="10">IF(X3=0,0,X3/X$3)</f>
        <v>0</v>
      </c>
      <c r="Y17" s="65">
        <f t="shared" si="10"/>
        <v>0</v>
      </c>
      <c r="DA17" s="172"/>
    </row>
    <row r="18" spans="1:105" ht="11.45" customHeight="1" x14ac:dyDescent="0.25">
      <c r="A18" s="55" t="s">
        <v>166</v>
      </c>
      <c r="B18" s="66">
        <f t="shared" si="9"/>
        <v>0</v>
      </c>
      <c r="C18" s="66">
        <f t="shared" si="9"/>
        <v>0</v>
      </c>
      <c r="D18" s="66">
        <f t="shared" si="9"/>
        <v>0</v>
      </c>
      <c r="E18" s="66">
        <f t="shared" si="9"/>
        <v>0</v>
      </c>
      <c r="F18" s="66">
        <f t="shared" si="9"/>
        <v>0</v>
      </c>
      <c r="G18" s="66">
        <f t="shared" si="9"/>
        <v>0</v>
      </c>
      <c r="H18" s="66">
        <f t="shared" si="9"/>
        <v>0</v>
      </c>
      <c r="I18" s="66">
        <f t="shared" si="9"/>
        <v>0</v>
      </c>
      <c r="J18" s="66">
        <f t="shared" si="9"/>
        <v>0</v>
      </c>
      <c r="K18" s="66">
        <f t="shared" si="9"/>
        <v>0</v>
      </c>
      <c r="L18" s="66">
        <f t="shared" si="9"/>
        <v>0</v>
      </c>
      <c r="M18" s="66">
        <f t="shared" si="9"/>
        <v>0</v>
      </c>
      <c r="N18" s="66">
        <f t="shared" si="9"/>
        <v>0</v>
      </c>
      <c r="O18" s="66">
        <f t="shared" si="9"/>
        <v>0</v>
      </c>
      <c r="P18" s="66">
        <f t="shared" si="9"/>
        <v>0</v>
      </c>
      <c r="Q18" s="66">
        <f t="shared" si="9"/>
        <v>0</v>
      </c>
      <c r="R18" s="66">
        <f t="shared" si="9"/>
        <v>0</v>
      </c>
      <c r="S18" s="66">
        <f t="shared" si="9"/>
        <v>0</v>
      </c>
      <c r="T18" s="66">
        <f t="shared" si="9"/>
        <v>0</v>
      </c>
      <c r="U18" s="66">
        <f t="shared" si="9"/>
        <v>0</v>
      </c>
      <c r="V18" s="66">
        <f t="shared" si="9"/>
        <v>0</v>
      </c>
      <c r="W18" s="66">
        <f t="shared" si="9"/>
        <v>0</v>
      </c>
      <c r="X18" s="66">
        <f t="shared" ref="X18:Y18" si="11">IF(X4=0,0,X4/X$3)</f>
        <v>0</v>
      </c>
      <c r="Y18" s="66">
        <f t="shared" si="11"/>
        <v>0</v>
      </c>
      <c r="DA18" s="181"/>
    </row>
    <row r="19" spans="1:105" ht="11.45" customHeight="1" x14ac:dyDescent="0.25">
      <c r="A19" s="57" t="s">
        <v>167</v>
      </c>
      <c r="B19" s="67">
        <f t="shared" si="9"/>
        <v>0</v>
      </c>
      <c r="C19" s="67">
        <f t="shared" si="9"/>
        <v>0</v>
      </c>
      <c r="D19" s="67">
        <f t="shared" si="9"/>
        <v>0</v>
      </c>
      <c r="E19" s="67">
        <f t="shared" si="9"/>
        <v>0</v>
      </c>
      <c r="F19" s="67">
        <f t="shared" si="9"/>
        <v>0</v>
      </c>
      <c r="G19" s="67">
        <f t="shared" si="9"/>
        <v>0</v>
      </c>
      <c r="H19" s="67">
        <f t="shared" si="9"/>
        <v>0</v>
      </c>
      <c r="I19" s="67">
        <f t="shared" si="9"/>
        <v>0</v>
      </c>
      <c r="J19" s="67">
        <f t="shared" si="9"/>
        <v>0</v>
      </c>
      <c r="K19" s="67">
        <f t="shared" si="9"/>
        <v>0</v>
      </c>
      <c r="L19" s="67">
        <f t="shared" si="9"/>
        <v>0</v>
      </c>
      <c r="M19" s="67">
        <f t="shared" si="9"/>
        <v>0</v>
      </c>
      <c r="N19" s="67">
        <f t="shared" si="9"/>
        <v>0</v>
      </c>
      <c r="O19" s="67">
        <f t="shared" si="9"/>
        <v>0</v>
      </c>
      <c r="P19" s="67">
        <f t="shared" si="9"/>
        <v>0</v>
      </c>
      <c r="Q19" s="67">
        <f t="shared" si="9"/>
        <v>0</v>
      </c>
      <c r="R19" s="67">
        <f t="shared" si="9"/>
        <v>0</v>
      </c>
      <c r="S19" s="67">
        <f t="shared" si="9"/>
        <v>0</v>
      </c>
      <c r="T19" s="67">
        <f t="shared" si="9"/>
        <v>0</v>
      </c>
      <c r="U19" s="67">
        <f t="shared" si="9"/>
        <v>0</v>
      </c>
      <c r="V19" s="67">
        <f t="shared" si="9"/>
        <v>0</v>
      </c>
      <c r="W19" s="67">
        <f t="shared" si="9"/>
        <v>0</v>
      </c>
      <c r="X19" s="67">
        <f t="shared" ref="X19:Y19" si="12">IF(X5=0,0,X5/X$3)</f>
        <v>0</v>
      </c>
      <c r="Y19" s="67">
        <f t="shared" si="12"/>
        <v>0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0</v>
      </c>
      <c r="C21" s="65">
        <f t="shared" si="13"/>
        <v>0</v>
      </c>
      <c r="D21" s="65">
        <f t="shared" si="13"/>
        <v>0</v>
      </c>
      <c r="E21" s="65">
        <f t="shared" si="13"/>
        <v>0</v>
      </c>
      <c r="F21" s="65">
        <f t="shared" si="13"/>
        <v>0</v>
      </c>
      <c r="G21" s="65">
        <f t="shared" si="13"/>
        <v>0</v>
      </c>
      <c r="H21" s="65">
        <f t="shared" si="13"/>
        <v>0</v>
      </c>
      <c r="I21" s="65">
        <f t="shared" si="13"/>
        <v>0</v>
      </c>
      <c r="J21" s="65">
        <f t="shared" si="13"/>
        <v>0</v>
      </c>
      <c r="K21" s="65">
        <f t="shared" si="13"/>
        <v>0</v>
      </c>
      <c r="L21" s="65">
        <f t="shared" si="13"/>
        <v>0</v>
      </c>
      <c r="M21" s="65">
        <f t="shared" si="13"/>
        <v>0</v>
      </c>
      <c r="N21" s="65">
        <f t="shared" si="13"/>
        <v>0</v>
      </c>
      <c r="O21" s="65">
        <f t="shared" si="13"/>
        <v>0</v>
      </c>
      <c r="P21" s="65">
        <f t="shared" si="13"/>
        <v>0</v>
      </c>
      <c r="Q21" s="65">
        <f t="shared" si="13"/>
        <v>0</v>
      </c>
      <c r="R21" s="65">
        <f t="shared" si="13"/>
        <v>0</v>
      </c>
      <c r="S21" s="65">
        <f t="shared" si="13"/>
        <v>0</v>
      </c>
      <c r="T21" s="65">
        <f t="shared" si="13"/>
        <v>0</v>
      </c>
      <c r="U21" s="65">
        <f t="shared" si="13"/>
        <v>0</v>
      </c>
      <c r="V21" s="65">
        <f t="shared" si="13"/>
        <v>0</v>
      </c>
      <c r="W21" s="65">
        <f t="shared" si="13"/>
        <v>0</v>
      </c>
      <c r="X21" s="65">
        <f t="shared" ref="X21:Y21" si="14">IF(X7=0,0,X7/X$7)</f>
        <v>0</v>
      </c>
      <c r="Y21" s="65">
        <f t="shared" si="14"/>
        <v>0</v>
      </c>
      <c r="DA21" s="172"/>
    </row>
    <row r="22" spans="1:105" ht="11.45" customHeight="1" x14ac:dyDescent="0.25">
      <c r="A22" s="55" t="s">
        <v>166</v>
      </c>
      <c r="B22" s="66">
        <f t="shared" si="13"/>
        <v>0</v>
      </c>
      <c r="C22" s="66">
        <f t="shared" si="13"/>
        <v>0</v>
      </c>
      <c r="D22" s="66">
        <f t="shared" si="13"/>
        <v>0</v>
      </c>
      <c r="E22" s="66">
        <f t="shared" si="13"/>
        <v>0</v>
      </c>
      <c r="F22" s="66">
        <f t="shared" si="13"/>
        <v>0</v>
      </c>
      <c r="G22" s="66">
        <f t="shared" si="13"/>
        <v>0</v>
      </c>
      <c r="H22" s="66">
        <f t="shared" si="13"/>
        <v>0</v>
      </c>
      <c r="I22" s="66">
        <f t="shared" si="13"/>
        <v>0</v>
      </c>
      <c r="J22" s="66">
        <f t="shared" si="13"/>
        <v>0</v>
      </c>
      <c r="K22" s="66">
        <f t="shared" si="13"/>
        <v>0</v>
      </c>
      <c r="L22" s="66">
        <f t="shared" si="13"/>
        <v>0</v>
      </c>
      <c r="M22" s="66">
        <f t="shared" si="13"/>
        <v>0</v>
      </c>
      <c r="N22" s="66">
        <f t="shared" si="13"/>
        <v>0</v>
      </c>
      <c r="O22" s="66">
        <f t="shared" si="13"/>
        <v>0</v>
      </c>
      <c r="P22" s="66">
        <f t="shared" si="13"/>
        <v>0</v>
      </c>
      <c r="Q22" s="66">
        <f t="shared" si="13"/>
        <v>0</v>
      </c>
      <c r="R22" s="66">
        <f t="shared" si="13"/>
        <v>0</v>
      </c>
      <c r="S22" s="66">
        <f t="shared" si="13"/>
        <v>0</v>
      </c>
      <c r="T22" s="66">
        <f t="shared" si="13"/>
        <v>0</v>
      </c>
      <c r="U22" s="66">
        <f t="shared" si="13"/>
        <v>0</v>
      </c>
      <c r="V22" s="66">
        <f t="shared" si="13"/>
        <v>0</v>
      </c>
      <c r="W22" s="66">
        <f t="shared" si="13"/>
        <v>0</v>
      </c>
      <c r="X22" s="66">
        <f t="shared" ref="X22:Y22" si="15">IF(X8=0,0,X8/X$7)</f>
        <v>0</v>
      </c>
      <c r="Y22" s="66">
        <f t="shared" si="15"/>
        <v>0</v>
      </c>
      <c r="DA22" s="181"/>
    </row>
    <row r="23" spans="1:105" ht="11.45" customHeight="1" x14ac:dyDescent="0.25">
      <c r="A23" s="57" t="s">
        <v>167</v>
      </c>
      <c r="B23" s="67">
        <f t="shared" si="13"/>
        <v>0</v>
      </c>
      <c r="C23" s="67">
        <f t="shared" si="13"/>
        <v>0</v>
      </c>
      <c r="D23" s="67">
        <f t="shared" si="13"/>
        <v>0</v>
      </c>
      <c r="E23" s="67">
        <f t="shared" si="13"/>
        <v>0</v>
      </c>
      <c r="F23" s="67">
        <f t="shared" si="13"/>
        <v>0</v>
      </c>
      <c r="G23" s="67">
        <f t="shared" si="13"/>
        <v>0</v>
      </c>
      <c r="H23" s="67">
        <f t="shared" si="13"/>
        <v>0</v>
      </c>
      <c r="I23" s="67">
        <f t="shared" si="13"/>
        <v>0</v>
      </c>
      <c r="J23" s="67">
        <f t="shared" si="13"/>
        <v>0</v>
      </c>
      <c r="K23" s="67">
        <f t="shared" si="13"/>
        <v>0</v>
      </c>
      <c r="L23" s="67">
        <f t="shared" si="13"/>
        <v>0</v>
      </c>
      <c r="M23" s="67">
        <f t="shared" si="13"/>
        <v>0</v>
      </c>
      <c r="N23" s="67">
        <f t="shared" si="13"/>
        <v>0</v>
      </c>
      <c r="O23" s="67">
        <f t="shared" si="13"/>
        <v>0</v>
      </c>
      <c r="P23" s="67">
        <f t="shared" si="13"/>
        <v>0</v>
      </c>
      <c r="Q23" s="67">
        <f t="shared" si="13"/>
        <v>0</v>
      </c>
      <c r="R23" s="67">
        <f t="shared" si="13"/>
        <v>0</v>
      </c>
      <c r="S23" s="67">
        <f t="shared" si="13"/>
        <v>0</v>
      </c>
      <c r="T23" s="67">
        <f t="shared" si="13"/>
        <v>0</v>
      </c>
      <c r="U23" s="67">
        <f t="shared" si="13"/>
        <v>0</v>
      </c>
      <c r="V23" s="67">
        <f t="shared" si="13"/>
        <v>0</v>
      </c>
      <c r="W23" s="67">
        <f t="shared" si="13"/>
        <v>0</v>
      </c>
      <c r="X23" s="67">
        <f t="shared" ref="X23:Y23" si="16">IF(X9=0,0,X9/X$7)</f>
        <v>0</v>
      </c>
      <c r="Y23" s="67">
        <f t="shared" si="16"/>
        <v>0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0</v>
      </c>
      <c r="C3" s="62">
        <f t="shared" ref="C3:W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0</v>
      </c>
      <c r="J3" s="62">
        <f t="shared" si="0"/>
        <v>0</v>
      </c>
      <c r="K3" s="62">
        <f t="shared" si="0"/>
        <v>0</v>
      </c>
      <c r="L3" s="62">
        <f t="shared" si="0"/>
        <v>0</v>
      </c>
      <c r="M3" s="62">
        <f t="shared" si="0"/>
        <v>0</v>
      </c>
      <c r="N3" s="62">
        <f t="shared" si="0"/>
        <v>0</v>
      </c>
      <c r="O3" s="62">
        <f t="shared" si="0"/>
        <v>0</v>
      </c>
      <c r="P3" s="62">
        <f t="shared" si="0"/>
        <v>0</v>
      </c>
      <c r="Q3" s="62">
        <f t="shared" si="0"/>
        <v>0</v>
      </c>
      <c r="R3" s="62">
        <f t="shared" si="0"/>
        <v>0</v>
      </c>
      <c r="S3" s="62">
        <f t="shared" si="0"/>
        <v>0</v>
      </c>
      <c r="T3" s="62">
        <f t="shared" si="0"/>
        <v>0</v>
      </c>
      <c r="U3" s="62">
        <f t="shared" si="0"/>
        <v>0</v>
      </c>
      <c r="V3" s="62">
        <f t="shared" si="0"/>
        <v>0</v>
      </c>
      <c r="W3" s="62">
        <f t="shared" si="0"/>
        <v>0</v>
      </c>
      <c r="X3" s="62">
        <f t="shared" ref="X3:Y3" si="1">SUM(X4,X10)</f>
        <v>0</v>
      </c>
      <c r="Y3" s="62">
        <f t="shared" si="1"/>
        <v>0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0</v>
      </c>
      <c r="C4" s="71">
        <f t="shared" ref="C4:W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si="2"/>
        <v>0</v>
      </c>
      <c r="X4" s="71">
        <f t="shared" ref="X4:Y4" si="3">SUM(X5:X9)</f>
        <v>0</v>
      </c>
      <c r="Y4" s="71">
        <f t="shared" si="3"/>
        <v>0</v>
      </c>
      <c r="DA4" s="186" t="s">
        <v>971</v>
      </c>
    </row>
    <row r="5" spans="1:105" ht="11.45" customHeight="1" x14ac:dyDescent="0.25">
      <c r="A5" s="72" t="s">
        <v>144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>
        <v>0</v>
      </c>
      <c r="Y5" s="73">
        <v>0</v>
      </c>
      <c r="DA5" s="187" t="s">
        <v>972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0</v>
      </c>
      <c r="C10" s="71">
        <f t="shared" ref="C10:W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si="4"/>
        <v>0</v>
      </c>
      <c r="X10" s="71">
        <f t="shared" ref="X10:Y10" si="5">SUM(X11:X15)</f>
        <v>0</v>
      </c>
      <c r="Y10" s="71">
        <f t="shared" si="5"/>
        <v>0</v>
      </c>
      <c r="DA10" s="186" t="s">
        <v>977</v>
      </c>
    </row>
    <row r="11" spans="1:105" ht="11.45" customHeight="1" x14ac:dyDescent="0.25">
      <c r="A11" s="72" t="s">
        <v>144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0</v>
      </c>
      <c r="DA11" s="187" t="s">
        <v>978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0</v>
      </c>
      <c r="C19" s="62">
        <f>IF(C3=0,0,C3/MBunk_act!C7*100)</f>
        <v>0</v>
      </c>
      <c r="D19" s="62">
        <f>IF(D3=0,0,D3/MBunk_act!D7*100)</f>
        <v>0</v>
      </c>
      <c r="E19" s="62">
        <f>IF(E3=0,0,E3/MBunk_act!E7*100)</f>
        <v>0</v>
      </c>
      <c r="F19" s="62">
        <f>IF(F3=0,0,F3/MBunk_act!F7*100)</f>
        <v>0</v>
      </c>
      <c r="G19" s="62">
        <f>IF(G3=0,0,G3/MBunk_act!G7*100)</f>
        <v>0</v>
      </c>
      <c r="H19" s="62">
        <f>IF(H3=0,0,H3/MBunk_act!H7*100)</f>
        <v>0</v>
      </c>
      <c r="I19" s="62">
        <f>IF(I3=0,0,I3/MBunk_act!I7*100)</f>
        <v>0</v>
      </c>
      <c r="J19" s="62">
        <f>IF(J3=0,0,J3/MBunk_act!J7*100)</f>
        <v>0</v>
      </c>
      <c r="K19" s="62">
        <f>IF(K3=0,0,K3/MBunk_act!K7*100)</f>
        <v>0</v>
      </c>
      <c r="L19" s="62">
        <f>IF(L3=0,0,L3/MBunk_act!L7*100)</f>
        <v>0</v>
      </c>
      <c r="M19" s="62">
        <f>IF(M3=0,0,M3/MBunk_act!M7*100)</f>
        <v>0</v>
      </c>
      <c r="N19" s="62">
        <f>IF(N3=0,0,N3/MBunk_act!N7*100)</f>
        <v>0</v>
      </c>
      <c r="O19" s="62">
        <f>IF(O3=0,0,O3/MBunk_act!O7*100)</f>
        <v>0</v>
      </c>
      <c r="P19" s="62">
        <f>IF(P3=0,0,P3/MBunk_act!P7*100)</f>
        <v>0</v>
      </c>
      <c r="Q19" s="62">
        <f>IF(Q3=0,0,Q3/MBunk_act!Q7*100)</f>
        <v>0</v>
      </c>
      <c r="R19" s="62">
        <f>IF(R3=0,0,R3/MBunk_act!R7*100)</f>
        <v>0</v>
      </c>
      <c r="S19" s="62">
        <f>IF(S3=0,0,S3/MBunk_act!S7*100)</f>
        <v>0</v>
      </c>
      <c r="T19" s="62">
        <f>IF(T3=0,0,T3/MBunk_act!T7*100)</f>
        <v>0</v>
      </c>
      <c r="U19" s="62">
        <f>IF(U3=0,0,U3/MBunk_act!U7*100)</f>
        <v>0</v>
      </c>
      <c r="V19" s="62">
        <f>IF(V3=0,0,V3/MBunk_act!V7*100)</f>
        <v>0</v>
      </c>
      <c r="W19" s="62">
        <f>IF(W3=0,0,W3/MBunk_act!W7*100)</f>
        <v>0</v>
      </c>
      <c r="X19" s="62">
        <f>IF(X3=0,0,X3/MBunk_act!X7*100)</f>
        <v>0</v>
      </c>
      <c r="Y19" s="62">
        <f>IF(Y3=0,0,Y3/MBunk_act!Y7*100)</f>
        <v>0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0</v>
      </c>
      <c r="C20" s="63">
        <f>IF(C4=0,0,C4/MBunk_act!C8*100)</f>
        <v>0</v>
      </c>
      <c r="D20" s="63">
        <f>IF(D4=0,0,D4/MBunk_act!D8*100)</f>
        <v>0</v>
      </c>
      <c r="E20" s="63">
        <f>IF(E4=0,0,E4/MBunk_act!E8*100)</f>
        <v>0</v>
      </c>
      <c r="F20" s="63">
        <f>IF(F4=0,0,F4/MBunk_act!F8*100)</f>
        <v>0</v>
      </c>
      <c r="G20" s="63">
        <f>IF(G4=0,0,G4/MBunk_act!G8*100)</f>
        <v>0</v>
      </c>
      <c r="H20" s="63">
        <f>IF(H4=0,0,H4/MBunk_act!H8*100)</f>
        <v>0</v>
      </c>
      <c r="I20" s="63">
        <f>IF(I4=0,0,I4/MBunk_act!I8*100)</f>
        <v>0</v>
      </c>
      <c r="J20" s="63">
        <f>IF(J4=0,0,J4/MBunk_act!J8*100)</f>
        <v>0</v>
      </c>
      <c r="K20" s="63">
        <f>IF(K4=0,0,K4/MBunk_act!K8*100)</f>
        <v>0</v>
      </c>
      <c r="L20" s="63">
        <f>IF(L4=0,0,L4/MBunk_act!L8*100)</f>
        <v>0</v>
      </c>
      <c r="M20" s="63">
        <f>IF(M4=0,0,M4/MBunk_act!M8*100)</f>
        <v>0</v>
      </c>
      <c r="N20" s="63">
        <f>IF(N4=0,0,N4/MBunk_act!N8*100)</f>
        <v>0</v>
      </c>
      <c r="O20" s="63">
        <f>IF(O4=0,0,O4/MBunk_act!O8*100)</f>
        <v>0</v>
      </c>
      <c r="P20" s="63">
        <f>IF(P4=0,0,P4/MBunk_act!P8*100)</f>
        <v>0</v>
      </c>
      <c r="Q20" s="63">
        <f>IF(Q4=0,0,Q4/MBunk_act!Q8*100)</f>
        <v>0</v>
      </c>
      <c r="R20" s="63">
        <f>IF(R4=0,0,R4/MBunk_act!R8*100)</f>
        <v>0</v>
      </c>
      <c r="S20" s="63">
        <f>IF(S4=0,0,S4/MBunk_act!S8*100)</f>
        <v>0</v>
      </c>
      <c r="T20" s="63">
        <f>IF(T4=0,0,T4/MBunk_act!T8*100)</f>
        <v>0</v>
      </c>
      <c r="U20" s="63">
        <f>IF(U4=0,0,U4/MBunk_act!U8*100)</f>
        <v>0</v>
      </c>
      <c r="V20" s="63">
        <f>IF(V4=0,0,V4/MBunk_act!V8*100)</f>
        <v>0</v>
      </c>
      <c r="W20" s="63">
        <f>IF(W4=0,0,W4/MBunk_act!W8*100)</f>
        <v>0</v>
      </c>
      <c r="X20" s="63">
        <f>IF(X4=0,0,X4/MBunk_act!X8*100)</f>
        <v>0</v>
      </c>
      <c r="Y20" s="63">
        <f>IF(Y4=0,0,Y4/MBunk_act!Y8*100)</f>
        <v>0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0</v>
      </c>
      <c r="C21" s="64">
        <f>IF(C10=0,0,C10/MBunk_act!C9*100)</f>
        <v>0</v>
      </c>
      <c r="D21" s="64">
        <f>IF(D10=0,0,D10/MBunk_act!D9*100)</f>
        <v>0</v>
      </c>
      <c r="E21" s="64">
        <f>IF(E10=0,0,E10/MBunk_act!E9*100)</f>
        <v>0</v>
      </c>
      <c r="F21" s="64">
        <f>IF(F10=0,0,F10/MBunk_act!F9*100)</f>
        <v>0</v>
      </c>
      <c r="G21" s="64">
        <f>IF(G10=0,0,G10/MBunk_act!G9*100)</f>
        <v>0</v>
      </c>
      <c r="H21" s="64">
        <f>IF(H10=0,0,H10/MBunk_act!H9*100)</f>
        <v>0</v>
      </c>
      <c r="I21" s="64">
        <f>IF(I10=0,0,I10/MBunk_act!I9*100)</f>
        <v>0</v>
      </c>
      <c r="J21" s="64">
        <f>IF(J10=0,0,J10/MBunk_act!J9*100)</f>
        <v>0</v>
      </c>
      <c r="K21" s="64">
        <f>IF(K10=0,0,K10/MBunk_act!K9*100)</f>
        <v>0</v>
      </c>
      <c r="L21" s="64">
        <f>IF(L10=0,0,L10/MBunk_act!L9*100)</f>
        <v>0</v>
      </c>
      <c r="M21" s="64">
        <f>IF(M10=0,0,M10/MBunk_act!M9*100)</f>
        <v>0</v>
      </c>
      <c r="N21" s="64">
        <f>IF(N10=0,0,N10/MBunk_act!N9*100)</f>
        <v>0</v>
      </c>
      <c r="O21" s="64">
        <f>IF(O10=0,0,O10/MBunk_act!O9*100)</f>
        <v>0</v>
      </c>
      <c r="P21" s="64">
        <f>IF(P10=0,0,P10/MBunk_act!P9*100)</f>
        <v>0</v>
      </c>
      <c r="Q21" s="64">
        <f>IF(Q10=0,0,Q10/MBunk_act!Q9*100)</f>
        <v>0</v>
      </c>
      <c r="R21" s="64">
        <f>IF(R10=0,0,R10/MBunk_act!R9*100)</f>
        <v>0</v>
      </c>
      <c r="S21" s="64">
        <f>IF(S10=0,0,S10/MBunk_act!S9*100)</f>
        <v>0</v>
      </c>
      <c r="T21" s="64">
        <f>IF(T10=0,0,T10/MBunk_act!T9*100)</f>
        <v>0</v>
      </c>
      <c r="U21" s="64">
        <f>IF(U10=0,0,U10/MBunk_act!U9*100)</f>
        <v>0</v>
      </c>
      <c r="V21" s="64">
        <f>IF(V10=0,0,V10/MBunk_act!V9*100)</f>
        <v>0</v>
      </c>
      <c r="W21" s="64">
        <f>IF(W10=0,0,W10/MBunk_act!W9*100)</f>
        <v>0</v>
      </c>
      <c r="X21" s="64">
        <f>IF(X10=0,0,X10/MBunk_act!X9*100)</f>
        <v>0</v>
      </c>
      <c r="Y21" s="64">
        <f>IF(Y10=0,0,Y10/MBunk_act!Y9*100)</f>
        <v>0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0</v>
      </c>
      <c r="C23" s="62">
        <f>IF(C3=0,0,C3/MBunk_act!C3*1000)</f>
        <v>0</v>
      </c>
      <c r="D23" s="62">
        <f>IF(D3=0,0,D3/MBunk_act!D3*1000)</f>
        <v>0</v>
      </c>
      <c r="E23" s="62">
        <f>IF(E3=0,0,E3/MBunk_act!E3*1000)</f>
        <v>0</v>
      </c>
      <c r="F23" s="62">
        <f>IF(F3=0,0,F3/MBunk_act!F3*1000)</f>
        <v>0</v>
      </c>
      <c r="G23" s="62">
        <f>IF(G3=0,0,G3/MBunk_act!G3*1000)</f>
        <v>0</v>
      </c>
      <c r="H23" s="62">
        <f>IF(H3=0,0,H3/MBunk_act!H3*1000)</f>
        <v>0</v>
      </c>
      <c r="I23" s="62">
        <f>IF(I3=0,0,I3/MBunk_act!I3*1000)</f>
        <v>0</v>
      </c>
      <c r="J23" s="62">
        <f>IF(J3=0,0,J3/MBunk_act!J3*1000)</f>
        <v>0</v>
      </c>
      <c r="K23" s="62">
        <f>IF(K3=0,0,K3/MBunk_act!K3*1000)</f>
        <v>0</v>
      </c>
      <c r="L23" s="62">
        <f>IF(L3=0,0,L3/MBunk_act!L3*1000)</f>
        <v>0</v>
      </c>
      <c r="M23" s="62">
        <f>IF(M3=0,0,M3/MBunk_act!M3*1000)</f>
        <v>0</v>
      </c>
      <c r="N23" s="62">
        <f>IF(N3=0,0,N3/MBunk_act!N3*1000)</f>
        <v>0</v>
      </c>
      <c r="O23" s="62">
        <f>IF(O3=0,0,O3/MBunk_act!O3*1000)</f>
        <v>0</v>
      </c>
      <c r="P23" s="62">
        <f>IF(P3=0,0,P3/MBunk_act!P3*1000)</f>
        <v>0</v>
      </c>
      <c r="Q23" s="62">
        <f>IF(Q3=0,0,Q3/MBunk_act!Q3*1000)</f>
        <v>0</v>
      </c>
      <c r="R23" s="62">
        <f>IF(R3=0,0,R3/MBunk_act!R3*1000)</f>
        <v>0</v>
      </c>
      <c r="S23" s="62">
        <f>IF(S3=0,0,S3/MBunk_act!S3*1000)</f>
        <v>0</v>
      </c>
      <c r="T23" s="62">
        <f>IF(T3=0,0,T3/MBunk_act!T3*1000)</f>
        <v>0</v>
      </c>
      <c r="U23" s="62">
        <f>IF(U3=0,0,U3/MBunk_act!U3*1000)</f>
        <v>0</v>
      </c>
      <c r="V23" s="62">
        <f>IF(V3=0,0,V3/MBunk_act!V3*1000)</f>
        <v>0</v>
      </c>
      <c r="W23" s="62">
        <f>IF(W3=0,0,W3/MBunk_act!W3*1000)</f>
        <v>0</v>
      </c>
      <c r="X23" s="62">
        <f>IF(X3=0,0,X3/MBunk_act!X3*1000)</f>
        <v>0</v>
      </c>
      <c r="Y23" s="62">
        <f>IF(Y3=0,0,Y3/MBunk_act!Y3*1000)</f>
        <v>0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0</v>
      </c>
      <c r="C24" s="63">
        <f>IF(C4=0,0,C4/MBunk_act!C4*1000)</f>
        <v>0</v>
      </c>
      <c r="D24" s="63">
        <f>IF(D4=0,0,D4/MBunk_act!D4*1000)</f>
        <v>0</v>
      </c>
      <c r="E24" s="63">
        <f>IF(E4=0,0,E4/MBunk_act!E4*1000)</f>
        <v>0</v>
      </c>
      <c r="F24" s="63">
        <f>IF(F4=0,0,F4/MBunk_act!F4*1000)</f>
        <v>0</v>
      </c>
      <c r="G24" s="63">
        <f>IF(G4=0,0,G4/MBunk_act!G4*1000)</f>
        <v>0</v>
      </c>
      <c r="H24" s="63">
        <f>IF(H4=0,0,H4/MBunk_act!H4*1000)</f>
        <v>0</v>
      </c>
      <c r="I24" s="63">
        <f>IF(I4=0,0,I4/MBunk_act!I4*1000)</f>
        <v>0</v>
      </c>
      <c r="J24" s="63">
        <f>IF(J4=0,0,J4/MBunk_act!J4*1000)</f>
        <v>0</v>
      </c>
      <c r="K24" s="63">
        <f>IF(K4=0,0,K4/MBunk_act!K4*1000)</f>
        <v>0</v>
      </c>
      <c r="L24" s="63">
        <f>IF(L4=0,0,L4/MBunk_act!L4*1000)</f>
        <v>0</v>
      </c>
      <c r="M24" s="63">
        <f>IF(M4=0,0,M4/MBunk_act!M4*1000)</f>
        <v>0</v>
      </c>
      <c r="N24" s="63">
        <f>IF(N4=0,0,N4/MBunk_act!N4*1000)</f>
        <v>0</v>
      </c>
      <c r="O24" s="63">
        <f>IF(O4=0,0,O4/MBunk_act!O4*1000)</f>
        <v>0</v>
      </c>
      <c r="P24" s="63">
        <f>IF(P4=0,0,P4/MBunk_act!P4*1000)</f>
        <v>0</v>
      </c>
      <c r="Q24" s="63">
        <f>IF(Q4=0,0,Q4/MBunk_act!Q4*1000)</f>
        <v>0</v>
      </c>
      <c r="R24" s="63">
        <f>IF(R4=0,0,R4/MBunk_act!R4*1000)</f>
        <v>0</v>
      </c>
      <c r="S24" s="63">
        <f>IF(S4=0,0,S4/MBunk_act!S4*1000)</f>
        <v>0</v>
      </c>
      <c r="T24" s="63">
        <f>IF(T4=0,0,T4/MBunk_act!T4*1000)</f>
        <v>0</v>
      </c>
      <c r="U24" s="63">
        <f>IF(U4=0,0,U4/MBunk_act!U4*1000)</f>
        <v>0</v>
      </c>
      <c r="V24" s="63">
        <f>IF(V4=0,0,V4/MBunk_act!V4*1000)</f>
        <v>0</v>
      </c>
      <c r="W24" s="63">
        <f>IF(W4=0,0,W4/MBunk_act!W4*1000)</f>
        <v>0</v>
      </c>
      <c r="X24" s="63">
        <f>IF(X4=0,0,X4/MBunk_act!X4*1000)</f>
        <v>0</v>
      </c>
      <c r="Y24" s="63">
        <f>IF(Y4=0,0,Y4/MBunk_act!Y4*1000)</f>
        <v>0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0</v>
      </c>
      <c r="C25" s="64">
        <f>IF(C10=0,0,C10/MBunk_act!C5*1000)</f>
        <v>0</v>
      </c>
      <c r="D25" s="64">
        <f>IF(D10=0,0,D10/MBunk_act!D5*1000)</f>
        <v>0</v>
      </c>
      <c r="E25" s="64">
        <f>IF(E10=0,0,E10/MBunk_act!E5*1000)</f>
        <v>0</v>
      </c>
      <c r="F25" s="64">
        <f>IF(F10=0,0,F10/MBunk_act!F5*1000)</f>
        <v>0</v>
      </c>
      <c r="G25" s="64">
        <f>IF(G10=0,0,G10/MBunk_act!G5*1000)</f>
        <v>0</v>
      </c>
      <c r="H25" s="64">
        <f>IF(H10=0,0,H10/MBunk_act!H5*1000)</f>
        <v>0</v>
      </c>
      <c r="I25" s="64">
        <f>IF(I10=0,0,I10/MBunk_act!I5*1000)</f>
        <v>0</v>
      </c>
      <c r="J25" s="64">
        <f>IF(J10=0,0,J10/MBunk_act!J5*1000)</f>
        <v>0</v>
      </c>
      <c r="K25" s="64">
        <f>IF(K10=0,0,K10/MBunk_act!K5*1000)</f>
        <v>0</v>
      </c>
      <c r="L25" s="64">
        <f>IF(L10=0,0,L10/MBunk_act!L5*1000)</f>
        <v>0</v>
      </c>
      <c r="M25" s="64">
        <f>IF(M10=0,0,M10/MBunk_act!M5*1000)</f>
        <v>0</v>
      </c>
      <c r="N25" s="64">
        <f>IF(N10=0,0,N10/MBunk_act!N5*1000)</f>
        <v>0</v>
      </c>
      <c r="O25" s="64">
        <f>IF(O10=0,0,O10/MBunk_act!O5*1000)</f>
        <v>0</v>
      </c>
      <c r="P25" s="64">
        <f>IF(P10=0,0,P10/MBunk_act!P5*1000)</f>
        <v>0</v>
      </c>
      <c r="Q25" s="64">
        <f>IF(Q10=0,0,Q10/MBunk_act!Q5*1000)</f>
        <v>0</v>
      </c>
      <c r="R25" s="64">
        <f>IF(R10=0,0,R10/MBunk_act!R5*1000)</f>
        <v>0</v>
      </c>
      <c r="S25" s="64">
        <f>IF(S10=0,0,S10/MBunk_act!S5*1000)</f>
        <v>0</v>
      </c>
      <c r="T25" s="64">
        <f>IF(T10=0,0,T10/MBunk_act!T5*1000)</f>
        <v>0</v>
      </c>
      <c r="U25" s="64">
        <f>IF(U10=0,0,U10/MBunk_act!U5*1000)</f>
        <v>0</v>
      </c>
      <c r="V25" s="64">
        <f>IF(V10=0,0,V10/MBunk_act!V5*1000)</f>
        <v>0</v>
      </c>
      <c r="W25" s="64">
        <f>IF(W10=0,0,W10/MBunk_act!W5*1000)</f>
        <v>0</v>
      </c>
      <c r="X25" s="64">
        <f>IF(X10=0,0,X10/MBunk_act!X5*1000)</f>
        <v>0</v>
      </c>
      <c r="Y25" s="64">
        <f>IF(Y10=0,0,Y10/MBunk_act!Y5*1000)</f>
        <v>0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0</v>
      </c>
      <c r="C27" s="76">
        <f t="shared" ref="C27:W28" si="6">IF(C3=0,0,C3/C$3)</f>
        <v>0</v>
      </c>
      <c r="D27" s="76">
        <f t="shared" si="6"/>
        <v>0</v>
      </c>
      <c r="E27" s="76">
        <f t="shared" si="6"/>
        <v>0</v>
      </c>
      <c r="F27" s="76">
        <f t="shared" si="6"/>
        <v>0</v>
      </c>
      <c r="G27" s="76">
        <f t="shared" si="6"/>
        <v>0</v>
      </c>
      <c r="H27" s="76">
        <f t="shared" si="6"/>
        <v>0</v>
      </c>
      <c r="I27" s="76">
        <f t="shared" si="6"/>
        <v>0</v>
      </c>
      <c r="J27" s="76">
        <f t="shared" si="6"/>
        <v>0</v>
      </c>
      <c r="K27" s="76">
        <f t="shared" si="6"/>
        <v>0</v>
      </c>
      <c r="L27" s="76">
        <f t="shared" si="6"/>
        <v>0</v>
      </c>
      <c r="M27" s="76">
        <f t="shared" si="6"/>
        <v>0</v>
      </c>
      <c r="N27" s="76">
        <f t="shared" si="6"/>
        <v>0</v>
      </c>
      <c r="O27" s="76">
        <f t="shared" si="6"/>
        <v>0</v>
      </c>
      <c r="P27" s="76">
        <f t="shared" si="6"/>
        <v>0</v>
      </c>
      <c r="Q27" s="76">
        <f t="shared" si="6"/>
        <v>0</v>
      </c>
      <c r="R27" s="76">
        <f t="shared" si="6"/>
        <v>0</v>
      </c>
      <c r="S27" s="76">
        <f t="shared" si="6"/>
        <v>0</v>
      </c>
      <c r="T27" s="76">
        <f t="shared" si="6"/>
        <v>0</v>
      </c>
      <c r="U27" s="76">
        <f t="shared" si="6"/>
        <v>0</v>
      </c>
      <c r="V27" s="76">
        <f t="shared" si="6"/>
        <v>0</v>
      </c>
      <c r="W27" s="76">
        <f t="shared" si="6"/>
        <v>0</v>
      </c>
      <c r="X27" s="76">
        <f t="shared" ref="X27:Y27" si="7">IF(X3=0,0,X3/X$3)</f>
        <v>0</v>
      </c>
      <c r="Y27" s="76">
        <f t="shared" si="7"/>
        <v>0</v>
      </c>
      <c r="DA27" s="183"/>
    </row>
    <row r="28" spans="1:105" ht="11.45" customHeight="1" x14ac:dyDescent="0.25">
      <c r="A28" s="55" t="s">
        <v>166</v>
      </c>
      <c r="B28" s="77">
        <f>IF(B4=0,0,B4/B$3)</f>
        <v>0</v>
      </c>
      <c r="C28" s="77">
        <f t="shared" si="6"/>
        <v>0</v>
      </c>
      <c r="D28" s="77">
        <f t="shared" si="6"/>
        <v>0</v>
      </c>
      <c r="E28" s="77">
        <f t="shared" si="6"/>
        <v>0</v>
      </c>
      <c r="F28" s="77">
        <f t="shared" si="6"/>
        <v>0</v>
      </c>
      <c r="G28" s="77">
        <f t="shared" si="6"/>
        <v>0</v>
      </c>
      <c r="H28" s="77">
        <f t="shared" si="6"/>
        <v>0</v>
      </c>
      <c r="I28" s="77">
        <f t="shared" si="6"/>
        <v>0</v>
      </c>
      <c r="J28" s="77">
        <f t="shared" si="6"/>
        <v>0</v>
      </c>
      <c r="K28" s="77">
        <f t="shared" si="6"/>
        <v>0</v>
      </c>
      <c r="L28" s="77">
        <f t="shared" si="6"/>
        <v>0</v>
      </c>
      <c r="M28" s="77">
        <f t="shared" si="6"/>
        <v>0</v>
      </c>
      <c r="N28" s="77">
        <f t="shared" si="6"/>
        <v>0</v>
      </c>
      <c r="O28" s="77">
        <f t="shared" si="6"/>
        <v>0</v>
      </c>
      <c r="P28" s="77">
        <f t="shared" si="6"/>
        <v>0</v>
      </c>
      <c r="Q28" s="77">
        <f t="shared" si="6"/>
        <v>0</v>
      </c>
      <c r="R28" s="77">
        <f t="shared" si="6"/>
        <v>0</v>
      </c>
      <c r="S28" s="77">
        <f t="shared" si="6"/>
        <v>0</v>
      </c>
      <c r="T28" s="77">
        <f t="shared" si="6"/>
        <v>0</v>
      </c>
      <c r="U28" s="77">
        <f t="shared" si="6"/>
        <v>0</v>
      </c>
      <c r="V28" s="77">
        <f t="shared" si="6"/>
        <v>0</v>
      </c>
      <c r="W28" s="77">
        <f t="shared" si="6"/>
        <v>0</v>
      </c>
      <c r="X28" s="77">
        <f t="shared" ref="X28:Y28" si="8">IF(X4=0,0,X4/X$3)</f>
        <v>0</v>
      </c>
      <c r="Y28" s="77">
        <f t="shared" si="8"/>
        <v>0</v>
      </c>
      <c r="DA28" s="184"/>
    </row>
    <row r="29" spans="1:105" ht="11.45" customHeight="1" x14ac:dyDescent="0.25">
      <c r="A29" s="57" t="s">
        <v>167</v>
      </c>
      <c r="B29" s="78">
        <f>IF(B10=0,0,B10/B$3)</f>
        <v>0</v>
      </c>
      <c r="C29" s="78">
        <f t="shared" ref="C29:W29" si="9">IF(C10=0,0,C10/C$3)</f>
        <v>0</v>
      </c>
      <c r="D29" s="78">
        <f t="shared" si="9"/>
        <v>0</v>
      </c>
      <c r="E29" s="78">
        <f t="shared" si="9"/>
        <v>0</v>
      </c>
      <c r="F29" s="78">
        <f t="shared" si="9"/>
        <v>0</v>
      </c>
      <c r="G29" s="78">
        <f t="shared" si="9"/>
        <v>0</v>
      </c>
      <c r="H29" s="78">
        <f t="shared" si="9"/>
        <v>0</v>
      </c>
      <c r="I29" s="78">
        <f t="shared" si="9"/>
        <v>0</v>
      </c>
      <c r="J29" s="78">
        <f t="shared" si="9"/>
        <v>0</v>
      </c>
      <c r="K29" s="78">
        <f t="shared" si="9"/>
        <v>0</v>
      </c>
      <c r="L29" s="78">
        <f t="shared" si="9"/>
        <v>0</v>
      </c>
      <c r="M29" s="78">
        <f t="shared" si="9"/>
        <v>0</v>
      </c>
      <c r="N29" s="78">
        <f t="shared" si="9"/>
        <v>0</v>
      </c>
      <c r="O29" s="78">
        <f t="shared" si="9"/>
        <v>0</v>
      </c>
      <c r="P29" s="78">
        <f t="shared" si="9"/>
        <v>0</v>
      </c>
      <c r="Q29" s="78">
        <f t="shared" si="9"/>
        <v>0</v>
      </c>
      <c r="R29" s="78">
        <f t="shared" si="9"/>
        <v>0</v>
      </c>
      <c r="S29" s="78">
        <f t="shared" si="9"/>
        <v>0</v>
      </c>
      <c r="T29" s="78">
        <f t="shared" si="9"/>
        <v>0</v>
      </c>
      <c r="U29" s="78">
        <f t="shared" si="9"/>
        <v>0</v>
      </c>
      <c r="V29" s="78">
        <f t="shared" si="9"/>
        <v>0</v>
      </c>
      <c r="W29" s="78">
        <f t="shared" si="9"/>
        <v>0</v>
      </c>
      <c r="X29" s="78">
        <f t="shared" ref="X29:Y29" si="10">IF(X10=0,0,X10/X$3)</f>
        <v>0</v>
      </c>
      <c r="Y29" s="78">
        <f t="shared" si="10"/>
        <v>0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0</v>
      </c>
      <c r="C3" s="62">
        <f t="shared" ref="C3:W3" si="1">SUM(C4:C5)</f>
        <v>0</v>
      </c>
      <c r="D3" s="62">
        <f t="shared" si="1"/>
        <v>0</v>
      </c>
      <c r="E3" s="62">
        <f t="shared" si="1"/>
        <v>0</v>
      </c>
      <c r="F3" s="62">
        <f t="shared" si="1"/>
        <v>0</v>
      </c>
      <c r="G3" s="62">
        <f t="shared" si="1"/>
        <v>0</v>
      </c>
      <c r="H3" s="62">
        <f t="shared" si="1"/>
        <v>0</v>
      </c>
      <c r="I3" s="62">
        <f t="shared" si="1"/>
        <v>0</v>
      </c>
      <c r="J3" s="62">
        <f t="shared" si="1"/>
        <v>0</v>
      </c>
      <c r="K3" s="62">
        <f t="shared" si="1"/>
        <v>0</v>
      </c>
      <c r="L3" s="62">
        <f t="shared" si="1"/>
        <v>0</v>
      </c>
      <c r="M3" s="62">
        <f t="shared" si="1"/>
        <v>0</v>
      </c>
      <c r="N3" s="62">
        <f t="shared" si="1"/>
        <v>0</v>
      </c>
      <c r="O3" s="62">
        <f t="shared" si="1"/>
        <v>0</v>
      </c>
      <c r="P3" s="62">
        <f t="shared" si="1"/>
        <v>0</v>
      </c>
      <c r="Q3" s="62">
        <f t="shared" si="1"/>
        <v>0</v>
      </c>
      <c r="R3" s="62">
        <f t="shared" si="1"/>
        <v>0</v>
      </c>
      <c r="S3" s="62">
        <f t="shared" si="1"/>
        <v>0</v>
      </c>
      <c r="T3" s="62">
        <f t="shared" si="1"/>
        <v>0</v>
      </c>
      <c r="U3" s="62">
        <f t="shared" si="1"/>
        <v>0</v>
      </c>
      <c r="V3" s="62">
        <f t="shared" si="1"/>
        <v>0</v>
      </c>
      <c r="W3" s="62">
        <f t="shared" si="1"/>
        <v>0</v>
      </c>
      <c r="X3" s="62">
        <f t="shared" ref="X3:Y3" si="2">SUM(X4:X5)</f>
        <v>0</v>
      </c>
      <c r="Y3" s="62">
        <f t="shared" si="2"/>
        <v>0</v>
      </c>
      <c r="DA3" s="172" t="s">
        <v>987</v>
      </c>
    </row>
    <row r="4" spans="1:105" ht="11.45" customHeight="1" x14ac:dyDescent="0.25">
      <c r="A4" s="55" t="s">
        <v>166</v>
      </c>
      <c r="B4" s="63">
        <v>0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3">
        <v>0</v>
      </c>
      <c r="V4" s="63">
        <v>0</v>
      </c>
      <c r="W4" s="63">
        <v>0</v>
      </c>
      <c r="X4" s="63">
        <v>0</v>
      </c>
      <c r="Y4" s="63">
        <v>0</v>
      </c>
      <c r="DA4" s="181" t="s">
        <v>988</v>
      </c>
    </row>
    <row r="5" spans="1:105" ht="11.45" customHeight="1" x14ac:dyDescent="0.25">
      <c r="A5" s="57" t="s">
        <v>167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X5" s="64">
        <v>0</v>
      </c>
      <c r="Y5" s="64">
        <v>0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0</v>
      </c>
      <c r="C9" s="79">
        <f>IF(C3=0,0,C3/MBunk_ene!C3)</f>
        <v>0</v>
      </c>
      <c r="D9" s="79">
        <f>IF(D3=0,0,D3/MBunk_ene!D3)</f>
        <v>0</v>
      </c>
      <c r="E9" s="79">
        <f>IF(E3=0,0,E3/MBunk_ene!E3)</f>
        <v>0</v>
      </c>
      <c r="F9" s="79">
        <f>IF(F3=0,0,F3/MBunk_ene!F3)</f>
        <v>0</v>
      </c>
      <c r="G9" s="79">
        <f>IF(G3=0,0,G3/MBunk_ene!G3)</f>
        <v>0</v>
      </c>
      <c r="H9" s="79">
        <f>IF(H3=0,0,H3/MBunk_ene!H3)</f>
        <v>0</v>
      </c>
      <c r="I9" s="79">
        <f>IF(I3=0,0,I3/MBunk_ene!I3)</f>
        <v>0</v>
      </c>
      <c r="J9" s="79">
        <f>IF(J3=0,0,J3/MBunk_ene!J3)</f>
        <v>0</v>
      </c>
      <c r="K9" s="79">
        <f>IF(K3=0,0,K3/MBunk_ene!K3)</f>
        <v>0</v>
      </c>
      <c r="L9" s="79">
        <f>IF(L3=0,0,L3/MBunk_ene!L3)</f>
        <v>0</v>
      </c>
      <c r="M9" s="79">
        <f>IF(M3=0,0,M3/MBunk_ene!M3)</f>
        <v>0</v>
      </c>
      <c r="N9" s="79">
        <f>IF(N3=0,0,N3/MBunk_ene!N3)</f>
        <v>0</v>
      </c>
      <c r="O9" s="79">
        <f>IF(O3=0,0,O3/MBunk_ene!O3)</f>
        <v>0</v>
      </c>
      <c r="P9" s="79">
        <f>IF(P3=0,0,P3/MBunk_ene!P3)</f>
        <v>0</v>
      </c>
      <c r="Q9" s="79">
        <f>IF(Q3=0,0,Q3/MBunk_ene!Q3)</f>
        <v>0</v>
      </c>
      <c r="R9" s="79">
        <f>IF(R3=0,0,R3/MBunk_ene!R3)</f>
        <v>0</v>
      </c>
      <c r="S9" s="79">
        <f>IF(S3=0,0,S3/MBunk_ene!S3)</f>
        <v>0</v>
      </c>
      <c r="T9" s="79">
        <f>IF(T3=0,0,T3/MBunk_ene!T3)</f>
        <v>0</v>
      </c>
      <c r="U9" s="79">
        <f>IF(U3=0,0,U3/MBunk_ene!U3)</f>
        <v>0</v>
      </c>
      <c r="V9" s="79">
        <f>IF(V3=0,0,V3/MBunk_ene!V3)</f>
        <v>0</v>
      </c>
      <c r="W9" s="79">
        <f>IF(W3=0,0,W3/MBunk_ene!W3)</f>
        <v>0</v>
      </c>
      <c r="X9" s="79">
        <f>IF(X3=0,0,X3/MBunk_ene!X3)</f>
        <v>0</v>
      </c>
      <c r="Y9" s="79">
        <f>IF(Y3=0,0,Y3/MBunk_ene!Y3)</f>
        <v>0</v>
      </c>
      <c r="DA9" s="172"/>
    </row>
    <row r="10" spans="1:105" ht="11.45" customHeight="1" x14ac:dyDescent="0.25">
      <c r="A10" s="55" t="s">
        <v>166</v>
      </c>
      <c r="B10" s="80">
        <f>IF(B4=0,0,B4/MBunk_ene!B4)</f>
        <v>0</v>
      </c>
      <c r="C10" s="80">
        <f>IF(C4=0,0,C4/MBunk_ene!C4)</f>
        <v>0</v>
      </c>
      <c r="D10" s="80">
        <f>IF(D4=0,0,D4/MBunk_ene!D4)</f>
        <v>0</v>
      </c>
      <c r="E10" s="80">
        <f>IF(E4=0,0,E4/MBunk_ene!E4)</f>
        <v>0</v>
      </c>
      <c r="F10" s="80">
        <f>IF(F4=0,0,F4/MBunk_ene!F4)</f>
        <v>0</v>
      </c>
      <c r="G10" s="80">
        <f>IF(G4=0,0,G4/MBunk_ene!G4)</f>
        <v>0</v>
      </c>
      <c r="H10" s="80">
        <f>IF(H4=0,0,H4/MBunk_ene!H4)</f>
        <v>0</v>
      </c>
      <c r="I10" s="80">
        <f>IF(I4=0,0,I4/MBunk_ene!I4)</f>
        <v>0</v>
      </c>
      <c r="J10" s="80">
        <f>IF(J4=0,0,J4/MBunk_ene!J4)</f>
        <v>0</v>
      </c>
      <c r="K10" s="80">
        <f>IF(K4=0,0,K4/MBunk_ene!K4)</f>
        <v>0</v>
      </c>
      <c r="L10" s="80">
        <f>IF(L4=0,0,L4/MBunk_ene!L4)</f>
        <v>0</v>
      </c>
      <c r="M10" s="80">
        <f>IF(M4=0,0,M4/MBunk_ene!M4)</f>
        <v>0</v>
      </c>
      <c r="N10" s="80">
        <f>IF(N4=0,0,N4/MBunk_ene!N4)</f>
        <v>0</v>
      </c>
      <c r="O10" s="80">
        <f>IF(O4=0,0,O4/MBunk_ene!O4)</f>
        <v>0</v>
      </c>
      <c r="P10" s="80">
        <f>IF(P4=0,0,P4/MBunk_ene!P4)</f>
        <v>0</v>
      </c>
      <c r="Q10" s="80">
        <f>IF(Q4=0,0,Q4/MBunk_ene!Q4)</f>
        <v>0</v>
      </c>
      <c r="R10" s="80">
        <f>IF(R4=0,0,R4/MBunk_ene!R4)</f>
        <v>0</v>
      </c>
      <c r="S10" s="80">
        <f>IF(S4=0,0,S4/MBunk_ene!S4)</f>
        <v>0</v>
      </c>
      <c r="T10" s="80">
        <f>IF(T4=0,0,T4/MBunk_ene!T4)</f>
        <v>0</v>
      </c>
      <c r="U10" s="80">
        <f>IF(U4=0,0,U4/MBunk_ene!U4)</f>
        <v>0</v>
      </c>
      <c r="V10" s="80">
        <f>IF(V4=0,0,V4/MBunk_ene!V4)</f>
        <v>0</v>
      </c>
      <c r="W10" s="80">
        <f>IF(W4=0,0,W4/MBunk_ene!W4)</f>
        <v>0</v>
      </c>
      <c r="X10" s="80">
        <f>IF(X4=0,0,X4/MBunk_ene!X4)</f>
        <v>0</v>
      </c>
      <c r="Y10" s="80">
        <f>IF(Y4=0,0,Y4/MBunk_ene!Y4)</f>
        <v>0</v>
      </c>
      <c r="DA10" s="181"/>
    </row>
    <row r="11" spans="1:105" ht="11.45" customHeight="1" x14ac:dyDescent="0.25">
      <c r="A11" s="57" t="s">
        <v>167</v>
      </c>
      <c r="B11" s="81">
        <f>IF(B5=0,0,B5/MBunk_ene!B10)</f>
        <v>0</v>
      </c>
      <c r="C11" s="81">
        <f>IF(C5=0,0,C5/MBunk_ene!C10)</f>
        <v>0</v>
      </c>
      <c r="D11" s="81">
        <f>IF(D5=0,0,D5/MBunk_ene!D10)</f>
        <v>0</v>
      </c>
      <c r="E11" s="81">
        <f>IF(E5=0,0,E5/MBunk_ene!E10)</f>
        <v>0</v>
      </c>
      <c r="F11" s="81">
        <f>IF(F5=0,0,F5/MBunk_ene!F10)</f>
        <v>0</v>
      </c>
      <c r="G11" s="81">
        <f>IF(G5=0,0,G5/MBunk_ene!G10)</f>
        <v>0</v>
      </c>
      <c r="H11" s="81">
        <f>IF(H5=0,0,H5/MBunk_ene!H10)</f>
        <v>0</v>
      </c>
      <c r="I11" s="81">
        <f>IF(I5=0,0,I5/MBunk_ene!I10)</f>
        <v>0</v>
      </c>
      <c r="J11" s="81">
        <f>IF(J5=0,0,J5/MBunk_ene!J10)</f>
        <v>0</v>
      </c>
      <c r="K11" s="81">
        <f>IF(K5=0,0,K5/MBunk_ene!K10)</f>
        <v>0</v>
      </c>
      <c r="L11" s="81">
        <f>IF(L5=0,0,L5/MBunk_ene!L10)</f>
        <v>0</v>
      </c>
      <c r="M11" s="81">
        <f>IF(M5=0,0,M5/MBunk_ene!M10)</f>
        <v>0</v>
      </c>
      <c r="N11" s="81">
        <f>IF(N5=0,0,N5/MBunk_ene!N10)</f>
        <v>0</v>
      </c>
      <c r="O11" s="81">
        <f>IF(O5=0,0,O5/MBunk_ene!O10)</f>
        <v>0</v>
      </c>
      <c r="P11" s="81">
        <f>IF(P5=0,0,P5/MBunk_ene!P10)</f>
        <v>0</v>
      </c>
      <c r="Q11" s="81">
        <f>IF(Q5=0,0,Q5/MBunk_ene!Q10)</f>
        <v>0</v>
      </c>
      <c r="R11" s="81">
        <f>IF(R5=0,0,R5/MBunk_ene!R10)</f>
        <v>0</v>
      </c>
      <c r="S11" s="81">
        <f>IF(S5=0,0,S5/MBunk_ene!S10)</f>
        <v>0</v>
      </c>
      <c r="T11" s="81">
        <f>IF(T5=0,0,T5/MBunk_ene!T10)</f>
        <v>0</v>
      </c>
      <c r="U11" s="81">
        <f>IF(U5=0,0,U5/MBunk_ene!U10)</f>
        <v>0</v>
      </c>
      <c r="V11" s="81">
        <f>IF(V5=0,0,V5/MBunk_ene!V10)</f>
        <v>0</v>
      </c>
      <c r="W11" s="81">
        <f>IF(W5=0,0,W5/MBunk_ene!W10)</f>
        <v>0</v>
      </c>
      <c r="X11" s="81">
        <f>IF(X5=0,0,X5/MBunk_ene!X10)</f>
        <v>0</v>
      </c>
      <c r="Y11" s="81">
        <f>IF(Y5=0,0,Y5/MBunk_ene!Y10)</f>
        <v>0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0</v>
      </c>
      <c r="C13" s="62">
        <f>IF(C3=0,0,C3/MBunk_act!C7*100)</f>
        <v>0</v>
      </c>
      <c r="D13" s="62">
        <f>IF(D3=0,0,D3/MBunk_act!D7*100)</f>
        <v>0</v>
      </c>
      <c r="E13" s="62">
        <f>IF(E3=0,0,E3/MBunk_act!E7*100)</f>
        <v>0</v>
      </c>
      <c r="F13" s="62">
        <f>IF(F3=0,0,F3/MBunk_act!F7*100)</f>
        <v>0</v>
      </c>
      <c r="G13" s="62">
        <f>IF(G3=0,0,G3/MBunk_act!G7*100)</f>
        <v>0</v>
      </c>
      <c r="H13" s="62">
        <f>IF(H3=0,0,H3/MBunk_act!H7*100)</f>
        <v>0</v>
      </c>
      <c r="I13" s="62">
        <f>IF(I3=0,0,I3/MBunk_act!I7*100)</f>
        <v>0</v>
      </c>
      <c r="J13" s="62">
        <f>IF(J3=0,0,J3/MBunk_act!J7*100)</f>
        <v>0</v>
      </c>
      <c r="K13" s="62">
        <f>IF(K3=0,0,K3/MBunk_act!K7*100)</f>
        <v>0</v>
      </c>
      <c r="L13" s="62">
        <f>IF(L3=0,0,L3/MBunk_act!L7*100)</f>
        <v>0</v>
      </c>
      <c r="M13" s="62">
        <f>IF(M3=0,0,M3/MBunk_act!M7*100)</f>
        <v>0</v>
      </c>
      <c r="N13" s="62">
        <f>IF(N3=0,0,N3/MBunk_act!N7*100)</f>
        <v>0</v>
      </c>
      <c r="O13" s="62">
        <f>IF(O3=0,0,O3/MBunk_act!O7*100)</f>
        <v>0</v>
      </c>
      <c r="P13" s="62">
        <f>IF(P3=0,0,P3/MBunk_act!P7*100)</f>
        <v>0</v>
      </c>
      <c r="Q13" s="62">
        <f>IF(Q3=0,0,Q3/MBunk_act!Q7*100)</f>
        <v>0</v>
      </c>
      <c r="R13" s="62">
        <f>IF(R3=0,0,R3/MBunk_act!R7*100)</f>
        <v>0</v>
      </c>
      <c r="S13" s="62">
        <f>IF(S3=0,0,S3/MBunk_act!S7*100)</f>
        <v>0</v>
      </c>
      <c r="T13" s="62">
        <f>IF(T3=0,0,T3/MBunk_act!T7*100)</f>
        <v>0</v>
      </c>
      <c r="U13" s="62">
        <f>IF(U3=0,0,U3/MBunk_act!U7*100)</f>
        <v>0</v>
      </c>
      <c r="V13" s="62">
        <f>IF(V3=0,0,V3/MBunk_act!V7*100)</f>
        <v>0</v>
      </c>
      <c r="W13" s="62">
        <f>IF(W3=0,0,W3/MBunk_act!W7*100)</f>
        <v>0</v>
      </c>
      <c r="X13" s="62">
        <f>IF(X3=0,0,X3/MBunk_act!X7*100)</f>
        <v>0</v>
      </c>
      <c r="Y13" s="62">
        <f>IF(Y3=0,0,Y3/MBunk_act!Y7*100)</f>
        <v>0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0</v>
      </c>
      <c r="C14" s="63">
        <f>IF(C4=0,0,C4/MBunk_act!C8*100)</f>
        <v>0</v>
      </c>
      <c r="D14" s="63">
        <f>IF(D4=0,0,D4/MBunk_act!D8*100)</f>
        <v>0</v>
      </c>
      <c r="E14" s="63">
        <f>IF(E4=0,0,E4/MBunk_act!E8*100)</f>
        <v>0</v>
      </c>
      <c r="F14" s="63">
        <f>IF(F4=0,0,F4/MBunk_act!F8*100)</f>
        <v>0</v>
      </c>
      <c r="G14" s="63">
        <f>IF(G4=0,0,G4/MBunk_act!G8*100)</f>
        <v>0</v>
      </c>
      <c r="H14" s="63">
        <f>IF(H4=0,0,H4/MBunk_act!H8*100)</f>
        <v>0</v>
      </c>
      <c r="I14" s="63">
        <f>IF(I4=0,0,I4/MBunk_act!I8*100)</f>
        <v>0</v>
      </c>
      <c r="J14" s="63">
        <f>IF(J4=0,0,J4/MBunk_act!J8*100)</f>
        <v>0</v>
      </c>
      <c r="K14" s="63">
        <f>IF(K4=0,0,K4/MBunk_act!K8*100)</f>
        <v>0</v>
      </c>
      <c r="L14" s="63">
        <f>IF(L4=0,0,L4/MBunk_act!L8*100)</f>
        <v>0</v>
      </c>
      <c r="M14" s="63">
        <f>IF(M4=0,0,M4/MBunk_act!M8*100)</f>
        <v>0</v>
      </c>
      <c r="N14" s="63">
        <f>IF(N4=0,0,N4/MBunk_act!N8*100)</f>
        <v>0</v>
      </c>
      <c r="O14" s="63">
        <f>IF(O4=0,0,O4/MBunk_act!O8*100)</f>
        <v>0</v>
      </c>
      <c r="P14" s="63">
        <f>IF(P4=0,0,P4/MBunk_act!P8*100)</f>
        <v>0</v>
      </c>
      <c r="Q14" s="63">
        <f>IF(Q4=0,0,Q4/MBunk_act!Q8*100)</f>
        <v>0</v>
      </c>
      <c r="R14" s="63">
        <f>IF(R4=0,0,R4/MBunk_act!R8*100)</f>
        <v>0</v>
      </c>
      <c r="S14" s="63">
        <f>IF(S4=0,0,S4/MBunk_act!S8*100)</f>
        <v>0</v>
      </c>
      <c r="T14" s="63">
        <f>IF(T4=0,0,T4/MBunk_act!T8*100)</f>
        <v>0</v>
      </c>
      <c r="U14" s="63">
        <f>IF(U4=0,0,U4/MBunk_act!U8*100)</f>
        <v>0</v>
      </c>
      <c r="V14" s="63">
        <f>IF(V4=0,0,V4/MBunk_act!V8*100)</f>
        <v>0</v>
      </c>
      <c r="W14" s="63">
        <f>IF(W4=0,0,W4/MBunk_act!W8*100)</f>
        <v>0</v>
      </c>
      <c r="X14" s="63">
        <f>IF(X4=0,0,X4/MBunk_act!X8*100)</f>
        <v>0</v>
      </c>
      <c r="Y14" s="63">
        <f>IF(Y4=0,0,Y4/MBunk_act!Y8*100)</f>
        <v>0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0</v>
      </c>
      <c r="C15" s="64">
        <f>IF(C5=0,0,C5/MBunk_act!C9*100)</f>
        <v>0</v>
      </c>
      <c r="D15" s="64">
        <f>IF(D5=0,0,D5/MBunk_act!D9*100)</f>
        <v>0</v>
      </c>
      <c r="E15" s="64">
        <f>IF(E5=0,0,E5/MBunk_act!E9*100)</f>
        <v>0</v>
      </c>
      <c r="F15" s="64">
        <f>IF(F5=0,0,F5/MBunk_act!F9*100)</f>
        <v>0</v>
      </c>
      <c r="G15" s="64">
        <f>IF(G5=0,0,G5/MBunk_act!G9*100)</f>
        <v>0</v>
      </c>
      <c r="H15" s="64">
        <f>IF(H5=0,0,H5/MBunk_act!H9*100)</f>
        <v>0</v>
      </c>
      <c r="I15" s="64">
        <f>IF(I5=0,0,I5/MBunk_act!I9*100)</f>
        <v>0</v>
      </c>
      <c r="J15" s="64">
        <f>IF(J5=0,0,J5/MBunk_act!J9*100)</f>
        <v>0</v>
      </c>
      <c r="K15" s="64">
        <f>IF(K5=0,0,K5/MBunk_act!K9*100)</f>
        <v>0</v>
      </c>
      <c r="L15" s="64">
        <f>IF(L5=0,0,L5/MBunk_act!L9*100)</f>
        <v>0</v>
      </c>
      <c r="M15" s="64">
        <f>IF(M5=0,0,M5/MBunk_act!M9*100)</f>
        <v>0</v>
      </c>
      <c r="N15" s="64">
        <f>IF(N5=0,0,N5/MBunk_act!N9*100)</f>
        <v>0</v>
      </c>
      <c r="O15" s="64">
        <f>IF(O5=0,0,O5/MBunk_act!O9*100)</f>
        <v>0</v>
      </c>
      <c r="P15" s="64">
        <f>IF(P5=0,0,P5/MBunk_act!P9*100)</f>
        <v>0</v>
      </c>
      <c r="Q15" s="64">
        <f>IF(Q5=0,0,Q5/MBunk_act!Q9*100)</f>
        <v>0</v>
      </c>
      <c r="R15" s="64">
        <f>IF(R5=0,0,R5/MBunk_act!R9*100)</f>
        <v>0</v>
      </c>
      <c r="S15" s="64">
        <f>IF(S5=0,0,S5/MBunk_act!S9*100)</f>
        <v>0</v>
      </c>
      <c r="T15" s="64">
        <f>IF(T5=0,0,T5/MBunk_act!T9*100)</f>
        <v>0</v>
      </c>
      <c r="U15" s="64">
        <f>IF(U5=0,0,U5/MBunk_act!U9*100)</f>
        <v>0</v>
      </c>
      <c r="V15" s="64">
        <f>IF(V5=0,0,V5/MBunk_act!V9*100)</f>
        <v>0</v>
      </c>
      <c r="W15" s="64">
        <f>IF(W5=0,0,W5/MBunk_act!W9*100)</f>
        <v>0</v>
      </c>
      <c r="X15" s="64">
        <f>IF(X5=0,0,X5/MBunk_act!X9*100)</f>
        <v>0</v>
      </c>
      <c r="Y15" s="64">
        <f>IF(Y5=0,0,Y5/MBunk_act!Y9*100)</f>
        <v>0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0</v>
      </c>
      <c r="C17" s="62">
        <f>IF(C3=0,0,C3/MBunk_act!C3*1000)</f>
        <v>0</v>
      </c>
      <c r="D17" s="62">
        <f>IF(D3=0,0,D3/MBunk_act!D3*1000)</f>
        <v>0</v>
      </c>
      <c r="E17" s="62">
        <f>IF(E3=0,0,E3/MBunk_act!E3*1000)</f>
        <v>0</v>
      </c>
      <c r="F17" s="62">
        <f>IF(F3=0,0,F3/MBunk_act!F3*1000)</f>
        <v>0</v>
      </c>
      <c r="G17" s="62">
        <f>IF(G3=0,0,G3/MBunk_act!G3*1000)</f>
        <v>0</v>
      </c>
      <c r="H17" s="62">
        <f>IF(H3=0,0,H3/MBunk_act!H3*1000)</f>
        <v>0</v>
      </c>
      <c r="I17" s="62">
        <f>IF(I3=0,0,I3/MBunk_act!I3*1000)</f>
        <v>0</v>
      </c>
      <c r="J17" s="62">
        <f>IF(J3=0,0,J3/MBunk_act!J3*1000)</f>
        <v>0</v>
      </c>
      <c r="K17" s="62">
        <f>IF(K3=0,0,K3/MBunk_act!K3*1000)</f>
        <v>0</v>
      </c>
      <c r="L17" s="62">
        <f>IF(L3=0,0,L3/MBunk_act!L3*1000)</f>
        <v>0</v>
      </c>
      <c r="M17" s="62">
        <f>IF(M3=0,0,M3/MBunk_act!M3*1000)</f>
        <v>0</v>
      </c>
      <c r="N17" s="62">
        <f>IF(N3=0,0,N3/MBunk_act!N3*1000)</f>
        <v>0</v>
      </c>
      <c r="O17" s="62">
        <f>IF(O3=0,0,O3/MBunk_act!O3*1000)</f>
        <v>0</v>
      </c>
      <c r="P17" s="62">
        <f>IF(P3=0,0,P3/MBunk_act!P3*1000)</f>
        <v>0</v>
      </c>
      <c r="Q17" s="62">
        <f>IF(Q3=0,0,Q3/MBunk_act!Q3*1000)</f>
        <v>0</v>
      </c>
      <c r="R17" s="62">
        <f>IF(R3=0,0,R3/MBunk_act!R3*1000)</f>
        <v>0</v>
      </c>
      <c r="S17" s="62">
        <f>IF(S3=0,0,S3/MBunk_act!S3*1000)</f>
        <v>0</v>
      </c>
      <c r="T17" s="62">
        <f>IF(T3=0,0,T3/MBunk_act!T3*1000)</f>
        <v>0</v>
      </c>
      <c r="U17" s="62">
        <f>IF(U3=0,0,U3/MBunk_act!U3*1000)</f>
        <v>0</v>
      </c>
      <c r="V17" s="62">
        <f>IF(V3=0,0,V3/MBunk_act!V3*1000)</f>
        <v>0</v>
      </c>
      <c r="W17" s="62">
        <f>IF(W3=0,0,W3/MBunk_act!W3*1000)</f>
        <v>0</v>
      </c>
      <c r="X17" s="62">
        <f>IF(X3=0,0,X3/MBunk_act!X3*1000)</f>
        <v>0</v>
      </c>
      <c r="Y17" s="62">
        <f>IF(Y3=0,0,Y3/MBunk_act!Y3*1000)</f>
        <v>0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0</v>
      </c>
      <c r="C18" s="63">
        <f>IF(C4=0,0,C4/MBunk_act!C4*1000)</f>
        <v>0</v>
      </c>
      <c r="D18" s="63">
        <f>IF(D4=0,0,D4/MBunk_act!D4*1000)</f>
        <v>0</v>
      </c>
      <c r="E18" s="63">
        <f>IF(E4=0,0,E4/MBunk_act!E4*1000)</f>
        <v>0</v>
      </c>
      <c r="F18" s="63">
        <f>IF(F4=0,0,F4/MBunk_act!F4*1000)</f>
        <v>0</v>
      </c>
      <c r="G18" s="63">
        <f>IF(G4=0,0,G4/MBunk_act!G4*1000)</f>
        <v>0</v>
      </c>
      <c r="H18" s="63">
        <f>IF(H4=0,0,H4/MBunk_act!H4*1000)</f>
        <v>0</v>
      </c>
      <c r="I18" s="63">
        <f>IF(I4=0,0,I4/MBunk_act!I4*1000)</f>
        <v>0</v>
      </c>
      <c r="J18" s="63">
        <f>IF(J4=0,0,J4/MBunk_act!J4*1000)</f>
        <v>0</v>
      </c>
      <c r="K18" s="63">
        <f>IF(K4=0,0,K4/MBunk_act!K4*1000)</f>
        <v>0</v>
      </c>
      <c r="L18" s="63">
        <f>IF(L4=0,0,L4/MBunk_act!L4*1000)</f>
        <v>0</v>
      </c>
      <c r="M18" s="63">
        <f>IF(M4=0,0,M4/MBunk_act!M4*1000)</f>
        <v>0</v>
      </c>
      <c r="N18" s="63">
        <f>IF(N4=0,0,N4/MBunk_act!N4*1000)</f>
        <v>0</v>
      </c>
      <c r="O18" s="63">
        <f>IF(O4=0,0,O4/MBunk_act!O4*1000)</f>
        <v>0</v>
      </c>
      <c r="P18" s="63">
        <f>IF(P4=0,0,P4/MBunk_act!P4*1000)</f>
        <v>0</v>
      </c>
      <c r="Q18" s="63">
        <f>IF(Q4=0,0,Q4/MBunk_act!Q4*1000)</f>
        <v>0</v>
      </c>
      <c r="R18" s="63">
        <f>IF(R4=0,0,R4/MBunk_act!R4*1000)</f>
        <v>0</v>
      </c>
      <c r="S18" s="63">
        <f>IF(S4=0,0,S4/MBunk_act!S4*1000)</f>
        <v>0</v>
      </c>
      <c r="T18" s="63">
        <f>IF(T4=0,0,T4/MBunk_act!T4*1000)</f>
        <v>0</v>
      </c>
      <c r="U18" s="63">
        <f>IF(U4=0,0,U4/MBunk_act!U4*1000)</f>
        <v>0</v>
      </c>
      <c r="V18" s="63">
        <f>IF(V4=0,0,V4/MBunk_act!V4*1000)</f>
        <v>0</v>
      </c>
      <c r="W18" s="63">
        <f>IF(W4=0,0,W4/MBunk_act!W4*1000)</f>
        <v>0</v>
      </c>
      <c r="X18" s="63">
        <f>IF(X4=0,0,X4/MBunk_act!X4*1000)</f>
        <v>0</v>
      </c>
      <c r="Y18" s="63">
        <f>IF(Y4=0,0,Y4/MBunk_act!Y4*1000)</f>
        <v>0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0</v>
      </c>
      <c r="C19" s="64">
        <f>IF(C5=0,0,C5/MBunk_act!C5*1000)</f>
        <v>0</v>
      </c>
      <c r="D19" s="64">
        <f>IF(D5=0,0,D5/MBunk_act!D5*1000)</f>
        <v>0</v>
      </c>
      <c r="E19" s="64">
        <f>IF(E5=0,0,E5/MBunk_act!E5*1000)</f>
        <v>0</v>
      </c>
      <c r="F19" s="64">
        <f>IF(F5=0,0,F5/MBunk_act!F5*1000)</f>
        <v>0</v>
      </c>
      <c r="G19" s="64">
        <f>IF(G5=0,0,G5/MBunk_act!G5*1000)</f>
        <v>0</v>
      </c>
      <c r="H19" s="64">
        <f>IF(H5=0,0,H5/MBunk_act!H5*1000)</f>
        <v>0</v>
      </c>
      <c r="I19" s="64">
        <f>IF(I5=0,0,I5/MBunk_act!I5*1000)</f>
        <v>0</v>
      </c>
      <c r="J19" s="64">
        <f>IF(J5=0,0,J5/MBunk_act!J5*1000)</f>
        <v>0</v>
      </c>
      <c r="K19" s="64">
        <f>IF(K5=0,0,K5/MBunk_act!K5*1000)</f>
        <v>0</v>
      </c>
      <c r="L19" s="64">
        <f>IF(L5=0,0,L5/MBunk_act!L5*1000)</f>
        <v>0</v>
      </c>
      <c r="M19" s="64">
        <f>IF(M5=0,0,M5/MBunk_act!M5*1000)</f>
        <v>0</v>
      </c>
      <c r="N19" s="64">
        <f>IF(N5=0,0,N5/MBunk_act!N5*1000)</f>
        <v>0</v>
      </c>
      <c r="O19" s="64">
        <f>IF(O5=0,0,O5/MBunk_act!O5*1000)</f>
        <v>0</v>
      </c>
      <c r="P19" s="64">
        <f>IF(P5=0,0,P5/MBunk_act!P5*1000)</f>
        <v>0</v>
      </c>
      <c r="Q19" s="64">
        <f>IF(Q5=0,0,Q5/MBunk_act!Q5*1000)</f>
        <v>0</v>
      </c>
      <c r="R19" s="64">
        <f>IF(R5=0,0,R5/MBunk_act!R5*1000)</f>
        <v>0</v>
      </c>
      <c r="S19" s="64">
        <f>IF(S5=0,0,S5/MBunk_act!S5*1000)</f>
        <v>0</v>
      </c>
      <c r="T19" s="64">
        <f>IF(T5=0,0,T5/MBunk_act!T5*1000)</f>
        <v>0</v>
      </c>
      <c r="U19" s="64">
        <f>IF(U5=0,0,U5/MBunk_act!U5*1000)</f>
        <v>0</v>
      </c>
      <c r="V19" s="64">
        <f>IF(V5=0,0,V5/MBunk_act!V5*1000)</f>
        <v>0</v>
      </c>
      <c r="W19" s="64">
        <f>IF(W5=0,0,W5/MBunk_act!W5*1000)</f>
        <v>0</v>
      </c>
      <c r="X19" s="64">
        <f>IF(X5=0,0,X5/MBunk_act!X5*1000)</f>
        <v>0</v>
      </c>
      <c r="Y19" s="64">
        <f>IF(Y5=0,0,Y5/MBunk_act!Y5*1000)</f>
        <v>0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0</v>
      </c>
      <c r="C21" s="76">
        <f t="shared" si="3"/>
        <v>0</v>
      </c>
      <c r="D21" s="76">
        <f t="shared" si="3"/>
        <v>0</v>
      </c>
      <c r="E21" s="76">
        <f t="shared" si="3"/>
        <v>0</v>
      </c>
      <c r="F21" s="76">
        <f t="shared" si="3"/>
        <v>0</v>
      </c>
      <c r="G21" s="76">
        <f t="shared" si="3"/>
        <v>0</v>
      </c>
      <c r="H21" s="76">
        <f t="shared" si="3"/>
        <v>0</v>
      </c>
      <c r="I21" s="76">
        <f t="shared" si="3"/>
        <v>0</v>
      </c>
      <c r="J21" s="76">
        <f t="shared" si="3"/>
        <v>0</v>
      </c>
      <c r="K21" s="76">
        <f t="shared" si="3"/>
        <v>0</v>
      </c>
      <c r="L21" s="76">
        <f t="shared" si="3"/>
        <v>0</v>
      </c>
      <c r="M21" s="76">
        <f t="shared" si="3"/>
        <v>0</v>
      </c>
      <c r="N21" s="76">
        <f t="shared" si="3"/>
        <v>0</v>
      </c>
      <c r="O21" s="76">
        <f t="shared" si="3"/>
        <v>0</v>
      </c>
      <c r="P21" s="76">
        <f t="shared" si="3"/>
        <v>0</v>
      </c>
      <c r="Q21" s="76">
        <f t="shared" si="3"/>
        <v>0</v>
      </c>
      <c r="R21" s="76">
        <f t="shared" si="3"/>
        <v>0</v>
      </c>
      <c r="S21" s="76">
        <f t="shared" si="3"/>
        <v>0</v>
      </c>
      <c r="T21" s="76">
        <f t="shared" si="3"/>
        <v>0</v>
      </c>
      <c r="U21" s="76">
        <f t="shared" si="3"/>
        <v>0</v>
      </c>
      <c r="V21" s="76">
        <f t="shared" si="3"/>
        <v>0</v>
      </c>
      <c r="W21" s="76">
        <f t="shared" si="3"/>
        <v>0</v>
      </c>
      <c r="X21" s="76">
        <f t="shared" ref="X21:Y21" si="4">IF(X3=0,0,X3/X$3)</f>
        <v>0</v>
      </c>
      <c r="Y21" s="76">
        <f t="shared" si="4"/>
        <v>0</v>
      </c>
      <c r="DA21" s="183"/>
    </row>
    <row r="22" spans="1:105" ht="11.45" customHeight="1" x14ac:dyDescent="0.25">
      <c r="A22" s="55" t="s">
        <v>166</v>
      </c>
      <c r="B22" s="77">
        <f t="shared" si="3"/>
        <v>0</v>
      </c>
      <c r="C22" s="77">
        <f t="shared" si="3"/>
        <v>0</v>
      </c>
      <c r="D22" s="77">
        <f t="shared" si="3"/>
        <v>0</v>
      </c>
      <c r="E22" s="77">
        <f t="shared" si="3"/>
        <v>0</v>
      </c>
      <c r="F22" s="77">
        <f t="shared" si="3"/>
        <v>0</v>
      </c>
      <c r="G22" s="77">
        <f t="shared" si="3"/>
        <v>0</v>
      </c>
      <c r="H22" s="77">
        <f t="shared" si="3"/>
        <v>0</v>
      </c>
      <c r="I22" s="77">
        <f t="shared" si="3"/>
        <v>0</v>
      </c>
      <c r="J22" s="77">
        <f t="shared" si="3"/>
        <v>0</v>
      </c>
      <c r="K22" s="77">
        <f t="shared" si="3"/>
        <v>0</v>
      </c>
      <c r="L22" s="77">
        <f t="shared" si="3"/>
        <v>0</v>
      </c>
      <c r="M22" s="77">
        <f t="shared" si="3"/>
        <v>0</v>
      </c>
      <c r="N22" s="77">
        <f t="shared" si="3"/>
        <v>0</v>
      </c>
      <c r="O22" s="77">
        <f t="shared" si="3"/>
        <v>0</v>
      </c>
      <c r="P22" s="77">
        <f t="shared" si="3"/>
        <v>0</v>
      </c>
      <c r="Q22" s="77">
        <f t="shared" si="3"/>
        <v>0</v>
      </c>
      <c r="R22" s="77">
        <f t="shared" si="3"/>
        <v>0</v>
      </c>
      <c r="S22" s="77">
        <f t="shared" si="3"/>
        <v>0</v>
      </c>
      <c r="T22" s="77">
        <f t="shared" si="3"/>
        <v>0</v>
      </c>
      <c r="U22" s="77">
        <f t="shared" si="3"/>
        <v>0</v>
      </c>
      <c r="V22" s="77">
        <f t="shared" si="3"/>
        <v>0</v>
      </c>
      <c r="W22" s="77">
        <f t="shared" si="3"/>
        <v>0</v>
      </c>
      <c r="X22" s="77">
        <f t="shared" ref="X22:Y22" si="5">IF(X4=0,0,X4/X$3)</f>
        <v>0</v>
      </c>
      <c r="Y22" s="77">
        <f t="shared" si="5"/>
        <v>0</v>
      </c>
      <c r="DA22" s="184"/>
    </row>
    <row r="23" spans="1:105" ht="11.45" customHeight="1" x14ac:dyDescent="0.25">
      <c r="A23" s="57" t="s">
        <v>167</v>
      </c>
      <c r="B23" s="78">
        <f t="shared" si="3"/>
        <v>0</v>
      </c>
      <c r="C23" s="78">
        <f t="shared" si="3"/>
        <v>0</v>
      </c>
      <c r="D23" s="78">
        <f t="shared" si="3"/>
        <v>0</v>
      </c>
      <c r="E23" s="78">
        <f t="shared" si="3"/>
        <v>0</v>
      </c>
      <c r="F23" s="78">
        <f t="shared" si="3"/>
        <v>0</v>
      </c>
      <c r="G23" s="78">
        <f t="shared" si="3"/>
        <v>0</v>
      </c>
      <c r="H23" s="78">
        <f t="shared" si="3"/>
        <v>0</v>
      </c>
      <c r="I23" s="78">
        <f t="shared" si="3"/>
        <v>0</v>
      </c>
      <c r="J23" s="78">
        <f t="shared" si="3"/>
        <v>0</v>
      </c>
      <c r="K23" s="78">
        <f t="shared" si="3"/>
        <v>0</v>
      </c>
      <c r="L23" s="78">
        <f t="shared" si="3"/>
        <v>0</v>
      </c>
      <c r="M23" s="78">
        <f t="shared" si="3"/>
        <v>0</v>
      </c>
      <c r="N23" s="78">
        <f t="shared" si="3"/>
        <v>0</v>
      </c>
      <c r="O23" s="78">
        <f t="shared" si="3"/>
        <v>0</v>
      </c>
      <c r="P23" s="78">
        <f t="shared" si="3"/>
        <v>0</v>
      </c>
      <c r="Q23" s="78">
        <f t="shared" si="3"/>
        <v>0</v>
      </c>
      <c r="R23" s="78">
        <f t="shared" si="3"/>
        <v>0</v>
      </c>
      <c r="S23" s="78">
        <f t="shared" si="3"/>
        <v>0</v>
      </c>
      <c r="T23" s="78">
        <f t="shared" si="3"/>
        <v>0</v>
      </c>
      <c r="U23" s="78">
        <f t="shared" si="3"/>
        <v>0</v>
      </c>
      <c r="V23" s="78">
        <f t="shared" si="3"/>
        <v>0</v>
      </c>
      <c r="W23" s="78">
        <f t="shared" si="3"/>
        <v>0</v>
      </c>
      <c r="X23" s="78">
        <f t="shared" ref="X23:Y23" si="6">IF(X5=0,0,X5/X$3)</f>
        <v>0</v>
      </c>
      <c r="Y23" s="78">
        <f t="shared" si="6"/>
        <v>0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2025-11-06T10:20:59Z</dcterms:created>
  <dcterms:modified xsi:type="dcterms:W3CDTF">2025-11-06T10:20:59Z</dcterms:modified>
</cp:coreProperties>
</file>