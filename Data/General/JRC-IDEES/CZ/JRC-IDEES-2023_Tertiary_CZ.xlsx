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CZ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Y67" i="6"/>
  <c r="X67" i="6"/>
  <c r="Y27" i="6"/>
  <c r="Y119" i="6"/>
  <c r="Y173" i="6" s="1"/>
  <c r="X119" i="6"/>
  <c r="X173" i="6" s="1"/>
  <c r="X26" i="12"/>
  <c r="Y16" i="7"/>
  <c r="Y14" i="13"/>
  <c r="X13" i="12"/>
  <c r="X21" i="12"/>
  <c r="X20" i="12"/>
  <c r="X16" i="8"/>
  <c r="Y14" i="12"/>
  <c r="Y6" i="12"/>
  <c r="Y33" i="10"/>
  <c r="X33" i="10"/>
  <c r="Y22" i="13"/>
  <c r="X22" i="13"/>
  <c r="Y21" i="13"/>
  <c r="X21" i="13"/>
  <c r="Y20" i="13"/>
  <c r="Y18" i="13"/>
  <c r="Y17" i="13"/>
  <c r="X17" i="10"/>
  <c r="Y6" i="13"/>
  <c r="X18" i="10"/>
  <c r="X6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Y31" i="12"/>
  <c r="X31" i="12"/>
  <c r="X24" i="12"/>
  <c r="X23" i="12"/>
  <c r="Y22" i="12"/>
  <c r="X17" i="12"/>
  <c r="X14" i="12"/>
  <c r="Y33" i="13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9" i="18"/>
  <c r="X28" i="23"/>
  <c r="Y26" i="23"/>
  <c r="Y24" i="25"/>
  <c r="Y24" i="28" s="1"/>
  <c r="Y14" i="24"/>
  <c r="X13" i="23"/>
  <c r="Y10" i="24"/>
  <c r="X9" i="23"/>
  <c r="Y8" i="23"/>
  <c r="Y7" i="25"/>
  <c r="X24" i="23"/>
  <c r="Y23" i="23"/>
  <c r="X23" i="23"/>
  <c r="Y22" i="23"/>
  <c r="Y20" i="23"/>
  <c r="Y20" i="26" s="1"/>
  <c r="X5" i="21"/>
  <c r="X33" i="21"/>
  <c r="Y22" i="24"/>
  <c r="X18" i="24"/>
  <c r="Y17" i="24"/>
  <c r="X15" i="21"/>
  <c r="Y20" i="21"/>
  <c r="X20" i="21"/>
  <c r="Y18" i="21"/>
  <c r="Y33" i="25"/>
  <c r="Y33" i="28" s="1"/>
  <c r="X33" i="25"/>
  <c r="X33" i="28" s="1"/>
  <c r="Y26" i="25"/>
  <c r="Y26" i="28" s="1"/>
  <c r="X25" i="25"/>
  <c r="X25" i="28" s="1"/>
  <c r="X24" i="25"/>
  <c r="Y23" i="25"/>
  <c r="X23" i="25"/>
  <c r="Y22" i="25"/>
  <c r="Y19" i="22"/>
  <c r="Y20" i="25"/>
  <c r="Y20" i="28" s="1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Y33" i="24"/>
  <c r="Y21" i="24"/>
  <c r="X21" i="24"/>
  <c r="Y20" i="24"/>
  <c r="Y20" i="27" s="1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X26" i="25"/>
  <c r="X26" i="28" s="1"/>
  <c r="Y25" i="25"/>
  <c r="Y25" i="28" s="1"/>
  <c r="Y15" i="25"/>
  <c r="Y15" i="28" s="1"/>
  <c r="X15" i="25"/>
  <c r="X15" i="28" s="1"/>
  <c r="X11" i="25"/>
  <c r="X11" i="28" s="1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X14" i="30"/>
  <c r="Y12" i="35"/>
  <c r="X12" i="35"/>
  <c r="Y12" i="34"/>
  <c r="X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X12" i="29"/>
  <c r="X5" i="30" s="1"/>
  <c r="Y10" i="30"/>
  <c r="X14" i="32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14" i="36"/>
  <c r="Y9" i="36"/>
  <c r="Y33" i="27" l="1"/>
  <c r="Y7" i="28"/>
  <c r="Y17" i="10"/>
  <c r="Y18" i="10"/>
  <c r="X7" i="12"/>
  <c r="X5" i="10"/>
  <c r="X8" i="12"/>
  <c r="Y24" i="23"/>
  <c r="Y5" i="10"/>
  <c r="X25" i="23"/>
  <c r="Y24" i="12"/>
  <c r="X25" i="12"/>
  <c r="X7" i="21"/>
  <c r="X23" i="21"/>
  <c r="Y7" i="24"/>
  <c r="Y23" i="10"/>
  <c r="Y10" i="12"/>
  <c r="X8" i="24"/>
  <c r="X8" i="13"/>
  <c r="X11" i="12"/>
  <c r="Y8" i="13"/>
  <c r="X9" i="21"/>
  <c r="X25" i="24"/>
  <c r="X17" i="24"/>
  <c r="X17" i="27" s="1"/>
  <c r="X25" i="13"/>
  <c r="X12" i="12"/>
  <c r="Y23" i="28"/>
  <c r="X7" i="14"/>
  <c r="Y25" i="13"/>
  <c r="X16" i="7"/>
  <c r="X31" i="23"/>
  <c r="X26" i="13"/>
  <c r="Y26" i="24"/>
  <c r="Y31" i="23"/>
  <c r="Y31" i="26" s="1"/>
  <c r="Y10" i="13"/>
  <c r="Y26" i="13"/>
  <c r="X8" i="25"/>
  <c r="X27" i="21"/>
  <c r="X32" i="23"/>
  <c r="X32" i="26" s="1"/>
  <c r="X11" i="13"/>
  <c r="Y8" i="25"/>
  <c r="Y8" i="28" s="1"/>
  <c r="Y11" i="24"/>
  <c r="Y11" i="27" s="1"/>
  <c r="X13" i="29"/>
  <c r="X5" i="31" s="1"/>
  <c r="X12" i="24"/>
  <c r="X12" i="13"/>
  <c r="X30" i="13"/>
  <c r="Y13" i="29"/>
  <c r="Y5" i="29" s="1"/>
  <c r="Y9" i="25"/>
  <c r="Y9" i="28" s="1"/>
  <c r="Y12" i="24"/>
  <c r="Y12" i="27" s="1"/>
  <c r="Y21" i="25"/>
  <c r="Y21" i="28" s="1"/>
  <c r="X10" i="14"/>
  <c r="X30" i="14"/>
  <c r="Y12" i="13"/>
  <c r="X8" i="30"/>
  <c r="Y52" i="38"/>
  <c r="X14" i="29"/>
  <c r="X6" i="29" s="1"/>
  <c r="X10" i="25"/>
  <c r="X13" i="21"/>
  <c r="X31" i="24"/>
  <c r="X17" i="23"/>
  <c r="X22" i="24"/>
  <c r="Y10" i="14"/>
  <c r="X31" i="13"/>
  <c r="Y33" i="12"/>
  <c r="Y17" i="23"/>
  <c r="Y17" i="26" s="1"/>
  <c r="X31" i="14"/>
  <c r="Y31" i="13"/>
  <c r="X9" i="36"/>
  <c r="Y53" i="38"/>
  <c r="Y31" i="14"/>
  <c r="X32" i="10"/>
  <c r="Y14" i="21"/>
  <c r="Y32" i="21"/>
  <c r="X17" i="13"/>
  <c r="X21" i="21"/>
  <c r="Y8" i="24"/>
  <c r="Y8" i="27" s="1"/>
  <c r="Y45" i="37"/>
  <c r="Y33" i="21"/>
  <c r="Y12" i="23"/>
  <c r="X6" i="14"/>
  <c r="X10" i="12"/>
  <c r="X14" i="13"/>
  <c r="X13" i="24"/>
  <c r="X32" i="25"/>
  <c r="X11" i="24"/>
  <c r="X11" i="27" s="1"/>
  <c r="X29" i="19"/>
  <c r="X71" i="6"/>
  <c r="X7" i="25"/>
  <c r="X17" i="25"/>
  <c r="Y31" i="21"/>
  <c r="Y6" i="23"/>
  <c r="Y6" i="26" s="1"/>
  <c r="Y10" i="23"/>
  <c r="Y10" i="26" s="1"/>
  <c r="Y14" i="23"/>
  <c r="Y14" i="26" s="1"/>
  <c r="Y19" i="19"/>
  <c r="Y5" i="23"/>
  <c r="Y5" i="26" s="1"/>
  <c r="X14" i="36"/>
  <c r="X22" i="25"/>
  <c r="X22" i="28" s="1"/>
  <c r="X17" i="21"/>
  <c r="X32" i="21"/>
  <c r="X7" i="23"/>
  <c r="X7" i="26" s="1"/>
  <c r="X11" i="23"/>
  <c r="X11" i="26" s="1"/>
  <c r="Y26" i="12"/>
  <c r="Y29" i="7"/>
  <c r="Y23" i="26"/>
  <c r="Y37" i="6"/>
  <c r="X33" i="24"/>
  <c r="Y30" i="14"/>
  <c r="Y24" i="13"/>
  <c r="Y30" i="13"/>
  <c r="X18" i="12"/>
  <c r="X23" i="14"/>
  <c r="X28" i="12"/>
  <c r="X33" i="12"/>
  <c r="X27" i="6"/>
  <c r="X23" i="26" s="1"/>
  <c r="Y8" i="14"/>
  <c r="Y12" i="12"/>
  <c r="Y18" i="12"/>
  <c r="Y28" i="12"/>
  <c r="X82" i="6"/>
  <c r="X81" i="6" s="1"/>
  <c r="X93" i="6" s="1"/>
  <c r="X107" i="6"/>
  <c r="X24" i="28"/>
  <c r="X9" i="25"/>
  <c r="X9" i="28" s="1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10" i="17" s="1"/>
  <c r="Y68" i="29"/>
  <c r="Y6" i="30" s="1"/>
  <c r="X101" i="6"/>
  <c r="X122" i="6" s="1"/>
  <c r="X118" i="6"/>
  <c r="Y73" i="29"/>
  <c r="Y6" i="35" s="1"/>
  <c r="Y118" i="6"/>
  <c r="X48" i="6"/>
  <c r="X47" i="6" s="1"/>
  <c r="X60" i="6" s="1"/>
  <c r="X37" i="6"/>
  <c r="X31" i="6" s="1"/>
  <c r="X21" i="27"/>
  <c r="X29" i="8"/>
  <c r="X30" i="12"/>
  <c r="X30" i="10"/>
  <c r="X4" i="7"/>
  <c r="X3" i="7" s="1"/>
  <c r="X5" i="12"/>
  <c r="X32" i="14"/>
  <c r="X29" i="11"/>
  <c r="Y20" i="12"/>
  <c r="Y20" i="10"/>
  <c r="X33" i="6"/>
  <c r="X5" i="24"/>
  <c r="X5" i="23"/>
  <c r="X30" i="23"/>
  <c r="X30" i="26" s="1"/>
  <c r="X18" i="13"/>
  <c r="X20" i="10"/>
  <c r="X10" i="13"/>
  <c r="X14" i="10"/>
  <c r="X19" i="9"/>
  <c r="X24" i="13"/>
  <c r="X29" i="9"/>
  <c r="Y8" i="12"/>
  <c r="X22" i="12"/>
  <c r="Y31" i="10"/>
  <c r="Y24" i="14"/>
  <c r="Y101" i="6"/>
  <c r="Y122" i="6" s="1"/>
  <c r="X117" i="6"/>
  <c r="X9" i="13"/>
  <c r="X23" i="13"/>
  <c r="X52" i="37"/>
  <c r="Y31" i="24"/>
  <c r="Y31" i="27" s="1"/>
  <c r="X21" i="25"/>
  <c r="Y12" i="21"/>
  <c r="X9" i="24"/>
  <c r="X12" i="21"/>
  <c r="X17" i="14"/>
  <c r="X5" i="13"/>
  <c r="X6" i="12"/>
  <c r="Y14" i="10"/>
  <c r="X4" i="8"/>
  <c r="X9" i="12"/>
  <c r="Y117" i="6"/>
  <c r="Y29" i="22"/>
  <c r="Y29" i="25" s="1"/>
  <c r="Y29" i="28" s="1"/>
  <c r="Y5" i="21"/>
  <c r="Y23" i="24"/>
  <c r="Y23" i="27" s="1"/>
  <c r="Y28" i="24"/>
  <c r="Y28" i="27" s="1"/>
  <c r="Y16" i="18"/>
  <c r="Y32" i="25"/>
  <c r="Y32" i="28" s="1"/>
  <c r="Y5" i="13"/>
  <c r="X5" i="14"/>
  <c r="X19" i="11"/>
  <c r="X4" i="9"/>
  <c r="X15" i="10"/>
  <c r="Y13" i="12"/>
  <c r="X27" i="10"/>
  <c r="Y11" i="12"/>
  <c r="Y21" i="27"/>
  <c r="X5" i="25"/>
  <c r="X28" i="13"/>
  <c r="Y9" i="13"/>
  <c r="Y16" i="9"/>
  <c r="Y16" i="13" s="1"/>
  <c r="Y9" i="39"/>
  <c r="Y17" i="38"/>
  <c r="Y46" i="37"/>
  <c r="Y17" i="27"/>
  <c r="X6" i="25"/>
  <c r="X6" i="28" s="1"/>
  <c r="Y15" i="21"/>
  <c r="X51" i="39"/>
  <c r="Y32" i="24"/>
  <c r="Y32" i="27" s="1"/>
  <c r="Y16" i="22"/>
  <c r="X6" i="24"/>
  <c r="X24" i="24"/>
  <c r="X30" i="24"/>
  <c r="X6" i="13"/>
  <c r="Y11" i="10"/>
  <c r="Y15" i="10"/>
  <c r="X8" i="14"/>
  <c r="Y22" i="26"/>
  <c r="X13" i="13"/>
  <c r="X9" i="39"/>
  <c r="X46" i="37"/>
  <c r="X21" i="23"/>
  <c r="X21" i="26" s="1"/>
  <c r="Y13" i="13"/>
  <c r="X19" i="7"/>
  <c r="X27" i="12" s="1"/>
  <c r="X29" i="7"/>
  <c r="Y19" i="18"/>
  <c r="Y31" i="25"/>
  <c r="Y31" i="28" s="1"/>
  <c r="Y9" i="38"/>
  <c r="Y52" i="37"/>
  <c r="X32" i="24"/>
  <c r="X32" i="27" s="1"/>
  <c r="Y51" i="39"/>
  <c r="Y6" i="24"/>
  <c r="Y6" i="27" s="1"/>
  <c r="Y24" i="24"/>
  <c r="Y24" i="27" s="1"/>
  <c r="Y18" i="23"/>
  <c r="Y18" i="26" s="1"/>
  <c r="X16" i="9"/>
  <c r="X16" i="10" s="1"/>
  <c r="X19" i="8"/>
  <c r="Y33" i="6"/>
  <c r="Y31" i="6" s="1"/>
  <c r="X103" i="6"/>
  <c r="X124" i="6" s="1"/>
  <c r="X17" i="37"/>
  <c r="X50" i="37" s="1"/>
  <c r="Y11" i="23"/>
  <c r="Y11" i="26" s="1"/>
  <c r="Y71" i="6"/>
  <c r="Y104" i="6"/>
  <c r="Y10" i="21"/>
  <c r="X21" i="10"/>
  <c r="X105" i="6"/>
  <c r="X8" i="33"/>
  <c r="Y9" i="21"/>
  <c r="Y25" i="21"/>
  <c r="Y13" i="23"/>
  <c r="Y13" i="26" s="1"/>
  <c r="Y21" i="10"/>
  <c r="Y9" i="12"/>
  <c r="Y105" i="6"/>
  <c r="X72" i="29"/>
  <c r="X6" i="34" s="1"/>
  <c r="X10" i="21"/>
  <c r="X26" i="21"/>
  <c r="X14" i="23"/>
  <c r="X22" i="10"/>
  <c r="Y72" i="29"/>
  <c r="Y6" i="34" s="1"/>
  <c r="Y22" i="10"/>
  <c r="Y25" i="12"/>
  <c r="X29" i="18"/>
  <c r="X17" i="29"/>
  <c r="X5" i="35" s="1"/>
  <c r="X11" i="21"/>
  <c r="X23" i="10"/>
  <c r="X24" i="10"/>
  <c r="X104" i="6"/>
  <c r="Y8" i="30"/>
  <c r="Y24" i="10"/>
  <c r="Y16" i="11"/>
  <c r="Y16" i="14" s="1"/>
  <c r="Y6" i="10"/>
  <c r="X25" i="10"/>
  <c r="X8" i="28"/>
  <c r="X16" i="19"/>
  <c r="X7" i="10"/>
  <c r="Y25" i="10"/>
  <c r="Y19" i="9"/>
  <c r="X12" i="23"/>
  <c r="Y22" i="21"/>
  <c r="Y13" i="21"/>
  <c r="Y16" i="19"/>
  <c r="X8" i="10"/>
  <c r="X26" i="10"/>
  <c r="X30" i="25"/>
  <c r="X30" i="28" s="1"/>
  <c r="X22" i="27"/>
  <c r="Y23" i="21"/>
  <c r="X14" i="21"/>
  <c r="X33" i="23"/>
  <c r="X4" i="11"/>
  <c r="Y8" i="10"/>
  <c r="Y26" i="10"/>
  <c r="X15" i="7"/>
  <c r="X15" i="13" s="1"/>
  <c r="Y19" i="7"/>
  <c r="Y27" i="12" s="1"/>
  <c r="Y17" i="37"/>
  <c r="X31" i="25"/>
  <c r="Y24" i="21"/>
  <c r="X7" i="13"/>
  <c r="X9" i="10"/>
  <c r="X115" i="6"/>
  <c r="X23" i="24"/>
  <c r="X23" i="27" s="1"/>
  <c r="X25" i="21"/>
  <c r="Y9" i="10"/>
  <c r="Y6" i="21"/>
  <c r="Y103" i="6"/>
  <c r="Y19" i="36"/>
  <c r="Y12" i="36" s="1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9" i="37"/>
  <c r="X48" i="37" s="1"/>
  <c r="X12" i="10"/>
  <c r="Y23" i="6"/>
  <c r="Y70" i="29"/>
  <c r="Y6" i="32" s="1"/>
  <c r="X4" i="29"/>
  <c r="Y25" i="24"/>
  <c r="Y25" i="27" s="1"/>
  <c r="X29" i="22"/>
  <c r="Y12" i="10"/>
  <c r="X24" i="6"/>
  <c r="X17" i="38"/>
  <c r="X53" i="37"/>
  <c r="X17" i="39"/>
  <c r="X47" i="38"/>
  <c r="Y14" i="29"/>
  <c r="X7" i="24"/>
  <c r="X26" i="24"/>
  <c r="Y21" i="23"/>
  <c r="Y21" i="26" s="1"/>
  <c r="X13" i="10"/>
  <c r="Y24" i="6"/>
  <c r="Y17" i="39"/>
  <c r="Y47" i="38"/>
  <c r="X15" i="29"/>
  <c r="X7" i="29" s="1"/>
  <c r="Y17" i="25"/>
  <c r="Y17" i="28" s="1"/>
  <c r="Y25" i="23"/>
  <c r="Y25" i="26" s="1"/>
  <c r="X25" i="6"/>
  <c r="X51" i="38"/>
  <c r="Y15" i="29"/>
  <c r="Y5" i="33" s="1"/>
  <c r="X28" i="24"/>
  <c r="X28" i="27" s="1"/>
  <c r="X4" i="19"/>
  <c r="X26" i="23"/>
  <c r="Y9" i="14"/>
  <c r="Y25" i="6"/>
  <c r="Y49" i="37"/>
  <c r="X16" i="29"/>
  <c r="Y9" i="23"/>
  <c r="Y9" i="26" s="1"/>
  <c r="X26" i="6"/>
  <c r="X33" i="39"/>
  <c r="Y51" i="38"/>
  <c r="X9" i="38"/>
  <c r="X52" i="38"/>
  <c r="X68" i="29"/>
  <c r="X6" i="30" s="1"/>
  <c r="X10" i="23"/>
  <c r="X9" i="29"/>
  <c r="Y12" i="29"/>
  <c r="Y16" i="29"/>
  <c r="X8" i="23"/>
  <c r="Y30" i="23"/>
  <c r="Y30" i="26" s="1"/>
  <c r="X24" i="21"/>
  <c r="X29" i="20"/>
  <c r="X31" i="21"/>
  <c r="X4" i="18"/>
  <c r="X3" i="18" s="1"/>
  <c r="X15" i="18"/>
  <c r="X6" i="23"/>
  <c r="X6" i="26" s="1"/>
  <c r="Y32" i="14"/>
  <c r="Y29" i="11"/>
  <c r="Y29" i="14" s="1"/>
  <c r="Y29" i="8"/>
  <c r="Y29" i="12" s="1"/>
  <c r="Y30" i="12"/>
  <c r="Y30" i="15" s="1"/>
  <c r="X69" i="29"/>
  <c r="X6" i="31" s="1"/>
  <c r="Y22" i="28"/>
  <c r="Y8" i="26"/>
  <c r="Y24" i="26"/>
  <c r="Y13" i="24"/>
  <c r="Y13" i="27" s="1"/>
  <c r="X4" i="22"/>
  <c r="Y48" i="6"/>
  <c r="Y102" i="6"/>
  <c r="X8" i="35"/>
  <c r="Y4" i="18"/>
  <c r="Y3" i="18" s="1"/>
  <c r="Y15" i="18"/>
  <c r="Y15" i="24" s="1"/>
  <c r="Y15" i="27" s="1"/>
  <c r="X16" i="14"/>
  <c r="X16" i="12"/>
  <c r="Y8" i="35"/>
  <c r="X8" i="34"/>
  <c r="Y26" i="26"/>
  <c r="Y5" i="25"/>
  <c r="Y5" i="28" s="1"/>
  <c r="X20" i="23"/>
  <c r="X20" i="26" s="1"/>
  <c r="Y30" i="25"/>
  <c r="Y30" i="28" s="1"/>
  <c r="Y11" i="21"/>
  <c r="Y19" i="20"/>
  <c r="Y21" i="21"/>
  <c r="Y19" i="8"/>
  <c r="Y21" i="12"/>
  <c r="Y82" i="6"/>
  <c r="Y116" i="6"/>
  <c r="X73" i="29"/>
  <c r="X6" i="35" s="1"/>
  <c r="Y4" i="19"/>
  <c r="Y7" i="23"/>
  <c r="Y7" i="26" s="1"/>
  <c r="Y21" i="6"/>
  <c r="Y20" i="6"/>
  <c r="Y69" i="29"/>
  <c r="Y6" i="31" s="1"/>
  <c r="Y7" i="27"/>
  <c r="Y5" i="24"/>
  <c r="Y5" i="27" s="1"/>
  <c r="Y32" i="12"/>
  <c r="Y7" i="10"/>
  <c r="Y4" i="9"/>
  <c r="Y23" i="12"/>
  <c r="Y23" i="14"/>
  <c r="X70" i="29"/>
  <c r="X6" i="32" s="1"/>
  <c r="Y29" i="20"/>
  <c r="Y30" i="21"/>
  <c r="Y30" i="24"/>
  <c r="Y30" i="27" s="1"/>
  <c r="X8" i="31"/>
  <c r="Y8" i="34"/>
  <c r="Y8" i="31"/>
  <c r="Y17" i="29"/>
  <c r="Y6" i="25"/>
  <c r="Y6" i="28" s="1"/>
  <c r="Y4" i="22"/>
  <c r="X22" i="21"/>
  <c r="X19" i="20"/>
  <c r="X19" i="18"/>
  <c r="X22" i="23"/>
  <c r="X22" i="26" s="1"/>
  <c r="Y22" i="14"/>
  <c r="Y13" i="10"/>
  <c r="Y16" i="8"/>
  <c r="Y16" i="12" s="1"/>
  <c r="Y17" i="12"/>
  <c r="Y107" i="6"/>
  <c r="Y32" i="10"/>
  <c r="Y29" i="9"/>
  <c r="Y32" i="13"/>
  <c r="Y9" i="24"/>
  <c r="Y9" i="27" s="1"/>
  <c r="X4" i="20"/>
  <c r="X6" i="21"/>
  <c r="Y27" i="10"/>
  <c r="Y28" i="13"/>
  <c r="Y7" i="12"/>
  <c r="Y4" i="7"/>
  <c r="Y3" i="7" s="1"/>
  <c r="Y7" i="14"/>
  <c r="Y15" i="7"/>
  <c r="Y15" i="12" s="1"/>
  <c r="X10" i="24"/>
  <c r="X19" i="22"/>
  <c r="Y4" i="20"/>
  <c r="Y16" i="20"/>
  <c r="Y17" i="21"/>
  <c r="Y32" i="23"/>
  <c r="Y32" i="26" s="1"/>
  <c r="Y29" i="19"/>
  <c r="Y29" i="23" s="1"/>
  <c r="Y29" i="26" s="1"/>
  <c r="Y4" i="11"/>
  <c r="Y5" i="14"/>
  <c r="Y4" i="8"/>
  <c r="Y5" i="12"/>
  <c r="Y149" i="6"/>
  <c r="Y12" i="26"/>
  <c r="X14" i="24"/>
  <c r="Y10" i="27"/>
  <c r="Y14" i="27"/>
  <c r="Y18" i="27"/>
  <c r="Y22" i="27"/>
  <c r="Y26" i="27"/>
  <c r="Y33" i="26"/>
  <c r="X16" i="22"/>
  <c r="Y7" i="21"/>
  <c r="X16" i="20"/>
  <c r="X18" i="21"/>
  <c r="Y28" i="23"/>
  <c r="Y28" i="26" s="1"/>
  <c r="X16" i="18"/>
  <c r="X18" i="23"/>
  <c r="Y7" i="13"/>
  <c r="Y11" i="13"/>
  <c r="Y23" i="13"/>
  <c r="X149" i="6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X29" i="13" l="1"/>
  <c r="X8" i="27"/>
  <c r="X7" i="28"/>
  <c r="X163" i="6"/>
  <c r="X8" i="26"/>
  <c r="X5" i="39"/>
  <c r="X10" i="27"/>
  <c r="X18" i="26"/>
  <c r="Y5" i="37"/>
  <c r="Y38" i="37" s="1"/>
  <c r="X19" i="10"/>
  <c r="Y19" i="23"/>
  <c r="Y19" i="26" s="1"/>
  <c r="X31" i="28"/>
  <c r="X5" i="29"/>
  <c r="X29" i="23"/>
  <c r="X3" i="19"/>
  <c r="X3" i="23" s="1"/>
  <c r="Y28" i="16"/>
  <c r="X31" i="26"/>
  <c r="X25" i="26"/>
  <c r="X18" i="27"/>
  <c r="X23" i="28"/>
  <c r="X17" i="28"/>
  <c r="X10" i="26"/>
  <c r="Y10" i="16"/>
  <c r="Y5" i="31"/>
  <c r="Y139" i="6"/>
  <c r="Y16" i="23"/>
  <c r="Y16" i="26" s="1"/>
  <c r="X29" i="26"/>
  <c r="X14" i="27"/>
  <c r="Y5" i="39"/>
  <c r="Y37" i="39" s="1"/>
  <c r="X12" i="36"/>
  <c r="X5" i="32"/>
  <c r="X17" i="26"/>
  <c r="X14" i="26"/>
  <c r="X26" i="26"/>
  <c r="X12" i="26"/>
  <c r="X5" i="28"/>
  <c r="X10" i="28"/>
  <c r="X90" i="6"/>
  <c r="X22" i="15"/>
  <c r="X94" i="6"/>
  <c r="X15" i="12"/>
  <c r="X15" i="15" s="1"/>
  <c r="X114" i="6"/>
  <c r="X168" i="6" s="1"/>
  <c r="X91" i="6"/>
  <c r="X4" i="23"/>
  <c r="X4" i="26" s="1"/>
  <c r="X29" i="10"/>
  <c r="X3" i="8"/>
  <c r="X25" i="27"/>
  <c r="Y27" i="24"/>
  <c r="Y27" i="27" s="1"/>
  <c r="Y24" i="15"/>
  <c r="X16" i="13"/>
  <c r="X16" i="16" s="1"/>
  <c r="X5" i="26"/>
  <c r="X13" i="26"/>
  <c r="X5" i="27"/>
  <c r="X92" i="6"/>
  <c r="X27" i="13"/>
  <c r="X27" i="16" s="1"/>
  <c r="X28" i="26"/>
  <c r="X33" i="27"/>
  <c r="X9" i="27"/>
  <c r="X13" i="27"/>
  <c r="X113" i="6"/>
  <c r="X167" i="6" s="1"/>
  <c r="X6" i="27"/>
  <c r="X89" i="6"/>
  <c r="X26" i="27"/>
  <c r="X21" i="28"/>
  <c r="X4" i="12"/>
  <c r="X4" i="15" s="1"/>
  <c r="X7" i="27"/>
  <c r="X30" i="27"/>
  <c r="X24" i="27"/>
  <c r="X4" i="14"/>
  <c r="X4" i="17" s="1"/>
  <c r="X4" i="13"/>
  <c r="X4" i="16" s="1"/>
  <c r="Y15" i="13"/>
  <c r="Y15" i="16" s="1"/>
  <c r="X33" i="26"/>
  <c r="Y16" i="25"/>
  <c r="Y16" i="28" s="1"/>
  <c r="X57" i="6"/>
  <c r="X56" i="6"/>
  <c r="X19" i="13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29" i="6" s="1"/>
  <c r="X12" i="27"/>
  <c r="X24" i="26"/>
  <c r="X58" i="6"/>
  <c r="Y50" i="39"/>
  <c r="Y48" i="38"/>
  <c r="X19" i="14"/>
  <c r="X19" i="17" s="1"/>
  <c r="X31" i="27"/>
  <c r="X16" i="23"/>
  <c r="X16" i="26" s="1"/>
  <c r="X5" i="37"/>
  <c r="X44" i="39" s="1"/>
  <c r="X48" i="39"/>
  <c r="Y27" i="23"/>
  <c r="Y27" i="26" s="1"/>
  <c r="X55" i="6"/>
  <c r="X32" i="28"/>
  <c r="X161" i="6"/>
  <c r="Y5" i="16"/>
  <c r="X169" i="6"/>
  <c r="X159" i="6"/>
  <c r="X155" i="6"/>
  <c r="X171" i="6"/>
  <c r="X131" i="6"/>
  <c r="X165" i="6"/>
  <c r="Y14" i="15"/>
  <c r="Y9" i="17"/>
  <c r="Y23" i="16"/>
  <c r="X156" i="6"/>
  <c r="X11" i="29"/>
  <c r="Y147" i="6"/>
  <c r="Y11" i="15"/>
  <c r="Y158" i="6"/>
  <c r="X164" i="6"/>
  <c r="X16" i="17"/>
  <c r="X172" i="6"/>
  <c r="Y12" i="15"/>
  <c r="X170" i="6"/>
  <c r="Y24" i="17"/>
  <c r="Y10" i="15"/>
  <c r="Y6" i="16"/>
  <c r="Y138" i="6"/>
  <c r="Y7" i="15"/>
  <c r="Y16" i="17"/>
  <c r="Y24" i="16"/>
  <c r="Y9" i="16"/>
  <c r="Y18" i="15"/>
  <c r="Y14" i="16"/>
  <c r="Y5" i="15"/>
  <c r="Y32" i="15"/>
  <c r="Y29" i="15"/>
  <c r="Y20" i="15"/>
  <c r="Y25" i="15"/>
  <c r="Y11" i="16"/>
  <c r="Y17" i="16"/>
  <c r="Y22" i="15"/>
  <c r="Y18" i="16"/>
  <c r="Y17" i="15"/>
  <c r="Y29" i="17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29" i="16"/>
  <c r="X8" i="16"/>
  <c r="X36" i="39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19" i="16"/>
  <c r="X9" i="15"/>
  <c r="X50" i="38"/>
  <c r="X21" i="17"/>
  <c r="X7" i="15"/>
  <c r="X132" i="6"/>
  <c r="Y19" i="12"/>
  <c r="Y19" i="15" s="1"/>
  <c r="X23" i="17"/>
  <c r="X28" i="16"/>
  <c r="Y50" i="37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29" i="25"/>
  <c r="X29" i="28" s="1"/>
  <c r="X140" i="6"/>
  <c r="X16" i="15"/>
  <c r="X20" i="17"/>
  <c r="X32" i="16"/>
  <c r="X8" i="15"/>
  <c r="X23" i="15"/>
  <c r="Y31" i="36"/>
  <c r="Y34" i="36"/>
  <c r="Y32" i="36"/>
  <c r="X8" i="36"/>
  <c r="X3" i="11"/>
  <c r="Y44" i="37"/>
  <c r="X3" i="35"/>
  <c r="Y159" i="6"/>
  <c r="Y135" i="6"/>
  <c r="Y34" i="37"/>
  <c r="X5" i="38"/>
  <c r="X38" i="38" s="1"/>
  <c r="X44" i="37"/>
  <c r="X3" i="31"/>
  <c r="Y163" i="6"/>
  <c r="Y165" i="6"/>
  <c r="Y37" i="37"/>
  <c r="Y3" i="31"/>
  <c r="X158" i="6"/>
  <c r="X125" i="6"/>
  <c r="Y164" i="6"/>
  <c r="X3" i="32"/>
  <c r="X3" i="30"/>
  <c r="X3" i="33"/>
  <c r="Y171" i="6"/>
  <c r="Y162" i="6"/>
  <c r="Y157" i="6"/>
  <c r="Y124" i="6"/>
  <c r="Y134" i="6"/>
  <c r="Y125" i="6"/>
  <c r="X12" i="15"/>
  <c r="X13" i="16"/>
  <c r="Y169" i="6"/>
  <c r="X35" i="39"/>
  <c r="X16" i="25"/>
  <c r="X16" i="28" s="1"/>
  <c r="X30" i="16"/>
  <c r="X9" i="17"/>
  <c r="X31" i="17"/>
  <c r="X147" i="6"/>
  <c r="X26" i="15"/>
  <c r="Y33" i="37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155" i="6"/>
  <c r="X8" i="29"/>
  <c r="X3" i="29" s="1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Y123" i="6"/>
  <c r="Y132" i="6"/>
  <c r="Y156" i="6"/>
  <c r="Y16" i="10"/>
  <c r="Y36" i="37"/>
  <c r="Y35" i="37"/>
  <c r="X38" i="39"/>
  <c r="Y39" i="37"/>
  <c r="Y40" i="37"/>
  <c r="Y32" i="37"/>
  <c r="X37" i="39"/>
  <c r="X31" i="36" l="1"/>
  <c r="Y36" i="39"/>
  <c r="X32" i="36"/>
  <c r="X3" i="12"/>
  <c r="X34" i="36"/>
  <c r="Y35" i="39"/>
  <c r="X34" i="37"/>
  <c r="X38" i="37"/>
  <c r="X37" i="37"/>
  <c r="X32" i="37"/>
  <c r="X40" i="37"/>
  <c r="Y38" i="39"/>
  <c r="X33" i="37"/>
  <c r="Y44" i="39"/>
  <c r="X39" i="37"/>
  <c r="Y39" i="38"/>
  <c r="Y44" i="38"/>
  <c r="X36" i="37"/>
  <c r="X35" i="37"/>
  <c r="X144" i="6"/>
  <c r="X143" i="6"/>
  <c r="X3" i="14"/>
  <c r="X3" i="10"/>
  <c r="X3" i="13"/>
  <c r="X153" i="6"/>
  <c r="X154" i="6"/>
  <c r="X121" i="6"/>
  <c r="X31" i="39"/>
  <c r="Y33" i="38"/>
  <c r="Y34" i="38"/>
  <c r="Y35" i="38"/>
  <c r="Y32" i="38"/>
  <c r="Y36" i="38"/>
  <c r="Y40" i="38"/>
  <c r="Y38" i="38"/>
  <c r="Y37" i="38"/>
  <c r="Y3" i="32"/>
  <c r="Y31" i="39"/>
  <c r="Y3" i="12"/>
  <c r="Y3" i="33"/>
  <c r="X36" i="38"/>
  <c r="X35" i="38"/>
  <c r="X44" i="38"/>
  <c r="X33" i="38"/>
  <c r="Y121" i="6"/>
  <c r="X3" i="26"/>
  <c r="X39" i="38"/>
  <c r="X37" i="38"/>
  <c r="Y3" i="35"/>
  <c r="X32" i="38"/>
  <c r="Y3" i="14"/>
  <c r="Y3" i="34"/>
  <c r="Y3" i="25"/>
  <c r="X3" i="1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Y31" i="37"/>
  <c r="X31" i="37" l="1"/>
  <c r="X3" i="17"/>
  <c r="X3" i="16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K5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V4" i="29" l="1"/>
  <c r="R7" i="29"/>
  <c r="T7" i="29"/>
  <c r="V8" i="29"/>
  <c r="W8" i="29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S8" i="32"/>
  <c r="W3" i="31"/>
  <c r="W8" i="30"/>
  <c r="W8" i="35"/>
  <c r="S8" i="33"/>
  <c r="U8" i="32"/>
  <c r="W8" i="31"/>
  <c r="B69" i="29"/>
  <c r="R3" i="35"/>
  <c r="T3" i="34"/>
  <c r="R8" i="34"/>
  <c r="T8" i="33"/>
  <c r="V8" i="32"/>
  <c r="R3" i="31"/>
  <c r="R8" i="30"/>
  <c r="P3" i="29"/>
  <c r="U3" i="34"/>
  <c r="S8" i="34"/>
  <c r="W3" i="33"/>
  <c r="W8" i="32"/>
  <c r="S3" i="31"/>
  <c r="S8" i="30"/>
  <c r="G3" i="29"/>
  <c r="P11" i="29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S3" i="35" l="1"/>
  <c r="N3" i="29"/>
  <c r="T3" i="35"/>
  <c r="U3" i="32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V3" i="23" l="1"/>
  <c r="T3" i="14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T90" i="6" l="1"/>
  <c r="T56" i="6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F31" i="21"/>
  <c r="F29" i="19"/>
  <c r="F29" i="23" s="1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D30" i="21"/>
  <c r="D29" i="20"/>
  <c r="I29" i="20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K29" i="24" l="1"/>
  <c r="K29" i="13"/>
  <c r="K16" i="24"/>
  <c r="J19" i="24"/>
  <c r="P29" i="25"/>
  <c r="P29" i="28" s="1"/>
  <c r="K29" i="12"/>
  <c r="J29" i="23"/>
  <c r="N19" i="24"/>
  <c r="I29" i="24"/>
  <c r="O4" i="24"/>
  <c r="E19" i="14"/>
  <c r="E19" i="17" s="1"/>
  <c r="G16" i="12"/>
  <c r="O4" i="23"/>
  <c r="C16" i="13"/>
  <c r="C4" i="13"/>
  <c r="E4" i="23"/>
  <c r="J29" i="13"/>
  <c r="N19" i="23"/>
  <c r="F4" i="24"/>
  <c r="O4" i="12"/>
  <c r="H4" i="12"/>
  <c r="C4" i="12"/>
  <c r="G19" i="24"/>
  <c r="P29" i="12"/>
  <c r="P29" i="15" s="1"/>
  <c r="H29" i="23"/>
  <c r="H29" i="26" s="1"/>
  <c r="O29" i="13"/>
  <c r="O29" i="16" s="1"/>
  <c r="P19" i="24"/>
  <c r="P19" i="27" s="1"/>
  <c r="J19" i="23"/>
  <c r="J19" i="26" s="1"/>
  <c r="P29" i="13"/>
  <c r="P29" i="16" s="1"/>
  <c r="H29" i="24"/>
  <c r="H29" i="27" s="1"/>
  <c r="G19" i="23"/>
  <c r="G19" i="26" s="1"/>
  <c r="O29" i="23"/>
  <c r="O29" i="26" s="1"/>
  <c r="O29" i="12"/>
  <c r="C17" i="16"/>
  <c r="E4" i="13"/>
  <c r="P4" i="12"/>
  <c r="O4" i="13"/>
  <c r="O4" i="16" s="1"/>
  <c r="K4" i="24"/>
  <c r="D16" i="13"/>
  <c r="O16" i="24"/>
  <c r="B16" i="13"/>
  <c r="M29" i="24"/>
  <c r="L19" i="24"/>
  <c r="N29" i="13"/>
  <c r="K19" i="12"/>
  <c r="K19" i="15" s="1"/>
  <c r="H29" i="12"/>
  <c r="D16" i="25"/>
  <c r="O29" i="24"/>
  <c r="J4" i="12"/>
  <c r="H4" i="23"/>
  <c r="Q16" i="13"/>
  <c r="O16" i="12"/>
  <c r="N4" i="12"/>
  <c r="N4" i="15" s="1"/>
  <c r="L4" i="23"/>
  <c r="L4" i="26" s="1"/>
  <c r="N29" i="24"/>
  <c r="N29" i="27" s="1"/>
  <c r="D16" i="14"/>
  <c r="D16" i="17" s="1"/>
  <c r="K16" i="12"/>
  <c r="K16" i="15" s="1"/>
  <c r="I29" i="23"/>
  <c r="I29" i="26" s="1"/>
  <c r="C19" i="23"/>
  <c r="C19" i="26" s="1"/>
  <c r="F4" i="12"/>
  <c r="F4" i="15" s="1"/>
  <c r="E19" i="24"/>
  <c r="E19" i="27" s="1"/>
  <c r="P16" i="25"/>
  <c r="G29" i="12"/>
  <c r="G29" i="13"/>
  <c r="I4" i="23"/>
  <c r="I4" i="26" s="1"/>
  <c r="G16" i="13"/>
  <c r="G16" i="16" s="1"/>
  <c r="N29" i="23"/>
  <c r="C19" i="13"/>
  <c r="K19" i="24"/>
  <c r="K19" i="27" s="1"/>
  <c r="O19" i="23"/>
  <c r="O19" i="26" s="1"/>
  <c r="Q29" i="24"/>
  <c r="G29" i="24"/>
  <c r="G29" i="27" s="1"/>
  <c r="C19" i="12"/>
  <c r="C19" i="15" s="1"/>
  <c r="P16" i="23"/>
  <c r="P16" i="26" s="1"/>
  <c r="M4" i="14"/>
  <c r="O16" i="13"/>
  <c r="O16" i="23"/>
  <c r="O16" i="26" s="1"/>
  <c r="F19" i="12"/>
  <c r="F19" i="15" s="1"/>
  <c r="M16" i="24"/>
  <c r="J4" i="23"/>
  <c r="J4" i="26" s="1"/>
  <c r="P19" i="12"/>
  <c r="P19" i="15" s="1"/>
  <c r="H4" i="24"/>
  <c r="H4" i="27" s="1"/>
  <c r="M4" i="12"/>
  <c r="M4" i="15" s="1"/>
  <c r="O19" i="24"/>
  <c r="O19" i="27" s="1"/>
  <c r="P16" i="24"/>
  <c r="P16" i="27" s="1"/>
  <c r="L19" i="13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M29" i="16" s="1"/>
  <c r="D19" i="24"/>
  <c r="D4" i="24"/>
  <c r="D4" i="27" s="1"/>
  <c r="P19" i="23"/>
  <c r="P19" i="26" s="1"/>
  <c r="N16" i="14"/>
  <c r="N16" i="17" s="1"/>
  <c r="D4" i="13"/>
  <c r="D4" i="16" s="1"/>
  <c r="N16" i="12"/>
  <c r="N16" i="15" s="1"/>
  <c r="E16" i="12"/>
  <c r="E16" i="15" s="1"/>
  <c r="I16" i="14"/>
  <c r="I16" i="17" s="1"/>
  <c r="Q4" i="23"/>
  <c r="J29" i="24"/>
  <c r="J29" i="27" s="1"/>
  <c r="P16" i="13"/>
  <c r="P16" i="16" s="1"/>
  <c r="C29" i="12"/>
  <c r="G16" i="24"/>
  <c r="I4" i="12"/>
  <c r="I4" i="15" s="1"/>
  <c r="L16" i="13"/>
  <c r="L16" i="16" s="1"/>
  <c r="B29" i="13"/>
  <c r="B29" i="16" s="1"/>
  <c r="L4" i="24"/>
  <c r="Q29" i="23"/>
  <c r="Q29" i="26" s="1"/>
  <c r="G16" i="25"/>
  <c r="G16" i="28" s="1"/>
  <c r="Q4" i="24"/>
  <c r="D4" i="23"/>
  <c r="C29" i="13"/>
  <c r="B29" i="12"/>
  <c r="H19" i="24"/>
  <c r="H19" i="27" s="1"/>
  <c r="Q4" i="12"/>
  <c r="B4" i="14"/>
  <c r="B4" i="17" s="1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B4" i="16" s="1"/>
  <c r="M4" i="23"/>
  <c r="M4" i="26" s="1"/>
  <c r="B4" i="12"/>
  <c r="B4" i="15" s="1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E29" i="13"/>
  <c r="L16" i="24"/>
  <c r="L16" i="27" s="1"/>
  <c r="M4" i="13"/>
  <c r="M4" i="16" s="1"/>
  <c r="D27" i="13"/>
  <c r="D27" i="16" s="1"/>
  <c r="D27" i="12"/>
  <c r="D27" i="15" s="1"/>
  <c r="M27" i="12"/>
  <c r="M27" i="15" s="1"/>
  <c r="M27" i="13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3"/>
  <c r="N27" i="16" s="1"/>
  <c r="E29" i="23"/>
  <c r="E29" i="26" s="1"/>
  <c r="N19" i="13"/>
  <c r="N19" i="16" s="1"/>
  <c r="M16" i="12"/>
  <c r="M16" i="15" s="1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2"/>
  <c r="I27" i="15" s="1"/>
  <c r="E27" i="12"/>
  <c r="E27" i="15" s="1"/>
  <c r="E27" i="13"/>
  <c r="E27" i="16" s="1"/>
  <c r="E19" i="23"/>
  <c r="E19" i="26" s="1"/>
  <c r="D15" i="23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Q19" i="26" s="1"/>
  <c r="G15" i="23"/>
  <c r="G15" i="24"/>
  <c r="G15" i="27" s="1"/>
  <c r="H27" i="23"/>
  <c r="H27" i="26" s="1"/>
  <c r="H27" i="24"/>
  <c r="H27" i="27" s="1"/>
  <c r="Q29" i="13"/>
  <c r="Q29" i="16" s="1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B19" i="16" s="1"/>
  <c r="K27" i="12"/>
  <c r="K27" i="15" s="1"/>
  <c r="K27" i="13"/>
  <c r="K27" i="16" s="1"/>
  <c r="H15" i="23"/>
  <c r="H15" i="26" s="1"/>
  <c r="H15" i="24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6" s="1"/>
  <c r="L27" i="24"/>
  <c r="L27" i="27" s="1"/>
  <c r="O19" i="12"/>
  <c r="G27" i="24"/>
  <c r="G27" i="27" s="1"/>
  <c r="G27" i="23"/>
  <c r="G27" i="26" s="1"/>
  <c r="L4" i="13"/>
  <c r="K4" i="12"/>
  <c r="K4" i="15" s="1"/>
  <c r="P4" i="23"/>
  <c r="P4" i="26" s="1"/>
  <c r="K29" i="23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4"/>
  <c r="K27" i="27" s="1"/>
  <c r="B27" i="12"/>
  <c r="B27" i="15" s="1"/>
  <c r="B27" i="13"/>
  <c r="B27" i="16" s="1"/>
  <c r="Q19" i="24"/>
  <c r="Q19" i="27" s="1"/>
  <c r="K15" i="23"/>
  <c r="K15" i="24"/>
  <c r="K15" i="27" s="1"/>
  <c r="P27" i="23"/>
  <c r="P27" i="26" s="1"/>
  <c r="P27" i="24"/>
  <c r="P27" i="27" s="1"/>
  <c r="P16" i="12"/>
  <c r="F4" i="13"/>
  <c r="F4" i="16" s="1"/>
  <c r="L29" i="13"/>
  <c r="L29" i="16" s="1"/>
  <c r="L15" i="23"/>
  <c r="L15" i="26" s="1"/>
  <c r="L15" i="24"/>
  <c r="J27" i="12"/>
  <c r="J27" i="15" s="1"/>
  <c r="J27" i="13"/>
  <c r="J27" i="16" s="1"/>
  <c r="E16" i="24"/>
  <c r="E16" i="27" s="1"/>
  <c r="D16" i="12"/>
  <c r="D16" i="15" s="1"/>
  <c r="M15" i="23"/>
  <c r="M15" i="26" s="1"/>
  <c r="M15" i="24"/>
  <c r="M15" i="27" s="1"/>
  <c r="D19" i="23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N4" i="13"/>
  <c r="N4" i="16" s="1"/>
  <c r="Q16" i="12"/>
  <c r="Q16" i="15" s="1"/>
  <c r="L27" i="13"/>
  <c r="L27" i="12"/>
  <c r="L27" i="15" s="1"/>
  <c r="K4" i="13"/>
  <c r="K4" i="16" s="1"/>
  <c r="I29" i="13"/>
  <c r="I29" i="16" s="1"/>
  <c r="J16" i="24"/>
  <c r="J16" i="27" s="1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I27" i="23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F27" i="13"/>
  <c r="F27" i="16" s="1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N19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D25" i="26"/>
  <c r="I5" i="15"/>
  <c r="D15" i="26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H19" i="10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O8" i="17"/>
  <c r="O31" i="15"/>
  <c r="O16" i="17"/>
  <c r="B30" i="16"/>
  <c r="J33" i="1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6"/>
  <c r="G29" i="10"/>
  <c r="F3" i="8"/>
  <c r="F16" i="15"/>
  <c r="G16" i="21"/>
  <c r="G16" i="27"/>
  <c r="O3" i="19"/>
  <c r="O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H16" i="10"/>
  <c r="F17" i="16"/>
  <c r="B18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0"/>
  <c r="N3" i="8"/>
  <c r="N19" i="15"/>
  <c r="N29" i="15"/>
  <c r="G3" i="22"/>
  <c r="G3" i="25" s="1"/>
  <c r="G3" i="28" s="1"/>
  <c r="G4" i="25"/>
  <c r="G4" i="28" s="1"/>
  <c r="L19" i="27"/>
  <c r="L19" i="21"/>
  <c r="P19" i="21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F31" i="16"/>
  <c r="C16" i="15"/>
  <c r="E16" i="21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1"/>
  <c r="N29" i="21"/>
  <c r="D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G3" i="13" l="1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7" i="4"/>
  <c r="B23" i="4"/>
  <c r="B30" i="4"/>
  <c r="B15" i="4"/>
  <c r="B29" i="4"/>
  <c r="B26" i="4"/>
  <c r="B7" i="4"/>
  <c r="B38" i="4"/>
  <c r="B10" i="4"/>
  <c r="B35" i="4"/>
  <c r="B44" i="4"/>
  <c r="B24" i="4"/>
  <c r="B27" i="4"/>
  <c r="B13" i="4"/>
  <c r="B9" i="4"/>
  <c r="B16" i="4"/>
  <c r="B42" i="4"/>
  <c r="B28" i="4"/>
  <c r="B43" i="4"/>
  <c r="B33" i="4"/>
  <c r="B36" i="4"/>
  <c r="B22" i="4"/>
  <c r="B8" i="4"/>
  <c r="B45" i="4"/>
  <c r="B17" i="4"/>
  <c r="B39" i="4"/>
  <c r="B12" i="4"/>
  <c r="B34" i="4"/>
  <c r="B25" i="4"/>
  <c r="B11" i="4"/>
  <c r="B20" i="4"/>
  <c r="B14" i="4"/>
  <c r="B4" i="4"/>
  <c r="B21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<sst xmlns="http://schemas.openxmlformats.org/spreadsheetml/2006/main" count="2101" uniqueCount="1057">
  <si>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</si>
  <si>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</si>
  <si>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</si>
  <si>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</si>
  <si>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</si>
  <si>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</si>
  <si>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</si>
  <si>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</si>
  <si>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</si>
  <si>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</si>
  <si>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</si>
  <si>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</si>
  <si>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</si>
  <si>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</si>
  <si>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</si>
  <si>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</si>
  <si>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</si>
  <si>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</si>
  <si>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</si>
  <si>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</si>
  <si>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</si>
  <si>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</si>
  <si>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</si>
  <si>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</si>
  <si>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</si>
  <si>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</si>
  <si>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</si>
  <si>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</si>
  <si>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</si>
  <si>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</si>
  <si>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</si>
  <si>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</si>
  <si>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</si>
  <si>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</si>
  <si>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</si>
  <si>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</si>
  <si>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</si>
  <si>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</si>
  <si>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</si>
  <si>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</si>
  <si>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</si>
  <si>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</si>
  <si>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</si>
  <si>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</si>
  <si>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</si>
  <si>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</si>
  <si>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</si>
  <si>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</si>
  <si>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</si>
  <si>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</si>
  <si>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</si>
  <si>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</si>
  <si>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</si>
  <si>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</si>
  <si>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</si>
  <si>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</si>
  <si>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</si>
  <si>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</si>
  <si>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</si>
  <si>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</si>
  <si>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</si>
  <si>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</si>
  <si>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</si>
  <si>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</si>
  <si>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</si>
  <si>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</si>
  <si>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</si>
  <si>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</si>
  <si>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</si>
  <si>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</si>
  <si>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</si>
  <si>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</si>
  <si>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</si>
  <si>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</si>
  <si>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</si>
  <si>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</si>
  <si>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</si>
  <si>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</si>
  <si>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</si>
  <si>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</si>
  <si>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</si>
  <si>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</si>
  <si>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</si>
  <si>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</si>
  <si>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</si>
  <si>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</si>
  <si>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</si>
  <si>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</si>
  <si>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</si>
  <si>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</si>
  <si>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</si>
  <si>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</si>
  <si>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</si>
  <si>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</si>
  <si>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</si>
  <si>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</si>
  <si>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</si>
  <si>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</si>
  <si>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</si>
  <si>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</si>
  <si>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</si>
  <si>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</si>
  <si>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</si>
  <si>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</si>
  <si>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</si>
  <si>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</si>
  <si>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</si>
  <si>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</si>
  <si>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</si>
  <si>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</si>
  <si>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</si>
  <si>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</si>
  <si>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</si>
  <si>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</si>
  <si>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</si>
  <si>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</si>
  <si>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</si>
  <si>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</si>
  <si>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</si>
  <si>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</si>
  <si>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</si>
  <si>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</si>
  <si>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</si>
  <si>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</si>
  <si>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</si>
  <si>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</si>
  <si>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</si>
  <si>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</si>
  <si>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</si>
  <si>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</si>
  <si>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</si>
  <si>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</si>
  <si>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</si>
  <si>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</si>
  <si>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</si>
  <si>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</si>
  <si>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</si>
  <si>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</si>
  <si>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</si>
  <si>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</si>
  <si>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</si>
  <si>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</si>
  <si>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</si>
  <si>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</si>
  <si>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</si>
  <si>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</si>
  <si>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</si>
  <si>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</si>
  <si>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</si>
  <si>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</si>
  <si>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</si>
  <si>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</si>
  <si>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</si>
  <si>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</si>
  <si>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</si>
  <si>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</si>
  <si>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</si>
  <si>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</si>
  <si>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</si>
  <si>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</si>
  <si>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</si>
  <si>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</si>
  <si>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</si>
  <si>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</si>
  <si>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</si>
  <si>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</si>
  <si>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</si>
  <si>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</si>
  <si>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</si>
  <si>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</si>
  <si>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</si>
  <si>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</si>
  <si>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</si>
  <si>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</si>
  <si>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</si>
  <si>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</si>
  <si>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</si>
  <si>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</si>
  <si>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</si>
  <si>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</si>
  <si>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</si>
  <si>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</si>
  <si>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</si>
  <si>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</si>
  <si>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</si>
  <si>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CZ</t>
  </si>
  <si>
    <t>Czechia</t>
  </si>
  <si>
    <t>CZ - Services sector summary</t>
  </si>
  <si>
    <t>Macro.number.CZ.Population</t>
  </si>
  <si>
    <t>Macro.Meuro2015.CZ.GDP</t>
  </si>
  <si>
    <t>Macro.Meuro2015.CZ.VA</t>
  </si>
  <si>
    <t>Macro.number.CZ.Employees</t>
  </si>
  <si>
    <t>NUM.number.CZ.Ser.Bld</t>
  </si>
  <si>
    <t>SurfaceArea.ksqm.CZ.Ser.Bld</t>
  </si>
  <si>
    <t>NUM.number.CZ.Ser.BldNew</t>
  </si>
  <si>
    <t>SurfaceArea.ksqm.CZ.Ser.BldNew</t>
  </si>
  <si>
    <t>HDD.Celsius.CZ.Actual</t>
  </si>
  <si>
    <t>HDD.Celsius.CZ.Mean</t>
  </si>
  <si>
    <t>HDD.ratio.CZ.Relative</t>
  </si>
  <si>
    <t>FEC.ktoe.CZ.ES.Ser</t>
  </si>
  <si>
    <t>FEC.ktoe.CZ.ES.Ser.Solids</t>
  </si>
  <si>
    <t>FEC.ktoe.CZ.ES.Ser.LPG</t>
  </si>
  <si>
    <t>FEC.ktoe.CZ.ES.Ser.Oil</t>
  </si>
  <si>
    <t>FEC.ktoe.CZ.ES.Ser.NG</t>
  </si>
  <si>
    <t>FEC.ktoe.CZ.ES.Ser.Biomass_Waste</t>
  </si>
  <si>
    <t>FEC.ktoe.CZ.ES.Ser.Biogas</t>
  </si>
  <si>
    <t>FEC.ktoe.CZ.ES.Ser.LiqBio</t>
  </si>
  <si>
    <t>FEC.ktoe.CZ.ES.Ser.Solar</t>
  </si>
  <si>
    <t>FEC.ktoe.CZ.ES.Ser.Geo</t>
  </si>
  <si>
    <t>FEC.ktoe.CZ.ES.Ser.Ambient</t>
  </si>
  <si>
    <t>FEC.ktoe.CZ.ES.Ser.Steam_Distr</t>
  </si>
  <si>
    <t>FEC.ktoe.CZ.ES.Ser.Elec</t>
  </si>
  <si>
    <t>FEC.ktoe.CZ.Ser</t>
  </si>
  <si>
    <t>FEC.ktoe.CZ.Ser.Bld.Thermal</t>
  </si>
  <si>
    <t>FEC.ktoe.CZ.Ser.Bld.Thermal.SH</t>
  </si>
  <si>
    <t>FEC.ktoe.CZ.Ser.Bld.Thermal.SC</t>
  </si>
  <si>
    <t>FEC.ktoe.CZ.Ser.Bld.Thermal.HW</t>
  </si>
  <si>
    <t>FEC.ktoe.CZ.Ser.Bld.Thermal.CA</t>
  </si>
  <si>
    <t>FEC.ktoe.CZ.Ser.SEU</t>
  </si>
  <si>
    <t>EMI.ktCO2.CZ.ES.Ser</t>
  </si>
  <si>
    <t>EMI.ktCO2.CZ.ES.Ser.Solids</t>
  </si>
  <si>
    <t>EMI.ktCO2.CZ.ES.Ser.LPG</t>
  </si>
  <si>
    <t>EMI.ktCO2.CZ.ES.Ser.Oil</t>
  </si>
  <si>
    <t>EMI.ktCO2.CZ.ES.Ser.NG</t>
  </si>
  <si>
    <t>EMI.ktCO2.CZ.ES.Ser.Biomass_Waste</t>
  </si>
  <si>
    <t>EMI.ktCO2.CZ.ES.Ser.Biogas</t>
  </si>
  <si>
    <t>EMI.ktCO2.CZ.ES.Ser.LiqBio</t>
  </si>
  <si>
    <t>EMI.ktCO2.CZ.ES.Ser.Solar</t>
  </si>
  <si>
    <t>EMI.ktCO2.CZ.ES.Ser.Geo</t>
  </si>
  <si>
    <t>EMI.ktCO2.CZ.ES.Ser.Ambient</t>
  </si>
  <si>
    <t>EMI.ktCO2.CZ.ES.Ser.Steam_Distr</t>
  </si>
  <si>
    <t>EMI.ktCO2.CZ.ES.Ser.Elec</t>
  </si>
  <si>
    <t>EMI.ktCO2.CZ.Ser</t>
  </si>
  <si>
    <t>EMI.ktCO2.CZ.Ser.Bld.Thermal</t>
  </si>
  <si>
    <t>EMI.ktCO2.CZ.Ser.Bld.Thermal.SH</t>
  </si>
  <si>
    <t>EMI.ktCO2.CZ.Ser.Bld.Thermal.SC</t>
  </si>
  <si>
    <t>EMI.ktCO2.CZ.Ser.Bld.Thermal.HW</t>
  </si>
  <si>
    <t>EMI.ktCO2.CZ.Ser.Bld.Thermal.CA</t>
  </si>
  <si>
    <t>EMI.ktCO2.CZ.Ser.SEU</t>
  </si>
  <si>
    <t>Eff.ratio.CZ.Ser.Bld.Thermal</t>
  </si>
  <si>
    <t>Eff.ratio.CZ.Ser.Bld.Thermal.SH</t>
  </si>
  <si>
    <t>Eff.ratio.CZ.Ser.Bld.Thermal.SC</t>
  </si>
  <si>
    <t>Eff.ratio.CZ.Ser.Bld.Thermal.HW</t>
  </si>
  <si>
    <t>Eff.ratio.CZ.Ser.Bld.Thermal.CA</t>
  </si>
  <si>
    <t>CZ - Number of buildings</t>
  </si>
  <si>
    <t>NUM.number.CZ.Ser.Bld.Thermal</t>
  </si>
  <si>
    <t>NUM.number.CZ.Ser.Bld.Thermal.SH</t>
  </si>
  <si>
    <t>NUM.number.CZ.Ser.Bld.Thermal.SH.Solids</t>
  </si>
  <si>
    <t>NUM.number.CZ.Ser.Bld.Thermal.SH.LPG</t>
  </si>
  <si>
    <t>NUM.number.CZ.Ser.Bld.Thermal.SH.Oil</t>
  </si>
  <si>
    <t>NUM.number.CZ.Ser.Bld.Thermal.SH.GasHP</t>
  </si>
  <si>
    <t>NUM.number.CZ.Ser.Bld.Thermal.SH.GasTH</t>
  </si>
  <si>
    <t>NUM.number.CZ.Ser.Bld.Thermal.SH.Biomass</t>
  </si>
  <si>
    <t>NUM.number.CZ.Ser.Bld.Thermal.SH.Geo</t>
  </si>
  <si>
    <t>NUM.number.CZ.Ser.Bld.Thermal.SH.DistrHeat</t>
  </si>
  <si>
    <t>NUM.number.CZ.Ser.Bld.Thermal.SH.AdvElc</t>
  </si>
  <si>
    <t>NUM.number.CZ.Ser.Bld.Thermal.SH.ConvElc</t>
  </si>
  <si>
    <t>NUM.number.CZ.Ser.Bld.Thermal.SC</t>
  </si>
  <si>
    <t>NUM.number.CZ.Ser.Bld.Thermal.SC.GasHP</t>
  </si>
  <si>
    <t>NUM.number.CZ.Ser.Bld.Thermal.SC.AC</t>
  </si>
  <si>
    <t>NUM.number.CZ.Ser.Bld.Thermal.HW</t>
  </si>
  <si>
    <t>NUM.number.CZ.Ser.Bld.Thermal.HW.Solids</t>
  </si>
  <si>
    <t>NUM.number.CZ.Ser.Bld.Thermal.HW.LPG</t>
  </si>
  <si>
    <t>NUM.number.CZ.Ser.Bld.Thermal.HW.Oil</t>
  </si>
  <si>
    <t>NUM.number.CZ.Ser.Bld.Thermal.HW.Gas</t>
  </si>
  <si>
    <t>NUM.number.CZ.Ser.Bld.Thermal.HW.Biomass</t>
  </si>
  <si>
    <t>NUM.number.CZ.Ser.Bld.Thermal.HW.DistrHeat</t>
  </si>
  <si>
    <t>NUM.number.CZ.Ser.Bld.Thermal.HW.Elc</t>
  </si>
  <si>
    <t>NUM.number.CZ.Ser.Bld.Thermal.HW.Solar</t>
  </si>
  <si>
    <t>NUM.number.CZ.Ser.Bld.Thermal.CA</t>
  </si>
  <si>
    <t>NUM.number.CZ.Ser.Bld.Thermal.CA.LPG</t>
  </si>
  <si>
    <t>NUM.number.CZ.Ser.Bld.Thermal.CA.Gas</t>
  </si>
  <si>
    <t>NUM.number.CZ.Ser.Bld.Thermal.CA.Biomass</t>
  </si>
  <si>
    <t>NUM.number.CZ.Ser.Bld.Thermal.CA.Elc</t>
  </si>
  <si>
    <t>CZ - Final energy consumption</t>
  </si>
  <si>
    <t>FEC.ktoe.CZ.Ser.Bld.Thermal.SH.Solids.Solids</t>
  </si>
  <si>
    <t>FEC.ktoe.CZ.Ser.Bld.Thermal.SH.LPG.LPG</t>
  </si>
  <si>
    <t>FEC.ktoe.CZ.Ser.Bld.Thermal.SH.Oil.Oil_LiqBio</t>
  </si>
  <si>
    <t>FEC.ktoe.CZ.Ser.Bld.Thermal.SH.GasHP.NG_Biogas</t>
  </si>
  <si>
    <t>FEC.ktoe.CZ.Ser.Bld.Thermal.SH.GasTH.NG_Biogas</t>
  </si>
  <si>
    <t>FEC.ktoe.CZ.Ser.Bld.Thermal.SH.Biomass.Biomass_Waste</t>
  </si>
  <si>
    <t>FEC.ktoe.CZ.Ser.Bld.Thermal.SH.Geo.Geo</t>
  </si>
  <si>
    <t>FEC.ktoe.CZ.Ser.Bld.Thermal.SH.DistrHeat.Steam_Distr</t>
  </si>
  <si>
    <t>FEC.ktoe.CZ.Ser.Bld.Thermal.SH.AdvElc.Elec</t>
  </si>
  <si>
    <t>FEC.ktoe.CZ.Ser.Bld.Thermal.SH.ConvElc.Elec</t>
  </si>
  <si>
    <t>FEC.ktoe.CZ.Ser.Bld.Thermal.SH.TotalCirculation.Elec</t>
  </si>
  <si>
    <t>FEC.ktoe.CZ.Ser.Bld.Thermal.SC.GasHP.NG_Biogas</t>
  </si>
  <si>
    <t>FEC.ktoe.CZ.Ser.Bld.Thermal.SC.AC.Elec</t>
  </si>
  <si>
    <t>FEC.ktoe.CZ.Ser.Bld.Thermal.HW.Solids.Solids</t>
  </si>
  <si>
    <t>FEC.ktoe.CZ.Ser.Bld.Thermal.HW.LPG.LPG</t>
  </si>
  <si>
    <t>FEC.ktoe.CZ.Ser.Bld.Thermal.HW.Oil.Oil_LiqBio</t>
  </si>
  <si>
    <t>FEC.ktoe.CZ.Ser.Bld.Thermal.HW.Gas.NG_Biogas</t>
  </si>
  <si>
    <t>FEC.ktoe.CZ.Ser.Bld.Thermal.HW.Biomass.Biomass_Waste</t>
  </si>
  <si>
    <t>FEC.ktoe.CZ.Ser.Bld.Thermal.HW.DistrHeat.Steam_Distr</t>
  </si>
  <si>
    <t>FEC.ktoe.CZ.Ser.Bld.Thermal.HW.Elc.Elec</t>
  </si>
  <si>
    <t>FEC.ktoe.CZ.Ser.Bld.Thermal.HW.TotalSolar.Solar</t>
  </si>
  <si>
    <t>FEC.ktoe.CZ.Ser.Bld.Thermal.CA.LPG</t>
  </si>
  <si>
    <t>FEC.ktoe.CZ.Ser.Bld.Thermal.CA.Gas.NG_Biogas</t>
  </si>
  <si>
    <t>FEC.ktoe.CZ.Ser.Bld.Thermal.CA.Biomass.Biomass_Waste</t>
  </si>
  <si>
    <t>FEC.ktoe.CZ.Ser.Bld.Thermal.CA.Elc.Elec</t>
  </si>
  <si>
    <t>CZ - Thermal energy service</t>
  </si>
  <si>
    <t>TES.ktoe.CZ.Ser.Bld.Thermal</t>
  </si>
  <si>
    <t>TES.ktoe.CZ.Ser.Bld.Thermal.SH</t>
  </si>
  <si>
    <t>TES.ktoe.CZ.Ser.Bld.Thermal.SH.Solids.Solids</t>
  </si>
  <si>
    <t>TES.ktoe.CZ.Ser.Bld.Thermal.SH.LPG.LPG</t>
  </si>
  <si>
    <t>TES.ktoe.CZ.Ser.Bld.Thermal.SH.Oil.Oil_LiqBio</t>
  </si>
  <si>
    <t>TES.ktoe.CZ.Ser.Bld.Thermal.SH.GasHP.NG_Biogas</t>
  </si>
  <si>
    <t>TES.ktoe.CZ.Ser.Bld.Thermal.SH.GasTH.NG_Biogas</t>
  </si>
  <si>
    <t>TES.ktoe.CZ.Ser.Bld.Thermal.SH.Biomass.Biomass_Waste</t>
  </si>
  <si>
    <t>TES.ktoe.CZ.Ser.Bld.Thermal.SH.Geo.Geo</t>
  </si>
  <si>
    <t>TES.ktoe.CZ.Ser.Bld.Thermal.SH.DistrHeat.Steam_Distr</t>
  </si>
  <si>
    <t>TES.ktoe.CZ.Ser.Bld.Thermal.SH.AdvElc.Elec</t>
  </si>
  <si>
    <t>TES.ktoe.CZ.Ser.Bld.Thermal.SH.ConvElc.Elec</t>
  </si>
  <si>
    <t>TES.ktoe.CZ.Ser.Bld.Thermal.SH.TotalCirculation.Elec</t>
  </si>
  <si>
    <t>TES.ktoe.CZ.Ser.Bld.Thermal.SC</t>
  </si>
  <si>
    <t>TES.ktoe.CZ.Ser.Bld.Thermal.SC.GasHP.NG_Biogas</t>
  </si>
  <si>
    <t>TES.ktoe.CZ.Ser.Bld.Thermal.SC.AC.Elec</t>
  </si>
  <si>
    <t>TES.ktoe.CZ.Ser.Bld.Thermal.HW</t>
  </si>
  <si>
    <t>TES.ktoe.CZ.Ser.Bld.Thermal.HW.Solids.Solids</t>
  </si>
  <si>
    <t>TES.ktoe.CZ.Ser.Bld.Thermal.HW.LPG.LPG</t>
  </si>
  <si>
    <t>TES.ktoe.CZ.Ser.Bld.Thermal.HW.Oil.Oil_LiqBio</t>
  </si>
  <si>
    <t>TES.ktoe.CZ.Ser.Bld.Thermal.HW.Gas.NG_Biogas</t>
  </si>
  <si>
    <t>TES.ktoe.CZ.Ser.Bld.Thermal.HW.Biomass.Biomass_Waste</t>
  </si>
  <si>
    <t>TES.ktoe.CZ.Ser.Bld.Thermal.HW.DistrHeat.Steam_Distr</t>
  </si>
  <si>
    <t>TES.ktoe.CZ.Ser.Bld.Thermal.HW.Elc.Elec</t>
  </si>
  <si>
    <t>TES.ktoe.CZ.Ser.Bld.Thermal.HW.TotalSolar.Solar</t>
  </si>
  <si>
    <t>TES.ktoe.CZ.Ser.Bld.Thermal.CA</t>
  </si>
  <si>
    <t>TES.ktoe.CZ.Ser.Bld.Thermal.CA.LPG</t>
  </si>
  <si>
    <t>TES.ktoe.CZ.Ser.Bld.Thermal.CA.Gas.NG_Biogas</t>
  </si>
  <si>
    <t>TES.ktoe.CZ.Ser.Bld.Thermal.CA.Biomass.Biomass_Waste</t>
  </si>
  <si>
    <t>TES.ktoe.CZ.Ser.Bld.Thermal.CA.Elc.Elec</t>
  </si>
  <si>
    <t>CZ - System efficiency indicator of total stock</t>
  </si>
  <si>
    <t>Eff.ratio.CZ.Ser.Bld.Thermal.SH.Solids.Solids</t>
  </si>
  <si>
    <t>Eff.ratio.CZ.Ser.Bld.Thermal.SH.LPG.LPG</t>
  </si>
  <si>
    <t>Eff.ratio.CZ.Ser.Bld.Thermal.SH.Oil.Oil_LiqBio</t>
  </si>
  <si>
    <t>Eff.ratio.CZ.Ser.Bld.Thermal.SH.GasHP.NG_Biogas</t>
  </si>
  <si>
    <t>Eff.ratio.CZ.Ser.Bld.Thermal.SH.GasTH.NG_Biogas</t>
  </si>
  <si>
    <t>Eff.ratio.CZ.Ser.Bld.Thermal.SH.Biomass.Biomass_Waste</t>
  </si>
  <si>
    <t>Eff.ratio.CZ.Ser.Bld.Thermal.SH.Geo.Geo</t>
  </si>
  <si>
    <t>Eff.ratio.CZ.Ser.Bld.Thermal.SH.DistrHeat.Steam_Distr</t>
  </si>
  <si>
    <t>Eff.ratio.CZ.Ser.Bld.Thermal.SH.AdvElc.Elec</t>
  </si>
  <si>
    <t>Eff.ratio.CZ.Ser.Bld.Thermal.SH.ConvElc.Elec</t>
  </si>
  <si>
    <t>Eff.ratio.CZ.Ser.Bld.Thermal.SH.TotalCirculation.Elec</t>
  </si>
  <si>
    <t>Eff.ratio.CZ.Ser.Bld.Thermal.SC.GasHP.NG_Biogas</t>
  </si>
  <si>
    <t>Eff.ratio.CZ.Ser.Bld.Thermal.SC.AC.Elec</t>
  </si>
  <si>
    <t>Eff.ratio.CZ.Ser.Bld.Thermal.HW.Solids.Solids</t>
  </si>
  <si>
    <t>Eff.ratio.CZ.Ser.Bld.Thermal.HW.LPG.LPG</t>
  </si>
  <si>
    <t>Eff.ratio.CZ.Ser.Bld.Thermal.HW.Oil.Oil_LiqBio</t>
  </si>
  <si>
    <t>Eff.ratio.CZ.Ser.Bld.Thermal.HW.Gas.NG_Biogas</t>
  </si>
  <si>
    <t>Eff.ratio.CZ.Ser.Bld.Thermal.HW.Biomass.Biomass_Waste</t>
  </si>
  <si>
    <t>Eff.ratio.CZ.Ser.Bld.Thermal.HW.DistrHeat.Steam_Distr</t>
  </si>
  <si>
    <t>Eff.ratio.CZ.Ser.Bld.Thermal.HW.Elc.Elec</t>
  </si>
  <si>
    <t>Eff.ratio.CZ.Ser.Bld.Thermal.HW.TotalSolar.Solar</t>
  </si>
  <si>
    <t>Eff.ratio.CZ.Ser.Bld.Thermal.CA.LPG</t>
  </si>
  <si>
    <t>Eff.ratio.CZ.Ser.Bld.Thermal.CA.Gas.NG_Biogas</t>
  </si>
  <si>
    <t>Eff.ratio.CZ.Ser.Bld.Thermal.CA.Biomass.Biomass_Waste</t>
  </si>
  <si>
    <t>Eff.ratio.CZ.Ser.Bld.Thermal.CA.Elc.Elec</t>
  </si>
  <si>
    <t>CZ - CO2 emissions</t>
  </si>
  <si>
    <t>EMI.ktCO2.CZ.Ser.Bld.Thermal.SH.Solids.Solids</t>
  </si>
  <si>
    <t>EMI.ktCO2.CZ.Ser.Bld.Thermal.SH.LPG.LPG</t>
  </si>
  <si>
    <t>EMI.ktCO2.CZ.Ser.Bld.Thermal.SH.Oil.Oil_LiqBio</t>
  </si>
  <si>
    <t>EMI.ktCO2.CZ.Ser.Bld.Thermal.SH.GasHP.NG_Biogas</t>
  </si>
  <si>
    <t>EMI.ktCO2.CZ.Ser.Bld.Thermal.SH.GasTH.NG_Biogas</t>
  </si>
  <si>
    <t>EMI.ktCO2.CZ.Ser.Bld.Thermal.SH.Biomass.Biomass_Waste</t>
  </si>
  <si>
    <t>EMI.ktCO2.CZ.Ser.Bld.Thermal.SH.Geo.Geo</t>
  </si>
  <si>
    <t>EMI.ktCO2.CZ.Ser.Bld.Thermal.SH.DistrHeat.Steam_Distr</t>
  </si>
  <si>
    <t>EMI.ktCO2.CZ.Ser.Bld.Thermal.SH.AdvElc.Elec</t>
  </si>
  <si>
    <t>EMI.ktCO2.CZ.Ser.Bld.Thermal.SH.ConvElc.Elec</t>
  </si>
  <si>
    <t>EMI.ktCO2.CZ.Ser.Bld.Thermal.SH.TotalCirculation.Elec</t>
  </si>
  <si>
    <t>EMI.ktCO2.CZ.Ser.Bld.Thermal.SC.GasHP.NG_Biogas</t>
  </si>
  <si>
    <t>EMI.ktCO2.CZ.Ser.Bld.Thermal.SC.AC.Elec</t>
  </si>
  <si>
    <t>EMI.ktCO2.CZ.Ser.Bld.Thermal.HW.Solids.Solids</t>
  </si>
  <si>
    <t>EMI.ktCO2.CZ.Ser.Bld.Thermal.HW.LPG.LPG</t>
  </si>
  <si>
    <t>EMI.ktCO2.CZ.Ser.Bld.Thermal.HW.Oil.Oil_LiqBio</t>
  </si>
  <si>
    <t>EMI.ktCO2.CZ.Ser.Bld.Thermal.HW.Gas.NG_Biogas</t>
  </si>
  <si>
    <t>EMI.ktCO2.CZ.Ser.Bld.Thermal.HW.Biomass.Biomass_Waste</t>
  </si>
  <si>
    <t>EMI.ktCO2.CZ.Ser.Bld.Thermal.HW.DistrHeat.Steam_Distr</t>
  </si>
  <si>
    <t>EMI.ktCO2.CZ.Ser.Bld.Thermal.HW.Elc.Elec</t>
  </si>
  <si>
    <t>EMI.ktCO2.CZ.Ser.Bld.Thermal.HW.TotalSolar.Solar</t>
  </si>
  <si>
    <t>EMI.ktCO2.CZ.Ser.Bld.Thermal.CA.LPG</t>
  </si>
  <si>
    <t>EMI.ktCO2.CZ.Ser.Bld.Thermal.CA.Gas.NG_Biogas</t>
  </si>
  <si>
    <t>EMI.ktCO2.CZ.Ser.Bld.Thermal.CA.Biomass.Biomass_Waste</t>
  </si>
  <si>
    <t>EMI.ktCO2.CZ.Ser.Bld.Thermal.CA.Elc.Elec</t>
  </si>
  <si>
    <t>CZ - Final energy consumption per building</t>
  </si>
  <si>
    <t>FEC_per_building.kWh.CZ.Ser.Bld.Thermal</t>
  </si>
  <si>
    <t>FEC_per_building.kWh.CZ.Ser.Bld.Thermal.SH</t>
  </si>
  <si>
    <t>FEC_per_building.kWh.CZ.Ser.Bld.Thermal.SH.Solids.Solids</t>
  </si>
  <si>
    <t>FEC_per_building.kWh.CZ.Ser.Bld.Thermal.SH.LPG.LPG</t>
  </si>
  <si>
    <t>FEC_per_building.kWh.CZ.Ser.Bld.Thermal.SH.Oil.Oil_LiqBio</t>
  </si>
  <si>
    <t>FEC_per_building.kWh.CZ.Ser.Bld.Thermal.SH.GasHP.NG_Biogas</t>
  </si>
  <si>
    <t>FEC_per_building.kWh.CZ.Ser.Bld.Thermal.SH.GasTH.NG_Biogas</t>
  </si>
  <si>
    <t>FEC_per_building.kWh.CZ.Ser.Bld.Thermal.SH.Biomass.Biomass_Waste</t>
  </si>
  <si>
    <t>FEC_per_building.kWh.CZ.Ser.Bld.Thermal.SH.Geo.Geo</t>
  </si>
  <si>
    <t>FEC_per_building.kWh.CZ.Ser.Bld.Thermal.SH.DistrHeat.Steam_Distr</t>
  </si>
  <si>
    <t>FEC_per_building.kWh.CZ.Ser.Bld.Thermal.SH.AdvElc.Elec</t>
  </si>
  <si>
    <t>FEC_per_building.kWh.CZ.Ser.Bld.Thermal.SH.ConvElc.Elec</t>
  </si>
  <si>
    <t>FEC_per_building.kWh.CZ.Ser.Bld.Thermal.SH.TotalCirculation.Elec</t>
  </si>
  <si>
    <t>FEC_per_building.kWh.CZ.Ser.Bld.Thermal.SC</t>
  </si>
  <si>
    <t>FEC_per_building.kWh.CZ.Ser.Bld.Thermal.SC.GasHP.NG_Biogas</t>
  </si>
  <si>
    <t>FEC_per_building.kWh.CZ.Ser.Bld.Thermal.SC.AC.Elec</t>
  </si>
  <si>
    <t>FEC_per_building.kWh.CZ.Ser.Bld.Thermal.HW</t>
  </si>
  <si>
    <t>FEC_per_building.kWh.CZ.Ser.Bld.Thermal.HW.Solids.Solids</t>
  </si>
  <si>
    <t>FEC_per_building.kWh.CZ.Ser.Bld.Thermal.HW.LPG.LPG</t>
  </si>
  <si>
    <t>FEC_per_building.kWh.CZ.Ser.Bld.Thermal.HW.Oil.Oil_LiqBio</t>
  </si>
  <si>
    <t>FEC_per_building.kWh.CZ.Ser.Bld.Thermal.HW.Gas.NG_Biogas</t>
  </si>
  <si>
    <t>FEC_per_building.kWh.CZ.Ser.Bld.Thermal.HW.Biomass.Biomass_Waste</t>
  </si>
  <si>
    <t>FEC_per_building.kWh.CZ.Ser.Bld.Thermal.HW.DistrHeat.Steam_Distr</t>
  </si>
  <si>
    <t>FEC_per_building.kWh.CZ.Ser.Bld.Thermal.HW.Elc.Elec</t>
  </si>
  <si>
    <t>FEC_per_building.kWh.CZ.Ser.Bld.Thermal.HW.TotalSolar.Solar</t>
  </si>
  <si>
    <t>FEC_per_building.kWh.CZ.Ser.Bld.Thermal.CA</t>
  </si>
  <si>
    <t>FEC_per_building.kWh.CZ.Ser.Bld.Thermal.CA.LPG</t>
  </si>
  <si>
    <t>FEC_per_building.kWh.CZ.Ser.Bld.Thermal.CA.Gas.NG_Biogas</t>
  </si>
  <si>
    <t>FEC_per_building.kWh.CZ.Ser.Bld.Thermal.CA.Biomass.Biomass_Waste</t>
  </si>
  <si>
    <t>FEC_per_building.kWh.CZ.Ser.Bld.Thermal.CA.Elc.Elec</t>
  </si>
  <si>
    <t>CZ - Thermal energy service per building</t>
  </si>
  <si>
    <t>TES_per_building.kWh.CZ.Ser.Bld.Thermal</t>
  </si>
  <si>
    <t>TES_per_building.kWh.CZ.Ser.Bld.Thermal.SH</t>
  </si>
  <si>
    <t>TES_per_building.kWh.CZ.Ser.Bld.Thermal.SH.Solids.Solids</t>
  </si>
  <si>
    <t>TES_per_building.kWh.CZ.Ser.Bld.Thermal.SH.LPG.LPG</t>
  </si>
  <si>
    <t>TES_per_building.kWh.CZ.Ser.Bld.Thermal.SH.Oil.Oil_LiqBio</t>
  </si>
  <si>
    <t>TES_per_building.kWh.CZ.Ser.Bld.Thermal.SH.GasHP.NG_Biogas</t>
  </si>
  <si>
    <t>TES_per_building.kWh.CZ.Ser.Bld.Thermal.SH.GasTH.NG_Biogas</t>
  </si>
  <si>
    <t>TES_per_building.kWh.CZ.Ser.Bld.Thermal.SH.Biomass.Biomass_Waste</t>
  </si>
  <si>
    <t>TES_per_building.kWh.CZ.Ser.Bld.Thermal.SH.Geo.Geo</t>
  </si>
  <si>
    <t>TES_per_building.kWh.CZ.Ser.Bld.Thermal.SH.DistrHeat.Steam_Distr</t>
  </si>
  <si>
    <t>TES_per_building.kWh.CZ.Ser.Bld.Thermal.SH.AdvElc.Elec</t>
  </si>
  <si>
    <t>TES_per_building.kWh.CZ.Ser.Bld.Thermal.SH.ConvElc.Elec</t>
  </si>
  <si>
    <t>TES_per_building.kWh.CZ.Ser.Bld.Thermal.SH.TotalCirculation.Elec</t>
  </si>
  <si>
    <t>TES_per_building.kWh.CZ.Ser.Bld.Thermal.SC</t>
  </si>
  <si>
    <t>TES_per_building.kWh.CZ.Ser.Bld.Thermal.SC.GasHP.NG_Biogas</t>
  </si>
  <si>
    <t>TES_per_building.kWh.CZ.Ser.Bld.Thermal.SC.AC.Elec</t>
  </si>
  <si>
    <t>TES_per_building.kWh.CZ.Ser.Bld.Thermal.HW</t>
  </si>
  <si>
    <t>TES_per_building.kWh.CZ.Ser.Bld.Thermal.HW.Solids.Solids</t>
  </si>
  <si>
    <t>TES_per_building.kWh.CZ.Ser.Bld.Thermal.HW.LPG.LPG</t>
  </si>
  <si>
    <t>TES_per_building.kWh.CZ.Ser.Bld.Thermal.HW.Oil.Oil_LiqBio</t>
  </si>
  <si>
    <t>TES_per_building.kWh.CZ.Ser.Bld.Thermal.HW.Gas.NG_Biogas</t>
  </si>
  <si>
    <t>TES_per_building.kWh.CZ.Ser.Bld.Thermal.HW.Biomass.Biomass_Waste</t>
  </si>
  <si>
    <t>TES_per_building.kWh.CZ.Ser.Bld.Thermal.HW.DistrHeat.Steam_Distr</t>
  </si>
  <si>
    <t>TES_per_building.kWh.CZ.Ser.Bld.Thermal.HW.Elc.Elec</t>
  </si>
  <si>
    <t>TES_per_building.kWh.CZ.Ser.Bld.Thermal.HW.TotalSolar.Solar</t>
  </si>
  <si>
    <t>TES_per_building.kWh.CZ.Ser.Bld.Thermal.CA</t>
  </si>
  <si>
    <t>TES_per_building.kWh.CZ.Ser.Bld.Thermal.CA.LPG</t>
  </si>
  <si>
    <t>TES_per_building.kWh.CZ.Ser.Bld.Thermal.CA.Gas.NG_Biogas</t>
  </si>
  <si>
    <t>TES_per_building.kWh.CZ.Ser.Bld.Thermal.CA.Biomass.Biomass_Waste</t>
  </si>
  <si>
    <t>TES_per_building.kWh.CZ.Ser.Bld.Thermal.CA.Elc.Elec</t>
  </si>
  <si>
    <t>CZ - CO2 emissions per building</t>
  </si>
  <si>
    <t>EMI_per_building.kgCO2.CZ.Ser.Bld.Thermal</t>
  </si>
  <si>
    <t>EMI_per_building.kgCO2.CZ.Ser.Bld.Thermal.SH</t>
  </si>
  <si>
    <t>EMI_per_building.kgCO2.CZ.Ser.Bld.Thermal.SH.Solids.Solids</t>
  </si>
  <si>
    <t>EMI_per_building.kgCO2.CZ.Ser.Bld.Thermal.SH.LPG.LPG</t>
  </si>
  <si>
    <t>EMI_per_building.kgCO2.CZ.Ser.Bld.Thermal.SH.Oil.Oil_LiqBio</t>
  </si>
  <si>
    <t>EMI_per_building.kgCO2.CZ.Ser.Bld.Thermal.SH.GasHP.NG_Biogas</t>
  </si>
  <si>
    <t>EMI_per_building.kgCO2.CZ.Ser.Bld.Thermal.SH.GasTH.NG_Biogas</t>
  </si>
  <si>
    <t>EMI_per_building.kgCO2.CZ.Ser.Bld.Thermal.SH.Biomass.Biomass_Waste</t>
  </si>
  <si>
    <t>EMI_per_building.kgCO2.CZ.Ser.Bld.Thermal.SH.Geo.Geo</t>
  </si>
  <si>
    <t>EMI_per_building.kgCO2.CZ.Ser.Bld.Thermal.SH.DistrHeat.Steam_Distr</t>
  </si>
  <si>
    <t>EMI_per_building.kgCO2.CZ.Ser.Bld.Thermal.SH.AdvElc.Elec</t>
  </si>
  <si>
    <t>EMI_per_building.kgCO2.CZ.Ser.Bld.Thermal.SH.ConvElc.Elec</t>
  </si>
  <si>
    <t>EMI_per_building.kgCO2.CZ.Ser.Bld.Thermal.SH.TotalCirculation.Elec</t>
  </si>
  <si>
    <t>EMI_per_building.kgCO2.CZ.Ser.Bld.Thermal.SC</t>
  </si>
  <si>
    <t>EMI_per_building.kgCO2.CZ.Ser.Bld.Thermal.SC.GasHP.NG_Biogas</t>
  </si>
  <si>
    <t>EMI_per_building.kgCO2.CZ.Ser.Bld.Thermal.SC.AC.Elec</t>
  </si>
  <si>
    <t>EMI_per_building.kgCO2.CZ.Ser.Bld.Thermal.HW</t>
  </si>
  <si>
    <t>EMI_per_building.kgCO2.CZ.Ser.Bld.Thermal.HW.Solids.Solids</t>
  </si>
  <si>
    <t>EMI_per_building.kgCO2.CZ.Ser.Bld.Thermal.HW.LPG.LPG</t>
  </si>
  <si>
    <t>EMI_per_building.kgCO2.CZ.Ser.Bld.Thermal.HW.Oil.Oil_LiqBio</t>
  </si>
  <si>
    <t>EMI_per_building.kgCO2.CZ.Ser.Bld.Thermal.HW.Gas.NG_Biogas</t>
  </si>
  <si>
    <t>EMI_per_building.kgCO2.CZ.Ser.Bld.Thermal.HW.Biomass.Biomass_Waste</t>
  </si>
  <si>
    <t>EMI_per_building.kgCO2.CZ.Ser.Bld.Thermal.HW.DistrHeat.Steam_Distr</t>
  </si>
  <si>
    <t>EMI_per_building.kgCO2.CZ.Ser.Bld.Thermal.HW.Elc.Elec</t>
  </si>
  <si>
    <t>EMI_per_building.kgCO2.CZ.Ser.Bld.Thermal.HW.TotalSolar.Solar</t>
  </si>
  <si>
    <t>EMI_per_building.kgCO2.CZ.Ser.Bld.Thermal.CA</t>
  </si>
  <si>
    <t>EMI_per_building.kgCO2.CZ.Ser.Bld.Thermal.CA.LPG</t>
  </si>
  <si>
    <t>EMI_per_building.kgCO2.CZ.Ser.Bld.Thermal.CA.Gas.NG_Biogas</t>
  </si>
  <si>
    <t>EMI_per_building.kgCO2.CZ.Ser.Bld.Thermal.CA.Biomass.Biomass_Waste</t>
  </si>
  <si>
    <t>EMI_per_building.kgCO2.CZ.Ser.Bld.Thermal.CA.Elc.Elec</t>
  </si>
  <si>
    <t>CZ - Final energy consumption per useful surface area</t>
  </si>
  <si>
    <t>FEC_per_sqm.kWh.CZ.Ser.Bld.Thermal</t>
  </si>
  <si>
    <t>FEC_per_sqm.kWh.CZ.Ser.Bld.Thermal.SH</t>
  </si>
  <si>
    <t>FEC_per_sqm.kWh.CZ.Ser.Bld.Thermal.SH.Solids.Solids</t>
  </si>
  <si>
    <t>FEC_per_sqm.kWh.CZ.Ser.Bld.Thermal.SH.LPG.LPG</t>
  </si>
  <si>
    <t>FEC_per_sqm.kWh.CZ.Ser.Bld.Thermal.SH.Oil.Oil_LiqBio</t>
  </si>
  <si>
    <t>FEC_per_sqm.kWh.CZ.Ser.Bld.Thermal.SH.GasHP.NG_Biogas</t>
  </si>
  <si>
    <t>FEC_per_sqm.kWh.CZ.Ser.Bld.Thermal.SH.GasTH.NG_Biogas</t>
  </si>
  <si>
    <t>FEC_per_sqm.kWh.CZ.Ser.Bld.Thermal.SH.Biomass.Biomass_Waste</t>
  </si>
  <si>
    <t>FEC_per_sqm.kWh.CZ.Ser.Bld.Thermal.SH.Geo.Geo</t>
  </si>
  <si>
    <t>FEC_per_sqm.kWh.CZ.Ser.Bld.Thermal.SH.DistrHeat.Steam_Distr</t>
  </si>
  <si>
    <t>FEC_per_sqm.kWh.CZ.Ser.Bld.Thermal.SH.AdvElc.Elec</t>
  </si>
  <si>
    <t>FEC_per_sqm.kWh.CZ.Ser.Bld.Thermal.SH.ConvElc.Elec</t>
  </si>
  <si>
    <t>FEC_per_sqm.kWh.CZ.Ser.Bld.Thermal.SH.TotalCirculation.Elec</t>
  </si>
  <si>
    <t>FEC_per_sqm.kWh.CZ.Ser.Bld.Thermal.SC</t>
  </si>
  <si>
    <t>FEC_per_sqm.kWh.CZ.Ser.Bld.Thermal.SC.GasHP.NG_Biogas</t>
  </si>
  <si>
    <t>FEC_per_sqm.kWh.CZ.Ser.Bld.Thermal.SC.AC.Elec</t>
  </si>
  <si>
    <t>FEC_per_sqm.kWh.CZ.Ser.Bld.Thermal.HW</t>
  </si>
  <si>
    <t>FEC_per_sqm.kWh.CZ.Ser.Bld.Thermal.HW.Solids.Solids</t>
  </si>
  <si>
    <t>FEC_per_sqm.kWh.CZ.Ser.Bld.Thermal.HW.LPG.LPG</t>
  </si>
  <si>
    <t>FEC_per_sqm.kWh.CZ.Ser.Bld.Thermal.HW.Oil.Oil_LiqBio</t>
  </si>
  <si>
    <t>FEC_per_sqm.kWh.CZ.Ser.Bld.Thermal.HW.Gas.NG_Biogas</t>
  </si>
  <si>
    <t>FEC_per_sqm.kWh.CZ.Ser.Bld.Thermal.HW.Biomass.Biomass_Waste</t>
  </si>
  <si>
    <t>FEC_per_sqm.kWh.CZ.Ser.Bld.Thermal.HW.DistrHeat.Steam_Distr</t>
  </si>
  <si>
    <t>FEC_per_sqm.kWh.CZ.Ser.Bld.Thermal.HW.Elc.Elec</t>
  </si>
  <si>
    <t>FEC_per_sqm.kWh.CZ.Ser.Bld.Thermal.HW.TotalSolar.Solar</t>
  </si>
  <si>
    <t>FEC_per_sqm.kWh.CZ.Ser.Bld.Thermal.CA</t>
  </si>
  <si>
    <t>FEC_per_sqm.kWh.CZ.Ser.Bld.Thermal.CA.LPG</t>
  </si>
  <si>
    <t>FEC_per_sqm.kWh.CZ.Ser.Bld.Thermal.CA.Gas.NG_Biogas</t>
  </si>
  <si>
    <t>FEC_per_sqm.kWh.CZ.Ser.Bld.Thermal.CA.Biomass.Biomass_Waste</t>
  </si>
  <si>
    <t>FEC_per_sqm.kWh.CZ.Ser.Bld.Thermal.CA.Elc.Elec</t>
  </si>
  <si>
    <t>CZ - Thermal energy service per useful surface area</t>
  </si>
  <si>
    <t>TES_per_sqm.kWh.CZ.Ser.Bld.Thermal</t>
  </si>
  <si>
    <t>TES_per_sqm.kWh.CZ.Ser.Bld.Thermal.SH</t>
  </si>
  <si>
    <t>TES_per_sqm.kWh.CZ.Ser.Bld.Thermal.SH.Solids.Solids</t>
  </si>
  <si>
    <t>TES_per_sqm.kWh.CZ.Ser.Bld.Thermal.SH.LPG.LPG</t>
  </si>
  <si>
    <t>TES_per_sqm.kWh.CZ.Ser.Bld.Thermal.SH.Oil.Oil_LiqBio</t>
  </si>
  <si>
    <t>TES_per_sqm.kWh.CZ.Ser.Bld.Thermal.SH.GasHP.NG_Biogas</t>
  </si>
  <si>
    <t>TES_per_sqm.kWh.CZ.Ser.Bld.Thermal.SH.GasTH.NG_Biogas</t>
  </si>
  <si>
    <t>TES_per_sqm.kWh.CZ.Ser.Bld.Thermal.SH.Biomass.Biomass_Waste</t>
  </si>
  <si>
    <t>TES_per_sqm.kWh.CZ.Ser.Bld.Thermal.SH.Geo.Geo</t>
  </si>
  <si>
    <t>TES_per_sqm.kWh.CZ.Ser.Bld.Thermal.SH.DistrHeat.Steam_Distr</t>
  </si>
  <si>
    <t>TES_per_sqm.kWh.CZ.Ser.Bld.Thermal.SH.AdvElc.Elec</t>
  </si>
  <si>
    <t>TES_per_sqm.kWh.CZ.Ser.Bld.Thermal.SH.ConvElc.Elec</t>
  </si>
  <si>
    <t>TES_per_sqm.kWh.CZ.Ser.Bld.Thermal.SH.TotalCirculation.Elec</t>
  </si>
  <si>
    <t>TES_per_sqm.kWh.CZ.Ser.Bld.Thermal.SC</t>
  </si>
  <si>
    <t>TES_per_sqm.kWh.CZ.Ser.Bld.Thermal.SC.GasHP.NG_Biogas</t>
  </si>
  <si>
    <t>TES_per_sqm.kWh.CZ.Ser.Bld.Thermal.SC.AC.Elec</t>
  </si>
  <si>
    <t>TES_per_sqm.kWh.CZ.Ser.Bld.Thermal.HW</t>
  </si>
  <si>
    <t>TES_per_sqm.kWh.CZ.Ser.Bld.Thermal.HW.Solids.Solids</t>
  </si>
  <si>
    <t>TES_per_sqm.kWh.CZ.Ser.Bld.Thermal.HW.LPG.LPG</t>
  </si>
  <si>
    <t>TES_per_sqm.kWh.CZ.Ser.Bld.Thermal.HW.Oil.Oil_LiqBio</t>
  </si>
  <si>
    <t>TES_per_sqm.kWh.CZ.Ser.Bld.Thermal.HW.Gas.NG_Biogas</t>
  </si>
  <si>
    <t>TES_per_sqm.kWh.CZ.Ser.Bld.Thermal.HW.Biomass.Biomass_Waste</t>
  </si>
  <si>
    <t>TES_per_sqm.kWh.CZ.Ser.Bld.Thermal.HW.DistrHeat.Steam_Distr</t>
  </si>
  <si>
    <t>TES_per_sqm.kWh.CZ.Ser.Bld.Thermal.HW.Elc.Elec</t>
  </si>
  <si>
    <t>TES_per_sqm.kWh.CZ.Ser.Bld.Thermal.HW.TotalSolar.Solar</t>
  </si>
  <si>
    <t>TES_per_sqm.kWh.CZ.Ser.Bld.Thermal.CA</t>
  </si>
  <si>
    <t>TES_per_sqm.kWh.CZ.Ser.Bld.Thermal.CA.LPG</t>
  </si>
  <si>
    <t>TES_per_sqm.kWh.CZ.Ser.Bld.Thermal.CA.Gas.NG_Biogas</t>
  </si>
  <si>
    <t>TES_per_sqm.kWh.CZ.Ser.Bld.Thermal.CA.Biomass.Biomass_Waste</t>
  </si>
  <si>
    <t>TES_per_sqm.kWh.CZ.Ser.Bld.Thermal.CA.Elc.Elec</t>
  </si>
  <si>
    <t>CZ - CO2 emissions per useful surface area</t>
  </si>
  <si>
    <t>EMI_per_sqm.kgCO2.CZ.Ser.Bld.Thermal</t>
  </si>
  <si>
    <t>EMI_per_sqm.kgCO2.CZ.Ser.Bld.Thermal.SH</t>
  </si>
  <si>
    <t>EMI_per_sqm.kgCO2.CZ.Ser.Bld.Thermal.SH.Solids.Solids</t>
  </si>
  <si>
    <t>EMI_per_sqm.kgCO2.CZ.Ser.Bld.Thermal.SH.LPG.LPG</t>
  </si>
  <si>
    <t>EMI_per_sqm.kgCO2.CZ.Ser.Bld.Thermal.SH.Oil.Oil_LiqBio</t>
  </si>
  <si>
    <t>EMI_per_sqm.kgCO2.CZ.Ser.Bld.Thermal.SH.GasHP.NG_Biogas</t>
  </si>
  <si>
    <t>EMI_per_sqm.kgCO2.CZ.Ser.Bld.Thermal.SH.GasTH.NG_Biogas</t>
  </si>
  <si>
    <t>EMI_per_sqm.kgCO2.CZ.Ser.Bld.Thermal.SH.Biomass.Biomass_Waste</t>
  </si>
  <si>
    <t>EMI_per_sqm.kgCO2.CZ.Ser.Bld.Thermal.SH.Geo.Geo</t>
  </si>
  <si>
    <t>EMI_per_sqm.kgCO2.CZ.Ser.Bld.Thermal.SH.DistrHeat.Steam_Distr</t>
  </si>
  <si>
    <t>EMI_per_sqm.kgCO2.CZ.Ser.Bld.Thermal.SH.AdvElc.Elec</t>
  </si>
  <si>
    <t>EMI_per_sqm.kgCO2.CZ.Ser.Bld.Thermal.SH.ConvElc.Elec</t>
  </si>
  <si>
    <t>EMI_per_sqm.kgCO2.CZ.Ser.Bld.Thermal.SH.TotalCirculation.Elec</t>
  </si>
  <si>
    <t>EMI_per_sqm.kgCO2.CZ.Ser.Bld.Thermal.SC</t>
  </si>
  <si>
    <t>EMI_per_sqm.kgCO2.CZ.Ser.Bld.Thermal.SC.GasHP.NG_Biogas</t>
  </si>
  <si>
    <t>EMI_per_sqm.kgCO2.CZ.Ser.Bld.Thermal.SC.AC.Elec</t>
  </si>
  <si>
    <t>EMI_per_sqm.kgCO2.CZ.Ser.Bld.Thermal.HW</t>
  </si>
  <si>
    <t>EMI_per_sqm.kgCO2.CZ.Ser.Bld.Thermal.HW.Solids.Solids</t>
  </si>
  <si>
    <t>EMI_per_sqm.kgCO2.CZ.Ser.Bld.Thermal.HW.LPG.LPG</t>
  </si>
  <si>
    <t>EMI_per_sqm.kgCO2.CZ.Ser.Bld.Thermal.HW.Oil.Oil_LiqBio</t>
  </si>
  <si>
    <t>EMI_per_sqm.kgCO2.CZ.Ser.Bld.Thermal.HW.Gas.NG_Biogas</t>
  </si>
  <si>
    <t>EMI_per_sqm.kgCO2.CZ.Ser.Bld.Thermal.HW.Biomass.Biomass_Waste</t>
  </si>
  <si>
    <t>EMI_per_sqm.kgCO2.CZ.Ser.Bld.Thermal.HW.DistrHeat.Steam_Distr</t>
  </si>
  <si>
    <t>EMI_per_sqm.kgCO2.CZ.Ser.Bld.Thermal.HW.Elc.Elec</t>
  </si>
  <si>
    <t>EMI_per_sqm.kgCO2.CZ.Ser.Bld.Thermal.HW.TotalSolar.Solar</t>
  </si>
  <si>
    <t>EMI_per_sqm.kgCO2.CZ.Ser.Bld.Thermal.CA</t>
  </si>
  <si>
    <t>EMI_per_sqm.kgCO2.CZ.Ser.Bld.Thermal.CA.LPG</t>
  </si>
  <si>
    <t>EMI_per_sqm.kgCO2.CZ.Ser.Bld.Thermal.CA.Gas.NG_Biogas</t>
  </si>
  <si>
    <t>EMI_per_sqm.kgCO2.CZ.Ser.Bld.Thermal.CA.Biomass.Biomass_Waste</t>
  </si>
  <si>
    <t>EMI_per_sqm.kgCO2.CZ.Ser.Bld.Thermal.CA.Elc.Elec</t>
  </si>
  <si>
    <t>CZ - Number of new and renovated buildings</t>
  </si>
  <si>
    <t>NUM.number.CZ.Ser.BldNew.Thermal</t>
  </si>
  <si>
    <t>NUM.number.CZ.Ser.BldNew.Thermal.SH</t>
  </si>
  <si>
    <t>NUM.number.CZ.Ser.BldNew.Thermal.SH.Solids</t>
  </si>
  <si>
    <t>NUM.number.CZ.Ser.BldNew.Thermal.SH.LPG</t>
  </si>
  <si>
    <t>NUM.number.CZ.Ser.BldNew.Thermal.SH.Oil</t>
  </si>
  <si>
    <t>NUM.number.CZ.Ser.BldNew.Thermal.SH.GasHP</t>
  </si>
  <si>
    <t>NUM.number.CZ.Ser.BldNew.Thermal.SH.GasTH</t>
  </si>
  <si>
    <t>NUM.number.CZ.Ser.BldNew.Thermal.SH.Biomass</t>
  </si>
  <si>
    <t>NUM.number.CZ.Ser.BldNew.Thermal.SH.Geo</t>
  </si>
  <si>
    <t>NUM.number.CZ.Ser.BldNew.Thermal.SH.DistrHeat</t>
  </si>
  <si>
    <t>NUM.number.CZ.Ser.BldNew.Thermal.SH.AdvElc</t>
  </si>
  <si>
    <t>NUM.number.CZ.Ser.BldNew.Thermal.SH.ConvElc</t>
  </si>
  <si>
    <t>NUM.number.CZ.Ser.BldNew.Thermal.SC</t>
  </si>
  <si>
    <t>NUM.number.CZ.Ser.BldNew.Thermal.SC.GasHP</t>
  </si>
  <si>
    <t>NUM.number.CZ.Ser.BldNew.Thermal.SC.AC</t>
  </si>
  <si>
    <t>NUM.number.CZ.Ser.BldNew.Thermal.HW</t>
  </si>
  <si>
    <t>NUM.number.CZ.Ser.BldNew.Thermal.HW.Solids</t>
  </si>
  <si>
    <t>NUM.number.CZ.Ser.BldNew.Thermal.HW.LPG</t>
  </si>
  <si>
    <t>NUM.number.CZ.Ser.BldNew.Thermal.HW.Oil</t>
  </si>
  <si>
    <t>NUM.number.CZ.Ser.BldNew.Thermal.HW.Gas</t>
  </si>
  <si>
    <t>NUM.number.CZ.Ser.BldNew.Thermal.HW.Biomass</t>
  </si>
  <si>
    <t>NUM.number.CZ.Ser.BldNew.Thermal.HW.DistrHeat</t>
  </si>
  <si>
    <t>NUM.number.CZ.Ser.BldNew.Thermal.HW.Elc</t>
  </si>
  <si>
    <t>NUM.number.CZ.Ser.BldNew.Thermal.HW.Solar</t>
  </si>
  <si>
    <t>NUM.number.CZ.Ser.BldNew.Thermal.CA</t>
  </si>
  <si>
    <t>NUM.number.CZ.Ser.BldNew.Thermal.CA.LPG</t>
  </si>
  <si>
    <t>NUM.number.CZ.Ser.BldNew.Thermal.CA.Gas</t>
  </si>
  <si>
    <t>NUM.number.CZ.Ser.BldNew.Thermal.CA.Biomass</t>
  </si>
  <si>
    <t>NUM.number.CZ.Ser.BldNew.Thermal.CA.Elc</t>
  </si>
  <si>
    <t>CZ - Final energy consumption in new and renovated buildings</t>
  </si>
  <si>
    <t>FEC.ktoe.CZ.Ser.BldNew.Thermal</t>
  </si>
  <si>
    <t>FEC.ktoe.CZ.Ser.BldNew.Thermal.SH</t>
  </si>
  <si>
    <t>FEC.ktoe.CZ.Ser.BldNew.Thermal.SH.Solids.Solids</t>
  </si>
  <si>
    <t>FEC.ktoe.CZ.Ser.BldNew.Thermal.SH.LPG.LPG</t>
  </si>
  <si>
    <t>FEC.ktoe.CZ.Ser.BldNew.Thermal.SH.Oil.Oil_LiqBio</t>
  </si>
  <si>
    <t>FEC.ktoe.CZ.Ser.BldNew.Thermal.SH.GasHP.NG_Biogas</t>
  </si>
  <si>
    <t>FEC.ktoe.CZ.Ser.BldNew.Thermal.SH.GasTH.NG_Biogas</t>
  </si>
  <si>
    <t>FEC.ktoe.CZ.Ser.BldNew.Thermal.SH.Biomass.Biomass_Waste</t>
  </si>
  <si>
    <t>FEC.ktoe.CZ.Ser.BldNew.Thermal.SH.Geo.Geo</t>
  </si>
  <si>
    <t>FEC.ktoe.CZ.Ser.BldNew.Thermal.SH.DistrHeat.Steam_Distr</t>
  </si>
  <si>
    <t>FEC.ktoe.CZ.Ser.BldNew.Thermal.SH.AdvElc.Elec</t>
  </si>
  <si>
    <t>FEC.ktoe.CZ.Ser.BldNew.Thermal.SH.ConvElc.Elec</t>
  </si>
  <si>
    <t>FEC.ktoe.CZ.Ser.BldNew.Thermal.SH.TotalCirculation.Elec</t>
  </si>
  <si>
    <t>FEC.ktoe.CZ.Ser.BldNew.Thermal.SC</t>
  </si>
  <si>
    <t>FEC.ktoe.CZ.Ser.BldNew.Thermal.SC.GasHP.NG_Biogas</t>
  </si>
  <si>
    <t>FEC.ktoe.CZ.Ser.BldNew.Thermal.SC.AC.Elec</t>
  </si>
  <si>
    <t>FEC.ktoe.CZ.Ser.BldNew.Thermal.HW</t>
  </si>
  <si>
    <t>FEC.ktoe.CZ.Ser.BldNew.Thermal.HW.Solids.Solids</t>
  </si>
  <si>
    <t>FEC.ktoe.CZ.Ser.BldNew.Thermal.HW.LPG.LPG</t>
  </si>
  <si>
    <t>FEC.ktoe.CZ.Ser.BldNew.Thermal.HW.Oil.Oil_LiqBio</t>
  </si>
  <si>
    <t>FEC.ktoe.CZ.Ser.BldNew.Thermal.HW.Gas.NG_Biogas</t>
  </si>
  <si>
    <t>FEC.ktoe.CZ.Ser.BldNew.Thermal.HW.Biomass.Biomass_Waste</t>
  </si>
  <si>
    <t>FEC.ktoe.CZ.Ser.BldNew.Thermal.HW.DistrHeat.Steam_Distr</t>
  </si>
  <si>
    <t>FEC.ktoe.CZ.Ser.BldNew.Thermal.HW.Elc.Elec</t>
  </si>
  <si>
    <t>FEC.ktoe.CZ.Ser.BldNew.Thermal.HW.TotalSolar.Solar</t>
  </si>
  <si>
    <t>FEC.ktoe.CZ.Ser.BldNew.Thermal.CA</t>
  </si>
  <si>
    <t>FEC.ktoe.CZ.Ser.BldNew.Thermal.CA.LPG</t>
  </si>
  <si>
    <t>FEC.ktoe.CZ.Ser.BldNew.Thermal.CA.Gas.NG_Biogas</t>
  </si>
  <si>
    <t>FEC.ktoe.CZ.Ser.BldNew.Thermal.CA.Biomass.Biomass_Waste</t>
  </si>
  <si>
    <t>FEC.ktoe.CZ.Ser.BldNew.Thermal.CA.Elc.Elec</t>
  </si>
  <si>
    <t>CZ - Thermal energy service in new and renovated buildings</t>
  </si>
  <si>
    <t>TES.ktoe.CZ.Ser.BldNew.Thermal</t>
  </si>
  <si>
    <t>TES.ktoe.CZ.Ser.BldNew.Thermal.SH</t>
  </si>
  <si>
    <t>TES.ktoe.CZ.Ser.BldNew.Thermal.SH.Solids.Solids</t>
  </si>
  <si>
    <t>TES.ktoe.CZ.Ser.BldNew.Thermal.SH.LPG.LPG</t>
  </si>
  <si>
    <t>TES.ktoe.CZ.Ser.BldNew.Thermal.SH.Oil.Oil_LiqBio</t>
  </si>
  <si>
    <t>TES.ktoe.CZ.Ser.BldNew.Thermal.SH.GasHP.NG_Biogas</t>
  </si>
  <si>
    <t>TES.ktoe.CZ.Ser.BldNew.Thermal.SH.GasTH.NG_Biogas</t>
  </si>
  <si>
    <t>TES.ktoe.CZ.Ser.BldNew.Thermal.SH.Biomass.Biomass_Waste</t>
  </si>
  <si>
    <t>TES.ktoe.CZ.Ser.BldNew.Thermal.SH.Geo.Geo</t>
  </si>
  <si>
    <t>TES.ktoe.CZ.Ser.BldNew.Thermal.SH.DistrHeat.Steam_Distr</t>
  </si>
  <si>
    <t>TES.ktoe.CZ.Ser.BldNew.Thermal.SH.AdvElc.Elec</t>
  </si>
  <si>
    <t>TES.ktoe.CZ.Ser.BldNew.Thermal.SH.ConvElc.Elec</t>
  </si>
  <si>
    <t>TES.ktoe.CZ.Ser.BldNew.Thermal.SH.TotalCirculation.Elec</t>
  </si>
  <si>
    <t>TES.ktoe.CZ.Ser.BldNew.Thermal.SC</t>
  </si>
  <si>
    <t>TES.ktoe.CZ.Ser.BldNew.Thermal.SC.GasHP.NG_Biogas</t>
  </si>
  <si>
    <t>TES.ktoe.CZ.Ser.BldNew.Thermal.SC.AC.Elec</t>
  </si>
  <si>
    <t>TES.ktoe.CZ.Ser.BldNew.Thermal.HW</t>
  </si>
  <si>
    <t>TES.ktoe.CZ.Ser.BldNew.Thermal.HW.Solids.Solids</t>
  </si>
  <si>
    <t>TES.ktoe.CZ.Ser.BldNew.Thermal.HW.LPG.LPG</t>
  </si>
  <si>
    <t>TES.ktoe.CZ.Ser.BldNew.Thermal.HW.Oil.Oil_LiqBio</t>
  </si>
  <si>
    <t>TES.ktoe.CZ.Ser.BldNew.Thermal.HW.Gas.NG_Biogas</t>
  </si>
  <si>
    <t>TES.ktoe.CZ.Ser.BldNew.Thermal.HW.Biomass.Biomass_Waste</t>
  </si>
  <si>
    <t>TES.ktoe.CZ.Ser.BldNew.Thermal.HW.DistrHeat.Steam_Distr</t>
  </si>
  <si>
    <t>TES.ktoe.CZ.Ser.BldNew.Thermal.HW.Elc.Elec</t>
  </si>
  <si>
    <t>TES.ktoe.CZ.Ser.BldNew.Thermal.HW.TotalSolar.Solar</t>
  </si>
  <si>
    <t>TES.ktoe.CZ.Ser.BldNew.Thermal.CA</t>
  </si>
  <si>
    <t>TES.ktoe.CZ.Ser.BldNew.Thermal.CA.LPG</t>
  </si>
  <si>
    <t>TES.ktoe.CZ.Ser.BldNew.Thermal.CA.Gas.NG_Biogas</t>
  </si>
  <si>
    <t>TES.ktoe.CZ.Ser.BldNew.Thermal.CA.Biomass.Biomass_Waste</t>
  </si>
  <si>
    <t>TES.ktoe.CZ.Ser.BldNew.Thermal.CA.Elc.Elec</t>
  </si>
  <si>
    <t>CZ - System efficiency indicator of new and renovated buildings</t>
  </si>
  <si>
    <t>Eff.ratio.CZ.Ser.BldNew.Thermal</t>
  </si>
  <si>
    <t>Eff.ratio.CZ.Ser.BldNew.Thermal.SH</t>
  </si>
  <si>
    <t>Eff.ratio.CZ.Ser.BldNew.Thermal.SH.Solids.Solids</t>
  </si>
  <si>
    <t>Eff.ratio.CZ.Ser.BldNew.Thermal.SH.LPG.LPG</t>
  </si>
  <si>
    <t>Eff.ratio.CZ.Ser.BldNew.Thermal.SH.Oil.Oil_LiqBio</t>
  </si>
  <si>
    <t>Eff.ratio.CZ.Ser.BldNew.Thermal.SH.GasHP.NG_Biogas</t>
  </si>
  <si>
    <t>Eff.ratio.CZ.Ser.BldNew.Thermal.SH.GasTH.NG_Biogas</t>
  </si>
  <si>
    <t>Eff.ratio.CZ.Ser.BldNew.Thermal.SH.Biomass.Biomass_Waste</t>
  </si>
  <si>
    <t>Eff.ratio.CZ.Ser.BldNew.Thermal.SH.Geo.Geo</t>
  </si>
  <si>
    <t>Eff.ratio.CZ.Ser.BldNew.Thermal.SH.DistrHeat.Steam_Distr</t>
  </si>
  <si>
    <t>Eff.ratio.CZ.Ser.BldNew.Thermal.SH.AdvElc.Elec</t>
  </si>
  <si>
    <t>Eff.ratio.CZ.Ser.BldNew.Thermal.SH.ConvElc.Elec</t>
  </si>
  <si>
    <t>Eff.ratio.CZ.Ser.BldNew.Thermal.SH.TotalCirculation.Elec</t>
  </si>
  <si>
    <t>Eff.ratio.CZ.Ser.BldNew.Thermal.SC</t>
  </si>
  <si>
    <t>Eff.ratio.CZ.Ser.BldNew.Thermal.SC.GasHP.NG_Biogas</t>
  </si>
  <si>
    <t>Eff.ratio.CZ.Ser.BldNew.Thermal.SC.AC.Elec</t>
  </si>
  <si>
    <t>Eff.ratio.CZ.Ser.BldNew.Thermal.HW</t>
  </si>
  <si>
    <t>Eff.ratio.CZ.Ser.BldNew.Thermal.HW.Solids.Solids</t>
  </si>
  <si>
    <t>Eff.ratio.CZ.Ser.BldNew.Thermal.HW.LPG.LPG</t>
  </si>
  <si>
    <t>Eff.ratio.CZ.Ser.BldNew.Thermal.HW.Oil.Oil_LiqBio</t>
  </si>
  <si>
    <t>Eff.ratio.CZ.Ser.BldNew.Thermal.HW.Gas.NG_Biogas</t>
  </si>
  <si>
    <t>Eff.ratio.CZ.Ser.BldNew.Thermal.HW.Biomass.Biomass_Waste</t>
  </si>
  <si>
    <t>Eff.ratio.CZ.Ser.BldNew.Thermal.HW.DistrHeat.Steam_Distr</t>
  </si>
  <si>
    <t>Eff.ratio.CZ.Ser.BldNew.Thermal.HW.Elc.Elec</t>
  </si>
  <si>
    <t>Eff.ratio.CZ.Ser.BldNew.Thermal.HW.TotalSolar.Solar</t>
  </si>
  <si>
    <t>Eff.ratio.CZ.Ser.BldNew.Thermal.CA</t>
  </si>
  <si>
    <t>Eff.ratio.CZ.Ser.BldNew.Thermal.CA.LPG</t>
  </si>
  <si>
    <t>Eff.ratio.CZ.Ser.BldNew.Thermal.CA.Gas.NG_Biogas</t>
  </si>
  <si>
    <t>Eff.ratio.CZ.Ser.BldNew.Thermal.CA.Biomass.Biomass_Waste</t>
  </si>
  <si>
    <t>Eff.ratio.CZ.Ser.BldNew.Thermal.CA.Elc.Elec</t>
  </si>
  <si>
    <t>CZ - CO2 emissions in new and renovated buildings</t>
  </si>
  <si>
    <t>EMI.ktCO2.CZ.Ser.BldNew.Thermal</t>
  </si>
  <si>
    <t>EMI.ktCO2.CZ.Ser.BldNew.Thermal.SH</t>
  </si>
  <si>
    <t>EMI.ktCO2.CZ.Ser.BldNew.Thermal.SH.Solids.Solids</t>
  </si>
  <si>
    <t>EMI.ktCO2.CZ.Ser.BldNew.Thermal.SH.LPG.LPG</t>
  </si>
  <si>
    <t>EMI.ktCO2.CZ.Ser.BldNew.Thermal.SH.Oil.Oil_LiqBio</t>
  </si>
  <si>
    <t>EMI.ktCO2.CZ.Ser.BldNew.Thermal.SH.GasHP.NG_Biogas</t>
  </si>
  <si>
    <t>EMI.ktCO2.CZ.Ser.BldNew.Thermal.SH.GasTH.NG_Biogas</t>
  </si>
  <si>
    <t>EMI.ktCO2.CZ.Ser.BldNew.Thermal.SH.Biomass.Biomass_Waste</t>
  </si>
  <si>
    <t>EMI.ktCO2.CZ.Ser.BldNew.Thermal.SH.Geo.Geo</t>
  </si>
  <si>
    <t>EMI.ktCO2.CZ.Ser.BldNew.Thermal.SH.DistrHeat.Steam_Distr</t>
  </si>
  <si>
    <t>EMI.ktCO2.CZ.Ser.BldNew.Thermal.SH.AdvElc.Elec</t>
  </si>
  <si>
    <t>EMI.ktCO2.CZ.Ser.BldNew.Thermal.SH.ConvElc.Elec</t>
  </si>
  <si>
    <t>EMI.ktCO2.CZ.Ser.BldNew.Thermal.SH.TotalCirculation.Elec</t>
  </si>
  <si>
    <t>EMI.ktCO2.CZ.Ser.BldNew.Thermal.SC</t>
  </si>
  <si>
    <t>EMI.ktCO2.CZ.Ser.BldNew.Thermal.SC.GasHP.NG_Biogas</t>
  </si>
  <si>
    <t>EMI.ktCO2.CZ.Ser.BldNew.Thermal.SC.AC.Elec</t>
  </si>
  <si>
    <t>EMI.ktCO2.CZ.Ser.BldNew.Thermal.HW</t>
  </si>
  <si>
    <t>EMI.ktCO2.CZ.Ser.BldNew.Thermal.HW.Solids.Solids</t>
  </si>
  <si>
    <t>EMI.ktCO2.CZ.Ser.BldNew.Thermal.HW.LPG.LPG</t>
  </si>
  <si>
    <t>EMI.ktCO2.CZ.Ser.BldNew.Thermal.HW.Oil.Oil_LiqBio</t>
  </si>
  <si>
    <t>EMI.ktCO2.CZ.Ser.BldNew.Thermal.HW.Gas.NG_Biogas</t>
  </si>
  <si>
    <t>EMI.ktCO2.CZ.Ser.BldNew.Thermal.HW.Biomass.Biomass_Waste</t>
  </si>
  <si>
    <t>EMI.ktCO2.CZ.Ser.BldNew.Thermal.HW.DistrHeat.Steam_Distr</t>
  </si>
  <si>
    <t>EMI.ktCO2.CZ.Ser.BldNew.Thermal.HW.Elc.Elec</t>
  </si>
  <si>
    <t>EMI.ktCO2.CZ.Ser.BldNew.Thermal.HW.TotalSolar.Solar</t>
  </si>
  <si>
    <t>EMI.ktCO2.CZ.Ser.BldNew.Thermal.CA</t>
  </si>
  <si>
    <t>EMI.ktCO2.CZ.Ser.BldNew.Thermal.CA.LPG</t>
  </si>
  <si>
    <t>EMI.ktCO2.CZ.Ser.BldNew.Thermal.CA.Gas.NG_Biogas</t>
  </si>
  <si>
    <t>EMI.ktCO2.CZ.Ser.BldNew.Thermal.CA.Biomass.Biomass_Waste</t>
  </si>
  <si>
    <t>EMI.ktCO2.CZ.Ser.BldNew.Thermal.CA.Elc.Elec</t>
  </si>
  <si>
    <t>CZ - Final energy consumption of new and renovated buildings (per building)</t>
  </si>
  <si>
    <t>FEC_per_building.kWh.CZ.Ser.BldNew.Thermal</t>
  </si>
  <si>
    <t>FEC_per_building.kWh.CZ.Ser.BldNew.Thermal.SH</t>
  </si>
  <si>
    <t>FEC_per_building.kWh.CZ.Ser.BldNew.Thermal.SH.Solids.Solids</t>
  </si>
  <si>
    <t>FEC_per_building.kWh.CZ.Ser.BldNew.Thermal.SH.LPG.LPG</t>
  </si>
  <si>
    <t>FEC_per_building.kWh.CZ.Ser.BldNew.Thermal.SH.Oil.Oil_LiqBio</t>
  </si>
  <si>
    <t>FEC_per_building.kWh.CZ.Ser.BldNew.Thermal.SH.GasHP.NG_Biogas</t>
  </si>
  <si>
    <t>FEC_per_building.kWh.CZ.Ser.BldNew.Thermal.SH.GasTH.NG_Biogas</t>
  </si>
  <si>
    <t>FEC_per_building.kWh.CZ.Ser.BldNew.Thermal.SH.Biomass.Biomass_Waste</t>
  </si>
  <si>
    <t>FEC_per_building.kWh.CZ.Ser.BldNew.Thermal.SH.Geo.Geo</t>
  </si>
  <si>
    <t>FEC_per_building.kWh.CZ.Ser.BldNew.Thermal.SH.DistrHeat.Steam_Distr</t>
  </si>
  <si>
    <t>FEC_per_building.kWh.CZ.Ser.BldNew.Thermal.SH.AdvElc.Elec</t>
  </si>
  <si>
    <t>FEC_per_building.kWh.CZ.Ser.BldNew.Thermal.SH.ConvElc.Elec</t>
  </si>
  <si>
    <t>FEC_per_building.kWh.CZ.Ser.BldNew.Thermal.SH.TotalCirculation.Elec</t>
  </si>
  <si>
    <t>FEC_per_building.kWh.CZ.Ser.BldNew.Thermal.SC</t>
  </si>
  <si>
    <t>FEC_per_building.kWh.CZ.Ser.BldNew.Thermal.SC.GasHP.NG_Biogas</t>
  </si>
  <si>
    <t>FEC_per_building.kWh.CZ.Ser.BldNew.Thermal.SC.AC.Elec</t>
  </si>
  <si>
    <t>FEC_per_building.kWh.CZ.Ser.BldNew.Thermal.HW</t>
  </si>
  <si>
    <t>FEC_per_building.kWh.CZ.Ser.BldNew.Thermal.HW.Solids.Solids</t>
  </si>
  <si>
    <t>FEC_per_building.kWh.CZ.Ser.BldNew.Thermal.HW.LPG.LPG</t>
  </si>
  <si>
    <t>FEC_per_building.kWh.CZ.Ser.BldNew.Thermal.HW.Oil.Oil_LiqBio</t>
  </si>
  <si>
    <t>FEC_per_building.kWh.CZ.Ser.BldNew.Thermal.HW.Gas.NG_Biogas</t>
  </si>
  <si>
    <t>FEC_per_building.kWh.CZ.Ser.BldNew.Thermal.HW.Biomass.Biomass_Waste</t>
  </si>
  <si>
    <t>FEC_per_building.kWh.CZ.Ser.BldNew.Thermal.HW.DistrHeat.Steam_Distr</t>
  </si>
  <si>
    <t>FEC_per_building.kWh.CZ.Ser.BldNew.Thermal.HW.Elc.Elec</t>
  </si>
  <si>
    <t>FEC_per_building.kWh.CZ.Ser.BldNew.Thermal.HW.TotalSolar.Solar</t>
  </si>
  <si>
    <t>FEC_per_building.kWh.CZ.Ser.BldNew.Thermal.CA</t>
  </si>
  <si>
    <t>FEC_per_building.kWh.CZ.Ser.BldNew.Thermal.CA.LPG</t>
  </si>
  <si>
    <t>FEC_per_building.kWh.CZ.Ser.BldNew.Thermal.CA.Gas.NG_Biogas</t>
  </si>
  <si>
    <t>FEC_per_building.kWh.CZ.Ser.BldNew.Thermal.CA.Biomass.Biomass_Waste</t>
  </si>
  <si>
    <t>FEC_per_building.kWh.CZ.Ser.BldNew.Thermal.CA.Elc.Elec</t>
  </si>
  <si>
    <t>CZ - Thermal energy service of new and renovated buildings (per building)</t>
  </si>
  <si>
    <t>TES_per_building.kWh.CZ.Ser.BldNew.Thermal</t>
  </si>
  <si>
    <t>TES_per_building.kWh.CZ.Ser.BldNew.Thermal.SH</t>
  </si>
  <si>
    <t>TES_per_building.kWh.CZ.Ser.BldNew.Thermal.SH.Solids.Solids</t>
  </si>
  <si>
    <t>TES_per_building.kWh.CZ.Ser.BldNew.Thermal.SH.LPG.LPG</t>
  </si>
  <si>
    <t>TES_per_building.kWh.CZ.Ser.BldNew.Thermal.SH.Oil.Oil_LiqBio</t>
  </si>
  <si>
    <t>TES_per_building.kWh.CZ.Ser.BldNew.Thermal.SH.GasHP.NG_Biogas</t>
  </si>
  <si>
    <t>TES_per_building.kWh.CZ.Ser.BldNew.Thermal.SH.GasTH.NG_Biogas</t>
  </si>
  <si>
    <t>TES_per_building.kWh.CZ.Ser.BldNew.Thermal.SH.Biomass.Biomass_Waste</t>
  </si>
  <si>
    <t>TES_per_building.kWh.CZ.Ser.BldNew.Thermal.SH.Geo.Geo</t>
  </si>
  <si>
    <t>TES_per_building.kWh.CZ.Ser.BldNew.Thermal.SH.DistrHeat.Steam_Distr</t>
  </si>
  <si>
    <t>TES_per_building.kWh.CZ.Ser.BldNew.Thermal.SH.AdvElc.Elec</t>
  </si>
  <si>
    <t>TES_per_building.kWh.CZ.Ser.BldNew.Thermal.SH.ConvElc.Elec</t>
  </si>
  <si>
    <t>TES_per_building.kWh.CZ.Ser.BldNew.Thermal.SH.TotalCirculation.Elec</t>
  </si>
  <si>
    <t>TES_per_building.kWh.CZ.Ser.BldNew.Thermal.SC</t>
  </si>
  <si>
    <t>TES_per_building.kWh.CZ.Ser.BldNew.Thermal.SC.GasHP.NG_Biogas</t>
  </si>
  <si>
    <t>TES_per_building.kWh.CZ.Ser.BldNew.Thermal.SC.AC.Elec</t>
  </si>
  <si>
    <t>TES_per_building.kWh.CZ.Ser.BldNew.Thermal.HW</t>
  </si>
  <si>
    <t>TES_per_building.kWh.CZ.Ser.BldNew.Thermal.HW.Solids.Solids</t>
  </si>
  <si>
    <t>TES_per_building.kWh.CZ.Ser.BldNew.Thermal.HW.LPG.LPG</t>
  </si>
  <si>
    <t>TES_per_building.kWh.CZ.Ser.BldNew.Thermal.HW.Oil.Oil_LiqBio</t>
  </si>
  <si>
    <t>TES_per_building.kWh.CZ.Ser.BldNew.Thermal.HW.Gas.NG_Biogas</t>
  </si>
  <si>
    <t>TES_per_building.kWh.CZ.Ser.BldNew.Thermal.HW.Biomass.Biomass_Waste</t>
  </si>
  <si>
    <t>TES_per_building.kWh.CZ.Ser.BldNew.Thermal.HW.DistrHeat.Steam_Distr</t>
  </si>
  <si>
    <t>TES_per_building.kWh.CZ.Ser.BldNew.Thermal.HW.Elc.Elec</t>
  </si>
  <si>
    <t>TES_per_building.kWh.CZ.Ser.BldNew.Thermal.HW.TotalSolar.Solar</t>
  </si>
  <si>
    <t>TES_per_building.kWh.CZ.Ser.BldNew.Thermal.CA</t>
  </si>
  <si>
    <t>TES_per_building.kWh.CZ.Ser.BldNew.Thermal.CA.LPG</t>
  </si>
  <si>
    <t>TES_per_building.kWh.CZ.Ser.BldNew.Thermal.CA.Gas.NG_Biogas</t>
  </si>
  <si>
    <t>TES_per_building.kWh.CZ.Ser.BldNew.Thermal.CA.Biomass.Biomass_Waste</t>
  </si>
  <si>
    <t>TES_per_building.kWh.CZ.Ser.BldNew.Thermal.CA.Elc.Elec</t>
  </si>
  <si>
    <t>CZ - CO2 emissions in new and renovated buildings (per building)</t>
  </si>
  <si>
    <t>EMI_per_building.kgCO2.CZ.Ser.BldNew.Thermal</t>
  </si>
  <si>
    <t>EMI_per_building.kgCO2.CZ.Ser.BldNew.Thermal.SH</t>
  </si>
  <si>
    <t>EMI_per_building.kgCO2.CZ.Ser.BldNew.Thermal.SH.Solids.Solids</t>
  </si>
  <si>
    <t>EMI_per_building.kgCO2.CZ.Ser.BldNew.Thermal.SH.LPG.LPG</t>
  </si>
  <si>
    <t>EMI_per_building.kgCO2.CZ.Ser.BldNew.Thermal.SH.Oil.Oil_LiqBio</t>
  </si>
  <si>
    <t>EMI_per_building.kgCO2.CZ.Ser.BldNew.Thermal.SH.GasHP.NG_Biogas</t>
  </si>
  <si>
    <t>EMI_per_building.kgCO2.CZ.Ser.BldNew.Thermal.SH.GasTH.NG_Biogas</t>
  </si>
  <si>
    <t>EMI_per_building.kgCO2.CZ.Ser.BldNew.Thermal.SH.Biomass.Biomass_Waste</t>
  </si>
  <si>
    <t>EMI_per_building.kgCO2.CZ.Ser.BldNew.Thermal.SH.Geo.Geo</t>
  </si>
  <si>
    <t>EMI_per_building.kgCO2.CZ.Ser.BldNew.Thermal.SH.DistrHeat.Steam_Distr</t>
  </si>
  <si>
    <t>EMI_per_building.kgCO2.CZ.Ser.BldNew.Thermal.SH.AdvElc.Elec</t>
  </si>
  <si>
    <t>EMI_per_building.kgCO2.CZ.Ser.BldNew.Thermal.SH.ConvElc.Elec</t>
  </si>
  <si>
    <t>EMI_per_building.kgCO2.CZ.Ser.BldNew.Thermal.SH.TotalCirculation.Elec</t>
  </si>
  <si>
    <t>EMI_per_building.kgCO2.CZ.Ser.BldNew.Thermal.SC</t>
  </si>
  <si>
    <t>EMI_per_building.kgCO2.CZ.Ser.BldNew.Thermal.SC.GasHP.NG_Biogas</t>
  </si>
  <si>
    <t>EMI_per_building.kgCO2.CZ.Ser.BldNew.Thermal.SC.AC.Elec</t>
  </si>
  <si>
    <t>EMI_per_building.kgCO2.CZ.Ser.BldNew.Thermal.HW</t>
  </si>
  <si>
    <t>EMI_per_building.kgCO2.CZ.Ser.BldNew.Thermal.HW.Solids.Solids</t>
  </si>
  <si>
    <t>EMI_per_building.kgCO2.CZ.Ser.BldNew.Thermal.HW.LPG.LPG</t>
  </si>
  <si>
    <t>EMI_per_building.kgCO2.CZ.Ser.BldNew.Thermal.HW.Oil.Oil_LiqBio</t>
  </si>
  <si>
    <t>EMI_per_building.kgCO2.CZ.Ser.BldNew.Thermal.HW.Gas.NG_Biogas</t>
  </si>
  <si>
    <t>EMI_per_building.kgCO2.CZ.Ser.BldNew.Thermal.HW.Biomass.Biomass_Waste</t>
  </si>
  <si>
    <t>EMI_per_building.kgCO2.CZ.Ser.BldNew.Thermal.HW.DistrHeat.Steam_Distr</t>
  </si>
  <si>
    <t>EMI_per_building.kgCO2.CZ.Ser.BldNew.Thermal.HW.Elc.Elec</t>
  </si>
  <si>
    <t>EMI_per_building.kgCO2.CZ.Ser.BldNew.Thermal.HW.TotalSolar.Solar</t>
  </si>
  <si>
    <t>EMI_per_building.kgCO2.CZ.Ser.BldNew.Thermal.CA</t>
  </si>
  <si>
    <t>EMI_per_building.kgCO2.CZ.Ser.BldNew.Thermal.CA.LPG</t>
  </si>
  <si>
    <t>EMI_per_building.kgCO2.CZ.Ser.BldNew.Thermal.CA.Gas.NG_Biogas</t>
  </si>
  <si>
    <t>EMI_per_building.kgCO2.CZ.Ser.BldNew.Thermal.CA.Biomass.Biomass_Waste</t>
  </si>
  <si>
    <t>EMI_per_building.kgCO2.CZ.Ser.BldNew.Thermal.CA.Elc.Elec</t>
  </si>
  <si>
    <t>CZ - Final energy consumption in new and renovated buildings per surface area</t>
  </si>
  <si>
    <t>FEC_per_sqm.kWh.CZ.Ser.BldNew.Thermal</t>
  </si>
  <si>
    <t>FEC_per_sqm.kWh.CZ.Ser.BldNew.Thermal.SH</t>
  </si>
  <si>
    <t>FEC_per_sqm.kWh.CZ.Ser.BldNew.Thermal.SH.Solids.Solids</t>
  </si>
  <si>
    <t>FEC_per_sqm.kWh.CZ.Ser.BldNew.Thermal.SH.LPG.LPG</t>
  </si>
  <si>
    <t>FEC_per_sqm.kWh.CZ.Ser.BldNew.Thermal.SH.Oil.Oil_LiqBio</t>
  </si>
  <si>
    <t>FEC_per_sqm.kWh.CZ.Ser.BldNew.Thermal.SH.GasHP.NG_Biogas</t>
  </si>
  <si>
    <t>FEC_per_sqm.kWh.CZ.Ser.BldNew.Thermal.SH.GasTH.NG_Biogas</t>
  </si>
  <si>
    <t>FEC_per_sqm.kWh.CZ.Ser.BldNew.Thermal.SH.Biomass.Biomass_Waste</t>
  </si>
  <si>
    <t>FEC_per_sqm.kWh.CZ.Ser.BldNew.Thermal.SH.Geo.Geo</t>
  </si>
  <si>
    <t>FEC_per_sqm.kWh.CZ.Ser.BldNew.Thermal.SH.DistrHeat.Steam_Distr</t>
  </si>
  <si>
    <t>FEC_per_sqm.kWh.CZ.Ser.BldNew.Thermal.SH.AdvElc.Elec</t>
  </si>
  <si>
    <t>FEC_per_sqm.kWh.CZ.Ser.BldNew.Thermal.SH.ConvElc.Elec</t>
  </si>
  <si>
    <t>FEC_per_sqm.kWh.CZ.Ser.BldNew.Thermal.SH.TotalCirculation.Elec</t>
  </si>
  <si>
    <t>FEC_per_sqm.kWh.CZ.Ser.BldNew.Thermal.SC</t>
  </si>
  <si>
    <t>FEC_per_sqm.kWh.CZ.Ser.BldNew.Thermal.SC.GasHP.NG_Biogas</t>
  </si>
  <si>
    <t>FEC_per_sqm.kWh.CZ.Ser.BldNew.Thermal.SC.AC.Elec</t>
  </si>
  <si>
    <t>FEC_per_sqm.kWh.CZ.Ser.BldNew.Thermal.HW</t>
  </si>
  <si>
    <t>FEC_per_sqm.kWh.CZ.Ser.BldNew.Thermal.HW.Solids.Solids</t>
  </si>
  <si>
    <t>FEC_per_sqm.kWh.CZ.Ser.BldNew.Thermal.HW.LPG.LPG</t>
  </si>
  <si>
    <t>FEC_per_sqm.kWh.CZ.Ser.BldNew.Thermal.HW.Oil.Oil_LiqBio</t>
  </si>
  <si>
    <t>FEC_per_sqm.kWh.CZ.Ser.BldNew.Thermal.HW.Gas.NG_Biogas</t>
  </si>
  <si>
    <t>FEC_per_sqm.kWh.CZ.Ser.BldNew.Thermal.HW.Biomass.Biomass_Waste</t>
  </si>
  <si>
    <t>FEC_per_sqm.kWh.CZ.Ser.BldNew.Thermal.HW.DistrHeat.Steam_Distr</t>
  </si>
  <si>
    <t>FEC_per_sqm.kWh.CZ.Ser.BldNew.Thermal.HW.Elc.Elec</t>
  </si>
  <si>
    <t>FEC_per_sqm.kWh.CZ.Ser.BldNew.Thermal.HW.TotalSolar.Solar</t>
  </si>
  <si>
    <t>FEC_per_sqm.kWh.CZ.Ser.BldNew.Thermal.CA</t>
  </si>
  <si>
    <t>FEC_per_sqm.kWh.CZ.Ser.BldNew.Thermal.CA.LPG</t>
  </si>
  <si>
    <t>FEC_per_sqm.kWh.CZ.Ser.BldNew.Thermal.CA.Gas.NG_Biogas</t>
  </si>
  <si>
    <t>FEC_per_sqm.kWh.CZ.Ser.BldNew.Thermal.CA.Biomass.Biomass_Waste</t>
  </si>
  <si>
    <t>FEC_per_sqm.kWh.CZ.Ser.BldNew.Thermal.CA.Elc.Elec</t>
  </si>
  <si>
    <t>CZ - Thermal energy service in new and renovated buildings per surface area</t>
  </si>
  <si>
    <t>TES_per_sqm.kWh.CZ.Ser.BldNew.Thermal</t>
  </si>
  <si>
    <t>TES_per_sqm.kWh.CZ.Ser.BldNew.Thermal.SH</t>
  </si>
  <si>
    <t>TES_per_sqm.kWh.CZ.Ser.BldNew.Thermal.SH.Solids.Solids</t>
  </si>
  <si>
    <t>TES_per_sqm.kWh.CZ.Ser.BldNew.Thermal.SH.LPG.LPG</t>
  </si>
  <si>
    <t>TES_per_sqm.kWh.CZ.Ser.BldNew.Thermal.SH.Oil.Oil_LiqBio</t>
  </si>
  <si>
    <t>TES_per_sqm.kWh.CZ.Ser.BldNew.Thermal.SH.GasHP.NG_Biogas</t>
  </si>
  <si>
    <t>TES_per_sqm.kWh.CZ.Ser.BldNew.Thermal.SH.GasTH.NG_Biogas</t>
  </si>
  <si>
    <t>TES_per_sqm.kWh.CZ.Ser.BldNew.Thermal.SH.Biomass.Biomass_Waste</t>
  </si>
  <si>
    <t>TES_per_sqm.kWh.CZ.Ser.BldNew.Thermal.SH.Geo.Geo</t>
  </si>
  <si>
    <t>TES_per_sqm.kWh.CZ.Ser.BldNew.Thermal.SH.DistrHeat.Steam_Distr</t>
  </si>
  <si>
    <t>TES_per_sqm.kWh.CZ.Ser.BldNew.Thermal.SH.AdvElc.Elec</t>
  </si>
  <si>
    <t>TES_per_sqm.kWh.CZ.Ser.BldNew.Thermal.SH.ConvElc.Elec</t>
  </si>
  <si>
    <t>TES_per_sqm.kWh.CZ.Ser.BldNew.Thermal.SH.TotalCirculation.Elec</t>
  </si>
  <si>
    <t>TES_per_sqm.kWh.CZ.Ser.BldNew.Thermal.SC</t>
  </si>
  <si>
    <t>TES_per_sqm.kWh.CZ.Ser.BldNew.Thermal.SC.GasHP.NG_Biogas</t>
  </si>
  <si>
    <t>TES_per_sqm.kWh.CZ.Ser.BldNew.Thermal.SC.AC.Elec</t>
  </si>
  <si>
    <t>TES_per_sqm.kWh.CZ.Ser.BldNew.Thermal.HW</t>
  </si>
  <si>
    <t>TES_per_sqm.kWh.CZ.Ser.BldNew.Thermal.HW.Solids.Solids</t>
  </si>
  <si>
    <t>TES_per_sqm.kWh.CZ.Ser.BldNew.Thermal.HW.LPG.LPG</t>
  </si>
  <si>
    <t>TES_per_sqm.kWh.CZ.Ser.BldNew.Thermal.HW.Oil.Oil_LiqBio</t>
  </si>
  <si>
    <t>TES_per_sqm.kWh.CZ.Ser.BldNew.Thermal.HW.Gas.NG_Biogas</t>
  </si>
  <si>
    <t>TES_per_sqm.kWh.CZ.Ser.BldNew.Thermal.HW.Biomass.Biomass_Waste</t>
  </si>
  <si>
    <t>TES_per_sqm.kWh.CZ.Ser.BldNew.Thermal.HW.DistrHeat.Steam_Distr</t>
  </si>
  <si>
    <t>TES_per_sqm.kWh.CZ.Ser.BldNew.Thermal.HW.Elc.Elec</t>
  </si>
  <si>
    <t>TES_per_sqm.kWh.CZ.Ser.BldNew.Thermal.HW.TotalSolar.Solar</t>
  </si>
  <si>
    <t>TES_per_sqm.kWh.CZ.Ser.BldNew.Thermal.CA</t>
  </si>
  <si>
    <t>TES_per_sqm.kWh.CZ.Ser.BldNew.Thermal.CA.LPG</t>
  </si>
  <si>
    <t>TES_per_sqm.kWh.CZ.Ser.BldNew.Thermal.CA.Gas.NG_Biogas</t>
  </si>
  <si>
    <t>TES_per_sqm.kWh.CZ.Ser.BldNew.Thermal.CA.Biomass.Biomass_Waste</t>
  </si>
  <si>
    <t>TES_per_sqm.kWh.CZ.Ser.BldNew.Thermal.CA.Elc.Elec</t>
  </si>
  <si>
    <t>CZ - CO2 emissions in new and renovated buildings per surface area</t>
  </si>
  <si>
    <t>EMI_per_sqm.kgCO2.CZ.Ser.BldNew.Thermal</t>
  </si>
  <si>
    <t>EMI_per_sqm.kgCO2.CZ.Ser.BldNew.Thermal.SH</t>
  </si>
  <si>
    <t>EMI_per_sqm.kgCO2.CZ.Ser.BldNew.Thermal.SH.Solids.Solids</t>
  </si>
  <si>
    <t>EMI_per_sqm.kgCO2.CZ.Ser.BldNew.Thermal.SH.LPG.LPG</t>
  </si>
  <si>
    <t>EMI_per_sqm.kgCO2.CZ.Ser.BldNew.Thermal.SH.Oil.Oil_LiqBio</t>
  </si>
  <si>
    <t>EMI_per_sqm.kgCO2.CZ.Ser.BldNew.Thermal.SH.GasHP.NG_Biogas</t>
  </si>
  <si>
    <t>EMI_per_sqm.kgCO2.CZ.Ser.BldNew.Thermal.SH.GasTH.NG_Biogas</t>
  </si>
  <si>
    <t>EMI_per_sqm.kgCO2.CZ.Ser.BldNew.Thermal.SH.Biomass.Biomass_Waste</t>
  </si>
  <si>
    <t>EMI_per_sqm.kgCO2.CZ.Ser.BldNew.Thermal.SH.Geo.Geo</t>
  </si>
  <si>
    <t>EMI_per_sqm.kgCO2.CZ.Ser.BldNew.Thermal.SH.DistrHeat.Steam_Distr</t>
  </si>
  <si>
    <t>EMI_per_sqm.kgCO2.CZ.Ser.BldNew.Thermal.SH.AdvElc.Elec</t>
  </si>
  <si>
    <t>EMI_per_sqm.kgCO2.CZ.Ser.BldNew.Thermal.SH.ConvElc.Elec</t>
  </si>
  <si>
    <t>EMI_per_sqm.kgCO2.CZ.Ser.BldNew.Thermal.SH.TotalCirculation.Elec</t>
  </si>
  <si>
    <t>EMI_per_sqm.kgCO2.CZ.Ser.BldNew.Thermal.SC</t>
  </si>
  <si>
    <t>EMI_per_sqm.kgCO2.CZ.Ser.BldNew.Thermal.SC.GasHP.NG_Biogas</t>
  </si>
  <si>
    <t>EMI_per_sqm.kgCO2.CZ.Ser.BldNew.Thermal.SC.AC.Elec</t>
  </si>
  <si>
    <t>EMI_per_sqm.kgCO2.CZ.Ser.BldNew.Thermal.HW</t>
  </si>
  <si>
    <t>EMI_per_sqm.kgCO2.CZ.Ser.BldNew.Thermal.HW.Solids.Solids</t>
  </si>
  <si>
    <t>EMI_per_sqm.kgCO2.CZ.Ser.BldNew.Thermal.HW.LPG.LPG</t>
  </si>
  <si>
    <t>EMI_per_sqm.kgCO2.CZ.Ser.BldNew.Thermal.HW.Oil.Oil_LiqBio</t>
  </si>
  <si>
    <t>EMI_per_sqm.kgCO2.CZ.Ser.BldNew.Thermal.HW.Gas.NG_Biogas</t>
  </si>
  <si>
    <t>EMI_per_sqm.kgCO2.CZ.Ser.BldNew.Thermal.HW.Biomass.Biomass_Waste</t>
  </si>
  <si>
    <t>EMI_per_sqm.kgCO2.CZ.Ser.BldNew.Thermal.HW.DistrHeat.Steam_Distr</t>
  </si>
  <si>
    <t>EMI_per_sqm.kgCO2.CZ.Ser.BldNew.Thermal.HW.Elc.Elec</t>
  </si>
  <si>
    <t>EMI_per_sqm.kgCO2.CZ.Ser.BldNew.Thermal.HW.TotalSolar.Solar</t>
  </si>
  <si>
    <t>EMI_per_sqm.kgCO2.CZ.Ser.BldNew.Thermal.CA</t>
  </si>
  <si>
    <t>EMI_per_sqm.kgCO2.CZ.Ser.BldNew.Thermal.CA.LPG</t>
  </si>
  <si>
    <t>EMI_per_sqm.kgCO2.CZ.Ser.BldNew.Thermal.CA.Gas.NG_Biogas</t>
  </si>
  <si>
    <t>EMI_per_sqm.kgCO2.CZ.Ser.BldNew.Thermal.CA.Biomass.Biomass_Waste</t>
  </si>
  <si>
    <t>EMI_per_sqm.kgCO2.CZ.Ser.BldNew.Thermal.CA.Elc.Elec</t>
  </si>
  <si>
    <t>FEC.ktoe.CZ.Ser.SEU.VE</t>
  </si>
  <si>
    <t>FEC.ktoe.CZ.Ser.SEU.SL</t>
  </si>
  <si>
    <t>FEC.ktoe.CZ.Ser.SEU.BL</t>
  </si>
  <si>
    <t>FEC.ktoe.CZ.Ser.SEU.CR</t>
  </si>
  <si>
    <t>FEC.ktoe.CZ.Ser.SEU.BT</t>
  </si>
  <si>
    <t>FEC.ktoe.CZ.Ser.SEU.IT</t>
  </si>
  <si>
    <t>Size.MW.CZ.Ser.SEU</t>
  </si>
  <si>
    <t>Size.MW.CZ.Ser.SEU.VE</t>
  </si>
  <si>
    <t>Size.MW.CZ.Ser.SEU.SL</t>
  </si>
  <si>
    <t>Size.MW.CZ.Ser.SEU.BL</t>
  </si>
  <si>
    <t>Size.MW.CZ.Ser.SEU.CR</t>
  </si>
  <si>
    <t>Size.MW.CZ.Ser.SEU.BT</t>
  </si>
  <si>
    <t>Size.MW.CZ.Ser.SEU.IT</t>
  </si>
  <si>
    <t>NUM.Msqm.CZ.Ser.SEU.VE</t>
  </si>
  <si>
    <t>NUM.k.CZ.Ser.SEU.SL</t>
  </si>
  <si>
    <t>NUM.M.CZ.Ser.SEU.BL</t>
  </si>
  <si>
    <t>NUM.k.CZ.Ser.SEU.CR</t>
  </si>
  <si>
    <t>NUM.Msqm.CZ.Ser.SEU.BT</t>
  </si>
  <si>
    <t>NUM.k.CZ.Ser.SEU.IT</t>
  </si>
  <si>
    <t>NUM.Msqm.CZ.Ser.SEUnew.VE</t>
  </si>
  <si>
    <t>NUM.k.CZ.Ser.SEUnew.SL</t>
  </si>
  <si>
    <t>NUM.M.CZ.Ser.SEUnew.BL</t>
  </si>
  <si>
    <t>NUM.k.CZ.Ser.SEUnew.CR</t>
  </si>
  <si>
    <t>NUM.Msqm.CZ.Ser.SEUnew.BT</t>
  </si>
  <si>
    <t>NUM.k.CZ.Ser.SEUnew.IT</t>
  </si>
  <si>
    <t>NUM.Msqm.CZ.Ser.SEUrepl.VE</t>
  </si>
  <si>
    <t>NUM.k.CZ.Ser.SEUrepl.SL</t>
  </si>
  <si>
    <t>NUM.M.CZ.Ser.SEUrepl.BL</t>
  </si>
  <si>
    <t>NUM.k.CZ.Ser.SEUrepl.CR</t>
  </si>
  <si>
    <t>NUM.Msqm.CZ.Ser.SEUrepl.BT</t>
  </si>
  <si>
    <t>NUM.k.CZ.Ser.SEUrepl.IT</t>
  </si>
  <si>
    <t>Op.hours.CZ.Ser.SEU.VE</t>
  </si>
  <si>
    <t>Op.hours.CZ.Ser.SEU.SL</t>
  </si>
  <si>
    <t>Op.hours.CZ.Ser.SEU.BL</t>
  </si>
  <si>
    <t>Op.hours.CZ.Ser.SEU.CR</t>
  </si>
  <si>
    <t>Op.hours.CZ.Ser.SEU.BT</t>
  </si>
  <si>
    <t>Op.hours.CZ.Ser.SEU.IT</t>
  </si>
  <si>
    <t>Size_per_appl.W.CZ.Ser.SEU.VE</t>
  </si>
  <si>
    <t>Size_per_appl.W.CZ.Ser.SEU.SL</t>
  </si>
  <si>
    <t>Size_per_appl.W.CZ.Ser.SEU.BL</t>
  </si>
  <si>
    <t>Size_per_appl.W.CZ.Ser.SEU.CR</t>
  </si>
  <si>
    <t>Size_per_appl.W.CZ.Ser.SEU.BT</t>
  </si>
  <si>
    <t>Size_per_appl.W.CZ.Ser.SEU.IT</t>
  </si>
  <si>
    <t>Size_per_appl.W.CZ.Ser.SEUnew.VE</t>
  </si>
  <si>
    <t>Size_per_appl.W.CZ.Ser.SEUnew.SL</t>
  </si>
  <si>
    <t>Size_per_appl.W.CZ.Ser.SEUnew.BL</t>
  </si>
  <si>
    <t>Size_per_appl.W.CZ.Ser.SEUnew.CR</t>
  </si>
  <si>
    <t>Size_per_appl.W.CZ.Ser.SEUnew.BT</t>
  </si>
  <si>
    <t>Size_per_appl.W.CZ.Ser.SEUnew.IT</t>
  </si>
  <si>
    <t>NUM.sqm_per_building.CZ.Ser.SEU.VE</t>
  </si>
  <si>
    <t>NUM.number_per_capita.CZ.Ser.SEU.SL</t>
  </si>
  <si>
    <t>NUM.number_per_building.CZ.Ser.SEU.BL</t>
  </si>
  <si>
    <t>NUM.number_per_capita.CZ.Ser.SEU.CR</t>
  </si>
  <si>
    <t>NUM.sqm_per_building.CZ.Ser.SEU.BT</t>
  </si>
  <si>
    <t>NUM.number_per_capita.CZ.Ser.SEU.IT</t>
  </si>
  <si>
    <t>Lumens_per_sqm.lumen.CZ.Ser.SEU.BL</t>
  </si>
  <si>
    <t>FEC.ktoe.CZ.Ser.SEU.IT.DataCenters</t>
  </si>
  <si>
    <t>CZ - Services / specific electric uses</t>
  </si>
  <si>
    <t>CZ - Ventilation and others</t>
  </si>
  <si>
    <t>CZ - Street lighting</t>
  </si>
  <si>
    <t>CZ - Building lighting</t>
  </si>
  <si>
    <t>CZ - Commercial refrigeration</t>
  </si>
  <si>
    <t>CZ - Miscellaneous building technologies</t>
  </si>
  <si>
    <t>CZ - ICT and multimedia</t>
  </si>
  <si>
    <t>CZ - Agriculture, forestry and fishing</t>
  </si>
  <si>
    <t>VA.Meuro2015.Meuro2023.CZ.AGR.AGR</t>
  </si>
  <si>
    <t>OUTPUT.index.index.CZ.AGR.AGR</t>
  </si>
  <si>
    <t>CAP.index.index.CZ.AGR.AGR</t>
  </si>
  <si>
    <t>NEWCAP.index.index.CZ.AGR.AGR</t>
  </si>
  <si>
    <t>CAPOUT.index.CZ.AGR.AGR</t>
  </si>
  <si>
    <t>CAPIDLE.index.CZ.AGR.AGR</t>
  </si>
  <si>
    <t>FEC.ktoe.CZ.ES.AGR</t>
  </si>
  <si>
    <t>FEC.ktoe.CZ.ES.AGR.Solids</t>
  </si>
  <si>
    <t>FEC.ktoe.CZ.ES.AGR.LPG</t>
  </si>
  <si>
    <t>FEC.ktoe.CZ.ES.AGR.Diesel</t>
  </si>
  <si>
    <t>FEC.ktoe.CZ.ES.AGR.RFO</t>
  </si>
  <si>
    <t>FEC.ktoe.CZ.ES.AGR.NG</t>
  </si>
  <si>
    <t>FEC.ktoe.CZ.ES.AGR.Biomass_Waste</t>
  </si>
  <si>
    <t>FEC.ktoe.CZ.ES.AGR.Biogas</t>
  </si>
  <si>
    <t>FEC.ktoe.CZ.ES.AGR.LiqBio</t>
  </si>
  <si>
    <t>FEC.ktoe.CZ.ES.AGR.Solar</t>
  </si>
  <si>
    <t>FEC.ktoe.CZ.ES.AGR.Geo</t>
  </si>
  <si>
    <t>FEC.ktoe.CZ.ES.AGR.Ambient</t>
  </si>
  <si>
    <t>FEC.ktoe.CZ.ES.AGR.Steam_Distr</t>
  </si>
  <si>
    <t>FEC.ktoe.CZ.ES.AGR.Elec</t>
  </si>
  <si>
    <t>CZ - Agriculture, forestry and fishing / final energy consumption</t>
  </si>
  <si>
    <t>FEC.ktoe.ktoe.CZ.AGR.AGR.LIGHT.GENERIC.ELEC</t>
  </si>
  <si>
    <t>FEC.ktoe.ktoe.CZ.AGR.AGR.FANS.GENERIC.ELEC</t>
  </si>
  <si>
    <t>FEC.ktoe.ktoe.CZ.AGR.AGR.MOTOR.GENERIC.ELEC</t>
  </si>
  <si>
    <t>FEC.ktoe.ktoe.CZ.AGR.AGR.LOW_ENTH.THERM.DIESEL_LIQBIO</t>
  </si>
  <si>
    <t>FEC.ktoe.ktoe.CZ.AGR.AGR.LOW_ENTH.THERM.NG_BIOGAS</t>
  </si>
  <si>
    <t>FEC.ktoe.ktoe.CZ.AGR.AGR.LOW_ENTH.THERM.SOLAR_GEO</t>
  </si>
  <si>
    <t>FEC.ktoe.ktoe.CZ.AGR.AGR.LOW_ENTH.HP.AMBIENT</t>
  </si>
  <si>
    <t>FEC.ktoe.ktoe.CZ.AGR.AGR.LOW_ENTH.THERM.STEAM_DISTR</t>
  </si>
  <si>
    <t>FEC.ktoe.ktoe.CZ.AGR.AGR.LOW_ENTH.THERM.ELEC</t>
  </si>
  <si>
    <t>FEC.ktoe.ktoe.CZ.AGR.AGR.FARM_DRIVES.MECH.DIESEL_LIQBIO</t>
  </si>
  <si>
    <t>FEC.ktoe.ktoe.CZ.AGR.AGR.HEAT_USE.THERM.SOLIDS</t>
  </si>
  <si>
    <t>FEC.ktoe.ktoe.CZ.AGR.AGR.HEAT_USE.THERM.LPG</t>
  </si>
  <si>
    <t>FEC.ktoe.ktoe.CZ.AGR.AGR.HEAT_USE.THERM.DIESEL_LIQBIO</t>
  </si>
  <si>
    <t>FEC.ktoe.ktoe.CZ.AGR.AGR.HEAT_USE.THERM.RFO</t>
  </si>
  <si>
    <t>FEC.ktoe.ktoe.CZ.AGR.AGR.HEAT_USE.THERM.NG_BIOGAS</t>
  </si>
  <si>
    <t>FEC.ktoe.ktoe.CZ.AGR.AGR.HEAT_USE.THERM.BIOMASS_WASTE</t>
  </si>
  <si>
    <t>FEC.ktoe.ktoe.CZ.AGR.AGR.HEAT_USE.THERM.SOLAR_GEO</t>
  </si>
  <si>
    <t>FEC.ktoe.ktoe.CZ.AGR.AGR.FARM_PUMP.MECH.DIESEL_LIQBIO</t>
  </si>
  <si>
    <t>FEC.ktoe.ktoe.CZ.AGR.AGR.FARM_PUMP_ELEC.MECH.ELEC</t>
  </si>
  <si>
    <t>FEC.ktoe.ktoe.CZ.AGR.AGR.GENERIC.MECH.ELEC</t>
  </si>
  <si>
    <t>CZ - Agriculture, forestry and fishing / useful energy demand</t>
  </si>
  <si>
    <t>UED.ktoe.ktoe.CZ.AGR.AGR.LIGHT.GENERIC.ELEC</t>
  </si>
  <si>
    <t>UED.ktoe.ktoe.CZ.AGR.AGR.FANS.GENERIC.ELEC</t>
  </si>
  <si>
    <t>UED.ktoe.ktoe.CZ.AGR.AGR.MOTOR.GENERIC.ELEC</t>
  </si>
  <si>
    <t>UED.ktoe.ktoe.CZ.AGR.AGR.LOW_ENTH.THERM.DIESEL_LIQBIO</t>
  </si>
  <si>
    <t>UED.ktoe.ktoe.CZ.AGR.AGR.LOW_ENTH.THERM.NG_BIOGAS</t>
  </si>
  <si>
    <t>UED.ktoe.ktoe.CZ.AGR.AGR.LOW_ENTH.THERM.SOLAR_GEO</t>
  </si>
  <si>
    <t>UED.ktoe.ktoe.CZ.AGR.AGR.LOW_ENTH.HP.AMBIENT</t>
  </si>
  <si>
    <t>UED.ktoe.ktoe.CZ.AGR.AGR.LOW_ENTH.THERM.STEAM_DISTR</t>
  </si>
  <si>
    <t>UED.ktoe.ktoe.CZ.AGR.AGR.LOW_ENTH.THERM.ELEC</t>
  </si>
  <si>
    <t>UED.ktoe.ktoe.CZ.AGR.AGR.FARM_DRIVES.MECH.DIESEL_LIQBIO</t>
  </si>
  <si>
    <t>UED.ktoe.ktoe.CZ.AGR.AGR.HEAT_USE.THERM.SOLIDS</t>
  </si>
  <si>
    <t>UED.ktoe.ktoe.CZ.AGR.AGR.HEAT_USE.THERM.LPG</t>
  </si>
  <si>
    <t>UED.ktoe.ktoe.CZ.AGR.AGR.HEAT_USE.THERM.DIESEL_LIQBIO</t>
  </si>
  <si>
    <t>UED.ktoe.ktoe.CZ.AGR.AGR.HEAT_USE.THERM.RFO</t>
  </si>
  <si>
    <t>UED.ktoe.ktoe.CZ.AGR.AGR.HEAT_USE.THERM.NG_BIOGAS</t>
  </si>
  <si>
    <t>UED.ktoe.ktoe.CZ.AGR.AGR.HEAT_USE.THERM.BIOMASS_WASTE</t>
  </si>
  <si>
    <t>UED.ktoe.ktoe.CZ.AGR.AGR.HEAT_USE.THERM.SOLAR_GEO</t>
  </si>
  <si>
    <t>UED.ktoe.ktoe.CZ.AGR.AGR.FARM_PUMP.MECH.DIESEL_LIQBIO</t>
  </si>
  <si>
    <t>UED.ktoe.ktoe.CZ.AGR.AGR.FARM_PUMP_ELEC.MECH.ELEC</t>
  </si>
  <si>
    <t>UED.ktoe.ktoe.CZ.AGR.AGR.GENERIC.MECH.ELEC</t>
  </si>
  <si>
    <t>CZ - Agriculture, forestry and fishing / CO2 emissions</t>
  </si>
  <si>
    <t>FUEL_EMI.ktCO2.ktCO2.CZ.AGR.AGR.LIGHT.GENERIC.ELEC</t>
  </si>
  <si>
    <t>FUEL_EMI.ktCO2.ktCO2.CZ.AGR.AGR.FANS.GENERIC.ELEC</t>
  </si>
  <si>
    <t>FUEL_EMI.ktCO2.ktCO2.CZ.AGR.AGR.MOTOR.GENERIC.ELEC</t>
  </si>
  <si>
    <t>FUEL_EMI.ktCO2.ktCO2.CZ.AGR.AGR.LOW_ENTH.THERM.DIESEL_LIQBIO</t>
  </si>
  <si>
    <t>FUEL_EMI.ktCO2.ktCO2.CZ.AGR.AGR.LOW_ENTH.THERM.NG_BIOGAS</t>
  </si>
  <si>
    <t>FUEL_EMI.ktCO2.ktCO2.CZ.AGR.AGR.LOW_ENTH.THERM.SOLAR_GEO</t>
  </si>
  <si>
    <t>FUEL_EMI.ktCO2.ktCO2.CZ.AGR.AGR.LOW_ENTH.HP.AMBIENT</t>
  </si>
  <si>
    <t>FUEL_EMI.ktCO2.ktCO2.CZ.AGR.AGR.LOW_ENTH.THERM.STEAM_DISTR</t>
  </si>
  <si>
    <t>FUEL_EMI.ktCO2.ktCO2.CZ.AGR.AGR.LOW_ENTH.THERM.ELEC</t>
  </si>
  <si>
    <t>FUEL_EMI.ktCO2.ktCO2.CZ.AGR.AGR.FARM_DRIVES.MECH.DIESEL_LIQBIO</t>
  </si>
  <si>
    <t>FUEL_EMI.ktCO2.ktCO2.CZ.AGR.AGR.HEAT_USE.THERM.SOLIDS</t>
  </si>
  <si>
    <t>FUEL_EMI.ktCO2.ktCO2.CZ.AGR.AGR.HEAT_USE.THERM.LPG</t>
  </si>
  <si>
    <t>FUEL_EMI.ktCO2.ktCO2.CZ.AGR.AGR.HEAT_USE.THERM.DIESEL_LIQBIO</t>
  </si>
  <si>
    <t>FUEL_EMI.ktCO2.ktCO2.CZ.AGR.AGR.HEAT_USE.THERM.RFO</t>
  </si>
  <si>
    <t>FUEL_EMI.ktCO2.ktCO2.CZ.AGR.AGR.HEAT_USE.THERM.NG_BIOGAS</t>
  </si>
  <si>
    <t>FUEL_EMI.ktCO2.ktCO2.CZ.AGR.AGR.HEAT_USE.THERM.BIOMASS_WASTE</t>
  </si>
  <si>
    <t>FUEL_EMI.ktCO2.ktCO2.CZ.AGR.AGR.HEAT_USE.THERM.SOLAR_GEO</t>
  </si>
  <si>
    <t>FUEL_EMI.ktCO2.ktCO2.CZ.AGR.AGR.FARM_PUMP.MECH.DIESEL_LIQBIO</t>
  </si>
  <si>
    <t>FUEL_EMI.ktCO2.ktCO2.CZ.AGR.AGR.FARM_PUMP_ELEC.MECH.ELEC</t>
  </si>
  <si>
    <t>FUEL_EMI.ktCO2.ktCO2.CZ.AGR.AGR.GENERIC.MECH.ELEC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</si>
</sst>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45967.472881944443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10278098</v>
      </c>
      <c r="C3" s="34">
        <v>10232027</v>
      </c>
      <c r="D3" s="34">
        <v>10201182</v>
      </c>
      <c r="E3" s="34">
        <v>10192649</v>
      </c>
      <c r="F3" s="34">
        <v>10195347</v>
      </c>
      <c r="G3" s="34">
        <v>10198855</v>
      </c>
      <c r="H3" s="34">
        <v>10223577</v>
      </c>
      <c r="I3" s="34">
        <v>10254233</v>
      </c>
      <c r="J3" s="34">
        <v>10343422</v>
      </c>
      <c r="K3" s="34">
        <v>10425783</v>
      </c>
      <c r="L3" s="34">
        <v>10462088</v>
      </c>
      <c r="M3" s="34">
        <v>10486731</v>
      </c>
      <c r="N3" s="34">
        <v>10505445</v>
      </c>
      <c r="O3" s="34">
        <v>10516125</v>
      </c>
      <c r="P3" s="34">
        <v>10512419</v>
      </c>
      <c r="Q3" s="34">
        <v>10538275</v>
      </c>
      <c r="R3" s="34">
        <v>10553843</v>
      </c>
      <c r="S3" s="34">
        <v>10578820</v>
      </c>
      <c r="T3" s="34">
        <v>10610055</v>
      </c>
      <c r="U3" s="34">
        <v>10649800</v>
      </c>
      <c r="V3" s="34">
        <v>10693939</v>
      </c>
      <c r="W3" s="34">
        <v>10494836</v>
      </c>
      <c r="X3" s="34">
        <v>10516707</v>
      </c>
      <c r="Y3" s="34">
        <v>10827529</v>
      </c>
      <c r="DA3" s="88" t="s">
        <v>188</v>
      </c>
    </row>
    <row r="4" spans="1:105" ht="12" customHeight="1" x14ac:dyDescent="0.25">
      <c r="A4" s="35" t="s">
        <v>178</v>
      </c>
      <c r="B4" s="36">
        <v>186377.52929515418</v>
      </c>
      <c r="C4" s="36">
        <v>191817.43974638649</v>
      </c>
      <c r="D4" s="36">
        <v>194717.96321071155</v>
      </c>
      <c r="E4" s="36">
        <v>201146.58453225263</v>
      </c>
      <c r="F4" s="36">
        <v>210672.81829828149</v>
      </c>
      <c r="G4" s="36">
        <v>224104.20556559085</v>
      </c>
      <c r="H4" s="36">
        <v>238945.79072544057</v>
      </c>
      <c r="I4" s="36">
        <v>252063.42116855097</v>
      </c>
      <c r="J4" s="36">
        <v>258646.71512089352</v>
      </c>
      <c r="K4" s="36">
        <v>246237.1939664644</v>
      </c>
      <c r="L4" s="36">
        <v>252920.32980884053</v>
      </c>
      <c r="M4" s="36">
        <v>257403.93789799727</v>
      </c>
      <c r="N4" s="36">
        <v>255419.70738450481</v>
      </c>
      <c r="O4" s="36">
        <v>255312.9724912364</v>
      </c>
      <c r="P4" s="36">
        <v>261043.76999560592</v>
      </c>
      <c r="Q4" s="36">
        <v>273989.62345599994</v>
      </c>
      <c r="R4" s="36">
        <v>281060.92162755952</v>
      </c>
      <c r="S4" s="36">
        <v>295601.11100471311</v>
      </c>
      <c r="T4" s="36">
        <v>303968.2745895175</v>
      </c>
      <c r="U4" s="36">
        <v>314807.47578596749</v>
      </c>
      <c r="V4" s="36">
        <v>298106.35430765862</v>
      </c>
      <c r="W4" s="36">
        <v>310117.67129508307</v>
      </c>
      <c r="X4" s="36">
        <v>318946.48439547059</v>
      </c>
      <c r="Y4" s="36">
        <v>319099.09999999998</v>
      </c>
      <c r="DA4" s="89" t="s">
        <v>189</v>
      </c>
    </row>
    <row r="5" spans="1:105" ht="12" customHeight="1" x14ac:dyDescent="0.25">
      <c r="A5" s="35" t="s">
        <v>179</v>
      </c>
      <c r="B5" s="36">
        <v>103920.40657852049</v>
      </c>
      <c r="C5" s="36">
        <v>106290.42180378437</v>
      </c>
      <c r="D5" s="36">
        <v>110884.06711230587</v>
      </c>
      <c r="E5" s="36">
        <v>115909.58560495924</v>
      </c>
      <c r="F5" s="36">
        <v>118704.28035140575</v>
      </c>
      <c r="G5" s="36">
        <v>126244.66847552311</v>
      </c>
      <c r="H5" s="36">
        <v>134199.27547412977</v>
      </c>
      <c r="I5" s="36">
        <v>141524.45473228529</v>
      </c>
      <c r="J5" s="36">
        <v>148393.01243990741</v>
      </c>
      <c r="K5" s="36">
        <v>142088.28977620698</v>
      </c>
      <c r="L5" s="36">
        <v>147967.37244467865</v>
      </c>
      <c r="M5" s="36">
        <v>148133.37802758536</v>
      </c>
      <c r="N5" s="36">
        <v>147507.95934479544</v>
      </c>
      <c r="O5" s="36">
        <v>147423.59947033806</v>
      </c>
      <c r="P5" s="36">
        <v>149208.39793689441</v>
      </c>
      <c r="Q5" s="36">
        <v>155323.29052799995</v>
      </c>
      <c r="R5" s="36">
        <v>160915.9890597222</v>
      </c>
      <c r="S5" s="36">
        <v>171569.63047365809</v>
      </c>
      <c r="T5" s="36">
        <v>180460.3242911823</v>
      </c>
      <c r="U5" s="36">
        <v>188801.20763901639</v>
      </c>
      <c r="V5" s="36">
        <v>183349.04443611062</v>
      </c>
      <c r="W5" s="36">
        <v>194755.09859396811</v>
      </c>
      <c r="X5" s="36">
        <v>196826.37759834499</v>
      </c>
      <c r="Y5" s="36">
        <v>196061.71930770529</v>
      </c>
      <c r="DA5" s="89" t="s">
        <v>190</v>
      </c>
    </row>
    <row r="6" spans="1:105" ht="12" customHeight="1" x14ac:dyDescent="0.25">
      <c r="A6" s="37" t="s">
        <v>70</v>
      </c>
      <c r="B6" s="38">
        <v>2834839.9999999995</v>
      </c>
      <c r="C6" s="38">
        <v>2833720</v>
      </c>
      <c r="D6" s="38">
        <v>2888050</v>
      </c>
      <c r="E6" s="38">
        <v>2902269.9999999995</v>
      </c>
      <c r="F6" s="38">
        <v>2879589.9999999995</v>
      </c>
      <c r="G6" s="38">
        <v>2927059.9999999995</v>
      </c>
      <c r="H6" s="38">
        <v>2991919.9999999995</v>
      </c>
      <c r="I6" s="38">
        <v>3073040</v>
      </c>
      <c r="J6" s="38">
        <v>3162360</v>
      </c>
      <c r="K6" s="38">
        <v>3159390.0000000005</v>
      </c>
      <c r="L6" s="38">
        <v>3158010</v>
      </c>
      <c r="M6" s="38">
        <v>3111330</v>
      </c>
      <c r="N6" s="38">
        <v>3135190</v>
      </c>
      <c r="O6" s="38">
        <v>3156010</v>
      </c>
      <c r="P6" s="38">
        <v>3185750</v>
      </c>
      <c r="Q6" s="38">
        <v>3218920</v>
      </c>
      <c r="R6" s="38">
        <v>3261550</v>
      </c>
      <c r="S6" s="38">
        <v>3305359.9999999995</v>
      </c>
      <c r="T6" s="38">
        <v>3362729.9999999995</v>
      </c>
      <c r="U6" s="38">
        <v>3375850.0000000005</v>
      </c>
      <c r="V6" s="38">
        <v>3330740</v>
      </c>
      <c r="W6" s="38">
        <v>3376830.0000000005</v>
      </c>
      <c r="X6" s="38">
        <v>3415450</v>
      </c>
      <c r="Y6" s="38">
        <v>3500450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217434.94027704</v>
      </c>
      <c r="C8" s="34">
        <v>220642.61544830987</v>
      </c>
      <c r="D8" s="34">
        <v>223540.00443049206</v>
      </c>
      <c r="E8" s="34">
        <v>227801.7674481154</v>
      </c>
      <c r="F8" s="34">
        <v>232827.59532421862</v>
      </c>
      <c r="G8" s="34">
        <v>241488.22750736479</v>
      </c>
      <c r="H8" s="34">
        <v>250880.18491481128</v>
      </c>
      <c r="I8" s="34">
        <v>259301.36906683104</v>
      </c>
      <c r="J8" s="34">
        <v>264898.08835365169</v>
      </c>
      <c r="K8" s="34">
        <v>259662.00448703297</v>
      </c>
      <c r="L8" s="34">
        <v>263149.36680165021</v>
      </c>
      <c r="M8" s="34">
        <v>267137.31340090395</v>
      </c>
      <c r="N8" s="34">
        <v>268934.89992686524</v>
      </c>
      <c r="O8" s="34">
        <v>270512.1513920413</v>
      </c>
      <c r="P8" s="34">
        <v>274240.9759428188</v>
      </c>
      <c r="Q8" s="34">
        <v>280488.70712316397</v>
      </c>
      <c r="R8" s="34">
        <v>284355.044003346</v>
      </c>
      <c r="S8" s="34">
        <v>289739.6549351071</v>
      </c>
      <c r="T8" s="34">
        <v>294524.51644592761</v>
      </c>
      <c r="U8" s="34">
        <v>299125.22116117988</v>
      </c>
      <c r="V8" s="34">
        <v>303333.33444444445</v>
      </c>
      <c r="W8" s="34">
        <v>307218.74258190789</v>
      </c>
      <c r="X8" s="34">
        <v>310855.2396065424</v>
      </c>
      <c r="Y8" s="34">
        <v>314212.55696219578</v>
      </c>
      <c r="DA8" s="88" t="s">
        <v>192</v>
      </c>
    </row>
    <row r="9" spans="1:105" ht="12" customHeight="1" x14ac:dyDescent="0.25">
      <c r="A9" s="39" t="s">
        <v>68</v>
      </c>
      <c r="B9" s="40">
        <v>195691.446249336</v>
      </c>
      <c r="C9" s="40">
        <v>198578.35390347888</v>
      </c>
      <c r="D9" s="40">
        <v>201186.00398744285</v>
      </c>
      <c r="E9" s="40">
        <v>205021.59070330384</v>
      </c>
      <c r="F9" s="40">
        <v>209544.83579179677</v>
      </c>
      <c r="G9" s="40">
        <v>217339.40475662833</v>
      </c>
      <c r="H9" s="40">
        <v>225792.16642333014</v>
      </c>
      <c r="I9" s="40">
        <v>233371.23216014795</v>
      </c>
      <c r="J9" s="40">
        <v>238408.27951828655</v>
      </c>
      <c r="K9" s="40">
        <v>233695.80403832966</v>
      </c>
      <c r="L9" s="40">
        <v>236834.43012148517</v>
      </c>
      <c r="M9" s="40">
        <v>240423.58206081355</v>
      </c>
      <c r="N9" s="40">
        <v>242041.40993417872</v>
      </c>
      <c r="O9" s="40">
        <v>243460.93625283716</v>
      </c>
      <c r="P9" s="40">
        <v>246816.87834853691</v>
      </c>
      <c r="Q9" s="40">
        <v>252439.83641084758</v>
      </c>
      <c r="R9" s="40">
        <v>255919.53960301142</v>
      </c>
      <c r="S9" s="40">
        <v>260765.68944159639</v>
      </c>
      <c r="T9" s="40">
        <v>265072.06480133481</v>
      </c>
      <c r="U9" s="40">
        <v>269212.69904506189</v>
      </c>
      <c r="V9" s="40">
        <v>273000.00099999999</v>
      </c>
      <c r="W9" s="40">
        <v>276496.86832371715</v>
      </c>
      <c r="X9" s="40">
        <v>279769.71564588818</v>
      </c>
      <c r="Y9" s="40">
        <v>282791.30126597622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4077.0587469568768</v>
      </c>
      <c r="D10" s="41">
        <v>3779.7187050443385</v>
      </c>
      <c r="E10" s="41">
        <v>5156.0430301856159</v>
      </c>
      <c r="F10" s="41">
        <v>5937.0374657408602</v>
      </c>
      <c r="G10" s="41">
        <v>9591.7589222840161</v>
      </c>
      <c r="H10" s="41">
        <v>10357.939158209734</v>
      </c>
      <c r="I10" s="41">
        <v>9425.0084868336489</v>
      </c>
      <c r="J10" s="41">
        <v>6634.4027757849854</v>
      </c>
      <c r="K10" s="41">
        <v>1059.5923534146066</v>
      </c>
      <c r="L10" s="41">
        <v>4526.0416610564789</v>
      </c>
      <c r="M10" s="41">
        <v>5040.5679503433039</v>
      </c>
      <c r="N10" s="41">
        <v>2866.1415966510017</v>
      </c>
      <c r="O10" s="41">
        <v>2652.777538190865</v>
      </c>
      <c r="P10" s="41">
        <v>4811.3216261174684</v>
      </c>
      <c r="Q10" s="41">
        <v>7345.1661178103022</v>
      </c>
      <c r="R10" s="41">
        <v>5327.2155631152673</v>
      </c>
      <c r="S10" s="41">
        <v>6865.6267859451318</v>
      </c>
      <c r="T10" s="41">
        <v>6293.9222136074441</v>
      </c>
      <c r="U10" s="41">
        <v>6134.6865717415794</v>
      </c>
      <c r="V10" s="41">
        <v>5766.0571434790436</v>
      </c>
      <c r="W10" s="41">
        <v>5465.2692543616386</v>
      </c>
      <c r="X10" s="41">
        <v>5236.5946422485595</v>
      </c>
      <c r="Y10" s="41">
        <v>4976.3550619374173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3669.3528722611891</v>
      </c>
      <c r="D11" s="42">
        <v>3401.7468345399047</v>
      </c>
      <c r="E11" s="42">
        <v>4640.4387271670548</v>
      </c>
      <c r="F11" s="42">
        <v>5343.3337191667742</v>
      </c>
      <c r="G11" s="42">
        <v>8632.5830300556154</v>
      </c>
      <c r="H11" s="42">
        <v>9322.1452423887604</v>
      </c>
      <c r="I11" s="42">
        <v>8482.507638150284</v>
      </c>
      <c r="J11" s="42">
        <v>5970.9624982064879</v>
      </c>
      <c r="K11" s="42">
        <v>953.63311807314585</v>
      </c>
      <c r="L11" s="42">
        <v>4073.4374949508306</v>
      </c>
      <c r="M11" s="42">
        <v>4536.5111553089737</v>
      </c>
      <c r="N11" s="42">
        <v>2579.5274369859021</v>
      </c>
      <c r="O11" s="42">
        <v>2387.4997843717788</v>
      </c>
      <c r="P11" s="42">
        <v>4330.1894635057215</v>
      </c>
      <c r="Q11" s="42">
        <v>6610.6495060292718</v>
      </c>
      <c r="R11" s="42">
        <v>4794.4940068037413</v>
      </c>
      <c r="S11" s="42">
        <v>6179.0641073506176</v>
      </c>
      <c r="T11" s="42">
        <v>5664.5299922466993</v>
      </c>
      <c r="U11" s="42">
        <v>5521.2179145674218</v>
      </c>
      <c r="V11" s="42">
        <v>5189.4514291311389</v>
      </c>
      <c r="W11" s="42">
        <v>4918.7423289254757</v>
      </c>
      <c r="X11" s="42">
        <v>4712.9351780237039</v>
      </c>
      <c r="Y11" s="42">
        <v>4478.7195557436762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3097.45</v>
      </c>
      <c r="C13" s="43">
        <v>3560.09</v>
      </c>
      <c r="D13" s="43">
        <v>3273.97</v>
      </c>
      <c r="E13" s="43">
        <v>3460.67</v>
      </c>
      <c r="F13" s="43">
        <v>3470.78</v>
      </c>
      <c r="G13" s="43">
        <v>3550</v>
      </c>
      <c r="H13" s="43">
        <v>3430.32</v>
      </c>
      <c r="I13" s="43">
        <v>3180.25</v>
      </c>
      <c r="J13" s="43">
        <v>3210.66</v>
      </c>
      <c r="K13" s="43">
        <v>3333.48</v>
      </c>
      <c r="L13" s="43">
        <v>3828.88</v>
      </c>
      <c r="M13" s="43">
        <v>3234.6</v>
      </c>
      <c r="N13" s="43">
        <v>3399.61</v>
      </c>
      <c r="O13" s="43">
        <v>3514.82</v>
      </c>
      <c r="P13" s="43">
        <v>2919.87</v>
      </c>
      <c r="Q13" s="43">
        <v>3090.62</v>
      </c>
      <c r="R13" s="43">
        <v>3247.67</v>
      </c>
      <c r="S13" s="43">
        <v>3311.5</v>
      </c>
      <c r="T13" s="43">
        <v>2995.64</v>
      </c>
      <c r="U13" s="43">
        <v>2998.07</v>
      </c>
      <c r="V13" s="43">
        <v>3078.94</v>
      </c>
      <c r="W13" s="43">
        <v>3452.39</v>
      </c>
      <c r="X13" s="43">
        <v>3083.32</v>
      </c>
      <c r="Y13" s="43">
        <v>2921.97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3294.6614285714286</v>
      </c>
      <c r="C14" s="44">
        <f t="shared" ref="C14:Y14" si="0">AVERAGE($B$13:$V$13)</f>
        <v>3294.6614285714286</v>
      </c>
      <c r="D14" s="44">
        <f t="shared" si="0"/>
        <v>3294.6614285714286</v>
      </c>
      <c r="E14" s="44">
        <f t="shared" si="0"/>
        <v>3294.6614285714286</v>
      </c>
      <c r="F14" s="44">
        <f t="shared" si="0"/>
        <v>3294.6614285714286</v>
      </c>
      <c r="G14" s="44">
        <f t="shared" si="0"/>
        <v>3294.6614285714286</v>
      </c>
      <c r="H14" s="44">
        <f t="shared" si="0"/>
        <v>3294.6614285714286</v>
      </c>
      <c r="I14" s="44">
        <f t="shared" si="0"/>
        <v>3294.6614285714286</v>
      </c>
      <c r="J14" s="44">
        <f t="shared" si="0"/>
        <v>3294.6614285714286</v>
      </c>
      <c r="K14" s="44">
        <f t="shared" si="0"/>
        <v>3294.6614285714286</v>
      </c>
      <c r="L14" s="44">
        <f t="shared" si="0"/>
        <v>3294.6614285714286</v>
      </c>
      <c r="M14" s="44">
        <f t="shared" si="0"/>
        <v>3294.6614285714286</v>
      </c>
      <c r="N14" s="44">
        <f t="shared" si="0"/>
        <v>3294.6614285714286</v>
      </c>
      <c r="O14" s="44">
        <f t="shared" si="0"/>
        <v>3294.6614285714286</v>
      </c>
      <c r="P14" s="44">
        <f t="shared" si="0"/>
        <v>3294.6614285714286</v>
      </c>
      <c r="Q14" s="44">
        <f t="shared" si="0"/>
        <v>3294.6614285714286</v>
      </c>
      <c r="R14" s="44">
        <f t="shared" si="0"/>
        <v>3294.6614285714286</v>
      </c>
      <c r="S14" s="44">
        <f t="shared" si="0"/>
        <v>3294.6614285714286</v>
      </c>
      <c r="T14" s="44">
        <f t="shared" si="0"/>
        <v>3294.6614285714286</v>
      </c>
      <c r="U14" s="44">
        <f t="shared" si="0"/>
        <v>3294.6614285714286</v>
      </c>
      <c r="V14" s="44">
        <f t="shared" si="0"/>
        <v>3294.6614285714286</v>
      </c>
      <c r="W14" s="44">
        <f t="shared" si="0"/>
        <v>3294.6614285714286</v>
      </c>
      <c r="X14" s="44">
        <f t="shared" si="0"/>
        <v>3294.6614285714286</v>
      </c>
      <c r="Y14" s="44">
        <f t="shared" si="0"/>
        <v>3294.6614285714286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0.94014212602812419</v>
      </c>
      <c r="C15" s="46">
        <f t="shared" ref="C15:W15" si="1">C13/C14</f>
        <v>1.0805632315134919</v>
      </c>
      <c r="D15" s="46">
        <f t="shared" si="1"/>
        <v>0.99371971019783945</v>
      </c>
      <c r="E15" s="46">
        <f t="shared" si="1"/>
        <v>1.0503871414491757</v>
      </c>
      <c r="F15" s="46">
        <f t="shared" si="1"/>
        <v>1.0534557420380937</v>
      </c>
      <c r="G15" s="46">
        <f t="shared" si="1"/>
        <v>1.07750070135106</v>
      </c>
      <c r="H15" s="46">
        <f t="shared" si="1"/>
        <v>1.0411752692559348</v>
      </c>
      <c r="I15" s="46">
        <f t="shared" si="1"/>
        <v>0.96527369168217159</v>
      </c>
      <c r="J15" s="46">
        <f t="shared" si="1"/>
        <v>0.97450377515487174</v>
      </c>
      <c r="K15" s="46">
        <f t="shared" si="1"/>
        <v>1.0117822642083751</v>
      </c>
      <c r="L15" s="46">
        <f t="shared" si="1"/>
        <v>1.1621467282786049</v>
      </c>
      <c r="M15" s="46">
        <f t="shared" si="1"/>
        <v>0.98177007565919405</v>
      </c>
      <c r="N15" s="46">
        <f t="shared" si="1"/>
        <v>1.0318541293859373</v>
      </c>
      <c r="O15" s="46">
        <f t="shared" si="1"/>
        <v>1.0668228211613333</v>
      </c>
      <c r="P15" s="46">
        <f t="shared" si="1"/>
        <v>0.88624280925462529</v>
      </c>
      <c r="Q15" s="46">
        <f t="shared" si="1"/>
        <v>0.93806907538298967</v>
      </c>
      <c r="R15" s="46">
        <f t="shared" si="1"/>
        <v>0.98573709936811194</v>
      </c>
      <c r="S15" s="46">
        <f t="shared" si="1"/>
        <v>1.0051108654997283</v>
      </c>
      <c r="T15" s="46">
        <f t="shared" si="1"/>
        <v>0.90924061999867312</v>
      </c>
      <c r="U15" s="46">
        <f t="shared" si="1"/>
        <v>0.90997817681678117</v>
      </c>
      <c r="V15" s="46">
        <f t="shared" si="1"/>
        <v>0.93452394631488256</v>
      </c>
      <c r="W15" s="46">
        <f t="shared" si="1"/>
        <v>1.0478739848837708</v>
      </c>
      <c r="X15" s="46">
        <f t="shared" ref="X15:Y15" si="2">X13/X14</f>
        <v>0.93585336971542277</v>
      </c>
      <c r="Y15" s="46">
        <f t="shared" si="2"/>
        <v>0.88688020403570622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18133.464897411388</v>
      </c>
      <c r="C19" s="34">
        <f t="shared" si="3"/>
        <v>18746.768333037675</v>
      </c>
      <c r="D19" s="34">
        <f t="shared" ref="D19:W19" si="4">D4*1000000/D3</f>
        <v>19087.784455831839</v>
      </c>
      <c r="E19" s="34">
        <f t="shared" si="4"/>
        <v>19734.475751323589</v>
      </c>
      <c r="F19" s="34">
        <f t="shared" si="4"/>
        <v>20663.624131506411</v>
      </c>
      <c r="G19" s="34">
        <f t="shared" si="4"/>
        <v>21973.467175049635</v>
      </c>
      <c r="H19" s="34">
        <f t="shared" si="4"/>
        <v>23372.034144746071</v>
      </c>
      <c r="I19" s="34">
        <f t="shared" si="4"/>
        <v>24581.401765353974</v>
      </c>
      <c r="J19" s="34">
        <f t="shared" si="4"/>
        <v>25005.913431830733</v>
      </c>
      <c r="K19" s="34">
        <f t="shared" si="4"/>
        <v>23618.10081472676</v>
      </c>
      <c r="L19" s="34">
        <f t="shared" si="4"/>
        <v>24174.938101155381</v>
      </c>
      <c r="M19" s="34">
        <f t="shared" si="4"/>
        <v>24545.679477999125</v>
      </c>
      <c r="N19" s="34">
        <f t="shared" si="4"/>
        <v>24313.078349799063</v>
      </c>
      <c r="O19" s="34">
        <f t="shared" si="4"/>
        <v>24278.23675462553</v>
      </c>
      <c r="P19" s="34">
        <f t="shared" si="4"/>
        <v>24831.941154134547</v>
      </c>
      <c r="Q19" s="34">
        <f t="shared" si="4"/>
        <v>25999.475574133332</v>
      </c>
      <c r="R19" s="34">
        <f t="shared" si="4"/>
        <v>26631.144847195425</v>
      </c>
      <c r="S19" s="34">
        <f t="shared" si="4"/>
        <v>27942.730002468437</v>
      </c>
      <c r="T19" s="34">
        <f t="shared" si="4"/>
        <v>28649.076238484864</v>
      </c>
      <c r="U19" s="34">
        <f t="shared" si="4"/>
        <v>29559.942514034767</v>
      </c>
      <c r="V19" s="34">
        <f t="shared" si="4"/>
        <v>27876.197377566736</v>
      </c>
      <c r="W19" s="34">
        <f t="shared" si="4"/>
        <v>29549.549063471128</v>
      </c>
      <c r="X19" s="34">
        <f t="shared" ref="X19:Y19" si="5">X4*1000000/X3</f>
        <v>30327.600112418324</v>
      </c>
      <c r="Y19" s="34">
        <f t="shared" si="5"/>
        <v>29471.091695990839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36658.296968619223</v>
      </c>
      <c r="C20" s="36">
        <f t="shared" si="6"/>
        <v>37509.147623542325</v>
      </c>
      <c r="D20" s="36">
        <f t="shared" ref="D20:W20" si="7">D5*1000000/D6</f>
        <v>38394.095362720822</v>
      </c>
      <c r="E20" s="36">
        <f t="shared" si="7"/>
        <v>39937.561152118607</v>
      </c>
      <c r="F20" s="36">
        <f t="shared" si="7"/>
        <v>41222.632510671923</v>
      </c>
      <c r="G20" s="36">
        <f t="shared" si="7"/>
        <v>43130.194965433962</v>
      </c>
      <c r="H20" s="36">
        <f t="shared" si="7"/>
        <v>44853.898324196438</v>
      </c>
      <c r="I20" s="36">
        <f t="shared" si="7"/>
        <v>46053.567390038945</v>
      </c>
      <c r="J20" s="36">
        <f t="shared" si="7"/>
        <v>46924.768982629241</v>
      </c>
      <c r="K20" s="36">
        <f t="shared" si="7"/>
        <v>44973.330223937832</v>
      </c>
      <c r="L20" s="36">
        <f t="shared" si="7"/>
        <v>46854.624413690472</v>
      </c>
      <c r="M20" s="36">
        <f t="shared" si="7"/>
        <v>47610.950309862776</v>
      </c>
      <c r="N20" s="36">
        <f t="shared" si="7"/>
        <v>47049.129189872205</v>
      </c>
      <c r="O20" s="36">
        <f t="shared" si="7"/>
        <v>46712.019122353238</v>
      </c>
      <c r="P20" s="36">
        <f t="shared" si="7"/>
        <v>46836.191771763137</v>
      </c>
      <c r="Q20" s="36">
        <f t="shared" si="7"/>
        <v>48253.231061349754</v>
      </c>
      <c r="R20" s="36">
        <f t="shared" si="7"/>
        <v>49337.274933611996</v>
      </c>
      <c r="S20" s="36">
        <f t="shared" si="7"/>
        <v>51906.48839268888</v>
      </c>
      <c r="T20" s="36">
        <f t="shared" si="7"/>
        <v>53664.827176485276</v>
      </c>
      <c r="U20" s="36">
        <f t="shared" si="7"/>
        <v>55927.013237856052</v>
      </c>
      <c r="V20" s="36">
        <f t="shared" si="7"/>
        <v>55047.540317199971</v>
      </c>
      <c r="W20" s="36">
        <f t="shared" si="7"/>
        <v>57673.942305051802</v>
      </c>
      <c r="X20" s="36">
        <f t="shared" ref="X20:Y20" si="8">X5*1000000/X6</f>
        <v>57628.241548945232</v>
      </c>
      <c r="Y20" s="36">
        <f t="shared" si="8"/>
        <v>56010.43274656267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10110.8596725309</v>
      </c>
      <c r="C21" s="36">
        <f t="shared" si="9"/>
        <v>10388.012248578347</v>
      </c>
      <c r="D21" s="36">
        <f t="shared" ref="D21:W21" si="10">D5*1000000/D3</f>
        <v>10869.727362212132</v>
      </c>
      <c r="E21" s="36">
        <f t="shared" si="10"/>
        <v>11371.880421366344</v>
      </c>
      <c r="F21" s="36">
        <f t="shared" si="10"/>
        <v>11642.985800425013</v>
      </c>
      <c r="G21" s="36">
        <f t="shared" si="10"/>
        <v>12378.317808766094</v>
      </c>
      <c r="H21" s="36">
        <f t="shared" si="10"/>
        <v>13126.450309332025</v>
      </c>
      <c r="I21" s="36">
        <f t="shared" si="10"/>
        <v>13801.564166943084</v>
      </c>
      <c r="J21" s="36">
        <f t="shared" si="10"/>
        <v>14346.607190532051</v>
      </c>
      <c r="K21" s="36">
        <f t="shared" si="10"/>
        <v>13628.54854893939</v>
      </c>
      <c r="L21" s="36">
        <f t="shared" si="10"/>
        <v>14143.197079271236</v>
      </c>
      <c r="M21" s="36">
        <f t="shared" si="10"/>
        <v>14125.791729337327</v>
      </c>
      <c r="N21" s="36">
        <f t="shared" si="10"/>
        <v>14041.095769364882</v>
      </c>
      <c r="O21" s="36">
        <f t="shared" si="10"/>
        <v>14018.813913902512</v>
      </c>
      <c r="P21" s="36">
        <f t="shared" si="10"/>
        <v>14193.536039316394</v>
      </c>
      <c r="Q21" s="36">
        <f t="shared" si="10"/>
        <v>14738.967290946568</v>
      </c>
      <c r="R21" s="36">
        <f t="shared" si="10"/>
        <v>15247.146376890598</v>
      </c>
      <c r="S21" s="36">
        <f t="shared" si="10"/>
        <v>16218.220035283526</v>
      </c>
      <c r="T21" s="36">
        <f t="shared" si="10"/>
        <v>17008.424960208245</v>
      </c>
      <c r="U21" s="36">
        <f t="shared" si="10"/>
        <v>17728.145846778003</v>
      </c>
      <c r="V21" s="36">
        <f t="shared" si="10"/>
        <v>17145.136552219967</v>
      </c>
      <c r="W21" s="36">
        <f t="shared" si="10"/>
        <v>18557.23125106177</v>
      </c>
      <c r="X21" s="36">
        <f t="shared" ref="X21:Y21" si="11">X5*1000000/X3</f>
        <v>18715.590117547727</v>
      </c>
      <c r="Y21" s="36">
        <f t="shared" si="11"/>
        <v>18107.706689837109</v>
      </c>
      <c r="DA21" s="89"/>
    </row>
    <row r="22" spans="1:105" ht="12" customHeight="1" x14ac:dyDescent="0.25">
      <c r="A22" s="51" t="s">
        <v>148</v>
      </c>
      <c r="B22" s="52">
        <v>0.55166729760597322</v>
      </c>
      <c r="C22" s="52">
        <v>0.55265437244293136</v>
      </c>
      <c r="D22" s="52">
        <v>0.56684463716696687</v>
      </c>
      <c r="E22" s="52">
        <v>0.58655076830979513</v>
      </c>
      <c r="F22" s="52">
        <v>0.58691777140818535</v>
      </c>
      <c r="G22" s="52">
        <v>0.61080639832288341</v>
      </c>
      <c r="H22" s="52">
        <v>0.62847355635097613</v>
      </c>
      <c r="I22" s="52">
        <v>0.64115218616854308</v>
      </c>
      <c r="J22" s="52">
        <v>0.65761564845689779</v>
      </c>
      <c r="K22" s="52">
        <v>0.6391579330149656</v>
      </c>
      <c r="L22" s="52">
        <v>0.65346398590596166</v>
      </c>
      <c r="M22" s="52">
        <v>0.63980384134225887</v>
      </c>
      <c r="N22" s="52">
        <v>0.63798997274925051</v>
      </c>
      <c r="O22" s="52">
        <v>0.63331203455106133</v>
      </c>
      <c r="P22" s="52">
        <v>0.63077845886086981</v>
      </c>
      <c r="Q22" s="52">
        <v>0.64430999606056649</v>
      </c>
      <c r="R22" s="52">
        <v>0.65549295916217976</v>
      </c>
      <c r="S22" s="52">
        <v>0.6789905067819052</v>
      </c>
      <c r="T22" s="52">
        <v>0.69704037013022524</v>
      </c>
      <c r="U22" s="52">
        <v>0.71302160192094721</v>
      </c>
      <c r="V22" s="52">
        <v>0.72858465020464669</v>
      </c>
      <c r="W22" s="52">
        <v>0.74306830447444849</v>
      </c>
      <c r="X22" s="52">
        <v>0.72678813093410199</v>
      </c>
      <c r="Y22" s="52">
        <v>0.70154578501731135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13.037647014725644</v>
      </c>
      <c r="C23" s="53">
        <f t="shared" si="12"/>
        <v>12.843031226050064</v>
      </c>
      <c r="D23" s="53">
        <f t="shared" ref="D23:W23" si="13">D6/D8</f>
        <v>12.91961144654095</v>
      </c>
      <c r="E23" s="53">
        <f t="shared" si="13"/>
        <v>12.740331352613524</v>
      </c>
      <c r="F23" s="53">
        <f t="shared" si="13"/>
        <v>12.367906802413579</v>
      </c>
      <c r="G23" s="53">
        <f t="shared" si="13"/>
        <v>12.12092212615512</v>
      </c>
      <c r="H23" s="53">
        <f t="shared" si="13"/>
        <v>11.925692740604182</v>
      </c>
      <c r="I23" s="53">
        <f t="shared" si="13"/>
        <v>11.851229367045763</v>
      </c>
      <c r="J23" s="53">
        <f t="shared" si="13"/>
        <v>11.938024995401618</v>
      </c>
      <c r="K23" s="53">
        <f t="shared" si="13"/>
        <v>12.167317302511906</v>
      </c>
      <c r="L23" s="53">
        <f t="shared" si="13"/>
        <v>12.000826900641419</v>
      </c>
      <c r="M23" s="53">
        <f t="shared" si="13"/>
        <v>11.646931536406893</v>
      </c>
      <c r="N23" s="53">
        <f t="shared" si="13"/>
        <v>11.657802690735158</v>
      </c>
      <c r="O23" s="53">
        <f t="shared" si="13"/>
        <v>11.666795682779272</v>
      </c>
      <c r="P23" s="53">
        <f t="shared" si="13"/>
        <v>11.6166083097088</v>
      </c>
      <c r="Q23" s="53">
        <f t="shared" si="13"/>
        <v>11.476112650006106</v>
      </c>
      <c r="R23" s="53">
        <f t="shared" si="13"/>
        <v>11.469991719090523</v>
      </c>
      <c r="S23" s="53">
        <f t="shared" si="13"/>
        <v>11.408034570691747</v>
      </c>
      <c r="T23" s="53">
        <f t="shared" si="13"/>
        <v>11.417487551048643</v>
      </c>
      <c r="U23" s="53">
        <f t="shared" si="13"/>
        <v>11.285741760240825</v>
      </c>
      <c r="V23" s="53">
        <f t="shared" si="13"/>
        <v>10.980461498240068</v>
      </c>
      <c r="W23" s="53">
        <f t="shared" si="13"/>
        <v>10.991614546758001</v>
      </c>
      <c r="X23" s="53">
        <f t="shared" ref="X23:Y23" si="14">X6/X8</f>
        <v>10.987268557297037</v>
      </c>
      <c r="Y23" s="53">
        <f t="shared" si="14"/>
        <v>11.14038863959582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19.039655610341136</v>
      </c>
      <c r="C24" s="54">
        <f t="shared" si="15"/>
        <v>19.40752833270269</v>
      </c>
      <c r="D24" s="54">
        <f t="shared" ref="D24:W24" si="16">D9*1000/D3</f>
        <v>19.721832625615626</v>
      </c>
      <c r="E24" s="54">
        <f t="shared" si="16"/>
        <v>20.114652305137149</v>
      </c>
      <c r="F24" s="54">
        <f t="shared" si="16"/>
        <v>20.552987141271089</v>
      </c>
      <c r="G24" s="54">
        <f t="shared" si="16"/>
        <v>21.310176951886103</v>
      </c>
      <c r="H24" s="54">
        <f t="shared" si="16"/>
        <v>22.085437066041575</v>
      </c>
      <c r="I24" s="54">
        <f t="shared" si="16"/>
        <v>22.75852637248909</v>
      </c>
      <c r="J24" s="54">
        <f t="shared" si="16"/>
        <v>23.049265467297626</v>
      </c>
      <c r="K24" s="54">
        <f t="shared" si="16"/>
        <v>22.415180139307491</v>
      </c>
      <c r="L24" s="54">
        <f t="shared" si="16"/>
        <v>22.637396103099608</v>
      </c>
      <c r="M24" s="54">
        <f t="shared" si="16"/>
        <v>22.926456496387058</v>
      </c>
      <c r="N24" s="54">
        <f t="shared" si="16"/>
        <v>23.039615164724456</v>
      </c>
      <c r="O24" s="54">
        <f t="shared" si="16"/>
        <v>23.151202201651003</v>
      </c>
      <c r="P24" s="54">
        <f t="shared" si="16"/>
        <v>23.478599773138505</v>
      </c>
      <c r="Q24" s="54">
        <f t="shared" si="16"/>
        <v>23.954569074241046</v>
      </c>
      <c r="R24" s="54">
        <f t="shared" si="16"/>
        <v>24.248943214619683</v>
      </c>
      <c r="S24" s="54">
        <f t="shared" si="16"/>
        <v>24.64978981035658</v>
      </c>
      <c r="T24" s="54">
        <f t="shared" si="16"/>
        <v>24.98309997463112</v>
      </c>
      <c r="U24" s="54">
        <f t="shared" si="16"/>
        <v>25.278662420426851</v>
      </c>
      <c r="V24" s="54">
        <f t="shared" si="16"/>
        <v>25.528479356390569</v>
      </c>
      <c r="W24" s="54">
        <f t="shared" si="16"/>
        <v>26.345992288370887</v>
      </c>
      <c r="X24" s="54">
        <f t="shared" ref="X24:Y24" si="17">X9*1000/X3</f>
        <v>26.602406594182781</v>
      </c>
      <c r="Y24" s="54">
        <f t="shared" si="17"/>
        <v>26.117805943163596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69.030861088927779</v>
      </c>
      <c r="C25" s="54">
        <f t="shared" si="18"/>
        <v>70.076914410555347</v>
      </c>
      <c r="D25" s="54">
        <f t="shared" ref="D25:W25" si="19">D9*1000/D6</f>
        <v>69.661537711411796</v>
      </c>
      <c r="E25" s="54">
        <f t="shared" si="19"/>
        <v>70.641804760860936</v>
      </c>
      <c r="F25" s="54">
        <f t="shared" si="19"/>
        <v>72.768983012094367</v>
      </c>
      <c r="G25" s="54">
        <f t="shared" si="19"/>
        <v>74.251776443471726</v>
      </c>
      <c r="H25" s="54">
        <f t="shared" si="19"/>
        <v>75.467314107105196</v>
      </c>
      <c r="I25" s="54">
        <f t="shared" si="19"/>
        <v>75.941488610674753</v>
      </c>
      <c r="J25" s="54">
        <f t="shared" si="19"/>
        <v>75.389354633339195</v>
      </c>
      <c r="K25" s="54">
        <f t="shared" si="19"/>
        <v>73.968647124390984</v>
      </c>
      <c r="L25" s="54">
        <f t="shared" si="19"/>
        <v>74.994832227094022</v>
      </c>
      <c r="M25" s="54">
        <f t="shared" si="19"/>
        <v>77.273571771818979</v>
      </c>
      <c r="N25" s="54">
        <f t="shared" si="19"/>
        <v>77.201512487019514</v>
      </c>
      <c r="O25" s="54">
        <f t="shared" si="19"/>
        <v>77.142004066158577</v>
      </c>
      <c r="P25" s="54">
        <f t="shared" si="19"/>
        <v>77.47528159728067</v>
      </c>
      <c r="Q25" s="54">
        <f t="shared" si="19"/>
        <v>78.423768348032127</v>
      </c>
      <c r="R25" s="54">
        <f t="shared" si="19"/>
        <v>78.465618985761807</v>
      </c>
      <c r="S25" s="54">
        <f t="shared" si="19"/>
        <v>78.891766537259613</v>
      </c>
      <c r="T25" s="54">
        <f t="shared" si="19"/>
        <v>78.826448986785991</v>
      </c>
      <c r="U25" s="54">
        <f t="shared" si="19"/>
        <v>79.746641303689984</v>
      </c>
      <c r="V25" s="54">
        <f t="shared" si="19"/>
        <v>81.963768111590824</v>
      </c>
      <c r="W25" s="54">
        <f t="shared" si="19"/>
        <v>81.880600540660069</v>
      </c>
      <c r="X25" s="54">
        <f t="shared" ref="X25:Y25" si="20">X9*1000/X6</f>
        <v>81.912988228751175</v>
      </c>
      <c r="Y25" s="54">
        <f t="shared" si="20"/>
        <v>80.787127730999217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900</v>
      </c>
      <c r="C26" s="55">
        <f t="shared" si="21"/>
        <v>900</v>
      </c>
      <c r="D26" s="55">
        <f t="shared" ref="D26:W26" si="22">D9*1000/D8</f>
        <v>900</v>
      </c>
      <c r="E26" s="55">
        <f t="shared" si="22"/>
        <v>900</v>
      </c>
      <c r="F26" s="55">
        <f t="shared" si="22"/>
        <v>900.00000000000011</v>
      </c>
      <c r="G26" s="55">
        <f t="shared" si="22"/>
        <v>900.00000000000011</v>
      </c>
      <c r="H26" s="55">
        <f t="shared" si="22"/>
        <v>899.99999999999989</v>
      </c>
      <c r="I26" s="55">
        <f t="shared" si="22"/>
        <v>900</v>
      </c>
      <c r="J26" s="55">
        <f t="shared" si="22"/>
        <v>900.00000000000011</v>
      </c>
      <c r="K26" s="55">
        <f t="shared" si="22"/>
        <v>899.99999999999989</v>
      </c>
      <c r="L26" s="55">
        <f t="shared" si="22"/>
        <v>900</v>
      </c>
      <c r="M26" s="55">
        <f t="shared" si="22"/>
        <v>900</v>
      </c>
      <c r="N26" s="55">
        <f t="shared" si="22"/>
        <v>900</v>
      </c>
      <c r="O26" s="55">
        <f t="shared" si="22"/>
        <v>899.99999999999989</v>
      </c>
      <c r="P26" s="55">
        <f t="shared" si="22"/>
        <v>900</v>
      </c>
      <c r="Q26" s="55">
        <f t="shared" si="22"/>
        <v>900</v>
      </c>
      <c r="R26" s="55">
        <f t="shared" si="22"/>
        <v>900.00000000000011</v>
      </c>
      <c r="S26" s="55">
        <f t="shared" si="22"/>
        <v>900</v>
      </c>
      <c r="T26" s="55">
        <f t="shared" si="22"/>
        <v>899.99999999999977</v>
      </c>
      <c r="U26" s="55">
        <f t="shared" si="22"/>
        <v>900</v>
      </c>
      <c r="V26" s="55">
        <f t="shared" si="22"/>
        <v>900</v>
      </c>
      <c r="W26" s="55">
        <f t="shared" si="22"/>
        <v>900.00000000000023</v>
      </c>
      <c r="X26" s="55">
        <f t="shared" ref="X26:Y26" si="23">X9*1000/X8</f>
        <v>900.00000000000011</v>
      </c>
      <c r="Y26" s="55">
        <f t="shared" si="23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900</v>
      </c>
      <c r="D27" s="57">
        <f t="shared" ref="D27:W27" si="25">IF(SUM(D11)=0,"",D11*1000/D10)</f>
        <v>900</v>
      </c>
      <c r="E27" s="57">
        <f t="shared" si="25"/>
        <v>900.00000000000011</v>
      </c>
      <c r="F27" s="57">
        <f t="shared" si="25"/>
        <v>900</v>
      </c>
      <c r="G27" s="57">
        <f t="shared" si="25"/>
        <v>900.00000000000011</v>
      </c>
      <c r="H27" s="57">
        <f t="shared" si="25"/>
        <v>900</v>
      </c>
      <c r="I27" s="57">
        <f t="shared" si="25"/>
        <v>900</v>
      </c>
      <c r="J27" s="57">
        <f t="shared" si="25"/>
        <v>900.00000000000011</v>
      </c>
      <c r="K27" s="57">
        <f t="shared" si="25"/>
        <v>899.99999999999989</v>
      </c>
      <c r="L27" s="57">
        <f t="shared" si="25"/>
        <v>899.99999999999989</v>
      </c>
      <c r="M27" s="57">
        <f t="shared" si="25"/>
        <v>900.00000000000011</v>
      </c>
      <c r="N27" s="57">
        <f t="shared" si="25"/>
        <v>900.00000000000023</v>
      </c>
      <c r="O27" s="57">
        <f t="shared" si="25"/>
        <v>900.00000000000011</v>
      </c>
      <c r="P27" s="57">
        <f t="shared" si="25"/>
        <v>900</v>
      </c>
      <c r="Q27" s="57">
        <f t="shared" si="25"/>
        <v>899.99999999999989</v>
      </c>
      <c r="R27" s="57">
        <f t="shared" si="25"/>
        <v>900.00000000000023</v>
      </c>
      <c r="S27" s="57">
        <f t="shared" si="25"/>
        <v>899.99999999999989</v>
      </c>
      <c r="T27" s="57">
        <f t="shared" si="25"/>
        <v>900</v>
      </c>
      <c r="U27" s="57">
        <f t="shared" si="25"/>
        <v>900.00000000000011</v>
      </c>
      <c r="V27" s="57">
        <f t="shared" si="25"/>
        <v>900</v>
      </c>
      <c r="W27" s="57">
        <f t="shared" si="25"/>
        <v>900.00000000000011</v>
      </c>
      <c r="X27" s="57">
        <f t="shared" ref="X27:Y27" si="26">IF(SUM(X11)=0,"",X11*1000/X10)</f>
        <v>900.00000000000011</v>
      </c>
      <c r="Y27" s="57">
        <f t="shared" si="26"/>
        <v>900.00000000000023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3516.6070408628893</v>
      </c>
      <c r="C31" s="80">
        <f t="shared" ref="C31:W31" si="27">SUM(C32:C33,C36:C37,C44:C45)</f>
        <v>3482.2112262283431</v>
      </c>
      <c r="D31" s="80">
        <f t="shared" si="27"/>
        <v>3313.4058689712519</v>
      </c>
      <c r="E31" s="80">
        <f t="shared" si="27"/>
        <v>3674.3839694112803</v>
      </c>
      <c r="F31" s="80">
        <f t="shared" si="27"/>
        <v>3525.5923196807007</v>
      </c>
      <c r="G31" s="80">
        <f t="shared" si="27"/>
        <v>3216.0073999539472</v>
      </c>
      <c r="H31" s="80">
        <f t="shared" si="27"/>
        <v>3177.5101696798297</v>
      </c>
      <c r="I31" s="80">
        <f t="shared" si="27"/>
        <v>3052.3980738862388</v>
      </c>
      <c r="J31" s="80">
        <f t="shared" si="27"/>
        <v>3260.3460880377252</v>
      </c>
      <c r="K31" s="80">
        <f t="shared" si="27"/>
        <v>3022.5139899233482</v>
      </c>
      <c r="L31" s="80">
        <f t="shared" si="27"/>
        <v>3300.39394764392</v>
      </c>
      <c r="M31" s="80">
        <f t="shared" si="27"/>
        <v>3188.3943580424457</v>
      </c>
      <c r="N31" s="80">
        <f t="shared" si="27"/>
        <v>3098.121531693243</v>
      </c>
      <c r="O31" s="80">
        <f t="shared" si="27"/>
        <v>3056.0738687724656</v>
      </c>
      <c r="P31" s="80">
        <f t="shared" si="27"/>
        <v>2960.0952308740389</v>
      </c>
      <c r="Q31" s="80">
        <f t="shared" si="27"/>
        <v>3015.6034246992249</v>
      </c>
      <c r="R31" s="80">
        <f t="shared" si="27"/>
        <v>3099.9049358527063</v>
      </c>
      <c r="S31" s="80">
        <f t="shared" si="27"/>
        <v>3214.4354361868536</v>
      </c>
      <c r="T31" s="80">
        <f t="shared" si="27"/>
        <v>3127.2356841977853</v>
      </c>
      <c r="U31" s="80">
        <f t="shared" si="27"/>
        <v>3187.0055504478314</v>
      </c>
      <c r="V31" s="80">
        <f t="shared" si="27"/>
        <v>2988.1172034971996</v>
      </c>
      <c r="W31" s="80">
        <f t="shared" si="27"/>
        <v>2961.9257697428111</v>
      </c>
      <c r="X31" s="80">
        <f t="shared" ref="X31:Y31" si="28">SUM(X32:X33,X36:X37,X44:X45)</f>
        <v>2845.1835853941138</v>
      </c>
      <c r="Y31" s="80">
        <f t="shared" si="28"/>
        <v>2633.8233213123822</v>
      </c>
      <c r="DA31" s="103" t="s">
        <v>199</v>
      </c>
    </row>
    <row r="32" spans="1:105" ht="12" customHeight="1" x14ac:dyDescent="0.25">
      <c r="A32" s="58" t="s">
        <v>29</v>
      </c>
      <c r="B32" s="59">
        <v>504.21195184866724</v>
      </c>
      <c r="C32" s="59">
        <v>222.32398968185731</v>
      </c>
      <c r="D32" s="59">
        <v>226.59372312983663</v>
      </c>
      <c r="E32" s="59">
        <v>444.38392089423894</v>
      </c>
      <c r="F32" s="59">
        <v>486.2975924333619</v>
      </c>
      <c r="G32" s="59">
        <v>84.0340498710232</v>
      </c>
      <c r="H32" s="59">
        <v>170.50756663800513</v>
      </c>
      <c r="I32" s="59">
        <v>57.573516766981939</v>
      </c>
      <c r="J32" s="59">
        <v>83.566122098022348</v>
      </c>
      <c r="K32" s="59">
        <v>27.748839208942393</v>
      </c>
      <c r="L32" s="59">
        <v>40.114359415305238</v>
      </c>
      <c r="M32" s="59">
        <v>34.893637145313846</v>
      </c>
      <c r="N32" s="59">
        <v>32.933619948409287</v>
      </c>
      <c r="O32" s="59">
        <v>32.605674978503863</v>
      </c>
      <c r="P32" s="59">
        <v>28.881255374032669</v>
      </c>
      <c r="Q32" s="59">
        <v>25.621926053310403</v>
      </c>
      <c r="R32" s="59">
        <v>33.001031814273432</v>
      </c>
      <c r="S32" s="59">
        <v>32.13697334479793</v>
      </c>
      <c r="T32" s="59">
        <v>22.546603611349951</v>
      </c>
      <c r="U32" s="59">
        <v>27.247291487532245</v>
      </c>
      <c r="V32" s="59">
        <v>20.681083404987103</v>
      </c>
      <c r="W32" s="59">
        <v>23.812381771281171</v>
      </c>
      <c r="X32" s="59">
        <v>23.731814273430786</v>
      </c>
      <c r="Y32" s="59">
        <v>11.133018056749783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6.1179707652622524</v>
      </c>
      <c r="C33" s="55">
        <f t="shared" ref="C33:W33" si="29">SUM(C34:C35)</f>
        <v>3.003697334479793</v>
      </c>
      <c r="D33" s="55">
        <f t="shared" si="29"/>
        <v>13.022355975924331</v>
      </c>
      <c r="E33" s="55">
        <f t="shared" si="29"/>
        <v>12.017454858125539</v>
      </c>
      <c r="F33" s="55">
        <f t="shared" si="29"/>
        <v>15.912295786758381</v>
      </c>
      <c r="G33" s="55">
        <f t="shared" si="29"/>
        <v>11.886500429922613</v>
      </c>
      <c r="H33" s="55">
        <f t="shared" si="29"/>
        <v>14.874892519346517</v>
      </c>
      <c r="I33" s="55">
        <f t="shared" si="29"/>
        <v>15.058297506448836</v>
      </c>
      <c r="J33" s="55">
        <f t="shared" si="29"/>
        <v>16.005588993981082</v>
      </c>
      <c r="K33" s="55">
        <f t="shared" si="29"/>
        <v>12.004385210662079</v>
      </c>
      <c r="L33" s="55">
        <f t="shared" si="29"/>
        <v>15.954600171969043</v>
      </c>
      <c r="M33" s="55">
        <f t="shared" si="29"/>
        <v>12.069217540842645</v>
      </c>
      <c r="N33" s="55">
        <f t="shared" si="29"/>
        <v>19.696904557179707</v>
      </c>
      <c r="O33" s="55">
        <f t="shared" si="29"/>
        <v>14.892261392949269</v>
      </c>
      <c r="P33" s="55">
        <f t="shared" si="29"/>
        <v>9.934737747205503</v>
      </c>
      <c r="Q33" s="55">
        <f t="shared" si="29"/>
        <v>20.799054170249349</v>
      </c>
      <c r="R33" s="55">
        <f t="shared" si="29"/>
        <v>19.859673258813409</v>
      </c>
      <c r="S33" s="55">
        <f t="shared" si="29"/>
        <v>19.774978503869299</v>
      </c>
      <c r="T33" s="55">
        <f t="shared" si="29"/>
        <v>13.085210662080822</v>
      </c>
      <c r="U33" s="55">
        <f t="shared" si="29"/>
        <v>12.229578675838349</v>
      </c>
      <c r="V33" s="55">
        <f t="shared" si="29"/>
        <v>13.968701633705933</v>
      </c>
      <c r="W33" s="55">
        <f t="shared" si="29"/>
        <v>17.963026655202064</v>
      </c>
      <c r="X33" s="55">
        <f t="shared" ref="X33:Y33" si="30">SUM(X34:X35)</f>
        <v>14.004127257093721</v>
      </c>
      <c r="Y33" s="55">
        <f t="shared" si="30"/>
        <v>17.003353396388647</v>
      </c>
      <c r="DA33" s="101"/>
    </row>
    <row r="34" spans="1:105" ht="12" customHeight="1" x14ac:dyDescent="0.25">
      <c r="A34" s="61" t="s">
        <v>52</v>
      </c>
      <c r="B34" s="55">
        <v>0</v>
      </c>
      <c r="C34" s="55">
        <v>0</v>
      </c>
      <c r="D34" s="55"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X34" s="55">
        <v>0</v>
      </c>
      <c r="Y34" s="55">
        <v>0</v>
      </c>
      <c r="DA34" s="101" t="s">
        <v>201</v>
      </c>
    </row>
    <row r="35" spans="1:105" ht="12" customHeight="1" x14ac:dyDescent="0.25">
      <c r="A35" s="61" t="s">
        <v>163</v>
      </c>
      <c r="B35" s="55">
        <v>6.1179707652622524</v>
      </c>
      <c r="C35" s="55">
        <v>3.003697334479793</v>
      </c>
      <c r="D35" s="55">
        <v>13.022355975924331</v>
      </c>
      <c r="E35" s="55">
        <v>12.017454858125539</v>
      </c>
      <c r="F35" s="55">
        <v>15.912295786758381</v>
      </c>
      <c r="G35" s="55">
        <v>11.886500429922613</v>
      </c>
      <c r="H35" s="55">
        <v>14.874892519346517</v>
      </c>
      <c r="I35" s="55">
        <v>15.058297506448836</v>
      </c>
      <c r="J35" s="55">
        <v>16.005588993981082</v>
      </c>
      <c r="K35" s="55">
        <v>12.004385210662079</v>
      </c>
      <c r="L35" s="55">
        <v>15.954600171969043</v>
      </c>
      <c r="M35" s="55">
        <v>12.069217540842645</v>
      </c>
      <c r="N35" s="55">
        <v>19.696904557179707</v>
      </c>
      <c r="O35" s="55">
        <v>14.892261392949269</v>
      </c>
      <c r="P35" s="55">
        <v>9.934737747205503</v>
      </c>
      <c r="Q35" s="55">
        <v>20.799054170249349</v>
      </c>
      <c r="R35" s="55">
        <v>19.859673258813409</v>
      </c>
      <c r="S35" s="55">
        <v>19.774978503869299</v>
      </c>
      <c r="T35" s="55">
        <v>13.085210662080822</v>
      </c>
      <c r="U35" s="55">
        <v>12.229578675838349</v>
      </c>
      <c r="V35" s="55">
        <v>13.968701633705933</v>
      </c>
      <c r="W35" s="55">
        <v>17.963026655202064</v>
      </c>
      <c r="X35" s="55">
        <v>14.004127257093721</v>
      </c>
      <c r="Y35" s="55">
        <v>17.003353396388647</v>
      </c>
      <c r="DA35" s="101" t="s">
        <v>202</v>
      </c>
    </row>
    <row r="36" spans="1:105" ht="12" customHeight="1" x14ac:dyDescent="0.25">
      <c r="A36" s="60" t="s">
        <v>149</v>
      </c>
      <c r="B36" s="55">
        <v>1167.0464316423038</v>
      </c>
      <c r="C36" s="55">
        <v>1363.2201203783322</v>
      </c>
      <c r="D36" s="55">
        <v>1276.1607910576097</v>
      </c>
      <c r="E36" s="55">
        <v>1293.95958727429</v>
      </c>
      <c r="F36" s="55">
        <v>1274.376612209802</v>
      </c>
      <c r="G36" s="55">
        <v>1349.0756663800514</v>
      </c>
      <c r="H36" s="55">
        <v>1302.4075666380054</v>
      </c>
      <c r="I36" s="55">
        <v>1293.8521066208082</v>
      </c>
      <c r="J36" s="55">
        <v>1433.8349097162511</v>
      </c>
      <c r="K36" s="55">
        <v>1301.7196904557177</v>
      </c>
      <c r="L36" s="55">
        <v>1351.6337059329321</v>
      </c>
      <c r="M36" s="55">
        <v>1308.2545141874459</v>
      </c>
      <c r="N36" s="55">
        <v>1224.0756663800516</v>
      </c>
      <c r="O36" s="55">
        <v>1167.2398968185728</v>
      </c>
      <c r="P36" s="55">
        <v>1138.4995700773854</v>
      </c>
      <c r="Q36" s="55">
        <v>1136.5649183147029</v>
      </c>
      <c r="R36" s="55">
        <v>1159.2896818572654</v>
      </c>
      <c r="S36" s="55">
        <v>1248.7747205503013</v>
      </c>
      <c r="T36" s="55">
        <v>1136.179965606191</v>
      </c>
      <c r="U36" s="55">
        <v>1200.0730008598448</v>
      </c>
      <c r="V36" s="55">
        <v>1093.8910910916086</v>
      </c>
      <c r="W36" s="55">
        <v>1033.688168953264</v>
      </c>
      <c r="X36" s="55">
        <v>925.27518130259625</v>
      </c>
      <c r="Y36" s="55">
        <v>828.14858327349316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13.351418744625969</v>
      </c>
      <c r="C37" s="55">
        <f t="shared" ref="C37:W37" si="31">SUM(C38:C42)</f>
        <v>24.410060189165954</v>
      </c>
      <c r="D37" s="55">
        <f t="shared" si="31"/>
        <v>25.031040412725709</v>
      </c>
      <c r="E37" s="55">
        <f t="shared" si="31"/>
        <v>50.850386930352535</v>
      </c>
      <c r="F37" s="55">
        <f t="shared" si="31"/>
        <v>56.511092003439394</v>
      </c>
      <c r="G37" s="55">
        <f t="shared" si="31"/>
        <v>59.305331040412725</v>
      </c>
      <c r="H37" s="55">
        <f t="shared" si="31"/>
        <v>57.369389509888201</v>
      </c>
      <c r="I37" s="55">
        <f t="shared" si="31"/>
        <v>72.248065348237319</v>
      </c>
      <c r="J37" s="55">
        <f t="shared" si="31"/>
        <v>63.580051590713673</v>
      </c>
      <c r="K37" s="55">
        <f t="shared" si="31"/>
        <v>58.75348237317283</v>
      </c>
      <c r="L37" s="55">
        <f t="shared" si="31"/>
        <v>76.850730868443662</v>
      </c>
      <c r="M37" s="55">
        <f t="shared" si="31"/>
        <v>81.079363714531382</v>
      </c>
      <c r="N37" s="55">
        <f t="shared" si="31"/>
        <v>82.4858985382631</v>
      </c>
      <c r="O37" s="55">
        <f t="shared" si="31"/>
        <v>89.853568357695607</v>
      </c>
      <c r="P37" s="55">
        <f t="shared" si="31"/>
        <v>86.89432502149613</v>
      </c>
      <c r="Q37" s="55">
        <f t="shared" si="31"/>
        <v>95.045915735167682</v>
      </c>
      <c r="R37" s="55">
        <f t="shared" si="31"/>
        <v>91.683490971625105</v>
      </c>
      <c r="S37" s="55">
        <f t="shared" si="31"/>
        <v>87.795356835769567</v>
      </c>
      <c r="T37" s="55">
        <f t="shared" si="31"/>
        <v>89.747291487532252</v>
      </c>
      <c r="U37" s="55">
        <f t="shared" si="31"/>
        <v>91.290197764402421</v>
      </c>
      <c r="V37" s="55">
        <f t="shared" si="31"/>
        <v>87.171247687410442</v>
      </c>
      <c r="W37" s="55">
        <f t="shared" si="31"/>
        <v>90.06067025567836</v>
      </c>
      <c r="X37" s="55">
        <f t="shared" ref="X37:Y37" si="32">SUM(X38:X42)</f>
        <v>89.080708637214641</v>
      </c>
      <c r="Y37" s="55">
        <f t="shared" si="32"/>
        <v>80.118742607847992</v>
      </c>
      <c r="DA37" s="101"/>
    </row>
    <row r="38" spans="1:105" ht="12" customHeight="1" x14ac:dyDescent="0.25">
      <c r="A38" s="61" t="s">
        <v>164</v>
      </c>
      <c r="B38" s="55">
        <v>13.351418744625969</v>
      </c>
      <c r="C38" s="55">
        <v>24.410060189165954</v>
      </c>
      <c r="D38" s="55">
        <v>23.884608770421323</v>
      </c>
      <c r="E38" s="55">
        <v>33.175752364574372</v>
      </c>
      <c r="F38" s="55">
        <v>36.447979363714545</v>
      </c>
      <c r="G38" s="55">
        <v>40.67540842648323</v>
      </c>
      <c r="H38" s="55">
        <v>36.018056749785025</v>
      </c>
      <c r="I38" s="55">
        <v>51.351848667239892</v>
      </c>
      <c r="J38" s="55">
        <v>41.200945829750644</v>
      </c>
      <c r="K38" s="55">
        <v>36.997248495270853</v>
      </c>
      <c r="L38" s="55">
        <v>52.355030094582965</v>
      </c>
      <c r="M38" s="55">
        <v>54.815133276010322</v>
      </c>
      <c r="N38" s="55">
        <v>57.203611349957001</v>
      </c>
      <c r="O38" s="55">
        <v>64.153998280309537</v>
      </c>
      <c r="P38" s="55">
        <v>63.43748925193465</v>
      </c>
      <c r="Q38" s="55">
        <v>71.343250214961316</v>
      </c>
      <c r="R38" s="55">
        <v>66.972398968185729</v>
      </c>
      <c r="S38" s="55">
        <v>63.152278589853829</v>
      </c>
      <c r="T38" s="55">
        <v>64.99019776440241</v>
      </c>
      <c r="U38" s="55">
        <v>67.134651762682736</v>
      </c>
      <c r="V38" s="55">
        <v>63.337747205502993</v>
      </c>
      <c r="W38" s="55">
        <v>65.982545141874425</v>
      </c>
      <c r="X38" s="55">
        <v>63.135769561478945</v>
      </c>
      <c r="Y38" s="55">
        <v>53.234049871023196</v>
      </c>
      <c r="DA38" s="101" t="s">
        <v>204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1.146431642304385</v>
      </c>
      <c r="E39" s="55">
        <v>17.316337059329321</v>
      </c>
      <c r="F39" s="55">
        <v>19.5853826311264</v>
      </c>
      <c r="G39" s="55">
        <v>18.032846087704211</v>
      </c>
      <c r="H39" s="55">
        <v>20.63628546861565</v>
      </c>
      <c r="I39" s="55">
        <v>19.991401547721409</v>
      </c>
      <c r="J39" s="55">
        <v>21.18564058469476</v>
      </c>
      <c r="K39" s="55">
        <v>20.325795356835769</v>
      </c>
      <c r="L39" s="55">
        <v>22.594840928632841</v>
      </c>
      <c r="M39" s="55">
        <v>23.860705073086841</v>
      </c>
      <c r="N39" s="55">
        <v>22.594840928632841</v>
      </c>
      <c r="O39" s="55">
        <v>22.83370593293207</v>
      </c>
      <c r="P39" s="55">
        <v>20.206362854686159</v>
      </c>
      <c r="Q39" s="55">
        <v>20.23026655202063</v>
      </c>
      <c r="R39" s="55">
        <v>21.042304385210659</v>
      </c>
      <c r="S39" s="55">
        <v>20.823645743766122</v>
      </c>
      <c r="T39" s="55">
        <v>20.831642304385209</v>
      </c>
      <c r="U39" s="55">
        <v>20.153138435081679</v>
      </c>
      <c r="V39" s="55">
        <v>19.711144505983121</v>
      </c>
      <c r="W39" s="55">
        <v>19.843989258257938</v>
      </c>
      <c r="X39" s="55">
        <v>21.562479918384017</v>
      </c>
      <c r="Y39" s="55">
        <v>22.345397809911635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X40" s="55">
        <v>0</v>
      </c>
      <c r="Y40" s="55">
        <v>0</v>
      </c>
      <c r="DA40" s="101" t="s">
        <v>206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0.35829750644883918</v>
      </c>
      <c r="F41" s="55">
        <v>0.47773000859845233</v>
      </c>
      <c r="G41" s="55">
        <v>0.5970765262252794</v>
      </c>
      <c r="H41" s="55">
        <v>0.71504729148753221</v>
      </c>
      <c r="I41" s="55">
        <v>0.90481513327601026</v>
      </c>
      <c r="J41" s="55">
        <v>1.193465176268272</v>
      </c>
      <c r="K41" s="55">
        <v>1.4304385210662081</v>
      </c>
      <c r="L41" s="55">
        <v>1.9008598452278589</v>
      </c>
      <c r="M41" s="55">
        <v>2.4035253654342221</v>
      </c>
      <c r="N41" s="55">
        <v>2.687446259673258</v>
      </c>
      <c r="O41" s="55">
        <v>2.8658641444539978</v>
      </c>
      <c r="P41" s="55">
        <v>3.250472914875322</v>
      </c>
      <c r="Q41" s="55">
        <v>3.4723989681857259</v>
      </c>
      <c r="R41" s="55">
        <v>3.668787618228718</v>
      </c>
      <c r="S41" s="55">
        <v>3.8194325021496129</v>
      </c>
      <c r="T41" s="55">
        <v>3.925451418744625</v>
      </c>
      <c r="U41" s="55">
        <v>4.0024075666380048</v>
      </c>
      <c r="V41" s="55">
        <v>4.1223559759243331</v>
      </c>
      <c r="W41" s="55">
        <v>4.2341358555460014</v>
      </c>
      <c r="X41" s="55">
        <v>4.3824591573516756</v>
      </c>
      <c r="Y41" s="55">
        <v>4.5392949269131551</v>
      </c>
      <c r="DA41" s="101" t="s">
        <v>207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X42" s="55">
        <v>0</v>
      </c>
      <c r="Y42" s="55">
        <v>0</v>
      </c>
      <c r="DA42" s="101" t="s">
        <v>208</v>
      </c>
    </row>
    <row r="43" spans="1:105" ht="12" customHeight="1" x14ac:dyDescent="0.25">
      <c r="A43" s="61" t="s">
        <v>151</v>
      </c>
      <c r="B43" s="309">
        <v>0.13895098882201201</v>
      </c>
      <c r="C43" s="309">
        <v>0.24883920894239031</v>
      </c>
      <c r="D43" s="55">
        <v>0.51272570937231277</v>
      </c>
      <c r="E43" s="55">
        <v>0.76689595872742888</v>
      </c>
      <c r="F43" s="55">
        <v>1.0607050730868439</v>
      </c>
      <c r="G43" s="55">
        <v>1.3338779019776454</v>
      </c>
      <c r="H43" s="55">
        <v>1.8312123817712815</v>
      </c>
      <c r="I43" s="55">
        <v>2.4441100601891663</v>
      </c>
      <c r="J43" s="55">
        <v>3.0526225279449677</v>
      </c>
      <c r="K43" s="55">
        <v>3.8608770421324095</v>
      </c>
      <c r="L43" s="55">
        <v>4.7831470335339645</v>
      </c>
      <c r="M43" s="55">
        <v>5.8312123817712811</v>
      </c>
      <c r="N43" s="55">
        <v>7.0122957867583811</v>
      </c>
      <c r="O43" s="55">
        <v>8.232244196044709</v>
      </c>
      <c r="P43" s="55">
        <v>9.4494411006018968</v>
      </c>
      <c r="Q43" s="55">
        <v>10.800429922613922</v>
      </c>
      <c r="R43" s="55">
        <v>12.554858125537415</v>
      </c>
      <c r="S43" s="55">
        <v>14.690885640584703</v>
      </c>
      <c r="T43" s="55">
        <v>17.279793637145293</v>
      </c>
      <c r="U43" s="55">
        <v>20.276440240756671</v>
      </c>
      <c r="V43" s="55">
        <v>23.37489251934652</v>
      </c>
      <c r="W43" s="55">
        <v>26.986328460877051</v>
      </c>
      <c r="X43" s="55">
        <v>38.630782459157416</v>
      </c>
      <c r="Y43" s="55">
        <v>46.267325881341407</v>
      </c>
      <c r="DA43" s="101" t="s">
        <v>209</v>
      </c>
    </row>
    <row r="44" spans="1:105" ht="12" customHeight="1" x14ac:dyDescent="0.25">
      <c r="A44" s="60" t="s">
        <v>162</v>
      </c>
      <c r="B44" s="55">
        <v>613.49957007738601</v>
      </c>
      <c r="C44" s="55">
        <v>649.58916595012886</v>
      </c>
      <c r="D44" s="55">
        <v>593.79475494410997</v>
      </c>
      <c r="E44" s="55">
        <v>589.28065348237317</v>
      </c>
      <c r="F44" s="55">
        <v>612.52029234737745</v>
      </c>
      <c r="G44" s="55">
        <v>605.16388650042995</v>
      </c>
      <c r="H44" s="55">
        <v>484.57059329320714</v>
      </c>
      <c r="I44" s="55">
        <v>433.33817712811697</v>
      </c>
      <c r="J44" s="55">
        <v>434.17403267411868</v>
      </c>
      <c r="K44" s="55">
        <v>418.84015477214098</v>
      </c>
      <c r="L44" s="55">
        <v>542.18022355975916</v>
      </c>
      <c r="M44" s="55">
        <v>511.39294926913152</v>
      </c>
      <c r="N44" s="55">
        <v>498.42364574376609</v>
      </c>
      <c r="O44" s="55">
        <v>481.6566638005159</v>
      </c>
      <c r="P44" s="55">
        <v>456.0045571797076</v>
      </c>
      <c r="Q44" s="55">
        <v>462.4773000859845</v>
      </c>
      <c r="R44" s="55">
        <v>482.49260533104041</v>
      </c>
      <c r="S44" s="55">
        <v>487.10421324161649</v>
      </c>
      <c r="T44" s="55">
        <v>492.42132416165077</v>
      </c>
      <c r="U44" s="55">
        <v>473.35786758383489</v>
      </c>
      <c r="V44" s="55">
        <v>454.89690455717971</v>
      </c>
      <c r="W44" s="55">
        <v>487.91659501289769</v>
      </c>
      <c r="X44" s="55">
        <v>471.59260533104037</v>
      </c>
      <c r="Y44" s="55">
        <v>447.04978503869302</v>
      </c>
      <c r="DA44" s="101" t="s">
        <v>210</v>
      </c>
    </row>
    <row r="45" spans="1:105" ht="12" customHeight="1" x14ac:dyDescent="0.25">
      <c r="A45" s="62" t="s">
        <v>24</v>
      </c>
      <c r="B45" s="63">
        <v>1212.3796977846443</v>
      </c>
      <c r="C45" s="63">
        <v>1219.6641926943789</v>
      </c>
      <c r="D45" s="63">
        <v>1178.8032034510459</v>
      </c>
      <c r="E45" s="63">
        <v>1283.8919659719004</v>
      </c>
      <c r="F45" s="63">
        <v>1079.9744348999618</v>
      </c>
      <c r="G45" s="63">
        <v>1106.541965732107</v>
      </c>
      <c r="H45" s="63">
        <v>1147.7801610813774</v>
      </c>
      <c r="I45" s="63">
        <v>1180.3279105156455</v>
      </c>
      <c r="J45" s="63">
        <v>1229.1853829646379</v>
      </c>
      <c r="K45" s="63">
        <v>1203.4474379027124</v>
      </c>
      <c r="L45" s="63">
        <v>1273.6603276955107</v>
      </c>
      <c r="M45" s="63">
        <v>1240.70467618518</v>
      </c>
      <c r="N45" s="63">
        <v>1240.505796525573</v>
      </c>
      <c r="O45" s="63">
        <v>1269.8258034242283</v>
      </c>
      <c r="P45" s="63">
        <v>1239.8807854742117</v>
      </c>
      <c r="Q45" s="63">
        <v>1275.0943103398097</v>
      </c>
      <c r="R45" s="63">
        <v>1313.5784526196883</v>
      </c>
      <c r="S45" s="63">
        <v>1338.8491937104991</v>
      </c>
      <c r="T45" s="63">
        <v>1373.2552886689803</v>
      </c>
      <c r="U45" s="63">
        <v>1382.8076140763785</v>
      </c>
      <c r="V45" s="63">
        <v>1317.5081751223079</v>
      </c>
      <c r="W45" s="63">
        <v>1308.4849270944876</v>
      </c>
      <c r="X45" s="63">
        <v>1321.499148592738</v>
      </c>
      <c r="Y45" s="63">
        <v>1250.3698389392093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3516.6070408628893</v>
      </c>
      <c r="C47" s="82">
        <f t="shared" ref="C47:W47" si="34">SUM(C48,C53)</f>
        <v>3482.2112262283431</v>
      </c>
      <c r="D47" s="82">
        <f t="shared" si="34"/>
        <v>3313.4058689712524</v>
      </c>
      <c r="E47" s="82">
        <f t="shared" si="34"/>
        <v>3674.3839694112803</v>
      </c>
      <c r="F47" s="82">
        <f t="shared" si="34"/>
        <v>3525.5923196807007</v>
      </c>
      <c r="G47" s="82">
        <f t="shared" si="34"/>
        <v>3216.0073999539463</v>
      </c>
      <c r="H47" s="82">
        <f t="shared" si="34"/>
        <v>3177.5101696798311</v>
      </c>
      <c r="I47" s="82">
        <f t="shared" si="34"/>
        <v>3052.3980738862392</v>
      </c>
      <c r="J47" s="82">
        <f t="shared" si="34"/>
        <v>3260.3460880377247</v>
      </c>
      <c r="K47" s="82">
        <f t="shared" si="34"/>
        <v>3022.5139899233486</v>
      </c>
      <c r="L47" s="82">
        <f t="shared" si="34"/>
        <v>3300.3939476439195</v>
      </c>
      <c r="M47" s="82">
        <f t="shared" si="34"/>
        <v>3188.3943580424466</v>
      </c>
      <c r="N47" s="82">
        <f t="shared" si="34"/>
        <v>3098.1215316932426</v>
      </c>
      <c r="O47" s="82">
        <f t="shared" si="34"/>
        <v>3056.0738687724661</v>
      </c>
      <c r="P47" s="82">
        <f t="shared" si="34"/>
        <v>2960.0952308740389</v>
      </c>
      <c r="Q47" s="82">
        <f t="shared" si="34"/>
        <v>3015.6034246992249</v>
      </c>
      <c r="R47" s="82">
        <f t="shared" si="34"/>
        <v>3099.9049358527054</v>
      </c>
      <c r="S47" s="82">
        <f t="shared" si="34"/>
        <v>3214.4354361868554</v>
      </c>
      <c r="T47" s="82">
        <f t="shared" si="34"/>
        <v>3127.2356841977835</v>
      </c>
      <c r="U47" s="82">
        <f t="shared" si="34"/>
        <v>3187.0055504478314</v>
      </c>
      <c r="V47" s="82">
        <f t="shared" si="34"/>
        <v>2988.1172034971992</v>
      </c>
      <c r="W47" s="82">
        <f t="shared" si="34"/>
        <v>2961.9257697428111</v>
      </c>
      <c r="X47" s="82">
        <f t="shared" ref="X47:Y47" si="35">SUM(X48,X53)</f>
        <v>2845.1835853941134</v>
      </c>
      <c r="Y47" s="82">
        <f t="shared" si="35"/>
        <v>2633.8233213123822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3093.5740670357432</v>
      </c>
      <c r="C48" s="64">
        <f t="shared" ref="C48:W48" si="37">SUM(C49:C52)</f>
        <v>3042.0927122074913</v>
      </c>
      <c r="D48" s="64">
        <f t="shared" si="37"/>
        <v>2856.1174951417051</v>
      </c>
      <c r="E48" s="64">
        <f t="shared" si="37"/>
        <v>3197.1171164246716</v>
      </c>
      <c r="F48" s="64">
        <f t="shared" si="37"/>
        <v>3025.2731111179287</v>
      </c>
      <c r="G48" s="64">
        <f t="shared" si="37"/>
        <v>2687.3844740623649</v>
      </c>
      <c r="H48" s="64">
        <f t="shared" si="37"/>
        <v>2621.922693865698</v>
      </c>
      <c r="I48" s="64">
        <f t="shared" si="37"/>
        <v>2472.3535685004358</v>
      </c>
      <c r="J48" s="64">
        <f t="shared" si="37"/>
        <v>2658.4824205089753</v>
      </c>
      <c r="K48" s="64">
        <f t="shared" si="37"/>
        <v>2414.7833186357766</v>
      </c>
      <c r="L48" s="64">
        <f t="shared" si="37"/>
        <v>2676.221573590246</v>
      </c>
      <c r="M48" s="64">
        <f t="shared" si="37"/>
        <v>2556.9565741202405</v>
      </c>
      <c r="N48" s="64">
        <f t="shared" si="37"/>
        <v>2459.0658151200782</v>
      </c>
      <c r="O48" s="64">
        <f t="shared" si="37"/>
        <v>2409.7567274272146</v>
      </c>
      <c r="P48" s="64">
        <f t="shared" si="37"/>
        <v>2301.5799546763287</v>
      </c>
      <c r="Q48" s="64">
        <f t="shared" si="37"/>
        <v>2335.7037678346483</v>
      </c>
      <c r="R48" s="64">
        <f t="shared" si="37"/>
        <v>2410.8805867078963</v>
      </c>
      <c r="S48" s="64">
        <f t="shared" si="37"/>
        <v>2513.8299275469044</v>
      </c>
      <c r="T48" s="64">
        <f t="shared" si="37"/>
        <v>2429.0430316719353</v>
      </c>
      <c r="U48" s="64">
        <f t="shared" si="37"/>
        <v>2497.0948283779276</v>
      </c>
      <c r="V48" s="64">
        <f t="shared" si="37"/>
        <v>2327.1577422007458</v>
      </c>
      <c r="W48" s="64">
        <f t="shared" si="37"/>
        <v>2313.6860115729801</v>
      </c>
      <c r="X48" s="64">
        <f t="shared" ref="X48:Y48" si="38">SUM(X49:X52)</f>
        <v>2200.5712231779298</v>
      </c>
      <c r="Y48" s="64">
        <f t="shared" si="38"/>
        <v>1993.7711587509132</v>
      </c>
      <c r="DA48" s="108" t="s">
        <v>213</v>
      </c>
    </row>
    <row r="49" spans="1:105" ht="12" customHeight="1" x14ac:dyDescent="0.25">
      <c r="A49" s="61" t="s">
        <v>32</v>
      </c>
      <c r="B49" s="65">
        <v>2649.2752147711476</v>
      </c>
      <c r="C49" s="65">
        <v>2589.7572509562979</v>
      </c>
      <c r="D49" s="65">
        <v>2399.9240750970807</v>
      </c>
      <c r="E49" s="65">
        <v>2733.4783061648982</v>
      </c>
      <c r="F49" s="65">
        <v>2558.7625096092488</v>
      </c>
      <c r="G49" s="65">
        <v>2206.8573890949137</v>
      </c>
      <c r="H49" s="65">
        <v>2119.4253828957549</v>
      </c>
      <c r="I49" s="65">
        <v>1953.2646790991785</v>
      </c>
      <c r="J49" s="65">
        <v>2123.8875862849586</v>
      </c>
      <c r="K49" s="65">
        <v>1853.7924314282727</v>
      </c>
      <c r="L49" s="65">
        <v>2094.1470355856927</v>
      </c>
      <c r="M49" s="65">
        <v>1961.7146360842321</v>
      </c>
      <c r="N49" s="65">
        <v>1856.5212568385496</v>
      </c>
      <c r="O49" s="65">
        <v>1800.3492072121289</v>
      </c>
      <c r="P49" s="65">
        <v>1690.9661738909329</v>
      </c>
      <c r="Q49" s="65">
        <v>1707.163494721789</v>
      </c>
      <c r="R49" s="65">
        <v>1776.178825861665</v>
      </c>
      <c r="S49" s="65">
        <v>1859.9592578912384</v>
      </c>
      <c r="T49" s="65">
        <v>1778.2213251796768</v>
      </c>
      <c r="U49" s="65">
        <v>1836.2708698280339</v>
      </c>
      <c r="V49" s="65">
        <v>1706.5777316133422</v>
      </c>
      <c r="W49" s="65">
        <v>1682.5755163248555</v>
      </c>
      <c r="X49" s="65">
        <v>1580.6596195787911</v>
      </c>
      <c r="Y49" s="65">
        <v>1369.465138522226</v>
      </c>
      <c r="DA49" s="109" t="s">
        <v>214</v>
      </c>
    </row>
    <row r="50" spans="1:105" ht="12" customHeight="1" x14ac:dyDescent="0.25">
      <c r="A50" s="61" t="s">
        <v>31</v>
      </c>
      <c r="B50" s="65">
        <v>12.511303478572422</v>
      </c>
      <c r="C50" s="65">
        <v>13.240119490179211</v>
      </c>
      <c r="D50" s="65">
        <v>15.939010797053594</v>
      </c>
      <c r="E50" s="65">
        <v>18.084441458016606</v>
      </c>
      <c r="F50" s="65">
        <v>18.68718566707091</v>
      </c>
      <c r="G50" s="65">
        <v>22.274179845635892</v>
      </c>
      <c r="H50" s="65">
        <v>27.025785926602797</v>
      </c>
      <c r="I50" s="65">
        <v>30.367220342755701</v>
      </c>
      <c r="J50" s="65">
        <v>32.741419041373547</v>
      </c>
      <c r="K50" s="65">
        <v>34.615554635053464</v>
      </c>
      <c r="L50" s="65">
        <v>37.376928820658705</v>
      </c>
      <c r="M50" s="65">
        <v>39.018496096860048</v>
      </c>
      <c r="N50" s="65">
        <v>39.807853899943197</v>
      </c>
      <c r="O50" s="65">
        <v>41.528954318796465</v>
      </c>
      <c r="P50" s="65">
        <v>39.602837075946411</v>
      </c>
      <c r="Q50" s="65">
        <v>47.04581817687248</v>
      </c>
      <c r="R50" s="65">
        <v>39.838852783377881</v>
      </c>
      <c r="S50" s="65">
        <v>40.377442734336881</v>
      </c>
      <c r="T50" s="65">
        <v>42.792173562578505</v>
      </c>
      <c r="U50" s="65">
        <v>42.720723833298131</v>
      </c>
      <c r="V50" s="65">
        <v>38.695604271174716</v>
      </c>
      <c r="W50" s="65">
        <v>40.365246118123494</v>
      </c>
      <c r="X50" s="65">
        <v>41.815725105590865</v>
      </c>
      <c r="Y50" s="65">
        <v>41.798867800318448</v>
      </c>
      <c r="DA50" s="109" t="s">
        <v>215</v>
      </c>
    </row>
    <row r="51" spans="1:105" ht="12" customHeight="1" x14ac:dyDescent="0.25">
      <c r="A51" s="61" t="s">
        <v>35</v>
      </c>
      <c r="B51" s="65">
        <v>219.64503157128581</v>
      </c>
      <c r="C51" s="65">
        <v>219.88002541816735</v>
      </c>
      <c r="D51" s="65">
        <v>219.29557062294361</v>
      </c>
      <c r="E51" s="65">
        <v>219.31502812745703</v>
      </c>
      <c r="F51" s="65">
        <v>217.120028435086</v>
      </c>
      <c r="G51" s="65">
        <v>222.47190689849432</v>
      </c>
      <c r="H51" s="65">
        <v>231.21627895721508</v>
      </c>
      <c r="I51" s="65">
        <v>238.75268018553442</v>
      </c>
      <c r="J51" s="65">
        <v>243.7073404804641</v>
      </c>
      <c r="K51" s="65">
        <v>257.07045170478062</v>
      </c>
      <c r="L51" s="65">
        <v>265.90471247757233</v>
      </c>
      <c r="M51" s="65">
        <v>270.0438614759081</v>
      </c>
      <c r="N51" s="65">
        <v>273.23196970062259</v>
      </c>
      <c r="O51" s="65">
        <v>273.28419172588798</v>
      </c>
      <c r="P51" s="65">
        <v>272.80009696634932</v>
      </c>
      <c r="Q51" s="65">
        <v>277.18427253996401</v>
      </c>
      <c r="R51" s="65">
        <v>283.01121410753615</v>
      </c>
      <c r="S51" s="65">
        <v>288.24295423247514</v>
      </c>
      <c r="T51" s="65">
        <v>285.03079456552598</v>
      </c>
      <c r="U51" s="65">
        <v>286.34218368641729</v>
      </c>
      <c r="V51" s="65">
        <v>270.93264091856202</v>
      </c>
      <c r="W51" s="65">
        <v>272.19710914261555</v>
      </c>
      <c r="X51" s="65">
        <v>264.44924464903391</v>
      </c>
      <c r="Y51" s="65">
        <v>267.36268831654121</v>
      </c>
      <c r="DA51" s="109" t="s">
        <v>216</v>
      </c>
    </row>
    <row r="52" spans="1:105" ht="12" customHeight="1" x14ac:dyDescent="0.25">
      <c r="A52" s="66" t="s">
        <v>34</v>
      </c>
      <c r="B52" s="67">
        <v>212.14251721473747</v>
      </c>
      <c r="C52" s="67">
        <v>219.21531634284696</v>
      </c>
      <c r="D52" s="67">
        <v>220.95883862462733</v>
      </c>
      <c r="E52" s="67">
        <v>226.23934067429974</v>
      </c>
      <c r="F52" s="67">
        <v>230.70338740652272</v>
      </c>
      <c r="G52" s="67">
        <v>235.78099822332095</v>
      </c>
      <c r="H52" s="67">
        <v>244.25524608612466</v>
      </c>
      <c r="I52" s="67">
        <v>249.968988872967</v>
      </c>
      <c r="J52" s="67">
        <v>258.14607470217948</v>
      </c>
      <c r="K52" s="67">
        <v>269.30488086766968</v>
      </c>
      <c r="L52" s="67">
        <v>278.7928967063221</v>
      </c>
      <c r="M52" s="67">
        <v>286.17958046324014</v>
      </c>
      <c r="N52" s="67">
        <v>289.50473468096288</v>
      </c>
      <c r="O52" s="67">
        <v>294.59437417040124</v>
      </c>
      <c r="P52" s="67">
        <v>298.21084674310049</v>
      </c>
      <c r="Q52" s="67">
        <v>304.31018239602292</v>
      </c>
      <c r="R52" s="67">
        <v>311.8516939553175</v>
      </c>
      <c r="S52" s="67">
        <v>325.25027268885367</v>
      </c>
      <c r="T52" s="67">
        <v>322.99873836415418</v>
      </c>
      <c r="U52" s="67">
        <v>331.76105103017846</v>
      </c>
      <c r="V52" s="67">
        <v>310.95176539766658</v>
      </c>
      <c r="W52" s="67">
        <v>318.54813998738564</v>
      </c>
      <c r="X52" s="67">
        <v>313.6466338445141</v>
      </c>
      <c r="Y52" s="67">
        <v>315.14446411182763</v>
      </c>
      <c r="DA52" s="110" t="s">
        <v>217</v>
      </c>
    </row>
    <row r="53" spans="1:105" ht="12" customHeight="1" x14ac:dyDescent="0.25">
      <c r="A53" s="78" t="s">
        <v>33</v>
      </c>
      <c r="B53" s="68">
        <v>423.03297382714629</v>
      </c>
      <c r="C53" s="68">
        <v>440.11851402085188</v>
      </c>
      <c r="D53" s="68">
        <v>457.28837382954731</v>
      </c>
      <c r="E53" s="68">
        <v>477.26685298660863</v>
      </c>
      <c r="F53" s="68">
        <v>500.31920856277208</v>
      </c>
      <c r="G53" s="68">
        <v>528.62292589158153</v>
      </c>
      <c r="H53" s="68">
        <v>555.58747581413286</v>
      </c>
      <c r="I53" s="68">
        <v>580.04450538580352</v>
      </c>
      <c r="J53" s="68">
        <v>601.86366752874937</v>
      </c>
      <c r="K53" s="68">
        <v>607.73067128757191</v>
      </c>
      <c r="L53" s="68">
        <v>624.17237405367348</v>
      </c>
      <c r="M53" s="68">
        <v>631.43778392220588</v>
      </c>
      <c r="N53" s="68">
        <v>639.05571657316432</v>
      </c>
      <c r="O53" s="68">
        <v>646.31714134525168</v>
      </c>
      <c r="P53" s="68">
        <v>658.51527619771025</v>
      </c>
      <c r="Q53" s="68">
        <v>679.8996568645764</v>
      </c>
      <c r="R53" s="68">
        <v>689.02434914480898</v>
      </c>
      <c r="S53" s="68">
        <v>700.60550863995081</v>
      </c>
      <c r="T53" s="68">
        <v>698.1926525258483</v>
      </c>
      <c r="U53" s="68">
        <v>689.91072206990384</v>
      </c>
      <c r="V53" s="68">
        <v>660.95946129645336</v>
      </c>
      <c r="W53" s="68">
        <v>648.23975816983091</v>
      </c>
      <c r="X53" s="68">
        <v>644.61236221618356</v>
      </c>
      <c r="Y53" s="68">
        <v>640.05216256146878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0.87970422372715706</v>
      </c>
      <c r="C56" s="70">
        <f t="shared" ref="C56:W56" si="43">IF(C48=0,0,C48/C$47)</f>
        <v>0.87360947242205256</v>
      </c>
      <c r="D56" s="70">
        <f t="shared" si="43"/>
        <v>0.86198842160814837</v>
      </c>
      <c r="E56" s="70">
        <f t="shared" si="43"/>
        <v>0.87010969540478433</v>
      </c>
      <c r="F56" s="70">
        <f t="shared" si="43"/>
        <v>0.85808931856077908</v>
      </c>
      <c r="G56" s="70">
        <f t="shared" si="43"/>
        <v>0.83562757787834963</v>
      </c>
      <c r="H56" s="70">
        <f t="shared" si="43"/>
        <v>0.82515005581552092</v>
      </c>
      <c r="I56" s="70">
        <f t="shared" si="43"/>
        <v>0.80997088474528334</v>
      </c>
      <c r="J56" s="70">
        <f t="shared" si="43"/>
        <v>0.81539884071295399</v>
      </c>
      <c r="K56" s="70">
        <f t="shared" si="43"/>
        <v>0.79893205678661416</v>
      </c>
      <c r="L56" s="70">
        <f t="shared" si="43"/>
        <v>0.81087943319637434</v>
      </c>
      <c r="M56" s="70">
        <f t="shared" si="43"/>
        <v>0.80195743906977524</v>
      </c>
      <c r="N56" s="70">
        <f t="shared" si="43"/>
        <v>0.79372800258616849</v>
      </c>
      <c r="O56" s="70">
        <f t="shared" si="43"/>
        <v>0.78851390080932249</v>
      </c>
      <c r="P56" s="70">
        <f t="shared" si="43"/>
        <v>0.77753578015688785</v>
      </c>
      <c r="Q56" s="70">
        <f t="shared" si="43"/>
        <v>0.77453943336982733</v>
      </c>
      <c r="R56" s="70">
        <f t="shared" si="43"/>
        <v>0.77772726473778919</v>
      </c>
      <c r="S56" s="70">
        <f t="shared" si="43"/>
        <v>0.78204399417925508</v>
      </c>
      <c r="T56" s="70">
        <f t="shared" si="43"/>
        <v>0.7767380770007577</v>
      </c>
      <c r="U56" s="70">
        <f t="shared" si="43"/>
        <v>0.78352384043606105</v>
      </c>
      <c r="V56" s="70">
        <f t="shared" si="43"/>
        <v>0.77880403736410109</v>
      </c>
      <c r="W56" s="70">
        <f t="shared" si="43"/>
        <v>0.7811424699457884</v>
      </c>
      <c r="X56" s="70">
        <f t="shared" ref="X56:Y56" si="44">IF(X48=0,0,X48/X$47)</f>
        <v>0.77343733967631045</v>
      </c>
      <c r="Y56" s="70">
        <f t="shared" si="44"/>
        <v>0.75698743443332273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0.75336117569766348</v>
      </c>
      <c r="C57" s="71">
        <f t="shared" ref="C57:W57" si="46">IF(C49=0,0,C49/C$47)</f>
        <v>0.74371055708797973</v>
      </c>
      <c r="D57" s="71">
        <f t="shared" si="46"/>
        <v>0.72430730493098638</v>
      </c>
      <c r="E57" s="71">
        <f t="shared" si="46"/>
        <v>0.7439283234742784</v>
      </c>
      <c r="F57" s="71">
        <f t="shared" si="46"/>
        <v>0.72576811996260138</v>
      </c>
      <c r="G57" s="71">
        <f t="shared" si="46"/>
        <v>0.68621029576191783</v>
      </c>
      <c r="H57" s="71">
        <f t="shared" si="46"/>
        <v>0.66700821389009435</v>
      </c>
      <c r="I57" s="71">
        <f t="shared" si="46"/>
        <v>0.63991151606655594</v>
      </c>
      <c r="J57" s="71">
        <f t="shared" si="46"/>
        <v>0.65143010249051314</v>
      </c>
      <c r="K57" s="71">
        <f t="shared" si="46"/>
        <v>0.61332799041081865</v>
      </c>
      <c r="L57" s="71">
        <f t="shared" si="46"/>
        <v>0.634514263692872</v>
      </c>
      <c r="M57" s="71">
        <f t="shared" si="46"/>
        <v>0.61526725235100799</v>
      </c>
      <c r="N57" s="71">
        <f t="shared" si="46"/>
        <v>0.59924093933909983</v>
      </c>
      <c r="O57" s="71">
        <f t="shared" si="46"/>
        <v>0.5891052652910107</v>
      </c>
      <c r="P57" s="71">
        <f t="shared" si="46"/>
        <v>0.57125397732276151</v>
      </c>
      <c r="Q57" s="71">
        <f t="shared" si="46"/>
        <v>0.56611007957455839</v>
      </c>
      <c r="R57" s="71">
        <f t="shared" si="46"/>
        <v>0.57297848244274729</v>
      </c>
      <c r="S57" s="71">
        <f t="shared" si="46"/>
        <v>0.57862703881140232</v>
      </c>
      <c r="T57" s="71">
        <f t="shared" si="46"/>
        <v>0.56862401966222009</v>
      </c>
      <c r="U57" s="71">
        <f t="shared" si="46"/>
        <v>0.57617435575849718</v>
      </c>
      <c r="V57" s="71">
        <f t="shared" si="46"/>
        <v>0.57112141706356656</v>
      </c>
      <c r="W57" s="71">
        <f t="shared" si="46"/>
        <v>0.56806809053521834</v>
      </c>
      <c r="X57" s="71">
        <f t="shared" ref="X57:Y57" si="47">IF(X49=0,0,X49/X$47)</f>
        <v>0.55555628385218558</v>
      </c>
      <c r="Y57" s="71">
        <f t="shared" si="47"/>
        <v>0.51995330417222085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3.5577769518150243E-3</v>
      </c>
      <c r="C58" s="72">
        <f t="shared" ref="C58:W58" si="49">IF(C50=0,0,C50/C$47)</f>
        <v>3.8022160719181487E-3</v>
      </c>
      <c r="D58" s="72">
        <f t="shared" si="49"/>
        <v>4.8104613281204651E-3</v>
      </c>
      <c r="E58" s="72">
        <f t="shared" si="49"/>
        <v>4.9217614730978007E-3</v>
      </c>
      <c r="F58" s="72">
        <f t="shared" si="49"/>
        <v>5.3004386136067307E-3</v>
      </c>
      <c r="G58" s="72">
        <f t="shared" si="49"/>
        <v>6.9260350103531668E-3</v>
      </c>
      <c r="H58" s="72">
        <f t="shared" si="49"/>
        <v>8.5053342030140342E-3</v>
      </c>
      <c r="I58" s="72">
        <f t="shared" si="49"/>
        <v>9.948643528035284E-3</v>
      </c>
      <c r="J58" s="72">
        <f t="shared" si="49"/>
        <v>1.0042313962159561E-2</v>
      </c>
      <c r="K58" s="72">
        <f t="shared" si="49"/>
        <v>1.1452570525879127E-2</v>
      </c>
      <c r="L58" s="72">
        <f t="shared" si="49"/>
        <v>1.1324990111359673E-2</v>
      </c>
      <c r="M58" s="72">
        <f t="shared" si="49"/>
        <v>1.2237663135502451E-2</v>
      </c>
      <c r="N58" s="72">
        <f t="shared" si="49"/>
        <v>1.2849029159352142E-2</v>
      </c>
      <c r="O58" s="72">
        <f t="shared" si="49"/>
        <v>1.3588989043474074E-2</v>
      </c>
      <c r="P58" s="72">
        <f t="shared" si="49"/>
        <v>1.3378906415876602E-2</v>
      </c>
      <c r="Q58" s="72">
        <f t="shared" si="49"/>
        <v>1.5600797436275897E-2</v>
      </c>
      <c r="R58" s="72">
        <f t="shared" si="49"/>
        <v>1.2851636939769323E-2</v>
      </c>
      <c r="S58" s="72">
        <f t="shared" si="49"/>
        <v>1.2561285966357713E-2</v>
      </c>
      <c r="T58" s="72">
        <f t="shared" si="49"/>
        <v>1.3683705957568657E-2</v>
      </c>
      <c r="U58" s="72">
        <f t="shared" si="49"/>
        <v>1.3404659376038772E-2</v>
      </c>
      <c r="V58" s="72">
        <f t="shared" si="49"/>
        <v>1.2949828147934286E-2</v>
      </c>
      <c r="W58" s="72">
        <f t="shared" si="49"/>
        <v>1.3628041097609437E-2</v>
      </c>
      <c r="X58" s="72">
        <f t="shared" ref="X58:Y58" si="50">IF(X50=0,0,X50/X$47)</f>
        <v>1.4697021774009205E-2</v>
      </c>
      <c r="Y58" s="72">
        <f t="shared" si="50"/>
        <v>1.5870034812923935E-2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6.2459361827754939E-2</v>
      </c>
      <c r="C59" s="72">
        <f t="shared" ref="C59:W59" si="52">IF(C51=0,0,C51/C$47)</f>
        <v>6.3143793162807091E-2</v>
      </c>
      <c r="D59" s="72">
        <f t="shared" si="52"/>
        <v>6.618433699190332E-2</v>
      </c>
      <c r="E59" s="72">
        <f t="shared" si="52"/>
        <v>5.9687563943568007E-2</v>
      </c>
      <c r="F59" s="72">
        <f t="shared" si="52"/>
        <v>6.1583986107262033E-2</v>
      </c>
      <c r="G59" s="72">
        <f t="shared" si="52"/>
        <v>6.9176428792321859E-2</v>
      </c>
      <c r="H59" s="72">
        <f t="shared" si="52"/>
        <v>7.2766495340756895E-2</v>
      </c>
      <c r="I59" s="72">
        <f t="shared" si="52"/>
        <v>7.8218068025957141E-2</v>
      </c>
      <c r="J59" s="72">
        <f t="shared" si="52"/>
        <v>7.4748917415433658E-2</v>
      </c>
      <c r="K59" s="72">
        <f t="shared" si="52"/>
        <v>8.5051864958051018E-2</v>
      </c>
      <c r="L59" s="72">
        <f t="shared" si="52"/>
        <v>8.0567567598224449E-2</v>
      </c>
      <c r="M59" s="72">
        <f t="shared" si="52"/>
        <v>8.4695878599441762E-2</v>
      </c>
      <c r="N59" s="72">
        <f t="shared" si="52"/>
        <v>8.8192786146543065E-2</v>
      </c>
      <c r="O59" s="72">
        <f t="shared" si="52"/>
        <v>8.9423293892977165E-2</v>
      </c>
      <c r="P59" s="72">
        <f t="shared" si="52"/>
        <v>9.2159229919707195E-2</v>
      </c>
      <c r="Q59" s="72">
        <f t="shared" si="52"/>
        <v>9.1916685818066501E-2</v>
      </c>
      <c r="R59" s="72">
        <f t="shared" si="52"/>
        <v>9.1296739727177126E-2</v>
      </c>
      <c r="S59" s="72">
        <f t="shared" si="52"/>
        <v>8.9671408853806436E-2</v>
      </c>
      <c r="T59" s="72">
        <f t="shared" si="52"/>
        <v>9.1144647653457478E-2</v>
      </c>
      <c r="U59" s="72">
        <f t="shared" si="52"/>
        <v>8.9846779101524027E-2</v>
      </c>
      <c r="V59" s="72">
        <f t="shared" si="52"/>
        <v>9.0670018097506647E-2</v>
      </c>
      <c r="W59" s="72">
        <f t="shared" si="52"/>
        <v>9.1898693722581332E-2</v>
      </c>
      <c r="X59" s="72">
        <f t="shared" ref="X59:Y59" si="53">IF(X51=0,0,X51/X$47)</f>
        <v>9.294628508564326E-2</v>
      </c>
      <c r="Y59" s="72">
        <f t="shared" si="53"/>
        <v>0.10151124646558284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6.0325909249923725E-2</v>
      </c>
      <c r="C60" s="73">
        <f t="shared" ref="C60:W60" si="55">IF(C52=0,0,C52/C$47)</f>
        <v>6.2952906099347603E-2</v>
      </c>
      <c r="D60" s="73">
        <f t="shared" si="55"/>
        <v>6.6686318357138272E-2</v>
      </c>
      <c r="E60" s="73">
        <f t="shared" si="55"/>
        <v>6.1572046513840094E-2</v>
      </c>
      <c r="F60" s="73">
        <f t="shared" si="55"/>
        <v>6.5436773877308826E-2</v>
      </c>
      <c r="G60" s="73">
        <f t="shared" si="55"/>
        <v>7.3314818313756788E-2</v>
      </c>
      <c r="H60" s="73">
        <f t="shared" si="55"/>
        <v>7.6870012381655431E-2</v>
      </c>
      <c r="I60" s="73">
        <f t="shared" si="55"/>
        <v>8.1892657124734897E-2</v>
      </c>
      <c r="J60" s="73">
        <f t="shared" si="55"/>
        <v>7.9177506844847728E-2</v>
      </c>
      <c r="K60" s="73">
        <f t="shared" si="55"/>
        <v>8.9099630891865386E-2</v>
      </c>
      <c r="L60" s="73">
        <f t="shared" si="55"/>
        <v>8.4472611793918226E-2</v>
      </c>
      <c r="M60" s="73">
        <f t="shared" si="55"/>
        <v>8.9756644983823006E-2</v>
      </c>
      <c r="N60" s="73">
        <f t="shared" si="55"/>
        <v>9.3445247941173371E-2</v>
      </c>
      <c r="O60" s="73">
        <f t="shared" si="55"/>
        <v>9.6396352581860537E-2</v>
      </c>
      <c r="P60" s="73">
        <f t="shared" si="55"/>
        <v>0.10074366649854255</v>
      </c>
      <c r="Q60" s="73">
        <f t="shared" si="55"/>
        <v>0.10091187054092655</v>
      </c>
      <c r="R60" s="73">
        <f t="shared" si="55"/>
        <v>0.1006004056280955</v>
      </c>
      <c r="S60" s="73">
        <f t="shared" si="55"/>
        <v>0.10118426054768855</v>
      </c>
      <c r="T60" s="73">
        <f t="shared" si="55"/>
        <v>0.10328570372751156</v>
      </c>
      <c r="U60" s="73">
        <f t="shared" si="55"/>
        <v>0.10409804620000115</v>
      </c>
      <c r="V60" s="73">
        <f t="shared" si="55"/>
        <v>0.1040627740550934</v>
      </c>
      <c r="W60" s="73">
        <f t="shared" si="55"/>
        <v>0.10754764459037935</v>
      </c>
      <c r="X60" s="73">
        <f t="shared" ref="X60:Y60" si="56">IF(X52=0,0,X52/X$47)</f>
        <v>0.11023774896447251</v>
      </c>
      <c r="Y60" s="73">
        <f t="shared" si="56"/>
        <v>0.11965284898259515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0.12029577627284291</v>
      </c>
      <c r="C61" s="70">
        <f t="shared" ref="C61:W61" si="58">IF(C53=0,0,C53/C$47)</f>
        <v>0.12639052757794753</v>
      </c>
      <c r="D61" s="70">
        <f t="shared" si="58"/>
        <v>0.13801157839185163</v>
      </c>
      <c r="E61" s="70">
        <f t="shared" si="58"/>
        <v>0.12989030459521561</v>
      </c>
      <c r="F61" s="70">
        <f t="shared" si="58"/>
        <v>0.14191068143922098</v>
      </c>
      <c r="G61" s="70">
        <f t="shared" si="58"/>
        <v>0.16437242212165043</v>
      </c>
      <c r="H61" s="70">
        <f t="shared" si="58"/>
        <v>0.17484994418447899</v>
      </c>
      <c r="I61" s="70">
        <f t="shared" si="58"/>
        <v>0.19002911525471675</v>
      </c>
      <c r="J61" s="70">
        <f t="shared" si="58"/>
        <v>0.18460115928704601</v>
      </c>
      <c r="K61" s="70">
        <f t="shared" si="58"/>
        <v>0.20106794321338578</v>
      </c>
      <c r="L61" s="70">
        <f t="shared" si="58"/>
        <v>0.1891205668036256</v>
      </c>
      <c r="M61" s="70">
        <f t="shared" si="58"/>
        <v>0.19804256093022471</v>
      </c>
      <c r="N61" s="70">
        <f t="shared" si="58"/>
        <v>0.20627199741383154</v>
      </c>
      <c r="O61" s="70">
        <f t="shared" si="58"/>
        <v>0.21148609919067762</v>
      </c>
      <c r="P61" s="70">
        <f t="shared" si="58"/>
        <v>0.22246421984311224</v>
      </c>
      <c r="Q61" s="70">
        <f t="shared" si="58"/>
        <v>0.22546056663017264</v>
      </c>
      <c r="R61" s="70">
        <f t="shared" si="58"/>
        <v>0.22227273526221081</v>
      </c>
      <c r="S61" s="70">
        <f t="shared" si="58"/>
        <v>0.21795600582074487</v>
      </c>
      <c r="T61" s="70">
        <f t="shared" si="58"/>
        <v>0.22326192299924227</v>
      </c>
      <c r="U61" s="70">
        <f t="shared" si="58"/>
        <v>0.21647615956393895</v>
      </c>
      <c r="V61" s="70">
        <f t="shared" si="58"/>
        <v>0.22119596263589897</v>
      </c>
      <c r="W61" s="70">
        <f t="shared" si="58"/>
        <v>0.21885753005421152</v>
      </c>
      <c r="X61" s="70">
        <f t="shared" ref="X61:Y61" si="59">IF(X53=0,0,X53/X$47)</f>
        <v>0.22656266032368952</v>
      </c>
      <c r="Y61" s="70">
        <f t="shared" si="59"/>
        <v>0.24301256556667719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4873.4064763197575</v>
      </c>
      <c r="C65" s="80">
        <v>4195.8633328386622</v>
      </c>
      <c r="D65" s="80">
        <v>4032.9449613836359</v>
      </c>
      <c r="E65" s="80">
        <v>4967.4319437265813</v>
      </c>
      <c r="F65" s="80">
        <v>5094.1453232182703</v>
      </c>
      <c r="G65" s="80">
        <v>3631.8524045392178</v>
      </c>
      <c r="H65" s="80">
        <v>3878.7859518593273</v>
      </c>
      <c r="I65" s="80">
        <v>3427.3253374371466</v>
      </c>
      <c r="J65" s="80">
        <v>3878.1842019754408</v>
      </c>
      <c r="K65" s="80">
        <v>3310.0359004115703</v>
      </c>
      <c r="L65" s="80">
        <v>3512.0491542501122</v>
      </c>
      <c r="M65" s="80">
        <v>3373.0663455546378</v>
      </c>
      <c r="N65" s="80">
        <v>3194.3598601619265</v>
      </c>
      <c r="O65" s="80">
        <v>3059.976754198432</v>
      </c>
      <c r="P65" s="80">
        <v>2966.2376433994223</v>
      </c>
      <c r="Q65" s="80">
        <v>2997.7105444107765</v>
      </c>
      <c r="R65" s="80">
        <v>3061.7158616765864</v>
      </c>
      <c r="S65" s="80">
        <v>3268.5008713751367</v>
      </c>
      <c r="T65" s="80">
        <v>2949.5017833464967</v>
      </c>
      <c r="U65" s="80">
        <v>3128.6861158006618</v>
      </c>
      <c r="V65" s="80">
        <v>2843.2015265428017</v>
      </c>
      <c r="W65" s="80">
        <v>2737.9219156582876</v>
      </c>
      <c r="X65" s="80">
        <v>2461.6881928183516</v>
      </c>
      <c r="Y65" s="80">
        <v>2171.277967731115</v>
      </c>
      <c r="DA65" s="103" t="s">
        <v>219</v>
      </c>
    </row>
    <row r="66" spans="1:105" ht="12" customHeight="1" x14ac:dyDescent="0.25">
      <c r="A66" s="58" t="s">
        <v>29</v>
      </c>
      <c r="B66" s="59">
        <v>2068.9208949597582</v>
      </c>
      <c r="C66" s="59">
        <v>922.95179803866131</v>
      </c>
      <c r="D66" s="59">
        <v>940.03243550363538</v>
      </c>
      <c r="E66" s="59">
        <v>1825.5555248589017</v>
      </c>
      <c r="F66" s="59">
        <v>1988.1590048754501</v>
      </c>
      <c r="G66" s="59">
        <v>349.01354098752444</v>
      </c>
      <c r="H66" s="59">
        <v>698.64811837436275</v>
      </c>
      <c r="I66" s="59">
        <v>241.22923368494625</v>
      </c>
      <c r="J66" s="59">
        <v>345.29552755500123</v>
      </c>
      <c r="K66" s="59">
        <v>114.43691249818849</v>
      </c>
      <c r="L66" s="59">
        <v>164.54821949468834</v>
      </c>
      <c r="M66" s="59">
        <v>143.39808860008307</v>
      </c>
      <c r="N66" s="59">
        <v>135.18271954092796</v>
      </c>
      <c r="O66" s="59">
        <v>134.05048082863703</v>
      </c>
      <c r="P66" s="59">
        <v>118.26760218831112</v>
      </c>
      <c r="Q66" s="59">
        <v>104.96348819650109</v>
      </c>
      <c r="R66" s="59">
        <v>134.34343944745774</v>
      </c>
      <c r="S66" s="59">
        <v>130.90967869386188</v>
      </c>
      <c r="T66" s="59">
        <v>91.465275817678986</v>
      </c>
      <c r="U66" s="59">
        <v>110.66759318474725</v>
      </c>
      <c r="V66" s="59">
        <v>83.870983789761056</v>
      </c>
      <c r="W66" s="59">
        <v>96.350741713318556</v>
      </c>
      <c r="X66" s="59">
        <v>96.092476250449067</v>
      </c>
      <c r="Y66" s="59">
        <v>45.046414062110543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18.98050752</v>
      </c>
      <c r="C67" s="55">
        <f t="shared" ref="C67:W67" si="60">SUM(C68:C69)</f>
        <v>9.3187270799999986</v>
      </c>
      <c r="D67" s="55">
        <f t="shared" si="60"/>
        <v>40.400801999999992</v>
      </c>
      <c r="E67" s="55">
        <f t="shared" si="60"/>
        <v>37.283177880000011</v>
      </c>
      <c r="F67" s="55">
        <f t="shared" si="60"/>
        <v>49.630591079999995</v>
      </c>
      <c r="G67" s="55">
        <f t="shared" si="60"/>
        <v>37.138832640000004</v>
      </c>
      <c r="H67" s="55">
        <f t="shared" si="60"/>
        <v>46.932784560000002</v>
      </c>
      <c r="I67" s="55">
        <f t="shared" si="60"/>
        <v>47.386951559999993</v>
      </c>
      <c r="J67" s="55">
        <f t="shared" si="60"/>
        <v>50.311257839999996</v>
      </c>
      <c r="K67" s="55">
        <f t="shared" si="60"/>
        <v>37.766645279999999</v>
      </c>
      <c r="L67" s="55">
        <f t="shared" si="60"/>
        <v>50.281990919999998</v>
      </c>
      <c r="M67" s="55">
        <f t="shared" si="60"/>
        <v>37.834643159999992</v>
      </c>
      <c r="N67" s="55">
        <f t="shared" si="60"/>
        <v>62.411841359999997</v>
      </c>
      <c r="O67" s="55">
        <f t="shared" si="60"/>
        <v>46.983640680000008</v>
      </c>
      <c r="P67" s="55">
        <f t="shared" si="60"/>
        <v>31.343118480000001</v>
      </c>
      <c r="Q67" s="55">
        <f t="shared" si="60"/>
        <v>65.700526679999996</v>
      </c>
      <c r="R67" s="55">
        <f t="shared" si="60"/>
        <v>62.655826319999989</v>
      </c>
      <c r="S67" s="55">
        <f t="shared" si="60"/>
        <v>62.523415079999999</v>
      </c>
      <c r="T67" s="55">
        <f t="shared" si="60"/>
        <v>40.986857519999987</v>
      </c>
      <c r="U67" s="55">
        <f t="shared" si="60"/>
        <v>38.071622159999997</v>
      </c>
      <c r="V67" s="55">
        <f t="shared" si="60"/>
        <v>43.988534999999999</v>
      </c>
      <c r="W67" s="55">
        <f t="shared" si="60"/>
        <v>56.450763360000003</v>
      </c>
      <c r="X67" s="55">
        <f t="shared" ref="X67:Y67" si="61">SUM(X68:X69)</f>
        <v>43.907892840000002</v>
      </c>
      <c r="Y67" s="55">
        <f t="shared" si="61"/>
        <v>53.343095759999997</v>
      </c>
      <c r="DA67" s="101"/>
    </row>
    <row r="68" spans="1:105" ht="12" customHeight="1" x14ac:dyDescent="0.25">
      <c r="A68" s="61" t="s">
        <v>52</v>
      </c>
      <c r="B68" s="55">
        <v>0</v>
      </c>
      <c r="C68" s="55">
        <v>0</v>
      </c>
      <c r="D68" s="55">
        <v>0</v>
      </c>
      <c r="E68" s="55">
        <v>0</v>
      </c>
      <c r="F68" s="55">
        <v>0</v>
      </c>
      <c r="G68" s="55">
        <v>0</v>
      </c>
      <c r="H68" s="55">
        <v>0</v>
      </c>
      <c r="I68" s="55">
        <v>0</v>
      </c>
      <c r="J68" s="55">
        <v>0</v>
      </c>
      <c r="K68" s="55">
        <v>0</v>
      </c>
      <c r="L68" s="55">
        <v>0</v>
      </c>
      <c r="M68" s="55">
        <v>0</v>
      </c>
      <c r="N68" s="55">
        <v>0</v>
      </c>
      <c r="O68" s="55">
        <v>0</v>
      </c>
      <c r="P68" s="55">
        <v>0</v>
      </c>
      <c r="Q68" s="55">
        <v>0</v>
      </c>
      <c r="R68" s="55">
        <v>0</v>
      </c>
      <c r="S68" s="55">
        <v>0</v>
      </c>
      <c r="T68" s="55">
        <v>0</v>
      </c>
      <c r="U68" s="55">
        <v>0</v>
      </c>
      <c r="V68" s="55">
        <v>0</v>
      </c>
      <c r="W68" s="55">
        <v>0</v>
      </c>
      <c r="X68" s="55">
        <v>0</v>
      </c>
      <c r="Y68" s="55">
        <v>0</v>
      </c>
      <c r="DA68" s="101" t="s">
        <v>221</v>
      </c>
    </row>
    <row r="69" spans="1:105" ht="12" customHeight="1" x14ac:dyDescent="0.25">
      <c r="A69" s="61" t="s">
        <v>163</v>
      </c>
      <c r="B69" s="55">
        <v>18.98050752</v>
      </c>
      <c r="C69" s="55">
        <v>9.3187270799999986</v>
      </c>
      <c r="D69" s="55">
        <v>40.400801999999992</v>
      </c>
      <c r="E69" s="55">
        <v>37.283177880000011</v>
      </c>
      <c r="F69" s="55">
        <v>49.630591079999995</v>
      </c>
      <c r="G69" s="55">
        <v>37.138832640000004</v>
      </c>
      <c r="H69" s="55">
        <v>46.932784560000002</v>
      </c>
      <c r="I69" s="55">
        <v>47.386951559999993</v>
      </c>
      <c r="J69" s="55">
        <v>50.311257839999996</v>
      </c>
      <c r="K69" s="55">
        <v>37.766645279999999</v>
      </c>
      <c r="L69" s="55">
        <v>50.281990919999998</v>
      </c>
      <c r="M69" s="55">
        <v>37.834643159999992</v>
      </c>
      <c r="N69" s="55">
        <v>62.411841359999997</v>
      </c>
      <c r="O69" s="55">
        <v>46.983640680000008</v>
      </c>
      <c r="P69" s="55">
        <v>31.343118480000001</v>
      </c>
      <c r="Q69" s="55">
        <v>65.700526679999996</v>
      </c>
      <c r="R69" s="55">
        <v>62.655826319999989</v>
      </c>
      <c r="S69" s="55">
        <v>62.523415079999999</v>
      </c>
      <c r="T69" s="55">
        <v>40.986857519999987</v>
      </c>
      <c r="U69" s="55">
        <v>38.071622159999997</v>
      </c>
      <c r="V69" s="55">
        <v>43.988534999999999</v>
      </c>
      <c r="W69" s="55">
        <v>56.450763360000003</v>
      </c>
      <c r="X69" s="55">
        <v>43.907892840000002</v>
      </c>
      <c r="Y69" s="55">
        <v>53.343095759999997</v>
      </c>
      <c r="DA69" s="101" t="s">
        <v>222</v>
      </c>
    </row>
    <row r="70" spans="1:105" ht="12" customHeight="1" x14ac:dyDescent="0.25">
      <c r="A70" s="60" t="s">
        <v>149</v>
      </c>
      <c r="B70" s="55">
        <v>2741.1525899999988</v>
      </c>
      <c r="C70" s="55">
        <v>3201.9243300000012</v>
      </c>
      <c r="D70" s="55">
        <v>2997.4398300000007</v>
      </c>
      <c r="E70" s="55">
        <v>3039.2455499999987</v>
      </c>
      <c r="F70" s="55">
        <v>2993.2491599999998</v>
      </c>
      <c r="G70" s="55">
        <v>3168.7019099999998</v>
      </c>
      <c r="H70" s="55">
        <v>3059.0881200000008</v>
      </c>
      <c r="I70" s="55">
        <v>3038.9931000000001</v>
      </c>
      <c r="J70" s="55">
        <v>3367.7839800000006</v>
      </c>
      <c r="K70" s="55">
        <v>3057.4724399999996</v>
      </c>
      <c r="L70" s="55">
        <v>3174.7102200000004</v>
      </c>
      <c r="M70" s="55">
        <v>3072.8213999999998</v>
      </c>
      <c r="N70" s="55">
        <v>2875.1025600000003</v>
      </c>
      <c r="O70" s="55">
        <v>2741.6070000000004</v>
      </c>
      <c r="P70" s="55">
        <v>2674.1018699999991</v>
      </c>
      <c r="Q70" s="55">
        <v>2669.5577699999994</v>
      </c>
      <c r="R70" s="55">
        <v>2722.9335764399993</v>
      </c>
      <c r="S70" s="55">
        <v>2933.1155700000013</v>
      </c>
      <c r="T70" s="55">
        <v>2668.6535950800007</v>
      </c>
      <c r="U70" s="55">
        <v>2818.7252240399994</v>
      </c>
      <c r="V70" s="55">
        <v>2569.325706522297</v>
      </c>
      <c r="W70" s="55">
        <v>2427.9213960589482</v>
      </c>
      <c r="X70" s="55">
        <v>2173.2815344125956</v>
      </c>
      <c r="Y70" s="55">
        <v>1945.1510860201479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44.352483840000005</v>
      </c>
      <c r="C71" s="55">
        <f t="shared" ref="C71:W71" si="62">SUM(C72:C76)</f>
        <v>61.668477719999998</v>
      </c>
      <c r="D71" s="55">
        <f t="shared" si="62"/>
        <v>55.071893880000005</v>
      </c>
      <c r="E71" s="55">
        <f t="shared" si="62"/>
        <v>65.347690987680522</v>
      </c>
      <c r="F71" s="55">
        <f t="shared" si="62"/>
        <v>63.106567262820221</v>
      </c>
      <c r="G71" s="55">
        <f t="shared" si="62"/>
        <v>76.998120911693761</v>
      </c>
      <c r="H71" s="55">
        <f t="shared" si="62"/>
        <v>74.116928924963702</v>
      </c>
      <c r="I71" s="55">
        <f t="shared" si="62"/>
        <v>99.716052192200095</v>
      </c>
      <c r="J71" s="55">
        <f t="shared" si="62"/>
        <v>114.79343658043888</v>
      </c>
      <c r="K71" s="55">
        <f t="shared" si="62"/>
        <v>100.35990263338238</v>
      </c>
      <c r="L71" s="55">
        <f t="shared" si="62"/>
        <v>122.50872383542357</v>
      </c>
      <c r="M71" s="55">
        <f t="shared" si="62"/>
        <v>119.01221379455501</v>
      </c>
      <c r="N71" s="55">
        <f t="shared" si="62"/>
        <v>121.66273926099842</v>
      </c>
      <c r="O71" s="55">
        <f t="shared" si="62"/>
        <v>137.33563268979464</v>
      </c>
      <c r="P71" s="55">
        <f t="shared" si="62"/>
        <v>142.52505273111225</v>
      </c>
      <c r="Q71" s="55">
        <f t="shared" si="62"/>
        <v>157.48875953427623</v>
      </c>
      <c r="R71" s="55">
        <f t="shared" si="62"/>
        <v>141.78301946912904</v>
      </c>
      <c r="S71" s="55">
        <f t="shared" si="62"/>
        <v>141.95220760127364</v>
      </c>
      <c r="T71" s="55">
        <f t="shared" si="62"/>
        <v>148.39605492881734</v>
      </c>
      <c r="U71" s="55">
        <f t="shared" si="62"/>
        <v>161.22167641591511</v>
      </c>
      <c r="V71" s="55">
        <f t="shared" si="62"/>
        <v>146.01630123074384</v>
      </c>
      <c r="W71" s="55">
        <f t="shared" si="62"/>
        <v>157.19901452602124</v>
      </c>
      <c r="X71" s="55">
        <f t="shared" ref="X71:Y71" si="63">SUM(X72:X76)</f>
        <v>148.40628931530671</v>
      </c>
      <c r="Y71" s="55">
        <f t="shared" si="63"/>
        <v>127.7373718888568</v>
      </c>
      <c r="DA71" s="101"/>
    </row>
    <row r="72" spans="1:105" ht="12" customHeight="1" x14ac:dyDescent="0.25">
      <c r="A72" s="61" t="s">
        <v>164</v>
      </c>
      <c r="B72" s="55">
        <v>44.352483840000005</v>
      </c>
      <c r="C72" s="55">
        <v>61.668477719999998</v>
      </c>
      <c r="D72" s="55">
        <v>55.071893880000005</v>
      </c>
      <c r="E72" s="55">
        <v>65.347690987680522</v>
      </c>
      <c r="F72" s="55">
        <v>63.106567262820221</v>
      </c>
      <c r="G72" s="55">
        <v>76.998120911693761</v>
      </c>
      <c r="H72" s="55">
        <v>74.116928924963702</v>
      </c>
      <c r="I72" s="55">
        <v>99.716052192200095</v>
      </c>
      <c r="J72" s="55">
        <v>114.79343658043888</v>
      </c>
      <c r="K72" s="55">
        <v>100.35990263338238</v>
      </c>
      <c r="L72" s="55">
        <v>122.50872383542357</v>
      </c>
      <c r="M72" s="55">
        <v>119.01221379455501</v>
      </c>
      <c r="N72" s="55">
        <v>121.66273926099842</v>
      </c>
      <c r="O72" s="55">
        <v>137.33563268979464</v>
      </c>
      <c r="P72" s="55">
        <v>142.52505273111225</v>
      </c>
      <c r="Q72" s="55">
        <v>157.48875953427623</v>
      </c>
      <c r="R72" s="55">
        <v>141.78301946912904</v>
      </c>
      <c r="S72" s="55">
        <v>141.95220760127364</v>
      </c>
      <c r="T72" s="55">
        <v>148.39605492881734</v>
      </c>
      <c r="U72" s="55">
        <v>161.22167641591511</v>
      </c>
      <c r="V72" s="55">
        <v>146.01630123074384</v>
      </c>
      <c r="W72" s="55">
        <v>157.19901452602124</v>
      </c>
      <c r="X72" s="55">
        <v>148.40628931530671</v>
      </c>
      <c r="Y72" s="55">
        <v>127.7373718888568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4873.4064763197575</v>
      </c>
      <c r="C81" s="82">
        <f t="shared" ref="C81:W81" si="65">C82+C87</f>
        <v>4195.8633328386622</v>
      </c>
      <c r="D81" s="82">
        <f t="shared" si="65"/>
        <v>4032.9449613836364</v>
      </c>
      <c r="E81" s="82">
        <f t="shared" si="65"/>
        <v>4967.4319437265822</v>
      </c>
      <c r="F81" s="82">
        <f t="shared" si="65"/>
        <v>5094.1453232182703</v>
      </c>
      <c r="G81" s="82">
        <f t="shared" si="65"/>
        <v>3631.8524045392178</v>
      </c>
      <c r="H81" s="82">
        <f t="shared" si="65"/>
        <v>3878.7859518593277</v>
      </c>
      <c r="I81" s="82">
        <f t="shared" si="65"/>
        <v>3427.3253374371479</v>
      </c>
      <c r="J81" s="82">
        <f t="shared" si="65"/>
        <v>3878.1842019754417</v>
      </c>
      <c r="K81" s="82">
        <f t="shared" si="65"/>
        <v>3310.0359004115708</v>
      </c>
      <c r="L81" s="82">
        <f t="shared" si="65"/>
        <v>3512.04915425011</v>
      </c>
      <c r="M81" s="82">
        <f t="shared" si="65"/>
        <v>3373.0663455546396</v>
      </c>
      <c r="N81" s="82">
        <f t="shared" si="65"/>
        <v>3194.3598601619278</v>
      </c>
      <c r="O81" s="82">
        <f t="shared" si="65"/>
        <v>3059.9767541984329</v>
      </c>
      <c r="P81" s="82">
        <f t="shared" si="65"/>
        <v>2966.2376433994232</v>
      </c>
      <c r="Q81" s="82">
        <f t="shared" si="65"/>
        <v>2997.7105444107765</v>
      </c>
      <c r="R81" s="82">
        <f t="shared" si="65"/>
        <v>3061.7158616765851</v>
      </c>
      <c r="S81" s="82">
        <f t="shared" si="65"/>
        <v>3268.5008713751386</v>
      </c>
      <c r="T81" s="82">
        <f t="shared" si="65"/>
        <v>2949.501783346494</v>
      </c>
      <c r="U81" s="82">
        <f t="shared" si="65"/>
        <v>3128.6861158006623</v>
      </c>
      <c r="V81" s="82">
        <f t="shared" si="65"/>
        <v>2843.2015265428013</v>
      </c>
      <c r="W81" s="82">
        <f t="shared" si="65"/>
        <v>2737.9219156582872</v>
      </c>
      <c r="X81" s="82">
        <f t="shared" ref="X81:Y81" si="66">X82+X87</f>
        <v>2461.6881928183502</v>
      </c>
      <c r="Y81" s="82">
        <f t="shared" si="66"/>
        <v>2171.2779677311146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4873.4064763197575</v>
      </c>
      <c r="C82" s="64">
        <f t="shared" ref="C82:W82" si="68">SUM(C83:C86)</f>
        <v>4195.8633328386622</v>
      </c>
      <c r="D82" s="64">
        <f t="shared" si="68"/>
        <v>4032.9449613836364</v>
      </c>
      <c r="E82" s="64">
        <f t="shared" si="68"/>
        <v>4967.4319437265822</v>
      </c>
      <c r="F82" s="64">
        <f t="shared" si="68"/>
        <v>5094.1453232182703</v>
      </c>
      <c r="G82" s="64">
        <f t="shared" si="68"/>
        <v>3631.8524045392178</v>
      </c>
      <c r="H82" s="64">
        <f t="shared" si="68"/>
        <v>3878.7859518593277</v>
      </c>
      <c r="I82" s="64">
        <f t="shared" si="68"/>
        <v>3427.3253374371479</v>
      </c>
      <c r="J82" s="64">
        <f t="shared" si="68"/>
        <v>3878.1842019754417</v>
      </c>
      <c r="K82" s="64">
        <f t="shared" si="68"/>
        <v>3310.0359004115708</v>
      </c>
      <c r="L82" s="64">
        <f t="shared" si="68"/>
        <v>3512.04915425011</v>
      </c>
      <c r="M82" s="64">
        <f t="shared" si="68"/>
        <v>3373.0663455546396</v>
      </c>
      <c r="N82" s="64">
        <f t="shared" si="68"/>
        <v>3194.3598601619278</v>
      </c>
      <c r="O82" s="64">
        <f t="shared" si="68"/>
        <v>3059.9767541984329</v>
      </c>
      <c r="P82" s="64">
        <f t="shared" si="68"/>
        <v>2966.2376433994232</v>
      </c>
      <c r="Q82" s="64">
        <f t="shared" si="68"/>
        <v>2997.7105444107765</v>
      </c>
      <c r="R82" s="64">
        <f t="shared" si="68"/>
        <v>3061.7158616765851</v>
      </c>
      <c r="S82" s="64">
        <f t="shared" si="68"/>
        <v>3268.5008713751386</v>
      </c>
      <c r="T82" s="64">
        <f t="shared" si="68"/>
        <v>2949.501783346494</v>
      </c>
      <c r="U82" s="64">
        <f t="shared" si="68"/>
        <v>3128.6861158006623</v>
      </c>
      <c r="V82" s="64">
        <f t="shared" si="68"/>
        <v>2843.2015265428013</v>
      </c>
      <c r="W82" s="64">
        <f t="shared" si="68"/>
        <v>2737.9219156582872</v>
      </c>
      <c r="X82" s="64">
        <f t="shared" ref="X82:Y82" si="69">SUM(X83:X86)</f>
        <v>2461.6881928183502</v>
      </c>
      <c r="Y82" s="64">
        <f t="shared" si="69"/>
        <v>2171.2779677311146</v>
      </c>
      <c r="DA82" s="108" t="s">
        <v>233</v>
      </c>
    </row>
    <row r="83" spans="1:105" ht="12" customHeight="1" x14ac:dyDescent="0.25">
      <c r="A83" s="61" t="s">
        <v>32</v>
      </c>
      <c r="B83" s="65">
        <v>4419.6250078461608</v>
      </c>
      <c r="C83" s="65">
        <v>3694.618647361558</v>
      </c>
      <c r="D83" s="65">
        <v>3522.7178690230994</v>
      </c>
      <c r="E83" s="65">
        <v>4462.6425140534775</v>
      </c>
      <c r="F83" s="65">
        <v>4578.2995039406569</v>
      </c>
      <c r="G83" s="65">
        <v>3098.6711605977853</v>
      </c>
      <c r="H83" s="65">
        <v>3331.8751294538197</v>
      </c>
      <c r="I83" s="65">
        <v>2857.9597116824639</v>
      </c>
      <c r="J83" s="65">
        <v>3279.1197410414788</v>
      </c>
      <c r="K83" s="65">
        <v>2623.9077507507218</v>
      </c>
      <c r="L83" s="65">
        <v>2846.3943087296957</v>
      </c>
      <c r="M83" s="65">
        <v>2700.4080357884845</v>
      </c>
      <c r="N83" s="65">
        <v>2517.583527869077</v>
      </c>
      <c r="O83" s="65">
        <v>2380.1825635160581</v>
      </c>
      <c r="P83" s="65">
        <v>2279.642295318029</v>
      </c>
      <c r="Q83" s="65">
        <v>2307.4217600684169</v>
      </c>
      <c r="R83" s="65">
        <v>2336.2762496528462</v>
      </c>
      <c r="S83" s="65">
        <v>2457.0488742049342</v>
      </c>
      <c r="T83" s="65">
        <v>2195.3399928053987</v>
      </c>
      <c r="U83" s="65">
        <v>2320.7978626389026</v>
      </c>
      <c r="V83" s="65">
        <v>2101.5843579900334</v>
      </c>
      <c r="W83" s="65">
        <v>2009.5583389531714</v>
      </c>
      <c r="X83" s="65">
        <v>1802.8965551333172</v>
      </c>
      <c r="Y83" s="65">
        <v>1574.0805337649347</v>
      </c>
      <c r="DA83" s="109" t="s">
        <v>234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9.801603999119668E-2</v>
      </c>
      <c r="H84" s="65">
        <v>0.12694284866048677</v>
      </c>
      <c r="I84" s="65">
        <v>0.17959043174098091</v>
      </c>
      <c r="J84" s="65">
        <v>0.18617402847802816</v>
      </c>
      <c r="K84" s="65">
        <v>0.24151830967403431</v>
      </c>
      <c r="L84" s="65">
        <v>0.24809875744193091</v>
      </c>
      <c r="M84" s="65">
        <v>0.26387116145462097</v>
      </c>
      <c r="N84" s="65">
        <v>0.27651294778979751</v>
      </c>
      <c r="O84" s="65">
        <v>0.34269392591068903</v>
      </c>
      <c r="P84" s="65">
        <v>0.476591564028788</v>
      </c>
      <c r="Q84" s="65">
        <v>0.8828343647976401</v>
      </c>
      <c r="R84" s="65">
        <v>0.88541003850930722</v>
      </c>
      <c r="S84" s="65">
        <v>1.0821645409914136</v>
      </c>
      <c r="T84" s="65">
        <v>1.3799610648343268</v>
      </c>
      <c r="U84" s="65">
        <v>1.4053968117668254</v>
      </c>
      <c r="V84" s="65">
        <v>1.5267775963752535</v>
      </c>
      <c r="W84" s="65">
        <v>1.6242342331404471</v>
      </c>
      <c r="X84" s="65">
        <v>1.6960304391344507</v>
      </c>
      <c r="Y84" s="65">
        <v>1.7509501380652885</v>
      </c>
      <c r="DA84" s="109" t="s">
        <v>235</v>
      </c>
    </row>
    <row r="85" spans="1:105" ht="12" customHeight="1" x14ac:dyDescent="0.25">
      <c r="A85" s="61" t="s">
        <v>35</v>
      </c>
      <c r="B85" s="65">
        <v>200.33494096374662</v>
      </c>
      <c r="C85" s="65">
        <v>200.75192827945196</v>
      </c>
      <c r="D85" s="65">
        <v>208.00723243422433</v>
      </c>
      <c r="E85" s="65">
        <v>208.06542754246914</v>
      </c>
      <c r="F85" s="65">
        <v>210.44964780754046</v>
      </c>
      <c r="G85" s="65">
        <v>223.21496854260954</v>
      </c>
      <c r="H85" s="65">
        <v>235.6908704447269</v>
      </c>
      <c r="I85" s="65">
        <v>246.81428028393617</v>
      </c>
      <c r="J85" s="65">
        <v>261.97958768852448</v>
      </c>
      <c r="K85" s="65">
        <v>315.4263328493916</v>
      </c>
      <c r="L85" s="65">
        <v>298.82773359396452</v>
      </c>
      <c r="M85" s="65">
        <v>301.25925957893043</v>
      </c>
      <c r="N85" s="65">
        <v>304.87394031247101</v>
      </c>
      <c r="O85" s="65">
        <v>306.4114607708774</v>
      </c>
      <c r="P85" s="65">
        <v>307.90506674267363</v>
      </c>
      <c r="Q85" s="65">
        <v>310.74649620608864</v>
      </c>
      <c r="R85" s="65">
        <v>313.41293195586184</v>
      </c>
      <c r="S85" s="65">
        <v>336.17703953820626</v>
      </c>
      <c r="T85" s="65">
        <v>304.75004692820033</v>
      </c>
      <c r="U85" s="65">
        <v>321.9365529463505</v>
      </c>
      <c r="V85" s="65">
        <v>296.9715986643177</v>
      </c>
      <c r="W85" s="65">
        <v>291.33349989034878</v>
      </c>
      <c r="X85" s="65">
        <v>259.57254093147947</v>
      </c>
      <c r="Y85" s="65">
        <v>230.72141076907511</v>
      </c>
      <c r="DA85" s="109" t="s">
        <v>236</v>
      </c>
    </row>
    <row r="86" spans="1:105" ht="12" customHeight="1" x14ac:dyDescent="0.25">
      <c r="A86" s="66" t="s">
        <v>34</v>
      </c>
      <c r="B86" s="67">
        <v>253.44652750984972</v>
      </c>
      <c r="C86" s="67">
        <v>300.49275719765228</v>
      </c>
      <c r="D86" s="67">
        <v>302.21985992631238</v>
      </c>
      <c r="E86" s="67">
        <v>296.72400213063503</v>
      </c>
      <c r="F86" s="67">
        <v>305.39617147007243</v>
      </c>
      <c r="G86" s="67">
        <v>309.86825935883172</v>
      </c>
      <c r="H86" s="67">
        <v>311.09300911212068</v>
      </c>
      <c r="I86" s="67">
        <v>322.37175503900716</v>
      </c>
      <c r="J86" s="67">
        <v>336.89869921696027</v>
      </c>
      <c r="K86" s="67">
        <v>370.46029850178331</v>
      </c>
      <c r="L86" s="67">
        <v>366.57901316900768</v>
      </c>
      <c r="M86" s="67">
        <v>371.1351790257699</v>
      </c>
      <c r="N86" s="67">
        <v>371.62587903259009</v>
      </c>
      <c r="O86" s="67">
        <v>373.04003598558648</v>
      </c>
      <c r="P86" s="67">
        <v>378.21368977469166</v>
      </c>
      <c r="Q86" s="67">
        <v>378.65945377147347</v>
      </c>
      <c r="R86" s="67">
        <v>411.14127002936749</v>
      </c>
      <c r="S86" s="67">
        <v>474.19279309100654</v>
      </c>
      <c r="T86" s="67">
        <v>448.03178254806079</v>
      </c>
      <c r="U86" s="67">
        <v>484.54630340364207</v>
      </c>
      <c r="V86" s="67">
        <v>443.11879229207494</v>
      </c>
      <c r="W86" s="67">
        <v>435.40584258162642</v>
      </c>
      <c r="X86" s="67">
        <v>397.52306631441957</v>
      </c>
      <c r="Y86" s="67">
        <v>364.72507305903963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0.9068861851194735</v>
      </c>
      <c r="C91" s="71">
        <f t="shared" ref="C91:W91" si="77">IF(C83=0,0,C83/C$81)</f>
        <v>0.88053836702588861</v>
      </c>
      <c r="D91" s="71">
        <f t="shared" si="77"/>
        <v>0.8734852329386894</v>
      </c>
      <c r="E91" s="71">
        <f t="shared" si="77"/>
        <v>0.89838020220677439</v>
      </c>
      <c r="F91" s="71">
        <f t="shared" si="77"/>
        <v>0.89873751403862123</v>
      </c>
      <c r="G91" s="71">
        <f t="shared" si="77"/>
        <v>0.85319303084149467</v>
      </c>
      <c r="H91" s="71">
        <f t="shared" si="77"/>
        <v>0.85899948355145972</v>
      </c>
      <c r="I91" s="71">
        <f t="shared" si="77"/>
        <v>0.83387464868437655</v>
      </c>
      <c r="J91" s="71">
        <f t="shared" si="77"/>
        <v>0.84552965260680091</v>
      </c>
      <c r="K91" s="71">
        <f t="shared" si="77"/>
        <v>0.79271277705008103</v>
      </c>
      <c r="L91" s="71">
        <f t="shared" si="77"/>
        <v>0.81046539604524859</v>
      </c>
      <c r="M91" s="71">
        <f t="shared" si="77"/>
        <v>0.800579579274315</v>
      </c>
      <c r="N91" s="71">
        <f t="shared" si="77"/>
        <v>0.78813397302752741</v>
      </c>
      <c r="O91" s="71">
        <f t="shared" si="77"/>
        <v>0.7778433480745679</v>
      </c>
      <c r="P91" s="71">
        <f t="shared" si="77"/>
        <v>0.76852989186175613</v>
      </c>
      <c r="Q91" s="71">
        <f t="shared" si="77"/>
        <v>0.76972800605135105</v>
      </c>
      <c r="R91" s="71">
        <f t="shared" si="77"/>
        <v>0.76306109227703101</v>
      </c>
      <c r="S91" s="71">
        <f t="shared" si="77"/>
        <v>0.75173572561147683</v>
      </c>
      <c r="T91" s="71">
        <f t="shared" si="77"/>
        <v>0.74430875248177475</v>
      </c>
      <c r="U91" s="71">
        <f t="shared" si="77"/>
        <v>0.74178034380575342</v>
      </c>
      <c r="V91" s="71">
        <f t="shared" si="77"/>
        <v>0.73916123720764204</v>
      </c>
      <c r="W91" s="71">
        <f t="shared" si="77"/>
        <v>0.73397211493155645</v>
      </c>
      <c r="X91" s="71">
        <f t="shared" ref="X91:Y91" si="78">IF(X83=0,0,X83/X$81)</f>
        <v>0.73238217593642829</v>
      </c>
      <c r="Y91" s="71">
        <f t="shared" si="78"/>
        <v>0.72495578970470387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0</v>
      </c>
      <c r="C92" s="72">
        <f t="shared" ref="C92:W92" si="80">IF(C84=0,0,C84/C$81)</f>
        <v>0</v>
      </c>
      <c r="D92" s="72">
        <f t="shared" si="80"/>
        <v>0</v>
      </c>
      <c r="E92" s="72">
        <f t="shared" si="80"/>
        <v>0</v>
      </c>
      <c r="F92" s="72">
        <f t="shared" si="80"/>
        <v>0</v>
      </c>
      <c r="G92" s="72">
        <f t="shared" si="80"/>
        <v>2.6987891872668825E-5</v>
      </c>
      <c r="H92" s="72">
        <f t="shared" si="80"/>
        <v>3.2727469428839117E-5</v>
      </c>
      <c r="I92" s="72">
        <f t="shared" si="80"/>
        <v>5.2399586867138007E-5</v>
      </c>
      <c r="J92" s="72">
        <f t="shared" si="80"/>
        <v>4.8005463067792443E-5</v>
      </c>
      <c r="K92" s="72">
        <f t="shared" si="80"/>
        <v>7.2965465312326027E-5</v>
      </c>
      <c r="L92" s="72">
        <f t="shared" si="80"/>
        <v>7.0642165455370669E-5</v>
      </c>
      <c r="M92" s="72">
        <f t="shared" si="80"/>
        <v>7.8228867867475093E-5</v>
      </c>
      <c r="N92" s="72">
        <f t="shared" si="80"/>
        <v>8.6562867020179924E-5</v>
      </c>
      <c r="O92" s="72">
        <f t="shared" si="80"/>
        <v>1.1199232982423698E-4</v>
      </c>
      <c r="P92" s="72">
        <f t="shared" si="80"/>
        <v>1.6067207733315515E-4</v>
      </c>
      <c r="Q92" s="72">
        <f t="shared" si="80"/>
        <v>2.9450287201467215E-4</v>
      </c>
      <c r="R92" s="72">
        <f t="shared" si="80"/>
        <v>2.8918752703082636E-4</v>
      </c>
      <c r="S92" s="72">
        <f t="shared" si="80"/>
        <v>3.3108895593964472E-4</v>
      </c>
      <c r="T92" s="72">
        <f t="shared" si="80"/>
        <v>4.678624276906278E-4</v>
      </c>
      <c r="U92" s="72">
        <f t="shared" si="80"/>
        <v>4.4919712612563254E-4</v>
      </c>
      <c r="V92" s="72">
        <f t="shared" si="80"/>
        <v>5.3699239470785703E-4</v>
      </c>
      <c r="W92" s="72">
        <f t="shared" si="80"/>
        <v>5.9323614156100849E-4</v>
      </c>
      <c r="X92" s="72">
        <f t="shared" ref="X92:Y92" si="81">IF(X84=0,0,X84/X$81)</f>
        <v>6.8897045697436223E-4</v>
      </c>
      <c r="Y92" s="72">
        <f t="shared" si="81"/>
        <v>8.0641454668052049E-4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4.1107784039190846E-2</v>
      </c>
      <c r="C93" s="72">
        <f t="shared" ref="C93:W93" si="83">IF(C85=0,0,C85/C$81)</f>
        <v>4.7845201894036807E-2</v>
      </c>
      <c r="D93" s="72">
        <f t="shared" si="83"/>
        <v>5.1577007478639261E-2</v>
      </c>
      <c r="E93" s="72">
        <f t="shared" si="83"/>
        <v>4.188591406979153E-2</v>
      </c>
      <c r="F93" s="72">
        <f t="shared" si="83"/>
        <v>4.1312062074151251E-2</v>
      </c>
      <c r="G93" s="72">
        <f t="shared" si="83"/>
        <v>6.1460363384709019E-2</v>
      </c>
      <c r="H93" s="72">
        <f t="shared" si="83"/>
        <v>6.0764082723292978E-2</v>
      </c>
      <c r="I93" s="72">
        <f t="shared" si="83"/>
        <v>7.2013671298709142E-2</v>
      </c>
      <c r="J93" s="72">
        <f t="shared" si="83"/>
        <v>6.7552125954996975E-2</v>
      </c>
      <c r="K93" s="72">
        <f t="shared" si="83"/>
        <v>9.5293931044727165E-2</v>
      </c>
      <c r="L93" s="72">
        <f t="shared" si="83"/>
        <v>8.5086432583763194E-2</v>
      </c>
      <c r="M93" s="72">
        <f t="shared" si="83"/>
        <v>8.9313173450015201E-2</v>
      </c>
      <c r="N93" s="72">
        <f t="shared" si="83"/>
        <v>9.5441325855195408E-2</v>
      </c>
      <c r="O93" s="72">
        <f t="shared" si="83"/>
        <v>0.10013522499818549</v>
      </c>
      <c r="P93" s="72">
        <f t="shared" si="83"/>
        <v>0.10380323620659149</v>
      </c>
      <c r="Q93" s="72">
        <f t="shared" si="83"/>
        <v>0.1036612746969432</v>
      </c>
      <c r="R93" s="72">
        <f t="shared" si="83"/>
        <v>0.10236512665294747</v>
      </c>
      <c r="S93" s="72">
        <f t="shared" si="83"/>
        <v>0.10285358724618247</v>
      </c>
      <c r="T93" s="72">
        <f t="shared" si="83"/>
        <v>0.10332255048933452</v>
      </c>
      <c r="U93" s="72">
        <f t="shared" si="83"/>
        <v>0.10289832250045437</v>
      </c>
      <c r="V93" s="72">
        <f t="shared" si="83"/>
        <v>0.10444971835162917</v>
      </c>
      <c r="W93" s="72">
        <f t="shared" si="83"/>
        <v>0.10640679641891926</v>
      </c>
      <c r="X93" s="72">
        <f t="shared" ref="X93:Y93" si="84">IF(X85=0,0,X85/X$81)</f>
        <v>0.10544493071411239</v>
      </c>
      <c r="Y93" s="72">
        <f t="shared" si="84"/>
        <v>0.10626065119159679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5.2006030841335552E-2</v>
      </c>
      <c r="C94" s="73">
        <f t="shared" ref="C94:W94" si="86">IF(C86=0,0,C86/C$81)</f>
        <v>7.1616431080074622E-2</v>
      </c>
      <c r="D94" s="73">
        <f t="shared" si="86"/>
        <v>7.4937759582671265E-2</v>
      </c>
      <c r="E94" s="73">
        <f t="shared" si="86"/>
        <v>5.9733883723433925E-2</v>
      </c>
      <c r="F94" s="73">
        <f t="shared" si="86"/>
        <v>5.9950423887227419E-2</v>
      </c>
      <c r="G94" s="73">
        <f t="shared" si="86"/>
        <v>8.5319617881923673E-2</v>
      </c>
      <c r="H94" s="73">
        <f t="shared" si="86"/>
        <v>8.0203706255818449E-2</v>
      </c>
      <c r="I94" s="73">
        <f t="shared" si="86"/>
        <v>9.4059280430047285E-2</v>
      </c>
      <c r="J94" s="73">
        <f t="shared" si="86"/>
        <v>8.6870215975134238E-2</v>
      </c>
      <c r="K94" s="73">
        <f t="shared" si="86"/>
        <v>0.11192032643987945</v>
      </c>
      <c r="L94" s="73">
        <f t="shared" si="86"/>
        <v>0.10437752920553282</v>
      </c>
      <c r="M94" s="73">
        <f t="shared" si="86"/>
        <v>0.11002901840780231</v>
      </c>
      <c r="N94" s="73">
        <f t="shared" si="86"/>
        <v>0.11633813825025703</v>
      </c>
      <c r="O94" s="73">
        <f t="shared" si="86"/>
        <v>0.12190943459742232</v>
      </c>
      <c r="P94" s="73">
        <f t="shared" si="86"/>
        <v>0.12750619985431921</v>
      </c>
      <c r="Q94" s="73">
        <f t="shared" si="86"/>
        <v>0.12631621637969118</v>
      </c>
      <c r="R94" s="73">
        <f t="shared" si="86"/>
        <v>0.1342845935429906</v>
      </c>
      <c r="S94" s="73">
        <f t="shared" si="86"/>
        <v>0.14507959818640095</v>
      </c>
      <c r="T94" s="73">
        <f t="shared" si="86"/>
        <v>0.15190083460120019</v>
      </c>
      <c r="U94" s="73">
        <f t="shared" si="86"/>
        <v>0.15487213656766646</v>
      </c>
      <c r="V94" s="73">
        <f t="shared" si="86"/>
        <v>0.15585205204602098</v>
      </c>
      <c r="W94" s="73">
        <f t="shared" si="86"/>
        <v>0.15902785250796331</v>
      </c>
      <c r="X94" s="73">
        <f t="shared" ref="X94:Y94" si="87">IF(X86=0,0,X86/X$81)</f>
        <v>0.16148392289248514</v>
      </c>
      <c r="Y94" s="73">
        <f t="shared" si="87"/>
        <v>0.1679771445570189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188093.68831488595</v>
      </c>
      <c r="C99" s="82">
        <f t="shared" ref="C99:W99" si="92">C47*11630*1000/C$8</f>
        <v>183546.21331309935</v>
      </c>
      <c r="D99" s="82">
        <f t="shared" si="92"/>
        <v>172384.85055196364</v>
      </c>
      <c r="E99" s="82">
        <f t="shared" si="92"/>
        <v>187588.91137219191</v>
      </c>
      <c r="F99" s="82">
        <f t="shared" si="92"/>
        <v>176107.29785182583</v>
      </c>
      <c r="G99" s="82">
        <f t="shared" si="92"/>
        <v>154881.94371845198</v>
      </c>
      <c r="H99" s="82">
        <f t="shared" si="92"/>
        <v>147299.17106018023</v>
      </c>
      <c r="I99" s="82">
        <f t="shared" si="92"/>
        <v>136903.98059621325</v>
      </c>
      <c r="J99" s="82">
        <f t="shared" si="92"/>
        <v>143141.18021590484</v>
      </c>
      <c r="K99" s="82">
        <f t="shared" si="92"/>
        <v>135375.361413587</v>
      </c>
      <c r="L99" s="82">
        <f t="shared" si="92"/>
        <v>145862.33695949017</v>
      </c>
      <c r="M99" s="82">
        <f t="shared" si="92"/>
        <v>138808.86167476213</v>
      </c>
      <c r="N99" s="82">
        <f t="shared" si="92"/>
        <v>133977.23175159047</v>
      </c>
      <c r="O99" s="82">
        <f t="shared" si="92"/>
        <v>131388.32732993993</v>
      </c>
      <c r="P99" s="82">
        <f t="shared" si="92"/>
        <v>125531.5964972467</v>
      </c>
      <c r="Q99" s="82">
        <f t="shared" si="92"/>
        <v>125037.00483688967</v>
      </c>
      <c r="R99" s="82">
        <f t="shared" si="92"/>
        <v>126784.78952370102</v>
      </c>
      <c r="S99" s="82">
        <f t="shared" si="92"/>
        <v>129025.77705915328</v>
      </c>
      <c r="T99" s="82">
        <f t="shared" si="92"/>
        <v>123486.32788230864</v>
      </c>
      <c r="U99" s="82">
        <f t="shared" si="92"/>
        <v>123910.89727514598</v>
      </c>
      <c r="V99" s="82">
        <f t="shared" si="92"/>
        <v>114566.38334959267</v>
      </c>
      <c r="W99" s="82">
        <f t="shared" si="92"/>
        <v>112125.96084669179</v>
      </c>
      <c r="X99" s="82">
        <f t="shared" ref="X99:Y99" si="93">X47*11630*1000/X$8</f>
        <v>106446.60562908884</v>
      </c>
      <c r="Y99" s="82">
        <f t="shared" si="93"/>
        <v>97486.126980432513</v>
      </c>
      <c r="DA99" s="107"/>
    </row>
    <row r="100" spans="1:105" ht="12" customHeight="1" x14ac:dyDescent="0.25">
      <c r="A100" s="77" t="s">
        <v>36</v>
      </c>
      <c r="B100" s="64">
        <f t="shared" si="91"/>
        <v>165466.81206702458</v>
      </c>
      <c r="C100" s="64">
        <f t="shared" ref="C100:W100" si="94">C48*11630*1000/C$8</f>
        <v>160347.71057752226</v>
      </c>
      <c r="D100" s="64">
        <f t="shared" si="94"/>
        <v>148593.7452364437</v>
      </c>
      <c r="E100" s="64">
        <f t="shared" si="94"/>
        <v>163222.93053537299</v>
      </c>
      <c r="F100" s="64">
        <f t="shared" si="94"/>
        <v>151115.79120725338</v>
      </c>
      <c r="G100" s="64">
        <f t="shared" si="94"/>
        <v>129423.62348654086</v>
      </c>
      <c r="H100" s="64">
        <f t="shared" si="94"/>
        <v>121543.91922188767</v>
      </c>
      <c r="I100" s="64">
        <f t="shared" si="94"/>
        <v>110888.23828866593</v>
      </c>
      <c r="J100" s="64">
        <f t="shared" si="94"/>
        <v>116717.15240633284</v>
      </c>
      <c r="K100" s="64">
        <f t="shared" si="94"/>
        <v>108155.71593238832</v>
      </c>
      <c r="L100" s="64">
        <f t="shared" si="94"/>
        <v>118276.76911840998</v>
      </c>
      <c r="M100" s="64">
        <f t="shared" si="94"/>
        <v>111318.79922888291</v>
      </c>
      <c r="N100" s="64">
        <f t="shared" si="94"/>
        <v>106341.48055021408</v>
      </c>
      <c r="O100" s="64">
        <f t="shared" si="94"/>
        <v>103601.52250374304</v>
      </c>
      <c r="P100" s="64">
        <f t="shared" si="94"/>
        <v>97605.307816826375</v>
      </c>
      <c r="Q100" s="64">
        <f t="shared" si="94"/>
        <v>96846.09087662489</v>
      </c>
      <c r="R100" s="64">
        <f t="shared" si="94"/>
        <v>98603.987566624302</v>
      </c>
      <c r="S100" s="64">
        <f t="shared" si="94"/>
        <v>100903.83404342234</v>
      </c>
      <c r="T100" s="64">
        <f t="shared" si="94"/>
        <v>95916.532855189478</v>
      </c>
      <c r="U100" s="64">
        <f t="shared" si="94"/>
        <v>97087.142104900617</v>
      </c>
      <c r="V100" s="64">
        <f t="shared" si="94"/>
        <v>89224.761898866098</v>
      </c>
      <c r="W100" s="64">
        <f t="shared" si="94"/>
        <v>87586.350000829596</v>
      </c>
      <c r="X100" s="64">
        <f t="shared" ref="X100:Y100" si="95">X48*11630*1000/X$8</f>
        <v>82329.779475335861</v>
      </c>
      <c r="Y100" s="64">
        <f t="shared" si="95"/>
        <v>73795.773155758739</v>
      </c>
      <c r="DA100" s="108"/>
    </row>
    <row r="101" spans="1:105" ht="12" customHeight="1" x14ac:dyDescent="0.25">
      <c r="A101" s="61" t="s">
        <v>32</v>
      </c>
      <c r="B101" s="65">
        <f t="shared" si="91"/>
        <v>141702.48217021234</v>
      </c>
      <c r="C101" s="65">
        <f t="shared" ref="C101:W101" si="96">C49*11630*1000/C$8</f>
        <v>136505.25655447427</v>
      </c>
      <c r="D101" s="65">
        <f t="shared" si="96"/>
        <v>124859.60651422363</v>
      </c>
      <c r="E101" s="65">
        <f t="shared" si="96"/>
        <v>139552.70433947974</v>
      </c>
      <c r="F101" s="65">
        <f t="shared" si="96"/>
        <v>127813.06247361354</v>
      </c>
      <c r="G101" s="65">
        <f t="shared" si="96"/>
        <v>106281.58440721962</v>
      </c>
      <c r="H101" s="65">
        <f t="shared" si="96"/>
        <v>98249.756996342301</v>
      </c>
      <c r="I101" s="65">
        <f t="shared" si="96"/>
        <v>87606.433778869148</v>
      </c>
      <c r="J101" s="65">
        <f t="shared" si="96"/>
        <v>93246.473698659902</v>
      </c>
      <c r="K101" s="65">
        <f t="shared" si="96"/>
        <v>83029.498366933607</v>
      </c>
      <c r="L101" s="65">
        <f t="shared" si="96"/>
        <v>92551.733336372505</v>
      </c>
      <c r="M101" s="65">
        <f t="shared" si="96"/>
        <v>85404.546924602022</v>
      </c>
      <c r="N101" s="65">
        <f t="shared" si="96"/>
        <v>80284.642204875345</v>
      </c>
      <c r="O101" s="65">
        <f t="shared" si="96"/>
        <v>77401.555427846397</v>
      </c>
      <c r="P101" s="65">
        <f t="shared" si="96"/>
        <v>71710.423778728233</v>
      </c>
      <c r="Q101" s="65">
        <f t="shared" si="96"/>
        <v>70784.708757976041</v>
      </c>
      <c r="R101" s="65">
        <f t="shared" si="96"/>
        <v>72644.956298113335</v>
      </c>
      <c r="S101" s="65">
        <f t="shared" si="96"/>
        <v>74657.803310078016</v>
      </c>
      <c r="T101" s="65">
        <f t="shared" si="96"/>
        <v>70217.292133765222</v>
      </c>
      <c r="U101" s="65">
        <f t="shared" si="96"/>
        <v>71394.28140896454</v>
      </c>
      <c r="V101" s="65">
        <f t="shared" si="96"/>
        <v>65431.315206467167</v>
      </c>
      <c r="W101" s="65">
        <f t="shared" si="96"/>
        <v>63695.180477606875</v>
      </c>
      <c r="X101" s="65">
        <f t="shared" ref="X101:Y101" si="97">X49*11630*1000/X$8</f>
        <v>59137.080651975746</v>
      </c>
      <c r="Y101" s="65">
        <f t="shared" si="97"/>
        <v>50688.233834428574</v>
      </c>
      <c r="DA101" s="109"/>
    </row>
    <row r="102" spans="1:105" ht="12" customHeight="1" x14ac:dyDescent="0.25">
      <c r="A102" s="61" t="s">
        <v>31</v>
      </c>
      <c r="B102" s="65">
        <f t="shared" si="91"/>
        <v>669.1953890685802</v>
      </c>
      <c r="C102" s="65">
        <f t="shared" ref="C102:W102" si="98">C50*11630*1000/C$8</f>
        <v>697.88236219878308</v>
      </c>
      <c r="D102" s="65">
        <f t="shared" si="98"/>
        <v>829.25065713404683</v>
      </c>
      <c r="E102" s="65">
        <f t="shared" si="98"/>
        <v>923.26787677201196</v>
      </c>
      <c r="F102" s="65">
        <f t="shared" si="98"/>
        <v>933.44592167175949</v>
      </c>
      <c r="G102" s="65">
        <f t="shared" si="98"/>
        <v>1072.7177646655471</v>
      </c>
      <c r="H102" s="65">
        <f t="shared" si="98"/>
        <v>1252.8286776937659</v>
      </c>
      <c r="I102" s="65">
        <f t="shared" si="98"/>
        <v>1362.0089005207849</v>
      </c>
      <c r="J102" s="65">
        <f t="shared" si="98"/>
        <v>1437.4686726421792</v>
      </c>
      <c r="K102" s="65">
        <f t="shared" si="98"/>
        <v>1550.3958740554813</v>
      </c>
      <c r="L102" s="65">
        <f t="shared" si="98"/>
        <v>1651.889523686039</v>
      </c>
      <c r="M102" s="65">
        <f t="shared" si="98"/>
        <v>1698.6960893982953</v>
      </c>
      <c r="N102" s="65">
        <f t="shared" si="98"/>
        <v>1721.4773574654655</v>
      </c>
      <c r="O102" s="65">
        <f t="shared" si="98"/>
        <v>1785.4345405269385</v>
      </c>
      <c r="P102" s="65">
        <f t="shared" si="98"/>
        <v>1679.4754817722467</v>
      </c>
      <c r="Q102" s="65">
        <f t="shared" si="98"/>
        <v>1950.6769844989656</v>
      </c>
      <c r="R102" s="65">
        <f t="shared" si="98"/>
        <v>1629.3920844436745</v>
      </c>
      <c r="S102" s="65">
        <f t="shared" si="98"/>
        <v>1620.7296826715412</v>
      </c>
      <c r="T102" s="65">
        <f t="shared" si="98"/>
        <v>1689.7506005214232</v>
      </c>
      <c r="U102" s="65">
        <f t="shared" si="98"/>
        <v>1660.9833709526624</v>
      </c>
      <c r="V102" s="65">
        <f t="shared" si="98"/>
        <v>1483.6149759075852</v>
      </c>
      <c r="W102" s="65">
        <f t="shared" si="98"/>
        <v>1528.0572025276624</v>
      </c>
      <c r="X102" s="65">
        <f t="shared" ref="X102:Y102" si="99">X50*11630*1000/X$8</f>
        <v>1564.4480807000896</v>
      </c>
      <c r="Y102" s="65">
        <f t="shared" si="99"/>
        <v>1547.1082289565873</v>
      </c>
      <c r="DA102" s="109"/>
    </row>
    <row r="103" spans="1:105" ht="12" customHeight="1" x14ac:dyDescent="0.25">
      <c r="A103" s="61" t="s">
        <v>35</v>
      </c>
      <c r="B103" s="65">
        <f t="shared" si="91"/>
        <v>11748.211735976423</v>
      </c>
      <c r="C103" s="65">
        <f t="shared" ref="C103:W103" si="100">C51*11630*1000/C$8</f>
        <v>11589.804129258815</v>
      </c>
      <c r="D103" s="65">
        <f t="shared" si="100"/>
        <v>11409.177041230054</v>
      </c>
      <c r="E103" s="65">
        <f t="shared" si="100"/>
        <v>11196.725142632016</v>
      </c>
      <c r="F103" s="65">
        <f t="shared" si="100"/>
        <v>10845.389384294302</v>
      </c>
      <c r="G103" s="65">
        <f t="shared" si="100"/>
        <v>10714.179750855892</v>
      </c>
      <c r="H103" s="65">
        <f t="shared" si="100"/>
        <v>10718.444444647957</v>
      </c>
      <c r="I103" s="65">
        <f t="shared" si="100"/>
        <v>10708.364867298924</v>
      </c>
      <c r="J103" s="65">
        <f t="shared" si="100"/>
        <v>10699.648258706378</v>
      </c>
      <c r="K103" s="65">
        <f t="shared" si="100"/>
        <v>11513.926957595755</v>
      </c>
      <c r="L103" s="65">
        <f t="shared" si="100"/>
        <v>11751.773693018718</v>
      </c>
      <c r="M103" s="65">
        <f t="shared" si="100"/>
        <v>11756.538496932355</v>
      </c>
      <c r="N103" s="65">
        <f t="shared" si="100"/>
        <v>11815.825348373857</v>
      </c>
      <c r="O103" s="65">
        <f t="shared" si="100"/>
        <v>11749.177008931902</v>
      </c>
      <c r="P103" s="65">
        <f t="shared" si="100"/>
        <v>11568.895263777669</v>
      </c>
      <c r="Q103" s="65">
        <f t="shared" si="100"/>
        <v>11492.987089224449</v>
      </c>
      <c r="R103" s="65">
        <f t="shared" si="100"/>
        <v>11575.037930510265</v>
      </c>
      <c r="S103" s="65">
        <f t="shared" si="100"/>
        <v>11569.923207351414</v>
      </c>
      <c r="T103" s="65">
        <f t="shared" si="100"/>
        <v>11255.117844852342</v>
      </c>
      <c r="U103" s="65">
        <f t="shared" si="100"/>
        <v>11132.995015751676</v>
      </c>
      <c r="V103" s="65">
        <f t="shared" si="100"/>
        <v>10387.736051673453</v>
      </c>
      <c r="W103" s="65">
        <f t="shared" si="100"/>
        <v>10304.229334200276</v>
      </c>
      <c r="X103" s="65">
        <f t="shared" ref="X103:Y103" si="101">X51*11630*1000/X$8</f>
        <v>9893.8165532003313</v>
      </c>
      <c r="Y103" s="65">
        <f t="shared" si="101"/>
        <v>9895.9382628857893</v>
      </c>
      <c r="DA103" s="109"/>
    </row>
    <row r="104" spans="1:105" ht="12" customHeight="1" x14ac:dyDescent="0.25">
      <c r="A104" s="66" t="s">
        <v>34</v>
      </c>
      <c r="B104" s="67">
        <f t="shared" si="91"/>
        <v>11346.922771767249</v>
      </c>
      <c r="C104" s="67">
        <f t="shared" ref="C104:W104" si="102">C52*11630*1000/C$8</f>
        <v>11554.767531590369</v>
      </c>
      <c r="D104" s="67">
        <f t="shared" si="102"/>
        <v>11495.711023855954</v>
      </c>
      <c r="E104" s="67">
        <f t="shared" si="102"/>
        <v>11550.233176489228</v>
      </c>
      <c r="F104" s="67">
        <f t="shared" si="102"/>
        <v>11523.893427673805</v>
      </c>
      <c r="G104" s="67">
        <f t="shared" si="102"/>
        <v>11355.141563799811</v>
      </c>
      <c r="H104" s="67">
        <f t="shared" si="102"/>
        <v>11322.889103203635</v>
      </c>
      <c r="I104" s="67">
        <f t="shared" si="102"/>
        <v>11211.43074197705</v>
      </c>
      <c r="J104" s="67">
        <f t="shared" si="102"/>
        <v>11333.561776324386</v>
      </c>
      <c r="K104" s="67">
        <f t="shared" si="102"/>
        <v>12061.89473380348</v>
      </c>
      <c r="L104" s="67">
        <f t="shared" si="102"/>
        <v>12321.372565332707</v>
      </c>
      <c r="M104" s="67">
        <f t="shared" si="102"/>
        <v>12459.017717950221</v>
      </c>
      <c r="N104" s="67">
        <f t="shared" si="102"/>
        <v>12519.535639499416</v>
      </c>
      <c r="O104" s="67">
        <f t="shared" si="102"/>
        <v>12665.35552643779</v>
      </c>
      <c r="P104" s="67">
        <f t="shared" si="102"/>
        <v>12646.513292548236</v>
      </c>
      <c r="Q104" s="67">
        <f t="shared" si="102"/>
        <v>12617.718044925417</v>
      </c>
      <c r="R104" s="67">
        <f t="shared" si="102"/>
        <v>12754.601253557035</v>
      </c>
      <c r="S104" s="67">
        <f t="shared" si="102"/>
        <v>13055.377843321343</v>
      </c>
      <c r="T104" s="67">
        <f t="shared" si="102"/>
        <v>12754.372276050481</v>
      </c>
      <c r="U104" s="67">
        <f t="shared" si="102"/>
        <v>12898.882309231742</v>
      </c>
      <c r="V104" s="67">
        <f t="shared" si="102"/>
        <v>11922.095664817876</v>
      </c>
      <c r="W104" s="67">
        <f t="shared" si="102"/>
        <v>12058.882986494802</v>
      </c>
      <c r="X104" s="67">
        <f t="shared" ref="X104:Y104" si="103">X52*11630*1000/X$8</f>
        <v>11734.434189459704</v>
      </c>
      <c r="Y104" s="67">
        <f t="shared" si="103"/>
        <v>11664.492829487786</v>
      </c>
      <c r="DA104" s="110"/>
    </row>
    <row r="105" spans="1:105" ht="12" customHeight="1" x14ac:dyDescent="0.25">
      <c r="A105" s="78" t="s">
        <v>33</v>
      </c>
      <c r="B105" s="68">
        <f t="shared" si="91"/>
        <v>22626.876247861364</v>
      </c>
      <c r="C105" s="68">
        <f t="shared" ref="C105:W105" si="104">C53*11630*1000/C$8</f>
        <v>23198.502735577124</v>
      </c>
      <c r="D105" s="68">
        <f t="shared" si="104"/>
        <v>23791.105315519962</v>
      </c>
      <c r="E105" s="68">
        <f t="shared" si="104"/>
        <v>24365.980836818915</v>
      </c>
      <c r="F105" s="68">
        <f t="shared" si="104"/>
        <v>24991.50664457247</v>
      </c>
      <c r="G105" s="68">
        <f t="shared" si="104"/>
        <v>25458.32023191109</v>
      </c>
      <c r="H105" s="68">
        <f t="shared" si="104"/>
        <v>25755.251838292537</v>
      </c>
      <c r="I105" s="68">
        <f t="shared" si="104"/>
        <v>26015.742307547309</v>
      </c>
      <c r="J105" s="68">
        <f t="shared" si="104"/>
        <v>26424.027809572006</v>
      </c>
      <c r="K105" s="68">
        <f t="shared" si="104"/>
        <v>27219.645481198695</v>
      </c>
      <c r="L105" s="68">
        <f t="shared" si="104"/>
        <v>27585.56784108021</v>
      </c>
      <c r="M105" s="68">
        <f t="shared" si="104"/>
        <v>27490.062445879208</v>
      </c>
      <c r="N105" s="68">
        <f t="shared" si="104"/>
        <v>27635.751201376374</v>
      </c>
      <c r="O105" s="68">
        <f t="shared" si="104"/>
        <v>27786.804826196891</v>
      </c>
      <c r="P105" s="68">
        <f t="shared" si="104"/>
        <v>27926.288680420352</v>
      </c>
      <c r="Q105" s="68">
        <f t="shared" si="104"/>
        <v>28190.913960264781</v>
      </c>
      <c r="R105" s="68">
        <f t="shared" si="104"/>
        <v>28180.801957076717</v>
      </c>
      <c r="S105" s="68">
        <f t="shared" si="104"/>
        <v>28121.94301573094</v>
      </c>
      <c r="T105" s="68">
        <f t="shared" si="104"/>
        <v>27569.79502711918</v>
      </c>
      <c r="U105" s="68">
        <f t="shared" si="104"/>
        <v>26823.755170245349</v>
      </c>
      <c r="V105" s="68">
        <f t="shared" si="104"/>
        <v>25341.621450726579</v>
      </c>
      <c r="W105" s="68">
        <f t="shared" si="104"/>
        <v>24539.610845862197</v>
      </c>
      <c r="X105" s="68">
        <f t="shared" ref="X105:Y105" si="105">X53*11630*1000/X$8</f>
        <v>24116.826153752994</v>
      </c>
      <c r="Y105" s="68">
        <f t="shared" si="105"/>
        <v>23690.353824673777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98626.365607757485</v>
      </c>
      <c r="C107" s="85">
        <f t="shared" ref="C107:W107" si="107">SUM(C108:C111)</f>
        <v>96563.345146162304</v>
      </c>
      <c r="D107" s="85">
        <f t="shared" si="107"/>
        <v>90111.114435300304</v>
      </c>
      <c r="E107" s="85">
        <f t="shared" si="107"/>
        <v>98946.16533422358</v>
      </c>
      <c r="F107" s="85">
        <f t="shared" si="107"/>
        <v>91833.028680591218</v>
      </c>
      <c r="G107" s="85">
        <f t="shared" si="107"/>
        <v>80867.497761251201</v>
      </c>
      <c r="H107" s="85">
        <f t="shared" si="107"/>
        <v>76238.341347009788</v>
      </c>
      <c r="I107" s="85">
        <f t="shared" si="107"/>
        <v>70738.585144195211</v>
      </c>
      <c r="J107" s="85">
        <f t="shared" si="107"/>
        <v>74667.40536877187</v>
      </c>
      <c r="K107" s="85">
        <f t="shared" si="107"/>
        <v>70723.260900461566</v>
      </c>
      <c r="L107" s="85">
        <f t="shared" si="107"/>
        <v>78569.438716637364</v>
      </c>
      <c r="M107" s="85">
        <f t="shared" si="107"/>
        <v>74950.992560608094</v>
      </c>
      <c r="N107" s="85">
        <f t="shared" si="107"/>
        <v>72919.055289445459</v>
      </c>
      <c r="O107" s="85">
        <f t="shared" si="107"/>
        <v>72467.382510637108</v>
      </c>
      <c r="P107" s="85">
        <f t="shared" si="107"/>
        <v>68807.608793278385</v>
      </c>
      <c r="Q107" s="85">
        <f t="shared" si="107"/>
        <v>69891.33222531178</v>
      </c>
      <c r="R107" s="85">
        <f t="shared" si="107"/>
        <v>71307.151573143245</v>
      </c>
      <c r="S107" s="85">
        <f t="shared" si="107"/>
        <v>73875.371738274407</v>
      </c>
      <c r="T107" s="85">
        <f t="shared" si="107"/>
        <v>72358.278009309724</v>
      </c>
      <c r="U107" s="85">
        <f t="shared" si="107"/>
        <v>74175.073680257978</v>
      </c>
      <c r="V107" s="85">
        <f t="shared" si="107"/>
        <v>69510.218216698908</v>
      </c>
      <c r="W107" s="85">
        <f t="shared" si="107"/>
        <v>69968.223158625726</v>
      </c>
      <c r="X107" s="85">
        <f t="shared" ref="X107:Y107" si="108">SUM(X108:X111)</f>
        <v>67921.221600663805</v>
      </c>
      <c r="Y107" s="85">
        <f t="shared" si="108"/>
        <v>62795.616614425708</v>
      </c>
      <c r="DA107" s="117"/>
    </row>
    <row r="108" spans="1:105" ht="12" customHeight="1" x14ac:dyDescent="0.25">
      <c r="A108" s="61" t="s">
        <v>32</v>
      </c>
      <c r="B108" s="65">
        <v>82843.085029872891</v>
      </c>
      <c r="C108" s="65">
        <v>80731.796279529066</v>
      </c>
      <c r="D108" s="65">
        <v>74032.89450015976</v>
      </c>
      <c r="E108" s="65">
        <v>82587.873736390728</v>
      </c>
      <c r="F108" s="65">
        <v>75547.177303880031</v>
      </c>
      <c r="G108" s="65">
        <v>64274.118599223009</v>
      </c>
      <c r="H108" s="65">
        <v>58994.23884826521</v>
      </c>
      <c r="I108" s="65">
        <v>53106.549490917518</v>
      </c>
      <c r="J108" s="65">
        <v>56567.683513934047</v>
      </c>
      <c r="K108" s="65">
        <v>51322.532228944503</v>
      </c>
      <c r="L108" s="65">
        <v>58267.09676437801</v>
      </c>
      <c r="M108" s="65">
        <v>54129.993902376424</v>
      </c>
      <c r="N108" s="65">
        <v>51664.253493080025</v>
      </c>
      <c r="O108" s="65">
        <v>50647.481434300782</v>
      </c>
      <c r="P108" s="65">
        <v>47175.893047067366</v>
      </c>
      <c r="Q108" s="65">
        <v>47064.17544356695</v>
      </c>
      <c r="R108" s="65">
        <v>49107.671986289577</v>
      </c>
      <c r="S108" s="65">
        <v>51294.302967714801</v>
      </c>
      <c r="T108" s="65">
        <v>49461.52188746287</v>
      </c>
      <c r="U108" s="65">
        <v>51099.615533369855</v>
      </c>
      <c r="V108" s="65">
        <v>47917.561329203709</v>
      </c>
      <c r="W108" s="65">
        <v>47749.753517206635</v>
      </c>
      <c r="X108" s="65">
        <v>45651.673939160064</v>
      </c>
      <c r="Y108" s="65">
        <v>40181.376088818615</v>
      </c>
      <c r="DA108" s="109"/>
    </row>
    <row r="109" spans="1:105" ht="12" customHeight="1" x14ac:dyDescent="0.25">
      <c r="A109" s="61" t="s">
        <v>31</v>
      </c>
      <c r="B109" s="65">
        <v>1187.2526680298315</v>
      </c>
      <c r="C109" s="65">
        <v>1298.1890652819216</v>
      </c>
      <c r="D109" s="65">
        <v>1656.954867131614</v>
      </c>
      <c r="E109" s="65">
        <v>1930.665795533856</v>
      </c>
      <c r="F109" s="65">
        <v>2044.1834839111414</v>
      </c>
      <c r="G109" s="65">
        <v>2487.3381479266113</v>
      </c>
      <c r="H109" s="65">
        <v>3060.276408349634</v>
      </c>
      <c r="I109" s="65">
        <v>3480.1170338814604</v>
      </c>
      <c r="J109" s="65">
        <v>3826.6174428090912</v>
      </c>
      <c r="K109" s="65">
        <v>4202.6773361488849</v>
      </c>
      <c r="L109" s="65">
        <v>4588.7463233235167</v>
      </c>
      <c r="M109" s="65">
        <v>4882.928110188278</v>
      </c>
      <c r="N109" s="65">
        <v>5108.2994673404337</v>
      </c>
      <c r="O109" s="65">
        <v>5461.6759905300132</v>
      </c>
      <c r="P109" s="65">
        <v>5326.6117126314566</v>
      </c>
      <c r="Q109" s="65">
        <v>6445.2246389788006</v>
      </c>
      <c r="R109" s="65">
        <v>5594.7538938520629</v>
      </c>
      <c r="S109" s="65">
        <v>5756.7015378103979</v>
      </c>
      <c r="T109" s="65">
        <v>6176.4566152764837</v>
      </c>
      <c r="U109" s="65">
        <v>6224.0646813314243</v>
      </c>
      <c r="V109" s="65">
        <v>5675.1177101770572</v>
      </c>
      <c r="W109" s="65">
        <v>5963.3987003384</v>
      </c>
      <c r="X109" s="65">
        <v>6198.4338525380708</v>
      </c>
      <c r="Y109" s="65">
        <v>6201.5802915892218</v>
      </c>
      <c r="DA109" s="109"/>
    </row>
    <row r="110" spans="1:105" ht="12" customHeight="1" x14ac:dyDescent="0.25">
      <c r="A110" s="61" t="s">
        <v>35</v>
      </c>
      <c r="B110" s="65">
        <v>7045.0100132586185</v>
      </c>
      <c r="C110" s="65">
        <v>6985.8156538866679</v>
      </c>
      <c r="D110" s="65">
        <v>6898.1519401288288</v>
      </c>
      <c r="E110" s="65">
        <v>6819.4585683157165</v>
      </c>
      <c r="F110" s="65">
        <v>6648.71051607961</v>
      </c>
      <c r="G110" s="65">
        <v>6596.7550785576359</v>
      </c>
      <c r="H110" s="65">
        <v>6644.9947645028324</v>
      </c>
      <c r="I110" s="65">
        <v>6683.7633509007455</v>
      </c>
      <c r="J110" s="65">
        <v>6719.1666664139166</v>
      </c>
      <c r="K110" s="65">
        <v>7209.9654427945925</v>
      </c>
      <c r="L110" s="65">
        <v>7479.365058676467</v>
      </c>
      <c r="M110" s="65">
        <v>7588.6330834115224</v>
      </c>
      <c r="N110" s="65">
        <v>7733.3421477898592</v>
      </c>
      <c r="O110" s="65">
        <v>7815.1782998231693</v>
      </c>
      <c r="P110" s="65">
        <v>7755.3305200966488</v>
      </c>
      <c r="Q110" s="65">
        <v>7801.0010786158482</v>
      </c>
      <c r="R110" s="65">
        <v>7980.6827480409029</v>
      </c>
      <c r="S110" s="65">
        <v>8108.8891125307682</v>
      </c>
      <c r="T110" s="65">
        <v>8073.4062218591043</v>
      </c>
      <c r="U110" s="65">
        <v>8124.3066008396063</v>
      </c>
      <c r="V110" s="65">
        <v>7748.4278206237186</v>
      </c>
      <c r="W110" s="65">
        <v>7858.5682348963728</v>
      </c>
      <c r="X110" s="65">
        <v>7718.5806411279218</v>
      </c>
      <c r="Y110" s="65">
        <v>7910.1786005468703</v>
      </c>
      <c r="DA110" s="109"/>
    </row>
    <row r="111" spans="1:105" ht="12" customHeight="1" x14ac:dyDescent="0.25">
      <c r="A111" s="74" t="s">
        <v>34</v>
      </c>
      <c r="B111" s="68">
        <v>7551.0178965961331</v>
      </c>
      <c r="C111" s="68">
        <v>7547.5441474646368</v>
      </c>
      <c r="D111" s="68">
        <v>7523.1131278800976</v>
      </c>
      <c r="E111" s="68">
        <v>7608.1672339832667</v>
      </c>
      <c r="F111" s="68">
        <v>7592.9573767204383</v>
      </c>
      <c r="G111" s="68">
        <v>7509.2859355439487</v>
      </c>
      <c r="H111" s="68">
        <v>7538.8313258921171</v>
      </c>
      <c r="I111" s="68">
        <v>7468.155268495485</v>
      </c>
      <c r="J111" s="68">
        <v>7553.9377456148213</v>
      </c>
      <c r="K111" s="68">
        <v>7988.0858925735838</v>
      </c>
      <c r="L111" s="68">
        <v>8234.2305702593785</v>
      </c>
      <c r="M111" s="68">
        <v>8349.4374646318593</v>
      </c>
      <c r="N111" s="68">
        <v>8413.1601812351437</v>
      </c>
      <c r="O111" s="68">
        <v>8543.0467859831406</v>
      </c>
      <c r="P111" s="68">
        <v>8549.7735134829072</v>
      </c>
      <c r="Q111" s="68">
        <v>8580.9310641501852</v>
      </c>
      <c r="R111" s="68">
        <v>8624.0429449606909</v>
      </c>
      <c r="S111" s="68">
        <v>8715.4781202184458</v>
      </c>
      <c r="T111" s="68">
        <v>8646.8932847112719</v>
      </c>
      <c r="U111" s="68">
        <v>8727.0868647170973</v>
      </c>
      <c r="V111" s="68">
        <v>8169.1113566944223</v>
      </c>
      <c r="W111" s="68">
        <v>8396.5027061843193</v>
      </c>
      <c r="X111" s="68">
        <v>8352.5331678377479</v>
      </c>
      <c r="Y111" s="68">
        <v>8502.4816334710031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22413.170901191927</v>
      </c>
      <c r="C113" s="82">
        <f t="shared" ref="C113:W113" si="110">C81*1000000/C$8</f>
        <v>19016.559082720039</v>
      </c>
      <c r="D113" s="82">
        <f t="shared" si="110"/>
        <v>18041.267251730987</v>
      </c>
      <c r="E113" s="82">
        <f t="shared" si="110"/>
        <v>21805.941189011955</v>
      </c>
      <c r="F113" s="82">
        <f t="shared" si="110"/>
        <v>21879.474020785798</v>
      </c>
      <c r="G113" s="82">
        <f t="shared" si="110"/>
        <v>15039.459447059196</v>
      </c>
      <c r="H113" s="82">
        <f t="shared" si="110"/>
        <v>15460.710670220551</v>
      </c>
      <c r="I113" s="82">
        <f t="shared" si="110"/>
        <v>13217.536605268777</v>
      </c>
      <c r="J113" s="82">
        <f t="shared" si="110"/>
        <v>14640.287614298973</v>
      </c>
      <c r="K113" s="82">
        <f t="shared" si="110"/>
        <v>12747.478811736846</v>
      </c>
      <c r="L113" s="82">
        <f t="shared" si="110"/>
        <v>13346.219285784298</v>
      </c>
      <c r="M113" s="82">
        <f t="shared" si="110"/>
        <v>12626.713590147328</v>
      </c>
      <c r="N113" s="82">
        <f t="shared" si="110"/>
        <v>11877.818241628769</v>
      </c>
      <c r="O113" s="82">
        <f t="shared" si="110"/>
        <v>11311.790388904727</v>
      </c>
      <c r="P113" s="82">
        <f t="shared" si="110"/>
        <v>10816.172284983062</v>
      </c>
      <c r="Q113" s="82">
        <f t="shared" si="110"/>
        <v>10687.455388692235</v>
      </c>
      <c r="R113" s="82">
        <f t="shared" si="110"/>
        <v>10767.228949315062</v>
      </c>
      <c r="S113" s="82">
        <f t="shared" si="110"/>
        <v>11280.819921274442</v>
      </c>
      <c r="T113" s="82">
        <f t="shared" si="110"/>
        <v>10014.452511249601</v>
      </c>
      <c r="U113" s="82">
        <f t="shared" si="110"/>
        <v>10459.452745760977</v>
      </c>
      <c r="V113" s="82">
        <f t="shared" si="110"/>
        <v>9373.1918114114633</v>
      </c>
      <c r="W113" s="82">
        <f t="shared" si="110"/>
        <v>8911.9625080436854</v>
      </c>
      <c r="X113" s="82">
        <f t="shared" ref="X113:Y113" si="111">X81*1000000/X$8</f>
        <v>7919.0821938024055</v>
      </c>
      <c r="Y113" s="82">
        <f t="shared" si="111"/>
        <v>6910.2202302893638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22413.170901191927</v>
      </c>
      <c r="C114" s="64">
        <f t="shared" ref="C114:W114" si="113">C82*1000000/C$8</f>
        <v>19016.559082720039</v>
      </c>
      <c r="D114" s="64">
        <f t="shared" si="113"/>
        <v>18041.267251730987</v>
      </c>
      <c r="E114" s="64">
        <f t="shared" si="113"/>
        <v>21805.941189011955</v>
      </c>
      <c r="F114" s="64">
        <f t="shared" si="113"/>
        <v>21879.474020785798</v>
      </c>
      <c r="G114" s="64">
        <f t="shared" si="113"/>
        <v>15039.459447059196</v>
      </c>
      <c r="H114" s="64">
        <f t="shared" si="113"/>
        <v>15460.710670220551</v>
      </c>
      <c r="I114" s="64">
        <f t="shared" si="113"/>
        <v>13217.536605268777</v>
      </c>
      <c r="J114" s="64">
        <f t="shared" si="113"/>
        <v>14640.287614298973</v>
      </c>
      <c r="K114" s="64">
        <f t="shared" si="113"/>
        <v>12747.478811736846</v>
      </c>
      <c r="L114" s="64">
        <f t="shared" si="113"/>
        <v>13346.219285784298</v>
      </c>
      <c r="M114" s="64">
        <f t="shared" si="113"/>
        <v>12626.713590147328</v>
      </c>
      <c r="N114" s="64">
        <f t="shared" si="113"/>
        <v>11877.818241628769</v>
      </c>
      <c r="O114" s="64">
        <f t="shared" si="113"/>
        <v>11311.790388904727</v>
      </c>
      <c r="P114" s="64">
        <f t="shared" si="113"/>
        <v>10816.172284983062</v>
      </c>
      <c r="Q114" s="64">
        <f t="shared" si="113"/>
        <v>10687.455388692235</v>
      </c>
      <c r="R114" s="64">
        <f t="shared" si="113"/>
        <v>10767.228949315062</v>
      </c>
      <c r="S114" s="64">
        <f t="shared" si="113"/>
        <v>11280.819921274442</v>
      </c>
      <c r="T114" s="64">
        <f t="shared" si="113"/>
        <v>10014.452511249601</v>
      </c>
      <c r="U114" s="64">
        <f t="shared" si="113"/>
        <v>10459.452745760977</v>
      </c>
      <c r="V114" s="64">
        <f t="shared" si="113"/>
        <v>9373.1918114114633</v>
      </c>
      <c r="W114" s="64">
        <f t="shared" si="113"/>
        <v>8911.9625080436854</v>
      </c>
      <c r="X114" s="64">
        <f t="shared" ref="X114:Y114" si="114">X82*1000000/X$8</f>
        <v>7919.0821938024055</v>
      </c>
      <c r="Y114" s="64">
        <f t="shared" si="114"/>
        <v>6910.2202302893638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20326.19505501274</v>
      </c>
      <c r="C115" s="65">
        <f t="shared" ref="C115:W115" si="116">C83*1000000/C$8</f>
        <v>16744.809881149635</v>
      </c>
      <c r="D115" s="65">
        <f t="shared" si="116"/>
        <v>15758.780527887391</v>
      </c>
      <c r="E115" s="65">
        <f t="shared" si="116"/>
        <v>19590.025854693591</v>
      </c>
      <c r="F115" s="65">
        <f t="shared" si="116"/>
        <v>19663.904089913623</v>
      </c>
      <c r="G115" s="65">
        <f t="shared" si="116"/>
        <v>12831.561987854186</v>
      </c>
      <c r="H115" s="65">
        <f t="shared" si="116"/>
        <v>13280.742481057996</v>
      </c>
      <c r="I115" s="65">
        <f t="shared" si="116"/>
        <v>11021.768693191385</v>
      </c>
      <c r="J115" s="65">
        <f t="shared" si="116"/>
        <v>12378.79730058186</v>
      </c>
      <c r="K115" s="65">
        <f t="shared" si="116"/>
        <v>10105.089329238983</v>
      </c>
      <c r="L115" s="65">
        <f t="shared" si="116"/>
        <v>10816.648899159905</v>
      </c>
      <c r="M115" s="65">
        <f t="shared" si="116"/>
        <v>10108.689053617423</v>
      </c>
      <c r="N115" s="65">
        <f t="shared" si="116"/>
        <v>9361.3120816737228</v>
      </c>
      <c r="O115" s="65">
        <f t="shared" si="116"/>
        <v>8798.8009088233703</v>
      </c>
      <c r="P115" s="65">
        <f t="shared" si="116"/>
        <v>8312.5517165361562</v>
      </c>
      <c r="Q115" s="65">
        <f t="shared" si="116"/>
        <v>8226.4337261008404</v>
      </c>
      <c r="R115" s="65">
        <f t="shared" si="116"/>
        <v>8216.0534828612199</v>
      </c>
      <c r="S115" s="65">
        <f t="shared" si="116"/>
        <v>8480.1953490116448</v>
      </c>
      <c r="T115" s="65">
        <f t="shared" si="116"/>
        <v>7453.8446554361653</v>
      </c>
      <c r="U115" s="65">
        <f t="shared" si="116"/>
        <v>7758.616453770609</v>
      </c>
      <c r="V115" s="65">
        <f t="shared" si="116"/>
        <v>6928.3000559074353</v>
      </c>
      <c r="W115" s="65">
        <f t="shared" si="116"/>
        <v>6541.1319702195615</v>
      </c>
      <c r="X115" s="65">
        <f t="shared" ref="X115:Y115" si="117">X83*1000000/X$8</f>
        <v>5799.7946485164302</v>
      </c>
      <c r="Y115" s="65">
        <f t="shared" si="117"/>
        <v>5009.6041640828471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0</v>
      </c>
      <c r="C116" s="65">
        <f t="shared" ref="C116:W116" si="119">C84*1000000/C$8</f>
        <v>0</v>
      </c>
      <c r="D116" s="65">
        <f t="shared" si="119"/>
        <v>0</v>
      </c>
      <c r="E116" s="65">
        <f t="shared" si="119"/>
        <v>0</v>
      </c>
      <c r="F116" s="65">
        <f t="shared" si="119"/>
        <v>0</v>
      </c>
      <c r="G116" s="65">
        <f t="shared" si="119"/>
        <v>0.40588330538062123</v>
      </c>
      <c r="H116" s="65">
        <f t="shared" si="119"/>
        <v>0.50598993580776985</v>
      </c>
      <c r="I116" s="65">
        <f t="shared" si="119"/>
        <v>0.69259345751735757</v>
      </c>
      <c r="J116" s="65">
        <f t="shared" si="119"/>
        <v>0.7028137863700884</v>
      </c>
      <c r="K116" s="65">
        <f t="shared" si="119"/>
        <v>0.93012572305739583</v>
      </c>
      <c r="L116" s="65">
        <f t="shared" si="119"/>
        <v>0.94280583099003334</v>
      </c>
      <c r="M116" s="65">
        <f t="shared" si="119"/>
        <v>0.98777350904408712</v>
      </c>
      <c r="N116" s="65">
        <f t="shared" si="119"/>
        <v>1.0281780009399786</v>
      </c>
      <c r="O116" s="65">
        <f t="shared" si="119"/>
        <v>1.266833760136852</v>
      </c>
      <c r="P116" s="65">
        <f t="shared" si="119"/>
        <v>1.737856869821528</v>
      </c>
      <c r="Q116" s="65">
        <f t="shared" si="119"/>
        <v>3.1474863064985472</v>
      </c>
      <c r="R116" s="65">
        <f t="shared" si="119"/>
        <v>3.1137483128271448</v>
      </c>
      <c r="S116" s="65">
        <f t="shared" si="119"/>
        <v>3.7349548898778999</v>
      </c>
      <c r="T116" s="65">
        <f t="shared" si="119"/>
        <v>4.6853860639057423</v>
      </c>
      <c r="U116" s="65">
        <f t="shared" si="119"/>
        <v>4.6983561142426868</v>
      </c>
      <c r="V116" s="65">
        <f t="shared" si="119"/>
        <v>5.0333327168659174</v>
      </c>
      <c r="W116" s="65">
        <f t="shared" si="119"/>
        <v>5.2868982520082035</v>
      </c>
      <c r="X116" s="65">
        <f t="shared" ref="X116:Y116" si="120">X84*1000000/X$8</f>
        <v>5.456013677881578</v>
      </c>
      <c r="Y116" s="65">
        <f t="shared" si="120"/>
        <v>5.5725021144713596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921.35578903967405</v>
      </c>
      <c r="C117" s="65">
        <f t="shared" ref="C117:W117" si="122">C85*1000000/C$8</f>
        <v>909.85110864261981</v>
      </c>
      <c r="D117" s="65">
        <f t="shared" si="122"/>
        <v>930.51457596665875</v>
      </c>
      <c r="E117" s="65">
        <f t="shared" si="122"/>
        <v>913.36177885388247</v>
      </c>
      <c r="F117" s="65">
        <f t="shared" si="122"/>
        <v>903.88618889648239</v>
      </c>
      <c r="G117" s="65">
        <f t="shared" si="122"/>
        <v>924.33064272585318</v>
      </c>
      <c r="H117" s="65">
        <f t="shared" si="122"/>
        <v>939.45590212618004</v>
      </c>
      <c r="I117" s="65">
        <f t="shared" si="122"/>
        <v>951.84333647048152</v>
      </c>
      <c r="J117" s="65">
        <f t="shared" si="122"/>
        <v>988.98255293850639</v>
      </c>
      <c r="K117" s="65">
        <f t="shared" si="122"/>
        <v>1214.7573668797716</v>
      </c>
      <c r="L117" s="65">
        <f t="shared" si="122"/>
        <v>1135.5821875080057</v>
      </c>
      <c r="M117" s="65">
        <f t="shared" si="122"/>
        <v>1127.7318609804925</v>
      </c>
      <c r="N117" s="65">
        <f t="shared" si="122"/>
        <v>1133.6347212480757</v>
      </c>
      <c r="O117" s="65">
        <f t="shared" si="122"/>
        <v>1132.7086757252869</v>
      </c>
      <c r="P117" s="65">
        <f t="shared" si="122"/>
        <v>1122.7536865492852</v>
      </c>
      <c r="Q117" s="65">
        <f t="shared" si="122"/>
        <v>1107.8752488585515</v>
      </c>
      <c r="R117" s="65">
        <f t="shared" si="122"/>
        <v>1102.1887550979186</v>
      </c>
      <c r="S117" s="65">
        <f t="shared" si="122"/>
        <v>1160.2727959812742</v>
      </c>
      <c r="T117" s="65">
        <f t="shared" si="122"/>
        <v>1034.7187752166296</v>
      </c>
      <c r="U117" s="65">
        <f t="shared" si="122"/>
        <v>1076.260141811576</v>
      </c>
      <c r="V117" s="65">
        <f t="shared" si="122"/>
        <v>979.02724475772402</v>
      </c>
      <c r="W117" s="65">
        <f t="shared" si="122"/>
        <v>948.29338028644554</v>
      </c>
      <c r="X117" s="65">
        <f t="shared" ref="X117:Y117" si="123">X85*1000000/X$8</f>
        <v>835.02707324485573</v>
      </c>
      <c r="Y117" s="65">
        <f t="shared" si="123"/>
        <v>734.28450154789368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1165.6200571395118</v>
      </c>
      <c r="C118" s="67">
        <f t="shared" ref="C118:W118" si="125">C86*1000000/C$8</f>
        <v>1361.898092927787</v>
      </c>
      <c r="D118" s="67">
        <f t="shared" si="125"/>
        <v>1351.972147876937</v>
      </c>
      <c r="E118" s="67">
        <f t="shared" si="125"/>
        <v>1302.5535554644784</v>
      </c>
      <c r="F118" s="67">
        <f t="shared" si="125"/>
        <v>1311.6837419756887</v>
      </c>
      <c r="G118" s="67">
        <f t="shared" si="125"/>
        <v>1283.1609331737775</v>
      </c>
      <c r="H118" s="67">
        <f t="shared" si="125"/>
        <v>1240.0062971005671</v>
      </c>
      <c r="I118" s="67">
        <f t="shared" si="125"/>
        <v>1243.2319821493909</v>
      </c>
      <c r="J118" s="67">
        <f t="shared" si="125"/>
        <v>1271.8049469922346</v>
      </c>
      <c r="K118" s="67">
        <f t="shared" si="125"/>
        <v>1426.7019898950346</v>
      </c>
      <c r="L118" s="67">
        <f t="shared" si="125"/>
        <v>1393.0453932853957</v>
      </c>
      <c r="M118" s="67">
        <f t="shared" si="125"/>
        <v>1389.3049020403678</v>
      </c>
      <c r="N118" s="67">
        <f t="shared" si="125"/>
        <v>1381.8432607060329</v>
      </c>
      <c r="O118" s="67">
        <f t="shared" si="125"/>
        <v>1379.0139705959309</v>
      </c>
      <c r="P118" s="67">
        <f t="shared" si="125"/>
        <v>1379.1290250277984</v>
      </c>
      <c r="Q118" s="67">
        <f t="shared" si="125"/>
        <v>1349.9989274263446</v>
      </c>
      <c r="R118" s="67">
        <f t="shared" si="125"/>
        <v>1445.8729630430948</v>
      </c>
      <c r="S118" s="67">
        <f t="shared" si="125"/>
        <v>1636.6168213916433</v>
      </c>
      <c r="T118" s="67">
        <f t="shared" si="125"/>
        <v>1521.2036945328994</v>
      </c>
      <c r="U118" s="67">
        <f t="shared" si="125"/>
        <v>1619.8777940645477</v>
      </c>
      <c r="V118" s="67">
        <f t="shared" si="125"/>
        <v>1460.8311780294368</v>
      </c>
      <c r="W118" s="67">
        <f t="shared" si="125"/>
        <v>1417.2502592856699</v>
      </c>
      <c r="X118" s="67">
        <f t="shared" ref="X118:Y118" si="126">X86*1000000/X$8</f>
        <v>1278.8044583632397</v>
      </c>
      <c r="Y118" s="67">
        <f t="shared" si="126"/>
        <v>1160.759062544153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0.59604922809419647</v>
      </c>
      <c r="C121" s="86">
        <f t="shared" ref="C121:W121" si="131">IF(C107=0,"",C107/C100)</f>
        <v>0.60221218499703777</v>
      </c>
      <c r="D121" s="86">
        <f t="shared" si="131"/>
        <v>0.60642602615550667</v>
      </c>
      <c r="E121" s="86">
        <f t="shared" si="131"/>
        <v>0.60620260284311211</v>
      </c>
      <c r="F121" s="86">
        <f t="shared" si="131"/>
        <v>0.60769975094557382</v>
      </c>
      <c r="G121" s="86">
        <f t="shared" si="131"/>
        <v>0.62482795321876339</v>
      </c>
      <c r="H121" s="86">
        <f t="shared" si="131"/>
        <v>0.62724932547082746</v>
      </c>
      <c r="I121" s="86">
        <f t="shared" si="131"/>
        <v>0.63792685532659887</v>
      </c>
      <c r="J121" s="86">
        <f t="shared" si="131"/>
        <v>0.63972949844448534</v>
      </c>
      <c r="K121" s="86">
        <f t="shared" si="131"/>
        <v>0.65390220286344358</v>
      </c>
      <c r="L121" s="86">
        <f t="shared" si="131"/>
        <v>0.66428462074390482</v>
      </c>
      <c r="M121" s="86">
        <f t="shared" si="131"/>
        <v>0.67330040460193197</v>
      </c>
      <c r="N121" s="86">
        <f t="shared" si="131"/>
        <v>0.68570660209130085</v>
      </c>
      <c r="O121" s="86">
        <f t="shared" si="131"/>
        <v>0.69948182960360372</v>
      </c>
      <c r="P121" s="86">
        <f t="shared" si="131"/>
        <v>0.70495765376210928</v>
      </c>
      <c r="Q121" s="86">
        <f t="shared" si="131"/>
        <v>0.72167427299000042</v>
      </c>
      <c r="R121" s="86">
        <f t="shared" si="131"/>
        <v>0.72316701720569609</v>
      </c>
      <c r="S121" s="86">
        <f t="shared" si="131"/>
        <v>0.73213641918188499</v>
      </c>
      <c r="T121" s="86">
        <f t="shared" si="131"/>
        <v>0.75438796477926318</v>
      </c>
      <c r="U121" s="86">
        <f t="shared" si="131"/>
        <v>0.76400512026724787</v>
      </c>
      <c r="V121" s="86">
        <f t="shared" si="131"/>
        <v>0.77904627300083917</v>
      </c>
      <c r="W121" s="86">
        <f t="shared" si="131"/>
        <v>0.79884848675579023</v>
      </c>
      <c r="X121" s="86">
        <f t="shared" ref="X121:Y121" si="132">IF(X107=0,"",X107/X100)</f>
        <v>0.82498971858671699</v>
      </c>
      <c r="Y121" s="86">
        <f t="shared" si="132"/>
        <v>0.850937850896754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0.58462691521777421</v>
      </c>
      <c r="C122" s="75">
        <f t="shared" ref="C122:W122" si="134">IF(C108=0,"",C108/C101)</f>
        <v>0.59141895570381897</v>
      </c>
      <c r="D122" s="75">
        <f t="shared" si="134"/>
        <v>0.59292910307006419</v>
      </c>
      <c r="E122" s="75">
        <f t="shared" si="134"/>
        <v>0.59180417984222788</v>
      </c>
      <c r="F122" s="75">
        <f t="shared" si="134"/>
        <v>0.59107555864625672</v>
      </c>
      <c r="G122" s="75">
        <f t="shared" si="134"/>
        <v>0.60475310899539925</v>
      </c>
      <c r="H122" s="75">
        <f t="shared" si="134"/>
        <v>0.60045175328486033</v>
      </c>
      <c r="I122" s="75">
        <f t="shared" si="134"/>
        <v>0.60619462749694675</v>
      </c>
      <c r="J122" s="75">
        <f t="shared" si="134"/>
        <v>0.60664689258642723</v>
      </c>
      <c r="K122" s="75">
        <f t="shared" si="134"/>
        <v>0.6181240792535444</v>
      </c>
      <c r="L122" s="75">
        <f t="shared" si="134"/>
        <v>0.62956245835624181</v>
      </c>
      <c r="M122" s="75">
        <f t="shared" si="134"/>
        <v>0.63380693243609365</v>
      </c>
      <c r="N122" s="75">
        <f t="shared" si="134"/>
        <v>0.64351352978867327</v>
      </c>
      <c r="O122" s="75">
        <f t="shared" si="134"/>
        <v>0.65434707551212301</v>
      </c>
      <c r="P122" s="75">
        <f t="shared" si="134"/>
        <v>0.65786660517632234</v>
      </c>
      <c r="Q122" s="75">
        <f t="shared" si="134"/>
        <v>0.66489184273522561</v>
      </c>
      <c r="R122" s="75">
        <f t="shared" si="134"/>
        <v>0.67599561605855019</v>
      </c>
      <c r="S122" s="75">
        <f t="shared" si="134"/>
        <v>0.68705882966677922</v>
      </c>
      <c r="T122" s="75">
        <f t="shared" si="134"/>
        <v>0.70440656972698079</v>
      </c>
      <c r="U122" s="75">
        <f t="shared" si="134"/>
        <v>0.715738214951115</v>
      </c>
      <c r="V122" s="75">
        <f t="shared" si="134"/>
        <v>0.73233376370321812</v>
      </c>
      <c r="W122" s="75">
        <f t="shared" si="134"/>
        <v>0.74966038496419485</v>
      </c>
      <c r="X122" s="75">
        <f t="shared" ref="X122:Y122" si="135">IF(X108=0,"",X108/X101)</f>
        <v>0.7719636044907614</v>
      </c>
      <c r="Y122" s="75">
        <f t="shared" si="135"/>
        <v>0.79271604175576016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1.7741495046496203</v>
      </c>
      <c r="C123" s="76">
        <f t="shared" ref="C123:W123" si="137">IF(C109=0,"",C109/C102)</f>
        <v>1.8601832280039032</v>
      </c>
      <c r="D123" s="76">
        <f t="shared" si="137"/>
        <v>1.9981351270292336</v>
      </c>
      <c r="E123" s="76">
        <f t="shared" si="137"/>
        <v>2.0911220287268879</v>
      </c>
      <c r="F123" s="76">
        <f t="shared" si="137"/>
        <v>2.1899324175631953</v>
      </c>
      <c r="G123" s="76">
        <f t="shared" si="137"/>
        <v>2.3187256050542948</v>
      </c>
      <c r="H123" s="76">
        <f t="shared" si="137"/>
        <v>2.4426934526938329</v>
      </c>
      <c r="I123" s="76">
        <f t="shared" si="137"/>
        <v>2.5551353097257916</v>
      </c>
      <c r="J123" s="76">
        <f t="shared" si="137"/>
        <v>2.6620527567918897</v>
      </c>
      <c r="K123" s="76">
        <f t="shared" si="137"/>
        <v>2.7107124099573623</v>
      </c>
      <c r="L123" s="76">
        <f t="shared" si="137"/>
        <v>2.7778772475559701</v>
      </c>
      <c r="M123" s="76">
        <f t="shared" si="137"/>
        <v>2.8745154243087048</v>
      </c>
      <c r="N123" s="76">
        <f t="shared" si="137"/>
        <v>2.967392771788409</v>
      </c>
      <c r="O123" s="76">
        <f t="shared" si="137"/>
        <v>3.059017772176682</v>
      </c>
      <c r="P123" s="76">
        <f t="shared" si="137"/>
        <v>3.1715924230168651</v>
      </c>
      <c r="Q123" s="76">
        <f t="shared" si="137"/>
        <v>3.3040963164048747</v>
      </c>
      <c r="R123" s="76">
        <f t="shared" si="137"/>
        <v>3.4336449448030102</v>
      </c>
      <c r="S123" s="76">
        <f t="shared" si="137"/>
        <v>3.5519196071742809</v>
      </c>
      <c r="T123" s="76">
        <f t="shared" si="137"/>
        <v>3.6552474746098937</v>
      </c>
      <c r="U123" s="76">
        <f t="shared" si="137"/>
        <v>3.747216733278667</v>
      </c>
      <c r="V123" s="76">
        <f t="shared" si="137"/>
        <v>3.8251957565374171</v>
      </c>
      <c r="W123" s="76">
        <f t="shared" si="137"/>
        <v>3.9026017419203551</v>
      </c>
      <c r="X123" s="76">
        <f t="shared" ref="X123:Y123" si="138">IF(X109=0,"",X109/X102)</f>
        <v>3.9620578841863998</v>
      </c>
      <c r="Y123" s="76">
        <f t="shared" si="138"/>
        <v>4.0084980323398192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0.59966658514374227</v>
      </c>
      <c r="C124" s="76">
        <f t="shared" ref="C124:W124" si="140">IF(C110=0,"",C110/C103)</f>
        <v>0.6027552817955536</v>
      </c>
      <c r="D124" s="76">
        <f t="shared" si="140"/>
        <v>0.60461433065685166</v>
      </c>
      <c r="E124" s="76">
        <f t="shared" si="140"/>
        <v>0.6090583167349829</v>
      </c>
      <c r="F124" s="76">
        <f t="shared" si="140"/>
        <v>0.6130448876006156</v>
      </c>
      <c r="G124" s="76">
        <f t="shared" si="140"/>
        <v>0.61570322992113891</v>
      </c>
      <c r="H124" s="76">
        <f t="shared" si="140"/>
        <v>0.61995887545238704</v>
      </c>
      <c r="I124" s="76">
        <f t="shared" si="140"/>
        <v>0.62416283286270358</v>
      </c>
      <c r="J124" s="76">
        <f t="shared" si="140"/>
        <v>0.62798014513668554</v>
      </c>
      <c r="K124" s="76">
        <f t="shared" si="140"/>
        <v>0.62619516949759413</v>
      </c>
      <c r="L124" s="76">
        <f t="shared" si="140"/>
        <v>0.63644563399988485</v>
      </c>
      <c r="M124" s="76">
        <f t="shared" si="140"/>
        <v>0.64548192356037726</v>
      </c>
      <c r="N124" s="76">
        <f t="shared" si="140"/>
        <v>0.65449022135843893</v>
      </c>
      <c r="O124" s="76">
        <f t="shared" si="140"/>
        <v>0.66516814700144122</v>
      </c>
      <c r="P124" s="76">
        <f t="shared" si="140"/>
        <v>0.67036050921635271</v>
      </c>
      <c r="Q124" s="76">
        <f t="shared" si="140"/>
        <v>0.6787618412910148</v>
      </c>
      <c r="R124" s="76">
        <f t="shared" si="140"/>
        <v>0.68947357200488146</v>
      </c>
      <c r="S124" s="76">
        <f t="shared" si="140"/>
        <v>0.70085937194280257</v>
      </c>
      <c r="T124" s="76">
        <f t="shared" si="140"/>
        <v>0.71730979036808307</v>
      </c>
      <c r="U124" s="76">
        <f t="shared" si="140"/>
        <v>0.7297503133114509</v>
      </c>
      <c r="V124" s="76">
        <f t="shared" si="140"/>
        <v>0.74592074558685528</v>
      </c>
      <c r="W124" s="76">
        <f t="shared" si="140"/>
        <v>0.76265463238608</v>
      </c>
      <c r="X124" s="76">
        <f t="shared" ref="X124:Y124" si="141">IF(X110=0,"",X110/X103)</f>
        <v>0.78014187948847802</v>
      </c>
      <c r="Y124" s="76">
        <f t="shared" si="141"/>
        <v>0.79933588816065992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0.66546834313388781</v>
      </c>
      <c r="C125" s="56">
        <f t="shared" ref="C125:W125" si="143">IF(C111=0,"",C111/C104)</f>
        <v>0.65319740330819209</v>
      </c>
      <c r="D125" s="56">
        <f t="shared" si="143"/>
        <v>0.65442782201710681</v>
      </c>
      <c r="E125" s="56">
        <f t="shared" si="143"/>
        <v>0.65870247965814843</v>
      </c>
      <c r="F125" s="56">
        <f t="shared" si="143"/>
        <v>0.65888819819233091</v>
      </c>
      <c r="G125" s="56">
        <f t="shared" si="143"/>
        <v>0.66131152071970212</v>
      </c>
      <c r="H125" s="56">
        <f t="shared" si="143"/>
        <v>0.66580457135795157</v>
      </c>
      <c r="I125" s="56">
        <f t="shared" si="143"/>
        <v>0.66611973443618966</v>
      </c>
      <c r="J125" s="56">
        <f t="shared" si="143"/>
        <v>0.66651048405584779</v>
      </c>
      <c r="K125" s="56">
        <f t="shared" si="143"/>
        <v>0.6622579676629875</v>
      </c>
      <c r="L125" s="56">
        <f t="shared" si="143"/>
        <v>0.66828841726831056</v>
      </c>
      <c r="M125" s="56">
        <f t="shared" si="143"/>
        <v>0.67015214631266484</v>
      </c>
      <c r="N125" s="56">
        <f t="shared" si="143"/>
        <v>0.67200257449576917</v>
      </c>
      <c r="O125" s="56">
        <f t="shared" si="143"/>
        <v>0.67452088243005093</v>
      </c>
      <c r="P125" s="56">
        <f t="shared" si="143"/>
        <v>0.67605776514865412</v>
      </c>
      <c r="Q125" s="56">
        <f t="shared" si="143"/>
        <v>0.68006996460039426</v>
      </c>
      <c r="R125" s="56">
        <f t="shared" si="143"/>
        <v>0.67615151375709182</v>
      </c>
      <c r="S125" s="56">
        <f t="shared" si="143"/>
        <v>0.66757762393502595</v>
      </c>
      <c r="T125" s="56">
        <f t="shared" si="143"/>
        <v>0.67795522175152234</v>
      </c>
      <c r="U125" s="56">
        <f t="shared" si="143"/>
        <v>0.67657698205922179</v>
      </c>
      <c r="V125" s="56">
        <f t="shared" si="143"/>
        <v>0.68520766703805969</v>
      </c>
      <c r="W125" s="56">
        <f t="shared" si="143"/>
        <v>0.69629191323838857</v>
      </c>
      <c r="X125" s="56">
        <f t="shared" ref="X125:Y125" si="144">IF(X111=0,"",X111/X104)</f>
        <v>0.71179683936872706</v>
      </c>
      <c r="Y125" s="56">
        <f t="shared" si="144"/>
        <v>0.72891995886668703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208.99298701653996</v>
      </c>
      <c r="C129" s="82">
        <f t="shared" ref="C129:W129" si="146">IF(C99=0,0,C99/C$26)</f>
        <v>203.94023701455484</v>
      </c>
      <c r="D129" s="82">
        <f t="shared" si="146"/>
        <v>191.53872283551516</v>
      </c>
      <c r="E129" s="82">
        <f t="shared" si="146"/>
        <v>208.43212374687991</v>
      </c>
      <c r="F129" s="82">
        <f t="shared" si="146"/>
        <v>195.67477539091757</v>
      </c>
      <c r="G129" s="82">
        <f t="shared" si="146"/>
        <v>172.09104857605774</v>
      </c>
      <c r="H129" s="82">
        <f t="shared" si="146"/>
        <v>163.66574562242249</v>
      </c>
      <c r="I129" s="82">
        <f t="shared" si="146"/>
        <v>152.1155339957925</v>
      </c>
      <c r="J129" s="82">
        <f t="shared" si="146"/>
        <v>159.04575579544979</v>
      </c>
      <c r="K129" s="82">
        <f t="shared" si="146"/>
        <v>150.41706823731892</v>
      </c>
      <c r="L129" s="82">
        <f t="shared" si="146"/>
        <v>162.06926328832242</v>
      </c>
      <c r="M129" s="82">
        <f t="shared" si="146"/>
        <v>154.23206852751346</v>
      </c>
      <c r="N129" s="82">
        <f t="shared" si="146"/>
        <v>148.86359083510052</v>
      </c>
      <c r="O129" s="82">
        <f t="shared" si="146"/>
        <v>145.98703036659995</v>
      </c>
      <c r="P129" s="82">
        <f t="shared" si="146"/>
        <v>139.47955166360745</v>
      </c>
      <c r="Q129" s="82">
        <f t="shared" si="146"/>
        <v>138.93000537432187</v>
      </c>
      <c r="R129" s="82">
        <f t="shared" si="146"/>
        <v>140.8719883596678</v>
      </c>
      <c r="S129" s="82">
        <f t="shared" si="146"/>
        <v>143.36197451017031</v>
      </c>
      <c r="T129" s="82">
        <f t="shared" si="146"/>
        <v>137.20703098034298</v>
      </c>
      <c r="U129" s="82">
        <f t="shared" si="146"/>
        <v>137.67877475016221</v>
      </c>
      <c r="V129" s="82">
        <f t="shared" si="146"/>
        <v>127.29598149954741</v>
      </c>
      <c r="W129" s="82">
        <f t="shared" si="146"/>
        <v>124.58440094076862</v>
      </c>
      <c r="X129" s="82">
        <f t="shared" ref="X129:Y129" si="147">IF(X99=0,0,X99/X$26)</f>
        <v>118.27400625454314</v>
      </c>
      <c r="Y129" s="82">
        <f t="shared" si="147"/>
        <v>108.31791886714724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183.85201340780509</v>
      </c>
      <c r="C130" s="64">
        <f t="shared" ref="C130:W130" si="149">IF(C100=0,0,C100/C$26)</f>
        <v>178.16412286391363</v>
      </c>
      <c r="D130" s="64">
        <f t="shared" si="149"/>
        <v>165.10416137382634</v>
      </c>
      <c r="E130" s="64">
        <f t="shared" si="149"/>
        <v>181.35881170597</v>
      </c>
      <c r="F130" s="64">
        <f t="shared" si="149"/>
        <v>167.90643467472594</v>
      </c>
      <c r="G130" s="64">
        <f t="shared" si="149"/>
        <v>143.80402609615649</v>
      </c>
      <c r="H130" s="64">
        <f t="shared" si="149"/>
        <v>135.04879913543076</v>
      </c>
      <c r="I130" s="64">
        <f t="shared" si="149"/>
        <v>123.20915365407326</v>
      </c>
      <c r="J130" s="64">
        <f t="shared" si="149"/>
        <v>129.68572489592538</v>
      </c>
      <c r="K130" s="64">
        <f t="shared" si="149"/>
        <v>120.17301770265371</v>
      </c>
      <c r="L130" s="64">
        <f t="shared" si="149"/>
        <v>131.41863235378887</v>
      </c>
      <c r="M130" s="64">
        <f t="shared" si="149"/>
        <v>123.68755469875879</v>
      </c>
      <c r="N130" s="64">
        <f t="shared" si="149"/>
        <v>118.15720061134898</v>
      </c>
      <c r="O130" s="64">
        <f t="shared" si="149"/>
        <v>115.11280278193672</v>
      </c>
      <c r="P130" s="64">
        <f t="shared" si="149"/>
        <v>108.45034201869598</v>
      </c>
      <c r="Q130" s="64">
        <f t="shared" si="149"/>
        <v>107.60676764069433</v>
      </c>
      <c r="R130" s="64">
        <f t="shared" si="149"/>
        <v>109.5599861851381</v>
      </c>
      <c r="S130" s="64">
        <f t="shared" si="149"/>
        <v>112.11537115935815</v>
      </c>
      <c r="T130" s="64">
        <f t="shared" si="149"/>
        <v>106.57392539465501</v>
      </c>
      <c r="U130" s="64">
        <f t="shared" si="149"/>
        <v>107.87460233877846</v>
      </c>
      <c r="V130" s="64">
        <f t="shared" si="149"/>
        <v>99.138624332073448</v>
      </c>
      <c r="W130" s="64">
        <f t="shared" si="149"/>
        <v>97.318166667588414</v>
      </c>
      <c r="X130" s="64">
        <f t="shared" ref="X130:Y130" si="150">IF(X100=0,0,X100/X$26)</f>
        <v>91.477532750373172</v>
      </c>
      <c r="Y130" s="64">
        <f t="shared" si="150"/>
        <v>81.995303506398599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157.44720241134704</v>
      </c>
      <c r="C131" s="65">
        <f t="shared" ref="C131:W131" si="152">IF(C101=0,0,C101/C$26)</f>
        <v>151.67250728274919</v>
      </c>
      <c r="D131" s="65">
        <f t="shared" si="152"/>
        <v>138.73289612691514</v>
      </c>
      <c r="E131" s="65">
        <f t="shared" si="152"/>
        <v>155.05856037719971</v>
      </c>
      <c r="F131" s="65">
        <f t="shared" si="152"/>
        <v>142.01451385957057</v>
      </c>
      <c r="G131" s="65">
        <f t="shared" si="152"/>
        <v>118.09064934135512</v>
      </c>
      <c r="H131" s="65">
        <f t="shared" si="152"/>
        <v>109.16639666260257</v>
      </c>
      <c r="I131" s="65">
        <f t="shared" si="152"/>
        <v>97.340481976521275</v>
      </c>
      <c r="J131" s="65">
        <f t="shared" si="152"/>
        <v>103.607192998511</v>
      </c>
      <c r="K131" s="65">
        <f t="shared" si="152"/>
        <v>92.254998185481796</v>
      </c>
      <c r="L131" s="65">
        <f t="shared" si="152"/>
        <v>102.83525926263611</v>
      </c>
      <c r="M131" s="65">
        <f t="shared" si="152"/>
        <v>94.893941027335586</v>
      </c>
      <c r="N131" s="65">
        <f t="shared" si="152"/>
        <v>89.205158005417047</v>
      </c>
      <c r="O131" s="65">
        <f t="shared" si="152"/>
        <v>86.001728253162668</v>
      </c>
      <c r="P131" s="65">
        <f t="shared" si="152"/>
        <v>79.678248643031367</v>
      </c>
      <c r="Q131" s="65">
        <f t="shared" si="152"/>
        <v>78.649676397751151</v>
      </c>
      <c r="R131" s="65">
        <f t="shared" si="152"/>
        <v>80.716618109014803</v>
      </c>
      <c r="S131" s="65">
        <f t="shared" si="152"/>
        <v>82.953114788975569</v>
      </c>
      <c r="T131" s="65">
        <f t="shared" si="152"/>
        <v>78.019213481961373</v>
      </c>
      <c r="U131" s="65">
        <f t="shared" si="152"/>
        <v>79.326979343293928</v>
      </c>
      <c r="V131" s="65">
        <f t="shared" si="152"/>
        <v>72.701461340519074</v>
      </c>
      <c r="W131" s="65">
        <f t="shared" si="152"/>
        <v>70.772422752896503</v>
      </c>
      <c r="X131" s="65">
        <f t="shared" ref="X131:Y131" si="153">IF(X101=0,0,X101/X$26)</f>
        <v>65.70786739108415</v>
      </c>
      <c r="Y131" s="65">
        <f t="shared" si="153"/>
        <v>56.320259816031751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0.74355043229842244</v>
      </c>
      <c r="C132" s="65">
        <f t="shared" ref="C132:W132" si="155">IF(C102=0,0,C102/C$26)</f>
        <v>0.77542484688753677</v>
      </c>
      <c r="D132" s="65">
        <f t="shared" si="155"/>
        <v>0.92138961903782979</v>
      </c>
      <c r="E132" s="65">
        <f t="shared" si="155"/>
        <v>1.0258531964133466</v>
      </c>
      <c r="F132" s="65">
        <f t="shared" si="155"/>
        <v>1.0371621351908438</v>
      </c>
      <c r="G132" s="65">
        <f t="shared" si="155"/>
        <v>1.1919086274061632</v>
      </c>
      <c r="H132" s="65">
        <f t="shared" si="155"/>
        <v>1.3920318641041844</v>
      </c>
      <c r="I132" s="65">
        <f t="shared" si="155"/>
        <v>1.5133432228008721</v>
      </c>
      <c r="J132" s="65">
        <f t="shared" si="155"/>
        <v>1.5971874140468656</v>
      </c>
      <c r="K132" s="65">
        <f t="shared" si="155"/>
        <v>1.7226620822838683</v>
      </c>
      <c r="L132" s="65">
        <f t="shared" si="155"/>
        <v>1.8354328040955989</v>
      </c>
      <c r="M132" s="65">
        <f t="shared" si="155"/>
        <v>1.8874400993314391</v>
      </c>
      <c r="N132" s="65">
        <f t="shared" si="155"/>
        <v>1.9127526194060729</v>
      </c>
      <c r="O132" s="65">
        <f t="shared" si="155"/>
        <v>1.983816156141043</v>
      </c>
      <c r="P132" s="65">
        <f t="shared" si="155"/>
        <v>1.8660838686358296</v>
      </c>
      <c r="Q132" s="65">
        <f t="shared" si="155"/>
        <v>2.1674188716655172</v>
      </c>
      <c r="R132" s="65">
        <f t="shared" si="155"/>
        <v>1.8104356493818603</v>
      </c>
      <c r="S132" s="65">
        <f t="shared" si="155"/>
        <v>1.8008107585239348</v>
      </c>
      <c r="T132" s="65">
        <f t="shared" si="155"/>
        <v>1.8775006672460262</v>
      </c>
      <c r="U132" s="65">
        <f t="shared" si="155"/>
        <v>1.8455370788362915</v>
      </c>
      <c r="V132" s="65">
        <f t="shared" si="155"/>
        <v>1.6484610843417613</v>
      </c>
      <c r="W132" s="65">
        <f t="shared" si="155"/>
        <v>1.6978413361418467</v>
      </c>
      <c r="X132" s="65">
        <f t="shared" ref="X132:Y132" si="156">IF(X102=0,0,X102/X$26)</f>
        <v>1.7382756452223216</v>
      </c>
      <c r="Y132" s="65">
        <f t="shared" si="156"/>
        <v>1.7190091432850969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13.053568595529359</v>
      </c>
      <c r="C133" s="65">
        <f t="shared" ref="C133:W133" si="158">IF(C103=0,0,C103/C$26)</f>
        <v>12.877560143620906</v>
      </c>
      <c r="D133" s="65">
        <f t="shared" si="158"/>
        <v>12.676863379144505</v>
      </c>
      <c r="E133" s="65">
        <f t="shared" si="158"/>
        <v>12.440805714035573</v>
      </c>
      <c r="F133" s="65">
        <f t="shared" si="158"/>
        <v>12.050432649215889</v>
      </c>
      <c r="G133" s="65">
        <f t="shared" si="158"/>
        <v>11.904644167617656</v>
      </c>
      <c r="H133" s="65">
        <f t="shared" si="158"/>
        <v>11.909382716275509</v>
      </c>
      <c r="I133" s="65">
        <f t="shared" si="158"/>
        <v>11.898183185887692</v>
      </c>
      <c r="J133" s="65">
        <f t="shared" si="158"/>
        <v>11.888498065229308</v>
      </c>
      <c r="K133" s="65">
        <f t="shared" si="158"/>
        <v>12.793252175106396</v>
      </c>
      <c r="L133" s="65">
        <f t="shared" si="158"/>
        <v>13.057526325576355</v>
      </c>
      <c r="M133" s="65">
        <f t="shared" si="158"/>
        <v>13.062820552147061</v>
      </c>
      <c r="N133" s="65">
        <f t="shared" si="158"/>
        <v>13.128694831526508</v>
      </c>
      <c r="O133" s="65">
        <f t="shared" si="158"/>
        <v>13.054641121035448</v>
      </c>
      <c r="P133" s="65">
        <f t="shared" si="158"/>
        <v>12.854328070864076</v>
      </c>
      <c r="Q133" s="65">
        <f t="shared" si="158"/>
        <v>12.769985654693832</v>
      </c>
      <c r="R133" s="65">
        <f t="shared" si="158"/>
        <v>12.861153256122515</v>
      </c>
      <c r="S133" s="65">
        <f t="shared" si="158"/>
        <v>12.855470230390461</v>
      </c>
      <c r="T133" s="65">
        <f t="shared" si="158"/>
        <v>12.505686494280383</v>
      </c>
      <c r="U133" s="65">
        <f t="shared" si="158"/>
        <v>12.369994461946307</v>
      </c>
      <c r="V133" s="65">
        <f t="shared" si="158"/>
        <v>11.541928946303837</v>
      </c>
      <c r="W133" s="65">
        <f t="shared" si="158"/>
        <v>11.44914370466697</v>
      </c>
      <c r="X133" s="65">
        <f t="shared" ref="X133:Y133" si="159">IF(X103=0,0,X103/X$26)</f>
        <v>10.993129503555922</v>
      </c>
      <c r="Y133" s="65">
        <f t="shared" si="159"/>
        <v>10.995486958761989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12.607691968630277</v>
      </c>
      <c r="C134" s="67">
        <f t="shared" ref="C134:W134" si="161">IF(C104=0,0,C104/C$26)</f>
        <v>12.838630590655965</v>
      </c>
      <c r="D134" s="67">
        <f t="shared" si="161"/>
        <v>12.773012248728838</v>
      </c>
      <c r="E134" s="67">
        <f t="shared" si="161"/>
        <v>12.833592418321365</v>
      </c>
      <c r="F134" s="67">
        <f t="shared" si="161"/>
        <v>12.804326030748671</v>
      </c>
      <c r="G134" s="67">
        <f t="shared" si="161"/>
        <v>12.616823959777566</v>
      </c>
      <c r="H134" s="67">
        <f t="shared" si="161"/>
        <v>12.580987892448485</v>
      </c>
      <c r="I134" s="67">
        <f t="shared" si="161"/>
        <v>12.457145268863389</v>
      </c>
      <c r="J134" s="67">
        <f t="shared" si="161"/>
        <v>12.592846418138205</v>
      </c>
      <c r="K134" s="67">
        <f t="shared" si="161"/>
        <v>13.402105259781646</v>
      </c>
      <c r="L134" s="67">
        <f t="shared" si="161"/>
        <v>13.690413961480786</v>
      </c>
      <c r="M134" s="67">
        <f t="shared" si="161"/>
        <v>13.84335301994469</v>
      </c>
      <c r="N134" s="67">
        <f t="shared" si="161"/>
        <v>13.910595154999351</v>
      </c>
      <c r="O134" s="67">
        <f t="shared" si="161"/>
        <v>14.072617251597546</v>
      </c>
      <c r="P134" s="67">
        <f t="shared" si="161"/>
        <v>14.051681436164706</v>
      </c>
      <c r="Q134" s="67">
        <f t="shared" si="161"/>
        <v>14.019686716583797</v>
      </c>
      <c r="R134" s="67">
        <f t="shared" si="161"/>
        <v>14.171779170618926</v>
      </c>
      <c r="S134" s="67">
        <f t="shared" si="161"/>
        <v>14.50597538146816</v>
      </c>
      <c r="T134" s="67">
        <f t="shared" si="161"/>
        <v>14.171524751167205</v>
      </c>
      <c r="U134" s="67">
        <f t="shared" si="161"/>
        <v>14.332091454701935</v>
      </c>
      <c r="V134" s="67">
        <f t="shared" si="161"/>
        <v>13.246772960908752</v>
      </c>
      <c r="W134" s="67">
        <f t="shared" si="161"/>
        <v>13.398758873883111</v>
      </c>
      <c r="X134" s="67">
        <f t="shared" ref="X134:Y134" si="162">IF(X104=0,0,X104/X$26)</f>
        <v>13.03826021051078</v>
      </c>
      <c r="Y134" s="67">
        <f t="shared" si="162"/>
        <v>12.960547588319763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25.14097360873485</v>
      </c>
      <c r="C135" s="68">
        <f t="shared" ref="C135:W135" si="164">IF(C105=0,0,C105/C$26)</f>
        <v>25.776114150641249</v>
      </c>
      <c r="D135" s="68">
        <f t="shared" si="164"/>
        <v>26.434561461688848</v>
      </c>
      <c r="E135" s="68">
        <f t="shared" si="164"/>
        <v>27.073312040909904</v>
      </c>
      <c r="F135" s="68">
        <f t="shared" si="164"/>
        <v>27.768340716191631</v>
      </c>
      <c r="G135" s="68">
        <f t="shared" si="164"/>
        <v>28.287022479901207</v>
      </c>
      <c r="H135" s="68">
        <f t="shared" si="164"/>
        <v>28.616946486991711</v>
      </c>
      <c r="I135" s="68">
        <f t="shared" si="164"/>
        <v>28.906380341719231</v>
      </c>
      <c r="J135" s="68">
        <f t="shared" si="164"/>
        <v>29.360030899524446</v>
      </c>
      <c r="K135" s="68">
        <f t="shared" si="164"/>
        <v>30.24405053466522</v>
      </c>
      <c r="L135" s="68">
        <f t="shared" si="164"/>
        <v>30.650630934533567</v>
      </c>
      <c r="M135" s="68">
        <f t="shared" si="164"/>
        <v>30.544513828754674</v>
      </c>
      <c r="N135" s="68">
        <f t="shared" si="164"/>
        <v>30.706390223751526</v>
      </c>
      <c r="O135" s="68">
        <f t="shared" si="164"/>
        <v>30.874227584663217</v>
      </c>
      <c r="P135" s="68">
        <f t="shared" si="164"/>
        <v>31.029209644911504</v>
      </c>
      <c r="Q135" s="68">
        <f t="shared" si="164"/>
        <v>31.323237733627536</v>
      </c>
      <c r="R135" s="68">
        <f t="shared" si="164"/>
        <v>31.312002174529681</v>
      </c>
      <c r="S135" s="68">
        <f t="shared" si="164"/>
        <v>31.246603350812155</v>
      </c>
      <c r="T135" s="68">
        <f t="shared" si="164"/>
        <v>30.633105585687986</v>
      </c>
      <c r="U135" s="68">
        <f t="shared" si="164"/>
        <v>29.804172411383721</v>
      </c>
      <c r="V135" s="68">
        <f t="shared" si="164"/>
        <v>28.157357167473979</v>
      </c>
      <c r="W135" s="68">
        <f t="shared" si="164"/>
        <v>27.26623427318021</v>
      </c>
      <c r="X135" s="68">
        <f t="shared" ref="X135:Y135" si="165">IF(X105=0,0,X105/X$26)</f>
        <v>26.796473504169992</v>
      </c>
      <c r="Y135" s="68">
        <f t="shared" si="165"/>
        <v>26.322615360748642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109.58485067528609</v>
      </c>
      <c r="C137" s="85">
        <f t="shared" ref="C137:W137" si="167">IF(C107=0,0,C107/C$26)</f>
        <v>107.29260571795811</v>
      </c>
      <c r="D137" s="85">
        <f t="shared" si="167"/>
        <v>100.123460483667</v>
      </c>
      <c r="E137" s="85">
        <f t="shared" si="167"/>
        <v>109.94018370469287</v>
      </c>
      <c r="F137" s="85">
        <f t="shared" si="167"/>
        <v>102.03669853399023</v>
      </c>
      <c r="G137" s="85">
        <f t="shared" si="167"/>
        <v>89.852775290279098</v>
      </c>
      <c r="H137" s="85">
        <f t="shared" si="167"/>
        <v>84.70926816334422</v>
      </c>
      <c r="I137" s="85">
        <f t="shared" si="167"/>
        <v>78.598427937994686</v>
      </c>
      <c r="J137" s="85">
        <f t="shared" si="167"/>
        <v>82.963783743079844</v>
      </c>
      <c r="K137" s="85">
        <f t="shared" si="167"/>
        <v>78.581401000512855</v>
      </c>
      <c r="L137" s="85">
        <f t="shared" si="167"/>
        <v>87.299376351819291</v>
      </c>
      <c r="M137" s="85">
        <f t="shared" si="167"/>
        <v>83.278880622897887</v>
      </c>
      <c r="N137" s="85">
        <f t="shared" si="167"/>
        <v>81.021172543828285</v>
      </c>
      <c r="O137" s="85">
        <f t="shared" si="167"/>
        <v>80.519313900707914</v>
      </c>
      <c r="P137" s="85">
        <f t="shared" si="167"/>
        <v>76.452898659198212</v>
      </c>
      <c r="Q137" s="85">
        <f t="shared" si="167"/>
        <v>77.657035805901984</v>
      </c>
      <c r="R137" s="85">
        <f t="shared" si="167"/>
        <v>79.230168414603597</v>
      </c>
      <c r="S137" s="85">
        <f t="shared" si="167"/>
        <v>82.083746375860457</v>
      </c>
      <c r="T137" s="85">
        <f t="shared" si="167"/>
        <v>80.398086677010824</v>
      </c>
      <c r="U137" s="85">
        <f t="shared" si="167"/>
        <v>82.41674853361998</v>
      </c>
      <c r="V137" s="85">
        <f t="shared" si="167"/>
        <v>77.233575796332119</v>
      </c>
      <c r="W137" s="85">
        <f t="shared" si="167"/>
        <v>77.742470176250791</v>
      </c>
      <c r="X137" s="85">
        <f t="shared" ref="X137:Y137" si="168">IF(X107=0,0,X107/X$26)</f>
        <v>75.468024000737557</v>
      </c>
      <c r="Y137" s="85">
        <f t="shared" si="168"/>
        <v>69.772907349361901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92.047872255414319</v>
      </c>
      <c r="C138" s="65">
        <f t="shared" ref="C138:W138" si="170">IF(C108=0,0,C108/C$26)</f>
        <v>89.701995866143406</v>
      </c>
      <c r="D138" s="65">
        <f t="shared" si="170"/>
        <v>82.258771666844183</v>
      </c>
      <c r="E138" s="65">
        <f t="shared" si="170"/>
        <v>91.764304151545247</v>
      </c>
      <c r="F138" s="65">
        <f t="shared" si="170"/>
        <v>83.941308115422245</v>
      </c>
      <c r="G138" s="65">
        <f t="shared" si="170"/>
        <v>71.41568733247</v>
      </c>
      <c r="H138" s="65">
        <f t="shared" si="170"/>
        <v>65.549154275850242</v>
      </c>
      <c r="I138" s="65">
        <f t="shared" si="170"/>
        <v>59.007277212130575</v>
      </c>
      <c r="J138" s="65">
        <f t="shared" si="170"/>
        <v>62.852981682148936</v>
      </c>
      <c r="K138" s="65">
        <f t="shared" si="170"/>
        <v>57.025035809938345</v>
      </c>
      <c r="L138" s="65">
        <f t="shared" si="170"/>
        <v>64.741218627086681</v>
      </c>
      <c r="M138" s="65">
        <f t="shared" si="170"/>
        <v>60.144437669307138</v>
      </c>
      <c r="N138" s="65">
        <f t="shared" si="170"/>
        <v>57.404726103422249</v>
      </c>
      <c r="O138" s="65">
        <f t="shared" si="170"/>
        <v>56.274979371445319</v>
      </c>
      <c r="P138" s="65">
        <f t="shared" si="170"/>
        <v>52.417658941185962</v>
      </c>
      <c r="Q138" s="65">
        <f t="shared" si="170"/>
        <v>52.293528270629942</v>
      </c>
      <c r="R138" s="65">
        <f t="shared" si="170"/>
        <v>54.564079984766188</v>
      </c>
      <c r="S138" s="65">
        <f t="shared" si="170"/>
        <v>56.993669964127555</v>
      </c>
      <c r="T138" s="65">
        <f t="shared" si="170"/>
        <v>54.957246541625423</v>
      </c>
      <c r="U138" s="65">
        <f t="shared" si="170"/>
        <v>56.777350592633169</v>
      </c>
      <c r="V138" s="65">
        <f t="shared" si="170"/>
        <v>53.24173481022634</v>
      </c>
      <c r="W138" s="65">
        <f t="shared" si="170"/>
        <v>53.055281685785133</v>
      </c>
      <c r="X138" s="65">
        <f t="shared" ref="X138:Y138" si="171">IF(X108=0,0,X108/X$26)</f>
        <v>50.724082154622288</v>
      </c>
      <c r="Y138" s="65">
        <f t="shared" si="171"/>
        <v>44.645973432020682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1.3191696311442573</v>
      </c>
      <c r="C139" s="65">
        <f t="shared" ref="C139:W139" si="173">IF(C109=0,0,C109/C$26)</f>
        <v>1.4424322947576906</v>
      </c>
      <c r="D139" s="65">
        <f t="shared" si="173"/>
        <v>1.8410609634795712</v>
      </c>
      <c r="E139" s="65">
        <f t="shared" si="173"/>
        <v>2.1451842172598399</v>
      </c>
      <c r="F139" s="65">
        <f t="shared" si="173"/>
        <v>2.2713149821234899</v>
      </c>
      <c r="G139" s="65">
        <f t="shared" si="173"/>
        <v>2.7637090532517901</v>
      </c>
      <c r="H139" s="65">
        <f t="shared" si="173"/>
        <v>3.4003071203884825</v>
      </c>
      <c r="I139" s="65">
        <f t="shared" si="173"/>
        <v>3.8667967043127338</v>
      </c>
      <c r="J139" s="65">
        <f t="shared" si="173"/>
        <v>4.2517971586767676</v>
      </c>
      <c r="K139" s="65">
        <f t="shared" si="173"/>
        <v>4.6696414846098726</v>
      </c>
      <c r="L139" s="65">
        <f t="shared" si="173"/>
        <v>5.0986070259150189</v>
      </c>
      <c r="M139" s="65">
        <f t="shared" si="173"/>
        <v>5.4254756779869755</v>
      </c>
      <c r="N139" s="65">
        <f t="shared" si="173"/>
        <v>5.675888297044926</v>
      </c>
      <c r="O139" s="65">
        <f t="shared" si="173"/>
        <v>6.0685288783666822</v>
      </c>
      <c r="P139" s="65">
        <f t="shared" si="173"/>
        <v>5.9184574584793959</v>
      </c>
      <c r="Q139" s="65">
        <f t="shared" si="173"/>
        <v>7.1613607099764449</v>
      </c>
      <c r="R139" s="65">
        <f t="shared" si="173"/>
        <v>6.2163932153911805</v>
      </c>
      <c r="S139" s="65">
        <f t="shared" si="173"/>
        <v>6.396335042011553</v>
      </c>
      <c r="T139" s="65">
        <f t="shared" si="173"/>
        <v>6.8627295725294282</v>
      </c>
      <c r="U139" s="65">
        <f t="shared" si="173"/>
        <v>6.9156274237015829</v>
      </c>
      <c r="V139" s="65">
        <f t="shared" si="173"/>
        <v>6.3056863446411748</v>
      </c>
      <c r="W139" s="65">
        <f t="shared" si="173"/>
        <v>6.6259985559315542</v>
      </c>
      <c r="X139" s="65">
        <f t="shared" ref="X139:Y139" si="174">IF(X109=0,0,X109/X$26)</f>
        <v>6.8871487250422998</v>
      </c>
      <c r="Y139" s="65">
        <f t="shared" si="174"/>
        <v>6.8906447684324688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7.8277889036206876</v>
      </c>
      <c r="C140" s="65">
        <f t="shared" ref="C140:W140" si="176">IF(C110=0,0,C110/C$26)</f>
        <v>7.762017393207409</v>
      </c>
      <c r="D140" s="65">
        <f t="shared" si="176"/>
        <v>7.6646132668098099</v>
      </c>
      <c r="E140" s="65">
        <f t="shared" si="176"/>
        <v>7.5771761870174625</v>
      </c>
      <c r="F140" s="65">
        <f t="shared" si="176"/>
        <v>7.3874561289773437</v>
      </c>
      <c r="G140" s="65">
        <f t="shared" si="176"/>
        <v>7.3297278650640392</v>
      </c>
      <c r="H140" s="65">
        <f t="shared" si="176"/>
        <v>7.3833275161142593</v>
      </c>
      <c r="I140" s="65">
        <f t="shared" si="176"/>
        <v>7.4264037232230509</v>
      </c>
      <c r="J140" s="65">
        <f t="shared" si="176"/>
        <v>7.4657407404599061</v>
      </c>
      <c r="K140" s="65">
        <f t="shared" si="176"/>
        <v>8.0110727142162155</v>
      </c>
      <c r="L140" s="65">
        <f t="shared" si="176"/>
        <v>8.3104056207516308</v>
      </c>
      <c r="M140" s="65">
        <f t="shared" si="176"/>
        <v>8.4318145371239144</v>
      </c>
      <c r="N140" s="65">
        <f t="shared" si="176"/>
        <v>8.5926023864331764</v>
      </c>
      <c r="O140" s="65">
        <f t="shared" si="176"/>
        <v>8.6835314442479667</v>
      </c>
      <c r="P140" s="65">
        <f t="shared" si="176"/>
        <v>8.617033911218499</v>
      </c>
      <c r="Q140" s="65">
        <f t="shared" si="176"/>
        <v>8.6677789762398305</v>
      </c>
      <c r="R140" s="65">
        <f t="shared" si="176"/>
        <v>8.8674252756010024</v>
      </c>
      <c r="S140" s="65">
        <f t="shared" si="176"/>
        <v>9.0098767917008544</v>
      </c>
      <c r="T140" s="65">
        <f t="shared" si="176"/>
        <v>8.9704513576212292</v>
      </c>
      <c r="U140" s="65">
        <f t="shared" si="176"/>
        <v>9.02700733426623</v>
      </c>
      <c r="V140" s="65">
        <f t="shared" si="176"/>
        <v>8.6093642451374652</v>
      </c>
      <c r="W140" s="65">
        <f t="shared" si="176"/>
        <v>8.7317424832181896</v>
      </c>
      <c r="X140" s="65">
        <f t="shared" ref="X140:Y140" si="177">IF(X110=0,0,X110/X$26)</f>
        <v>8.576200712364356</v>
      </c>
      <c r="Y140" s="65">
        <f t="shared" si="177"/>
        <v>8.7890873339409676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8.3900198851068151</v>
      </c>
      <c r="C141" s="68">
        <f t="shared" ref="C141:W141" si="179">IF(C111=0,0,C111/C$26)</f>
        <v>8.3861601638495973</v>
      </c>
      <c r="D141" s="68">
        <f t="shared" si="179"/>
        <v>8.3590145865334424</v>
      </c>
      <c r="E141" s="68">
        <f t="shared" si="179"/>
        <v>8.4535191488702957</v>
      </c>
      <c r="F141" s="68">
        <f t="shared" si="179"/>
        <v>8.4366193074671525</v>
      </c>
      <c r="G141" s="68">
        <f t="shared" si="179"/>
        <v>8.3436510394932757</v>
      </c>
      <c r="H141" s="68">
        <f t="shared" si="179"/>
        <v>8.3764792509912418</v>
      </c>
      <c r="I141" s="68">
        <f t="shared" si="179"/>
        <v>8.2979502983283169</v>
      </c>
      <c r="J141" s="68">
        <f t="shared" si="179"/>
        <v>8.3932641617942441</v>
      </c>
      <c r="K141" s="68">
        <f t="shared" si="179"/>
        <v>8.8756509917484276</v>
      </c>
      <c r="L141" s="68">
        <f t="shared" si="179"/>
        <v>9.1491450780659758</v>
      </c>
      <c r="M141" s="68">
        <f t="shared" si="179"/>
        <v>9.2771527384798436</v>
      </c>
      <c r="N141" s="68">
        <f t="shared" si="179"/>
        <v>9.3479557569279379</v>
      </c>
      <c r="O141" s="68">
        <f t="shared" si="179"/>
        <v>9.4922742066479344</v>
      </c>
      <c r="P141" s="68">
        <f t="shared" si="179"/>
        <v>9.4997483483143412</v>
      </c>
      <c r="Q141" s="68">
        <f t="shared" si="179"/>
        <v>9.5343678490557622</v>
      </c>
      <c r="R141" s="68">
        <f t="shared" si="179"/>
        <v>9.5822699388452115</v>
      </c>
      <c r="S141" s="68">
        <f t="shared" si="179"/>
        <v>9.6838645780204953</v>
      </c>
      <c r="T141" s="68">
        <f t="shared" si="179"/>
        <v>9.6076592052347483</v>
      </c>
      <c r="U141" s="68">
        <f t="shared" si="179"/>
        <v>9.6967631830189962</v>
      </c>
      <c r="V141" s="68">
        <f t="shared" si="179"/>
        <v>9.0767903963271355</v>
      </c>
      <c r="W141" s="68">
        <f t="shared" si="179"/>
        <v>9.3294474513159074</v>
      </c>
      <c r="X141" s="68">
        <f t="shared" ref="X141:Y141" si="180">IF(X111=0,0,X111/X$26)</f>
        <v>9.2805924087086069</v>
      </c>
      <c r="Y141" s="68">
        <f t="shared" si="180"/>
        <v>9.4472018149677819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24.903523223546586</v>
      </c>
      <c r="C143" s="82">
        <f t="shared" ref="C143:W143" si="182">IF(C113=0,0,C113/C$26)</f>
        <v>21.129510091911154</v>
      </c>
      <c r="D143" s="82">
        <f t="shared" si="182"/>
        <v>20.045852501923321</v>
      </c>
      <c r="E143" s="82">
        <f t="shared" si="182"/>
        <v>24.228823543346618</v>
      </c>
      <c r="F143" s="82">
        <f t="shared" si="182"/>
        <v>24.310526689761993</v>
      </c>
      <c r="G143" s="82">
        <f t="shared" si="182"/>
        <v>16.710510496732439</v>
      </c>
      <c r="H143" s="82">
        <f t="shared" si="182"/>
        <v>17.17856741135617</v>
      </c>
      <c r="I143" s="82">
        <f t="shared" si="182"/>
        <v>14.686151783631974</v>
      </c>
      <c r="J143" s="82">
        <f t="shared" si="182"/>
        <v>16.266986238109968</v>
      </c>
      <c r="K143" s="82">
        <f t="shared" si="182"/>
        <v>14.163865346374275</v>
      </c>
      <c r="L143" s="82">
        <f t="shared" si="182"/>
        <v>14.829132539760332</v>
      </c>
      <c r="M143" s="82">
        <f t="shared" si="182"/>
        <v>14.029681766830365</v>
      </c>
      <c r="N143" s="82">
        <f t="shared" si="182"/>
        <v>13.197575824031965</v>
      </c>
      <c r="O143" s="82">
        <f t="shared" si="182"/>
        <v>12.568655987671921</v>
      </c>
      <c r="P143" s="82">
        <f t="shared" si="182"/>
        <v>12.017969205536735</v>
      </c>
      <c r="Q143" s="82">
        <f t="shared" si="182"/>
        <v>11.874950431880261</v>
      </c>
      <c r="R143" s="82">
        <f t="shared" si="182"/>
        <v>11.963587721461179</v>
      </c>
      <c r="S143" s="82">
        <f t="shared" si="182"/>
        <v>12.534244356971602</v>
      </c>
      <c r="T143" s="82">
        <f t="shared" si="182"/>
        <v>11.127169456944005</v>
      </c>
      <c r="U143" s="82">
        <f t="shared" si="182"/>
        <v>11.621614161956641</v>
      </c>
      <c r="V143" s="82">
        <f t="shared" si="182"/>
        <v>10.41465756823496</v>
      </c>
      <c r="W143" s="82">
        <f t="shared" si="182"/>
        <v>9.9021805644929817</v>
      </c>
      <c r="X143" s="82">
        <f t="shared" ref="X143:Y143" si="183">IF(X113=0,0,X113/X$26)</f>
        <v>8.7989802153360053</v>
      </c>
      <c r="Y143" s="82">
        <f t="shared" si="183"/>
        <v>7.6780224780992929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24.903523223546586</v>
      </c>
      <c r="C144" s="64">
        <f t="shared" ref="C144:W144" si="185">IF(C114=0,0,C114/C$26)</f>
        <v>21.129510091911154</v>
      </c>
      <c r="D144" s="64">
        <f t="shared" si="185"/>
        <v>20.045852501923321</v>
      </c>
      <c r="E144" s="64">
        <f t="shared" si="185"/>
        <v>24.228823543346618</v>
      </c>
      <c r="F144" s="64">
        <f t="shared" si="185"/>
        <v>24.310526689761993</v>
      </c>
      <c r="G144" s="64">
        <f t="shared" si="185"/>
        <v>16.710510496732439</v>
      </c>
      <c r="H144" s="64">
        <f t="shared" si="185"/>
        <v>17.17856741135617</v>
      </c>
      <c r="I144" s="64">
        <f t="shared" si="185"/>
        <v>14.686151783631974</v>
      </c>
      <c r="J144" s="64">
        <f t="shared" si="185"/>
        <v>16.266986238109968</v>
      </c>
      <c r="K144" s="64">
        <f t="shared" si="185"/>
        <v>14.163865346374275</v>
      </c>
      <c r="L144" s="64">
        <f t="shared" si="185"/>
        <v>14.829132539760332</v>
      </c>
      <c r="M144" s="64">
        <f t="shared" si="185"/>
        <v>14.029681766830365</v>
      </c>
      <c r="N144" s="64">
        <f t="shared" si="185"/>
        <v>13.197575824031965</v>
      </c>
      <c r="O144" s="64">
        <f t="shared" si="185"/>
        <v>12.568655987671921</v>
      </c>
      <c r="P144" s="64">
        <f t="shared" si="185"/>
        <v>12.017969205536735</v>
      </c>
      <c r="Q144" s="64">
        <f t="shared" si="185"/>
        <v>11.874950431880261</v>
      </c>
      <c r="R144" s="64">
        <f t="shared" si="185"/>
        <v>11.963587721461179</v>
      </c>
      <c r="S144" s="64">
        <f t="shared" si="185"/>
        <v>12.534244356971602</v>
      </c>
      <c r="T144" s="64">
        <f t="shared" si="185"/>
        <v>11.127169456944005</v>
      </c>
      <c r="U144" s="64">
        <f t="shared" si="185"/>
        <v>11.621614161956641</v>
      </c>
      <c r="V144" s="64">
        <f t="shared" si="185"/>
        <v>10.41465756823496</v>
      </c>
      <c r="W144" s="64">
        <f t="shared" si="185"/>
        <v>9.9021805644929817</v>
      </c>
      <c r="X144" s="64">
        <f t="shared" ref="X144:Y144" si="186">IF(X114=0,0,X114/X$26)</f>
        <v>8.7989802153360053</v>
      </c>
      <c r="Y144" s="64">
        <f t="shared" si="186"/>
        <v>7.6780224780992929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22.584661172236377</v>
      </c>
      <c r="C145" s="65">
        <f t="shared" ref="C145:W145" si="188">IF(C115=0,0,C115/C$26)</f>
        <v>18.605344312388482</v>
      </c>
      <c r="D145" s="65">
        <f t="shared" si="188"/>
        <v>17.5097561420971</v>
      </c>
      <c r="E145" s="65">
        <f t="shared" si="188"/>
        <v>21.766695394103991</v>
      </c>
      <c r="F145" s="65">
        <f t="shared" si="188"/>
        <v>21.848782322126244</v>
      </c>
      <c r="G145" s="65">
        <f t="shared" si="188"/>
        <v>14.257291097615759</v>
      </c>
      <c r="H145" s="65">
        <f t="shared" si="188"/>
        <v>14.756380534508887</v>
      </c>
      <c r="I145" s="65">
        <f t="shared" si="188"/>
        <v>12.246409659101539</v>
      </c>
      <c r="J145" s="65">
        <f t="shared" si="188"/>
        <v>13.754219222868732</v>
      </c>
      <c r="K145" s="65">
        <f t="shared" si="188"/>
        <v>11.227877032487759</v>
      </c>
      <c r="L145" s="65">
        <f t="shared" si="188"/>
        <v>12.018498776844339</v>
      </c>
      <c r="M145" s="65">
        <f t="shared" si="188"/>
        <v>11.231876726241582</v>
      </c>
      <c r="N145" s="65">
        <f t="shared" si="188"/>
        <v>10.401457868526359</v>
      </c>
      <c r="O145" s="65">
        <f t="shared" si="188"/>
        <v>9.77644545424819</v>
      </c>
      <c r="P145" s="65">
        <f t="shared" si="188"/>
        <v>9.2361685739290618</v>
      </c>
      <c r="Q145" s="65">
        <f t="shared" si="188"/>
        <v>9.1404819178898222</v>
      </c>
      <c r="R145" s="65">
        <f t="shared" si="188"/>
        <v>9.128948314290243</v>
      </c>
      <c r="S145" s="65">
        <f t="shared" si="188"/>
        <v>9.4224392766796061</v>
      </c>
      <c r="T145" s="65">
        <f t="shared" si="188"/>
        <v>8.2820496171512961</v>
      </c>
      <c r="U145" s="65">
        <f t="shared" si="188"/>
        <v>8.6206849486340094</v>
      </c>
      <c r="V145" s="65">
        <f t="shared" si="188"/>
        <v>7.6981111732304841</v>
      </c>
      <c r="W145" s="65">
        <f t="shared" si="188"/>
        <v>7.2679244113550663</v>
      </c>
      <c r="X145" s="65">
        <f t="shared" ref="X145:Y145" si="189">IF(X115=0,0,X115/X$26)</f>
        <v>6.4442162761293664</v>
      </c>
      <c r="Y145" s="65">
        <f t="shared" si="189"/>
        <v>5.566226848980941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0</v>
      </c>
      <c r="C146" s="65">
        <f t="shared" ref="C146:W146" si="191">IF(C116=0,0,C116/C$26)</f>
        <v>0</v>
      </c>
      <c r="D146" s="65">
        <f t="shared" si="191"/>
        <v>0</v>
      </c>
      <c r="E146" s="65">
        <f t="shared" si="191"/>
        <v>0</v>
      </c>
      <c r="F146" s="65">
        <f t="shared" si="191"/>
        <v>0</v>
      </c>
      <c r="G146" s="65">
        <f t="shared" si="191"/>
        <v>4.5098145042291244E-4</v>
      </c>
      <c r="H146" s="65">
        <f t="shared" si="191"/>
        <v>5.62211039786411E-4</v>
      </c>
      <c r="I146" s="65">
        <f t="shared" si="191"/>
        <v>7.6954828613039726E-4</v>
      </c>
      <c r="J146" s="65">
        <f t="shared" si="191"/>
        <v>7.8090420707787591E-4</v>
      </c>
      <c r="K146" s="65">
        <f t="shared" si="191"/>
        <v>1.0334730256193287E-3</v>
      </c>
      <c r="L146" s="65">
        <f t="shared" si="191"/>
        <v>1.0475620344333704E-3</v>
      </c>
      <c r="M146" s="65">
        <f t="shared" si="191"/>
        <v>1.0975261211600969E-3</v>
      </c>
      <c r="N146" s="65">
        <f t="shared" si="191"/>
        <v>1.1424200010444207E-3</v>
      </c>
      <c r="O146" s="65">
        <f t="shared" si="191"/>
        <v>1.4075930668187246E-3</v>
      </c>
      <c r="P146" s="65">
        <f t="shared" si="191"/>
        <v>1.9309520775794755E-3</v>
      </c>
      <c r="Q146" s="65">
        <f t="shared" si="191"/>
        <v>3.4972070072206082E-3</v>
      </c>
      <c r="R146" s="65">
        <f t="shared" si="191"/>
        <v>3.4597203475857162E-3</v>
      </c>
      <c r="S146" s="65">
        <f t="shared" si="191"/>
        <v>4.1499498776421109E-3</v>
      </c>
      <c r="T146" s="65">
        <f t="shared" si="191"/>
        <v>5.2059845154508264E-3</v>
      </c>
      <c r="U146" s="65">
        <f t="shared" si="191"/>
        <v>5.2203956824918738E-3</v>
      </c>
      <c r="V146" s="65">
        <f t="shared" si="191"/>
        <v>5.5925919076287968E-3</v>
      </c>
      <c r="W146" s="65">
        <f t="shared" si="191"/>
        <v>5.8743313911202247E-3</v>
      </c>
      <c r="X146" s="65">
        <f t="shared" ref="X146:Y146" si="192">IF(X116=0,0,X116/X$26)</f>
        <v>6.0622374198684194E-3</v>
      </c>
      <c r="Y146" s="65">
        <f t="shared" si="192"/>
        <v>6.1916690160792884E-3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1.0237286544885267</v>
      </c>
      <c r="C147" s="65">
        <f t="shared" ref="C147:W147" si="194">IF(C117=0,0,C117/C$26)</f>
        <v>1.0109456762695777</v>
      </c>
      <c r="D147" s="65">
        <f t="shared" si="194"/>
        <v>1.0339050844073987</v>
      </c>
      <c r="E147" s="65">
        <f t="shared" si="194"/>
        <v>1.0148464209487582</v>
      </c>
      <c r="F147" s="65">
        <f t="shared" si="194"/>
        <v>1.0043179876627581</v>
      </c>
      <c r="G147" s="65">
        <f t="shared" si="194"/>
        <v>1.0270340474731701</v>
      </c>
      <c r="H147" s="65">
        <f t="shared" si="194"/>
        <v>1.0438398912513114</v>
      </c>
      <c r="I147" s="65">
        <f t="shared" si="194"/>
        <v>1.057603707189424</v>
      </c>
      <c r="J147" s="65">
        <f t="shared" si="194"/>
        <v>1.0988695032650069</v>
      </c>
      <c r="K147" s="65">
        <f t="shared" si="194"/>
        <v>1.3497304076441907</v>
      </c>
      <c r="L147" s="65">
        <f t="shared" si="194"/>
        <v>1.2617579861200063</v>
      </c>
      <c r="M147" s="65">
        <f t="shared" si="194"/>
        <v>1.253035401089436</v>
      </c>
      <c r="N147" s="65">
        <f t="shared" si="194"/>
        <v>1.2595941347200841</v>
      </c>
      <c r="O147" s="65">
        <f t="shared" si="194"/>
        <v>1.258565195250319</v>
      </c>
      <c r="P147" s="65">
        <f t="shared" si="194"/>
        <v>1.2475040961658725</v>
      </c>
      <c r="Q147" s="65">
        <f t="shared" si="194"/>
        <v>1.2309724987317239</v>
      </c>
      <c r="R147" s="65">
        <f t="shared" si="194"/>
        <v>1.2246541723310205</v>
      </c>
      <c r="S147" s="65">
        <f t="shared" si="194"/>
        <v>1.2891919955347491</v>
      </c>
      <c r="T147" s="65">
        <f t="shared" si="194"/>
        <v>1.1496875280184777</v>
      </c>
      <c r="U147" s="65">
        <f t="shared" si="194"/>
        <v>1.1958446020128621</v>
      </c>
      <c r="V147" s="65">
        <f t="shared" si="194"/>
        <v>1.0878080497308045</v>
      </c>
      <c r="W147" s="65">
        <f t="shared" si="194"/>
        <v>1.0536593114293837</v>
      </c>
      <c r="X147" s="65">
        <f t="shared" ref="X147:Y147" si="195">IF(X117=0,0,X117/X$26)</f>
        <v>0.92780785916095065</v>
      </c>
      <c r="Y147" s="65">
        <f t="shared" si="195"/>
        <v>0.81587166838654857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1.2951333968216798</v>
      </c>
      <c r="C148" s="67">
        <f t="shared" ref="C148:W148" si="197">IF(C118=0,0,C118/C$26)</f>
        <v>1.5132201032530967</v>
      </c>
      <c r="D148" s="67">
        <f t="shared" si="197"/>
        <v>1.5021912754188189</v>
      </c>
      <c r="E148" s="67">
        <f t="shared" si="197"/>
        <v>1.447281728293865</v>
      </c>
      <c r="F148" s="67">
        <f t="shared" si="197"/>
        <v>1.4574263799729872</v>
      </c>
      <c r="G148" s="67">
        <f t="shared" si="197"/>
        <v>1.425734370193086</v>
      </c>
      <c r="H148" s="67">
        <f t="shared" si="197"/>
        <v>1.3777847745561858</v>
      </c>
      <c r="I148" s="67">
        <f t="shared" si="197"/>
        <v>1.3813688690548787</v>
      </c>
      <c r="J148" s="67">
        <f t="shared" si="197"/>
        <v>1.4131166077691493</v>
      </c>
      <c r="K148" s="67">
        <f t="shared" si="197"/>
        <v>1.5852244332167054</v>
      </c>
      <c r="L148" s="67">
        <f t="shared" si="197"/>
        <v>1.5478282147615507</v>
      </c>
      <c r="M148" s="67">
        <f t="shared" si="197"/>
        <v>1.5436721133781863</v>
      </c>
      <c r="N148" s="67">
        <f t="shared" si="197"/>
        <v>1.535381400784481</v>
      </c>
      <c r="O148" s="67">
        <f t="shared" si="197"/>
        <v>1.5322377451065901</v>
      </c>
      <c r="P148" s="67">
        <f t="shared" si="197"/>
        <v>1.5323655833642205</v>
      </c>
      <c r="Q148" s="67">
        <f t="shared" si="197"/>
        <v>1.4999988082514939</v>
      </c>
      <c r="R148" s="67">
        <f t="shared" si="197"/>
        <v>1.6065255144923274</v>
      </c>
      <c r="S148" s="67">
        <f t="shared" si="197"/>
        <v>1.8184631348796036</v>
      </c>
      <c r="T148" s="67">
        <f t="shared" si="197"/>
        <v>1.6902263272587774</v>
      </c>
      <c r="U148" s="67">
        <f t="shared" si="197"/>
        <v>1.7998642156272753</v>
      </c>
      <c r="V148" s="67">
        <f t="shared" si="197"/>
        <v>1.6231457533660409</v>
      </c>
      <c r="W148" s="67">
        <f t="shared" si="197"/>
        <v>1.5747225103174107</v>
      </c>
      <c r="X148" s="67">
        <f t="shared" ref="X148:Y148" si="198">IF(X118=0,0,X118/X$26)</f>
        <v>1.4208938426258217</v>
      </c>
      <c r="Y148" s="67">
        <f t="shared" si="198"/>
        <v>1.2897322917157257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14426.965855298857</v>
      </c>
      <c r="C153" s="82">
        <f t="shared" ref="C153:W153" si="203">IF(C99=0,0,C99/C$23)</f>
        <v>14291.502534137329</v>
      </c>
      <c r="D153" s="82">
        <f t="shared" si="203"/>
        <v>13342.881964001892</v>
      </c>
      <c r="E153" s="82">
        <f t="shared" si="203"/>
        <v>14724.021391618699</v>
      </c>
      <c r="F153" s="82">
        <f t="shared" si="203"/>
        <v>14239.054406317062</v>
      </c>
      <c r="G153" s="82">
        <f t="shared" si="203"/>
        <v>12778.066066792073</v>
      </c>
      <c r="H153" s="82">
        <f t="shared" si="203"/>
        <v>12351.414233460935</v>
      </c>
      <c r="I153" s="82">
        <f t="shared" si="203"/>
        <v>11551.880092448186</v>
      </c>
      <c r="J153" s="82">
        <f t="shared" si="203"/>
        <v>11990.356886590629</v>
      </c>
      <c r="K153" s="82">
        <f t="shared" si="203"/>
        <v>11126.147041931681</v>
      </c>
      <c r="L153" s="82">
        <f t="shared" si="203"/>
        <v>12154.357209476468</v>
      </c>
      <c r="M153" s="82">
        <f t="shared" si="203"/>
        <v>11918.062816876916</v>
      </c>
      <c r="N153" s="82">
        <f t="shared" si="203"/>
        <v>11492.494366718576</v>
      </c>
      <c r="O153" s="82">
        <f t="shared" si="203"/>
        <v>11261.732090146668</v>
      </c>
      <c r="P153" s="82">
        <f t="shared" si="203"/>
        <v>10806.217542200446</v>
      </c>
      <c r="Q153" s="82">
        <f t="shared" si="203"/>
        <v>10895.414558066675</v>
      </c>
      <c r="R153" s="82">
        <f t="shared" si="203"/>
        <v>11053.607764396365</v>
      </c>
      <c r="S153" s="82">
        <f t="shared" si="203"/>
        <v>11310.079423376919</v>
      </c>
      <c r="T153" s="82">
        <f t="shared" si="203"/>
        <v>10815.543028200369</v>
      </c>
      <c r="U153" s="82">
        <f t="shared" si="203"/>
        <v>10979.419865132717</v>
      </c>
      <c r="V153" s="82">
        <f t="shared" si="203"/>
        <v>10433.658309166258</v>
      </c>
      <c r="W153" s="82">
        <f t="shared" si="203"/>
        <v>10201.04556702851</v>
      </c>
      <c r="X153" s="82">
        <f t="shared" ref="X153:Y153" si="204">IF(X99=0,0,X99/X$23)</f>
        <v>9688.1772820956357</v>
      </c>
      <c r="Y153" s="82">
        <f t="shared" si="204"/>
        <v>8750.6935470762328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12691.462798473882</v>
      </c>
      <c r="C154" s="64">
        <f t="shared" ref="C154:W154" si="206">IF(C100=0,0,C100/C$23)</f>
        <v>12485.191988966142</v>
      </c>
      <c r="D154" s="64">
        <f t="shared" si="206"/>
        <v>11501.409763853824</v>
      </c>
      <c r="E154" s="64">
        <f t="shared" si="206"/>
        <v>12811.513768194875</v>
      </c>
      <c r="F154" s="64">
        <f t="shared" si="206"/>
        <v>12218.380492466466</v>
      </c>
      <c r="G154" s="64">
        <f t="shared" si="206"/>
        <v>10677.704397362988</v>
      </c>
      <c r="H154" s="64">
        <f t="shared" si="206"/>
        <v>10191.770144140908</v>
      </c>
      <c r="I154" s="64">
        <f t="shared" si="206"/>
        <v>9356.6865389516806</v>
      </c>
      <c r="J154" s="64">
        <f t="shared" si="206"/>
        <v>9776.9231050605831</v>
      </c>
      <c r="K154" s="64">
        <f t="shared" si="206"/>
        <v>8889.0355403207832</v>
      </c>
      <c r="L154" s="64">
        <f t="shared" si="206"/>
        <v>9855.7182848865468</v>
      </c>
      <c r="M154" s="64">
        <f t="shared" si="206"/>
        <v>9557.7791352953245</v>
      </c>
      <c r="N154" s="64">
        <f t="shared" si="206"/>
        <v>9121.9145984283277</v>
      </c>
      <c r="O154" s="64">
        <f t="shared" si="206"/>
        <v>8880.032300271072</v>
      </c>
      <c r="P154" s="64">
        <f t="shared" si="206"/>
        <v>8402.2207872198705</v>
      </c>
      <c r="Q154" s="64">
        <f t="shared" si="206"/>
        <v>8438.9282181343315</v>
      </c>
      <c r="R154" s="64">
        <f t="shared" si="206"/>
        <v>8596.6921320883739</v>
      </c>
      <c r="S154" s="64">
        <f t="shared" si="206"/>
        <v>8844.979686742292</v>
      </c>
      <c r="T154" s="64">
        <f t="shared" si="206"/>
        <v>8400.8440934433074</v>
      </c>
      <c r="U154" s="64">
        <f t="shared" si="206"/>
        <v>8602.6372184887641</v>
      </c>
      <c r="V154" s="64">
        <f t="shared" si="206"/>
        <v>8125.7752156561828</v>
      </c>
      <c r="W154" s="64">
        <f t="shared" si="206"/>
        <v>7968.4699302581867</v>
      </c>
      <c r="X154" s="64">
        <f t="shared" ref="X154:Y154" si="207">IF(X100=0,0,X100/X$23)</f>
        <v>7493.198063376517</v>
      </c>
      <c r="Y154" s="64">
        <f t="shared" si="207"/>
        <v>6624.1650577134715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10868.715958497995</v>
      </c>
      <c r="C155" s="65">
        <f t="shared" ref="C155:W155" si="209">IF(C101=0,0,C101/C$23)</f>
        <v>10628.741311287547</v>
      </c>
      <c r="D155" s="65">
        <f t="shared" si="209"/>
        <v>9664.3468753584766</v>
      </c>
      <c r="E155" s="65">
        <f t="shared" si="209"/>
        <v>10953.61654866631</v>
      </c>
      <c r="F155" s="65">
        <f t="shared" si="209"/>
        <v>10334.251746517932</v>
      </c>
      <c r="G155" s="65">
        <f t="shared" si="209"/>
        <v>8768.4404949587133</v>
      </c>
      <c r="H155" s="65">
        <f t="shared" si="209"/>
        <v>8238.4947468774681</v>
      </c>
      <c r="I155" s="65">
        <f t="shared" si="209"/>
        <v>7392.1811033775821</v>
      </c>
      <c r="J155" s="65">
        <f t="shared" si="209"/>
        <v>7810.8794155295627</v>
      </c>
      <c r="K155" s="65">
        <f t="shared" si="209"/>
        <v>6823.9774062432334</v>
      </c>
      <c r="L155" s="65">
        <f t="shared" si="209"/>
        <v>7712.1130154311122</v>
      </c>
      <c r="M155" s="65">
        <f t="shared" si="209"/>
        <v>7332.7937626865742</v>
      </c>
      <c r="N155" s="65">
        <f t="shared" si="209"/>
        <v>6886.7731196617533</v>
      </c>
      <c r="O155" s="65">
        <f t="shared" si="209"/>
        <v>6634.3456706021398</v>
      </c>
      <c r="P155" s="65">
        <f t="shared" si="209"/>
        <v>6173.0947507970022</v>
      </c>
      <c r="Q155" s="65">
        <f t="shared" si="209"/>
        <v>6168.004002464927</v>
      </c>
      <c r="R155" s="65">
        <f t="shared" si="209"/>
        <v>6333.4794023611985</v>
      </c>
      <c r="S155" s="65">
        <f t="shared" si="209"/>
        <v>6544.3177654703586</v>
      </c>
      <c r="T155" s="65">
        <f t="shared" si="209"/>
        <v>6149.977551524993</v>
      </c>
      <c r="U155" s="65">
        <f t="shared" si="209"/>
        <v>6326.0601673948868</v>
      </c>
      <c r="V155" s="65">
        <f t="shared" si="209"/>
        <v>5958.8857186880896</v>
      </c>
      <c r="W155" s="65">
        <f t="shared" si="209"/>
        <v>5794.8884767246409</v>
      </c>
      <c r="X155" s="65">
        <f t="shared" ref="X155:Y155" si="210">IF(X101=0,0,X101/X$23)</f>
        <v>5382.3277681422196</v>
      </c>
      <c r="Y155" s="65">
        <f t="shared" si="210"/>
        <v>4549.9520236008193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51.327926604604606</v>
      </c>
      <c r="C156" s="65">
        <f t="shared" ref="C156:W156" si="212">IF(C102=0,0,C102/C$23)</f>
        <v>54.339380627155897</v>
      </c>
      <c r="D156" s="65">
        <f t="shared" si="212"/>
        <v>64.185417693507134</v>
      </c>
      <c r="E156" s="65">
        <f t="shared" si="212"/>
        <v>72.468121214336776</v>
      </c>
      <c r="F156" s="65">
        <f t="shared" si="212"/>
        <v>75.473233796490035</v>
      </c>
      <c r="G156" s="65">
        <f t="shared" si="212"/>
        <v>88.501332943207686</v>
      </c>
      <c r="H156" s="65">
        <f t="shared" si="212"/>
        <v>105.05290593544966</v>
      </c>
      <c r="I156" s="65">
        <f t="shared" si="212"/>
        <v>114.92553711837427</v>
      </c>
      <c r="J156" s="65">
        <f t="shared" si="212"/>
        <v>120.41092837348512</v>
      </c>
      <c r="K156" s="65">
        <f t="shared" si="212"/>
        <v>127.42298367902403</v>
      </c>
      <c r="L156" s="65">
        <f t="shared" si="212"/>
        <v>137.64797520725418</v>
      </c>
      <c r="M156" s="65">
        <f t="shared" si="212"/>
        <v>145.84923798069713</v>
      </c>
      <c r="N156" s="65">
        <f t="shared" si="212"/>
        <v>147.66739523165722</v>
      </c>
      <c r="O156" s="65">
        <f t="shared" si="212"/>
        <v>153.03555398354342</v>
      </c>
      <c r="P156" s="65">
        <f t="shared" si="212"/>
        <v>144.57537320670383</v>
      </c>
      <c r="Q156" s="65">
        <f t="shared" si="212"/>
        <v>169.97715550464972</v>
      </c>
      <c r="R156" s="65">
        <f t="shared" si="212"/>
        <v>142.05695386263733</v>
      </c>
      <c r="S156" s="65">
        <f t="shared" si="212"/>
        <v>142.06914193925564</v>
      </c>
      <c r="T156" s="65">
        <f t="shared" si="212"/>
        <v>147.99671056932553</v>
      </c>
      <c r="U156" s="65">
        <f t="shared" si="212"/>
        <v>147.17538343861759</v>
      </c>
      <c r="V156" s="65">
        <f t="shared" si="212"/>
        <v>135.11408205796968</v>
      </c>
      <c r="W156" s="65">
        <f t="shared" si="212"/>
        <v>139.02026822605112</v>
      </c>
      <c r="X156" s="65">
        <f t="shared" ref="X156:Y156" si="213">IF(X102=0,0,X102/X$23)</f>
        <v>142.38735246542089</v>
      </c>
      <c r="Y156" s="65">
        <f t="shared" si="213"/>
        <v>138.87381122932865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901.09908043277733</v>
      </c>
      <c r="C157" s="65">
        <f t="shared" ref="C157:W157" si="215">IF(C103=0,0,C103/C$23)</f>
        <v>902.419680001301</v>
      </c>
      <c r="D157" s="65">
        <f t="shared" si="215"/>
        <v>883.08979634869013</v>
      </c>
      <c r="E157" s="65">
        <f t="shared" si="215"/>
        <v>878.84096831870431</v>
      </c>
      <c r="F157" s="65">
        <f t="shared" si="215"/>
        <v>876.89772873917843</v>
      </c>
      <c r="G157" s="65">
        <f t="shared" si="215"/>
        <v>883.94097737302593</v>
      </c>
      <c r="H157" s="65">
        <f t="shared" si="215"/>
        <v>898.76912627089348</v>
      </c>
      <c r="I157" s="65">
        <f t="shared" si="215"/>
        <v>903.56574289881212</v>
      </c>
      <c r="J157" s="65">
        <f t="shared" si="215"/>
        <v>896.26619669733918</v>
      </c>
      <c r="K157" s="65">
        <f t="shared" si="215"/>
        <v>946.29955571379242</v>
      </c>
      <c r="L157" s="65">
        <f t="shared" si="215"/>
        <v>979.24699608746221</v>
      </c>
      <c r="M157" s="65">
        <f t="shared" si="215"/>
        <v>1009.4108014787281</v>
      </c>
      <c r="N157" s="65">
        <f t="shared" si="215"/>
        <v>1013.5550979743623</v>
      </c>
      <c r="O157" s="65">
        <f t="shared" si="215"/>
        <v>1007.0611784411575</v>
      </c>
      <c r="P157" s="65">
        <f t="shared" si="215"/>
        <v>995.89268703402399</v>
      </c>
      <c r="Q157" s="65">
        <f t="shared" si="215"/>
        <v>1001.4703967914025</v>
      </c>
      <c r="R157" s="65">
        <f t="shared" si="215"/>
        <v>1009.1583511123993</v>
      </c>
      <c r="S157" s="65">
        <f t="shared" si="215"/>
        <v>1014.1907561426552</v>
      </c>
      <c r="T157" s="65">
        <f t="shared" si="215"/>
        <v>985.77885848613096</v>
      </c>
      <c r="U157" s="65">
        <f t="shared" si="215"/>
        <v>986.46551128546389</v>
      </c>
      <c r="V157" s="65">
        <f t="shared" si="215"/>
        <v>946.01998771530543</v>
      </c>
      <c r="W157" s="65">
        <f t="shared" si="215"/>
        <v>937.46276221444919</v>
      </c>
      <c r="X157" s="65">
        <f t="shared" ref="X157:Y157" si="216">IF(X103=0,0,X103/X$23)</f>
        <v>900.48008762191353</v>
      </c>
      <c r="Y157" s="65">
        <f t="shared" si="216"/>
        <v>888.29380940204078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870.31983293850715</v>
      </c>
      <c r="C158" s="67">
        <f t="shared" ref="C158:W158" si="218">IF(C104=0,0,C104/C$23)</f>
        <v>899.69161705013573</v>
      </c>
      <c r="D158" s="67">
        <f t="shared" si="218"/>
        <v>889.78767445314884</v>
      </c>
      <c r="E158" s="67">
        <f t="shared" si="218"/>
        <v>906.5881299955231</v>
      </c>
      <c r="F158" s="67">
        <f t="shared" si="218"/>
        <v>931.75778341286775</v>
      </c>
      <c r="G158" s="67">
        <f t="shared" si="218"/>
        <v>936.8215920880416</v>
      </c>
      <c r="H158" s="67">
        <f t="shared" si="218"/>
        <v>949.45336505709713</v>
      </c>
      <c r="I158" s="67">
        <f t="shared" si="218"/>
        <v>946.01415555691005</v>
      </c>
      <c r="J158" s="67">
        <f t="shared" si="218"/>
        <v>949.36656446019651</v>
      </c>
      <c r="K158" s="67">
        <f t="shared" si="218"/>
        <v>991.33559468473288</v>
      </c>
      <c r="L158" s="67">
        <f t="shared" si="218"/>
        <v>1026.7102981607172</v>
      </c>
      <c r="M158" s="67">
        <f t="shared" si="218"/>
        <v>1069.7253331493232</v>
      </c>
      <c r="N158" s="67">
        <f t="shared" si="218"/>
        <v>1073.9189855605555</v>
      </c>
      <c r="O158" s="67">
        <f t="shared" si="218"/>
        <v>1085.5898972442312</v>
      </c>
      <c r="P158" s="67">
        <f t="shared" si="218"/>
        <v>1088.657976182142</v>
      </c>
      <c r="Q158" s="67">
        <f t="shared" si="218"/>
        <v>1099.4766633733509</v>
      </c>
      <c r="R158" s="67">
        <f t="shared" si="218"/>
        <v>1111.9974247521402</v>
      </c>
      <c r="S158" s="67">
        <f t="shared" si="218"/>
        <v>1144.4020231900215</v>
      </c>
      <c r="T158" s="67">
        <f t="shared" si="218"/>
        <v>1117.0909728628565</v>
      </c>
      <c r="U158" s="67">
        <f t="shared" si="218"/>
        <v>1142.9361563697958</v>
      </c>
      <c r="V158" s="67">
        <f t="shared" si="218"/>
        <v>1085.7554271948161</v>
      </c>
      <c r="W158" s="67">
        <f t="shared" si="218"/>
        <v>1097.0984230930474</v>
      </c>
      <c r="X158" s="67">
        <f t="shared" ref="X158:Y158" si="219">IF(X104=0,0,X104/X$23)</f>
        <v>1068.0028551469643</v>
      </c>
      <c r="Y158" s="67">
        <f t="shared" si="219"/>
        <v>1047.0454134812824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1735.5030568249749</v>
      </c>
      <c r="C159" s="68">
        <f t="shared" ref="C159:W159" si="221">IF(C105=0,0,C105/C$23)</f>
        <v>1806.3105451711913</v>
      </c>
      <c r="D159" s="68">
        <f t="shared" si="221"/>
        <v>1841.4722001480709</v>
      </c>
      <c r="E159" s="68">
        <f t="shared" si="221"/>
        <v>1912.5076234238234</v>
      </c>
      <c r="F159" s="68">
        <f t="shared" si="221"/>
        <v>2020.673913850597</v>
      </c>
      <c r="G159" s="68">
        <f t="shared" si="221"/>
        <v>2100.361669429084</v>
      </c>
      <c r="H159" s="68">
        <f t="shared" si="221"/>
        <v>2159.6440893200238</v>
      </c>
      <c r="I159" s="68">
        <f t="shared" si="221"/>
        <v>2195.1935534965037</v>
      </c>
      <c r="J159" s="68">
        <f t="shared" si="221"/>
        <v>2213.4337815300455</v>
      </c>
      <c r="K159" s="68">
        <f t="shared" si="221"/>
        <v>2237.1115016109002</v>
      </c>
      <c r="L159" s="68">
        <f t="shared" si="221"/>
        <v>2298.6389245899231</v>
      </c>
      <c r="M159" s="68">
        <f t="shared" si="221"/>
        <v>2360.2836815815922</v>
      </c>
      <c r="N159" s="68">
        <f t="shared" si="221"/>
        <v>2370.5797682902476</v>
      </c>
      <c r="O159" s="68">
        <f t="shared" si="221"/>
        <v>2381.6997898755949</v>
      </c>
      <c r="P159" s="68">
        <f t="shared" si="221"/>
        <v>2403.996754980576</v>
      </c>
      <c r="Q159" s="68">
        <f t="shared" si="221"/>
        <v>2456.4863399323449</v>
      </c>
      <c r="R159" s="68">
        <f t="shared" si="221"/>
        <v>2456.9156323079915</v>
      </c>
      <c r="S159" s="68">
        <f t="shared" si="221"/>
        <v>2465.0997366346264</v>
      </c>
      <c r="T159" s="68">
        <f t="shared" si="221"/>
        <v>2414.6989347570625</v>
      </c>
      <c r="U159" s="68">
        <f t="shared" si="221"/>
        <v>2376.782646643951</v>
      </c>
      <c r="V159" s="68">
        <f t="shared" si="221"/>
        <v>2307.8830935100768</v>
      </c>
      <c r="W159" s="68">
        <f t="shared" si="221"/>
        <v>2232.5756367703239</v>
      </c>
      <c r="X159" s="68">
        <f t="shared" ref="X159:Y159" si="222">IF(X105=0,0,X105/X$23)</f>
        <v>2194.9792187191192</v>
      </c>
      <c r="Y159" s="68">
        <f t="shared" si="222"/>
        <v>2126.5284893627622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7564.7366044165683</v>
      </c>
      <c r="C161" s="85">
        <f t="shared" ref="C161:W161" si="224">IF(C107=0,0,C107/C$23)</f>
        <v>7518.7347477828116</v>
      </c>
      <c r="D161" s="85">
        <f t="shared" si="224"/>
        <v>6974.7542182800189</v>
      </c>
      <c r="E161" s="85">
        <f t="shared" si="224"/>
        <v>7766.3729926401002</v>
      </c>
      <c r="F161" s="85">
        <f t="shared" si="224"/>
        <v>7425.1067822301293</v>
      </c>
      <c r="G161" s="85">
        <f t="shared" si="224"/>
        <v>6671.7281836793054</v>
      </c>
      <c r="H161" s="85">
        <f t="shared" si="224"/>
        <v>6392.7809482661032</v>
      </c>
      <c r="I161" s="85">
        <f t="shared" si="224"/>
        <v>5968.881620070164</v>
      </c>
      <c r="J161" s="85">
        <f t="shared" si="224"/>
        <v>6254.5861143307075</v>
      </c>
      <c r="K161" s="85">
        <f t="shared" si="224"/>
        <v>5812.5599211471999</v>
      </c>
      <c r="L161" s="85">
        <f t="shared" si="224"/>
        <v>6547.0020830346275</v>
      </c>
      <c r="M161" s="85">
        <f t="shared" si="224"/>
        <v>6435.2565588902453</v>
      </c>
      <c r="N161" s="85">
        <f t="shared" si="224"/>
        <v>6254.9570638553223</v>
      </c>
      <c r="O161" s="85">
        <f t="shared" si="224"/>
        <v>6211.4212403327083</v>
      </c>
      <c r="P161" s="85">
        <f t="shared" si="224"/>
        <v>5923.2098525497431</v>
      </c>
      <c r="Q161" s="85">
        <f t="shared" si="224"/>
        <v>6090.1573866368935</v>
      </c>
      <c r="R161" s="85">
        <f t="shared" si="224"/>
        <v>6216.8442069980256</v>
      </c>
      <c r="S161" s="85">
        <f t="shared" si="224"/>
        <v>6475.7317555880127</v>
      </c>
      <c r="T161" s="85">
        <f t="shared" si="224"/>
        <v>6337.4956780805915</v>
      </c>
      <c r="U161" s="85">
        <f t="shared" si="224"/>
        <v>6572.4588827270109</v>
      </c>
      <c r="V161" s="85">
        <f t="shared" si="224"/>
        <v>6330.3548969995391</v>
      </c>
      <c r="W161" s="85">
        <f t="shared" si="224"/>
        <v>6365.600145545769</v>
      </c>
      <c r="X161" s="85">
        <f t="shared" ref="X161:Y161" si="225">IF(X107=0,0,X107/X$23)</f>
        <v>6181.811361619526</v>
      </c>
      <c r="Y161" s="85">
        <f t="shared" si="225"/>
        <v>5636.7527781960735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6354.1438831948763</v>
      </c>
      <c r="C162" s="65">
        <f t="shared" ref="C162:W162" si="227">IF(C108=0,0,C108/C$23)</f>
        <v>6286.0390867677206</v>
      </c>
      <c r="D162" s="65">
        <f t="shared" si="227"/>
        <v>5730.2725245642787</v>
      </c>
      <c r="E162" s="65">
        <f t="shared" si="227"/>
        <v>6482.3960578897213</v>
      </c>
      <c r="F162" s="65">
        <f t="shared" si="227"/>
        <v>6108.3236242641406</v>
      </c>
      <c r="G162" s="65">
        <f t="shared" si="227"/>
        <v>5302.7416503674385</v>
      </c>
      <c r="H162" s="65">
        <f t="shared" si="227"/>
        <v>4946.8186151906866</v>
      </c>
      <c r="I162" s="65">
        <f t="shared" si="227"/>
        <v>4481.100470351942</v>
      </c>
      <c r="J162" s="65">
        <f t="shared" si="227"/>
        <v>4738.4457257982986</v>
      </c>
      <c r="K162" s="65">
        <f t="shared" si="227"/>
        <v>4218.0647510810886</v>
      </c>
      <c r="L162" s="65">
        <f t="shared" si="227"/>
        <v>4855.2568291159796</v>
      </c>
      <c r="M162" s="65">
        <f t="shared" si="227"/>
        <v>4647.5755209148983</v>
      </c>
      <c r="N162" s="65">
        <f t="shared" si="227"/>
        <v>4431.7316790872883</v>
      </c>
      <c r="O162" s="65">
        <f t="shared" si="227"/>
        <v>4341.1646874950247</v>
      </c>
      <c r="P162" s="65">
        <f t="shared" si="227"/>
        <v>4061.0728871385995</v>
      </c>
      <c r="Q162" s="65">
        <f t="shared" si="227"/>
        <v>4101.055547197152</v>
      </c>
      <c r="R162" s="65">
        <f t="shared" si="227"/>
        <v>4281.4043103932963</v>
      </c>
      <c r="S162" s="65">
        <f t="shared" si="227"/>
        <v>4496.3313049115768</v>
      </c>
      <c r="T162" s="65">
        <f t="shared" si="227"/>
        <v>4332.0845909676564</v>
      </c>
      <c r="U162" s="65">
        <f t="shared" si="227"/>
        <v>4527.8030118845681</v>
      </c>
      <c r="V162" s="65">
        <f t="shared" si="227"/>
        <v>4363.8932058442051</v>
      </c>
      <c r="W162" s="65">
        <f t="shared" si="227"/>
        <v>4344.1983262859703</v>
      </c>
      <c r="X162" s="65">
        <f t="shared" ref="X162:Y162" si="228">IF(X108=0,0,X108/X$23)</f>
        <v>4154.9611444457832</v>
      </c>
      <c r="Y162" s="65">
        <f t="shared" si="228"/>
        <v>3606.8199583274522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91.063415560251329</v>
      </c>
      <c r="C163" s="65">
        <f t="shared" ref="C163:W163" si="230">IF(C109=0,0,C109/C$23)</f>
        <v>101.08120446275562</v>
      </c>
      <c r="D163" s="65">
        <f t="shared" si="230"/>
        <v>128.25113773644031</v>
      </c>
      <c r="E163" s="65">
        <f t="shared" si="230"/>
        <v>151.53968465174992</v>
      </c>
      <c r="F163" s="65">
        <f t="shared" si="230"/>
        <v>165.28128134925967</v>
      </c>
      <c r="G163" s="65">
        <f t="shared" si="230"/>
        <v>205.21030677685084</v>
      </c>
      <c r="H163" s="65">
        <f t="shared" si="230"/>
        <v>256.61204551498395</v>
      </c>
      <c r="I163" s="65">
        <f t="shared" si="230"/>
        <v>293.65029788036014</v>
      </c>
      <c r="J163" s="65">
        <f t="shared" si="230"/>
        <v>320.54024382450683</v>
      </c>
      <c r="K163" s="65">
        <f t="shared" si="230"/>
        <v>345.40706317252489</v>
      </c>
      <c r="L163" s="65">
        <f t="shared" si="230"/>
        <v>382.36917850037963</v>
      </c>
      <c r="M163" s="65">
        <f t="shared" si="230"/>
        <v>419.24588419918484</v>
      </c>
      <c r="N163" s="65">
        <f t="shared" si="230"/>
        <v>438.18716123924179</v>
      </c>
      <c r="O163" s="65">
        <f t="shared" si="230"/>
        <v>468.13847941056332</v>
      </c>
      <c r="P163" s="65">
        <f t="shared" si="230"/>
        <v>458.53415821721734</v>
      </c>
      <c r="Q163" s="65">
        <f t="shared" si="230"/>
        <v>561.62089337589168</v>
      </c>
      <c r="R163" s="65">
        <f t="shared" si="230"/>
        <v>487.77314150455913</v>
      </c>
      <c r="S163" s="65">
        <f t="shared" si="230"/>
        <v>504.61817082846812</v>
      </c>
      <c r="T163" s="65">
        <f t="shared" si="230"/>
        <v>540.96460255909847</v>
      </c>
      <c r="U163" s="65">
        <f t="shared" si="230"/>
        <v>551.4980595478919</v>
      </c>
      <c r="V163" s="65">
        <f t="shared" si="230"/>
        <v>516.83781333659397</v>
      </c>
      <c r="W163" s="65">
        <f t="shared" si="230"/>
        <v>542.540740941222</v>
      </c>
      <c r="X163" s="65">
        <f t="shared" ref="X163:Y163" si="231">IF(X109=0,0,X109/X$23)</f>
        <v>564.14693244404862</v>
      </c>
      <c r="Y163" s="65">
        <f t="shared" si="231"/>
        <v>556.6753990562953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540.35900843929005</v>
      </c>
      <c r="C164" s="65">
        <f t="shared" ref="C164:W164" si="233">IF(C110=0,0,C110/C$23)</f>
        <v>543.93822851703749</v>
      </c>
      <c r="D164" s="65">
        <f t="shared" si="233"/>
        <v>533.9287461292588</v>
      </c>
      <c r="E164" s="65">
        <f t="shared" si="233"/>
        <v>535.26540084193243</v>
      </c>
      <c r="F164" s="65">
        <f t="shared" si="233"/>
        <v>537.5776695521447</v>
      </c>
      <c r="G164" s="65">
        <f t="shared" si="233"/>
        <v>544.24531482822044</v>
      </c>
      <c r="H164" s="65">
        <f t="shared" si="233"/>
        <v>557.19989681422749</v>
      </c>
      <c r="I164" s="65">
        <f t="shared" si="233"/>
        <v>563.9721537654159</v>
      </c>
      <c r="J164" s="65">
        <f t="shared" si="233"/>
        <v>562.8373762831003</v>
      </c>
      <c r="K164" s="65">
        <f t="shared" si="233"/>
        <v>592.56821068569627</v>
      </c>
      <c r="L164" s="65">
        <f t="shared" si="233"/>
        <v>623.2374752673677</v>
      </c>
      <c r="M164" s="65">
        <f t="shared" si="233"/>
        <v>651.55642580111146</v>
      </c>
      <c r="N164" s="65">
        <f t="shared" si="233"/>
        <v>663.36190043221461</v>
      </c>
      <c r="O164" s="65">
        <f t="shared" si="233"/>
        <v>669.86501798079246</v>
      </c>
      <c r="P164" s="65">
        <f t="shared" si="233"/>
        <v>667.6071288049701</v>
      </c>
      <c r="Q164" s="65">
        <f t="shared" si="233"/>
        <v>679.75989052457567</v>
      </c>
      <c r="R164" s="65">
        <f t="shared" si="233"/>
        <v>695.78801306002219</v>
      </c>
      <c r="S164" s="65">
        <f t="shared" si="233"/>
        <v>710.80509638033743</v>
      </c>
      <c r="T164" s="65">
        <f t="shared" si="233"/>
        <v>707.10882632997482</v>
      </c>
      <c r="U164" s="65">
        <f t="shared" si="233"/>
        <v>719.87351593150777</v>
      </c>
      <c r="V164" s="65">
        <f t="shared" si="233"/>
        <v>705.6559345766683</v>
      </c>
      <c r="W164" s="65">
        <f t="shared" si="233"/>
        <v>714.9603182922998</v>
      </c>
      <c r="X164" s="65">
        <f t="shared" ref="X164:Y164" si="234">IF(X110=0,0,X110/X$23)</f>
        <v>702.50222799930896</v>
      </c>
      <c r="Y164" s="65">
        <f t="shared" si="234"/>
        <v>710.04512108599624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579.17029722215034</v>
      </c>
      <c r="C165" s="68">
        <f t="shared" ref="C165:W165" si="236">IF(C111=0,0,C111/C$23)</f>
        <v>587.67622803529696</v>
      </c>
      <c r="D165" s="68">
        <f t="shared" si="236"/>
        <v>582.30180985004074</v>
      </c>
      <c r="E165" s="68">
        <f t="shared" si="236"/>
        <v>597.17184925669483</v>
      </c>
      <c r="F165" s="68">
        <f t="shared" si="236"/>
        <v>613.92420706458461</v>
      </c>
      <c r="G165" s="68">
        <f t="shared" si="236"/>
        <v>619.53091170679522</v>
      </c>
      <c r="H165" s="68">
        <f t="shared" si="236"/>
        <v>632.15039074620529</v>
      </c>
      <c r="I165" s="68">
        <f t="shared" si="236"/>
        <v>630.15869807244508</v>
      </c>
      <c r="J165" s="68">
        <f t="shared" si="236"/>
        <v>632.76276842480286</v>
      </c>
      <c r="K165" s="68">
        <f t="shared" si="236"/>
        <v>656.51989620789027</v>
      </c>
      <c r="L165" s="68">
        <f t="shared" si="236"/>
        <v>686.13860015090097</v>
      </c>
      <c r="M165" s="68">
        <f t="shared" si="236"/>
        <v>716.87872797504929</v>
      </c>
      <c r="N165" s="68">
        <f t="shared" si="236"/>
        <v>721.67632309657813</v>
      </c>
      <c r="O165" s="68">
        <f t="shared" si="236"/>
        <v>732.25305544632715</v>
      </c>
      <c r="P165" s="68">
        <f t="shared" si="236"/>
        <v>735.99567838895564</v>
      </c>
      <c r="Q165" s="68">
        <f t="shared" si="236"/>
        <v>747.7210555392744</v>
      </c>
      <c r="R165" s="68">
        <f t="shared" si="236"/>
        <v>751.87874204014747</v>
      </c>
      <c r="S165" s="68">
        <f t="shared" si="236"/>
        <v>763.97718346763099</v>
      </c>
      <c r="T165" s="68">
        <f t="shared" si="236"/>
        <v>757.33765822386158</v>
      </c>
      <c r="U165" s="68">
        <f t="shared" si="236"/>
        <v>773.28429536304327</v>
      </c>
      <c r="V165" s="68">
        <f t="shared" si="236"/>
        <v>743.9679432420719</v>
      </c>
      <c r="W165" s="68">
        <f t="shared" si="236"/>
        <v>763.900760026277</v>
      </c>
      <c r="X165" s="68">
        <f t="shared" ref="X165:Y165" si="237">IF(X111=0,0,X111/X$23)</f>
        <v>760.20105673038563</v>
      </c>
      <c r="Y165" s="68">
        <f t="shared" si="237"/>
        <v>763.21229972632966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1719.1116522695315</v>
      </c>
      <c r="C167" s="82">
        <f t="shared" ref="C167:W167" si="239">IF(C113=0,0,C113/C$23)</f>
        <v>1480.6908702478233</v>
      </c>
      <c r="D167" s="82">
        <f t="shared" si="239"/>
        <v>1396.42491002013</v>
      </c>
      <c r="E167" s="82">
        <f t="shared" si="239"/>
        <v>1711.5678223344428</v>
      </c>
      <c r="F167" s="82">
        <f t="shared" si="239"/>
        <v>1769.0523037023574</v>
      </c>
      <c r="G167" s="82">
        <f t="shared" si="239"/>
        <v>1240.7850896596649</v>
      </c>
      <c r="H167" s="82">
        <f t="shared" si="239"/>
        <v>1296.420342742897</v>
      </c>
      <c r="I167" s="82">
        <f t="shared" si="239"/>
        <v>1115.2882284113284</v>
      </c>
      <c r="J167" s="82">
        <f t="shared" si="239"/>
        <v>1226.3575943205208</v>
      </c>
      <c r="K167" s="82">
        <f t="shared" si="239"/>
        <v>1047.6819577233487</v>
      </c>
      <c r="L167" s="82">
        <f t="shared" si="239"/>
        <v>1112.1083068926669</v>
      </c>
      <c r="M167" s="82">
        <f t="shared" si="239"/>
        <v>1084.1236209449464</v>
      </c>
      <c r="N167" s="82">
        <f t="shared" si="239"/>
        <v>1018.8728147773907</v>
      </c>
      <c r="O167" s="82">
        <f t="shared" si="239"/>
        <v>969.5713113071356</v>
      </c>
      <c r="P167" s="82">
        <f t="shared" si="239"/>
        <v>931.09554842640614</v>
      </c>
      <c r="Q167" s="82">
        <f t="shared" si="239"/>
        <v>931.2783618141417</v>
      </c>
      <c r="R167" s="82">
        <f t="shared" si="239"/>
        <v>938.73031585491117</v>
      </c>
      <c r="S167" s="82">
        <f t="shared" si="239"/>
        <v>988.84867953116736</v>
      </c>
      <c r="T167" s="82">
        <f t="shared" si="239"/>
        <v>877.11525556511958</v>
      </c>
      <c r="U167" s="82">
        <f t="shared" si="239"/>
        <v>926.78469594344006</v>
      </c>
      <c r="V167" s="82">
        <f t="shared" si="239"/>
        <v>853.62457788443453</v>
      </c>
      <c r="W167" s="82">
        <f t="shared" si="239"/>
        <v>810.79649128273763</v>
      </c>
      <c r="X167" s="82">
        <f t="shared" ref="X167:Y167" si="240">IF(X113=0,0,X113/X$23)</f>
        <v>720.75076280383269</v>
      </c>
      <c r="Y167" s="82">
        <f t="shared" si="240"/>
        <v>620.28538265969064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1719.1116522695315</v>
      </c>
      <c r="C168" s="64">
        <f t="shared" ref="C168:W168" si="242">IF(C114=0,0,C114/C$23)</f>
        <v>1480.6908702478233</v>
      </c>
      <c r="D168" s="64">
        <f t="shared" si="242"/>
        <v>1396.42491002013</v>
      </c>
      <c r="E168" s="64">
        <f t="shared" si="242"/>
        <v>1711.5678223344428</v>
      </c>
      <c r="F168" s="64">
        <f t="shared" si="242"/>
        <v>1769.0523037023574</v>
      </c>
      <c r="G168" s="64">
        <f t="shared" si="242"/>
        <v>1240.7850896596649</v>
      </c>
      <c r="H168" s="64">
        <f t="shared" si="242"/>
        <v>1296.420342742897</v>
      </c>
      <c r="I168" s="64">
        <f t="shared" si="242"/>
        <v>1115.2882284113284</v>
      </c>
      <c r="J168" s="64">
        <f t="shared" si="242"/>
        <v>1226.3575943205208</v>
      </c>
      <c r="K168" s="64">
        <f t="shared" si="242"/>
        <v>1047.6819577233487</v>
      </c>
      <c r="L168" s="64">
        <f t="shared" si="242"/>
        <v>1112.1083068926669</v>
      </c>
      <c r="M168" s="64">
        <f t="shared" si="242"/>
        <v>1084.1236209449464</v>
      </c>
      <c r="N168" s="64">
        <f t="shared" si="242"/>
        <v>1018.8728147773907</v>
      </c>
      <c r="O168" s="64">
        <f t="shared" si="242"/>
        <v>969.5713113071356</v>
      </c>
      <c r="P168" s="64">
        <f t="shared" si="242"/>
        <v>931.09554842640614</v>
      </c>
      <c r="Q168" s="64">
        <f t="shared" si="242"/>
        <v>931.2783618141417</v>
      </c>
      <c r="R168" s="64">
        <f t="shared" si="242"/>
        <v>938.73031585491117</v>
      </c>
      <c r="S168" s="64">
        <f t="shared" si="242"/>
        <v>988.84867953116736</v>
      </c>
      <c r="T168" s="64">
        <f t="shared" si="242"/>
        <v>877.11525556511958</v>
      </c>
      <c r="U168" s="64">
        <f t="shared" si="242"/>
        <v>926.78469594344006</v>
      </c>
      <c r="V168" s="64">
        <f t="shared" si="242"/>
        <v>853.62457788443453</v>
      </c>
      <c r="W168" s="64">
        <f t="shared" si="242"/>
        <v>810.79649128273763</v>
      </c>
      <c r="X168" s="64">
        <f t="shared" ref="X168:Y168" si="243">IF(X114=0,0,X114/X$23)</f>
        <v>720.75076280383269</v>
      </c>
      <c r="Y168" s="64">
        <f t="shared" si="243"/>
        <v>620.28538265969064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1559.0386081211504</v>
      </c>
      <c r="C169" s="65">
        <f t="shared" ref="C169:W169" si="245">IF(C115=0,0,C115/C$23)</f>
        <v>1303.8051209581604</v>
      </c>
      <c r="D169" s="65">
        <f t="shared" si="245"/>
        <v>1219.7565378103218</v>
      </c>
      <c r="E169" s="65">
        <f t="shared" si="245"/>
        <v>1537.6386463194253</v>
      </c>
      <c r="F169" s="65">
        <f t="shared" si="245"/>
        <v>1589.9136696337525</v>
      </c>
      <c r="G169" s="65">
        <f t="shared" si="245"/>
        <v>1058.6291912696652</v>
      </c>
      <c r="H169" s="65">
        <f t="shared" si="245"/>
        <v>1113.6244048817548</v>
      </c>
      <c r="I169" s="65">
        <f t="shared" si="245"/>
        <v>930.01057964831682</v>
      </c>
      <c r="J169" s="65">
        <f t="shared" si="245"/>
        <v>1036.9217106975418</v>
      </c>
      <c r="K169" s="65">
        <f t="shared" si="245"/>
        <v>830.51087417214126</v>
      </c>
      <c r="L169" s="65">
        <f t="shared" si="245"/>
        <v>901.32529939097594</v>
      </c>
      <c r="M169" s="65">
        <f t="shared" si="245"/>
        <v>867.9272323374521</v>
      </c>
      <c r="N169" s="65">
        <f t="shared" si="245"/>
        <v>803.00827952024508</v>
      </c>
      <c r="O169" s="65">
        <f t="shared" si="245"/>
        <v>754.17459498419146</v>
      </c>
      <c r="P169" s="65">
        <f t="shared" si="245"/>
        <v>715.57476114510837</v>
      </c>
      <c r="Q169" s="65">
        <f t="shared" si="245"/>
        <v>716.83103651796785</v>
      </c>
      <c r="R169" s="65">
        <f t="shared" si="245"/>
        <v>716.30858016981085</v>
      </c>
      <c r="S169" s="65">
        <f t="shared" si="245"/>
        <v>743.35287962731275</v>
      </c>
      <c r="T169" s="65">
        <f t="shared" si="245"/>
        <v>652.84456165240704</v>
      </c>
      <c r="U169" s="65">
        <f t="shared" si="245"/>
        <v>687.47067039083561</v>
      </c>
      <c r="V169" s="65">
        <f t="shared" si="245"/>
        <v>630.96619909990966</v>
      </c>
      <c r="W169" s="65">
        <f t="shared" si="245"/>
        <v>595.10201548587611</v>
      </c>
      <c r="X169" s="65">
        <f t="shared" ref="X169:Y169" si="246">IF(X115=0,0,X115/X$23)</f>
        <v>527.86501197011148</v>
      </c>
      <c r="Y169" s="65">
        <f t="shared" si="246"/>
        <v>449.67947942834053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0</v>
      </c>
      <c r="C170" s="65">
        <f t="shared" ref="C170:W170" si="248">IF(C116=0,0,C116/C$23)</f>
        <v>0</v>
      </c>
      <c r="D170" s="65">
        <f t="shared" si="248"/>
        <v>0</v>
      </c>
      <c r="E170" s="65">
        <f t="shared" si="248"/>
        <v>0</v>
      </c>
      <c r="F170" s="65">
        <f t="shared" si="248"/>
        <v>0</v>
      </c>
      <c r="G170" s="65">
        <f t="shared" si="248"/>
        <v>3.3486173836954722E-2</v>
      </c>
      <c r="H170" s="65">
        <f t="shared" si="248"/>
        <v>4.2428557134043289E-2</v>
      </c>
      <c r="I170" s="65">
        <f t="shared" si="248"/>
        <v>5.8440642406535848E-2</v>
      </c>
      <c r="J170" s="65">
        <f t="shared" si="248"/>
        <v>5.8871864202060538E-2</v>
      </c>
      <c r="K170" s="65">
        <f t="shared" si="248"/>
        <v>7.6444601544612814E-2</v>
      </c>
      <c r="L170" s="65">
        <f t="shared" si="248"/>
        <v>7.85617390198039E-2</v>
      </c>
      <c r="M170" s="65">
        <f t="shared" si="248"/>
        <v>8.4809763494910845E-2</v>
      </c>
      <c r="N170" s="65">
        <f t="shared" si="248"/>
        <v>8.8196551976051682E-2</v>
      </c>
      <c r="O170" s="65">
        <f t="shared" si="248"/>
        <v>0.10858455008402668</v>
      </c>
      <c r="P170" s="65">
        <f t="shared" si="248"/>
        <v>0.14960105596132403</v>
      </c>
      <c r="Q170" s="65">
        <f t="shared" si="248"/>
        <v>0.27426415219938372</v>
      </c>
      <c r="R170" s="65">
        <f t="shared" si="248"/>
        <v>0.27146909859094825</v>
      </c>
      <c r="S170" s="65">
        <f t="shared" si="248"/>
        <v>0.32739687688827052</v>
      </c>
      <c r="T170" s="65">
        <f t="shared" si="248"/>
        <v>0.41036927283318225</v>
      </c>
      <c r="U170" s="65">
        <f t="shared" si="248"/>
        <v>0.4163090219550114</v>
      </c>
      <c r="V170" s="65">
        <f t="shared" si="248"/>
        <v>0.45838990625964604</v>
      </c>
      <c r="W170" s="65">
        <f t="shared" si="248"/>
        <v>0.48099378207977506</v>
      </c>
      <c r="X170" s="65">
        <f t="shared" ref="X170:Y170" si="249">IF(X116=0,0,X116/X$23)</f>
        <v>0.4965759824135767</v>
      </c>
      <c r="Y170" s="65">
        <f t="shared" si="249"/>
        <v>0.50020715567006768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70.668870540752437</v>
      </c>
      <c r="C171" s="65">
        <f t="shared" ref="C171:W171" si="251">IF(C117=0,0,C117/C$23)</f>
        <v>70.843953629664185</v>
      </c>
      <c r="D171" s="65">
        <f t="shared" si="251"/>
        <v>72.023418027466406</v>
      </c>
      <c r="E171" s="65">
        <f t="shared" si="251"/>
        <v>71.690582730920681</v>
      </c>
      <c r="F171" s="65">
        <f t="shared" si="251"/>
        <v>73.083198582972045</v>
      </c>
      <c r="G171" s="65">
        <f t="shared" si="251"/>
        <v>76.259102492811763</v>
      </c>
      <c r="H171" s="65">
        <f t="shared" si="251"/>
        <v>78.775792950589221</v>
      </c>
      <c r="I171" s="65">
        <f t="shared" si="251"/>
        <v>80.315999884133035</v>
      </c>
      <c r="J171" s="65">
        <f t="shared" si="251"/>
        <v>82.843062677406891</v>
      </c>
      <c r="K171" s="65">
        <f t="shared" si="251"/>
        <v>99.83773223609353</v>
      </c>
      <c r="L171" s="65">
        <f t="shared" si="251"/>
        <v>94.625328480265907</v>
      </c>
      <c r="M171" s="65">
        <f t="shared" si="251"/>
        <v>96.826520998714528</v>
      </c>
      <c r="N171" s="65">
        <f t="shared" si="251"/>
        <v>97.242572320169117</v>
      </c>
      <c r="O171" s="65">
        <f t="shared" si="251"/>
        <v>97.088241409525764</v>
      </c>
      <c r="P171" s="65">
        <f t="shared" si="251"/>
        <v>96.650731144212088</v>
      </c>
      <c r="Q171" s="65">
        <f t="shared" si="251"/>
        <v>96.537502083334985</v>
      </c>
      <c r="R171" s="65">
        <f t="shared" si="251"/>
        <v>96.093247675449348</v>
      </c>
      <c r="S171" s="65">
        <f t="shared" si="251"/>
        <v>101.70663393343126</v>
      </c>
      <c r="T171" s="65">
        <f t="shared" si="251"/>
        <v>90.625785278092607</v>
      </c>
      <c r="U171" s="65">
        <f t="shared" si="251"/>
        <v>95.364590531673642</v>
      </c>
      <c r="V171" s="65">
        <f t="shared" si="251"/>
        <v>89.160846738057515</v>
      </c>
      <c r="W171" s="65">
        <f t="shared" si="251"/>
        <v>86.274257185096303</v>
      </c>
      <c r="X171" s="65">
        <f t="shared" ref="X171:Y171" si="252">IF(X117=0,0,X117/X$23)</f>
        <v>75.99951424599378</v>
      </c>
      <c r="Y171" s="65">
        <f t="shared" si="252"/>
        <v>65.911928686047531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89.404173607628564</v>
      </c>
      <c r="C172" s="67">
        <f t="shared" ref="C172:W172" si="254">IF(C118=0,0,C118/C$23)</f>
        <v>106.04179565999898</v>
      </c>
      <c r="D172" s="67">
        <f t="shared" si="254"/>
        <v>104.64495418234185</v>
      </c>
      <c r="E172" s="67">
        <f t="shared" si="254"/>
        <v>102.23859328409661</v>
      </c>
      <c r="F172" s="67">
        <f t="shared" si="254"/>
        <v>106.0554354856325</v>
      </c>
      <c r="G172" s="67">
        <f t="shared" si="254"/>
        <v>105.86330972335099</v>
      </c>
      <c r="H172" s="67">
        <f t="shared" si="254"/>
        <v>103.97771635341877</v>
      </c>
      <c r="I172" s="67">
        <f t="shared" si="254"/>
        <v>104.90320823647174</v>
      </c>
      <c r="J172" s="67">
        <f t="shared" si="254"/>
        <v>106.5339490813697</v>
      </c>
      <c r="K172" s="67">
        <f t="shared" si="254"/>
        <v>117.25690671356917</v>
      </c>
      <c r="L172" s="67">
        <f t="shared" si="254"/>
        <v>116.07911728240495</v>
      </c>
      <c r="M172" s="67">
        <f t="shared" si="254"/>
        <v>119.28505784528478</v>
      </c>
      <c r="N172" s="67">
        <f t="shared" si="254"/>
        <v>118.53376638500062</v>
      </c>
      <c r="O172" s="67">
        <f t="shared" si="254"/>
        <v>118.19989036333422</v>
      </c>
      <c r="P172" s="67">
        <f t="shared" si="254"/>
        <v>118.72045508112426</v>
      </c>
      <c r="Q172" s="67">
        <f t="shared" si="254"/>
        <v>117.63555906063944</v>
      </c>
      <c r="R172" s="67">
        <f t="shared" si="254"/>
        <v>126.05701891105993</v>
      </c>
      <c r="S172" s="67">
        <f t="shared" si="254"/>
        <v>143.46176909353494</v>
      </c>
      <c r="T172" s="67">
        <f t="shared" si="254"/>
        <v>133.23453936178663</v>
      </c>
      <c r="U172" s="67">
        <f t="shared" si="254"/>
        <v>143.53312599897566</v>
      </c>
      <c r="V172" s="67">
        <f t="shared" si="254"/>
        <v>133.03914214020756</v>
      </c>
      <c r="W172" s="67">
        <f t="shared" si="254"/>
        <v>128.93922482968534</v>
      </c>
      <c r="X172" s="67">
        <f t="shared" ref="X172:Y172" si="255">IF(X118=0,0,X118/X$23)</f>
        <v>116.38966060531396</v>
      </c>
      <c r="Y172" s="67">
        <f t="shared" si="255"/>
        <v>104.19376738963265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217434.94027704</v>
      </c>
      <c r="C3" s="124">
        <f t="shared" si="0"/>
        <v>220642.61544830987</v>
      </c>
      <c r="D3" s="124">
        <f t="shared" si="0"/>
        <v>223540.00443049212</v>
      </c>
      <c r="E3" s="124">
        <f t="shared" si="0"/>
        <v>227801.76744811534</v>
      </c>
      <c r="F3" s="124">
        <f t="shared" si="0"/>
        <v>232827.59532421868</v>
      </c>
      <c r="G3" s="124">
        <f t="shared" si="0"/>
        <v>241488.22750736482</v>
      </c>
      <c r="H3" s="124">
        <f t="shared" si="0"/>
        <v>250880.18491481125</v>
      </c>
      <c r="I3" s="124">
        <f t="shared" si="0"/>
        <v>259301.36906683102</v>
      </c>
      <c r="J3" s="124">
        <f t="shared" si="0"/>
        <v>264898.08835365169</v>
      </c>
      <c r="K3" s="124">
        <f t="shared" si="0"/>
        <v>259662.00448703294</v>
      </c>
      <c r="L3" s="124">
        <f t="shared" si="0"/>
        <v>263149.36680165021</v>
      </c>
      <c r="M3" s="124">
        <f t="shared" si="0"/>
        <v>267137.31340090395</v>
      </c>
      <c r="N3" s="124">
        <f t="shared" si="0"/>
        <v>268934.89992686518</v>
      </c>
      <c r="O3" s="124">
        <f t="shared" si="0"/>
        <v>270512.1513920413</v>
      </c>
      <c r="P3" s="124">
        <f t="shared" si="0"/>
        <v>274240.97594281886</v>
      </c>
      <c r="Q3" s="124">
        <f t="shared" si="0"/>
        <v>280488.70712316385</v>
      </c>
      <c r="R3" s="124">
        <f t="shared" si="0"/>
        <v>284355.044003346</v>
      </c>
      <c r="S3" s="124">
        <f t="shared" si="0"/>
        <v>289739.6549351071</v>
      </c>
      <c r="T3" s="124">
        <f t="shared" si="0"/>
        <v>294524.51644592755</v>
      </c>
      <c r="U3" s="124">
        <f t="shared" si="0"/>
        <v>299125.22116118</v>
      </c>
      <c r="V3" s="124">
        <f t="shared" si="0"/>
        <v>303333.33444444463</v>
      </c>
      <c r="W3" s="124">
        <f t="shared" si="0"/>
        <v>307218.74258190783</v>
      </c>
      <c r="X3" s="124">
        <f t="shared" si="0"/>
        <v>310855.23960654251</v>
      </c>
      <c r="Y3" s="124">
        <f t="shared" si="0"/>
        <v>314212.55696219573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217434.94027704</v>
      </c>
      <c r="C4" s="139">
        <f t="shared" si="1"/>
        <v>220642.61544830987</v>
      </c>
      <c r="D4" s="139">
        <f t="shared" si="1"/>
        <v>223540.00443049212</v>
      </c>
      <c r="E4" s="139">
        <f t="shared" si="1"/>
        <v>227801.76744811534</v>
      </c>
      <c r="F4" s="139">
        <f t="shared" si="1"/>
        <v>232827.59532421868</v>
      </c>
      <c r="G4" s="139">
        <f t="shared" si="1"/>
        <v>241488.22750736482</v>
      </c>
      <c r="H4" s="139">
        <f t="shared" si="1"/>
        <v>250880.18491481125</v>
      </c>
      <c r="I4" s="139">
        <f t="shared" si="1"/>
        <v>259301.36906683102</v>
      </c>
      <c r="J4" s="139">
        <f t="shared" si="1"/>
        <v>264898.08835365169</v>
      </c>
      <c r="K4" s="139">
        <f t="shared" si="1"/>
        <v>259662.00448703294</v>
      </c>
      <c r="L4" s="139">
        <f t="shared" si="1"/>
        <v>263149.36680165021</v>
      </c>
      <c r="M4" s="139">
        <f t="shared" si="1"/>
        <v>267137.31340090395</v>
      </c>
      <c r="N4" s="139">
        <f t="shared" si="1"/>
        <v>268934.89992686518</v>
      </c>
      <c r="O4" s="139">
        <f t="shared" si="1"/>
        <v>270512.1513920413</v>
      </c>
      <c r="P4" s="139">
        <f t="shared" si="1"/>
        <v>274240.97594281886</v>
      </c>
      <c r="Q4" s="139">
        <f t="shared" si="1"/>
        <v>280488.70712316385</v>
      </c>
      <c r="R4" s="139">
        <f t="shared" ref="R4:W4" si="2">SUM(R5:R14)</f>
        <v>284355.044003346</v>
      </c>
      <c r="S4" s="139">
        <f t="shared" si="2"/>
        <v>289739.6549351071</v>
      </c>
      <c r="T4" s="139">
        <f t="shared" si="2"/>
        <v>294524.51644592755</v>
      </c>
      <c r="U4" s="139">
        <f t="shared" si="2"/>
        <v>299125.22116118</v>
      </c>
      <c r="V4" s="139">
        <f t="shared" si="2"/>
        <v>303333.33444444463</v>
      </c>
      <c r="W4" s="139">
        <f t="shared" si="2"/>
        <v>307218.74258190783</v>
      </c>
      <c r="X4" s="139">
        <f t="shared" ref="X4:Y4" si="3">SUM(X5:X14)</f>
        <v>310855.23960654251</v>
      </c>
      <c r="Y4" s="139">
        <f t="shared" si="3"/>
        <v>314212.55696219573</v>
      </c>
      <c r="DA4" s="169" t="s">
        <v>246</v>
      </c>
    </row>
    <row r="5" spans="1:105" ht="12" customHeight="1" x14ac:dyDescent="0.25">
      <c r="A5" s="131" t="s">
        <v>29</v>
      </c>
      <c r="B5" s="140">
        <v>29893.185161705704</v>
      </c>
      <c r="C5" s="140">
        <v>25008.985103403706</v>
      </c>
      <c r="D5" s="140">
        <v>24898.286529234945</v>
      </c>
      <c r="E5" s="140">
        <v>26305.456918012136</v>
      </c>
      <c r="F5" s="140">
        <v>26844.865043530393</v>
      </c>
      <c r="G5" s="140">
        <v>18824.228004693305</v>
      </c>
      <c r="H5" s="140">
        <v>15102.664853528651</v>
      </c>
      <c r="I5" s="140">
        <v>9295.2408790717272</v>
      </c>
      <c r="J5" s="140">
        <v>7934.8232287598503</v>
      </c>
      <c r="K5" s="140">
        <v>5121.8403468492343</v>
      </c>
      <c r="L5" s="140">
        <v>4537.4177385081393</v>
      </c>
      <c r="M5" s="140">
        <v>4131.0680105585643</v>
      </c>
      <c r="N5" s="140">
        <v>4349.8355600590467</v>
      </c>
      <c r="O5" s="140">
        <v>4488.7805791618566</v>
      </c>
      <c r="P5" s="140">
        <v>4521.0662704288134</v>
      </c>
      <c r="Q5" s="140">
        <v>4482.4201313593958</v>
      </c>
      <c r="R5" s="140">
        <v>4544.0602070243758</v>
      </c>
      <c r="S5" s="140">
        <v>4358.385435370119</v>
      </c>
      <c r="T5" s="140">
        <v>3933.7749911766064</v>
      </c>
      <c r="U5" s="140">
        <v>3810.7653358984367</v>
      </c>
      <c r="V5" s="140">
        <v>3643.9669221016748</v>
      </c>
      <c r="W5" s="140">
        <v>3617.8938390364906</v>
      </c>
      <c r="X5" s="140">
        <v>3496.7798361664591</v>
      </c>
      <c r="Y5" s="140">
        <v>2760.5428964288626</v>
      </c>
      <c r="DA5" s="170" t="s">
        <v>247</v>
      </c>
    </row>
    <row r="6" spans="1:105" ht="12" customHeight="1" x14ac:dyDescent="0.25">
      <c r="A6" s="131" t="s">
        <v>52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248</v>
      </c>
    </row>
    <row r="7" spans="1:105" ht="12" customHeight="1" x14ac:dyDescent="0.25">
      <c r="A7" s="131" t="s">
        <v>161</v>
      </c>
      <c r="B7" s="140">
        <v>323.22875135130266</v>
      </c>
      <c r="C7" s="140">
        <v>442.2114693437847</v>
      </c>
      <c r="D7" s="140">
        <v>757.16183109105157</v>
      </c>
      <c r="E7" s="140">
        <v>893.91793459569578</v>
      </c>
      <c r="F7" s="140">
        <v>1105.9181271842335</v>
      </c>
      <c r="G7" s="140">
        <v>1210.7087501913463</v>
      </c>
      <c r="H7" s="140">
        <v>1421.5656545497213</v>
      </c>
      <c r="I7" s="140">
        <v>1538.1778686774646</v>
      </c>
      <c r="J7" s="140">
        <v>1586.8147199721645</v>
      </c>
      <c r="K7" s="140">
        <v>1513.3118385615883</v>
      </c>
      <c r="L7" s="140">
        <v>1597.8518544939345</v>
      </c>
      <c r="M7" s="140">
        <v>1651.5374082309288</v>
      </c>
      <c r="N7" s="140">
        <v>1866.7069744784169</v>
      </c>
      <c r="O7" s="140">
        <v>1894.2351101382433</v>
      </c>
      <c r="P7" s="140">
        <v>1995.795377050571</v>
      </c>
      <c r="Q7" s="140">
        <v>2440.1736354283175</v>
      </c>
      <c r="R7" s="140">
        <v>2538.7707709044621</v>
      </c>
      <c r="S7" s="140">
        <v>2450.7472030632675</v>
      </c>
      <c r="T7" s="140">
        <v>2201.9330283271074</v>
      </c>
      <c r="U7" s="140">
        <v>2122.2779212469136</v>
      </c>
      <c r="V7" s="140">
        <v>2167.6612281256616</v>
      </c>
      <c r="W7" s="140">
        <v>2509.9037669314266</v>
      </c>
      <c r="X7" s="140">
        <v>2684.1297745937577</v>
      </c>
      <c r="Y7" s="140">
        <v>2953.1008206352417</v>
      </c>
      <c r="DA7" s="170" t="s">
        <v>249</v>
      </c>
    </row>
    <row r="8" spans="1:105" ht="12" customHeight="1" x14ac:dyDescent="0.25">
      <c r="A8" s="131" t="s">
        <v>73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3.3467290035012258</v>
      </c>
      <c r="H8" s="140">
        <v>7.9269457827548635</v>
      </c>
      <c r="I8" s="140">
        <v>15.382748383237798</v>
      </c>
      <c r="J8" s="140">
        <v>23.917068170485372</v>
      </c>
      <c r="K8" s="140">
        <v>34.355341767805172</v>
      </c>
      <c r="L8" s="140">
        <v>47.105571745889776</v>
      </c>
      <c r="M8" s="140">
        <v>74.26051820711136</v>
      </c>
      <c r="N8" s="140">
        <v>124.76608478205468</v>
      </c>
      <c r="O8" s="140">
        <v>201.12164449649794</v>
      </c>
      <c r="P8" s="140">
        <v>288.11360202427426</v>
      </c>
      <c r="Q8" s="140">
        <v>348.32202445823566</v>
      </c>
      <c r="R8" s="140">
        <v>387.84294319713501</v>
      </c>
      <c r="S8" s="140">
        <v>419.18311065568099</v>
      </c>
      <c r="T8" s="140">
        <v>471.494697531263</v>
      </c>
      <c r="U8" s="140">
        <v>542.66582092942235</v>
      </c>
      <c r="V8" s="140">
        <v>634.20795777251374</v>
      </c>
      <c r="W8" s="140">
        <v>735.78370655495007</v>
      </c>
      <c r="X8" s="140">
        <v>838.95087855002816</v>
      </c>
      <c r="Y8" s="140">
        <v>925.38710712746274</v>
      </c>
      <c r="DA8" s="170" t="s">
        <v>250</v>
      </c>
    </row>
    <row r="9" spans="1:105" ht="12" customHeight="1" x14ac:dyDescent="0.25">
      <c r="A9" s="131" t="s">
        <v>78</v>
      </c>
      <c r="B9" s="140">
        <v>70107.836595286324</v>
      </c>
      <c r="C9" s="140">
        <v>74838.561752936948</v>
      </c>
      <c r="D9" s="140">
        <v>79070.132721929345</v>
      </c>
      <c r="E9" s="140">
        <v>83034.2887539933</v>
      </c>
      <c r="F9" s="140">
        <v>88990.080718920857</v>
      </c>
      <c r="G9" s="140">
        <v>102157.57708414654</v>
      </c>
      <c r="H9" s="140">
        <v>112940.14424899945</v>
      </c>
      <c r="I9" s="140">
        <v>123868.73236869053</v>
      </c>
      <c r="J9" s="140">
        <v>129049.69441090862</v>
      </c>
      <c r="K9" s="140">
        <v>121933.35826521412</v>
      </c>
      <c r="L9" s="140">
        <v>120715.47536516807</v>
      </c>
      <c r="M9" s="140">
        <v>121341.86716203358</v>
      </c>
      <c r="N9" s="140">
        <v>119436.02937568451</v>
      </c>
      <c r="O9" s="140">
        <v>118111.81969671774</v>
      </c>
      <c r="P9" s="140">
        <v>119664.3677710535</v>
      </c>
      <c r="Q9" s="140">
        <v>123070.06752292736</v>
      </c>
      <c r="R9" s="140">
        <v>123192.94964940507</v>
      </c>
      <c r="S9" s="140">
        <v>125342.53151083003</v>
      </c>
      <c r="T9" s="140">
        <v>125483.6946920046</v>
      </c>
      <c r="U9" s="140">
        <v>126862.0023864102</v>
      </c>
      <c r="V9" s="140">
        <v>126050.89890952675</v>
      </c>
      <c r="W9" s="140">
        <v>123988.49951407065</v>
      </c>
      <c r="X9" s="140">
        <v>121866.08905284261</v>
      </c>
      <c r="Y9" s="140">
        <v>122378.55789616713</v>
      </c>
      <c r="DA9" s="170" t="s">
        <v>251</v>
      </c>
    </row>
    <row r="10" spans="1:105" ht="12" customHeight="1" x14ac:dyDescent="0.25">
      <c r="A10" s="131" t="s">
        <v>128</v>
      </c>
      <c r="B10" s="140">
        <v>1089.4885790105407</v>
      </c>
      <c r="C10" s="140">
        <v>1471.4031721155327</v>
      </c>
      <c r="D10" s="140">
        <v>1876.3990289108642</v>
      </c>
      <c r="E10" s="140">
        <v>2393.7187446194171</v>
      </c>
      <c r="F10" s="140">
        <v>2898.630440820084</v>
      </c>
      <c r="G10" s="140">
        <v>3629.0016140254693</v>
      </c>
      <c r="H10" s="140">
        <v>4124.5515075284347</v>
      </c>
      <c r="I10" s="140">
        <v>4586.4276395737434</v>
      </c>
      <c r="J10" s="140">
        <v>4750.3912891301907</v>
      </c>
      <c r="K10" s="140">
        <v>4970.3702180266182</v>
      </c>
      <c r="L10" s="140">
        <v>5476.2670664950056</v>
      </c>
      <c r="M10" s="140">
        <v>6212.2956125259207</v>
      </c>
      <c r="N10" s="140">
        <v>6964.8517040420147</v>
      </c>
      <c r="O10" s="140">
        <v>7768.1731477982612</v>
      </c>
      <c r="P10" s="140">
        <v>8345.1313024755036</v>
      </c>
      <c r="Q10" s="140">
        <v>8699.1707862197945</v>
      </c>
      <c r="R10" s="140">
        <v>8470.4825173544632</v>
      </c>
      <c r="S10" s="140">
        <v>8162.7211801753374</v>
      </c>
      <c r="T10" s="140">
        <v>8116.7958591296756</v>
      </c>
      <c r="U10" s="140">
        <v>8187.8129990490825</v>
      </c>
      <c r="V10" s="140">
        <v>8338.9866429178182</v>
      </c>
      <c r="W10" s="140">
        <v>8469.4950662273222</v>
      </c>
      <c r="X10" s="140">
        <v>8442.9293065062011</v>
      </c>
      <c r="Y10" s="140">
        <v>8400.982453140592</v>
      </c>
      <c r="DA10" s="170" t="s">
        <v>252</v>
      </c>
    </row>
    <row r="11" spans="1:105" ht="12" customHeight="1" x14ac:dyDescent="0.25">
      <c r="A11" s="131" t="s">
        <v>25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253</v>
      </c>
    </row>
    <row r="12" spans="1:105" ht="12" customHeight="1" x14ac:dyDescent="0.25">
      <c r="A12" s="131" t="s">
        <v>162</v>
      </c>
      <c r="B12" s="140">
        <v>62612.353586104473</v>
      </c>
      <c r="C12" s="140">
        <v>64864.375059259146</v>
      </c>
      <c r="D12" s="140">
        <v>64158.906615513348</v>
      </c>
      <c r="E12" s="140">
        <v>64525.47035908961</v>
      </c>
      <c r="F12" s="140">
        <v>67494.799135682086</v>
      </c>
      <c r="G12" s="140">
        <v>69563.957391154923</v>
      </c>
      <c r="H12" s="140">
        <v>68570.888037768265</v>
      </c>
      <c r="I12" s="140">
        <v>66703.231318182996</v>
      </c>
      <c r="J12" s="140">
        <v>65828.953805435987</v>
      </c>
      <c r="K12" s="140">
        <v>68919.146763441604</v>
      </c>
      <c r="L12" s="140">
        <v>74144.531049662037</v>
      </c>
      <c r="M12" s="140">
        <v>77135.278711747029</v>
      </c>
      <c r="N12" s="140">
        <v>78664.692802865276</v>
      </c>
      <c r="O12" s="140">
        <v>78594.039873094735</v>
      </c>
      <c r="P12" s="140">
        <v>79037.409815393621</v>
      </c>
      <c r="Q12" s="140">
        <v>79450.422792022582</v>
      </c>
      <c r="R12" s="140">
        <v>79829.037318114089</v>
      </c>
      <c r="S12" s="140">
        <v>79314.262547878883</v>
      </c>
      <c r="T12" s="140">
        <v>79541.125351168506</v>
      </c>
      <c r="U12" s="140">
        <v>78987.550100390203</v>
      </c>
      <c r="V12" s="140">
        <v>80654.827027843829</v>
      </c>
      <c r="W12" s="140">
        <v>84361.120238764051</v>
      </c>
      <c r="X12" s="140">
        <v>88606.813375697791</v>
      </c>
      <c r="Y12" s="140">
        <v>92198.398805975536</v>
      </c>
      <c r="DA12" s="170" t="s">
        <v>254</v>
      </c>
    </row>
    <row r="13" spans="1:105" ht="12" customHeight="1" x14ac:dyDescent="0.25">
      <c r="A13" s="131" t="s">
        <v>77</v>
      </c>
      <c r="B13" s="140">
        <v>76.761823797166755</v>
      </c>
      <c r="C13" s="140">
        <v>125.87366375901182</v>
      </c>
      <c r="D13" s="140">
        <v>215.80122518455454</v>
      </c>
      <c r="E13" s="140">
        <v>307.49749675759415</v>
      </c>
      <c r="F13" s="140">
        <v>433.55755120669988</v>
      </c>
      <c r="G13" s="140">
        <v>604.37932429621321</v>
      </c>
      <c r="H13" s="140">
        <v>818.03138167714906</v>
      </c>
      <c r="I13" s="140">
        <v>1078.2250974300696</v>
      </c>
      <c r="J13" s="140">
        <v>1315.3236068972531</v>
      </c>
      <c r="K13" s="140">
        <v>1610.356392476961</v>
      </c>
      <c r="L13" s="140">
        <v>1886.0543582239327</v>
      </c>
      <c r="M13" s="140">
        <v>2258.4475094314826</v>
      </c>
      <c r="N13" s="140">
        <v>2662.2830644829974</v>
      </c>
      <c r="O13" s="140">
        <v>3077.1138203388573</v>
      </c>
      <c r="P13" s="140">
        <v>3503.1311779353127</v>
      </c>
      <c r="Q13" s="140">
        <v>3907.9157830497902</v>
      </c>
      <c r="R13" s="140">
        <v>4350.9136775875522</v>
      </c>
      <c r="S13" s="140">
        <v>4870.7215922424466</v>
      </c>
      <c r="T13" s="140">
        <v>5597.9654486308109</v>
      </c>
      <c r="U13" s="140">
        <v>6415.8998362157772</v>
      </c>
      <c r="V13" s="140">
        <v>7760.23016440226</v>
      </c>
      <c r="W13" s="140">
        <v>9787.8774752453719</v>
      </c>
      <c r="X13" s="140">
        <v>12827.377512434414</v>
      </c>
      <c r="Y13" s="140">
        <v>15798.330997759223</v>
      </c>
      <c r="DA13" s="170" t="s">
        <v>255</v>
      </c>
    </row>
    <row r="14" spans="1:105" ht="12" customHeight="1" x14ac:dyDescent="0.25">
      <c r="A14" s="60" t="s">
        <v>76</v>
      </c>
      <c r="B14" s="141">
        <v>53332.085779784466</v>
      </c>
      <c r="C14" s="141">
        <v>53891.20522749173</v>
      </c>
      <c r="D14" s="141">
        <v>52563.316478627981</v>
      </c>
      <c r="E14" s="141">
        <v>50341.417241047609</v>
      </c>
      <c r="F14" s="141">
        <v>45059.744306874323</v>
      </c>
      <c r="G14" s="141">
        <v>45495.028609853493</v>
      </c>
      <c r="H14" s="141">
        <v>47894.412284976839</v>
      </c>
      <c r="I14" s="141">
        <v>52215.951146821266</v>
      </c>
      <c r="J14" s="141">
        <v>54408.170224377129</v>
      </c>
      <c r="K14" s="141">
        <v>55559.265320694984</v>
      </c>
      <c r="L14" s="141">
        <v>54744.663797353212</v>
      </c>
      <c r="M14" s="141">
        <v>54332.558468169358</v>
      </c>
      <c r="N14" s="141">
        <v>54865.73436047088</v>
      </c>
      <c r="O14" s="141">
        <v>56376.867520295113</v>
      </c>
      <c r="P14" s="141">
        <v>56885.96062645725</v>
      </c>
      <c r="Q14" s="141">
        <v>58090.214447698381</v>
      </c>
      <c r="R14" s="141">
        <v>61040.986919758841</v>
      </c>
      <c r="S14" s="141">
        <v>64821.102354891351</v>
      </c>
      <c r="T14" s="141">
        <v>69177.732377958979</v>
      </c>
      <c r="U14" s="141">
        <v>72196.246761039933</v>
      </c>
      <c r="V14" s="141">
        <v>74082.555591754091</v>
      </c>
      <c r="W14" s="141">
        <v>73748.168975077613</v>
      </c>
      <c r="X14" s="141">
        <v>72092.169869751291</v>
      </c>
      <c r="Y14" s="141">
        <v>68797.255984961696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164026.09267345836</v>
      </c>
      <c r="C15" s="143">
        <f t="shared" si="4"/>
        <v>166625.53655705912</v>
      </c>
      <c r="D15" s="143">
        <f t="shared" si="4"/>
        <v>170760.88672667957</v>
      </c>
      <c r="E15" s="143">
        <f t="shared" si="4"/>
        <v>177152.85271031014</v>
      </c>
      <c r="F15" s="143">
        <f t="shared" si="4"/>
        <v>187334.29346613766</v>
      </c>
      <c r="G15" s="143">
        <f t="shared" si="4"/>
        <v>195388.81957321509</v>
      </c>
      <c r="H15" s="143">
        <f t="shared" si="4"/>
        <v>202167.74124815728</v>
      </c>
      <c r="I15" s="143">
        <f t="shared" si="4"/>
        <v>206007.1928225797</v>
      </c>
      <c r="J15" s="143">
        <f t="shared" si="4"/>
        <v>209174.5945223773</v>
      </c>
      <c r="K15" s="143">
        <f t="shared" si="4"/>
        <v>202492.382773861</v>
      </c>
      <c r="L15" s="143">
        <f t="shared" si="4"/>
        <v>206518.64864607307</v>
      </c>
      <c r="M15" s="143">
        <f t="shared" si="4"/>
        <v>210546.30742330314</v>
      </c>
      <c r="N15" s="143">
        <f t="shared" si="4"/>
        <v>211406.88250191131</v>
      </c>
      <c r="O15" s="143">
        <f t="shared" si="4"/>
        <v>211058.17005140733</v>
      </c>
      <c r="P15" s="143">
        <f t="shared" si="4"/>
        <v>213851.88413842628</v>
      </c>
      <c r="Q15" s="143">
        <f t="shared" si="4"/>
        <v>218490.5768924157</v>
      </c>
      <c r="R15" s="143">
        <f t="shared" ref="R15:W15" si="5">SUM(R5:R12)</f>
        <v>218963.14340599958</v>
      </c>
      <c r="S15" s="143">
        <f t="shared" si="5"/>
        <v>220047.83098797331</v>
      </c>
      <c r="T15" s="143">
        <f t="shared" si="5"/>
        <v>219748.81861933775</v>
      </c>
      <c r="U15" s="143">
        <f t="shared" si="5"/>
        <v>220513.07456392428</v>
      </c>
      <c r="V15" s="143">
        <f t="shared" si="5"/>
        <v>221490.54868828825</v>
      </c>
      <c r="W15" s="143">
        <f t="shared" si="5"/>
        <v>223682.69613158487</v>
      </c>
      <c r="X15" s="143">
        <f t="shared" ref="X15:Y15" si="6">SUM(X5:X12)</f>
        <v>225935.69222435684</v>
      </c>
      <c r="Y15" s="143">
        <f t="shared" si="6"/>
        <v>229616.96997947482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10519.461384782811</v>
      </c>
      <c r="C16" s="139">
        <f t="shared" si="7"/>
        <v>11734.135310237321</v>
      </c>
      <c r="D16" s="139">
        <f t="shared" si="7"/>
        <v>15128.066822624161</v>
      </c>
      <c r="E16" s="139">
        <f t="shared" si="7"/>
        <v>17075.664183276665</v>
      </c>
      <c r="F16" s="139">
        <f t="shared" si="7"/>
        <v>19377.08577596282</v>
      </c>
      <c r="G16" s="139">
        <f t="shared" si="7"/>
        <v>24288.634651798777</v>
      </c>
      <c r="H16" s="139">
        <f t="shared" si="7"/>
        <v>30106.205475116833</v>
      </c>
      <c r="I16" s="139">
        <f t="shared" si="7"/>
        <v>35881.535612321946</v>
      </c>
      <c r="J16" s="139">
        <f t="shared" si="7"/>
        <v>40890.103117628496</v>
      </c>
      <c r="K16" s="139">
        <f t="shared" si="7"/>
        <v>43921.246814362858</v>
      </c>
      <c r="L16" s="139">
        <f t="shared" si="7"/>
        <v>47276.671715385324</v>
      </c>
      <c r="M16" s="139">
        <f t="shared" si="7"/>
        <v>51608.84475151579</v>
      </c>
      <c r="N16" s="139">
        <f t="shared" si="7"/>
        <v>53526.776921830075</v>
      </c>
      <c r="O16" s="139">
        <f t="shared" si="7"/>
        <v>54853.433740070046</v>
      </c>
      <c r="P16" s="139">
        <f t="shared" si="7"/>
        <v>56980.603751398085</v>
      </c>
      <c r="Q16" s="139">
        <f t="shared" si="7"/>
        <v>60037.179309712956</v>
      </c>
      <c r="R16" s="139">
        <f t="shared" ref="R16:W16" si="8">SUM(R17:R18)</f>
        <v>61694.238786643422</v>
      </c>
      <c r="S16" s="139">
        <f t="shared" si="8"/>
        <v>63607.717985412535</v>
      </c>
      <c r="T16" s="139">
        <f t="shared" si="8"/>
        <v>65676.061568954014</v>
      </c>
      <c r="U16" s="139">
        <f t="shared" si="8"/>
        <v>68037.922851675889</v>
      </c>
      <c r="V16" s="139">
        <f t="shared" si="8"/>
        <v>68971.305035933619</v>
      </c>
      <c r="W16" s="139">
        <f t="shared" si="8"/>
        <v>69823.82815831367</v>
      </c>
      <c r="X16" s="139">
        <f t="shared" ref="X16:Y16" si="9">SUM(X17:X18)</f>
        <v>70583.1377612738</v>
      </c>
      <c r="Y16" s="139">
        <f t="shared" si="9"/>
        <v>70888.224742102029</v>
      </c>
      <c r="DA16" s="169" t="s">
        <v>257</v>
      </c>
    </row>
    <row r="17" spans="1:105" ht="12.95" customHeight="1" x14ac:dyDescent="0.25">
      <c r="A17" s="131" t="s">
        <v>73</v>
      </c>
      <c r="B17" s="140">
        <v>0</v>
      </c>
      <c r="C17" s="140">
        <v>0</v>
      </c>
      <c r="D17" s="140">
        <v>0</v>
      </c>
      <c r="E17" s="140">
        <v>0</v>
      </c>
      <c r="F17" s="140">
        <v>0</v>
      </c>
      <c r="G17" s="140">
        <v>24.52535936722515</v>
      </c>
      <c r="H17" s="140">
        <v>30.963017383004644</v>
      </c>
      <c r="I17" s="140">
        <v>44.723512309045937</v>
      </c>
      <c r="J17" s="140">
        <v>47.089786836173985</v>
      </c>
      <c r="K17" s="140">
        <v>61.625088710786571</v>
      </c>
      <c r="L17" s="140">
        <v>61.768841530922181</v>
      </c>
      <c r="M17" s="140">
        <v>66.985014846613581</v>
      </c>
      <c r="N17" s="140">
        <v>69.719033590874929</v>
      </c>
      <c r="O17" s="140">
        <v>84.114149838303121</v>
      </c>
      <c r="P17" s="140">
        <v>126.57836925491239</v>
      </c>
      <c r="Q17" s="140">
        <v>205.19749170694899</v>
      </c>
      <c r="R17" s="140">
        <v>242.99967428248405</v>
      </c>
      <c r="S17" s="140">
        <v>295.35278700752372</v>
      </c>
      <c r="T17" s="140">
        <v>341.11435387715056</v>
      </c>
      <c r="U17" s="140">
        <v>375.51277018411776</v>
      </c>
      <c r="V17" s="140">
        <v>433.906165992176</v>
      </c>
      <c r="W17" s="140">
        <v>464.54108314492782</v>
      </c>
      <c r="X17" s="140">
        <v>472.65504107689713</v>
      </c>
      <c r="Y17" s="140">
        <v>492.64006347489328</v>
      </c>
      <c r="DA17" s="170" t="s">
        <v>258</v>
      </c>
    </row>
    <row r="18" spans="1:105" ht="12" customHeight="1" x14ac:dyDescent="0.25">
      <c r="A18" s="131" t="s">
        <v>72</v>
      </c>
      <c r="B18" s="140">
        <v>10519.461384782811</v>
      </c>
      <c r="C18" s="140">
        <v>11734.135310237321</v>
      </c>
      <c r="D18" s="140">
        <v>15128.066822624161</v>
      </c>
      <c r="E18" s="140">
        <v>17075.664183276665</v>
      </c>
      <c r="F18" s="140">
        <v>19377.08577596282</v>
      </c>
      <c r="G18" s="140">
        <v>24264.109292431553</v>
      </c>
      <c r="H18" s="140">
        <v>30075.242457733828</v>
      </c>
      <c r="I18" s="140">
        <v>35836.812100012903</v>
      </c>
      <c r="J18" s="140">
        <v>40843.013330792324</v>
      </c>
      <c r="K18" s="140">
        <v>43859.621725652069</v>
      </c>
      <c r="L18" s="140">
        <v>47214.9028738544</v>
      </c>
      <c r="M18" s="140">
        <v>51541.859736669176</v>
      </c>
      <c r="N18" s="140">
        <v>53457.0578882392</v>
      </c>
      <c r="O18" s="140">
        <v>54769.319590231746</v>
      </c>
      <c r="P18" s="140">
        <v>56854.025382143169</v>
      </c>
      <c r="Q18" s="140">
        <v>59831.98181800601</v>
      </c>
      <c r="R18" s="140">
        <v>61451.239112360941</v>
      </c>
      <c r="S18" s="140">
        <v>63312.365198405008</v>
      </c>
      <c r="T18" s="140">
        <v>65334.947215076863</v>
      </c>
      <c r="U18" s="140">
        <v>67662.410081491777</v>
      </c>
      <c r="V18" s="140">
        <v>68537.398869941448</v>
      </c>
      <c r="W18" s="140">
        <v>69359.287075168744</v>
      </c>
      <c r="X18" s="140">
        <v>70110.482720196902</v>
      </c>
      <c r="Y18" s="140">
        <v>70395.584678627143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217434.94027704</v>
      </c>
      <c r="C19" s="139">
        <f t="shared" si="10"/>
        <v>220642.61544830987</v>
      </c>
      <c r="D19" s="139">
        <f t="shared" si="10"/>
        <v>223540.00443049206</v>
      </c>
      <c r="E19" s="139">
        <f t="shared" si="10"/>
        <v>227801.76744811542</v>
      </c>
      <c r="F19" s="139">
        <f t="shared" si="10"/>
        <v>232827.59532421862</v>
      </c>
      <c r="G19" s="139">
        <f t="shared" si="10"/>
        <v>241488.22750736476</v>
      </c>
      <c r="H19" s="139">
        <f t="shared" si="10"/>
        <v>250880.18491481134</v>
      </c>
      <c r="I19" s="139">
        <f t="shared" si="10"/>
        <v>259301.36906683107</v>
      </c>
      <c r="J19" s="139">
        <f t="shared" si="10"/>
        <v>264898.08835365175</v>
      </c>
      <c r="K19" s="139">
        <f t="shared" si="10"/>
        <v>259662.00448703294</v>
      </c>
      <c r="L19" s="139">
        <f t="shared" si="10"/>
        <v>263149.36680165032</v>
      </c>
      <c r="M19" s="139">
        <f t="shared" si="10"/>
        <v>267137.31340090401</v>
      </c>
      <c r="N19" s="139">
        <f t="shared" si="10"/>
        <v>268934.8999268653</v>
      </c>
      <c r="O19" s="139">
        <f t="shared" si="10"/>
        <v>270512.15139204124</v>
      </c>
      <c r="P19" s="139">
        <f t="shared" si="10"/>
        <v>274240.97594281886</v>
      </c>
      <c r="Q19" s="139">
        <f t="shared" si="10"/>
        <v>280488.70712316397</v>
      </c>
      <c r="R19" s="139">
        <f t="shared" ref="R19:W19" si="11">SUM(R20:R26)</f>
        <v>284355.04400334618</v>
      </c>
      <c r="S19" s="139">
        <f t="shared" si="11"/>
        <v>289739.6549351071</v>
      </c>
      <c r="T19" s="139">
        <f t="shared" si="11"/>
        <v>294524.51644592755</v>
      </c>
      <c r="U19" s="139">
        <f t="shared" si="11"/>
        <v>299125.22116117983</v>
      </c>
      <c r="V19" s="139">
        <f t="shared" si="11"/>
        <v>303333.33444444451</v>
      </c>
      <c r="W19" s="139">
        <f t="shared" si="11"/>
        <v>307218.74258190778</v>
      </c>
      <c r="X19" s="139">
        <f t="shared" ref="X19:Y19" si="12">SUM(X20:X26)</f>
        <v>310855.23960654263</v>
      </c>
      <c r="Y19" s="139">
        <f t="shared" si="12"/>
        <v>314212.55696219578</v>
      </c>
      <c r="DA19" s="169" t="s">
        <v>260</v>
      </c>
    </row>
    <row r="20" spans="1:105" ht="12" customHeight="1" x14ac:dyDescent="0.25">
      <c r="A20" s="131" t="s">
        <v>29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262</v>
      </c>
    </row>
    <row r="22" spans="1:105" ht="12" customHeight="1" x14ac:dyDescent="0.25">
      <c r="A22" s="131" t="s">
        <v>161</v>
      </c>
      <c r="B22" s="140">
        <v>0</v>
      </c>
      <c r="C22" s="140">
        <v>0</v>
      </c>
      <c r="D22" s="140">
        <v>0</v>
      </c>
      <c r="E22" s="140">
        <v>0</v>
      </c>
      <c r="F22" s="140">
        <v>0</v>
      </c>
      <c r="G22" s="140">
        <v>0</v>
      </c>
      <c r="H22" s="140">
        <v>0</v>
      </c>
      <c r="I22" s="140">
        <v>0</v>
      </c>
      <c r="J22" s="140">
        <v>0</v>
      </c>
      <c r="K22" s="140">
        <v>0</v>
      </c>
      <c r="L22" s="140">
        <v>0</v>
      </c>
      <c r="M22" s="140">
        <v>0</v>
      </c>
      <c r="N22" s="140">
        <v>0</v>
      </c>
      <c r="O22" s="140">
        <v>0</v>
      </c>
      <c r="P22" s="140">
        <v>0</v>
      </c>
      <c r="Q22" s="140">
        <v>0</v>
      </c>
      <c r="R22" s="140">
        <v>0</v>
      </c>
      <c r="S22" s="140">
        <v>0</v>
      </c>
      <c r="T22" s="140">
        <v>0</v>
      </c>
      <c r="U22" s="140">
        <v>0</v>
      </c>
      <c r="V22" s="140">
        <v>0</v>
      </c>
      <c r="W22" s="140">
        <v>0</v>
      </c>
      <c r="X22" s="140">
        <v>0</v>
      </c>
      <c r="Y22" s="140">
        <v>0</v>
      </c>
      <c r="DA22" s="170" t="s">
        <v>263</v>
      </c>
    </row>
    <row r="23" spans="1:105" ht="12" customHeight="1" x14ac:dyDescent="0.25">
      <c r="A23" s="131" t="s">
        <v>149</v>
      </c>
      <c r="B23" s="140">
        <v>71164.535608625694</v>
      </c>
      <c r="C23" s="140">
        <v>72894.585367760548</v>
      </c>
      <c r="D23" s="140">
        <v>76456.994933319831</v>
      </c>
      <c r="E23" s="140">
        <v>80225.465512003953</v>
      </c>
      <c r="F23" s="140">
        <v>84975.488067645681</v>
      </c>
      <c r="G23" s="140">
        <v>90676.442010873652</v>
      </c>
      <c r="H23" s="140">
        <v>97367.972207917395</v>
      </c>
      <c r="I23" s="140">
        <v>106186.18355430105</v>
      </c>
      <c r="J23" s="140">
        <v>112332.15891826712</v>
      </c>
      <c r="K23" s="140">
        <v>114444.07653949733</v>
      </c>
      <c r="L23" s="140">
        <v>116469.60047242508</v>
      </c>
      <c r="M23" s="140">
        <v>118729.6239408023</v>
      </c>
      <c r="N23" s="140">
        <v>118361.22437746305</v>
      </c>
      <c r="O23" s="140">
        <v>119022.39358767695</v>
      </c>
      <c r="P23" s="140">
        <v>121289.1344157093</v>
      </c>
      <c r="Q23" s="140">
        <v>125799.62561962332</v>
      </c>
      <c r="R23" s="140">
        <v>127171.11293758982</v>
      </c>
      <c r="S23" s="140">
        <v>131285.80089527339</v>
      </c>
      <c r="T23" s="140">
        <v>131668.33673470517</v>
      </c>
      <c r="U23" s="140">
        <v>134415.96776819884</v>
      </c>
      <c r="V23" s="140">
        <v>133671.22056269101</v>
      </c>
      <c r="W23" s="140">
        <v>130361.27934801558</v>
      </c>
      <c r="X23" s="140">
        <v>123112.45151227899</v>
      </c>
      <c r="Y23" s="140">
        <v>114580.5867609343</v>
      </c>
      <c r="DA23" s="170" t="s">
        <v>264</v>
      </c>
    </row>
    <row r="24" spans="1:105" ht="12" customHeight="1" x14ac:dyDescent="0.25">
      <c r="A24" s="131" t="s">
        <v>128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265</v>
      </c>
    </row>
    <row r="25" spans="1:105" ht="12" customHeight="1" x14ac:dyDescent="0.25">
      <c r="A25" s="131" t="s">
        <v>162</v>
      </c>
      <c r="B25" s="140">
        <v>51163.36467942968</v>
      </c>
      <c r="C25" s="140">
        <v>51830.776661323624</v>
      </c>
      <c r="D25" s="140">
        <v>53324.24366715808</v>
      </c>
      <c r="E25" s="140">
        <v>54924.484939130889</v>
      </c>
      <c r="F25" s="140">
        <v>56446.019356196368</v>
      </c>
      <c r="G25" s="140">
        <v>57192.725027721441</v>
      </c>
      <c r="H25" s="140">
        <v>57761.706454902669</v>
      </c>
      <c r="I25" s="140">
        <v>57424.407318399091</v>
      </c>
      <c r="J25" s="140">
        <v>56951.501487240217</v>
      </c>
      <c r="K25" s="140">
        <v>56127.464496480192</v>
      </c>
      <c r="L25" s="140">
        <v>56961.164892333232</v>
      </c>
      <c r="M25" s="140">
        <v>59408.239178282471</v>
      </c>
      <c r="N25" s="140">
        <v>62303.074837686261</v>
      </c>
      <c r="O25" s="140">
        <v>65283.031738437443</v>
      </c>
      <c r="P25" s="140">
        <v>67082.678866435803</v>
      </c>
      <c r="Q25" s="140">
        <v>68356.000876663093</v>
      </c>
      <c r="R25" s="140">
        <v>69814.723745965865</v>
      </c>
      <c r="S25" s="140">
        <v>70745.954962768883</v>
      </c>
      <c r="T25" s="140">
        <v>72113.854729781757</v>
      </c>
      <c r="U25" s="140">
        <v>72977.895586176121</v>
      </c>
      <c r="V25" s="140">
        <v>74585.994116469417</v>
      </c>
      <c r="W25" s="140">
        <v>75242.561281685688</v>
      </c>
      <c r="X25" s="140">
        <v>74175.978584414799</v>
      </c>
      <c r="Y25" s="140">
        <v>70902.990915422299</v>
      </c>
      <c r="DA25" s="170" t="s">
        <v>266</v>
      </c>
    </row>
    <row r="26" spans="1:105" ht="12" customHeight="1" x14ac:dyDescent="0.25">
      <c r="A26" s="131" t="s">
        <v>24</v>
      </c>
      <c r="B26" s="141">
        <v>95107.03998898463</v>
      </c>
      <c r="C26" s="141">
        <v>95917.253419225701</v>
      </c>
      <c r="D26" s="141">
        <v>93758.765830014148</v>
      </c>
      <c r="E26" s="141">
        <v>92651.816996980575</v>
      </c>
      <c r="F26" s="141">
        <v>91406.087900376588</v>
      </c>
      <c r="G26" s="141">
        <v>93619.060468769661</v>
      </c>
      <c r="H26" s="141">
        <v>95750.506251991261</v>
      </c>
      <c r="I26" s="141">
        <v>95690.778194130937</v>
      </c>
      <c r="J26" s="141">
        <v>95614.42794814441</v>
      </c>
      <c r="K26" s="141">
        <v>89090.463451055446</v>
      </c>
      <c r="L26" s="141">
        <v>89718.601436891986</v>
      </c>
      <c r="M26" s="141">
        <v>88999.450281819256</v>
      </c>
      <c r="N26" s="141">
        <v>88270.600711716004</v>
      </c>
      <c r="O26" s="141">
        <v>86206.726065926865</v>
      </c>
      <c r="P26" s="141">
        <v>85869.162660673755</v>
      </c>
      <c r="Q26" s="141">
        <v>86333.080626877578</v>
      </c>
      <c r="R26" s="141">
        <v>87369.207319790497</v>
      </c>
      <c r="S26" s="141">
        <v>87707.899077064823</v>
      </c>
      <c r="T26" s="141">
        <v>90742.324981440601</v>
      </c>
      <c r="U26" s="141">
        <v>91731.35780680491</v>
      </c>
      <c r="V26" s="141">
        <v>95076.119765284064</v>
      </c>
      <c r="W26" s="141">
        <v>101614.90195220652</v>
      </c>
      <c r="X26" s="141">
        <v>113566.80950984886</v>
      </c>
      <c r="Y26" s="141">
        <v>128728.97928583919</v>
      </c>
      <c r="DA26" s="171" t="s">
        <v>267</v>
      </c>
    </row>
    <row r="27" spans="1:105" ht="12" customHeight="1" x14ac:dyDescent="0.25">
      <c r="A27" s="144" t="s">
        <v>26</v>
      </c>
      <c r="B27" s="150">
        <v>0</v>
      </c>
      <c r="C27" s="150">
        <v>0</v>
      </c>
      <c r="D27" s="150">
        <v>0</v>
      </c>
      <c r="E27" s="150">
        <v>1194.2152867738707</v>
      </c>
      <c r="F27" s="150">
        <v>1644.4511862433346</v>
      </c>
      <c r="G27" s="150">
        <v>2005.7594103072697</v>
      </c>
      <c r="H27" s="150">
        <v>2487.1572646440304</v>
      </c>
      <c r="I27" s="150">
        <v>3081.89333647694</v>
      </c>
      <c r="J27" s="150">
        <v>3972.5237078589062</v>
      </c>
      <c r="K27" s="150">
        <v>4505.1328652474685</v>
      </c>
      <c r="L27" s="150">
        <v>5650.3450903286703</v>
      </c>
      <c r="M27" s="150">
        <v>6428.0354096676865</v>
      </c>
      <c r="N27" s="150">
        <v>6914.6320224073852</v>
      </c>
      <c r="O27" s="150">
        <v>7167.5940909176252</v>
      </c>
      <c r="P27" s="150">
        <v>8589.9313668056384</v>
      </c>
      <c r="Q27" s="150">
        <v>8708.1090906478166</v>
      </c>
      <c r="R27" s="150">
        <v>8817.9111077287434</v>
      </c>
      <c r="S27" s="150">
        <v>9234.1772880998833</v>
      </c>
      <c r="T27" s="150">
        <v>9693.6572997970779</v>
      </c>
      <c r="U27" s="150">
        <v>9810.1901306693635</v>
      </c>
      <c r="V27" s="150">
        <v>11072.165479428115</v>
      </c>
      <c r="W27" s="150">
        <v>10332.86852446271</v>
      </c>
      <c r="X27" s="150">
        <v>11426.294118769183</v>
      </c>
      <c r="Y27" s="150">
        <v>10612.616878473375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217434.94027704</v>
      </c>
      <c r="C29" s="139">
        <f t="shared" si="13"/>
        <v>220642.61544830987</v>
      </c>
      <c r="D29" s="139">
        <f t="shared" si="13"/>
        <v>223540.00443049206</v>
      </c>
      <c r="E29" s="139">
        <f t="shared" si="13"/>
        <v>227801.76744811534</v>
      </c>
      <c r="F29" s="139">
        <f t="shared" si="13"/>
        <v>232827.59532421868</v>
      </c>
      <c r="G29" s="139">
        <f t="shared" si="13"/>
        <v>241488.22750736473</v>
      </c>
      <c r="H29" s="139">
        <f t="shared" si="13"/>
        <v>250880.18491481128</v>
      </c>
      <c r="I29" s="139">
        <f t="shared" si="13"/>
        <v>259301.36906683102</v>
      </c>
      <c r="J29" s="139">
        <f t="shared" si="13"/>
        <v>264898.08835365181</v>
      </c>
      <c r="K29" s="139">
        <f t="shared" si="13"/>
        <v>259662.00448703289</v>
      </c>
      <c r="L29" s="139">
        <f t="shared" si="13"/>
        <v>263149.36680165015</v>
      </c>
      <c r="M29" s="139">
        <f t="shared" si="13"/>
        <v>267137.31340090401</v>
      </c>
      <c r="N29" s="139">
        <f t="shared" si="13"/>
        <v>268934.89992686518</v>
      </c>
      <c r="O29" s="139">
        <f t="shared" si="13"/>
        <v>270512.1513920413</v>
      </c>
      <c r="P29" s="139">
        <f t="shared" si="13"/>
        <v>274240.9759428188</v>
      </c>
      <c r="Q29" s="139">
        <f t="shared" si="13"/>
        <v>280488.70712316397</v>
      </c>
      <c r="R29" s="139">
        <f t="shared" ref="R29:W29" si="14">SUM(R30:R33)</f>
        <v>284355.04400334595</v>
      </c>
      <c r="S29" s="139">
        <f t="shared" si="14"/>
        <v>289739.65493510733</v>
      </c>
      <c r="T29" s="139">
        <f t="shared" si="14"/>
        <v>294524.51644592744</v>
      </c>
      <c r="U29" s="139">
        <f t="shared" si="14"/>
        <v>299125.22116117965</v>
      </c>
      <c r="V29" s="139">
        <f t="shared" si="14"/>
        <v>303333.33444444451</v>
      </c>
      <c r="W29" s="139">
        <f t="shared" si="14"/>
        <v>307218.74258190795</v>
      </c>
      <c r="X29" s="139">
        <f t="shared" ref="X29:Y29" si="15">SUM(X30:X33)</f>
        <v>310855.23960654257</v>
      </c>
      <c r="Y29" s="139">
        <f t="shared" si="15"/>
        <v>314212.5569621959</v>
      </c>
      <c r="DA29" s="169" t="s">
        <v>269</v>
      </c>
    </row>
    <row r="30" spans="1:105" ht="12" customHeight="1" x14ac:dyDescent="0.25">
      <c r="A30" s="131" t="s">
        <v>52</v>
      </c>
      <c r="B30" s="140">
        <v>0</v>
      </c>
      <c r="C30" s="140">
        <v>0</v>
      </c>
      <c r="D30" s="140">
        <v>0</v>
      </c>
      <c r="E30" s="140">
        <v>0</v>
      </c>
      <c r="F30" s="140">
        <v>0</v>
      </c>
      <c r="G30" s="140">
        <v>0</v>
      </c>
      <c r="H30" s="140">
        <v>0</v>
      </c>
      <c r="I30" s="140">
        <v>0</v>
      </c>
      <c r="J30" s="140">
        <v>0</v>
      </c>
      <c r="K30" s="140">
        <v>0</v>
      </c>
      <c r="L30" s="140">
        <v>0</v>
      </c>
      <c r="M30" s="140">
        <v>0</v>
      </c>
      <c r="N30" s="140">
        <v>0</v>
      </c>
      <c r="O30" s="140">
        <v>0</v>
      </c>
      <c r="P30" s="140">
        <v>0</v>
      </c>
      <c r="Q30" s="140">
        <v>0</v>
      </c>
      <c r="R30" s="140">
        <v>0</v>
      </c>
      <c r="S30" s="140">
        <v>0</v>
      </c>
      <c r="T30" s="140">
        <v>0</v>
      </c>
      <c r="U30" s="140">
        <v>0</v>
      </c>
      <c r="V30" s="140">
        <v>0</v>
      </c>
      <c r="W30" s="140">
        <v>0</v>
      </c>
      <c r="X30" s="140">
        <v>0</v>
      </c>
      <c r="Y30" s="140">
        <v>0</v>
      </c>
      <c r="DA30" s="170" t="s">
        <v>270</v>
      </c>
    </row>
    <row r="31" spans="1:105" ht="12" customHeight="1" x14ac:dyDescent="0.25">
      <c r="A31" s="131" t="s">
        <v>149</v>
      </c>
      <c r="B31" s="140">
        <v>107116.31410238291</v>
      </c>
      <c r="C31" s="140">
        <v>109962.42464784514</v>
      </c>
      <c r="D31" s="140">
        <v>112519.18165546676</v>
      </c>
      <c r="E31" s="140">
        <v>114743.77568555619</v>
      </c>
      <c r="F31" s="140">
        <v>115954.81377537914</v>
      </c>
      <c r="G31" s="140">
        <v>120057.91257614018</v>
      </c>
      <c r="H31" s="140">
        <v>122851.69577314811</v>
      </c>
      <c r="I31" s="140">
        <v>126996.18306408919</v>
      </c>
      <c r="J31" s="140">
        <v>130554.38972031788</v>
      </c>
      <c r="K31" s="140">
        <v>128764.88371093672</v>
      </c>
      <c r="L31" s="140">
        <v>131807.69656022664</v>
      </c>
      <c r="M31" s="140">
        <v>131948.71157278743</v>
      </c>
      <c r="N31" s="140">
        <v>131069.76588033717</v>
      </c>
      <c r="O31" s="140">
        <v>130734.60302488042</v>
      </c>
      <c r="P31" s="140">
        <v>132108.32312296008</v>
      </c>
      <c r="Q31" s="140">
        <v>136475.64488767675</v>
      </c>
      <c r="R31" s="140">
        <v>144085.44722201076</v>
      </c>
      <c r="S31" s="140">
        <v>154685.67335636143</v>
      </c>
      <c r="T31" s="140">
        <v>159269.06597845152</v>
      </c>
      <c r="U31" s="140">
        <v>163445.1714706526</v>
      </c>
      <c r="V31" s="140">
        <v>161403.50644169826</v>
      </c>
      <c r="W31" s="140">
        <v>155582.93141356099</v>
      </c>
      <c r="X31" s="140">
        <v>145730.32861072308</v>
      </c>
      <c r="Y31" s="140">
        <v>137083.81251110567</v>
      </c>
      <c r="DA31" s="170" t="s">
        <v>271</v>
      </c>
    </row>
    <row r="32" spans="1:105" ht="12" customHeight="1" x14ac:dyDescent="0.25">
      <c r="A32" s="131" t="s">
        <v>128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272</v>
      </c>
    </row>
    <row r="33" spans="1:105" ht="12" customHeight="1" x14ac:dyDescent="0.25">
      <c r="A33" s="62" t="s">
        <v>24</v>
      </c>
      <c r="B33" s="152">
        <v>110318.62617465708</v>
      </c>
      <c r="C33" s="152">
        <v>110680.19080046473</v>
      </c>
      <c r="D33" s="152">
        <v>111020.8227750253</v>
      </c>
      <c r="E33" s="152">
        <v>113057.99176255913</v>
      </c>
      <c r="F33" s="152">
        <v>116872.78154883953</v>
      </c>
      <c r="G33" s="152">
        <v>121430.31493122455</v>
      </c>
      <c r="H33" s="152">
        <v>128028.48914166316</v>
      </c>
      <c r="I33" s="152">
        <v>132305.18600274183</v>
      </c>
      <c r="J33" s="152">
        <v>134343.6986333339</v>
      </c>
      <c r="K33" s="152">
        <v>130897.12077609618</v>
      </c>
      <c r="L33" s="152">
        <v>131341.6702414235</v>
      </c>
      <c r="M33" s="152">
        <v>135188.60182811657</v>
      </c>
      <c r="N33" s="152">
        <v>137865.13404652802</v>
      </c>
      <c r="O33" s="152">
        <v>139777.5483671609</v>
      </c>
      <c r="P33" s="152">
        <v>142132.65281985869</v>
      </c>
      <c r="Q33" s="152">
        <v>144013.06223548725</v>
      </c>
      <c r="R33" s="152">
        <v>140269.59678133519</v>
      </c>
      <c r="S33" s="152">
        <v>135053.98157874588</v>
      </c>
      <c r="T33" s="152">
        <v>135255.45046747595</v>
      </c>
      <c r="U33" s="152">
        <v>135680.04969052706</v>
      </c>
      <c r="V33" s="152">
        <v>141929.82800274625</v>
      </c>
      <c r="W33" s="152">
        <v>151635.81116834696</v>
      </c>
      <c r="X33" s="152">
        <v>165124.91099581949</v>
      </c>
      <c r="Y33" s="152">
        <v>177128.7444510902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3093.5740670357436</v>
      </c>
      <c r="C3" s="125">
        <f t="shared" si="0"/>
        <v>3042.0927122074913</v>
      </c>
      <c r="D3" s="125">
        <f t="shared" si="0"/>
        <v>2856.1174951417051</v>
      </c>
      <c r="E3" s="125">
        <f t="shared" si="0"/>
        <v>3197.1171164246716</v>
      </c>
      <c r="F3" s="125">
        <f t="shared" si="0"/>
        <v>3025.2731111179282</v>
      </c>
      <c r="G3" s="125">
        <f t="shared" si="0"/>
        <v>2687.3844740623649</v>
      </c>
      <c r="H3" s="125">
        <f t="shared" si="0"/>
        <v>2621.922693865698</v>
      </c>
      <c r="I3" s="125">
        <f t="shared" si="0"/>
        <v>2472.3535685004358</v>
      </c>
      <c r="J3" s="125">
        <f t="shared" si="0"/>
        <v>2658.4824205089753</v>
      </c>
      <c r="K3" s="125">
        <f t="shared" si="0"/>
        <v>2414.7833186357766</v>
      </c>
      <c r="L3" s="125">
        <f t="shared" si="0"/>
        <v>2676.221573590246</v>
      </c>
      <c r="M3" s="125">
        <f t="shared" si="0"/>
        <v>2556.95657412024</v>
      </c>
      <c r="N3" s="125">
        <f t="shared" si="0"/>
        <v>2459.0658151200782</v>
      </c>
      <c r="O3" s="125">
        <f t="shared" si="0"/>
        <v>2409.7567274272146</v>
      </c>
      <c r="P3" s="125">
        <f t="shared" si="0"/>
        <v>2301.5799546763287</v>
      </c>
      <c r="Q3" s="125">
        <f t="shared" si="0"/>
        <v>2335.7037678346478</v>
      </c>
      <c r="R3" s="125">
        <f t="shared" ref="R3:W3" si="1">SUM(R4,R16,R19,R29)</f>
        <v>2410.8805867078963</v>
      </c>
      <c r="S3" s="125">
        <f t="shared" si="1"/>
        <v>2513.8299275469044</v>
      </c>
      <c r="T3" s="125">
        <f t="shared" si="1"/>
        <v>2429.0430316719353</v>
      </c>
      <c r="U3" s="125">
        <f t="shared" si="1"/>
        <v>2497.0948283779276</v>
      </c>
      <c r="V3" s="125">
        <f t="shared" si="1"/>
        <v>2327.1577422007458</v>
      </c>
      <c r="W3" s="125">
        <f t="shared" si="1"/>
        <v>2313.6860115729796</v>
      </c>
      <c r="X3" s="125">
        <f t="shared" ref="X3:Y3" si="2">SUM(X4,X16,X19,X29)</f>
        <v>2200.5712231779298</v>
      </c>
      <c r="Y3" s="125">
        <f t="shared" si="2"/>
        <v>1993.7711587509132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2649.2752147711481</v>
      </c>
      <c r="C4" s="130">
        <f t="shared" si="3"/>
        <v>2589.7572509562979</v>
      </c>
      <c r="D4" s="130">
        <f t="shared" si="3"/>
        <v>2399.9240750970807</v>
      </c>
      <c r="E4" s="130">
        <f t="shared" si="3"/>
        <v>2733.4783061648982</v>
      </c>
      <c r="F4" s="130">
        <f t="shared" si="3"/>
        <v>2558.7625096092484</v>
      </c>
      <c r="G4" s="130">
        <f t="shared" si="3"/>
        <v>2206.8573890949137</v>
      </c>
      <c r="H4" s="130">
        <f t="shared" si="3"/>
        <v>2119.4253828957549</v>
      </c>
      <c r="I4" s="130">
        <f t="shared" si="3"/>
        <v>1953.2646790991787</v>
      </c>
      <c r="J4" s="130">
        <f t="shared" si="3"/>
        <v>2123.8875862849582</v>
      </c>
      <c r="K4" s="130">
        <f t="shared" si="3"/>
        <v>1853.7924314282727</v>
      </c>
      <c r="L4" s="130">
        <f t="shared" si="3"/>
        <v>2094.1470355856927</v>
      </c>
      <c r="M4" s="130">
        <f t="shared" si="3"/>
        <v>1961.7146360842319</v>
      </c>
      <c r="N4" s="130">
        <f t="shared" si="3"/>
        <v>1856.5212568385493</v>
      </c>
      <c r="O4" s="130">
        <f t="shared" si="3"/>
        <v>1800.3492072121289</v>
      </c>
      <c r="P4" s="130">
        <f t="shared" si="3"/>
        <v>1690.9661738909329</v>
      </c>
      <c r="Q4" s="130">
        <f t="shared" si="3"/>
        <v>1707.1634947217885</v>
      </c>
      <c r="R4" s="130">
        <f t="shared" ref="R4:W4" si="4">SUM(R5:R15)</f>
        <v>1776.178825861665</v>
      </c>
      <c r="S4" s="130">
        <f t="shared" si="4"/>
        <v>1859.9592578912384</v>
      </c>
      <c r="T4" s="130">
        <f t="shared" si="4"/>
        <v>1778.2213251796766</v>
      </c>
      <c r="U4" s="130">
        <f t="shared" si="4"/>
        <v>1836.2708698280339</v>
      </c>
      <c r="V4" s="130">
        <f t="shared" si="4"/>
        <v>1706.5777316133422</v>
      </c>
      <c r="W4" s="130">
        <f t="shared" si="4"/>
        <v>1682.5755163248552</v>
      </c>
      <c r="X4" s="130">
        <f t="shared" ref="X4:Y4" si="5">SUM(X5:X15)</f>
        <v>1580.6596195787911</v>
      </c>
      <c r="Y4" s="130">
        <f t="shared" si="5"/>
        <v>1369.465138522226</v>
      </c>
      <c r="DA4" s="155" t="s">
        <v>214</v>
      </c>
    </row>
    <row r="5" spans="1:105" ht="12" customHeight="1" x14ac:dyDescent="0.25">
      <c r="A5" s="131" t="s">
        <v>29</v>
      </c>
      <c r="B5" s="132">
        <v>504.21195184866724</v>
      </c>
      <c r="C5" s="132">
        <v>222.32398968185731</v>
      </c>
      <c r="D5" s="132">
        <v>226.59372312983663</v>
      </c>
      <c r="E5" s="132">
        <v>444.38392089423905</v>
      </c>
      <c r="F5" s="132">
        <v>486.29759243336179</v>
      </c>
      <c r="G5" s="132">
        <v>84.0340498710232</v>
      </c>
      <c r="H5" s="132">
        <v>170.50756663800513</v>
      </c>
      <c r="I5" s="132">
        <v>57.573516766981946</v>
      </c>
      <c r="J5" s="132">
        <v>83.566122098022348</v>
      </c>
      <c r="K5" s="132">
        <v>27.748839208942385</v>
      </c>
      <c r="L5" s="132">
        <v>40.114359415305238</v>
      </c>
      <c r="M5" s="132">
        <v>34.893637145313846</v>
      </c>
      <c r="N5" s="132">
        <v>32.933619948409287</v>
      </c>
      <c r="O5" s="132">
        <v>32.605674978503856</v>
      </c>
      <c r="P5" s="132">
        <v>28.881255374032669</v>
      </c>
      <c r="Q5" s="132">
        <v>25.6219260533104</v>
      </c>
      <c r="R5" s="132">
        <v>33.001031814273439</v>
      </c>
      <c r="S5" s="132">
        <v>32.136973344797937</v>
      </c>
      <c r="T5" s="132">
        <v>22.546603611349958</v>
      </c>
      <c r="U5" s="132">
        <v>27.247291487532213</v>
      </c>
      <c r="V5" s="132">
        <v>20.681083404987106</v>
      </c>
      <c r="W5" s="132">
        <v>23.812381771281171</v>
      </c>
      <c r="X5" s="132">
        <v>23.731814273430789</v>
      </c>
      <c r="Y5" s="132">
        <v>11.133018056749771</v>
      </c>
      <c r="DA5" s="156" t="s">
        <v>275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276</v>
      </c>
    </row>
    <row r="7" spans="1:105" ht="12" customHeight="1" x14ac:dyDescent="0.25">
      <c r="A7" s="131" t="s">
        <v>161</v>
      </c>
      <c r="B7" s="132">
        <v>6.1179707652622524</v>
      </c>
      <c r="C7" s="132">
        <v>3.0036973344797926</v>
      </c>
      <c r="D7" s="132">
        <v>13.022355975924333</v>
      </c>
      <c r="E7" s="132">
        <v>12.017454858125543</v>
      </c>
      <c r="F7" s="132">
        <v>15.912295786758381</v>
      </c>
      <c r="G7" s="132">
        <v>11.886500429922608</v>
      </c>
      <c r="H7" s="132">
        <v>14.874892519346517</v>
      </c>
      <c r="I7" s="132">
        <v>15.058297506448833</v>
      </c>
      <c r="J7" s="132">
        <v>16.005588993981085</v>
      </c>
      <c r="K7" s="132">
        <v>12.004385210662077</v>
      </c>
      <c r="L7" s="132">
        <v>15.954600171969034</v>
      </c>
      <c r="M7" s="132">
        <v>12.069217540842653</v>
      </c>
      <c r="N7" s="132">
        <v>19.69690455717971</v>
      </c>
      <c r="O7" s="132">
        <v>14.892261392949267</v>
      </c>
      <c r="P7" s="132">
        <v>9.9347377472055012</v>
      </c>
      <c r="Q7" s="132">
        <v>20.799054170249338</v>
      </c>
      <c r="R7" s="132">
        <v>19.859673258813398</v>
      </c>
      <c r="S7" s="132">
        <v>19.774978503869296</v>
      </c>
      <c r="T7" s="132">
        <v>13.085210662080831</v>
      </c>
      <c r="U7" s="132">
        <v>12.229578675838351</v>
      </c>
      <c r="V7" s="132">
        <v>13.968701633705917</v>
      </c>
      <c r="W7" s="132">
        <v>17.963026655202075</v>
      </c>
      <c r="X7" s="132">
        <v>14.004127257093709</v>
      </c>
      <c r="Y7" s="132">
        <v>17.003353396388626</v>
      </c>
      <c r="DA7" s="156" t="s">
        <v>277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4.9570901741914555E-3</v>
      </c>
      <c r="H8" s="132">
        <v>1.3527779135674196E-2</v>
      </c>
      <c r="I8" s="132">
        <v>2.8986716860983437E-2</v>
      </c>
      <c r="J8" s="132">
        <v>4.9880478724801038E-2</v>
      </c>
      <c r="K8" s="132">
        <v>6.6289958287699943E-2</v>
      </c>
      <c r="L8" s="132">
        <v>7.8219523711801617E-2</v>
      </c>
      <c r="M8" s="132">
        <v>0.11188445446962071</v>
      </c>
      <c r="N8" s="132">
        <v>0.1598343614105692</v>
      </c>
      <c r="O8" s="132">
        <v>0.27784827924326932</v>
      </c>
      <c r="P8" s="132">
        <v>0.42660858217522502</v>
      </c>
      <c r="Q8" s="132">
        <v>0.47562488804894731</v>
      </c>
      <c r="R8" s="132">
        <v>0.51384425467462613</v>
      </c>
      <c r="S8" s="132">
        <v>0.53923275768939305</v>
      </c>
      <c r="T8" s="132">
        <v>0.58494485517898154</v>
      </c>
      <c r="U8" s="132">
        <v>0.67084227290197695</v>
      </c>
      <c r="V8" s="132">
        <v>0.73718798726991142</v>
      </c>
      <c r="W8" s="132">
        <v>0.82916630738790775</v>
      </c>
      <c r="X8" s="132">
        <v>0.86391106634114134</v>
      </c>
      <c r="Y8" s="132">
        <v>0.8875056412878114</v>
      </c>
      <c r="DA8" s="156" t="s">
        <v>278</v>
      </c>
    </row>
    <row r="9" spans="1:105" ht="12" customHeight="1" x14ac:dyDescent="0.25">
      <c r="A9" s="131" t="s">
        <v>78</v>
      </c>
      <c r="B9" s="132">
        <v>973.84885283567655</v>
      </c>
      <c r="C9" s="132">
        <v>1149.8150645270914</v>
      </c>
      <c r="D9" s="132">
        <v>1059.8827580729496</v>
      </c>
      <c r="E9" s="132">
        <v>1093.4856158182572</v>
      </c>
      <c r="F9" s="132">
        <v>1070.9652278952681</v>
      </c>
      <c r="G9" s="132">
        <v>1137.0672067453179</v>
      </c>
      <c r="H9" s="132">
        <v>1086.4934960800588</v>
      </c>
      <c r="I9" s="132">
        <v>1067.661500843592</v>
      </c>
      <c r="J9" s="132">
        <v>1196.1502980910529</v>
      </c>
      <c r="K9" s="132">
        <v>1025.2986400197069</v>
      </c>
      <c r="L9" s="132">
        <v>1086.0100475390623</v>
      </c>
      <c r="M9" s="132">
        <v>1040.3956377880852</v>
      </c>
      <c r="N9" s="132">
        <v>953.05432629296968</v>
      </c>
      <c r="O9" s="132">
        <v>894.71147666186937</v>
      </c>
      <c r="P9" s="132">
        <v>860.77304298094032</v>
      </c>
      <c r="Q9" s="132">
        <v>857.19782870602796</v>
      </c>
      <c r="R9" s="132">
        <v>865.35598045449001</v>
      </c>
      <c r="S9" s="132">
        <v>917.82233248071861</v>
      </c>
      <c r="T9" s="132">
        <v>829.45505928210309</v>
      </c>
      <c r="U9" s="132">
        <v>869.82047514947385</v>
      </c>
      <c r="V9" s="132">
        <v>791.43186583759586</v>
      </c>
      <c r="W9" s="132">
        <v>736.64891693515426</v>
      </c>
      <c r="X9" s="132">
        <v>658.95675600057416</v>
      </c>
      <c r="Y9" s="132">
        <v>588.48906057544002</v>
      </c>
      <c r="DA9" s="156" t="s">
        <v>279</v>
      </c>
    </row>
    <row r="10" spans="1:105" ht="12" customHeight="1" x14ac:dyDescent="0.25">
      <c r="A10" s="131" t="s">
        <v>128</v>
      </c>
      <c r="B10" s="132">
        <v>13.351418744625969</v>
      </c>
      <c r="C10" s="132">
        <v>24.410060189165954</v>
      </c>
      <c r="D10" s="132">
        <v>23.88460877042132</v>
      </c>
      <c r="E10" s="132">
        <v>33.175752364574372</v>
      </c>
      <c r="F10" s="132">
        <v>36.447979363714538</v>
      </c>
      <c r="G10" s="132">
        <v>40.675408426483223</v>
      </c>
      <c r="H10" s="132">
        <v>36.018056749785018</v>
      </c>
      <c r="I10" s="132">
        <v>51.351848667239878</v>
      </c>
      <c r="J10" s="132">
        <v>41.200945829750651</v>
      </c>
      <c r="K10" s="132">
        <v>36.997248495270838</v>
      </c>
      <c r="L10" s="132">
        <v>52.355030094582943</v>
      </c>
      <c r="M10" s="132">
        <v>54.815133276010343</v>
      </c>
      <c r="N10" s="132">
        <v>57.203611349956979</v>
      </c>
      <c r="O10" s="132">
        <v>64.153998280309523</v>
      </c>
      <c r="P10" s="132">
        <v>63.437489251934657</v>
      </c>
      <c r="Q10" s="132">
        <v>71.343250214961344</v>
      </c>
      <c r="R10" s="132">
        <v>66.972398968185757</v>
      </c>
      <c r="S10" s="132">
        <v>63.152278589853822</v>
      </c>
      <c r="T10" s="132">
        <v>64.990197764402424</v>
      </c>
      <c r="U10" s="132">
        <v>67.134651762682665</v>
      </c>
      <c r="V10" s="132">
        <v>63.337747205503007</v>
      </c>
      <c r="W10" s="132">
        <v>65.982545141874439</v>
      </c>
      <c r="X10" s="132">
        <v>63.135769561479002</v>
      </c>
      <c r="Y10" s="132">
        <v>53.234049871023139</v>
      </c>
      <c r="DA10" s="156" t="s">
        <v>280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281</v>
      </c>
    </row>
    <row r="12" spans="1:105" ht="12" customHeight="1" x14ac:dyDescent="0.25">
      <c r="A12" s="131" t="s">
        <v>162</v>
      </c>
      <c r="B12" s="132">
        <v>572.39219325807267</v>
      </c>
      <c r="C12" s="132">
        <v>608.17099562087776</v>
      </c>
      <c r="D12" s="132">
        <v>552.21265398948515</v>
      </c>
      <c r="E12" s="132">
        <v>546.68436353857601</v>
      </c>
      <c r="F12" s="132">
        <v>569.42884740400177</v>
      </c>
      <c r="G12" s="132">
        <v>562.75639827831856</v>
      </c>
      <c r="H12" s="132">
        <v>441.11761258182872</v>
      </c>
      <c r="I12" s="132">
        <v>390.27003931127479</v>
      </c>
      <c r="J12" s="132">
        <v>390.75814911181089</v>
      </c>
      <c r="K12" s="132">
        <v>375.44696884556868</v>
      </c>
      <c r="L12" s="132">
        <v>496.37807124069178</v>
      </c>
      <c r="M12" s="132">
        <v>461.8588270554859</v>
      </c>
      <c r="N12" s="132">
        <v>446.38336790886052</v>
      </c>
      <c r="O12" s="132">
        <v>425.32681814429856</v>
      </c>
      <c r="P12" s="132">
        <v>399.73551463595345</v>
      </c>
      <c r="Q12" s="132">
        <v>405.80254622765932</v>
      </c>
      <c r="R12" s="132">
        <v>422.56473206692112</v>
      </c>
      <c r="S12" s="132">
        <v>426.60634121502636</v>
      </c>
      <c r="T12" s="132">
        <v>430.06671018588224</v>
      </c>
      <c r="U12" s="132">
        <v>412.55855497968253</v>
      </c>
      <c r="V12" s="132">
        <v>394.63060605918031</v>
      </c>
      <c r="W12" s="132">
        <v>424.1025943339269</v>
      </c>
      <c r="X12" s="132">
        <v>412.13628448298607</v>
      </c>
      <c r="Y12" s="132">
        <v>390.88960655590148</v>
      </c>
      <c r="DA12" s="156" t="s">
        <v>282</v>
      </c>
    </row>
    <row r="13" spans="1:105" ht="12" customHeight="1" x14ac:dyDescent="0.25">
      <c r="A13" s="131" t="s">
        <v>77</v>
      </c>
      <c r="B13" s="132">
        <v>0.29585366724848483</v>
      </c>
      <c r="C13" s="132">
        <v>0.50228301466117198</v>
      </c>
      <c r="D13" s="132">
        <v>0.92620530168978266</v>
      </c>
      <c r="E13" s="132">
        <v>1.2603081882254479</v>
      </c>
      <c r="F13" s="132">
        <v>1.5730005192104712</v>
      </c>
      <c r="G13" s="132">
        <v>1.777074720463568</v>
      </c>
      <c r="H13" s="132">
        <v>2.2070822963609933</v>
      </c>
      <c r="I13" s="132">
        <v>2.6777376128252097</v>
      </c>
      <c r="J13" s="132">
        <v>3.0995309177604455</v>
      </c>
      <c r="K13" s="132">
        <v>3.627132429544135</v>
      </c>
      <c r="L13" s="132">
        <v>4.2193437237509634</v>
      </c>
      <c r="M13" s="132">
        <v>4.7390169378513605</v>
      </c>
      <c r="N13" s="132">
        <v>5.2252491581659912</v>
      </c>
      <c r="O13" s="132">
        <v>5.5365162135634449</v>
      </c>
      <c r="P13" s="132">
        <v>5.7372606225037481</v>
      </c>
      <c r="Q13" s="132">
        <v>6.1171772295239366</v>
      </c>
      <c r="R13" s="132">
        <v>6.639600658075322</v>
      </c>
      <c r="S13" s="132">
        <v>7.2564057800314519</v>
      </c>
      <c r="T13" s="132">
        <v>7.9107219218624989</v>
      </c>
      <c r="U13" s="132">
        <v>8.6405046724246297</v>
      </c>
      <c r="V13" s="132">
        <v>9.2596569576912788</v>
      </c>
      <c r="W13" s="132">
        <v>9.9840267001011291</v>
      </c>
      <c r="X13" s="132">
        <v>13.794850042464422</v>
      </c>
      <c r="Y13" s="132">
        <v>16.037833866430663</v>
      </c>
      <c r="DA13" s="156" t="s">
        <v>283</v>
      </c>
    </row>
    <row r="14" spans="1:105" ht="12" customHeight="1" x14ac:dyDescent="0.25">
      <c r="A14" s="60" t="s">
        <v>76</v>
      </c>
      <c r="B14" s="65">
        <v>564.97141041521536</v>
      </c>
      <c r="C14" s="65">
        <v>567.21196171882207</v>
      </c>
      <c r="D14" s="65">
        <v>510.16397489589605</v>
      </c>
      <c r="E14" s="65">
        <v>587.94700466804852</v>
      </c>
      <c r="F14" s="65">
        <v>363.56924928546596</v>
      </c>
      <c r="G14" s="65">
        <v>355.51822441108078</v>
      </c>
      <c r="H14" s="65">
        <v>355.58011620625086</v>
      </c>
      <c r="I14" s="65">
        <v>356.88598331421787</v>
      </c>
      <c r="J14" s="65">
        <v>380.10225673799692</v>
      </c>
      <c r="K14" s="65">
        <v>361.66240260605491</v>
      </c>
      <c r="L14" s="65">
        <v>387.03005441546628</v>
      </c>
      <c r="M14" s="65">
        <v>341.39686484481985</v>
      </c>
      <c r="N14" s="65">
        <v>331.16948753379518</v>
      </c>
      <c r="O14" s="65">
        <v>352.68981134830705</v>
      </c>
      <c r="P14" s="65">
        <v>312.31669229756955</v>
      </c>
      <c r="Q14" s="65">
        <v>309.88078944364622</v>
      </c>
      <c r="R14" s="65">
        <v>351.09059632896583</v>
      </c>
      <c r="S14" s="65">
        <v>381.79298801814321</v>
      </c>
      <c r="T14" s="65">
        <v>399.46152091679869</v>
      </c>
      <c r="U14" s="65">
        <v>427.23734498811137</v>
      </c>
      <c r="V14" s="65">
        <v>402.45565380438285</v>
      </c>
      <c r="W14" s="65">
        <v>393.35710932287088</v>
      </c>
      <c r="X14" s="65">
        <v>384.87766241327603</v>
      </c>
      <c r="Y14" s="65">
        <v>283.38991109883</v>
      </c>
      <c r="DA14" s="109" t="s">
        <v>284</v>
      </c>
    </row>
    <row r="15" spans="1:105" ht="12" customHeight="1" x14ac:dyDescent="0.25">
      <c r="A15" s="133" t="s">
        <v>80</v>
      </c>
      <c r="B15" s="134">
        <v>14.085563236379045</v>
      </c>
      <c r="C15" s="134">
        <v>14.319198869342404</v>
      </c>
      <c r="D15" s="134">
        <v>13.237794960877629</v>
      </c>
      <c r="E15" s="134">
        <v>14.523885834852114</v>
      </c>
      <c r="F15" s="134">
        <v>14.568316921467781</v>
      </c>
      <c r="G15" s="134">
        <v>13.137569122129882</v>
      </c>
      <c r="H15" s="134">
        <v>12.613032044982898</v>
      </c>
      <c r="I15" s="134">
        <v>11.756768359737153</v>
      </c>
      <c r="J15" s="134">
        <v>12.954814025858202</v>
      </c>
      <c r="K15" s="134">
        <v>10.940524654234874</v>
      </c>
      <c r="L15" s="134">
        <v>12.007309461152349</v>
      </c>
      <c r="M15" s="134">
        <v>11.434417041353148</v>
      </c>
      <c r="N15" s="134">
        <v>10.694855727801814</v>
      </c>
      <c r="O15" s="134">
        <v>10.154801913084555</v>
      </c>
      <c r="P15" s="134">
        <v>9.7235723986179146</v>
      </c>
      <c r="Q15" s="134">
        <v>9.9252977883612505</v>
      </c>
      <c r="R15" s="134">
        <v>10.180968057265556</v>
      </c>
      <c r="S15" s="134">
        <v>10.877727201108407</v>
      </c>
      <c r="T15" s="134">
        <v>10.120355980018038</v>
      </c>
      <c r="U15" s="134">
        <v>10.731625839386432</v>
      </c>
      <c r="V15" s="134">
        <v>10.075228723025944</v>
      </c>
      <c r="W15" s="134">
        <v>9.8957491570566294</v>
      </c>
      <c r="X15" s="134">
        <v>9.1584444811454873</v>
      </c>
      <c r="Y15" s="134">
        <v>8.400799460174504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12.511303478572422</v>
      </c>
      <c r="C16" s="130">
        <f t="shared" si="6"/>
        <v>13.240119490179211</v>
      </c>
      <c r="D16" s="130">
        <f t="shared" si="6"/>
        <v>15.939010797053594</v>
      </c>
      <c r="E16" s="130">
        <f t="shared" si="6"/>
        <v>18.084441458016606</v>
      </c>
      <c r="F16" s="130">
        <f t="shared" si="6"/>
        <v>18.68718566707091</v>
      </c>
      <c r="G16" s="130">
        <f t="shared" si="6"/>
        <v>22.274179845635892</v>
      </c>
      <c r="H16" s="130">
        <f t="shared" si="6"/>
        <v>27.025785926602797</v>
      </c>
      <c r="I16" s="130">
        <f t="shared" si="6"/>
        <v>30.367220342755701</v>
      </c>
      <c r="J16" s="130">
        <f t="shared" si="6"/>
        <v>32.741419041373547</v>
      </c>
      <c r="K16" s="130">
        <f t="shared" si="6"/>
        <v>34.615554635053464</v>
      </c>
      <c r="L16" s="130">
        <f t="shared" si="6"/>
        <v>37.376928820658705</v>
      </c>
      <c r="M16" s="130">
        <f t="shared" si="6"/>
        <v>39.018496096860048</v>
      </c>
      <c r="N16" s="130">
        <f t="shared" si="6"/>
        <v>39.807853899943197</v>
      </c>
      <c r="O16" s="130">
        <f t="shared" si="6"/>
        <v>41.528954318796465</v>
      </c>
      <c r="P16" s="130">
        <f t="shared" si="6"/>
        <v>39.602837075946411</v>
      </c>
      <c r="Q16" s="130">
        <f t="shared" si="6"/>
        <v>47.04581817687248</v>
      </c>
      <c r="R16" s="130">
        <f t="shared" ref="R16:W16" si="7">SUM(R17:R18)</f>
        <v>39.838852783377881</v>
      </c>
      <c r="S16" s="130">
        <f t="shared" si="7"/>
        <v>40.377442734336881</v>
      </c>
      <c r="T16" s="130">
        <f t="shared" si="7"/>
        <v>42.792173562578505</v>
      </c>
      <c r="U16" s="130">
        <f t="shared" si="7"/>
        <v>42.720723833298131</v>
      </c>
      <c r="V16" s="130">
        <f t="shared" si="7"/>
        <v>38.695604271174716</v>
      </c>
      <c r="W16" s="130">
        <f t="shared" si="7"/>
        <v>40.365246118123494</v>
      </c>
      <c r="X16" s="130">
        <f t="shared" ref="X16:Y16" si="8">SUM(X17:X18)</f>
        <v>41.815725105590865</v>
      </c>
      <c r="Y16" s="130">
        <f t="shared" si="8"/>
        <v>41.798867800318448</v>
      </c>
      <c r="DA16" s="155" t="s">
        <v>215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4.2288156613111312E-2</v>
      </c>
      <c r="H17" s="132">
        <v>5.4902294050018466E-2</v>
      </c>
      <c r="I17" s="132">
        <v>7.7642072590448197E-2</v>
      </c>
      <c r="J17" s="132">
        <v>8.0434801928075103E-2</v>
      </c>
      <c r="K17" s="132">
        <v>0.104432074961119</v>
      </c>
      <c r="L17" s="132">
        <v>0.10739386315314932</v>
      </c>
      <c r="M17" s="132">
        <v>0.1143921967276243</v>
      </c>
      <c r="N17" s="132">
        <v>0.11989851829790958</v>
      </c>
      <c r="O17" s="132">
        <v>0.14875618389126924</v>
      </c>
      <c r="P17" s="132">
        <v>0.20651026014410293</v>
      </c>
      <c r="Q17" s="132">
        <v>0.38255719869017213</v>
      </c>
      <c r="R17" s="132">
        <v>0.38380583295721327</v>
      </c>
      <c r="S17" s="132">
        <v>0.4684146602870024</v>
      </c>
      <c r="T17" s="132">
        <v>0.59829082853673698</v>
      </c>
      <c r="U17" s="132">
        <v>0.6083962747322037</v>
      </c>
      <c r="V17" s="132">
        <v>0.66173896920415409</v>
      </c>
      <c r="W17" s="132">
        <v>0.70479340882250929</v>
      </c>
      <c r="X17" s="132">
        <v>0.73891277725492477</v>
      </c>
      <c r="Y17" s="132">
        <v>0.76558194594980666</v>
      </c>
      <c r="DA17" s="156" t="s">
        <v>286</v>
      </c>
    </row>
    <row r="18" spans="1:105" ht="12" customHeight="1" x14ac:dyDescent="0.25">
      <c r="A18" s="131" t="s">
        <v>72</v>
      </c>
      <c r="B18" s="132">
        <v>12.511303478572422</v>
      </c>
      <c r="C18" s="132">
        <v>13.240119490179211</v>
      </c>
      <c r="D18" s="132">
        <v>15.939010797053594</v>
      </c>
      <c r="E18" s="132">
        <v>18.084441458016606</v>
      </c>
      <c r="F18" s="132">
        <v>18.68718566707091</v>
      </c>
      <c r="G18" s="132">
        <v>22.231891689022781</v>
      </c>
      <c r="H18" s="132">
        <v>26.970883632552777</v>
      </c>
      <c r="I18" s="132">
        <v>30.289578270165254</v>
      </c>
      <c r="J18" s="132">
        <v>32.660984239445469</v>
      </c>
      <c r="K18" s="132">
        <v>34.511122560092346</v>
      </c>
      <c r="L18" s="132">
        <v>37.269534957505556</v>
      </c>
      <c r="M18" s="132">
        <v>38.904103900132426</v>
      </c>
      <c r="N18" s="132">
        <v>39.687955381645288</v>
      </c>
      <c r="O18" s="132">
        <v>41.380198134905193</v>
      </c>
      <c r="P18" s="132">
        <v>39.396326815802311</v>
      </c>
      <c r="Q18" s="132">
        <v>46.663260978182308</v>
      </c>
      <c r="R18" s="132">
        <v>39.455046950420666</v>
      </c>
      <c r="S18" s="132">
        <v>39.909028074049878</v>
      </c>
      <c r="T18" s="132">
        <v>42.193882734041765</v>
      </c>
      <c r="U18" s="132">
        <v>42.11232755856593</v>
      </c>
      <c r="V18" s="132">
        <v>38.033865301970565</v>
      </c>
      <c r="W18" s="132">
        <v>39.660452709300984</v>
      </c>
      <c r="X18" s="132">
        <v>41.07681232833594</v>
      </c>
      <c r="Y18" s="132">
        <v>41.033285854368643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219.64503157128581</v>
      </c>
      <c r="C19" s="130">
        <f t="shared" si="9"/>
        <v>219.88002541816735</v>
      </c>
      <c r="D19" s="130">
        <f t="shared" si="9"/>
        <v>219.29557062294361</v>
      </c>
      <c r="E19" s="130">
        <f t="shared" si="9"/>
        <v>219.31502812745705</v>
      </c>
      <c r="F19" s="130">
        <f t="shared" si="9"/>
        <v>217.120028435086</v>
      </c>
      <c r="G19" s="130">
        <f t="shared" si="9"/>
        <v>222.47190689849432</v>
      </c>
      <c r="H19" s="130">
        <f t="shared" si="9"/>
        <v>231.21627895721511</v>
      </c>
      <c r="I19" s="130">
        <f t="shared" si="9"/>
        <v>238.75268018553439</v>
      </c>
      <c r="J19" s="130">
        <f t="shared" si="9"/>
        <v>243.7073404804641</v>
      </c>
      <c r="K19" s="130">
        <f t="shared" si="9"/>
        <v>257.07045170478068</v>
      </c>
      <c r="L19" s="130">
        <f t="shared" si="9"/>
        <v>265.90471247757233</v>
      </c>
      <c r="M19" s="130">
        <f t="shared" si="9"/>
        <v>270.0438614759081</v>
      </c>
      <c r="N19" s="130">
        <f t="shared" si="9"/>
        <v>273.23196970062259</v>
      </c>
      <c r="O19" s="130">
        <f t="shared" si="9"/>
        <v>273.28419172588804</v>
      </c>
      <c r="P19" s="130">
        <f t="shared" si="9"/>
        <v>272.80009696634926</v>
      </c>
      <c r="Q19" s="130">
        <f t="shared" si="9"/>
        <v>277.18427253996396</v>
      </c>
      <c r="R19" s="130">
        <f t="shared" ref="R19:W19" si="10">SUM(R20:R27)</f>
        <v>283.01121410753603</v>
      </c>
      <c r="S19" s="130">
        <f t="shared" si="10"/>
        <v>288.24295423247514</v>
      </c>
      <c r="T19" s="130">
        <f t="shared" si="10"/>
        <v>285.03079456552598</v>
      </c>
      <c r="U19" s="130">
        <f t="shared" si="10"/>
        <v>286.34218368641723</v>
      </c>
      <c r="V19" s="130">
        <f t="shared" si="10"/>
        <v>270.93264091856207</v>
      </c>
      <c r="W19" s="130">
        <f t="shared" si="10"/>
        <v>272.19710914261549</v>
      </c>
      <c r="X19" s="130">
        <f t="shared" ref="X19:Y19" si="11">SUM(X20:X27)</f>
        <v>264.44924464903391</v>
      </c>
      <c r="Y19" s="130">
        <f t="shared" si="11"/>
        <v>267.36268831654121</v>
      </c>
      <c r="DA19" s="155" t="s">
        <v>216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289</v>
      </c>
    </row>
    <row r="22" spans="1:105" ht="12" customHeight="1" x14ac:dyDescent="0.25">
      <c r="A22" s="131" t="s">
        <v>161</v>
      </c>
      <c r="B22" s="132">
        <v>0</v>
      </c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0</v>
      </c>
      <c r="Y22" s="132">
        <v>0</v>
      </c>
      <c r="DA22" s="156" t="s">
        <v>290</v>
      </c>
    </row>
    <row r="23" spans="1:105" ht="12" customHeight="1" x14ac:dyDescent="0.25">
      <c r="A23" s="131" t="s">
        <v>149</v>
      </c>
      <c r="B23" s="132">
        <v>85.292653476475081</v>
      </c>
      <c r="C23" s="132">
        <v>85.470185935123808</v>
      </c>
      <c r="D23" s="132">
        <v>88.638690159146407</v>
      </c>
      <c r="E23" s="132">
        <v>89.769379056134838</v>
      </c>
      <c r="F23" s="132">
        <v>90.976003511386878</v>
      </c>
      <c r="G23" s="132">
        <v>96.30413092559526</v>
      </c>
      <c r="H23" s="132">
        <v>101.93539542089226</v>
      </c>
      <c r="I23" s="132">
        <v>106.70486217107154</v>
      </c>
      <c r="J23" s="132">
        <v>113.18590684850626</v>
      </c>
      <c r="K23" s="132">
        <v>136.38976888045019</v>
      </c>
      <c r="L23" s="132">
        <v>129.35278297581718</v>
      </c>
      <c r="M23" s="132">
        <v>130.60051086218439</v>
      </c>
      <c r="N23" s="132">
        <v>132.19610149647875</v>
      </c>
      <c r="O23" s="132">
        <v>133.0067332932654</v>
      </c>
      <c r="P23" s="132">
        <v>133.41729109765797</v>
      </c>
      <c r="Q23" s="132">
        <v>134.65528057308495</v>
      </c>
      <c r="R23" s="132">
        <v>135.85763225748371</v>
      </c>
      <c r="S23" s="132">
        <v>145.51415039649549</v>
      </c>
      <c r="T23" s="132">
        <v>132.1263061107976</v>
      </c>
      <c r="U23" s="132">
        <v>139.3663326064121</v>
      </c>
      <c r="V23" s="132">
        <v>128.71401836756775</v>
      </c>
      <c r="W23" s="132">
        <v>126.41645293665979</v>
      </c>
      <c r="X23" s="132">
        <v>113.0884580212374</v>
      </c>
      <c r="Y23" s="132">
        <v>100.88016945133985</v>
      </c>
      <c r="DA23" s="156" t="s">
        <v>291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292</v>
      </c>
    </row>
    <row r="25" spans="1:105" ht="12" customHeight="1" x14ac:dyDescent="0.25">
      <c r="A25" s="131" t="s">
        <v>162</v>
      </c>
      <c r="B25" s="132">
        <v>41.107376819313302</v>
      </c>
      <c r="C25" s="132">
        <v>41.418170329251062</v>
      </c>
      <c r="D25" s="132">
        <v>41.58210095462497</v>
      </c>
      <c r="E25" s="132">
        <v>42.59628994379711</v>
      </c>
      <c r="F25" s="132">
        <v>43.091444943375578</v>
      </c>
      <c r="G25" s="132">
        <v>42.407488222111219</v>
      </c>
      <c r="H25" s="132">
        <v>43.45298071137853</v>
      </c>
      <c r="I25" s="132">
        <v>43.068137816842139</v>
      </c>
      <c r="J25" s="132">
        <v>43.41588356230767</v>
      </c>
      <c r="K25" s="132">
        <v>43.393185926572293</v>
      </c>
      <c r="L25" s="132">
        <v>45.802152319067496</v>
      </c>
      <c r="M25" s="132">
        <v>49.53412221364534</v>
      </c>
      <c r="N25" s="132">
        <v>52.040277834905098</v>
      </c>
      <c r="O25" s="132">
        <v>56.329845656217415</v>
      </c>
      <c r="P25" s="132">
        <v>56.269042543754068</v>
      </c>
      <c r="Q25" s="132">
        <v>56.674753858325239</v>
      </c>
      <c r="R25" s="132">
        <v>59.92787326411937</v>
      </c>
      <c r="S25" s="132">
        <v>60.497872026590066</v>
      </c>
      <c r="T25" s="132">
        <v>62.354613975768466</v>
      </c>
      <c r="U25" s="132">
        <v>60.799312604152114</v>
      </c>
      <c r="V25" s="132">
        <v>60.26629849799918</v>
      </c>
      <c r="W25" s="132">
        <v>63.814000678970594</v>
      </c>
      <c r="X25" s="132">
        <v>59.456320848054439</v>
      </c>
      <c r="Y25" s="132">
        <v>56.160178482791792</v>
      </c>
      <c r="DA25" s="156" t="s">
        <v>293</v>
      </c>
    </row>
    <row r="26" spans="1:105" ht="12" customHeight="1" x14ac:dyDescent="0.25">
      <c r="A26" s="131" t="s">
        <v>24</v>
      </c>
      <c r="B26" s="65">
        <v>93.245001275497444</v>
      </c>
      <c r="C26" s="65">
        <v>92.9916691537925</v>
      </c>
      <c r="D26" s="65">
        <v>89.074779509172217</v>
      </c>
      <c r="E26" s="65">
        <v>86.591061621076264</v>
      </c>
      <c r="F26" s="65">
        <v>82.574849971725087</v>
      </c>
      <c r="G26" s="65">
        <v>83.163211224562588</v>
      </c>
      <c r="H26" s="65">
        <v>85.112855533456766</v>
      </c>
      <c r="I26" s="65">
        <v>88.074865064344706</v>
      </c>
      <c r="J26" s="65">
        <v>85.91208489338193</v>
      </c>
      <c r="K26" s="65">
        <v>75.857058376691967</v>
      </c>
      <c r="L26" s="65">
        <v>88.84891733745981</v>
      </c>
      <c r="M26" s="65">
        <v>87.505703034644171</v>
      </c>
      <c r="N26" s="65">
        <v>86.308144109565504</v>
      </c>
      <c r="O26" s="65">
        <v>81.0817486319512</v>
      </c>
      <c r="P26" s="65">
        <v>79.863290410061893</v>
      </c>
      <c r="Q26" s="65">
        <v>82.381839140368101</v>
      </c>
      <c r="R26" s="65">
        <v>83.556920967704258</v>
      </c>
      <c r="S26" s="65">
        <v>78.41149930723995</v>
      </c>
      <c r="T26" s="65">
        <v>86.624423060215278</v>
      </c>
      <c r="U26" s="65">
        <v>82.174130909215052</v>
      </c>
      <c r="V26" s="65">
        <v>77.829968077070816</v>
      </c>
      <c r="W26" s="65">
        <v>77.732519671439093</v>
      </c>
      <c r="X26" s="65">
        <v>87.522006622390421</v>
      </c>
      <c r="Y26" s="65">
        <v>105.78304545549641</v>
      </c>
      <c r="DA26" s="109" t="s">
        <v>294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0.35829750644883923</v>
      </c>
      <c r="F27" s="145">
        <v>0.47773000859845233</v>
      </c>
      <c r="G27" s="145">
        <v>0.59707652622527929</v>
      </c>
      <c r="H27" s="145">
        <v>0.71504729148753221</v>
      </c>
      <c r="I27" s="145">
        <v>0.90481513327600993</v>
      </c>
      <c r="J27" s="145">
        <v>1.193465176268272</v>
      </c>
      <c r="K27" s="145">
        <v>1.4304385210662083</v>
      </c>
      <c r="L27" s="145">
        <v>1.9008598452278602</v>
      </c>
      <c r="M27" s="145">
        <v>2.4035253654342226</v>
      </c>
      <c r="N27" s="145">
        <v>2.6874462596732567</v>
      </c>
      <c r="O27" s="145">
        <v>2.8658641444539965</v>
      </c>
      <c r="P27" s="145">
        <v>3.2504729148753211</v>
      </c>
      <c r="Q27" s="145">
        <v>3.4723989681857272</v>
      </c>
      <c r="R27" s="145">
        <v>3.668787618228718</v>
      </c>
      <c r="S27" s="145">
        <v>3.8194325021496125</v>
      </c>
      <c r="T27" s="145">
        <v>3.9254514187446241</v>
      </c>
      <c r="U27" s="145">
        <v>4.0024075666380092</v>
      </c>
      <c r="V27" s="145">
        <v>4.1223559759243358</v>
      </c>
      <c r="W27" s="145">
        <v>4.2341358555459987</v>
      </c>
      <c r="X27" s="145">
        <v>4.3824591573516765</v>
      </c>
      <c r="Y27" s="145">
        <v>4.5392949269131551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212.14251721473747</v>
      </c>
      <c r="C29" s="130">
        <f t="shared" si="12"/>
        <v>219.21531634284696</v>
      </c>
      <c r="D29" s="130">
        <f t="shared" si="12"/>
        <v>220.95883862462733</v>
      </c>
      <c r="E29" s="130">
        <f t="shared" si="12"/>
        <v>226.23934067429974</v>
      </c>
      <c r="F29" s="130">
        <f t="shared" si="12"/>
        <v>230.70338740652272</v>
      </c>
      <c r="G29" s="130">
        <f t="shared" si="12"/>
        <v>235.78099822332095</v>
      </c>
      <c r="H29" s="130">
        <f t="shared" si="12"/>
        <v>244.25524608612466</v>
      </c>
      <c r="I29" s="130">
        <f t="shared" si="12"/>
        <v>249.968988872967</v>
      </c>
      <c r="J29" s="130">
        <f t="shared" si="12"/>
        <v>258.14607470217948</v>
      </c>
      <c r="K29" s="130">
        <f t="shared" si="12"/>
        <v>269.30488086766968</v>
      </c>
      <c r="L29" s="130">
        <f t="shared" si="12"/>
        <v>278.7928967063221</v>
      </c>
      <c r="M29" s="130">
        <f t="shared" si="12"/>
        <v>286.17958046324014</v>
      </c>
      <c r="N29" s="130">
        <f t="shared" si="12"/>
        <v>289.50473468096288</v>
      </c>
      <c r="O29" s="130">
        <f t="shared" si="12"/>
        <v>294.59437417040124</v>
      </c>
      <c r="P29" s="130">
        <f t="shared" si="12"/>
        <v>298.21084674310049</v>
      </c>
      <c r="Q29" s="130">
        <f t="shared" si="12"/>
        <v>304.31018239602292</v>
      </c>
      <c r="R29" s="130">
        <f t="shared" ref="R29:W29" si="13">SUM(R30:R33)</f>
        <v>311.8516939553175</v>
      </c>
      <c r="S29" s="130">
        <f t="shared" si="13"/>
        <v>325.25027268885367</v>
      </c>
      <c r="T29" s="130">
        <f t="shared" si="13"/>
        <v>322.99873836415418</v>
      </c>
      <c r="U29" s="130">
        <f t="shared" si="13"/>
        <v>331.76105103017846</v>
      </c>
      <c r="V29" s="130">
        <f t="shared" si="13"/>
        <v>310.95176539766658</v>
      </c>
      <c r="W29" s="130">
        <f t="shared" si="13"/>
        <v>318.54813998738564</v>
      </c>
      <c r="X29" s="130">
        <f t="shared" ref="X29:Y29" si="14">SUM(X30:X33)</f>
        <v>313.6466338445141</v>
      </c>
      <c r="Y29" s="130">
        <f t="shared" si="14"/>
        <v>315.14446411182763</v>
      </c>
      <c r="DA29" s="155" t="s">
        <v>217</v>
      </c>
    </row>
    <row r="30" spans="1:105" ht="12" customHeight="1" x14ac:dyDescent="0.25">
      <c r="A30" s="131" t="s">
        <v>52</v>
      </c>
      <c r="B30" s="132">
        <v>0</v>
      </c>
      <c r="C30" s="132">
        <v>0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0</v>
      </c>
      <c r="L30" s="132">
        <v>0</v>
      </c>
      <c r="M30" s="132">
        <v>0</v>
      </c>
      <c r="N30" s="132">
        <v>0</v>
      </c>
      <c r="O30" s="132">
        <v>0</v>
      </c>
      <c r="P30" s="132">
        <v>0</v>
      </c>
      <c r="Q30" s="132">
        <v>0</v>
      </c>
      <c r="R30" s="132">
        <v>0</v>
      </c>
      <c r="S30" s="132">
        <v>0</v>
      </c>
      <c r="T30" s="132">
        <v>0</v>
      </c>
      <c r="U30" s="132">
        <v>0</v>
      </c>
      <c r="V30" s="132">
        <v>0</v>
      </c>
      <c r="W30" s="132">
        <v>0</v>
      </c>
      <c r="X30" s="132">
        <v>0</v>
      </c>
      <c r="Y30" s="132">
        <v>0</v>
      </c>
      <c r="DA30" s="156" t="s">
        <v>296</v>
      </c>
    </row>
    <row r="31" spans="1:105" ht="12" customHeight="1" x14ac:dyDescent="0.25">
      <c r="A31" s="131" t="s">
        <v>149</v>
      </c>
      <c r="B31" s="132">
        <v>107.90492533015217</v>
      </c>
      <c r="C31" s="132">
        <v>127.93486991611708</v>
      </c>
      <c r="D31" s="132">
        <v>128.7857744678181</v>
      </c>
      <c r="E31" s="132">
        <v>128.02092945922695</v>
      </c>
      <c r="F31" s="132">
        <v>132.02076343427325</v>
      </c>
      <c r="G31" s="132">
        <v>133.68992955005513</v>
      </c>
      <c r="H31" s="132">
        <v>134.54653053248435</v>
      </c>
      <c r="I31" s="132">
        <v>139.37051636441524</v>
      </c>
      <c r="J31" s="132">
        <v>145.55403008073407</v>
      </c>
      <c r="K31" s="132">
        <v>160.18635487914773</v>
      </c>
      <c r="L31" s="132">
        <v>158.68010295981972</v>
      </c>
      <c r="M31" s="132">
        <v>160.89279395906661</v>
      </c>
      <c r="N31" s="132">
        <v>161.14034663952819</v>
      </c>
      <c r="O31" s="132">
        <v>161.92878833323593</v>
      </c>
      <c r="P31" s="132">
        <v>163.88248001115431</v>
      </c>
      <c r="Q31" s="132">
        <v>164.08389350087162</v>
      </c>
      <c r="R31" s="132">
        <v>178.2207234428698</v>
      </c>
      <c r="S31" s="132">
        <v>205.25423599887759</v>
      </c>
      <c r="T31" s="132">
        <v>194.24700683395875</v>
      </c>
      <c r="U31" s="132">
        <v>209.76009299140682</v>
      </c>
      <c r="V31" s="132">
        <v>192.05742443595375</v>
      </c>
      <c r="W31" s="132">
        <v>188.9328286234971</v>
      </c>
      <c r="X31" s="132">
        <v>173.18962335557231</v>
      </c>
      <c r="Y31" s="132">
        <v>159.47166346938732</v>
      </c>
      <c r="DA31" s="156" t="s">
        <v>297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298</v>
      </c>
    </row>
    <row r="33" spans="1:105" ht="12" customHeight="1" x14ac:dyDescent="0.25">
      <c r="A33" s="62" t="s">
        <v>24</v>
      </c>
      <c r="B33" s="68">
        <v>104.2375918845853</v>
      </c>
      <c r="C33" s="68">
        <v>91.280446426729895</v>
      </c>
      <c r="D33" s="68">
        <v>92.173064156809232</v>
      </c>
      <c r="E33" s="68">
        <v>98.218411215072791</v>
      </c>
      <c r="F33" s="68">
        <v>98.682623972249488</v>
      </c>
      <c r="G33" s="68">
        <v>102.09106867326582</v>
      </c>
      <c r="H33" s="68">
        <v>109.70871555364032</v>
      </c>
      <c r="I33" s="68">
        <v>110.59847250855177</v>
      </c>
      <c r="J33" s="68">
        <v>112.59204462144544</v>
      </c>
      <c r="K33" s="68">
        <v>109.11852598852198</v>
      </c>
      <c r="L33" s="68">
        <v>120.11279374650239</v>
      </c>
      <c r="M33" s="68">
        <v>125.28678650417352</v>
      </c>
      <c r="N33" s="68">
        <v>128.36438804143469</v>
      </c>
      <c r="O33" s="68">
        <v>132.66558583716534</v>
      </c>
      <c r="P33" s="68">
        <v>134.32836673194618</v>
      </c>
      <c r="Q33" s="68">
        <v>140.22628889515127</v>
      </c>
      <c r="R33" s="68">
        <v>133.63097051244767</v>
      </c>
      <c r="S33" s="68">
        <v>119.99603668997609</v>
      </c>
      <c r="T33" s="68">
        <v>128.75173153019546</v>
      </c>
      <c r="U33" s="68">
        <v>122.00095803877163</v>
      </c>
      <c r="V33" s="68">
        <v>118.89434096171281</v>
      </c>
      <c r="W33" s="68">
        <v>129.61531136388857</v>
      </c>
      <c r="X33" s="68">
        <v>140.45701048894176</v>
      </c>
      <c r="Y33" s="68">
        <v>155.67280064244031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1843.9224347088789</v>
      </c>
      <c r="C3" s="125">
        <f t="shared" si="0"/>
        <v>1831.9852991820378</v>
      </c>
      <c r="D3" s="125">
        <f t="shared" si="0"/>
        <v>1732.0239828120043</v>
      </c>
      <c r="E3" s="125">
        <f t="shared" si="0"/>
        <v>1938.1007175708999</v>
      </c>
      <c r="F3" s="125">
        <f t="shared" si="0"/>
        <v>1838.4577161687066</v>
      </c>
      <c r="G3" s="125">
        <f t="shared" si="0"/>
        <v>1679.15294044027</v>
      </c>
      <c r="H3" s="125">
        <f t="shared" si="0"/>
        <v>1644.599241163914</v>
      </c>
      <c r="I3" s="125">
        <f t="shared" si="0"/>
        <v>1577.1807372089775</v>
      </c>
      <c r="J3" s="125">
        <f t="shared" si="0"/>
        <v>1700.7096254956887</v>
      </c>
      <c r="K3" s="125">
        <f t="shared" si="0"/>
        <v>1579.0321314938305</v>
      </c>
      <c r="L3" s="125">
        <f t="shared" si="0"/>
        <v>1777.772833039053</v>
      </c>
      <c r="M3" s="125">
        <f t="shared" si="0"/>
        <v>1721.5998959047281</v>
      </c>
      <c r="N3" s="125">
        <f t="shared" si="0"/>
        <v>1686.1976644048639</v>
      </c>
      <c r="O3" s="125">
        <f t="shared" si="0"/>
        <v>1685.5810446003811</v>
      </c>
      <c r="P3" s="125">
        <f t="shared" si="0"/>
        <v>1622.5164047945266</v>
      </c>
      <c r="Q3" s="125">
        <f t="shared" si="0"/>
        <v>1685.6173185720743</v>
      </c>
      <c r="R3" s="125">
        <f t="shared" ref="R3:W3" si="1">SUM(R4,R16,R19,R29)</f>
        <v>1743.4693227286675</v>
      </c>
      <c r="S3" s="125">
        <f t="shared" si="1"/>
        <v>1840.4664415864484</v>
      </c>
      <c r="T3" s="125">
        <f t="shared" si="1"/>
        <v>1832.4408290242429</v>
      </c>
      <c r="U3" s="125">
        <f t="shared" si="1"/>
        <v>1907.7932346736015</v>
      </c>
      <c r="V3" s="125">
        <f t="shared" si="1"/>
        <v>1812.9635657465396</v>
      </c>
      <c r="W3" s="125">
        <f t="shared" si="1"/>
        <v>1848.284569173115</v>
      </c>
      <c r="X3" s="125">
        <f t="shared" ref="X3:Y3" si="2">SUM(X4,X16,X19,X29)</f>
        <v>1815.4486341395891</v>
      </c>
      <c r="Y3" s="125">
        <f t="shared" si="2"/>
        <v>1696.575345007433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1548.8375963745625</v>
      </c>
      <c r="C4" s="130">
        <f t="shared" si="3"/>
        <v>1531.6315288869666</v>
      </c>
      <c r="D4" s="130">
        <f t="shared" si="3"/>
        <v>1422.9848292835654</v>
      </c>
      <c r="E4" s="130">
        <f t="shared" si="3"/>
        <v>1617.6838870964395</v>
      </c>
      <c r="F4" s="130">
        <f t="shared" si="3"/>
        <v>1512.421979810385</v>
      </c>
      <c r="G4" s="130">
        <f t="shared" si="3"/>
        <v>1334.6038671646184</v>
      </c>
      <c r="H4" s="130">
        <f t="shared" si="3"/>
        <v>1272.6126871161925</v>
      </c>
      <c r="I4" s="130">
        <f t="shared" si="3"/>
        <v>1184.0585545494691</v>
      </c>
      <c r="J4" s="130">
        <f t="shared" si="3"/>
        <v>1288.4498044226573</v>
      </c>
      <c r="K4" s="130">
        <f t="shared" si="3"/>
        <v>1145.8737398037897</v>
      </c>
      <c r="L4" s="130">
        <f t="shared" si="3"/>
        <v>1318.396355882765</v>
      </c>
      <c r="M4" s="130">
        <f t="shared" si="3"/>
        <v>1243.3483358115352</v>
      </c>
      <c r="N4" s="130">
        <f t="shared" si="3"/>
        <v>1194.696547115879</v>
      </c>
      <c r="O4" s="130">
        <f t="shared" si="3"/>
        <v>1178.0532386398258</v>
      </c>
      <c r="P4" s="130">
        <f t="shared" si="3"/>
        <v>1112.430176285623</v>
      </c>
      <c r="Q4" s="130">
        <f t="shared" si="3"/>
        <v>1135.0790818558771</v>
      </c>
      <c r="R4" s="130">
        <f t="shared" ref="R4:W4" si="4">SUM(R5:R15)</f>
        <v>1200.6890996185082</v>
      </c>
      <c r="S4" s="130">
        <f t="shared" si="4"/>
        <v>1277.9014309546455</v>
      </c>
      <c r="T4" s="130">
        <f t="shared" si="4"/>
        <v>1252.590783885182</v>
      </c>
      <c r="U4" s="130">
        <f t="shared" si="4"/>
        <v>1314.2892345374485</v>
      </c>
      <c r="V4" s="130">
        <f t="shared" si="4"/>
        <v>1249.7844932445003</v>
      </c>
      <c r="W4" s="130">
        <f t="shared" si="4"/>
        <v>1261.3602092994204</v>
      </c>
      <c r="X4" s="130">
        <f t="shared" ref="X4:Y4" si="5">SUM(X5:X15)</f>
        <v>1220.21169740304</v>
      </c>
      <c r="Y4" s="130">
        <f t="shared" si="5"/>
        <v>1085.5969839318427</v>
      </c>
      <c r="DA4" s="155" t="s">
        <v>302</v>
      </c>
    </row>
    <row r="5" spans="1:105" ht="12" customHeight="1" x14ac:dyDescent="0.25">
      <c r="A5" s="131" t="s">
        <v>29</v>
      </c>
      <c r="B5" s="132">
        <v>257.90652267155599</v>
      </c>
      <c r="C5" s="132">
        <v>113.71965078393107</v>
      </c>
      <c r="D5" s="132">
        <v>115.90363730441183</v>
      </c>
      <c r="E5" s="132">
        <v>231.49559749513602</v>
      </c>
      <c r="F5" s="132">
        <v>257.37477886092893</v>
      </c>
      <c r="G5" s="132">
        <v>44.621973389452684</v>
      </c>
      <c r="H5" s="132">
        <v>90.539300591829914</v>
      </c>
      <c r="I5" s="132">
        <v>30.571464032216536</v>
      </c>
      <c r="J5" s="132">
        <v>44.3735043383112</v>
      </c>
      <c r="K5" s="132">
        <v>14.734598257135648</v>
      </c>
      <c r="L5" s="132">
        <v>21.300673728232589</v>
      </c>
      <c r="M5" s="132">
        <v>18.528476856097683</v>
      </c>
      <c r="N5" s="132">
        <v>18.758280608215443</v>
      </c>
      <c r="O5" s="132">
        <v>20.712823066662043</v>
      </c>
      <c r="P5" s="132">
        <v>18.350453867974586</v>
      </c>
      <c r="Q5" s="132">
        <v>16.278900628792094</v>
      </c>
      <c r="R5" s="132">
        <v>20.980309929964278</v>
      </c>
      <c r="S5" s="132">
        <v>20.428067720941669</v>
      </c>
      <c r="T5" s="132">
        <v>14.331889332211798</v>
      </c>
      <c r="U5" s="132">
        <v>17.620850977536787</v>
      </c>
      <c r="V5" s="132">
        <v>13.569392238564223</v>
      </c>
      <c r="W5" s="132">
        <v>15.628786537074236</v>
      </c>
      <c r="X5" s="132">
        <v>15.602504305950777</v>
      </c>
      <c r="Y5" s="132">
        <v>7.3273052844674256</v>
      </c>
      <c r="DA5" s="156" t="s">
        <v>303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304</v>
      </c>
    </row>
    <row r="7" spans="1:105" ht="12" customHeight="1" x14ac:dyDescent="0.25">
      <c r="A7" s="131" t="s">
        <v>161</v>
      </c>
      <c r="B7" s="132">
        <v>2.6862163721970251</v>
      </c>
      <c r="C7" s="132">
        <v>1.3643131003621412</v>
      </c>
      <c r="D7" s="132">
        <v>6.1422350447999827</v>
      </c>
      <c r="E7" s="132">
        <v>5.7360825024632094</v>
      </c>
      <c r="F7" s="132">
        <v>7.6954329763402489</v>
      </c>
      <c r="G7" s="132">
        <v>5.7911400570173361</v>
      </c>
      <c r="H7" s="132">
        <v>7.3239219982839296</v>
      </c>
      <c r="I7" s="132">
        <v>7.4664214866889349</v>
      </c>
      <c r="J7" s="132">
        <v>7.9778269556643515</v>
      </c>
      <c r="K7" s="132">
        <v>5.9974631350731249</v>
      </c>
      <c r="L7" s="132">
        <v>8.0351975948085013</v>
      </c>
      <c r="M7" s="132">
        <v>6.1349255410400279</v>
      </c>
      <c r="N7" s="132">
        <v>10.22783129716859</v>
      </c>
      <c r="O7" s="132">
        <v>7.8359425176949511</v>
      </c>
      <c r="P7" s="132">
        <v>5.3298680559471387</v>
      </c>
      <c r="Q7" s="132">
        <v>11.685436862161087</v>
      </c>
      <c r="R7" s="132">
        <v>11.424121523829236</v>
      </c>
      <c r="S7" s="132">
        <v>11.573718519102544</v>
      </c>
      <c r="T7" s="132">
        <v>7.7636669402940619</v>
      </c>
      <c r="U7" s="132">
        <v>7.3557638348556971</v>
      </c>
      <c r="V7" s="132">
        <v>8.5887918966484573</v>
      </c>
      <c r="W7" s="132">
        <v>11.351938559993213</v>
      </c>
      <c r="X7" s="132">
        <v>9.0111104923641889</v>
      </c>
      <c r="Y7" s="132">
        <v>11.099404691420107</v>
      </c>
      <c r="DA7" s="156" t="s">
        <v>305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1.0441408853211088E-2</v>
      </c>
      <c r="H8" s="132">
        <v>2.9304314253927176E-2</v>
      </c>
      <c r="I8" s="132">
        <v>6.4875823050705897E-2</v>
      </c>
      <c r="J8" s="132">
        <v>0.11488444959819591</v>
      </c>
      <c r="K8" s="132">
        <v>0.15730538996214799</v>
      </c>
      <c r="L8" s="132">
        <v>0.19127592990315251</v>
      </c>
      <c r="M8" s="132">
        <v>0.28718533228649717</v>
      </c>
      <c r="N8" s="132">
        <v>0.43554576467277356</v>
      </c>
      <c r="O8" s="132">
        <v>0.80399102502314457</v>
      </c>
      <c r="P8" s="132">
        <v>1.2961555890718484</v>
      </c>
      <c r="Q8" s="132">
        <v>1.4879165211214587</v>
      </c>
      <c r="R8" s="132">
        <v>1.641188785897324</v>
      </c>
      <c r="S8" s="132">
        <v>1.752810848461132</v>
      </c>
      <c r="T8" s="132">
        <v>1.949693178523124</v>
      </c>
      <c r="U8" s="132">
        <v>2.3002555272584186</v>
      </c>
      <c r="V8" s="132">
        <v>2.6035092379318687</v>
      </c>
      <c r="W8" s="132">
        <v>3.0093574663529608</v>
      </c>
      <c r="X8" s="132">
        <v>3.2108881179265425</v>
      </c>
      <c r="Y8" s="132">
        <v>3.363756317380985</v>
      </c>
      <c r="DA8" s="156" t="s">
        <v>306</v>
      </c>
    </row>
    <row r="9" spans="1:105" ht="12" customHeight="1" x14ac:dyDescent="0.25">
      <c r="A9" s="131" t="s">
        <v>78</v>
      </c>
      <c r="B9" s="132">
        <v>462.17709645052042</v>
      </c>
      <c r="C9" s="132">
        <v>552.63080663477365</v>
      </c>
      <c r="D9" s="132">
        <v>515.42742088771035</v>
      </c>
      <c r="E9" s="132">
        <v>537.84307488797504</v>
      </c>
      <c r="F9" s="132">
        <v>533.61246266955982</v>
      </c>
      <c r="G9" s="132">
        <v>576.36104498746749</v>
      </c>
      <c r="H9" s="132">
        <v>558.32351867978389</v>
      </c>
      <c r="I9" s="132">
        <v>555.75384671381971</v>
      </c>
      <c r="J9" s="132">
        <v>628.85417616257996</v>
      </c>
      <c r="K9" s="132">
        <v>541.63359732185586</v>
      </c>
      <c r="L9" s="132">
        <v>578.81169702179523</v>
      </c>
      <c r="M9" s="132">
        <v>561.28649159335089</v>
      </c>
      <c r="N9" s="132">
        <v>521.2166826610445</v>
      </c>
      <c r="O9" s="132">
        <v>497.39335190457768</v>
      </c>
      <c r="P9" s="132">
        <v>484.61182580385611</v>
      </c>
      <c r="Q9" s="132">
        <v>492.35160312722735</v>
      </c>
      <c r="R9" s="132">
        <v>507.2860130100994</v>
      </c>
      <c r="S9" s="132">
        <v>553.83121391297777</v>
      </c>
      <c r="T9" s="132">
        <v>514.314074821747</v>
      </c>
      <c r="U9" s="132">
        <v>555.81086905764721</v>
      </c>
      <c r="V9" s="132">
        <v>520.70991762532265</v>
      </c>
      <c r="W9" s="132">
        <v>498.75922891465973</v>
      </c>
      <c r="X9" s="132">
        <v>457.23608351435297</v>
      </c>
      <c r="Y9" s="132">
        <v>417.38944787414079</v>
      </c>
      <c r="DA9" s="156" t="s">
        <v>307</v>
      </c>
    </row>
    <row r="10" spans="1:105" ht="12" customHeight="1" x14ac:dyDescent="0.25">
      <c r="A10" s="131" t="s">
        <v>128</v>
      </c>
      <c r="B10" s="132">
        <v>5.7771629730082861</v>
      </c>
      <c r="C10" s="132">
        <v>11.206466813586434</v>
      </c>
      <c r="D10" s="132">
        <v>11.387813870277137</v>
      </c>
      <c r="E10" s="132">
        <v>16.279846788400423</v>
      </c>
      <c r="F10" s="132">
        <v>18.22664272792565</v>
      </c>
      <c r="G10" s="132">
        <v>20.67311503104272</v>
      </c>
      <c r="H10" s="132">
        <v>18.477905319631294</v>
      </c>
      <c r="I10" s="132">
        <v>26.538145543407172</v>
      </c>
      <c r="J10" s="132">
        <v>21.396796279030717</v>
      </c>
      <c r="K10" s="132">
        <v>19.307400942302699</v>
      </c>
      <c r="L10" s="132">
        <v>27.463486222056293</v>
      </c>
      <c r="M10" s="132">
        <v>28.889462750436227</v>
      </c>
      <c r="N10" s="132">
        <v>30.264493770063808</v>
      </c>
      <c r="O10" s="132">
        <v>34.032999029784726</v>
      </c>
      <c r="P10" s="132">
        <v>33.663821663472291</v>
      </c>
      <c r="Q10" s="132">
        <v>37.870446293996885</v>
      </c>
      <c r="R10" s="132">
        <v>35.558009310876734</v>
      </c>
      <c r="S10" s="132">
        <v>33.539258798226008</v>
      </c>
      <c r="T10" s="132">
        <v>34.529259594747096</v>
      </c>
      <c r="U10" s="132">
        <v>35.685446129572973</v>
      </c>
      <c r="V10" s="132">
        <v>33.684022563648902</v>
      </c>
      <c r="W10" s="132">
        <v>35.107462043693388</v>
      </c>
      <c r="X10" s="132">
        <v>33.626048725073225</v>
      </c>
      <c r="Y10" s="132">
        <v>28.396523646881437</v>
      </c>
      <c r="DA10" s="156" t="s">
        <v>308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309</v>
      </c>
    </row>
    <row r="12" spans="1:105" ht="12" customHeight="1" x14ac:dyDescent="0.25">
      <c r="A12" s="131" t="s">
        <v>162</v>
      </c>
      <c r="B12" s="132">
        <v>430.29202469581048</v>
      </c>
      <c r="C12" s="132">
        <v>458.81434427927661</v>
      </c>
      <c r="D12" s="132">
        <v>417.55997464969778</v>
      </c>
      <c r="E12" s="132">
        <v>414.6236403561274</v>
      </c>
      <c r="F12" s="132">
        <v>433.71602941752809</v>
      </c>
      <c r="G12" s="132">
        <v>430.29670318732576</v>
      </c>
      <c r="H12" s="132">
        <v>338.25013977655323</v>
      </c>
      <c r="I12" s="132">
        <v>300.10044482338589</v>
      </c>
      <c r="J12" s="132">
        <v>301.54100875930777</v>
      </c>
      <c r="K12" s="132">
        <v>291.28375575870621</v>
      </c>
      <c r="L12" s="132">
        <v>387.39708194084272</v>
      </c>
      <c r="M12" s="132">
        <v>362.4034310904658</v>
      </c>
      <c r="N12" s="132">
        <v>352.21381850330295</v>
      </c>
      <c r="O12" s="132">
        <v>337.29283114078544</v>
      </c>
      <c r="P12" s="132">
        <v>317.599380126531</v>
      </c>
      <c r="Q12" s="132">
        <v>323.28115955531075</v>
      </c>
      <c r="R12" s="132">
        <v>337.86662071126722</v>
      </c>
      <c r="S12" s="132">
        <v>342.59772014912971</v>
      </c>
      <c r="T12" s="132">
        <v>347.03838518165503</v>
      </c>
      <c r="U12" s="132">
        <v>334.57379003614398</v>
      </c>
      <c r="V12" s="132">
        <v>322.12189214005213</v>
      </c>
      <c r="W12" s="132">
        <v>348.62961791757783</v>
      </c>
      <c r="X12" s="132">
        <v>341.14607348659655</v>
      </c>
      <c r="Y12" s="132">
        <v>325.79249294938734</v>
      </c>
      <c r="DA12" s="156" t="s">
        <v>310</v>
      </c>
    </row>
    <row r="13" spans="1:105" ht="12" customHeight="1" x14ac:dyDescent="0.25">
      <c r="A13" s="131" t="s">
        <v>77</v>
      </c>
      <c r="B13" s="132">
        <v>0.43480465607049684</v>
      </c>
      <c r="C13" s="132">
        <v>0.75112222360356229</v>
      </c>
      <c r="D13" s="132">
        <v>1.4389310110620954</v>
      </c>
      <c r="E13" s="132">
        <v>2.0272041469528768</v>
      </c>
      <c r="F13" s="132">
        <v>2.6337055922973152</v>
      </c>
      <c r="G13" s="132">
        <v>3.1054683037621937</v>
      </c>
      <c r="H13" s="132">
        <v>4.0225181430140218</v>
      </c>
      <c r="I13" s="132">
        <v>5.0859585668246536</v>
      </c>
      <c r="J13" s="132">
        <v>6.0871494748320183</v>
      </c>
      <c r="K13" s="132">
        <v>7.3969940400020961</v>
      </c>
      <c r="L13" s="132">
        <v>8.8894343510935769</v>
      </c>
      <c r="M13" s="132">
        <v>10.394928441805765</v>
      </c>
      <c r="N13" s="132">
        <v>11.961833541662168</v>
      </c>
      <c r="O13" s="132">
        <v>13.242617663828279</v>
      </c>
      <c r="P13" s="132">
        <v>14.317154716209021</v>
      </c>
      <c r="Q13" s="132">
        <v>15.905315519065347</v>
      </c>
      <c r="R13" s="132">
        <v>18.067114252390038</v>
      </c>
      <c r="S13" s="132">
        <v>20.733713329844417</v>
      </c>
      <c r="T13" s="132">
        <v>23.825767235663651</v>
      </c>
      <c r="U13" s="132">
        <v>27.287531658824857</v>
      </c>
      <c r="V13" s="132">
        <v>30.76822822637584</v>
      </c>
      <c r="W13" s="132">
        <v>34.790164002013128</v>
      </c>
      <c r="X13" s="132">
        <v>50.078655450036443</v>
      </c>
      <c r="Y13" s="132">
        <v>59.828909071678893</v>
      </c>
      <c r="DA13" s="156" t="s">
        <v>311</v>
      </c>
    </row>
    <row r="14" spans="1:105" ht="12" customHeight="1" x14ac:dyDescent="0.25">
      <c r="A14" s="60" t="s">
        <v>76</v>
      </c>
      <c r="B14" s="65">
        <v>375.4782053190205</v>
      </c>
      <c r="C14" s="65">
        <v>378.8256261820909</v>
      </c>
      <c r="D14" s="65">
        <v>341.88702155472868</v>
      </c>
      <c r="E14" s="65">
        <v>395.15455508453243</v>
      </c>
      <c r="F14" s="65">
        <v>244.59461064433717</v>
      </c>
      <c r="G14" s="65">
        <v>240.60641167756719</v>
      </c>
      <c r="H14" s="65">
        <v>243.03304624785949</v>
      </c>
      <c r="I14" s="65">
        <v>246.72062920033855</v>
      </c>
      <c r="J14" s="65">
        <v>265.14964397747502</v>
      </c>
      <c r="K14" s="65">
        <v>254.42210030451707</v>
      </c>
      <c r="L14" s="65">
        <v>274.30019963288049</v>
      </c>
      <c r="M14" s="65">
        <v>243.98901716469916</v>
      </c>
      <c r="N14" s="65">
        <v>238.92320524194696</v>
      </c>
      <c r="O14" s="65">
        <v>256.583880378385</v>
      </c>
      <c r="P14" s="65">
        <v>227.537944063943</v>
      </c>
      <c r="Q14" s="65">
        <v>226.29300555984102</v>
      </c>
      <c r="R14" s="65">
        <v>257.68475403691838</v>
      </c>
      <c r="S14" s="65">
        <v>282.56720047485385</v>
      </c>
      <c r="T14" s="65">
        <v>298.71769162032217</v>
      </c>
      <c r="U14" s="65">
        <v>322.92310147622203</v>
      </c>
      <c r="V14" s="65">
        <v>307.66351059293004</v>
      </c>
      <c r="W14" s="65">
        <v>304.18790470099918</v>
      </c>
      <c r="X14" s="65">
        <v>301.14188882959377</v>
      </c>
      <c r="Y14" s="65">
        <v>223.99834463631109</v>
      </c>
      <c r="DA14" s="109" t="s">
        <v>312</v>
      </c>
    </row>
    <row r="15" spans="1:105" ht="12" customHeight="1" x14ac:dyDescent="0.25">
      <c r="A15" s="133" t="s">
        <v>80</v>
      </c>
      <c r="B15" s="134">
        <v>14.085563236379045</v>
      </c>
      <c r="C15" s="134">
        <v>14.319198869342404</v>
      </c>
      <c r="D15" s="134">
        <v>13.237794960877629</v>
      </c>
      <c r="E15" s="134">
        <v>14.523885834852114</v>
      </c>
      <c r="F15" s="134">
        <v>14.568316921467781</v>
      </c>
      <c r="G15" s="134">
        <v>13.137569122129882</v>
      </c>
      <c r="H15" s="134">
        <v>12.613032044982898</v>
      </c>
      <c r="I15" s="134">
        <v>11.756768359737153</v>
      </c>
      <c r="J15" s="134">
        <v>12.954814025858202</v>
      </c>
      <c r="K15" s="134">
        <v>10.940524654234874</v>
      </c>
      <c r="L15" s="134">
        <v>12.007309461152349</v>
      </c>
      <c r="M15" s="134">
        <v>11.434417041353148</v>
      </c>
      <c r="N15" s="134">
        <v>10.694855727801814</v>
      </c>
      <c r="O15" s="134">
        <v>10.154801913084555</v>
      </c>
      <c r="P15" s="134">
        <v>9.7235723986179146</v>
      </c>
      <c r="Q15" s="134">
        <v>9.9252977883612505</v>
      </c>
      <c r="R15" s="134">
        <v>10.180968057265556</v>
      </c>
      <c r="S15" s="134">
        <v>10.877727201108407</v>
      </c>
      <c r="T15" s="134">
        <v>10.120355980018038</v>
      </c>
      <c r="U15" s="134">
        <v>10.731625839386432</v>
      </c>
      <c r="V15" s="134">
        <v>10.075228723025944</v>
      </c>
      <c r="W15" s="134">
        <v>9.8957491570566294</v>
      </c>
      <c r="X15" s="134">
        <v>9.1584444811454873</v>
      </c>
      <c r="Y15" s="134">
        <v>8.400799460174504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22.196922869030331</v>
      </c>
      <c r="C16" s="130">
        <f t="shared" si="6"/>
        <v>24.629048212398956</v>
      </c>
      <c r="D16" s="130">
        <f t="shared" si="6"/>
        <v>31.848297363691007</v>
      </c>
      <c r="E16" s="130">
        <f t="shared" si="6"/>
        <v>37.816773910080315</v>
      </c>
      <c r="F16" s="130">
        <f t="shared" si="6"/>
        <v>40.923673685340901</v>
      </c>
      <c r="G16" s="130">
        <f t="shared" si="6"/>
        <v>51.64771113966026</v>
      </c>
      <c r="H16" s="130">
        <f t="shared" si="6"/>
        <v>66.015710336817762</v>
      </c>
      <c r="I16" s="130">
        <f t="shared" si="6"/>
        <v>77.592356955998426</v>
      </c>
      <c r="J16" s="130">
        <f t="shared" si="6"/>
        <v>87.15938482036691</v>
      </c>
      <c r="K16" s="130">
        <f t="shared" si="6"/>
        <v>93.832813526796485</v>
      </c>
      <c r="L16" s="130">
        <f t="shared" si="6"/>
        <v>103.82852015442681</v>
      </c>
      <c r="M16" s="130">
        <f t="shared" si="6"/>
        <v>112.15926886375323</v>
      </c>
      <c r="N16" s="130">
        <f t="shared" si="6"/>
        <v>118.12553792310044</v>
      </c>
      <c r="O16" s="130">
        <f t="shared" si="6"/>
        <v>127.03780932111194</v>
      </c>
      <c r="P16" s="130">
        <f t="shared" si="6"/>
        <v>125.60405800004303</v>
      </c>
      <c r="Q16" s="130">
        <f t="shared" si="6"/>
        <v>155.44391454045783</v>
      </c>
      <c r="R16" s="130">
        <f t="shared" ref="R16:W16" si="7">SUM(R17:R18)</f>
        <v>136.79247546639675</v>
      </c>
      <c r="S16" s="130">
        <f t="shared" si="7"/>
        <v>143.41743053564792</v>
      </c>
      <c r="T16" s="130">
        <f t="shared" si="7"/>
        <v>156.41598434768332</v>
      </c>
      <c r="U16" s="130">
        <f t="shared" si="7"/>
        <v>160.08381120591156</v>
      </c>
      <c r="V16" s="130">
        <f t="shared" si="7"/>
        <v>148.01826125474875</v>
      </c>
      <c r="W16" s="130">
        <f t="shared" si="7"/>
        <v>157.52947981363258</v>
      </c>
      <c r="X16" s="130">
        <f t="shared" ref="X16:Y16" si="8">SUM(X17:X18)</f>
        <v>165.67632333757754</v>
      </c>
      <c r="Y16" s="130">
        <f t="shared" si="8"/>
        <v>167.55067933160865</v>
      </c>
      <c r="DA16" s="155" t="s">
        <v>314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5.2151086067779504E-2</v>
      </c>
      <c r="H17" s="132">
        <v>6.7894493990606569E-2</v>
      </c>
      <c r="I17" s="132">
        <v>9.6712770849689822E-2</v>
      </c>
      <c r="J17" s="132">
        <v>0.10037433361701846</v>
      </c>
      <c r="K17" s="132">
        <v>0.13165508442899204</v>
      </c>
      <c r="L17" s="132">
        <v>0.13565606831247873</v>
      </c>
      <c r="M17" s="132">
        <v>0.14557563390920869</v>
      </c>
      <c r="N17" s="132">
        <v>0.15385941056058713</v>
      </c>
      <c r="O17" s="132">
        <v>0.19480416447584994</v>
      </c>
      <c r="P17" s="132">
        <v>0.27902050499166126</v>
      </c>
      <c r="Q17" s="132">
        <v>0.53128247748392987</v>
      </c>
      <c r="R17" s="132">
        <v>0.53879466926538355</v>
      </c>
      <c r="S17" s="132">
        <v>0.66593707738227348</v>
      </c>
      <c r="T17" s="132">
        <v>0.85977843686241573</v>
      </c>
      <c r="U17" s="132">
        <v>0.88352955069795069</v>
      </c>
      <c r="V17" s="132">
        <v>0.97354503512417934</v>
      </c>
      <c r="W17" s="132">
        <v>1.0480507429787351</v>
      </c>
      <c r="X17" s="132">
        <v>1.1094398935729068</v>
      </c>
      <c r="Y17" s="132">
        <v>1.1643989807854618</v>
      </c>
      <c r="DA17" s="156" t="s">
        <v>315</v>
      </c>
    </row>
    <row r="18" spans="1:105" ht="12" customHeight="1" x14ac:dyDescent="0.25">
      <c r="A18" s="131" t="s">
        <v>72</v>
      </c>
      <c r="B18" s="132">
        <v>22.196922869030331</v>
      </c>
      <c r="C18" s="132">
        <v>24.629048212398956</v>
      </c>
      <c r="D18" s="132">
        <v>31.848297363691007</v>
      </c>
      <c r="E18" s="132">
        <v>37.816773910080315</v>
      </c>
      <c r="F18" s="132">
        <v>40.923673685340901</v>
      </c>
      <c r="G18" s="132">
        <v>51.595560053592479</v>
      </c>
      <c r="H18" s="132">
        <v>65.947815842827154</v>
      </c>
      <c r="I18" s="132">
        <v>77.495644185148734</v>
      </c>
      <c r="J18" s="132">
        <v>87.059010486749898</v>
      </c>
      <c r="K18" s="132">
        <v>93.7011584423675</v>
      </c>
      <c r="L18" s="132">
        <v>103.69286408611433</v>
      </c>
      <c r="M18" s="132">
        <v>112.01369322984402</v>
      </c>
      <c r="N18" s="132">
        <v>117.97167851253985</v>
      </c>
      <c r="O18" s="132">
        <v>126.84300515663608</v>
      </c>
      <c r="P18" s="132">
        <v>125.32503749505136</v>
      </c>
      <c r="Q18" s="132">
        <v>154.9126320629739</v>
      </c>
      <c r="R18" s="132">
        <v>136.25368079713138</v>
      </c>
      <c r="S18" s="132">
        <v>142.75149345826566</v>
      </c>
      <c r="T18" s="132">
        <v>155.55620591082089</v>
      </c>
      <c r="U18" s="132">
        <v>159.20028165521362</v>
      </c>
      <c r="V18" s="132">
        <v>147.04471621962458</v>
      </c>
      <c r="W18" s="132">
        <v>156.48142907065383</v>
      </c>
      <c r="X18" s="132">
        <v>164.56688344400465</v>
      </c>
      <c r="Y18" s="132">
        <v>166.3862803508232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131.71378602614243</v>
      </c>
      <c r="C19" s="130">
        <f t="shared" si="9"/>
        <v>132.53384668214096</v>
      </c>
      <c r="D19" s="130">
        <f t="shared" si="9"/>
        <v>132.58924464820342</v>
      </c>
      <c r="E19" s="130">
        <f t="shared" si="9"/>
        <v>133.57564186599441</v>
      </c>
      <c r="F19" s="130">
        <f t="shared" si="9"/>
        <v>133.10432342782983</v>
      </c>
      <c r="G19" s="130">
        <f t="shared" si="9"/>
        <v>136.97667164411777</v>
      </c>
      <c r="H19" s="130">
        <f t="shared" si="9"/>
        <v>143.34458428860049</v>
      </c>
      <c r="I19" s="130">
        <f t="shared" si="9"/>
        <v>149.02054921816622</v>
      </c>
      <c r="J19" s="130">
        <f t="shared" si="9"/>
        <v>153.04337104579753</v>
      </c>
      <c r="K19" s="130">
        <f t="shared" si="9"/>
        <v>160.97627507809818</v>
      </c>
      <c r="L19" s="130">
        <f t="shared" si="9"/>
        <v>169.2338933163457</v>
      </c>
      <c r="M19" s="130">
        <f t="shared" si="9"/>
        <v>174.30843115114129</v>
      </c>
      <c r="N19" s="130">
        <f t="shared" si="9"/>
        <v>178.82765233156275</v>
      </c>
      <c r="O19" s="130">
        <f t="shared" si="9"/>
        <v>181.77993941509553</v>
      </c>
      <c r="P19" s="130">
        <f t="shared" si="9"/>
        <v>182.87441191663231</v>
      </c>
      <c r="Q19" s="130">
        <f t="shared" si="9"/>
        <v>188.14210720613647</v>
      </c>
      <c r="R19" s="130">
        <f t="shared" ref="R19:W19" si="10">SUM(R20:R27)</f>
        <v>195.12875270816136</v>
      </c>
      <c r="S19" s="130">
        <f t="shared" si="10"/>
        <v>202.01777587031049</v>
      </c>
      <c r="T19" s="130">
        <f t="shared" si="10"/>
        <v>204.45537949824552</v>
      </c>
      <c r="U19" s="130">
        <f t="shared" si="10"/>
        <v>208.9582982594481</v>
      </c>
      <c r="V19" s="130">
        <f t="shared" si="10"/>
        <v>202.09427751778958</v>
      </c>
      <c r="W19" s="130">
        <f t="shared" si="10"/>
        <v>207.59238620971507</v>
      </c>
      <c r="X19" s="130">
        <f t="shared" ref="X19:Y19" si="11">SUM(X20:X27)</f>
        <v>206.30793074980588</v>
      </c>
      <c r="Y19" s="130">
        <f t="shared" si="11"/>
        <v>213.71259192652414</v>
      </c>
      <c r="DA19" s="155" t="s">
        <v>317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319</v>
      </c>
    </row>
    <row r="22" spans="1:105" ht="12" customHeight="1" x14ac:dyDescent="0.25">
      <c r="A22" s="131" t="s">
        <v>161</v>
      </c>
      <c r="B22" s="132">
        <v>0</v>
      </c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0</v>
      </c>
      <c r="Y22" s="132">
        <v>0</v>
      </c>
      <c r="DA22" s="156" t="s">
        <v>320</v>
      </c>
    </row>
    <row r="23" spans="1:105" ht="12" customHeight="1" x14ac:dyDescent="0.25">
      <c r="A23" s="131" t="s">
        <v>149</v>
      </c>
      <c r="B23" s="132">
        <v>42.821256722357901</v>
      </c>
      <c r="C23" s="132">
        <v>43.316718706183387</v>
      </c>
      <c r="D23" s="132">
        <v>45.470207688343365</v>
      </c>
      <c r="E23" s="132">
        <v>46.630578294910578</v>
      </c>
      <c r="F23" s="132">
        <v>47.90833191984558</v>
      </c>
      <c r="G23" s="132">
        <v>51.453805583033585</v>
      </c>
      <c r="H23" s="132">
        <v>55.289559473968687</v>
      </c>
      <c r="I23" s="132">
        <v>58.824229050336761</v>
      </c>
      <c r="J23" s="132">
        <v>63.278239363058361</v>
      </c>
      <c r="K23" s="132">
        <v>77.158210724728946</v>
      </c>
      <c r="L23" s="132">
        <v>74.131624525584542</v>
      </c>
      <c r="M23" s="132">
        <v>75.972953128855849</v>
      </c>
      <c r="N23" s="132">
        <v>78.124977379343235</v>
      </c>
      <c r="O23" s="132">
        <v>80.038713903957756</v>
      </c>
      <c r="P23" s="132">
        <v>81.214767610379283</v>
      </c>
      <c r="Q23" s="132">
        <v>83.515493394584993</v>
      </c>
      <c r="R23" s="132">
        <v>85.830419769170533</v>
      </c>
      <c r="S23" s="132">
        <v>94.387634070039823</v>
      </c>
      <c r="T23" s="132">
        <v>87.714802019178663</v>
      </c>
      <c r="U23" s="132">
        <v>94.99834647360862</v>
      </c>
      <c r="V23" s="132">
        <v>89.784105352024156</v>
      </c>
      <c r="W23" s="132">
        <v>90.053966353256612</v>
      </c>
      <c r="X23" s="132">
        <v>81.98884155418348</v>
      </c>
      <c r="Y23" s="132">
        <v>74.330076292754754</v>
      </c>
      <c r="DA23" s="156" t="s">
        <v>321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322</v>
      </c>
    </row>
    <row r="25" spans="1:105" ht="12" customHeight="1" x14ac:dyDescent="0.25">
      <c r="A25" s="131" t="s">
        <v>162</v>
      </c>
      <c r="B25" s="132">
        <v>30.797011601539527</v>
      </c>
      <c r="C25" s="132">
        <v>31.120714531852045</v>
      </c>
      <c r="D25" s="132">
        <v>31.355046706565719</v>
      </c>
      <c r="E25" s="132">
        <v>32.238377973741734</v>
      </c>
      <c r="F25" s="132">
        <v>32.735298315831628</v>
      </c>
      <c r="G25" s="132">
        <v>32.327968803509677</v>
      </c>
      <c r="H25" s="132">
        <v>33.24360757431581</v>
      </c>
      <c r="I25" s="132">
        <v>33.060953113382936</v>
      </c>
      <c r="J25" s="132">
        <v>33.449146399760714</v>
      </c>
      <c r="K25" s="132">
        <v>33.560618085089629</v>
      </c>
      <c r="L25" s="132">
        <v>35.602546737707186</v>
      </c>
      <c r="M25" s="132">
        <v>38.740045961326672</v>
      </c>
      <c r="N25" s="132">
        <v>40.979756760255412</v>
      </c>
      <c r="O25" s="132">
        <v>44.654686541884573</v>
      </c>
      <c r="P25" s="132">
        <v>44.731523327585428</v>
      </c>
      <c r="Q25" s="132">
        <v>45.213222047837746</v>
      </c>
      <c r="R25" s="132">
        <v>48.030978693150921</v>
      </c>
      <c r="S25" s="132">
        <v>48.754864858903829</v>
      </c>
      <c r="T25" s="132">
        <v>50.555572147484881</v>
      </c>
      <c r="U25" s="132">
        <v>49.580622534639033</v>
      </c>
      <c r="V25" s="132">
        <v>49.449114409487734</v>
      </c>
      <c r="W25" s="132">
        <v>52.652310854540652</v>
      </c>
      <c r="X25" s="132">
        <v>49.291569949058236</v>
      </c>
      <c r="Y25" s="132">
        <v>46.735902615448168</v>
      </c>
      <c r="DA25" s="156" t="s">
        <v>323</v>
      </c>
    </row>
    <row r="26" spans="1:105" ht="12" customHeight="1" x14ac:dyDescent="0.25">
      <c r="A26" s="131" t="s">
        <v>24</v>
      </c>
      <c r="B26" s="65">
        <v>58.095517702245012</v>
      </c>
      <c r="C26" s="65">
        <v>58.096413444105536</v>
      </c>
      <c r="D26" s="65">
        <v>55.763990253294352</v>
      </c>
      <c r="E26" s="65">
        <v>54.348388090893266</v>
      </c>
      <c r="F26" s="65">
        <v>51.982963183554148</v>
      </c>
      <c r="G26" s="65">
        <v>52.597820731349238</v>
      </c>
      <c r="H26" s="65">
        <v>54.09636994882846</v>
      </c>
      <c r="I26" s="65">
        <v>56.23055192117053</v>
      </c>
      <c r="J26" s="65">
        <v>55.122520106710191</v>
      </c>
      <c r="K26" s="65">
        <v>48.827007747213386</v>
      </c>
      <c r="L26" s="65">
        <v>57.598862207826109</v>
      </c>
      <c r="M26" s="65">
        <v>57.191906695524523</v>
      </c>
      <c r="N26" s="65">
        <v>57.035471932290832</v>
      </c>
      <c r="O26" s="65">
        <v>54.22067482479919</v>
      </c>
      <c r="P26" s="65">
        <v>53.67764806379229</v>
      </c>
      <c r="Q26" s="65">
        <v>55.940992795527983</v>
      </c>
      <c r="R26" s="65">
        <v>57.598566627611184</v>
      </c>
      <c r="S26" s="65">
        <v>55.055844439217196</v>
      </c>
      <c r="T26" s="65">
        <v>62.259553912837355</v>
      </c>
      <c r="U26" s="65">
        <v>60.376921684562419</v>
      </c>
      <c r="V26" s="65">
        <v>58.73870178035336</v>
      </c>
      <c r="W26" s="65">
        <v>60.651973146371823</v>
      </c>
      <c r="X26" s="65">
        <v>70.645060089212478</v>
      </c>
      <c r="Y26" s="65">
        <v>88.107318091408061</v>
      </c>
      <c r="DA26" s="109" t="s">
        <v>324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0.35829750644883923</v>
      </c>
      <c r="F27" s="145">
        <v>0.47773000859845233</v>
      </c>
      <c r="G27" s="145">
        <v>0.59707652622527929</v>
      </c>
      <c r="H27" s="145">
        <v>0.71504729148753221</v>
      </c>
      <c r="I27" s="145">
        <v>0.90481513327600993</v>
      </c>
      <c r="J27" s="145">
        <v>1.193465176268272</v>
      </c>
      <c r="K27" s="145">
        <v>1.4304385210662083</v>
      </c>
      <c r="L27" s="145">
        <v>1.9008598452278602</v>
      </c>
      <c r="M27" s="145">
        <v>2.4035253654342226</v>
      </c>
      <c r="N27" s="145">
        <v>2.6874462596732567</v>
      </c>
      <c r="O27" s="145">
        <v>2.8658641444539965</v>
      </c>
      <c r="P27" s="145">
        <v>3.2504729148753211</v>
      </c>
      <c r="Q27" s="145">
        <v>3.4723989681857272</v>
      </c>
      <c r="R27" s="145">
        <v>3.668787618228718</v>
      </c>
      <c r="S27" s="145">
        <v>3.8194325021496125</v>
      </c>
      <c r="T27" s="145">
        <v>3.9254514187446241</v>
      </c>
      <c r="U27" s="145">
        <v>4.0024075666380092</v>
      </c>
      <c r="V27" s="145">
        <v>4.1223559759243358</v>
      </c>
      <c r="W27" s="145">
        <v>4.2341358555459987</v>
      </c>
      <c r="X27" s="145">
        <v>4.3824591573516765</v>
      </c>
      <c r="Y27" s="145">
        <v>4.5392949269131551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141.17412943914363</v>
      </c>
      <c r="C29" s="130">
        <f t="shared" si="12"/>
        <v>143.19087540053152</v>
      </c>
      <c r="D29" s="130">
        <f t="shared" si="12"/>
        <v>144.60161151654427</v>
      </c>
      <c r="E29" s="130">
        <f t="shared" si="12"/>
        <v>149.02441469838581</v>
      </c>
      <c r="F29" s="130">
        <f t="shared" si="12"/>
        <v>152.00773924515107</v>
      </c>
      <c r="G29" s="130">
        <f t="shared" si="12"/>
        <v>155.92469049187372</v>
      </c>
      <c r="H29" s="130">
        <f t="shared" si="12"/>
        <v>162.62625942230318</v>
      </c>
      <c r="I29" s="130">
        <f t="shared" si="12"/>
        <v>166.50927648534361</v>
      </c>
      <c r="J29" s="130">
        <f t="shared" si="12"/>
        <v>172.05706520686675</v>
      </c>
      <c r="K29" s="130">
        <f t="shared" si="12"/>
        <v>178.34930308514583</v>
      </c>
      <c r="L29" s="130">
        <f t="shared" si="12"/>
        <v>186.31406368551558</v>
      </c>
      <c r="M29" s="130">
        <f t="shared" si="12"/>
        <v>191.78386007829837</v>
      </c>
      <c r="N29" s="130">
        <f t="shared" si="12"/>
        <v>194.54792703432165</v>
      </c>
      <c r="O29" s="130">
        <f t="shared" si="12"/>
        <v>198.71005722434771</v>
      </c>
      <c r="P29" s="130">
        <f t="shared" si="12"/>
        <v>201.60775859222827</v>
      </c>
      <c r="Q29" s="130">
        <f t="shared" si="12"/>
        <v>206.95221496960284</v>
      </c>
      <c r="R29" s="130">
        <f t="shared" ref="R29:W29" si="13">SUM(R30:R33)</f>
        <v>210.85899493560123</v>
      </c>
      <c r="S29" s="130">
        <f t="shared" si="13"/>
        <v>217.12980422584434</v>
      </c>
      <c r="T29" s="130">
        <f t="shared" si="13"/>
        <v>218.97868129313196</v>
      </c>
      <c r="U29" s="130">
        <f t="shared" si="13"/>
        <v>224.46189067079339</v>
      </c>
      <c r="V29" s="130">
        <f t="shared" si="13"/>
        <v>213.0665337295012</v>
      </c>
      <c r="W29" s="130">
        <f t="shared" si="13"/>
        <v>221.80249385034685</v>
      </c>
      <c r="X29" s="130">
        <f t="shared" ref="X29:Y29" si="14">SUM(X30:X33)</f>
        <v>223.25268264916571</v>
      </c>
      <c r="Y29" s="130">
        <f t="shared" si="14"/>
        <v>229.71508981745762</v>
      </c>
      <c r="DA29" s="155" t="s">
        <v>326</v>
      </c>
    </row>
    <row r="30" spans="1:105" ht="12" customHeight="1" x14ac:dyDescent="0.25">
      <c r="A30" s="131" t="s">
        <v>52</v>
      </c>
      <c r="B30" s="132">
        <v>0</v>
      </c>
      <c r="C30" s="132">
        <v>0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0</v>
      </c>
      <c r="L30" s="132">
        <v>0</v>
      </c>
      <c r="M30" s="132">
        <v>0</v>
      </c>
      <c r="N30" s="132">
        <v>0</v>
      </c>
      <c r="O30" s="132">
        <v>0</v>
      </c>
      <c r="P30" s="132">
        <v>0</v>
      </c>
      <c r="Q30" s="132">
        <v>0</v>
      </c>
      <c r="R30" s="132">
        <v>0</v>
      </c>
      <c r="S30" s="132">
        <v>0</v>
      </c>
      <c r="T30" s="132">
        <v>0</v>
      </c>
      <c r="U30" s="132">
        <v>0</v>
      </c>
      <c r="V30" s="132">
        <v>0</v>
      </c>
      <c r="W30" s="132">
        <v>0</v>
      </c>
      <c r="X30" s="132">
        <v>0</v>
      </c>
      <c r="Y30" s="132">
        <v>0</v>
      </c>
      <c r="DA30" s="156" t="s">
        <v>327</v>
      </c>
    </row>
    <row r="31" spans="1:105" ht="12" customHeight="1" x14ac:dyDescent="0.25">
      <c r="A31" s="131" t="s">
        <v>149</v>
      </c>
      <c r="B31" s="132">
        <v>62.394383944953049</v>
      </c>
      <c r="C31" s="132">
        <v>74.080519773931755</v>
      </c>
      <c r="D31" s="132">
        <v>74.680887500313361</v>
      </c>
      <c r="E31" s="132">
        <v>74.347282742252943</v>
      </c>
      <c r="F31" s="132">
        <v>76.78334692344518</v>
      </c>
      <c r="G31" s="132">
        <v>77.890826288896875</v>
      </c>
      <c r="H31" s="132">
        <v>78.524596633643057</v>
      </c>
      <c r="I31" s="132">
        <v>81.491492700791554</v>
      </c>
      <c r="J31" s="132">
        <v>85.268875660135407</v>
      </c>
      <c r="K31" s="132">
        <v>94.011500957000166</v>
      </c>
      <c r="L31" s="132">
        <v>93.268149138071919</v>
      </c>
      <c r="M31" s="132">
        <v>94.615694684376734</v>
      </c>
      <c r="N31" s="132">
        <v>94.822270859513878</v>
      </c>
      <c r="O31" s="132">
        <v>95.369365135852718</v>
      </c>
      <c r="P31" s="132">
        <v>96.606037303649813</v>
      </c>
      <c r="Q31" s="132">
        <v>96.84491438477005</v>
      </c>
      <c r="R31" s="132">
        <v>105.43837665378841</v>
      </c>
      <c r="S31" s="132">
        <v>121.92607326468045</v>
      </c>
      <c r="T31" s="132">
        <v>115.88637299799699</v>
      </c>
      <c r="U31" s="132">
        <v>125.78654227245373</v>
      </c>
      <c r="V31" s="132">
        <v>115.65629521630302</v>
      </c>
      <c r="W31" s="132">
        <v>114.161108119075</v>
      </c>
      <c r="X31" s="132">
        <v>104.93740961282208</v>
      </c>
      <c r="Y31" s="132">
        <v>96.918579302263055</v>
      </c>
      <c r="DA31" s="156" t="s">
        <v>328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329</v>
      </c>
    </row>
    <row r="33" spans="1:105" ht="12" customHeight="1" x14ac:dyDescent="0.25">
      <c r="A33" s="62" t="s">
        <v>24</v>
      </c>
      <c r="B33" s="68">
        <v>78.779745494190578</v>
      </c>
      <c r="C33" s="68">
        <v>69.110355626599755</v>
      </c>
      <c r="D33" s="68">
        <v>69.92072401623092</v>
      </c>
      <c r="E33" s="68">
        <v>74.677131956132868</v>
      </c>
      <c r="F33" s="68">
        <v>75.224392321705906</v>
      </c>
      <c r="G33" s="68">
        <v>78.033864202976844</v>
      </c>
      <c r="H33" s="68">
        <v>84.101662788660107</v>
      </c>
      <c r="I33" s="68">
        <v>85.017783784552037</v>
      </c>
      <c r="J33" s="68">
        <v>86.788189546731331</v>
      </c>
      <c r="K33" s="68">
        <v>84.337802128145668</v>
      </c>
      <c r="L33" s="68">
        <v>93.045914547443644</v>
      </c>
      <c r="M33" s="68">
        <v>97.16816539392164</v>
      </c>
      <c r="N33" s="68">
        <v>99.725656174807767</v>
      </c>
      <c r="O33" s="68">
        <v>103.34069208849499</v>
      </c>
      <c r="P33" s="68">
        <v>105.00172128857844</v>
      </c>
      <c r="Q33" s="68">
        <v>110.10730058483279</v>
      </c>
      <c r="R33" s="68">
        <v>105.42061828181281</v>
      </c>
      <c r="S33" s="68">
        <v>95.203730961163885</v>
      </c>
      <c r="T33" s="68">
        <v>103.09230829513498</v>
      </c>
      <c r="U33" s="68">
        <v>98.675348398339665</v>
      </c>
      <c r="V33" s="68">
        <v>97.410238513198195</v>
      </c>
      <c r="W33" s="68">
        <v>107.64138573127185</v>
      </c>
      <c r="X33" s="68">
        <v>118.31527303634364</v>
      </c>
      <c r="Y33" s="68">
        <v>132.79651051519457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0.59604922809419647</v>
      </c>
      <c r="C3" s="126">
        <f>IF(SER_hh_tes!C3=0,"",SER_hh_tes!C3/SER_hh_fec!C3)</f>
        <v>0.60221218499703766</v>
      </c>
      <c r="D3" s="126">
        <f>IF(SER_hh_tes!D3=0,"",SER_hh_tes!D3/SER_hh_fec!D3)</f>
        <v>0.60642602615550678</v>
      </c>
      <c r="E3" s="126">
        <f>IF(SER_hh_tes!E3=0,"",SER_hh_tes!E3/SER_hh_fec!E3)</f>
        <v>0.60620260284311178</v>
      </c>
      <c r="F3" s="126">
        <f>IF(SER_hh_tes!F3=0,"",SER_hh_tes!F3/SER_hh_fec!F3)</f>
        <v>0.60769975094557394</v>
      </c>
      <c r="G3" s="126">
        <f>IF(SER_hh_tes!G3=0,"",SER_hh_tes!G3/SER_hh_fec!G3)</f>
        <v>0.62482795321876328</v>
      </c>
      <c r="H3" s="126">
        <f>IF(SER_hh_tes!H3=0,"",SER_hh_tes!H3/SER_hh_fec!H3)</f>
        <v>0.62724932547082757</v>
      </c>
      <c r="I3" s="126">
        <f>IF(SER_hh_tes!I3=0,"",SER_hh_tes!I3/SER_hh_fec!I3)</f>
        <v>0.63792685532659865</v>
      </c>
      <c r="J3" s="126">
        <f>IF(SER_hh_tes!J3=0,"",SER_hh_tes!J3/SER_hh_fec!J3)</f>
        <v>0.63972949844448557</v>
      </c>
      <c r="K3" s="126">
        <f>IF(SER_hh_tes!K3=0,"",SER_hh_tes!K3/SER_hh_fec!K3)</f>
        <v>0.65390220286344336</v>
      </c>
      <c r="L3" s="126">
        <f>IF(SER_hh_tes!L3=0,"",SER_hh_tes!L3/SER_hh_fec!L3)</f>
        <v>0.66428462074390493</v>
      </c>
      <c r="M3" s="126">
        <f>IF(SER_hh_tes!M3=0,"",SER_hh_tes!M3/SER_hh_fec!M3)</f>
        <v>0.67330040460193219</v>
      </c>
      <c r="N3" s="126">
        <f>IF(SER_hh_tes!N3=0,"",SER_hh_tes!N3/SER_hh_fec!N3)</f>
        <v>0.68570660209130085</v>
      </c>
      <c r="O3" s="126">
        <f>IF(SER_hh_tes!O3=0,"",SER_hh_tes!O3/SER_hh_fec!O3)</f>
        <v>0.69948182960360394</v>
      </c>
      <c r="P3" s="126">
        <f>IF(SER_hh_tes!P3=0,"",SER_hh_tes!P3/SER_hh_fec!P3)</f>
        <v>0.70495765376210928</v>
      </c>
      <c r="Q3" s="126">
        <f>IF(SER_hh_tes!Q3=0,"",SER_hh_tes!Q3/SER_hh_fec!Q3)</f>
        <v>0.72167427299000042</v>
      </c>
      <c r="R3" s="126">
        <f>IF(SER_hh_tes!R3=0,"",SER_hh_tes!R3/SER_hh_fec!R3)</f>
        <v>0.72316701720569587</v>
      </c>
      <c r="S3" s="126">
        <f>IF(SER_hh_tes!S3=0,"",SER_hh_tes!S3/SER_hh_fec!S3)</f>
        <v>0.7321364191818851</v>
      </c>
      <c r="T3" s="126">
        <f>IF(SER_hh_tes!T3=0,"",SER_hh_tes!T3/SER_hh_fec!T3)</f>
        <v>0.75438796477926329</v>
      </c>
      <c r="U3" s="126">
        <f>IF(SER_hh_tes!U3=0,"",SER_hh_tes!U3/SER_hh_fec!U3)</f>
        <v>0.76400512026724798</v>
      </c>
      <c r="V3" s="126">
        <f>IF(SER_hh_tes!V3=0,"",SER_hh_tes!V3/SER_hh_fec!V3)</f>
        <v>0.77904627300083962</v>
      </c>
      <c r="W3" s="126">
        <f>IF(SER_hh_tes!W3=0,"",SER_hh_tes!W3/SER_hh_fec!W3)</f>
        <v>0.79884848675579045</v>
      </c>
      <c r="X3" s="126">
        <f>IF(SER_hh_tes!X3=0,"",SER_hh_tes!X3/SER_hh_fec!X3)</f>
        <v>0.82498971858671755</v>
      </c>
      <c r="Y3" s="126">
        <f>IF(SER_hh_tes!Y3=0,"",SER_hh_tes!Y3/SER_hh_fec!Y3)</f>
        <v>0.850937850896754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0.58462691521777421</v>
      </c>
      <c r="C4" s="135">
        <f>IF(SER_hh_tes!C4=0,"",SER_hh_tes!C4/SER_hh_fec!C4)</f>
        <v>0.59141895570381897</v>
      </c>
      <c r="D4" s="135">
        <f>IF(SER_hh_tes!D4=0,"",SER_hh_tes!D4/SER_hh_fec!D4)</f>
        <v>0.59292910307006419</v>
      </c>
      <c r="E4" s="135">
        <f>IF(SER_hh_tes!E4=0,"",SER_hh_tes!E4/SER_hh_fec!E4)</f>
        <v>0.59180417984222777</v>
      </c>
      <c r="F4" s="135">
        <f>IF(SER_hh_tes!F4=0,"",SER_hh_tes!F4/SER_hh_fec!F4)</f>
        <v>0.59107555864625694</v>
      </c>
      <c r="G4" s="135">
        <f>IF(SER_hh_tes!G4=0,"",SER_hh_tes!G4/SER_hh_fec!G4)</f>
        <v>0.60475310899539914</v>
      </c>
      <c r="H4" s="135">
        <f>IF(SER_hh_tes!H4=0,"",SER_hh_tes!H4/SER_hh_fec!H4)</f>
        <v>0.60045175328486033</v>
      </c>
      <c r="I4" s="135">
        <f>IF(SER_hh_tes!I4=0,"",SER_hh_tes!I4/SER_hh_fec!I4)</f>
        <v>0.60619462749694641</v>
      </c>
      <c r="J4" s="135">
        <f>IF(SER_hh_tes!J4=0,"",SER_hh_tes!J4/SER_hh_fec!J4)</f>
        <v>0.60664689258642723</v>
      </c>
      <c r="K4" s="135">
        <f>IF(SER_hh_tes!K4=0,"",SER_hh_tes!K4/SER_hh_fec!K4)</f>
        <v>0.61812407925354407</v>
      </c>
      <c r="L4" s="135">
        <f>IF(SER_hh_tes!L4=0,"",SER_hh_tes!L4/SER_hh_fec!L4)</f>
        <v>0.62956245835624181</v>
      </c>
      <c r="M4" s="135">
        <f>IF(SER_hh_tes!M4=0,"",SER_hh_tes!M4/SER_hh_fec!M4)</f>
        <v>0.63380693243609387</v>
      </c>
      <c r="N4" s="135">
        <f>IF(SER_hh_tes!N4=0,"",SER_hh_tes!N4/SER_hh_fec!N4)</f>
        <v>0.64351352978867327</v>
      </c>
      <c r="O4" s="135">
        <f>IF(SER_hh_tes!O4=0,"",SER_hh_tes!O4/SER_hh_fec!O4)</f>
        <v>0.65434707551212312</v>
      </c>
      <c r="P4" s="135">
        <f>IF(SER_hh_tes!P4=0,"",SER_hh_tes!P4/SER_hh_fec!P4)</f>
        <v>0.65786660517632245</v>
      </c>
      <c r="Q4" s="135">
        <f>IF(SER_hh_tes!Q4=0,"",SER_hh_tes!Q4/SER_hh_fec!Q4)</f>
        <v>0.66489184273522539</v>
      </c>
      <c r="R4" s="135">
        <f>IF(SER_hh_tes!R4=0,"",SER_hh_tes!R4/SER_hh_fec!R4)</f>
        <v>0.67599561605854996</v>
      </c>
      <c r="S4" s="135">
        <f>IF(SER_hh_tes!S4=0,"",SER_hh_tes!S4/SER_hh_fec!S4)</f>
        <v>0.68705882966677922</v>
      </c>
      <c r="T4" s="135">
        <f>IF(SER_hh_tes!T4=0,"",SER_hh_tes!T4/SER_hh_fec!T4)</f>
        <v>0.70440656972698079</v>
      </c>
      <c r="U4" s="135">
        <f>IF(SER_hh_tes!U4=0,"",SER_hh_tes!U4/SER_hh_fec!U4)</f>
        <v>0.71573821495111511</v>
      </c>
      <c r="V4" s="135">
        <f>IF(SER_hh_tes!V4=0,"",SER_hh_tes!V4/SER_hh_fec!V4)</f>
        <v>0.73233376370321868</v>
      </c>
      <c r="W4" s="135">
        <f>IF(SER_hh_tes!W4=0,"",SER_hh_tes!W4/SER_hh_fec!W4)</f>
        <v>0.74966038496419518</v>
      </c>
      <c r="X4" s="135">
        <f>IF(SER_hh_tes!X4=0,"",SER_hh_tes!X4/SER_hh_fec!X4)</f>
        <v>0.77196360449076185</v>
      </c>
      <c r="Y4" s="135">
        <f>IF(SER_hh_tes!Y4=0,"",SER_hh_tes!Y4/SER_hh_fec!Y4)</f>
        <v>0.79271604175576016</v>
      </c>
      <c r="DA4" s="162" t="s">
        <v>240</v>
      </c>
    </row>
    <row r="5" spans="1:105" ht="12" customHeight="1" x14ac:dyDescent="0.25">
      <c r="A5" s="131" t="s">
        <v>29</v>
      </c>
      <c r="B5" s="136">
        <f>IF(SER_hh_tes!B5=0,"",SER_hh_tes!B5/SER_hh_fec!B5)</f>
        <v>0.51150418336168935</v>
      </c>
      <c r="C5" s="136">
        <f>IF(SER_hh_tes!C5=0,"",SER_hh_tes!C5/SER_hh_fec!C5)</f>
        <v>0.51150418336168935</v>
      </c>
      <c r="D5" s="136">
        <f>IF(SER_hh_tes!D5=0,"",SER_hh_tes!D5/SER_hh_fec!D5)</f>
        <v>0.51150418336168935</v>
      </c>
      <c r="E5" s="136">
        <f>IF(SER_hh_tes!E5=0,"",SER_hh_tes!E5/SER_hh_fec!E5)</f>
        <v>0.52093603438507563</v>
      </c>
      <c r="F5" s="136">
        <f>IF(SER_hh_tes!F5=0,"",SER_hh_tes!F5/SER_hh_fec!F5)</f>
        <v>0.52925365633225385</v>
      </c>
      <c r="G5" s="136">
        <f>IF(SER_hh_tes!G5=0,"",SER_hh_tes!G5/SER_hh_fec!G5)</f>
        <v>0.53099872561109696</v>
      </c>
      <c r="H5" s="136">
        <f>IF(SER_hh_tes!H5=0,"",SER_hh_tes!H5/SER_hh_fec!H5)</f>
        <v>0.53099872561109696</v>
      </c>
      <c r="I5" s="136">
        <f>IF(SER_hh_tes!I5=0,"",SER_hh_tes!I5/SER_hh_fec!I5)</f>
        <v>0.53099872561109696</v>
      </c>
      <c r="J5" s="136">
        <f>IF(SER_hh_tes!J5=0,"",SER_hh_tes!J5/SER_hh_fec!J5)</f>
        <v>0.53099872561109707</v>
      </c>
      <c r="K5" s="136">
        <f>IF(SER_hh_tes!K5=0,"",SER_hh_tes!K5/SER_hh_fec!K5)</f>
        <v>0.53099872561109707</v>
      </c>
      <c r="L5" s="136">
        <f>IF(SER_hh_tes!L5=0,"",SER_hh_tes!L5/SER_hh_fec!L5)</f>
        <v>0.53099872561109696</v>
      </c>
      <c r="M5" s="136">
        <f>IF(SER_hh_tes!M5=0,"",SER_hh_tes!M5/SER_hh_fec!M5)</f>
        <v>0.53099872561109684</v>
      </c>
      <c r="N5" s="136">
        <f>IF(SER_hh_tes!N5=0,"",SER_hh_tes!N5/SER_hh_fec!N5)</f>
        <v>0.56957846230084641</v>
      </c>
      <c r="O5" s="136">
        <f>IF(SER_hh_tes!O5=0,"",SER_hh_tes!O5/SER_hh_fec!O5)</f>
        <v>0.63525208664803023</v>
      </c>
      <c r="P5" s="136">
        <f>IF(SER_hh_tes!P5=0,"",SER_hh_tes!P5/SER_hh_fec!P5)</f>
        <v>0.6353759083642051</v>
      </c>
      <c r="Q5" s="136">
        <f>IF(SER_hh_tes!Q5=0,"",SER_hh_tes!Q5/SER_hh_fec!Q5)</f>
        <v>0.63535038681016065</v>
      </c>
      <c r="R5" s="136">
        <f>IF(SER_hh_tes!R5=0,"",SER_hh_tes!R5/SER_hh_fec!R5)</f>
        <v>0.63574708960736137</v>
      </c>
      <c r="S5" s="136">
        <f>IF(SER_hh_tes!S5=0,"",SER_hh_tes!S5/SER_hh_fec!S5)</f>
        <v>0.6356562424771216</v>
      </c>
      <c r="T5" s="136">
        <f>IF(SER_hh_tes!T5=0,"",SER_hh_tes!T5/SER_hh_fec!T5)</f>
        <v>0.63565624247712083</v>
      </c>
      <c r="U5" s="136">
        <f>IF(SER_hh_tes!U5=0,"",SER_hh_tes!U5/SER_hh_fec!U5)</f>
        <v>0.64670101193726792</v>
      </c>
      <c r="V5" s="136">
        <f>IF(SER_hh_tes!V5=0,"",SER_hh_tes!V5/SER_hh_fec!V5)</f>
        <v>0.65612579248590308</v>
      </c>
      <c r="W5" s="136">
        <f>IF(SER_hh_tes!W5=0,"",SER_hh_tes!W5/SER_hh_fec!W5)</f>
        <v>0.65633025235313802</v>
      </c>
      <c r="X5" s="136">
        <f>IF(SER_hh_tes!X5=0,"",SER_hh_tes!X5/SER_hh_fec!X5)</f>
        <v>0.65745096966390515</v>
      </c>
      <c r="Y5" s="136">
        <f>IF(SER_hh_tes!Y5=0,"",SER_hh_tes!Y5/SER_hh_fec!Y5)</f>
        <v>0.65815983115423027</v>
      </c>
      <c r="DA5" s="163" t="s">
        <v>332</v>
      </c>
    </row>
    <row r="6" spans="1:105" ht="12" customHeight="1" x14ac:dyDescent="0.25">
      <c r="A6" s="131" t="s">
        <v>52</v>
      </c>
      <c r="B6" s="136" t="str">
        <f>IF(SER_hh_tes!B6=0,"",SER_hh_tes!B6/SER_hh_fec!B6)</f>
        <v/>
      </c>
      <c r="C6" s="136" t="str">
        <f>IF(SER_hh_tes!C6=0,"",SER_hh_tes!C6/SER_hh_fec!C6)</f>
        <v/>
      </c>
      <c r="D6" s="136" t="str">
        <f>IF(SER_hh_tes!D6=0,"",SER_hh_tes!D6/SER_hh_fec!D6)</f>
        <v/>
      </c>
      <c r="E6" s="136" t="str">
        <f>IF(SER_hh_tes!E6=0,"",SER_hh_tes!E6/SER_hh_fec!E6)</f>
        <v/>
      </c>
      <c r="F6" s="136" t="str">
        <f>IF(SER_hh_tes!F6=0,"",SER_hh_tes!F6/SER_hh_fec!F6)</f>
        <v/>
      </c>
      <c r="G6" s="136" t="str">
        <f>IF(SER_hh_tes!G6=0,"",SER_hh_tes!G6/SER_hh_fec!G6)</f>
        <v/>
      </c>
      <c r="H6" s="136" t="str">
        <f>IF(SER_hh_tes!H6=0,"",SER_hh_tes!H6/SER_hh_fec!H6)</f>
        <v/>
      </c>
      <c r="I6" s="136" t="str">
        <f>IF(SER_hh_tes!I6=0,"",SER_hh_tes!I6/SER_hh_fec!I6)</f>
        <v/>
      </c>
      <c r="J6" s="136" t="str">
        <f>IF(SER_hh_tes!J6=0,"",SER_hh_tes!J6/SER_hh_fec!J6)</f>
        <v/>
      </c>
      <c r="K6" s="136" t="str">
        <f>IF(SER_hh_tes!K6=0,"",SER_hh_tes!K6/SER_hh_fec!K6)</f>
        <v/>
      </c>
      <c r="L6" s="136" t="str">
        <f>IF(SER_hh_tes!L6=0,"",SER_hh_tes!L6/SER_hh_fec!L6)</f>
        <v/>
      </c>
      <c r="M6" s="136" t="str">
        <f>IF(SER_hh_tes!M6=0,"",SER_hh_tes!M6/SER_hh_fec!M6)</f>
        <v/>
      </c>
      <c r="N6" s="136" t="str">
        <f>IF(SER_hh_tes!N6=0,"",SER_hh_tes!N6/SER_hh_fec!N6)</f>
        <v/>
      </c>
      <c r="O6" s="136" t="str">
        <f>IF(SER_hh_tes!O6=0,"",SER_hh_tes!O6/SER_hh_fec!O6)</f>
        <v/>
      </c>
      <c r="P6" s="136" t="str">
        <f>IF(SER_hh_tes!P6=0,"",SER_hh_tes!P6/SER_hh_fec!P6)</f>
        <v/>
      </c>
      <c r="Q6" s="136" t="str">
        <f>IF(SER_hh_tes!Q6=0,"",SER_hh_tes!Q6/SER_hh_fec!Q6)</f>
        <v/>
      </c>
      <c r="R6" s="136" t="str">
        <f>IF(SER_hh_tes!R6=0,"",SER_hh_tes!R6/SER_hh_fec!R6)</f>
        <v/>
      </c>
      <c r="S6" s="136" t="str">
        <f>IF(SER_hh_tes!S6=0,"",SER_hh_tes!S6/SER_hh_fec!S6)</f>
        <v/>
      </c>
      <c r="T6" s="136" t="str">
        <f>IF(SER_hh_tes!T6=0,"",SER_hh_tes!T6/SER_hh_fec!T6)</f>
        <v/>
      </c>
      <c r="U6" s="136" t="str">
        <f>IF(SER_hh_tes!U6=0,"",SER_hh_tes!U6/SER_hh_fec!U6)</f>
        <v/>
      </c>
      <c r="V6" s="136" t="str">
        <f>IF(SER_hh_tes!V6=0,"",SER_hh_tes!V6/SER_hh_fec!V6)</f>
        <v/>
      </c>
      <c r="W6" s="136" t="str">
        <f>IF(SER_hh_tes!W6=0,"",SER_hh_tes!W6/SER_hh_fec!W6)</f>
        <v/>
      </c>
      <c r="X6" s="136" t="str">
        <f>IF(SER_hh_tes!X6=0,"",SER_hh_tes!X6/SER_hh_fec!X6)</f>
        <v/>
      </c>
      <c r="Y6" s="136" t="str">
        <f>IF(SER_hh_tes!Y6=0,"",SER_hh_tes!Y6/SER_hh_fec!Y6)</f>
        <v/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0.43906982809550549</v>
      </c>
      <c r="C7" s="136">
        <f>IF(SER_hh_tes!C7=0,"",SER_hh_tes!C7/SER_hh_fec!C7)</f>
        <v>0.45421124315723549</v>
      </c>
      <c r="D7" s="136">
        <f>IF(SER_hh_tes!D7=0,"",SER_hh_tes!D7/SER_hh_fec!D7)</f>
        <v>0.4716684950216164</v>
      </c>
      <c r="E7" s="136">
        <f>IF(SER_hh_tes!E7=0,"",SER_hh_tes!E7/SER_hh_fec!E7)</f>
        <v>0.47731258991039899</v>
      </c>
      <c r="F7" s="136">
        <f>IF(SER_hh_tes!F7=0,"",SER_hh_tes!F7/SER_hh_fec!F7)</f>
        <v>0.48361550586208313</v>
      </c>
      <c r="G7" s="136">
        <f>IF(SER_hh_tes!G7=0,"",SER_hh_tes!G7/SER_hh_fec!G7)</f>
        <v>0.48720311677598133</v>
      </c>
      <c r="H7" s="136">
        <f>IF(SER_hh_tes!H7=0,"",SER_hh_tes!H7/SER_hh_fec!H7)</f>
        <v>0.49236806173613173</v>
      </c>
      <c r="I7" s="136">
        <f>IF(SER_hh_tes!I7=0,"",SER_hh_tes!I7/SER_hh_fec!I7)</f>
        <v>0.49583437194618996</v>
      </c>
      <c r="J7" s="136">
        <f>IF(SER_hh_tes!J7=0,"",SER_hh_tes!J7/SER_hh_fec!J7)</f>
        <v>0.49844007356832792</v>
      </c>
      <c r="K7" s="136">
        <f>IF(SER_hh_tes!K7=0,"",SER_hh_tes!K7/SER_hh_fec!K7)</f>
        <v>0.49960602145175137</v>
      </c>
      <c r="L7" s="136">
        <f>IF(SER_hh_tes!L7=0,"",SER_hh_tes!L7/SER_hh_fec!L7)</f>
        <v>0.50362889124139287</v>
      </c>
      <c r="M7" s="136">
        <f>IF(SER_hh_tes!M7=0,"",SER_hh_tes!M7/SER_hh_fec!M7)</f>
        <v>0.50831178742774552</v>
      </c>
      <c r="N7" s="136">
        <f>IF(SER_hh_tes!N7=0,"",SER_hh_tes!N7/SER_hh_fec!N7)</f>
        <v>0.51926084464071021</v>
      </c>
      <c r="O7" s="136">
        <f>IF(SER_hh_tes!O7=0,"",SER_hh_tes!O7/SER_hh_fec!O7)</f>
        <v>0.52617546193520837</v>
      </c>
      <c r="P7" s="136">
        <f>IF(SER_hh_tes!P7=0,"",SER_hh_tes!P7/SER_hh_fec!P7)</f>
        <v>0.53648804745211864</v>
      </c>
      <c r="Q7" s="136">
        <f>IF(SER_hh_tes!Q7=0,"",SER_hh_tes!Q7/SER_hh_fec!Q7)</f>
        <v>0.56182539679500254</v>
      </c>
      <c r="R7" s="136">
        <f>IF(SER_hh_tes!R7=0,"",SER_hh_tes!R7/SER_hh_fec!R7)</f>
        <v>0.57524216914089443</v>
      </c>
      <c r="S7" s="136">
        <f>IF(SER_hh_tes!S7=0,"",SER_hh_tes!S7/SER_hh_fec!S7)</f>
        <v>0.58527085209412277</v>
      </c>
      <c r="T7" s="136">
        <f>IF(SER_hh_tes!T7=0,"",SER_hh_tes!T7/SER_hh_fec!T7)</f>
        <v>0.59331615980720265</v>
      </c>
      <c r="U7" s="136">
        <f>IF(SER_hh_tes!U7=0,"",SER_hh_tes!U7/SER_hh_fec!U7)</f>
        <v>0.60147320114864478</v>
      </c>
      <c r="V7" s="136">
        <f>IF(SER_hh_tes!V7=0,"",SER_hh_tes!V7/SER_hh_fec!V7)</f>
        <v>0.61485971437202491</v>
      </c>
      <c r="W7" s="136">
        <f>IF(SER_hh_tes!W7=0,"",SER_hh_tes!W7/SER_hh_fec!W7)</f>
        <v>0.6319613491585897</v>
      </c>
      <c r="X7" s="136">
        <f>IF(SER_hh_tes!X7=0,"",SER_hh_tes!X7/SER_hh_fec!X7)</f>
        <v>0.64346105451160218</v>
      </c>
      <c r="Y7" s="136">
        <f>IF(SER_hh_tes!Y7=0,"",SER_hh_tes!Y7/SER_hh_fec!Y7)</f>
        <v>0.65277739235705878</v>
      </c>
      <c r="DA7" s="163" t="s">
        <v>334</v>
      </c>
    </row>
    <row r="8" spans="1:105" ht="12" customHeight="1" x14ac:dyDescent="0.25">
      <c r="A8" s="131" t="s">
        <v>73</v>
      </c>
      <c r="B8" s="136" t="str">
        <f>IF(SER_hh_tes!B8=0,"",SER_hh_tes!B8/SER_hh_fec!B8)</f>
        <v/>
      </c>
      <c r="C8" s="136" t="str">
        <f>IF(SER_hh_tes!C8=0,"",SER_hh_tes!C8/SER_hh_fec!C8)</f>
        <v/>
      </c>
      <c r="D8" s="136" t="str">
        <f>IF(SER_hh_tes!D8=0,"",SER_hh_tes!D8/SER_hh_fec!D8)</f>
        <v/>
      </c>
      <c r="E8" s="136" t="str">
        <f>IF(SER_hh_tes!E8=0,"",SER_hh_tes!E8/SER_hh_fec!E8)</f>
        <v/>
      </c>
      <c r="F8" s="136" t="str">
        <f>IF(SER_hh_tes!F8=0,"",SER_hh_tes!F8/SER_hh_fec!F8)</f>
        <v/>
      </c>
      <c r="G8" s="136">
        <f>IF(SER_hh_tes!G8=0,"",SER_hh_tes!G8/SER_hh_fec!G8)</f>
        <v>2.1063584656121717</v>
      </c>
      <c r="H8" s="136">
        <f>IF(SER_hh_tes!H8=0,"",SER_hh_tes!H8/SER_hh_fec!H8)</f>
        <v>2.1662324584120816</v>
      </c>
      <c r="I8" s="136">
        <f>IF(SER_hh_tes!I8=0,"",SER_hh_tes!I8/SER_hh_fec!I8)</f>
        <v>2.2381224945840534</v>
      </c>
      <c r="J8" s="136">
        <f>IF(SER_hh_tes!J8=0,"",SER_hh_tes!J8/SER_hh_fec!J8)</f>
        <v>2.3031946070933418</v>
      </c>
      <c r="K8" s="136">
        <f>IF(SER_hh_tes!K8=0,"",SER_hh_tes!K8/SER_hh_fec!K8)</f>
        <v>2.372989726127734</v>
      </c>
      <c r="L8" s="136">
        <f>IF(SER_hh_tes!L8=0,"",SER_hh_tes!L8/SER_hh_fec!L8)</f>
        <v>2.445373237094937</v>
      </c>
      <c r="M8" s="136">
        <f>IF(SER_hh_tes!M8=0,"",SER_hh_tes!M8/SER_hh_fec!M8)</f>
        <v>2.5668028114171557</v>
      </c>
      <c r="N8" s="136">
        <f>IF(SER_hh_tes!N8=0,"",SER_hh_tes!N8/SER_hh_fec!N8)</f>
        <v>2.7249820428410878</v>
      </c>
      <c r="O8" s="136">
        <f>IF(SER_hh_tes!O8=0,"",SER_hh_tes!O8/SER_hh_fec!O8)</f>
        <v>2.8936332706930763</v>
      </c>
      <c r="P8" s="136">
        <f>IF(SER_hh_tes!P8=0,"",SER_hh_tes!P8/SER_hh_fec!P8)</f>
        <v>3.0382782795013394</v>
      </c>
      <c r="Q8" s="136">
        <f>IF(SER_hh_tes!Q8=0,"",SER_hh_tes!Q8/SER_hh_fec!Q8)</f>
        <v>3.1283403339657339</v>
      </c>
      <c r="R8" s="136">
        <f>IF(SER_hh_tes!R8=0,"",SER_hh_tes!R8/SER_hh_fec!R8)</f>
        <v>3.1939420767418123</v>
      </c>
      <c r="S8" s="136">
        <f>IF(SER_hh_tes!S8=0,"",SER_hh_tes!S8/SER_hh_fec!S8)</f>
        <v>3.2505644797469442</v>
      </c>
      <c r="T8" s="136">
        <f>IF(SER_hh_tes!T8=0,"",SER_hh_tes!T8/SER_hh_fec!T8)</f>
        <v>3.3331230478581721</v>
      </c>
      <c r="U8" s="136">
        <f>IF(SER_hh_tes!U8=0,"",SER_hh_tes!U8/SER_hh_fec!U8)</f>
        <v>3.4289066449372823</v>
      </c>
      <c r="V8" s="136">
        <f>IF(SER_hh_tes!V8=0,"",SER_hh_tes!V8/SER_hh_fec!V8)</f>
        <v>3.531676157086685</v>
      </c>
      <c r="W8" s="136">
        <f>IF(SER_hh_tes!W8=0,"",SER_hh_tes!W8/SER_hh_fec!W8)</f>
        <v>3.6293774114305601</v>
      </c>
      <c r="X8" s="136">
        <f>IF(SER_hh_tes!X8=0,"",SER_hh_tes!X8/SER_hh_fec!X8)</f>
        <v>3.7166882599679845</v>
      </c>
      <c r="Y8" s="136">
        <f>IF(SER_hh_tes!Y8=0,"",SER_hh_tes!Y8/SER_hh_fec!Y8)</f>
        <v>3.7901238717762067</v>
      </c>
      <c r="DA8" s="163" t="s">
        <v>335</v>
      </c>
    </row>
    <row r="9" spans="1:105" ht="12" customHeight="1" x14ac:dyDescent="0.25">
      <c r="A9" s="131" t="s">
        <v>78</v>
      </c>
      <c r="B9" s="136">
        <f>IF(SER_hh_tes!B9=0,"",SER_hh_tes!B9/SER_hh_fec!B9)</f>
        <v>0.47458812022496305</v>
      </c>
      <c r="C9" s="136">
        <f>IF(SER_hh_tes!C9=0,"",SER_hh_tes!C9/SER_hh_fec!C9)</f>
        <v>0.48062581860680847</v>
      </c>
      <c r="D9" s="136">
        <f>IF(SER_hh_tes!D9=0,"",SER_hh_tes!D9/SER_hh_fec!D9)</f>
        <v>0.4863060720271048</v>
      </c>
      <c r="E9" s="136">
        <f>IF(SER_hh_tes!E9=0,"",SER_hh_tes!E9/SER_hh_fec!E9)</f>
        <v>0.49186113388927033</v>
      </c>
      <c r="F9" s="136">
        <f>IF(SER_hh_tes!F9=0,"",SER_hh_tes!F9/SER_hh_fec!F9)</f>
        <v>0.49825377030984513</v>
      </c>
      <c r="G9" s="136">
        <f>IF(SER_hh_tes!G9=0,"",SER_hh_tes!G9/SER_hh_fec!G9)</f>
        <v>0.50688388651820626</v>
      </c>
      <c r="H9" s="136">
        <f>IF(SER_hh_tes!H9=0,"",SER_hh_tes!H9/SER_hh_fec!H9)</f>
        <v>0.51387654016719819</v>
      </c>
      <c r="I9" s="136">
        <f>IF(SER_hh_tes!I9=0,"",SER_hh_tes!I9/SER_hh_fec!I9)</f>
        <v>0.52053375182555672</v>
      </c>
      <c r="J9" s="136">
        <f>IF(SER_hh_tes!J9=0,"",SER_hh_tes!J9/SER_hh_fec!J9)</f>
        <v>0.52573173886774427</v>
      </c>
      <c r="K9" s="136">
        <f>IF(SER_hh_tes!K9=0,"",SER_hh_tes!K9/SER_hh_fec!K9)</f>
        <v>0.52826910734168664</v>
      </c>
      <c r="L9" s="136">
        <f>IF(SER_hh_tes!L9=0,"",SER_hh_tes!L9/SER_hh_fec!L9)</f>
        <v>0.53297084896535096</v>
      </c>
      <c r="M9" s="136">
        <f>IF(SER_hh_tes!M9=0,"",SER_hh_tes!M9/SER_hh_fec!M9)</f>
        <v>0.53949331504951725</v>
      </c>
      <c r="N9" s="136">
        <f>IF(SER_hh_tes!N9=0,"",SER_hh_tes!N9/SER_hh_fec!N9)</f>
        <v>0.54689084166732183</v>
      </c>
      <c r="O9" s="136">
        <f>IF(SER_hh_tes!O9=0,"",SER_hh_tes!O9/SER_hh_fec!O9)</f>
        <v>0.55592597712094993</v>
      </c>
      <c r="P9" s="136">
        <f>IF(SER_hh_tes!P9=0,"",SER_hh_tes!P9/SER_hh_fec!P9)</f>
        <v>0.56299605308920742</v>
      </c>
      <c r="Q9" s="136">
        <f>IF(SER_hh_tes!Q9=0,"",SER_hh_tes!Q9/SER_hh_fec!Q9)</f>
        <v>0.57437336707962783</v>
      </c>
      <c r="R9" s="136">
        <f>IF(SER_hh_tes!R9=0,"",SER_hh_tes!R9/SER_hh_fec!R9)</f>
        <v>0.58621656805754074</v>
      </c>
      <c r="S9" s="136">
        <f>IF(SER_hh_tes!S9=0,"",SER_hh_tes!S9/SER_hh_fec!S9)</f>
        <v>0.60341876016033036</v>
      </c>
      <c r="T9" s="136">
        <f>IF(SER_hh_tes!T9=0,"",SER_hh_tes!T9/SER_hh_fec!T9)</f>
        <v>0.62006261709572075</v>
      </c>
      <c r="U9" s="136">
        <f>IF(SER_hh_tes!U9=0,"",SER_hh_tes!U9/SER_hh_fec!U9)</f>
        <v>0.63899492474252706</v>
      </c>
      <c r="V9" s="136">
        <f>IF(SER_hh_tes!V9=0,"",SER_hh_tes!V9/SER_hh_fec!V9)</f>
        <v>0.6579339802981522</v>
      </c>
      <c r="W9" s="136">
        <f>IF(SER_hh_tes!W9=0,"",SER_hh_tes!W9/SER_hh_fec!W9)</f>
        <v>0.67706504068418327</v>
      </c>
      <c r="X9" s="136">
        <f>IF(SER_hh_tes!X9=0,"",SER_hh_tes!X9/SER_hh_fec!X9)</f>
        <v>0.69387873991833626</v>
      </c>
      <c r="Y9" s="136">
        <f>IF(SER_hh_tes!Y9=0,"",SER_hh_tes!Y9/SER_hh_fec!Y9)</f>
        <v>0.70925608619811298</v>
      </c>
      <c r="DA9" s="163" t="s">
        <v>336</v>
      </c>
    </row>
    <row r="10" spans="1:105" ht="12" customHeight="1" x14ac:dyDescent="0.25">
      <c r="A10" s="131" t="s">
        <v>128</v>
      </c>
      <c r="B10" s="136">
        <f>IF(SER_hh_tes!B10=0,"",SER_hh_tes!B10/SER_hh_fec!B10)</f>
        <v>0.43270030575092489</v>
      </c>
      <c r="C10" s="136">
        <f>IF(SER_hh_tes!C10=0,"",SER_hh_tes!C10/SER_hh_fec!C10)</f>
        <v>0.45909214179489244</v>
      </c>
      <c r="D10" s="136">
        <f>IF(SER_hh_tes!D10=0,"",SER_hh_tes!D10/SER_hh_fec!D10)</f>
        <v>0.47678460969307551</v>
      </c>
      <c r="E10" s="136">
        <f>IF(SER_hh_tes!E10=0,"",SER_hh_tes!E10/SER_hh_fec!E10)</f>
        <v>0.49071522506854487</v>
      </c>
      <c r="F10" s="136">
        <f>IF(SER_hh_tes!F10=0,"",SER_hh_tes!F10/SER_hh_fec!F10)</f>
        <v>0.50007278993553816</v>
      </c>
      <c r="G10" s="136">
        <f>IF(SER_hh_tes!G10=0,"",SER_hh_tes!G10/SER_hh_fec!G10)</f>
        <v>0.50824603441677374</v>
      </c>
      <c r="H10" s="136">
        <f>IF(SER_hh_tes!H10=0,"",SER_hh_tes!H10/SER_hh_fec!H10)</f>
        <v>0.5130178301399223</v>
      </c>
      <c r="I10" s="136">
        <f>IF(SER_hh_tes!I10=0,"",SER_hh_tes!I10/SER_hh_fec!I10)</f>
        <v>0.51679046095057701</v>
      </c>
      <c r="J10" s="136">
        <f>IF(SER_hh_tes!J10=0,"",SER_hh_tes!J10/SER_hh_fec!J10)</f>
        <v>0.51932779328527878</v>
      </c>
      <c r="K10" s="136">
        <f>IF(SER_hh_tes!K10=0,"",SER_hh_tes!K10/SER_hh_fec!K10)</f>
        <v>0.52186045523819591</v>
      </c>
      <c r="L10" s="136">
        <f>IF(SER_hh_tes!L10=0,"",SER_hh_tes!L10/SER_hh_fec!L10)</f>
        <v>0.524562514288343</v>
      </c>
      <c r="M10" s="136">
        <f>IF(SER_hh_tes!M10=0,"",SER_hh_tes!M10/SER_hh_fec!M10)</f>
        <v>0.52703443417658535</v>
      </c>
      <c r="N10" s="136">
        <f>IF(SER_hh_tes!N10=0,"",SER_hh_tes!N10/SER_hh_fec!N10)</f>
        <v>0.52906613858543683</v>
      </c>
      <c r="O10" s="136">
        <f>IF(SER_hh_tes!O10=0,"",SER_hh_tes!O10/SER_hh_fec!O10)</f>
        <v>0.53048913461454994</v>
      </c>
      <c r="P10" s="136">
        <f>IF(SER_hh_tes!P10=0,"",SER_hh_tes!P10/SER_hh_fec!P10)</f>
        <v>0.53066131810135664</v>
      </c>
      <c r="Q10" s="136">
        <f>IF(SER_hh_tes!Q10=0,"",SER_hh_tes!Q10/SER_hh_fec!Q10)</f>
        <v>0.53082031138041841</v>
      </c>
      <c r="R10" s="136">
        <f>IF(SER_hh_tes!R10=0,"",SER_hh_tes!R10/SER_hh_fec!R10)</f>
        <v>0.53093527869246615</v>
      </c>
      <c r="S10" s="136">
        <f>IF(SER_hh_tes!S10=0,"",SER_hh_tes!S10/SER_hh_fec!S10)</f>
        <v>0.53108548966298896</v>
      </c>
      <c r="T10" s="136">
        <f>IF(SER_hh_tes!T10=0,"",SER_hh_tes!T10/SER_hh_fec!T10)</f>
        <v>0.53129950027110195</v>
      </c>
      <c r="U10" s="136">
        <f>IF(SER_hh_tes!U10=0,"",SER_hh_tes!U10/SER_hh_fec!U10)</f>
        <v>0.53155032747796294</v>
      </c>
      <c r="V10" s="136">
        <f>IF(SER_hh_tes!V10=0,"",SER_hh_tes!V10/SER_hh_fec!V10)</f>
        <v>0.5318159241496091</v>
      </c>
      <c r="W10" s="136">
        <f>IF(SER_hh_tes!W10=0,"",SER_hh_tes!W10/SER_hh_fec!W10)</f>
        <v>0.53207195885223857</v>
      </c>
      <c r="X10" s="136">
        <f>IF(SER_hh_tes!X10=0,"",SER_hh_tes!X10/SER_hh_fec!X10)</f>
        <v>0.53259901571849166</v>
      </c>
      <c r="Y10" s="136">
        <f>IF(SER_hh_tes!Y10=0,"",SER_hh_tes!Y10/SER_hh_fec!Y10)</f>
        <v>0.53342782891178264</v>
      </c>
      <c r="DA10" s="163" t="s">
        <v>337</v>
      </c>
    </row>
    <row r="11" spans="1:105" ht="12" customHeight="1" x14ac:dyDescent="0.25">
      <c r="A11" s="131" t="s">
        <v>25</v>
      </c>
      <c r="B11" s="136" t="str">
        <f>IF(SER_hh_tes!B11=0,"",SER_hh_tes!B11/SER_hh_fec!B11)</f>
        <v/>
      </c>
      <c r="C11" s="136" t="str">
        <f>IF(SER_hh_tes!C11=0,"",SER_hh_tes!C11/SER_hh_fec!C11)</f>
        <v/>
      </c>
      <c r="D11" s="136" t="str">
        <f>IF(SER_hh_tes!D11=0,"",SER_hh_tes!D11/SER_hh_fec!D11)</f>
        <v/>
      </c>
      <c r="E11" s="136" t="str">
        <f>IF(SER_hh_tes!E11=0,"",SER_hh_tes!E11/SER_hh_fec!E11)</f>
        <v/>
      </c>
      <c r="F11" s="136" t="str">
        <f>IF(SER_hh_tes!F11=0,"",SER_hh_tes!F11/SER_hh_fec!F11)</f>
        <v/>
      </c>
      <c r="G11" s="136" t="str">
        <f>IF(SER_hh_tes!G11=0,"",SER_hh_tes!G11/SER_hh_fec!G11)</f>
        <v/>
      </c>
      <c r="H11" s="136" t="str">
        <f>IF(SER_hh_tes!H11=0,"",SER_hh_tes!H11/SER_hh_fec!H11)</f>
        <v/>
      </c>
      <c r="I11" s="136" t="str">
        <f>IF(SER_hh_tes!I11=0,"",SER_hh_tes!I11/SER_hh_fec!I11)</f>
        <v/>
      </c>
      <c r="J11" s="136" t="str">
        <f>IF(SER_hh_tes!J11=0,"",SER_hh_tes!J11/SER_hh_fec!J11)</f>
        <v/>
      </c>
      <c r="K11" s="136" t="str">
        <f>IF(SER_hh_tes!K11=0,"",SER_hh_tes!K11/SER_hh_fec!K11)</f>
        <v/>
      </c>
      <c r="L11" s="136" t="str">
        <f>IF(SER_hh_tes!L11=0,"",SER_hh_tes!L11/SER_hh_fec!L11)</f>
        <v/>
      </c>
      <c r="M11" s="136" t="str">
        <f>IF(SER_hh_tes!M11=0,"",SER_hh_tes!M11/SER_hh_fec!M11)</f>
        <v/>
      </c>
      <c r="N11" s="136" t="str">
        <f>IF(SER_hh_tes!N11=0,"",SER_hh_tes!N11/SER_hh_fec!N11)</f>
        <v/>
      </c>
      <c r="O11" s="136" t="str">
        <f>IF(SER_hh_tes!O11=0,"",SER_hh_tes!O11/SER_hh_fec!O11)</f>
        <v/>
      </c>
      <c r="P11" s="136" t="str">
        <f>IF(SER_hh_tes!P11=0,"",SER_hh_tes!P11/SER_hh_fec!P11)</f>
        <v/>
      </c>
      <c r="Q11" s="136" t="str">
        <f>IF(SER_hh_tes!Q11=0,"",SER_hh_tes!Q11/SER_hh_fec!Q11)</f>
        <v/>
      </c>
      <c r="R11" s="136" t="str">
        <f>IF(SER_hh_tes!R11=0,"",SER_hh_tes!R11/SER_hh_fec!R11)</f>
        <v/>
      </c>
      <c r="S11" s="136" t="str">
        <f>IF(SER_hh_tes!S11=0,"",SER_hh_tes!S11/SER_hh_fec!S11)</f>
        <v/>
      </c>
      <c r="T11" s="136" t="str">
        <f>IF(SER_hh_tes!T11=0,"",SER_hh_tes!T11/SER_hh_fec!T11)</f>
        <v/>
      </c>
      <c r="U11" s="136" t="str">
        <f>IF(SER_hh_tes!U11=0,"",SER_hh_tes!U11/SER_hh_fec!U11)</f>
        <v/>
      </c>
      <c r="V11" s="136" t="str">
        <f>IF(SER_hh_tes!V11=0,"",SER_hh_tes!V11/SER_hh_fec!V11)</f>
        <v/>
      </c>
      <c r="W11" s="136" t="str">
        <f>IF(SER_hh_tes!W11=0,"",SER_hh_tes!W11/SER_hh_fec!W11)</f>
        <v/>
      </c>
      <c r="X11" s="136" t="str">
        <f>IF(SER_hh_tes!X11=0,"",SER_hh_tes!X11/SER_hh_fec!X11)</f>
        <v/>
      </c>
      <c r="Y11" s="136" t="str">
        <f>IF(SER_hh_tes!Y11=0,"",SER_hh_tes!Y11/SER_hh_fec!Y11)</f>
        <v/>
      </c>
      <c r="DA11" s="163" t="s">
        <v>338</v>
      </c>
    </row>
    <row r="12" spans="1:105" ht="12" customHeight="1" x14ac:dyDescent="0.25">
      <c r="A12" s="131" t="s">
        <v>162</v>
      </c>
      <c r="B12" s="136">
        <f>IF(SER_hh_tes!B12=0,"",SER_hh_tes!B12/SER_hh_fec!B12)</f>
        <v>0.75174334968926815</v>
      </c>
      <c r="C12" s="136">
        <f>IF(SER_hh_tes!C12=0,"",SER_hh_tes!C12/SER_hh_fec!C12)</f>
        <v>0.75441668146452145</v>
      </c>
      <c r="D12" s="136">
        <f>IF(SER_hh_tes!D12=0,"",SER_hh_tes!D12/SER_hh_fec!D12)</f>
        <v>0.75615792509102597</v>
      </c>
      <c r="E12" s="136">
        <f>IF(SER_hh_tes!E12=0,"",SER_hh_tes!E12/SER_hh_fec!E12)</f>
        <v>0.75843332644883676</v>
      </c>
      <c r="F12" s="136">
        <f>IF(SER_hh_tes!F12=0,"",SER_hh_tes!F12/SER_hh_fec!F12)</f>
        <v>0.76166852345963543</v>
      </c>
      <c r="G12" s="136">
        <f>IF(SER_hh_tes!G12=0,"",SER_hh_tes!G12/SER_hh_fec!G12)</f>
        <v>0.76462338678647401</v>
      </c>
      <c r="H12" s="136">
        <f>IF(SER_hh_tes!H12=0,"",SER_hh_tes!H12/SER_hh_fec!H12)</f>
        <v>0.76680261709978026</v>
      </c>
      <c r="I12" s="136">
        <f>IF(SER_hh_tes!I12=0,"",SER_hh_tes!I12/SER_hh_fec!I12)</f>
        <v>0.76895588847400431</v>
      </c>
      <c r="J12" s="136">
        <f>IF(SER_hh_tes!J12=0,"",SER_hh_tes!J12/SER_hh_fec!J12)</f>
        <v>0.77168194558375114</v>
      </c>
      <c r="K12" s="136">
        <f>IF(SER_hh_tes!K12=0,"",SER_hh_tes!K12/SER_hh_fec!K12)</f>
        <v>0.77583195478805145</v>
      </c>
      <c r="L12" s="136">
        <f>IF(SER_hh_tes!L12=0,"",SER_hh_tes!L12/SER_hh_fec!L12)</f>
        <v>0.78044761520698891</v>
      </c>
      <c r="M12" s="136">
        <f>IF(SER_hh_tes!M12=0,"",SER_hh_tes!M12/SER_hh_fec!M12)</f>
        <v>0.78466277975223819</v>
      </c>
      <c r="N12" s="136">
        <f>IF(SER_hh_tes!N12=0,"",SER_hh_tes!N12/SER_hh_fec!N12)</f>
        <v>0.78903884827361115</v>
      </c>
      <c r="O12" s="136">
        <f>IF(SER_hh_tes!O12=0,"",SER_hh_tes!O12/SER_hh_fec!O12)</f>
        <v>0.79302037104642142</v>
      </c>
      <c r="P12" s="136">
        <f>IF(SER_hh_tes!P12=0,"",SER_hh_tes!P12/SER_hh_fec!P12)</f>
        <v>0.79452380010761525</v>
      </c>
      <c r="Q12" s="136">
        <f>IF(SER_hh_tes!Q12=0,"",SER_hh_tes!Q12/SER_hh_fec!Q12)</f>
        <v>0.79664645419436764</v>
      </c>
      <c r="R12" s="136">
        <f>IF(SER_hh_tes!R12=0,"",SER_hh_tes!R12/SER_hh_fec!R12)</f>
        <v>0.79956180691804546</v>
      </c>
      <c r="S12" s="136">
        <f>IF(SER_hh_tes!S12=0,"",SER_hh_tes!S12/SER_hh_fec!S12)</f>
        <v>0.80307695186473327</v>
      </c>
      <c r="T12" s="136">
        <f>IF(SER_hh_tes!T12=0,"",SER_hh_tes!T12/SER_hh_fec!T12)</f>
        <v>0.80694082327753069</v>
      </c>
      <c r="U12" s="136">
        <f>IF(SER_hh_tes!U12=0,"",SER_hh_tes!U12/SER_hh_fec!U12)</f>
        <v>0.81097285705933519</v>
      </c>
      <c r="V12" s="136">
        <f>IF(SER_hh_tes!V12=0,"",SER_hh_tes!V12/SER_hh_fec!V12)</f>
        <v>0.81626180837009255</v>
      </c>
      <c r="W12" s="136">
        <f>IF(SER_hh_tes!W12=0,"",SER_hh_tes!W12/SER_hh_fec!W12)</f>
        <v>0.82204075753207095</v>
      </c>
      <c r="X12" s="136">
        <f>IF(SER_hh_tes!X12=0,"",SER_hh_tes!X12/SER_hh_fec!X12)</f>
        <v>0.82775064057889292</v>
      </c>
      <c r="Y12" s="136">
        <f>IF(SER_hh_tes!Y12=0,"",SER_hh_tes!Y12/SER_hh_fec!Y12)</f>
        <v>0.83346419931683569</v>
      </c>
      <c r="DA12" s="163" t="s">
        <v>339</v>
      </c>
    </row>
    <row r="13" spans="1:105" ht="12" customHeight="1" x14ac:dyDescent="0.25">
      <c r="A13" s="131" t="s">
        <v>77</v>
      </c>
      <c r="B13" s="136">
        <f>IF(SER_hh_tes!B13=0,"",SER_hh_tes!B13/SER_hh_fec!B13)</f>
        <v>1.4696612014794068</v>
      </c>
      <c r="C13" s="136">
        <f>IF(SER_hh_tes!C13=0,"",SER_hh_tes!C13/SER_hh_fec!C13)</f>
        <v>1.4954163323843457</v>
      </c>
      <c r="D13" s="136">
        <f>IF(SER_hh_tes!D13=0,"",SER_hh_tes!D13/SER_hh_fec!D13)</f>
        <v>1.5535767377242264</v>
      </c>
      <c r="E13" s="136">
        <f>IF(SER_hh_tes!E13=0,"",SER_hh_tes!E13/SER_hh_fec!E13)</f>
        <v>1.6084987512516613</v>
      </c>
      <c r="F13" s="136">
        <f>IF(SER_hh_tes!F13=0,"",SER_hh_tes!F13/SER_hh_fec!F13)</f>
        <v>1.6743195950241889</v>
      </c>
      <c r="G13" s="136">
        <f>IF(SER_hh_tes!G13=0,"",SER_hh_tes!G13/SER_hh_fec!G13)</f>
        <v>1.7475170109628821</v>
      </c>
      <c r="H13" s="136">
        <f>IF(SER_hh_tes!H13=0,"",SER_hh_tes!H13/SER_hh_fec!H13)</f>
        <v>1.8225501376393141</v>
      </c>
      <c r="I13" s="136">
        <f>IF(SER_hh_tes!I13=0,"",SER_hh_tes!I13/SER_hh_fec!I13)</f>
        <v>1.8993491156359394</v>
      </c>
      <c r="J13" s="136">
        <f>IF(SER_hh_tes!J13=0,"",SER_hh_tes!J13/SER_hh_fec!J13)</f>
        <v>1.9638937750071761</v>
      </c>
      <c r="K13" s="136">
        <f>IF(SER_hh_tes!K13=0,"",SER_hh_tes!K13/SER_hh_fec!K13)</f>
        <v>2.0393504190117935</v>
      </c>
      <c r="L13" s="136">
        <f>IF(SER_hh_tes!L13=0,"",SER_hh_tes!L13/SER_hh_fec!L13)</f>
        <v>2.1068286759986785</v>
      </c>
      <c r="M13" s="136">
        <f>IF(SER_hh_tes!M13=0,"",SER_hh_tes!M13/SER_hh_fec!M13)</f>
        <v>2.1934777989037446</v>
      </c>
      <c r="N13" s="136">
        <f>IF(SER_hh_tes!N13=0,"",SER_hh_tes!N13/SER_hh_fec!N13)</f>
        <v>2.2892369683402136</v>
      </c>
      <c r="O13" s="136">
        <f>IF(SER_hh_tes!O13=0,"",SER_hh_tes!O13/SER_hh_fec!O13)</f>
        <v>2.3918683072554372</v>
      </c>
      <c r="P13" s="136">
        <f>IF(SER_hh_tes!P13=0,"",SER_hh_tes!P13/SER_hh_fec!P13)</f>
        <v>2.495468771289842</v>
      </c>
      <c r="Q13" s="136">
        <f>IF(SER_hh_tes!Q13=0,"",SER_hh_tes!Q13/SER_hh_fec!Q13)</f>
        <v>2.6001070301347413</v>
      </c>
      <c r="R13" s="136">
        <f>IF(SER_hh_tes!R13=0,"",SER_hh_tes!R13/SER_hh_fec!R13)</f>
        <v>2.7211145945074513</v>
      </c>
      <c r="S13" s="136">
        <f>IF(SER_hh_tes!S13=0,"",SER_hh_tes!S13/SER_hh_fec!S13)</f>
        <v>2.8572979458922361</v>
      </c>
      <c r="T13" s="136">
        <f>IF(SER_hh_tes!T13=0,"",SER_hh_tes!T13/SER_hh_fec!T13)</f>
        <v>3.0118322285880725</v>
      </c>
      <c r="U13" s="136">
        <f>IF(SER_hh_tes!U13=0,"",SER_hh_tes!U13/SER_hh_fec!U13)</f>
        <v>3.1580946592055539</v>
      </c>
      <c r="V13" s="136">
        <f>IF(SER_hh_tes!V13=0,"",SER_hh_tes!V13/SER_hh_fec!V13)</f>
        <v>3.3228259283211412</v>
      </c>
      <c r="W13" s="136">
        <f>IF(SER_hh_tes!W13=0,"",SER_hh_tes!W13/SER_hh_fec!W13)</f>
        <v>3.484582428216136</v>
      </c>
      <c r="X13" s="136">
        <f>IF(SER_hh_tes!X13=0,"",SER_hh_tes!X13/SER_hh_fec!X13)</f>
        <v>3.6302428294530409</v>
      </c>
      <c r="Y13" s="136">
        <f>IF(SER_hh_tes!Y13=0,"",SER_hh_tes!Y13/SER_hh_fec!Y13)</f>
        <v>3.7304856484957623</v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0.66459682454209446</v>
      </c>
      <c r="C14" s="137">
        <f>IF(SER_hh_tes!C14=0,"",SER_hh_tes!C14/SER_hh_fec!C14)</f>
        <v>0.66787312636026896</v>
      </c>
      <c r="D14" s="137">
        <f>IF(SER_hh_tes!D14=0,"",SER_hh_tes!D14/SER_hh_fec!D14)</f>
        <v>0.67015124230301459</v>
      </c>
      <c r="E14" s="137">
        <f>IF(SER_hh_tes!E14=0,"",SER_hh_tes!E14/SER_hh_fec!E14)</f>
        <v>0.67209213066343354</v>
      </c>
      <c r="F14" s="137">
        <f>IF(SER_hh_tes!F14=0,"",SER_hh_tes!F14/SER_hh_fec!F14)</f>
        <v>0.67275934674081106</v>
      </c>
      <c r="G14" s="137">
        <f>IF(SER_hh_tes!G14=0,"",SER_hh_tes!G14/SER_hh_fec!G14)</f>
        <v>0.67677659021878256</v>
      </c>
      <c r="H14" s="137">
        <f>IF(SER_hh_tes!H14=0,"",SER_hh_tes!H14/SER_hh_fec!H14)</f>
        <v>0.68348322971718278</v>
      </c>
      <c r="I14" s="137">
        <f>IF(SER_hh_tes!I14=0,"",SER_hh_tes!I14/SER_hh_fec!I14)</f>
        <v>0.69131498779854017</v>
      </c>
      <c r="J14" s="137">
        <f>IF(SER_hh_tes!J14=0,"",SER_hh_tes!J14/SER_hh_fec!J14)</f>
        <v>0.69757450601047521</v>
      </c>
      <c r="K14" s="137">
        <f>IF(SER_hh_tes!K14=0,"",SER_hh_tes!K14/SER_hh_fec!K14)</f>
        <v>0.70347953912602135</v>
      </c>
      <c r="L14" s="137">
        <f>IF(SER_hh_tes!L14=0,"",SER_hh_tes!L14/SER_hh_fec!L14)</f>
        <v>0.70873100552141266</v>
      </c>
      <c r="M14" s="137">
        <f>IF(SER_hh_tes!M14=0,"",SER_hh_tes!M14/SER_hh_fec!M14)</f>
        <v>0.71467855241026623</v>
      </c>
      <c r="N14" s="137">
        <f>IF(SER_hh_tes!N14=0,"",SER_hh_tes!N14/SER_hh_fec!N14)</f>
        <v>0.72145295456171921</v>
      </c>
      <c r="O14" s="137">
        <f>IF(SER_hh_tes!O14=0,"",SER_hh_tes!O14/SER_hh_fec!O14)</f>
        <v>0.72750579155514539</v>
      </c>
      <c r="P14" s="137">
        <f>IF(SER_hh_tes!P14=0,"",SER_hh_tes!P14/SER_hh_fec!P14)</f>
        <v>0.72854877653208838</v>
      </c>
      <c r="Q14" s="137">
        <f>IF(SER_hh_tes!Q14=0,"",SER_hh_tes!Q14/SER_hh_fec!Q14)</f>
        <v>0.73025825823576529</v>
      </c>
      <c r="R14" s="137">
        <f>IF(SER_hh_tes!R14=0,"",SER_hh_tes!R14/SER_hh_fec!R14)</f>
        <v>0.73395515781764831</v>
      </c>
      <c r="S14" s="137">
        <f>IF(SER_hh_tes!S14=0,"",SER_hh_tes!S14/SER_hh_fec!S14)</f>
        <v>0.74010578858883069</v>
      </c>
      <c r="T14" s="137">
        <f>IF(SER_hh_tes!T14=0,"",SER_hh_tes!T14/SER_hh_fec!T14)</f>
        <v>0.74780091693122097</v>
      </c>
      <c r="U14" s="137">
        <f>IF(SER_hh_tes!U14=0,"",SER_hh_tes!U14/SER_hh_fec!U14)</f>
        <v>0.75584006235505452</v>
      </c>
      <c r="V14" s="137">
        <f>IF(SER_hh_tes!V14=0,"",SER_hh_tes!V14/SER_hh_fec!V14)</f>
        <v>0.76446561921695011</v>
      </c>
      <c r="W14" s="137">
        <f>IF(SER_hh_tes!W14=0,"",SER_hh_tes!W14/SER_hh_fec!W14)</f>
        <v>0.77331233500426999</v>
      </c>
      <c r="X14" s="137">
        <f>IF(SER_hh_tes!X14=0,"",SER_hh_tes!X14/SER_hh_fec!X14)</f>
        <v>0.78243535086282034</v>
      </c>
      <c r="Y14" s="137">
        <f>IF(SER_hh_tes!Y14=0,"",SER_hh_tes!Y14/SER_hh_fec!Y14)</f>
        <v>0.79042455593344474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1.7741495046496201</v>
      </c>
      <c r="C16" s="135">
        <f>IF(SER_hh_tes!C16=0,"",SER_hh_tes!C16/SER_hh_fec!C16)</f>
        <v>1.860183228003903</v>
      </c>
      <c r="D16" s="135">
        <f>IF(SER_hh_tes!D16=0,"",SER_hh_tes!D16/SER_hh_fec!D16)</f>
        <v>1.9981351270292333</v>
      </c>
      <c r="E16" s="135">
        <f>IF(SER_hh_tes!E16=0,"",SER_hh_tes!E16/SER_hh_fec!E16)</f>
        <v>2.0911220287268875</v>
      </c>
      <c r="F16" s="135">
        <f>IF(SER_hh_tes!F16=0,"",SER_hh_tes!F16/SER_hh_fec!F16)</f>
        <v>2.1899324175631958</v>
      </c>
      <c r="G16" s="135">
        <f>IF(SER_hh_tes!G16=0,"",SER_hh_tes!G16/SER_hh_fec!G16)</f>
        <v>2.3187256050542948</v>
      </c>
      <c r="H16" s="135">
        <f>IF(SER_hh_tes!H16=0,"",SER_hh_tes!H16/SER_hh_fec!H16)</f>
        <v>2.442693452693832</v>
      </c>
      <c r="I16" s="135">
        <f>IF(SER_hh_tes!I16=0,"",SER_hh_tes!I16/SER_hh_fec!I16)</f>
        <v>2.5551353097257907</v>
      </c>
      <c r="J16" s="135">
        <f>IF(SER_hh_tes!J16=0,"",SER_hh_tes!J16/SER_hh_fec!J16)</f>
        <v>2.6620527567918892</v>
      </c>
      <c r="K16" s="135">
        <f>IF(SER_hh_tes!K16=0,"",SER_hh_tes!K16/SER_hh_fec!K16)</f>
        <v>2.7107124099573614</v>
      </c>
      <c r="L16" s="135">
        <f>IF(SER_hh_tes!L16=0,"",SER_hh_tes!L16/SER_hh_fec!L16)</f>
        <v>2.7778772475559701</v>
      </c>
      <c r="M16" s="135">
        <f>IF(SER_hh_tes!M16=0,"",SER_hh_tes!M16/SER_hh_fec!M16)</f>
        <v>2.8745154243087052</v>
      </c>
      <c r="N16" s="135">
        <f>IF(SER_hh_tes!N16=0,"",SER_hh_tes!N16/SER_hh_fec!N16)</f>
        <v>2.9673927717884081</v>
      </c>
      <c r="O16" s="135">
        <f>IF(SER_hh_tes!O16=0,"",SER_hh_tes!O16/SER_hh_fec!O16)</f>
        <v>3.0590177721766816</v>
      </c>
      <c r="P16" s="135">
        <f>IF(SER_hh_tes!P16=0,"",SER_hh_tes!P16/SER_hh_fec!P16)</f>
        <v>3.1715924230168651</v>
      </c>
      <c r="Q16" s="135">
        <f>IF(SER_hh_tes!Q16=0,"",SER_hh_tes!Q16/SER_hh_fec!Q16)</f>
        <v>3.3040963164048738</v>
      </c>
      <c r="R16" s="135">
        <f>IF(SER_hh_tes!R16=0,"",SER_hh_tes!R16/SER_hh_fec!R16)</f>
        <v>3.4336449448030093</v>
      </c>
      <c r="S16" s="135">
        <f>IF(SER_hh_tes!S16=0,"",SER_hh_tes!S16/SER_hh_fec!S16)</f>
        <v>3.5519196071742822</v>
      </c>
      <c r="T16" s="135">
        <f>IF(SER_hh_tes!T16=0,"",SER_hh_tes!T16/SER_hh_fec!T16)</f>
        <v>3.6552474746098933</v>
      </c>
      <c r="U16" s="135">
        <f>IF(SER_hh_tes!U16=0,"",SER_hh_tes!U16/SER_hh_fec!U16)</f>
        <v>3.7472167332786679</v>
      </c>
      <c r="V16" s="135">
        <f>IF(SER_hh_tes!V16=0,"",SER_hh_tes!V16/SER_hh_fec!V16)</f>
        <v>3.8251957565374188</v>
      </c>
      <c r="W16" s="135">
        <f>IF(SER_hh_tes!W16=0,"",SER_hh_tes!W16/SER_hh_fec!W16)</f>
        <v>3.9026017419203547</v>
      </c>
      <c r="X16" s="135">
        <f>IF(SER_hh_tes!X16=0,"",SER_hh_tes!X16/SER_hh_fec!X16)</f>
        <v>3.9620578841864016</v>
      </c>
      <c r="Y16" s="135">
        <f>IF(SER_hh_tes!Y16=0,"",SER_hh_tes!Y16/SER_hh_fec!Y16)</f>
        <v>4.0084980323398174</v>
      </c>
      <c r="DA16" s="162" t="s">
        <v>241</v>
      </c>
    </row>
    <row r="17" spans="1:105" ht="12.95" customHeight="1" x14ac:dyDescent="0.25">
      <c r="A17" s="131" t="s">
        <v>73</v>
      </c>
      <c r="B17" s="136" t="str">
        <f>IF(SER_hh_tes!B17=0,"",SER_hh_tes!B17/SER_hh_fec!B17)</f>
        <v/>
      </c>
      <c r="C17" s="136" t="str">
        <f>IF(SER_hh_tes!C17=0,"",SER_hh_tes!C17/SER_hh_fec!C17)</f>
        <v/>
      </c>
      <c r="D17" s="136" t="str">
        <f>IF(SER_hh_tes!D17=0,"",SER_hh_tes!D17/SER_hh_fec!D17)</f>
        <v/>
      </c>
      <c r="E17" s="136" t="str">
        <f>IF(SER_hh_tes!E17=0,"",SER_hh_tes!E17/SER_hh_fec!E17)</f>
        <v/>
      </c>
      <c r="F17" s="136" t="str">
        <f>IF(SER_hh_tes!F17=0,"",SER_hh_tes!F17/SER_hh_fec!F17)</f>
        <v/>
      </c>
      <c r="G17" s="136">
        <f>IF(SER_hh_tes!G17=0,"",SER_hh_tes!G17/SER_hh_fec!G17)</f>
        <v>1.2332314823959534</v>
      </c>
      <c r="H17" s="136">
        <f>IF(SER_hh_tes!H17=0,"",SER_hh_tes!H17/SER_hh_fec!H17)</f>
        <v>1.2366422053102484</v>
      </c>
      <c r="I17" s="136">
        <f>IF(SER_hh_tes!I17=0,"",SER_hh_tes!I17/SER_hh_fec!I17)</f>
        <v>1.2456232506805565</v>
      </c>
      <c r="J17" s="136">
        <f>IF(SER_hh_tes!J17=0,"",SER_hh_tes!J17/SER_hh_fec!J17)</f>
        <v>1.2478968209155696</v>
      </c>
      <c r="K17" s="136">
        <f>IF(SER_hh_tes!K17=0,"",SER_hh_tes!K17/SER_hh_fec!K17)</f>
        <v>1.2606767075920726</v>
      </c>
      <c r="L17" s="136">
        <f>IF(SER_hh_tes!L17=0,"",SER_hh_tes!L17/SER_hh_fec!L17)</f>
        <v>1.2631640610509187</v>
      </c>
      <c r="M17" s="136">
        <f>IF(SER_hh_tes!M17=0,"",SER_hh_tes!M17/SER_hh_fec!M17)</f>
        <v>1.2726010870814406</v>
      </c>
      <c r="N17" s="136">
        <f>IF(SER_hh_tes!N17=0,"",SER_hh_tes!N17/SER_hh_fec!N17)</f>
        <v>1.2832469720626203</v>
      </c>
      <c r="O17" s="136">
        <f>IF(SER_hh_tes!O17=0,"",SER_hh_tes!O17/SER_hh_fec!O17)</f>
        <v>1.3095533871602856</v>
      </c>
      <c r="P17" s="136">
        <f>IF(SER_hh_tes!P17=0,"",SER_hh_tes!P17/SER_hh_fec!P17)</f>
        <v>1.3511217544201468</v>
      </c>
      <c r="Q17" s="136">
        <f>IF(SER_hh_tes!Q17=0,"",SER_hh_tes!Q17/SER_hh_fec!Q17)</f>
        <v>1.3887661225640884</v>
      </c>
      <c r="R17" s="136">
        <f>IF(SER_hh_tes!R17=0,"",SER_hh_tes!R17/SER_hh_fec!R17)</f>
        <v>1.4038209505936521</v>
      </c>
      <c r="S17" s="136">
        <f>IF(SER_hh_tes!S17=0,"",SER_hh_tes!S17/SER_hh_fec!S17)</f>
        <v>1.4216828247310771</v>
      </c>
      <c r="T17" s="136">
        <f>IF(SER_hh_tes!T17=0,"",SER_hh_tes!T17/SER_hh_fec!T17)</f>
        <v>1.4370576914327922</v>
      </c>
      <c r="U17" s="136">
        <f>IF(SER_hh_tes!U17=0,"",SER_hh_tes!U17/SER_hh_fec!U17)</f>
        <v>1.4522270884825055</v>
      </c>
      <c r="V17" s="136">
        <f>IF(SER_hh_tes!V17=0,"",SER_hh_tes!V17/SER_hh_fec!V17)</f>
        <v>1.4711919358399301</v>
      </c>
      <c r="W17" s="136">
        <f>IF(SER_hh_tes!W17=0,"",SER_hh_tes!W17/SER_hh_fec!W17)</f>
        <v>1.4870325543051008</v>
      </c>
      <c r="X17" s="136">
        <f>IF(SER_hh_tes!X17=0,"",SER_hh_tes!X17/SER_hh_fec!X17)</f>
        <v>1.5014490582968365</v>
      </c>
      <c r="Y17" s="136">
        <f>IF(SER_hh_tes!Y17=0,"",SER_hh_tes!Y17/SER_hh_fec!Y17)</f>
        <v>1.5209331763184009</v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1.7741495046496201</v>
      </c>
      <c r="C18" s="136">
        <f>IF(SER_hh_tes!C18=0,"",SER_hh_tes!C18/SER_hh_fec!C18)</f>
        <v>1.860183228003903</v>
      </c>
      <c r="D18" s="136">
        <f>IF(SER_hh_tes!D18=0,"",SER_hh_tes!D18/SER_hh_fec!D18)</f>
        <v>1.9981351270292333</v>
      </c>
      <c r="E18" s="136">
        <f>IF(SER_hh_tes!E18=0,"",SER_hh_tes!E18/SER_hh_fec!E18)</f>
        <v>2.0911220287268875</v>
      </c>
      <c r="F18" s="136">
        <f>IF(SER_hh_tes!F18=0,"",SER_hh_tes!F18/SER_hh_fec!F18)</f>
        <v>2.1899324175631958</v>
      </c>
      <c r="G18" s="136">
        <f>IF(SER_hh_tes!G18=0,"",SER_hh_tes!G18/SER_hh_fec!G18)</f>
        <v>2.3207903661688087</v>
      </c>
      <c r="H18" s="136">
        <f>IF(SER_hh_tes!H18=0,"",SER_hh_tes!H18/SER_hh_fec!H18)</f>
        <v>2.4451485068598489</v>
      </c>
      <c r="I18" s="136">
        <f>IF(SER_hh_tes!I18=0,"",SER_hh_tes!I18/SER_hh_fec!I18)</f>
        <v>2.5584920164266762</v>
      </c>
      <c r="J18" s="136">
        <f>IF(SER_hh_tes!J18=0,"",SER_hh_tes!J18/SER_hh_fec!J18)</f>
        <v>2.6655354244225928</v>
      </c>
      <c r="K18" s="136">
        <f>IF(SER_hh_tes!K18=0,"",SER_hh_tes!K18/SER_hh_fec!K18)</f>
        <v>2.7151002775760409</v>
      </c>
      <c r="L18" s="136">
        <f>IF(SER_hh_tes!L18=0,"",SER_hh_tes!L18/SER_hh_fec!L18)</f>
        <v>2.7822419626202515</v>
      </c>
      <c r="M18" s="136">
        <f>IF(SER_hh_tes!M18=0,"",SER_hh_tes!M18/SER_hh_fec!M18)</f>
        <v>2.8792256343285865</v>
      </c>
      <c r="N18" s="136">
        <f>IF(SER_hh_tes!N18=0,"",SER_hh_tes!N18/SER_hh_fec!N18)</f>
        <v>2.9724806273869899</v>
      </c>
      <c r="O18" s="136">
        <f>IF(SER_hh_tes!O18=0,"",SER_hh_tes!O18/SER_hh_fec!O18)</f>
        <v>3.0653068586842012</v>
      </c>
      <c r="P18" s="136">
        <f>IF(SER_hh_tes!P18=0,"",SER_hh_tes!P18/SER_hh_fec!P18)</f>
        <v>3.181135086045181</v>
      </c>
      <c r="Q18" s="136">
        <f>IF(SER_hh_tes!Q18=0,"",SER_hh_tes!Q18/SER_hh_fec!Q18)</f>
        <v>3.3197986770664021</v>
      </c>
      <c r="R18" s="136">
        <f>IF(SER_hh_tes!R18=0,"",SER_hh_tes!R18/SER_hh_fec!R18)</f>
        <v>3.4533904108224274</v>
      </c>
      <c r="S18" s="136">
        <f>IF(SER_hh_tes!S18=0,"",SER_hh_tes!S18/SER_hh_fec!S18)</f>
        <v>3.5769223242769779</v>
      </c>
      <c r="T18" s="136">
        <f>IF(SER_hh_tes!T18=0,"",SER_hh_tes!T18/SER_hh_fec!T18)</f>
        <v>3.6867004369171057</v>
      </c>
      <c r="U18" s="136">
        <f>IF(SER_hh_tes!U18=0,"",SER_hh_tes!U18/SER_hh_fec!U18)</f>
        <v>3.7803724202565765</v>
      </c>
      <c r="V18" s="136">
        <f>IF(SER_hh_tes!V18=0,"",SER_hh_tes!V18/SER_hh_fec!V18)</f>
        <v>3.8661523106358078</v>
      </c>
      <c r="W18" s="136">
        <f>IF(SER_hh_tes!W18=0,"",SER_hh_tes!W18/SER_hh_fec!W18)</f>
        <v>3.9455280608523298</v>
      </c>
      <c r="X18" s="136">
        <f>IF(SER_hh_tes!X18=0,"",SER_hh_tes!X18/SER_hh_fec!X18)</f>
        <v>4.0063206981249078</v>
      </c>
      <c r="Y18" s="136">
        <f>IF(SER_hh_tes!Y18=0,"",SER_hh_tes!Y18/SER_hh_fec!Y18)</f>
        <v>4.054909980676304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0.59966658514374227</v>
      </c>
      <c r="C19" s="135">
        <f>IF(SER_hh_tes!C19=0,"",SER_hh_tes!C19/SER_hh_fec!C19)</f>
        <v>0.60275528179555371</v>
      </c>
      <c r="D19" s="135">
        <f>IF(SER_hh_tes!D19=0,"",SER_hh_tes!D19/SER_hh_fec!D19)</f>
        <v>0.60461433065685177</v>
      </c>
      <c r="E19" s="135">
        <f>IF(SER_hh_tes!E19=0,"",SER_hh_tes!E19/SER_hh_fec!E19)</f>
        <v>0.6090583167349829</v>
      </c>
      <c r="F19" s="135">
        <f>IF(SER_hh_tes!F19=0,"",SER_hh_tes!F19/SER_hh_fec!F19)</f>
        <v>0.61304488760061593</v>
      </c>
      <c r="G19" s="135">
        <f>IF(SER_hh_tes!G19=0,"",SER_hh_tes!G19/SER_hh_fec!G19)</f>
        <v>0.61570322992113846</v>
      </c>
      <c r="H19" s="135">
        <f>IF(SER_hh_tes!H19=0,"",SER_hh_tes!H19/SER_hh_fec!H19)</f>
        <v>0.61995887545238693</v>
      </c>
      <c r="I19" s="135">
        <f>IF(SER_hh_tes!I19=0,"",SER_hh_tes!I19/SER_hh_fec!I19)</f>
        <v>0.62416283286270358</v>
      </c>
      <c r="J19" s="135">
        <f>IF(SER_hh_tes!J19=0,"",SER_hh_tes!J19/SER_hh_fec!J19)</f>
        <v>0.62798014513668576</v>
      </c>
      <c r="K19" s="135">
        <f>IF(SER_hh_tes!K19=0,"",SER_hh_tes!K19/SER_hh_fec!K19)</f>
        <v>0.62619516949759402</v>
      </c>
      <c r="L19" s="135">
        <f>IF(SER_hh_tes!L19=0,"",SER_hh_tes!L19/SER_hh_fec!L19)</f>
        <v>0.63644563399988519</v>
      </c>
      <c r="M19" s="135">
        <f>IF(SER_hh_tes!M19=0,"",SER_hh_tes!M19/SER_hh_fec!M19)</f>
        <v>0.64548192356037748</v>
      </c>
      <c r="N19" s="135">
        <f>IF(SER_hh_tes!N19=0,"",SER_hh_tes!N19/SER_hh_fec!N19)</f>
        <v>0.65449022135843893</v>
      </c>
      <c r="O19" s="135">
        <f>IF(SER_hh_tes!O19=0,"",SER_hh_tes!O19/SER_hh_fec!O19)</f>
        <v>0.66516814700144122</v>
      </c>
      <c r="P19" s="135">
        <f>IF(SER_hh_tes!P19=0,"",SER_hh_tes!P19/SER_hh_fec!P19)</f>
        <v>0.67036050921635282</v>
      </c>
      <c r="Q19" s="135">
        <f>IF(SER_hh_tes!Q19=0,"",SER_hh_tes!Q19/SER_hh_fec!Q19)</f>
        <v>0.67876184129101502</v>
      </c>
      <c r="R19" s="135">
        <f>IF(SER_hh_tes!R19=0,"",SER_hh_tes!R19/SER_hh_fec!R19)</f>
        <v>0.68947357200488213</v>
      </c>
      <c r="S19" s="135">
        <f>IF(SER_hh_tes!S19=0,"",SER_hh_tes!S19/SER_hh_fec!S19)</f>
        <v>0.70085937194280246</v>
      </c>
      <c r="T19" s="135">
        <f>IF(SER_hh_tes!T19=0,"",SER_hh_tes!T19/SER_hh_fec!T19)</f>
        <v>0.71730979036808284</v>
      </c>
      <c r="U19" s="135">
        <f>IF(SER_hh_tes!U19=0,"",SER_hh_tes!U19/SER_hh_fec!U19)</f>
        <v>0.72975031331145124</v>
      </c>
      <c r="V19" s="135">
        <f>IF(SER_hh_tes!V19=0,"",SER_hh_tes!V19/SER_hh_fec!V19)</f>
        <v>0.74592074558685539</v>
      </c>
      <c r="W19" s="135">
        <f>IF(SER_hh_tes!W19=0,"",SER_hh_tes!W19/SER_hh_fec!W19)</f>
        <v>0.76265463238607989</v>
      </c>
      <c r="X19" s="135">
        <f>IF(SER_hh_tes!X19=0,"",SER_hh_tes!X19/SER_hh_fec!X19)</f>
        <v>0.7801418794884788</v>
      </c>
      <c r="Y19" s="135">
        <f>IF(SER_hh_tes!Y19=0,"",SER_hh_tes!Y19/SER_hh_fec!Y19)</f>
        <v>0.79933588816065981</v>
      </c>
      <c r="DA19" s="162" t="s">
        <v>242</v>
      </c>
    </row>
    <row r="20" spans="1:105" ht="12" customHeight="1" x14ac:dyDescent="0.25">
      <c r="A20" s="131" t="s">
        <v>29</v>
      </c>
      <c r="B20" s="136" t="str">
        <f>IF(SER_hh_tes!B20=0,"",SER_hh_tes!B20/SER_hh_fec!B20)</f>
        <v/>
      </c>
      <c r="C20" s="136" t="str">
        <f>IF(SER_hh_tes!C20=0,"",SER_hh_tes!C20/SER_hh_fec!C20)</f>
        <v/>
      </c>
      <c r="D20" s="136" t="str">
        <f>IF(SER_hh_tes!D20=0,"",SER_hh_tes!D20/SER_hh_fec!D20)</f>
        <v/>
      </c>
      <c r="E20" s="136" t="str">
        <f>IF(SER_hh_tes!E20=0,"",SER_hh_tes!E20/SER_hh_fec!E20)</f>
        <v/>
      </c>
      <c r="F20" s="136" t="str">
        <f>IF(SER_hh_tes!F20=0,"",SER_hh_tes!F20/SER_hh_fec!F20)</f>
        <v/>
      </c>
      <c r="G20" s="136" t="str">
        <f>IF(SER_hh_tes!G20=0,"",SER_hh_tes!G20/SER_hh_fec!G20)</f>
        <v/>
      </c>
      <c r="H20" s="136" t="str">
        <f>IF(SER_hh_tes!H20=0,"",SER_hh_tes!H20/SER_hh_fec!H20)</f>
        <v/>
      </c>
      <c r="I20" s="136" t="str">
        <f>IF(SER_hh_tes!I20=0,"",SER_hh_tes!I20/SER_hh_fec!I20)</f>
        <v/>
      </c>
      <c r="J20" s="136" t="str">
        <f>IF(SER_hh_tes!J20=0,"",SER_hh_tes!J20/SER_hh_fec!J20)</f>
        <v/>
      </c>
      <c r="K20" s="136" t="str">
        <f>IF(SER_hh_tes!K20=0,"",SER_hh_tes!K20/SER_hh_fec!K20)</f>
        <v/>
      </c>
      <c r="L20" s="136" t="str">
        <f>IF(SER_hh_tes!L20=0,"",SER_hh_tes!L20/SER_hh_fec!L20)</f>
        <v/>
      </c>
      <c r="M20" s="136" t="str">
        <f>IF(SER_hh_tes!M20=0,"",SER_hh_tes!M20/SER_hh_fec!M20)</f>
        <v/>
      </c>
      <c r="N20" s="136" t="str">
        <f>IF(SER_hh_tes!N20=0,"",SER_hh_tes!N20/SER_hh_fec!N20)</f>
        <v/>
      </c>
      <c r="O20" s="136" t="str">
        <f>IF(SER_hh_tes!O20=0,"",SER_hh_tes!O20/SER_hh_fec!O20)</f>
        <v/>
      </c>
      <c r="P20" s="136" t="str">
        <f>IF(SER_hh_tes!P20=0,"",SER_hh_tes!P20/SER_hh_fec!P20)</f>
        <v/>
      </c>
      <c r="Q20" s="136" t="str">
        <f>IF(SER_hh_tes!Q20=0,"",SER_hh_tes!Q20/SER_hh_fec!Q20)</f>
        <v/>
      </c>
      <c r="R20" s="136" t="str">
        <f>IF(SER_hh_tes!R20=0,"",SER_hh_tes!R20/SER_hh_fec!R20)</f>
        <v/>
      </c>
      <c r="S20" s="136" t="str">
        <f>IF(SER_hh_tes!S20=0,"",SER_hh_tes!S20/SER_hh_fec!S20)</f>
        <v/>
      </c>
      <c r="T20" s="136" t="str">
        <f>IF(SER_hh_tes!T20=0,"",SER_hh_tes!T20/SER_hh_fec!T20)</f>
        <v/>
      </c>
      <c r="U20" s="136" t="str">
        <f>IF(SER_hh_tes!U20=0,"",SER_hh_tes!U20/SER_hh_fec!U20)</f>
        <v/>
      </c>
      <c r="V20" s="136" t="str">
        <f>IF(SER_hh_tes!V20=0,"",SER_hh_tes!V20/SER_hh_fec!V20)</f>
        <v/>
      </c>
      <c r="W20" s="136" t="str">
        <f>IF(SER_hh_tes!W20=0,"",SER_hh_tes!W20/SER_hh_fec!W20)</f>
        <v/>
      </c>
      <c r="X20" s="136" t="str">
        <f>IF(SER_hh_tes!X20=0,"",SER_hh_tes!X20/SER_hh_fec!X20)</f>
        <v/>
      </c>
      <c r="Y20" s="136" t="str">
        <f>IF(SER_hh_tes!Y20=0,"",SER_hh_tes!Y20/SER_hh_fec!Y20)</f>
        <v/>
      </c>
      <c r="DA20" s="163" t="s">
        <v>345</v>
      </c>
    </row>
    <row r="21" spans="1:105" s="2" customFormat="1" ht="12" customHeight="1" x14ac:dyDescent="0.25">
      <c r="A21" s="131" t="s">
        <v>52</v>
      </c>
      <c r="B21" s="136" t="str">
        <f>IF(SER_hh_tes!B21=0,"",SER_hh_tes!B21/SER_hh_fec!B21)</f>
        <v/>
      </c>
      <c r="C21" s="136" t="str">
        <f>IF(SER_hh_tes!C21=0,"",SER_hh_tes!C21/SER_hh_fec!C21)</f>
        <v/>
      </c>
      <c r="D21" s="136" t="str">
        <f>IF(SER_hh_tes!D21=0,"",SER_hh_tes!D21/SER_hh_fec!D21)</f>
        <v/>
      </c>
      <c r="E21" s="136" t="str">
        <f>IF(SER_hh_tes!E21=0,"",SER_hh_tes!E21/SER_hh_fec!E21)</f>
        <v/>
      </c>
      <c r="F21" s="136" t="str">
        <f>IF(SER_hh_tes!F21=0,"",SER_hh_tes!F21/SER_hh_fec!F21)</f>
        <v/>
      </c>
      <c r="G21" s="136" t="str">
        <f>IF(SER_hh_tes!G21=0,"",SER_hh_tes!G21/SER_hh_fec!G21)</f>
        <v/>
      </c>
      <c r="H21" s="136" t="str">
        <f>IF(SER_hh_tes!H21=0,"",SER_hh_tes!H21/SER_hh_fec!H21)</f>
        <v/>
      </c>
      <c r="I21" s="136" t="str">
        <f>IF(SER_hh_tes!I21=0,"",SER_hh_tes!I21/SER_hh_fec!I21)</f>
        <v/>
      </c>
      <c r="J21" s="136" t="str">
        <f>IF(SER_hh_tes!J21=0,"",SER_hh_tes!J21/SER_hh_fec!J21)</f>
        <v/>
      </c>
      <c r="K21" s="136" t="str">
        <f>IF(SER_hh_tes!K21=0,"",SER_hh_tes!K21/SER_hh_fec!K21)</f>
        <v/>
      </c>
      <c r="L21" s="136" t="str">
        <f>IF(SER_hh_tes!L21=0,"",SER_hh_tes!L21/SER_hh_fec!L21)</f>
        <v/>
      </c>
      <c r="M21" s="136" t="str">
        <f>IF(SER_hh_tes!M21=0,"",SER_hh_tes!M21/SER_hh_fec!M21)</f>
        <v/>
      </c>
      <c r="N21" s="136" t="str">
        <f>IF(SER_hh_tes!N21=0,"",SER_hh_tes!N21/SER_hh_fec!N21)</f>
        <v/>
      </c>
      <c r="O21" s="136" t="str">
        <f>IF(SER_hh_tes!O21=0,"",SER_hh_tes!O21/SER_hh_fec!O21)</f>
        <v/>
      </c>
      <c r="P21" s="136" t="str">
        <f>IF(SER_hh_tes!P21=0,"",SER_hh_tes!P21/SER_hh_fec!P21)</f>
        <v/>
      </c>
      <c r="Q21" s="136" t="str">
        <f>IF(SER_hh_tes!Q21=0,"",SER_hh_tes!Q21/SER_hh_fec!Q21)</f>
        <v/>
      </c>
      <c r="R21" s="136" t="str">
        <f>IF(SER_hh_tes!R21=0,"",SER_hh_tes!R21/SER_hh_fec!R21)</f>
        <v/>
      </c>
      <c r="S21" s="136" t="str">
        <f>IF(SER_hh_tes!S21=0,"",SER_hh_tes!S21/SER_hh_fec!S21)</f>
        <v/>
      </c>
      <c r="T21" s="136" t="str">
        <f>IF(SER_hh_tes!T21=0,"",SER_hh_tes!T21/SER_hh_fec!T21)</f>
        <v/>
      </c>
      <c r="U21" s="136" t="str">
        <f>IF(SER_hh_tes!U21=0,"",SER_hh_tes!U21/SER_hh_fec!U21)</f>
        <v/>
      </c>
      <c r="V21" s="136" t="str">
        <f>IF(SER_hh_tes!V21=0,"",SER_hh_tes!V21/SER_hh_fec!V21)</f>
        <v/>
      </c>
      <c r="W21" s="136" t="str">
        <f>IF(SER_hh_tes!W21=0,"",SER_hh_tes!W21/SER_hh_fec!W21)</f>
        <v/>
      </c>
      <c r="X21" s="136" t="str">
        <f>IF(SER_hh_tes!X21=0,"",SER_hh_tes!X21/SER_hh_fec!X21)</f>
        <v/>
      </c>
      <c r="Y21" s="136" t="str">
        <f>IF(SER_hh_tes!Y21=0,"",SER_hh_tes!Y21/SER_hh_fec!Y21)</f>
        <v/>
      </c>
      <c r="DA21" s="163" t="s">
        <v>346</v>
      </c>
    </row>
    <row r="22" spans="1:105" ht="12" customHeight="1" x14ac:dyDescent="0.25">
      <c r="A22" s="131" t="s">
        <v>161</v>
      </c>
      <c r="B22" s="136" t="str">
        <f>IF(SER_hh_tes!B22=0,"",SER_hh_tes!B22/SER_hh_fec!B22)</f>
        <v/>
      </c>
      <c r="C22" s="136" t="str">
        <f>IF(SER_hh_tes!C22=0,"",SER_hh_tes!C22/SER_hh_fec!C22)</f>
        <v/>
      </c>
      <c r="D22" s="136" t="str">
        <f>IF(SER_hh_tes!D22=0,"",SER_hh_tes!D22/SER_hh_fec!D22)</f>
        <v/>
      </c>
      <c r="E22" s="136" t="str">
        <f>IF(SER_hh_tes!E22=0,"",SER_hh_tes!E22/SER_hh_fec!E22)</f>
        <v/>
      </c>
      <c r="F22" s="136" t="str">
        <f>IF(SER_hh_tes!F22=0,"",SER_hh_tes!F22/SER_hh_fec!F22)</f>
        <v/>
      </c>
      <c r="G22" s="136" t="str">
        <f>IF(SER_hh_tes!G22=0,"",SER_hh_tes!G22/SER_hh_fec!G22)</f>
        <v/>
      </c>
      <c r="H22" s="136" t="str">
        <f>IF(SER_hh_tes!H22=0,"",SER_hh_tes!H22/SER_hh_fec!H22)</f>
        <v/>
      </c>
      <c r="I22" s="136" t="str">
        <f>IF(SER_hh_tes!I22=0,"",SER_hh_tes!I22/SER_hh_fec!I22)</f>
        <v/>
      </c>
      <c r="J22" s="136" t="str">
        <f>IF(SER_hh_tes!J22=0,"",SER_hh_tes!J22/SER_hh_fec!J22)</f>
        <v/>
      </c>
      <c r="K22" s="136" t="str">
        <f>IF(SER_hh_tes!K22=0,"",SER_hh_tes!K22/SER_hh_fec!K22)</f>
        <v/>
      </c>
      <c r="L22" s="136" t="str">
        <f>IF(SER_hh_tes!L22=0,"",SER_hh_tes!L22/SER_hh_fec!L22)</f>
        <v/>
      </c>
      <c r="M22" s="136" t="str">
        <f>IF(SER_hh_tes!M22=0,"",SER_hh_tes!M22/SER_hh_fec!M22)</f>
        <v/>
      </c>
      <c r="N22" s="136" t="str">
        <f>IF(SER_hh_tes!N22=0,"",SER_hh_tes!N22/SER_hh_fec!N22)</f>
        <v/>
      </c>
      <c r="O22" s="136" t="str">
        <f>IF(SER_hh_tes!O22=0,"",SER_hh_tes!O22/SER_hh_fec!O22)</f>
        <v/>
      </c>
      <c r="P22" s="136" t="str">
        <f>IF(SER_hh_tes!P22=0,"",SER_hh_tes!P22/SER_hh_fec!P22)</f>
        <v/>
      </c>
      <c r="Q22" s="136" t="str">
        <f>IF(SER_hh_tes!Q22=0,"",SER_hh_tes!Q22/SER_hh_fec!Q22)</f>
        <v/>
      </c>
      <c r="R22" s="136" t="str">
        <f>IF(SER_hh_tes!R22=0,"",SER_hh_tes!R22/SER_hh_fec!R22)</f>
        <v/>
      </c>
      <c r="S22" s="136" t="str">
        <f>IF(SER_hh_tes!S22=0,"",SER_hh_tes!S22/SER_hh_fec!S22)</f>
        <v/>
      </c>
      <c r="T22" s="136" t="str">
        <f>IF(SER_hh_tes!T22=0,"",SER_hh_tes!T22/SER_hh_fec!T22)</f>
        <v/>
      </c>
      <c r="U22" s="136" t="str">
        <f>IF(SER_hh_tes!U22=0,"",SER_hh_tes!U22/SER_hh_fec!U22)</f>
        <v/>
      </c>
      <c r="V22" s="136" t="str">
        <f>IF(SER_hh_tes!V22=0,"",SER_hh_tes!V22/SER_hh_fec!V22)</f>
        <v/>
      </c>
      <c r="W22" s="136" t="str">
        <f>IF(SER_hh_tes!W22=0,"",SER_hh_tes!W22/SER_hh_fec!W22)</f>
        <v/>
      </c>
      <c r="X22" s="136" t="str">
        <f>IF(SER_hh_tes!X22=0,"",SER_hh_tes!X22/SER_hh_fec!X22)</f>
        <v/>
      </c>
      <c r="Y22" s="136" t="str">
        <f>IF(SER_hh_tes!Y22=0,"",SER_hh_tes!Y22/SER_hh_fec!Y22)</f>
        <v/>
      </c>
      <c r="DA22" s="163" t="s">
        <v>347</v>
      </c>
    </row>
    <row r="23" spans="1:105" ht="12" customHeight="1" x14ac:dyDescent="0.25">
      <c r="A23" s="131" t="s">
        <v>149</v>
      </c>
      <c r="B23" s="136">
        <f>IF(SER_hh_tes!B23=0,"",SER_hh_tes!B23/SER_hh_fec!B23)</f>
        <v>0.50205093846879334</v>
      </c>
      <c r="C23" s="136">
        <f>IF(SER_hh_tes!C23=0,"",SER_hh_tes!C23/SER_hh_fec!C23)</f>
        <v>0.50680501314298021</v>
      </c>
      <c r="D23" s="136">
        <f>IF(SER_hh_tes!D23=0,"",SER_hh_tes!D23/SER_hh_fec!D23)</f>
        <v>0.51298375017392339</v>
      </c>
      <c r="E23" s="136">
        <f>IF(SER_hh_tes!E23=0,"",SER_hh_tes!E23/SER_hh_fec!E23)</f>
        <v>0.51944860023763129</v>
      </c>
      <c r="F23" s="136">
        <f>IF(SER_hh_tes!F23=0,"",SER_hh_tes!F23/SER_hh_fec!F23)</f>
        <v>0.52660405019714018</v>
      </c>
      <c r="G23" s="136">
        <f>IF(SER_hh_tes!G23=0,"",SER_hh_tes!G23/SER_hh_fec!G23)</f>
        <v>0.53428451187402215</v>
      </c>
      <c r="H23" s="136">
        <f>IF(SER_hh_tes!H23=0,"",SER_hh_tes!H23/SER_hh_fec!H23)</f>
        <v>0.54239804776032452</v>
      </c>
      <c r="I23" s="136">
        <f>IF(SER_hh_tes!I23=0,"",SER_hh_tes!I23/SER_hh_fec!I23)</f>
        <v>0.5512797435231066</v>
      </c>
      <c r="J23" s="136">
        <f>IF(SER_hh_tes!J23=0,"",SER_hh_tes!J23/SER_hh_fec!J23)</f>
        <v>0.55906464969842184</v>
      </c>
      <c r="K23" s="136">
        <f>IF(SER_hh_tes!K23=0,"",SER_hh_tes!K23/SER_hh_fec!K23)</f>
        <v>0.56571846523444502</v>
      </c>
      <c r="L23" s="136">
        <f>IF(SER_hh_tes!L23=0,"",SER_hh_tes!L23/SER_hh_fec!L23)</f>
        <v>0.57309647941199404</v>
      </c>
      <c r="M23" s="136">
        <f>IF(SER_hh_tes!M23=0,"",SER_hh_tes!M23/SER_hh_fec!M23)</f>
        <v>0.58172018338447362</v>
      </c>
      <c r="N23" s="136">
        <f>IF(SER_hh_tes!N23=0,"",SER_hh_tes!N23/SER_hh_fec!N23)</f>
        <v>0.59097792215471812</v>
      </c>
      <c r="O23" s="136">
        <f>IF(SER_hh_tes!O23=0,"",SER_hh_tes!O23/SER_hh_fec!O23)</f>
        <v>0.60176437630026658</v>
      </c>
      <c r="P23" s="136">
        <f>IF(SER_hh_tes!P23=0,"",SER_hh_tes!P23/SER_hh_fec!P23)</f>
        <v>0.6087274516084441</v>
      </c>
      <c r="Q23" s="136">
        <f>IF(SER_hh_tes!Q23=0,"",SER_hh_tes!Q23/SER_hh_fec!Q23)</f>
        <v>0.62021699438111877</v>
      </c>
      <c r="R23" s="136">
        <f>IF(SER_hh_tes!R23=0,"",SER_hh_tes!R23/SER_hh_fec!R23)</f>
        <v>0.63176737547214668</v>
      </c>
      <c r="S23" s="136">
        <f>IF(SER_hh_tes!S23=0,"",SER_hh_tes!S23/SER_hh_fec!S23)</f>
        <v>0.6486491781923156</v>
      </c>
      <c r="T23" s="136">
        <f>IF(SER_hh_tes!T23=0,"",SER_hh_tes!T23/SER_hh_fec!T23)</f>
        <v>0.66387084147817899</v>
      </c>
      <c r="U23" s="136">
        <f>IF(SER_hh_tes!U23=0,"",SER_hh_tes!U23/SER_hh_fec!U23)</f>
        <v>0.68164487575270993</v>
      </c>
      <c r="V23" s="136">
        <f>IF(SER_hh_tes!V23=0,"",SER_hh_tes!V23/SER_hh_fec!V23)</f>
        <v>0.69754721739498726</v>
      </c>
      <c r="W23" s="136">
        <f>IF(SER_hh_tes!W23=0,"",SER_hh_tes!W23/SER_hh_fec!W23)</f>
        <v>0.71235954071878294</v>
      </c>
      <c r="X23" s="136">
        <f>IF(SER_hh_tes!X23=0,"",SER_hh_tes!X23/SER_hh_fec!X23)</f>
        <v>0.72499743111526394</v>
      </c>
      <c r="Y23" s="136">
        <f>IF(SER_hh_tes!Y23=0,"",SER_hh_tes!Y23/SER_hh_fec!Y23)</f>
        <v>0.73681553765240559</v>
      </c>
      <c r="DA23" s="163" t="s">
        <v>348</v>
      </c>
    </row>
    <row r="24" spans="1:105" ht="12" customHeight="1" x14ac:dyDescent="0.25">
      <c r="A24" s="131" t="s">
        <v>128</v>
      </c>
      <c r="B24" s="136" t="str">
        <f>IF(SER_hh_tes!B24=0,"",SER_hh_tes!B24/SER_hh_fec!B24)</f>
        <v/>
      </c>
      <c r="C24" s="136" t="str">
        <f>IF(SER_hh_tes!C24=0,"",SER_hh_tes!C24/SER_hh_fec!C24)</f>
        <v/>
      </c>
      <c r="D24" s="136" t="str">
        <f>IF(SER_hh_tes!D24=0,"",SER_hh_tes!D24/SER_hh_fec!D24)</f>
        <v/>
      </c>
      <c r="E24" s="136" t="str">
        <f>IF(SER_hh_tes!E24=0,"",SER_hh_tes!E24/SER_hh_fec!E24)</f>
        <v/>
      </c>
      <c r="F24" s="136" t="str">
        <f>IF(SER_hh_tes!F24=0,"",SER_hh_tes!F24/SER_hh_fec!F24)</f>
        <v/>
      </c>
      <c r="G24" s="136" t="str">
        <f>IF(SER_hh_tes!G24=0,"",SER_hh_tes!G24/SER_hh_fec!G24)</f>
        <v/>
      </c>
      <c r="H24" s="136" t="str">
        <f>IF(SER_hh_tes!H24=0,"",SER_hh_tes!H24/SER_hh_fec!H24)</f>
        <v/>
      </c>
      <c r="I24" s="136" t="str">
        <f>IF(SER_hh_tes!I24=0,"",SER_hh_tes!I24/SER_hh_fec!I24)</f>
        <v/>
      </c>
      <c r="J24" s="136" t="str">
        <f>IF(SER_hh_tes!J24=0,"",SER_hh_tes!J24/SER_hh_fec!J24)</f>
        <v/>
      </c>
      <c r="K24" s="136" t="str">
        <f>IF(SER_hh_tes!K24=0,"",SER_hh_tes!K24/SER_hh_fec!K24)</f>
        <v/>
      </c>
      <c r="L24" s="136" t="str">
        <f>IF(SER_hh_tes!L24=0,"",SER_hh_tes!L24/SER_hh_fec!L24)</f>
        <v/>
      </c>
      <c r="M24" s="136" t="str">
        <f>IF(SER_hh_tes!M24=0,"",SER_hh_tes!M24/SER_hh_fec!M24)</f>
        <v/>
      </c>
      <c r="N24" s="136" t="str">
        <f>IF(SER_hh_tes!N24=0,"",SER_hh_tes!N24/SER_hh_fec!N24)</f>
        <v/>
      </c>
      <c r="O24" s="136" t="str">
        <f>IF(SER_hh_tes!O24=0,"",SER_hh_tes!O24/SER_hh_fec!O24)</f>
        <v/>
      </c>
      <c r="P24" s="136" t="str">
        <f>IF(SER_hh_tes!P24=0,"",SER_hh_tes!P24/SER_hh_fec!P24)</f>
        <v/>
      </c>
      <c r="Q24" s="136" t="str">
        <f>IF(SER_hh_tes!Q24=0,"",SER_hh_tes!Q24/SER_hh_fec!Q24)</f>
        <v/>
      </c>
      <c r="R24" s="136" t="str">
        <f>IF(SER_hh_tes!R24=0,"",SER_hh_tes!R24/SER_hh_fec!R24)</f>
        <v/>
      </c>
      <c r="S24" s="136" t="str">
        <f>IF(SER_hh_tes!S24=0,"",SER_hh_tes!S24/SER_hh_fec!S24)</f>
        <v/>
      </c>
      <c r="T24" s="136" t="str">
        <f>IF(SER_hh_tes!T24=0,"",SER_hh_tes!T24/SER_hh_fec!T24)</f>
        <v/>
      </c>
      <c r="U24" s="136" t="str">
        <f>IF(SER_hh_tes!U24=0,"",SER_hh_tes!U24/SER_hh_fec!U24)</f>
        <v/>
      </c>
      <c r="V24" s="136" t="str">
        <f>IF(SER_hh_tes!V24=0,"",SER_hh_tes!V24/SER_hh_fec!V24)</f>
        <v/>
      </c>
      <c r="W24" s="136" t="str">
        <f>IF(SER_hh_tes!W24=0,"",SER_hh_tes!W24/SER_hh_fec!W24)</f>
        <v/>
      </c>
      <c r="X24" s="136" t="str">
        <f>IF(SER_hh_tes!X24=0,"",SER_hh_tes!X24/SER_hh_fec!X24)</f>
        <v/>
      </c>
      <c r="Y24" s="136" t="str">
        <f>IF(SER_hh_tes!Y24=0,"",SER_hh_tes!Y24/SER_hh_fec!Y24)</f>
        <v/>
      </c>
      <c r="DA24" s="163" t="s">
        <v>349</v>
      </c>
    </row>
    <row r="25" spans="1:105" ht="12" customHeight="1" x14ac:dyDescent="0.25">
      <c r="A25" s="131" t="s">
        <v>162</v>
      </c>
      <c r="B25" s="136">
        <f>IF(SER_hh_tes!B25=0,"",SER_hh_tes!B25/SER_hh_fec!B25)</f>
        <v>0.74918454993874239</v>
      </c>
      <c r="C25" s="136">
        <f>IF(SER_hh_tes!C25=0,"",SER_hh_tes!C25/SER_hh_fec!C25)</f>
        <v>0.75137830291536156</v>
      </c>
      <c r="D25" s="136">
        <f>IF(SER_hh_tes!D25=0,"",SER_hh_tes!D25/SER_hh_fec!D25)</f>
        <v>0.75405152666001241</v>
      </c>
      <c r="E25" s="136">
        <f>IF(SER_hh_tes!E25=0,"",SER_hh_tes!E25/SER_hh_fec!E25)</f>
        <v>0.75683534918834638</v>
      </c>
      <c r="F25" s="136">
        <f>IF(SER_hh_tes!F25=0,"",SER_hh_tes!F25/SER_hh_fec!F25)</f>
        <v>0.75967047191960091</v>
      </c>
      <c r="G25" s="136">
        <f>IF(SER_hh_tes!G25=0,"",SER_hh_tes!G25/SER_hh_fec!G25)</f>
        <v>0.76231746228850938</v>
      </c>
      <c r="H25" s="136">
        <f>IF(SER_hh_tes!H25=0,"",SER_hh_tes!H25/SER_hh_fec!H25)</f>
        <v>0.76504780638927927</v>
      </c>
      <c r="I25" s="136">
        <f>IF(SER_hh_tes!I25=0,"",SER_hh_tes!I25/SER_hh_fec!I25)</f>
        <v>0.76764296738305193</v>
      </c>
      <c r="J25" s="136">
        <f>IF(SER_hh_tes!J25=0,"",SER_hh_tes!J25/SER_hh_fec!J25)</f>
        <v>0.77043569438720882</v>
      </c>
      <c r="K25" s="136">
        <f>IF(SER_hh_tes!K25=0,"",SER_hh_tes!K25/SER_hh_fec!K25)</f>
        <v>0.77340756085250739</v>
      </c>
      <c r="L25" s="136">
        <f>IF(SER_hh_tes!L25=0,"",SER_hh_tes!L25/SER_hh_fec!L25)</f>
        <v>0.77731165316625961</v>
      </c>
      <c r="M25" s="136">
        <f>IF(SER_hh_tes!M25=0,"",SER_hh_tes!M25/SER_hh_fec!M25)</f>
        <v>0.78208806838722611</v>
      </c>
      <c r="N25" s="136">
        <f>IF(SER_hh_tes!N25=0,"",SER_hh_tes!N25/SER_hh_fec!N25)</f>
        <v>0.78746229776600007</v>
      </c>
      <c r="O25" s="136">
        <f>IF(SER_hh_tes!O25=0,"",SER_hh_tes!O25/SER_hh_fec!O25)</f>
        <v>0.79273582275395083</v>
      </c>
      <c r="P25" s="136">
        <f>IF(SER_hh_tes!P25=0,"",SER_hh_tes!P25/SER_hh_fec!P25)</f>
        <v>0.79495796099254368</v>
      </c>
      <c r="Q25" s="136">
        <f>IF(SER_hh_tes!Q25=0,"",SER_hh_tes!Q25/SER_hh_fec!Q25)</f>
        <v>0.79776653571114098</v>
      </c>
      <c r="R25" s="136">
        <f>IF(SER_hh_tes!R25=0,"",SER_hh_tes!R25/SER_hh_fec!R25)</f>
        <v>0.80147978022621602</v>
      </c>
      <c r="S25" s="136">
        <f>IF(SER_hh_tes!S25=0,"",SER_hh_tes!S25/SER_hh_fec!S25)</f>
        <v>0.805893880655423</v>
      </c>
      <c r="T25" s="136">
        <f>IF(SER_hh_tes!T25=0,"",SER_hh_tes!T25/SER_hh_fec!T25)</f>
        <v>0.81077516039360309</v>
      </c>
      <c r="U25" s="136">
        <f>IF(SER_hh_tes!U25=0,"",SER_hh_tes!U25/SER_hh_fec!U25)</f>
        <v>0.81547998506899344</v>
      </c>
      <c r="V25" s="136">
        <f>IF(SER_hh_tes!V25=0,"",SER_hh_tes!V25/SER_hh_fec!V25)</f>
        <v>0.82051022946314556</v>
      </c>
      <c r="W25" s="136">
        <f>IF(SER_hh_tes!W25=0,"",SER_hh_tes!W25/SER_hh_fec!W25)</f>
        <v>0.82509026693717091</v>
      </c>
      <c r="X25" s="136">
        <f>IF(SER_hh_tes!X25=0,"",SER_hh_tes!X25/SER_hh_fec!X25)</f>
        <v>0.82903834690725198</v>
      </c>
      <c r="Y25" s="136">
        <f>IF(SER_hh_tes!Y25=0,"",SER_hh_tes!Y25/SER_hh_fec!Y25)</f>
        <v>0.83218935334702782</v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0.6230416312677034</v>
      </c>
      <c r="C26" s="137">
        <f>IF(SER_hh_tes!C26=0,"",SER_hh_tes!C26/SER_hh_fec!C26)</f>
        <v>0.62474858202645966</v>
      </c>
      <c r="D26" s="137">
        <f>IF(SER_hh_tes!D26=0,"",SER_hh_tes!D26/SER_hh_fec!D26)</f>
        <v>0.62603568103755136</v>
      </c>
      <c r="E26" s="137">
        <f>IF(SER_hh_tes!E26=0,"",SER_hh_tes!E26/SER_hh_fec!E26)</f>
        <v>0.62764432117396363</v>
      </c>
      <c r="F26" s="137">
        <f>IF(SER_hh_tes!F26=0,"",SER_hh_tes!F26/SER_hh_fec!F26)</f>
        <v>0.62952537245122364</v>
      </c>
      <c r="G26" s="137">
        <f>IF(SER_hh_tes!G26=0,"",SER_hh_tes!G26/SER_hh_fec!G26)</f>
        <v>0.63246500413892459</v>
      </c>
      <c r="H26" s="137">
        <f>IF(SER_hh_tes!H26=0,"",SER_hh_tes!H26/SER_hh_fec!H26)</f>
        <v>0.63558400913436486</v>
      </c>
      <c r="I26" s="137">
        <f>IF(SER_hh_tes!I26=0,"",SER_hh_tes!I26/SER_hh_fec!I26)</f>
        <v>0.63844039817818932</v>
      </c>
      <c r="J26" s="137">
        <f>IF(SER_hh_tes!J26=0,"",SER_hh_tes!J26/SER_hh_fec!J26)</f>
        <v>0.64161543949396627</v>
      </c>
      <c r="K26" s="137">
        <f>IF(SER_hh_tes!K26=0,"",SER_hh_tes!K26/SER_hh_fec!K26)</f>
        <v>0.64367125211667975</v>
      </c>
      <c r="L26" s="137">
        <f>IF(SER_hh_tes!L26=0,"",SER_hh_tes!L26/SER_hh_fec!L26)</f>
        <v>0.64827871778176083</v>
      </c>
      <c r="M26" s="137">
        <f>IF(SER_hh_tes!M26=0,"",SER_hh_tes!M26/SER_hh_fec!M26)</f>
        <v>0.65357919212284732</v>
      </c>
      <c r="N26" s="137">
        <f>IF(SER_hh_tes!N26=0,"",SER_hh_tes!N26/SER_hh_fec!N26)</f>
        <v>0.66083534202619487</v>
      </c>
      <c r="O26" s="137">
        <f>IF(SER_hh_tes!O26=0,"",SER_hh_tes!O26/SER_hh_fec!O26)</f>
        <v>0.66871615054726274</v>
      </c>
      <c r="P26" s="137">
        <f>IF(SER_hh_tes!P26=0,"",SER_hh_tes!P26/SER_hh_fec!P26)</f>
        <v>0.67211916499034574</v>
      </c>
      <c r="Q26" s="137">
        <f>IF(SER_hh_tes!Q26=0,"",SER_hh_tes!Q26/SER_hh_fec!Q26)</f>
        <v>0.67904520437097426</v>
      </c>
      <c r="R26" s="137">
        <f>IF(SER_hh_tes!R26=0,"",SER_hh_tes!R26/SER_hh_fec!R26)</f>
        <v>0.68933328275552086</v>
      </c>
      <c r="S26" s="137">
        <f>IF(SER_hh_tes!S26=0,"",SER_hh_tes!S26/SER_hh_fec!S26)</f>
        <v>0.70213992750593579</v>
      </c>
      <c r="T26" s="137">
        <f>IF(SER_hh_tes!T26=0,"",SER_hh_tes!T26/SER_hh_fec!T26)</f>
        <v>0.71872979597865649</v>
      </c>
      <c r="U26" s="137">
        <f>IF(SER_hh_tes!U26=0,"",SER_hh_tes!U26/SER_hh_fec!U26)</f>
        <v>0.73474365979320289</v>
      </c>
      <c r="V26" s="137">
        <f>IF(SER_hh_tes!V26=0,"",SER_hh_tes!V26/SER_hh_fec!V26)</f>
        <v>0.7547054589844826</v>
      </c>
      <c r="W26" s="137">
        <f>IF(SER_hh_tes!W26=0,"",SER_hh_tes!W26/SER_hh_fec!W26)</f>
        <v>0.78026511172848168</v>
      </c>
      <c r="X26" s="137">
        <f>IF(SER_hh_tes!X26=0,"",SER_hh_tes!X26/SER_hh_fec!X26)</f>
        <v>0.80716910883918902</v>
      </c>
      <c r="Y26" s="137">
        <f>IF(SER_hh_tes!Y26=0,"",SER_hh_tes!Y26/SER_hh_fec!Y26)</f>
        <v>0.83290585662402172</v>
      </c>
      <c r="DA26" s="164" t="s">
        <v>351</v>
      </c>
    </row>
    <row r="27" spans="1:105" ht="12" customHeight="1" x14ac:dyDescent="0.25">
      <c r="A27" s="144" t="s">
        <v>26</v>
      </c>
      <c r="B27" s="153" t="str">
        <f>IF(SER_hh_tes!B27=0,"",SER_hh_tes!B27/SER_hh_fec!B27)</f>
        <v/>
      </c>
      <c r="C27" s="153" t="str">
        <f>IF(SER_hh_tes!C27=0,"",SER_hh_tes!C27/SER_hh_fec!C27)</f>
        <v/>
      </c>
      <c r="D27" s="153" t="str">
        <f>IF(SER_hh_tes!D27=0,"",SER_hh_tes!D27/SER_hh_fec!D27)</f>
        <v/>
      </c>
      <c r="E27" s="153">
        <f>IF(SER_hh_tes!E27=0,"",SER_hh_tes!E27/SER_hh_fec!E27)</f>
        <v>1</v>
      </c>
      <c r="F27" s="153">
        <f>IF(SER_hh_tes!F27=0,"",SER_hh_tes!F27/SER_hh_fec!F27)</f>
        <v>1</v>
      </c>
      <c r="G27" s="153">
        <f>IF(SER_hh_tes!G27=0,"",SER_hh_tes!G27/SER_hh_fec!G27)</f>
        <v>1</v>
      </c>
      <c r="H27" s="153">
        <f>IF(SER_hh_tes!H27=0,"",SER_hh_tes!H27/SER_hh_fec!H27)</f>
        <v>1</v>
      </c>
      <c r="I27" s="153">
        <f>IF(SER_hh_tes!I27=0,"",SER_hh_tes!I27/SER_hh_fec!I27)</f>
        <v>1</v>
      </c>
      <c r="J27" s="153">
        <f>IF(SER_hh_tes!J27=0,"",SER_hh_tes!J27/SER_hh_fec!J27)</f>
        <v>1</v>
      </c>
      <c r="K27" s="153">
        <f>IF(SER_hh_tes!K27=0,"",SER_hh_tes!K27/SER_hh_fec!K27)</f>
        <v>1</v>
      </c>
      <c r="L27" s="153">
        <f>IF(SER_hh_tes!L27=0,"",SER_hh_tes!L27/SER_hh_fec!L27)</f>
        <v>1</v>
      </c>
      <c r="M27" s="153">
        <f>IF(SER_hh_tes!M27=0,"",SER_hh_tes!M27/SER_hh_fec!M27)</f>
        <v>1</v>
      </c>
      <c r="N27" s="153">
        <f>IF(SER_hh_tes!N27=0,"",SER_hh_tes!N27/SER_hh_fec!N27)</f>
        <v>1</v>
      </c>
      <c r="O27" s="153">
        <f>IF(SER_hh_tes!O27=0,"",SER_hh_tes!O27/SER_hh_fec!O27)</f>
        <v>1</v>
      </c>
      <c r="P27" s="153">
        <f>IF(SER_hh_tes!P27=0,"",SER_hh_tes!P27/SER_hh_fec!P27)</f>
        <v>1</v>
      </c>
      <c r="Q27" s="153">
        <f>IF(SER_hh_tes!Q27=0,"",SER_hh_tes!Q27/SER_hh_fec!Q27)</f>
        <v>1</v>
      </c>
      <c r="R27" s="153">
        <f>IF(SER_hh_tes!R27=0,"",SER_hh_tes!R27/SER_hh_fec!R27)</f>
        <v>1</v>
      </c>
      <c r="S27" s="153">
        <f>IF(SER_hh_tes!S27=0,"",SER_hh_tes!S27/SER_hh_fec!S27)</f>
        <v>1</v>
      </c>
      <c r="T27" s="153">
        <f>IF(SER_hh_tes!T27=0,"",SER_hh_tes!T27/SER_hh_fec!T27)</f>
        <v>1</v>
      </c>
      <c r="U27" s="153">
        <f>IF(SER_hh_tes!U27=0,"",SER_hh_tes!U27/SER_hh_fec!U27)</f>
        <v>1</v>
      </c>
      <c r="V27" s="153">
        <f>IF(SER_hh_tes!V27=0,"",SER_hh_tes!V27/SER_hh_fec!V27)</f>
        <v>1</v>
      </c>
      <c r="W27" s="153">
        <f>IF(SER_hh_tes!W27=0,"",SER_hh_tes!W27/SER_hh_fec!W27)</f>
        <v>1</v>
      </c>
      <c r="X27" s="153">
        <f>IF(SER_hh_tes!X27=0,"",SER_hh_tes!X27/SER_hh_fec!X27)</f>
        <v>1</v>
      </c>
      <c r="Y27" s="153">
        <f>IF(SER_hh_tes!Y27=0,"",SER_hh_tes!Y27/SER_hh_fec!Y27)</f>
        <v>1</v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0.66546834313388792</v>
      </c>
      <c r="C29" s="135">
        <f>IF(SER_hh_tes!C29=0,"",SER_hh_tes!C29/SER_hh_fec!C29)</f>
        <v>0.65319740330819209</v>
      </c>
      <c r="D29" s="135">
        <f>IF(SER_hh_tes!D29=0,"",SER_hh_tes!D29/SER_hh_fec!D29)</f>
        <v>0.65442782201710692</v>
      </c>
      <c r="E29" s="135">
        <f>IF(SER_hh_tes!E29=0,"",SER_hh_tes!E29/SER_hh_fec!E29)</f>
        <v>0.65870247965814832</v>
      </c>
      <c r="F29" s="135">
        <f>IF(SER_hh_tes!F29=0,"",SER_hh_tes!F29/SER_hh_fec!F29)</f>
        <v>0.65888819819233102</v>
      </c>
      <c r="G29" s="135">
        <f>IF(SER_hh_tes!G29=0,"",SER_hh_tes!G29/SER_hh_fec!G29)</f>
        <v>0.6613115207197019</v>
      </c>
      <c r="H29" s="135">
        <f>IF(SER_hh_tes!H29=0,"",SER_hh_tes!H29/SER_hh_fec!H29)</f>
        <v>0.66580457135795146</v>
      </c>
      <c r="I29" s="135">
        <f>IF(SER_hh_tes!I29=0,"",SER_hh_tes!I29/SER_hh_fec!I29)</f>
        <v>0.66611973443618955</v>
      </c>
      <c r="J29" s="135">
        <f>IF(SER_hh_tes!J29=0,"",SER_hh_tes!J29/SER_hh_fec!J29)</f>
        <v>0.66651048405584801</v>
      </c>
      <c r="K29" s="135">
        <f>IF(SER_hh_tes!K29=0,"",SER_hh_tes!K29/SER_hh_fec!K29)</f>
        <v>0.66225796766298728</v>
      </c>
      <c r="L29" s="135">
        <f>IF(SER_hh_tes!L29=0,"",SER_hh_tes!L29/SER_hh_fec!L29)</f>
        <v>0.66828841726831056</v>
      </c>
      <c r="M29" s="135">
        <f>IF(SER_hh_tes!M29=0,"",SER_hh_tes!M29/SER_hh_fec!M29)</f>
        <v>0.67015214631266495</v>
      </c>
      <c r="N29" s="135">
        <f>IF(SER_hh_tes!N29=0,"",SER_hh_tes!N29/SER_hh_fec!N29)</f>
        <v>0.67200257449576917</v>
      </c>
      <c r="O29" s="135">
        <f>IF(SER_hh_tes!O29=0,"",SER_hh_tes!O29/SER_hh_fec!O29)</f>
        <v>0.67452088243005115</v>
      </c>
      <c r="P29" s="135">
        <f>IF(SER_hh_tes!P29=0,"",SER_hh_tes!P29/SER_hh_fec!P29)</f>
        <v>0.6760577651486539</v>
      </c>
      <c r="Q29" s="135">
        <f>IF(SER_hh_tes!Q29=0,"",SER_hh_tes!Q29/SER_hh_fec!Q29)</f>
        <v>0.68006996460039426</v>
      </c>
      <c r="R29" s="135">
        <f>IF(SER_hh_tes!R29=0,"",SER_hh_tes!R29/SER_hh_fec!R29)</f>
        <v>0.67615151375709182</v>
      </c>
      <c r="S29" s="135">
        <f>IF(SER_hh_tes!S29=0,"",SER_hh_tes!S29/SER_hh_fec!S29)</f>
        <v>0.6675776239350264</v>
      </c>
      <c r="T29" s="135">
        <f>IF(SER_hh_tes!T29=0,"",SER_hh_tes!T29/SER_hh_fec!T29)</f>
        <v>0.6779552217515219</v>
      </c>
      <c r="U29" s="135">
        <f>IF(SER_hh_tes!U29=0,"",SER_hh_tes!U29/SER_hh_fec!U29)</f>
        <v>0.67657698205922112</v>
      </c>
      <c r="V29" s="135">
        <f>IF(SER_hh_tes!V29=0,"",SER_hh_tes!V29/SER_hh_fec!V29)</f>
        <v>0.6852076670380598</v>
      </c>
      <c r="W29" s="135">
        <f>IF(SER_hh_tes!W29=0,"",SER_hh_tes!W29/SER_hh_fec!W29)</f>
        <v>0.69629191323838879</v>
      </c>
      <c r="X29" s="135">
        <f>IF(SER_hh_tes!X29=0,"",SER_hh_tes!X29/SER_hh_fec!X29)</f>
        <v>0.71179683936872751</v>
      </c>
      <c r="Y29" s="135">
        <f>IF(SER_hh_tes!Y29=0,"",SER_hh_tes!Y29/SER_hh_fec!Y29)</f>
        <v>0.72891995886668737</v>
      </c>
      <c r="DA29" s="162" t="s">
        <v>243</v>
      </c>
    </row>
    <row r="30" spans="1:105" ht="12" customHeight="1" x14ac:dyDescent="0.25">
      <c r="A30" s="131" t="s">
        <v>52</v>
      </c>
      <c r="B30" s="136" t="str">
        <f>IF(SER_hh_tes!B30=0,"",SER_hh_tes!B30/SER_hh_fec!B30)</f>
        <v/>
      </c>
      <c r="C30" s="136" t="str">
        <f>IF(SER_hh_tes!C30=0,"",SER_hh_tes!C30/SER_hh_fec!C30)</f>
        <v/>
      </c>
      <c r="D30" s="136" t="str">
        <f>IF(SER_hh_tes!D30=0,"",SER_hh_tes!D30/SER_hh_fec!D30)</f>
        <v/>
      </c>
      <c r="E30" s="136" t="str">
        <f>IF(SER_hh_tes!E30=0,"",SER_hh_tes!E30/SER_hh_fec!E30)</f>
        <v/>
      </c>
      <c r="F30" s="136" t="str">
        <f>IF(SER_hh_tes!F30=0,"",SER_hh_tes!F30/SER_hh_fec!F30)</f>
        <v/>
      </c>
      <c r="G30" s="136" t="str">
        <f>IF(SER_hh_tes!G30=0,"",SER_hh_tes!G30/SER_hh_fec!G30)</f>
        <v/>
      </c>
      <c r="H30" s="136" t="str">
        <f>IF(SER_hh_tes!H30=0,"",SER_hh_tes!H30/SER_hh_fec!H30)</f>
        <v/>
      </c>
      <c r="I30" s="136" t="str">
        <f>IF(SER_hh_tes!I30=0,"",SER_hh_tes!I30/SER_hh_fec!I30)</f>
        <v/>
      </c>
      <c r="J30" s="136" t="str">
        <f>IF(SER_hh_tes!J30=0,"",SER_hh_tes!J30/SER_hh_fec!J30)</f>
        <v/>
      </c>
      <c r="K30" s="136" t="str">
        <f>IF(SER_hh_tes!K30=0,"",SER_hh_tes!K30/SER_hh_fec!K30)</f>
        <v/>
      </c>
      <c r="L30" s="136" t="str">
        <f>IF(SER_hh_tes!L30=0,"",SER_hh_tes!L30/SER_hh_fec!L30)</f>
        <v/>
      </c>
      <c r="M30" s="136" t="str">
        <f>IF(SER_hh_tes!M30=0,"",SER_hh_tes!M30/SER_hh_fec!M30)</f>
        <v/>
      </c>
      <c r="N30" s="136" t="str">
        <f>IF(SER_hh_tes!N30=0,"",SER_hh_tes!N30/SER_hh_fec!N30)</f>
        <v/>
      </c>
      <c r="O30" s="136" t="str">
        <f>IF(SER_hh_tes!O30=0,"",SER_hh_tes!O30/SER_hh_fec!O30)</f>
        <v/>
      </c>
      <c r="P30" s="136" t="str">
        <f>IF(SER_hh_tes!P30=0,"",SER_hh_tes!P30/SER_hh_fec!P30)</f>
        <v/>
      </c>
      <c r="Q30" s="136" t="str">
        <f>IF(SER_hh_tes!Q30=0,"",SER_hh_tes!Q30/SER_hh_fec!Q30)</f>
        <v/>
      </c>
      <c r="R30" s="136" t="str">
        <f>IF(SER_hh_tes!R30=0,"",SER_hh_tes!R30/SER_hh_fec!R30)</f>
        <v/>
      </c>
      <c r="S30" s="136" t="str">
        <f>IF(SER_hh_tes!S30=0,"",SER_hh_tes!S30/SER_hh_fec!S30)</f>
        <v/>
      </c>
      <c r="T30" s="136" t="str">
        <f>IF(SER_hh_tes!T30=0,"",SER_hh_tes!T30/SER_hh_fec!T30)</f>
        <v/>
      </c>
      <c r="U30" s="136" t="str">
        <f>IF(SER_hh_tes!U30=0,"",SER_hh_tes!U30/SER_hh_fec!U30)</f>
        <v/>
      </c>
      <c r="V30" s="136" t="str">
        <f>IF(SER_hh_tes!V30=0,"",SER_hh_tes!V30/SER_hh_fec!V30)</f>
        <v/>
      </c>
      <c r="W30" s="136" t="str">
        <f>IF(SER_hh_tes!W30=0,"",SER_hh_tes!W30/SER_hh_fec!W30)</f>
        <v/>
      </c>
      <c r="X30" s="136" t="str">
        <f>IF(SER_hh_tes!X30=0,"",SER_hh_tes!X30/SER_hh_fec!X30)</f>
        <v/>
      </c>
      <c r="Y30" s="136" t="str">
        <f>IF(SER_hh_tes!Y30=0,"",SER_hh_tes!Y30/SER_hh_fec!Y30)</f>
        <v/>
      </c>
      <c r="DA30" s="163" t="s">
        <v>353</v>
      </c>
    </row>
    <row r="31" spans="1:105" ht="12" customHeight="1" x14ac:dyDescent="0.25">
      <c r="A31" s="131" t="s">
        <v>149</v>
      </c>
      <c r="B31" s="136">
        <f>IF(SER_hh_tes!B31=0,"",SER_hh_tes!B31/SER_hh_fec!B31)</f>
        <v>0.57823480952373185</v>
      </c>
      <c r="C31" s="136">
        <f>IF(SER_hh_tes!C31=0,"",SER_hh_tes!C31/SER_hh_fec!C31)</f>
        <v>0.57904869737628251</v>
      </c>
      <c r="D31" s="136">
        <f>IF(SER_hh_tes!D31=0,"",SER_hh_tes!D31/SER_hh_fec!D31)</f>
        <v>0.5798846014547604</v>
      </c>
      <c r="E31" s="136">
        <f>IF(SER_hh_tes!E31=0,"",SER_hh_tes!E31/SER_hh_fec!E31)</f>
        <v>0.5807431882919708</v>
      </c>
      <c r="F31" s="136">
        <f>IF(SER_hh_tes!F31=0,"",SER_hh_tes!F31/SER_hh_fec!F31)</f>
        <v>0.58160053711302684</v>
      </c>
      <c r="G31" s="136">
        <f>IF(SER_hh_tes!G31=0,"",SER_hh_tes!G31/SER_hh_fec!G31)</f>
        <v>0.58262298851562788</v>
      </c>
      <c r="H31" s="136">
        <f>IF(SER_hh_tes!H31=0,"",SER_hh_tes!H31/SER_hh_fec!H31)</f>
        <v>0.58362409140445581</v>
      </c>
      <c r="I31" s="136">
        <f>IF(SER_hh_tes!I31=0,"",SER_hh_tes!I31/SER_hh_fec!I31)</f>
        <v>0.58471113422378307</v>
      </c>
      <c r="J31" s="136">
        <f>IF(SER_hh_tes!J31=0,"",SER_hh_tes!J31/SER_hh_fec!J31)</f>
        <v>0.58582284264365303</v>
      </c>
      <c r="K31" s="136">
        <f>IF(SER_hh_tes!K31=0,"",SER_hh_tes!K31/SER_hh_fec!K31)</f>
        <v>0.58688832159222892</v>
      </c>
      <c r="L31" s="136">
        <f>IF(SER_hh_tes!L31=0,"",SER_hh_tes!L31/SER_hh_fec!L31)</f>
        <v>0.58777469511529667</v>
      </c>
      <c r="M31" s="136">
        <f>IF(SER_hh_tes!M31=0,"",SER_hh_tes!M31/SER_hh_fec!M31)</f>
        <v>0.5880667017843465</v>
      </c>
      <c r="N31" s="136">
        <f>IF(SER_hh_tes!N31=0,"",SER_hh_tes!N31/SER_hh_fec!N31)</f>
        <v>0.58844524563194467</v>
      </c>
      <c r="O31" s="136">
        <f>IF(SER_hh_tes!O31=0,"",SER_hh_tes!O31/SER_hh_fec!O31)</f>
        <v>0.58895867817889502</v>
      </c>
      <c r="P31" s="136">
        <f>IF(SER_hh_tes!P31=0,"",SER_hh_tes!P31/SER_hh_fec!P31)</f>
        <v>0.5894836183652733</v>
      </c>
      <c r="Q31" s="136">
        <f>IF(SER_hh_tes!Q31=0,"",SER_hh_tes!Q31/SER_hh_fec!Q31)</f>
        <v>0.59021584823775286</v>
      </c>
      <c r="R31" s="136">
        <f>IF(SER_hh_tes!R31=0,"",SER_hh_tes!R31/SER_hh_fec!R31)</f>
        <v>0.59161681434643931</v>
      </c>
      <c r="S31" s="136">
        <f>IF(SER_hh_tes!S31=0,"",SER_hh_tes!S31/SER_hh_fec!S31)</f>
        <v>0.59402463813388584</v>
      </c>
      <c r="T31" s="136">
        <f>IF(SER_hh_tes!T31=0,"",SER_hh_tes!T31/SER_hh_fec!T31)</f>
        <v>0.59659283757744597</v>
      </c>
      <c r="U31" s="136">
        <f>IF(SER_hh_tes!U31=0,"",SER_hh_tes!U31/SER_hh_fec!U31)</f>
        <v>0.59966860463590088</v>
      </c>
      <c r="V31" s="136">
        <f>IF(SER_hh_tes!V31=0,"",SER_hh_tes!V31/SER_hh_fec!V31)</f>
        <v>0.60219642930217177</v>
      </c>
      <c r="W31" s="136">
        <f>IF(SER_hh_tes!W31=0,"",SER_hh_tes!W31/SER_hh_fec!W31)</f>
        <v>0.60424177709514837</v>
      </c>
      <c r="X31" s="136">
        <f>IF(SER_hh_tes!X31=0,"",SER_hh_tes!X31/SER_hh_fec!X31)</f>
        <v>0.60591049036105982</v>
      </c>
      <c r="Y31" s="136">
        <f>IF(SER_hh_tes!Y31=0,"",SER_hh_tes!Y31/SER_hh_fec!Y31)</f>
        <v>0.60774796721718427</v>
      </c>
      <c r="DA31" s="163" t="s">
        <v>354</v>
      </c>
    </row>
    <row r="32" spans="1:105" ht="12" customHeight="1" x14ac:dyDescent="0.25">
      <c r="A32" s="131" t="s">
        <v>128</v>
      </c>
      <c r="B32" s="136" t="str">
        <f>IF(SER_hh_tes!B32=0,"",SER_hh_tes!B32/SER_hh_fec!B32)</f>
        <v/>
      </c>
      <c r="C32" s="136" t="str">
        <f>IF(SER_hh_tes!C32=0,"",SER_hh_tes!C32/SER_hh_fec!C32)</f>
        <v/>
      </c>
      <c r="D32" s="136" t="str">
        <f>IF(SER_hh_tes!D32=0,"",SER_hh_tes!D32/SER_hh_fec!D32)</f>
        <v/>
      </c>
      <c r="E32" s="136" t="str">
        <f>IF(SER_hh_tes!E32=0,"",SER_hh_tes!E32/SER_hh_fec!E32)</f>
        <v/>
      </c>
      <c r="F32" s="136" t="str">
        <f>IF(SER_hh_tes!F32=0,"",SER_hh_tes!F32/SER_hh_fec!F32)</f>
        <v/>
      </c>
      <c r="G32" s="136" t="str">
        <f>IF(SER_hh_tes!G32=0,"",SER_hh_tes!G32/SER_hh_fec!G32)</f>
        <v/>
      </c>
      <c r="H32" s="136" t="str">
        <f>IF(SER_hh_tes!H32=0,"",SER_hh_tes!H32/SER_hh_fec!H32)</f>
        <v/>
      </c>
      <c r="I32" s="136" t="str">
        <f>IF(SER_hh_tes!I32=0,"",SER_hh_tes!I32/SER_hh_fec!I32)</f>
        <v/>
      </c>
      <c r="J32" s="136" t="str">
        <f>IF(SER_hh_tes!J32=0,"",SER_hh_tes!J32/SER_hh_fec!J32)</f>
        <v/>
      </c>
      <c r="K32" s="136" t="str">
        <f>IF(SER_hh_tes!K32=0,"",SER_hh_tes!K32/SER_hh_fec!K32)</f>
        <v/>
      </c>
      <c r="L32" s="136" t="str">
        <f>IF(SER_hh_tes!L32=0,"",SER_hh_tes!L32/SER_hh_fec!L32)</f>
        <v/>
      </c>
      <c r="M32" s="136" t="str">
        <f>IF(SER_hh_tes!M32=0,"",SER_hh_tes!M32/SER_hh_fec!M32)</f>
        <v/>
      </c>
      <c r="N32" s="136" t="str">
        <f>IF(SER_hh_tes!N32=0,"",SER_hh_tes!N32/SER_hh_fec!N32)</f>
        <v/>
      </c>
      <c r="O32" s="136" t="str">
        <f>IF(SER_hh_tes!O32=0,"",SER_hh_tes!O32/SER_hh_fec!O32)</f>
        <v/>
      </c>
      <c r="P32" s="136" t="str">
        <f>IF(SER_hh_tes!P32=0,"",SER_hh_tes!P32/SER_hh_fec!P32)</f>
        <v/>
      </c>
      <c r="Q32" s="136" t="str">
        <f>IF(SER_hh_tes!Q32=0,"",SER_hh_tes!Q32/SER_hh_fec!Q32)</f>
        <v/>
      </c>
      <c r="R32" s="136" t="str">
        <f>IF(SER_hh_tes!R32=0,"",SER_hh_tes!R32/SER_hh_fec!R32)</f>
        <v/>
      </c>
      <c r="S32" s="136" t="str">
        <f>IF(SER_hh_tes!S32=0,"",SER_hh_tes!S32/SER_hh_fec!S32)</f>
        <v/>
      </c>
      <c r="T32" s="136" t="str">
        <f>IF(SER_hh_tes!T32=0,"",SER_hh_tes!T32/SER_hh_fec!T32)</f>
        <v/>
      </c>
      <c r="U32" s="136" t="str">
        <f>IF(SER_hh_tes!U32=0,"",SER_hh_tes!U32/SER_hh_fec!U32)</f>
        <v/>
      </c>
      <c r="V32" s="136" t="str">
        <f>IF(SER_hh_tes!V32=0,"",SER_hh_tes!V32/SER_hh_fec!V32)</f>
        <v/>
      </c>
      <c r="W32" s="136" t="str">
        <f>IF(SER_hh_tes!W32=0,"",SER_hh_tes!W32/SER_hh_fec!W32)</f>
        <v/>
      </c>
      <c r="X32" s="136" t="str">
        <f>IF(SER_hh_tes!X32=0,"",SER_hh_tes!X32/SER_hh_fec!X32)</f>
        <v/>
      </c>
      <c r="Y32" s="136" t="str">
        <f>IF(SER_hh_tes!Y32=0,"",SER_hh_tes!Y32/SER_hh_fec!Y32)</f>
        <v/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0.75577096582792946</v>
      </c>
      <c r="C33" s="149">
        <f>IF(SER_hh_tes!C33=0,"",SER_hh_tes!C33/SER_hh_fec!C33)</f>
        <v>0.75712113965255523</v>
      </c>
      <c r="D33" s="149">
        <f>IF(SER_hh_tes!D33=0,"",SER_hh_tes!D33/SER_hh_fec!D33)</f>
        <v>0.75858087887019177</v>
      </c>
      <c r="E33" s="149">
        <f>IF(SER_hh_tes!E33=0,"",SER_hh_tes!E33/SER_hh_fec!E33)</f>
        <v>0.76031704272439671</v>
      </c>
      <c r="F33" s="149">
        <f>IF(SER_hh_tes!F33=0,"",SER_hh_tes!F33/SER_hh_fec!F33)</f>
        <v>0.76228609752877807</v>
      </c>
      <c r="G33" s="149">
        <f>IF(SER_hh_tes!G33=0,"",SER_hh_tes!G33/SER_hh_fec!G33)</f>
        <v>0.76435544477174477</v>
      </c>
      <c r="H33" s="149">
        <f>IF(SER_hh_tes!H33=0,"",SER_hh_tes!H33/SER_hh_fec!H33)</f>
        <v>0.76659053352547868</v>
      </c>
      <c r="I33" s="149">
        <f>IF(SER_hh_tes!I33=0,"",SER_hh_tes!I33/SER_hh_fec!I33)</f>
        <v>0.76870667249023927</v>
      </c>
      <c r="J33" s="149">
        <f>IF(SER_hh_tes!J33=0,"",SER_hh_tes!J33/SER_hh_fec!J33)</f>
        <v>0.77081990862257388</v>
      </c>
      <c r="K33" s="149">
        <f>IF(SER_hh_tes!K33=0,"",SER_hh_tes!K33/SER_hh_fec!K33)</f>
        <v>0.77290085587315427</v>
      </c>
      <c r="L33" s="149">
        <f>IF(SER_hh_tes!L33=0,"",SER_hh_tes!L33/SER_hh_fec!L33)</f>
        <v>0.7746544863806657</v>
      </c>
      <c r="M33" s="149">
        <f>IF(SER_hh_tes!M33=0,"",SER_hh_tes!M33/SER_hh_fec!M33)</f>
        <v>0.77556594837464998</v>
      </c>
      <c r="N33" s="149">
        <f>IF(SER_hh_tes!N33=0,"",SER_hh_tes!N33/SER_hh_fec!N33)</f>
        <v>0.77689503838570362</v>
      </c>
      <c r="O33" s="149">
        <f>IF(SER_hh_tes!O33=0,"",SER_hh_tes!O33/SER_hh_fec!O33)</f>
        <v>0.7789562864881634</v>
      </c>
      <c r="P33" s="149">
        <f>IF(SER_hh_tes!P33=0,"",SER_hh_tes!P33/SER_hh_fec!P33)</f>
        <v>0.78167943110713611</v>
      </c>
      <c r="Q33" s="149">
        <f>IF(SER_hh_tes!Q33=0,"",SER_hh_tes!Q33/SER_hh_fec!Q33)</f>
        <v>0.78521154237463431</v>
      </c>
      <c r="R33" s="149">
        <f>IF(SER_hh_tes!R33=0,"",SER_hh_tes!R33/SER_hh_fec!R33)</f>
        <v>0.78889360660590968</v>
      </c>
      <c r="S33" s="149">
        <f>IF(SER_hh_tes!S33=0,"",SER_hh_tes!S33/SER_hh_fec!S33)</f>
        <v>0.79339062845162078</v>
      </c>
      <c r="T33" s="149">
        <f>IF(SER_hh_tes!T33=0,"",SER_hh_tes!T33/SER_hh_fec!T33)</f>
        <v>0.80070618911216196</v>
      </c>
      <c r="U33" s="149">
        <f>IF(SER_hh_tes!U33=0,"",SER_hh_tes!U33/SER_hh_fec!U33)</f>
        <v>0.80880797974537921</v>
      </c>
      <c r="V33" s="149">
        <f>IF(SER_hh_tes!V33=0,"",SER_hh_tes!V33/SER_hh_fec!V33)</f>
        <v>0.81930088282811475</v>
      </c>
      <c r="W33" s="149">
        <f>IF(SER_hh_tes!W33=0,"",SER_hh_tes!W33/SER_hh_fec!W33)</f>
        <v>0.83046813373054362</v>
      </c>
      <c r="X33" s="149">
        <f>IF(SER_hh_tes!X33=0,"",SER_hh_tes!X33/SER_hh_fec!X33)</f>
        <v>0.84235932848406059</v>
      </c>
      <c r="Y33" s="149">
        <f>IF(SER_hh_tes!Y33=0,"",SER_hh_tes!Y33/SER_hh_fec!Y33)</f>
        <v>0.85304889465058487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4873.4064763197575</v>
      </c>
      <c r="C3" s="125">
        <f t="shared" si="0"/>
        <v>4195.8633328386622</v>
      </c>
      <c r="D3" s="125">
        <f t="shared" si="0"/>
        <v>4032.9449613836364</v>
      </c>
      <c r="E3" s="125">
        <f t="shared" si="0"/>
        <v>4967.4319437265822</v>
      </c>
      <c r="F3" s="125">
        <f t="shared" si="0"/>
        <v>5094.1453232182703</v>
      </c>
      <c r="G3" s="125">
        <f t="shared" si="0"/>
        <v>3631.8524045392178</v>
      </c>
      <c r="H3" s="125">
        <f t="shared" si="0"/>
        <v>3878.7859518593277</v>
      </c>
      <c r="I3" s="125">
        <f t="shared" si="0"/>
        <v>3427.3253374371479</v>
      </c>
      <c r="J3" s="125">
        <f t="shared" si="0"/>
        <v>3878.1842019754417</v>
      </c>
      <c r="K3" s="125">
        <f t="shared" si="0"/>
        <v>3310.0359004115708</v>
      </c>
      <c r="L3" s="125">
        <f t="shared" si="0"/>
        <v>3512.04915425011</v>
      </c>
      <c r="M3" s="125">
        <f t="shared" si="0"/>
        <v>3373.0663455546396</v>
      </c>
      <c r="N3" s="125">
        <f t="shared" si="0"/>
        <v>3194.3598601619278</v>
      </c>
      <c r="O3" s="125">
        <f t="shared" si="0"/>
        <v>3059.9767541984329</v>
      </c>
      <c r="P3" s="125">
        <f t="shared" si="0"/>
        <v>2966.2376433994232</v>
      </c>
      <c r="Q3" s="125">
        <f t="shared" si="0"/>
        <v>2997.7105444107765</v>
      </c>
      <c r="R3" s="125">
        <f t="shared" ref="R3:W3" si="1">SUM(R4,R16,R19,R29)</f>
        <v>3061.7158616765851</v>
      </c>
      <c r="S3" s="125">
        <f t="shared" si="1"/>
        <v>3268.5008713751386</v>
      </c>
      <c r="T3" s="125">
        <f t="shared" si="1"/>
        <v>2949.501783346494</v>
      </c>
      <c r="U3" s="125">
        <f t="shared" si="1"/>
        <v>3128.6861158006623</v>
      </c>
      <c r="V3" s="125">
        <f t="shared" si="1"/>
        <v>2843.2015265428013</v>
      </c>
      <c r="W3" s="125">
        <f t="shared" si="1"/>
        <v>2737.9219156582872</v>
      </c>
      <c r="X3" s="125">
        <f t="shared" ref="X3:Y3" si="2">SUM(X4,X16,X19,X29)</f>
        <v>2461.6881928183502</v>
      </c>
      <c r="Y3" s="125">
        <f t="shared" si="2"/>
        <v>2171.2779677311146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4419.6250078461608</v>
      </c>
      <c r="C4" s="130">
        <f t="shared" si="3"/>
        <v>3694.618647361558</v>
      </c>
      <c r="D4" s="130">
        <f t="shared" si="3"/>
        <v>3522.7178690230994</v>
      </c>
      <c r="E4" s="130">
        <f t="shared" si="3"/>
        <v>4462.6425140534775</v>
      </c>
      <c r="F4" s="130">
        <f t="shared" si="3"/>
        <v>4578.2995039406569</v>
      </c>
      <c r="G4" s="130">
        <f t="shared" si="3"/>
        <v>3098.6711605977853</v>
      </c>
      <c r="H4" s="130">
        <f t="shared" si="3"/>
        <v>3331.8751294538197</v>
      </c>
      <c r="I4" s="130">
        <f t="shared" si="3"/>
        <v>2857.9597116824639</v>
      </c>
      <c r="J4" s="130">
        <f t="shared" si="3"/>
        <v>3279.1197410414788</v>
      </c>
      <c r="K4" s="130">
        <f t="shared" si="3"/>
        <v>2623.9077507507218</v>
      </c>
      <c r="L4" s="130">
        <f t="shared" si="3"/>
        <v>2846.3943087296957</v>
      </c>
      <c r="M4" s="130">
        <f t="shared" si="3"/>
        <v>2700.4080357884845</v>
      </c>
      <c r="N4" s="130">
        <f t="shared" si="3"/>
        <v>2517.583527869077</v>
      </c>
      <c r="O4" s="130">
        <f t="shared" si="3"/>
        <v>2380.1825635160581</v>
      </c>
      <c r="P4" s="130">
        <f t="shared" si="3"/>
        <v>2279.642295318029</v>
      </c>
      <c r="Q4" s="130">
        <f t="shared" si="3"/>
        <v>2307.4217600684169</v>
      </c>
      <c r="R4" s="130">
        <f t="shared" ref="R4:W4" si="4">SUM(R5:R15)</f>
        <v>2336.2762496528462</v>
      </c>
      <c r="S4" s="130">
        <f t="shared" si="4"/>
        <v>2457.0488742049342</v>
      </c>
      <c r="T4" s="130">
        <f t="shared" si="4"/>
        <v>2195.3399928053987</v>
      </c>
      <c r="U4" s="130">
        <f t="shared" si="4"/>
        <v>2320.7978626389026</v>
      </c>
      <c r="V4" s="130">
        <f t="shared" si="4"/>
        <v>2101.5843579900334</v>
      </c>
      <c r="W4" s="130">
        <f t="shared" si="4"/>
        <v>2009.5583389531714</v>
      </c>
      <c r="X4" s="130">
        <f t="shared" ref="X4:Y4" si="5">SUM(X5:X15)</f>
        <v>1802.8965551333172</v>
      </c>
      <c r="Y4" s="130">
        <f t="shared" si="5"/>
        <v>1574.0805337649347</v>
      </c>
      <c r="DA4" s="155" t="s">
        <v>234</v>
      </c>
    </row>
    <row r="5" spans="1:105" ht="12" customHeight="1" x14ac:dyDescent="0.25">
      <c r="A5" s="131" t="s">
        <v>29</v>
      </c>
      <c r="B5" s="132">
        <v>2068.9208949597582</v>
      </c>
      <c r="C5" s="132">
        <v>922.95179803866131</v>
      </c>
      <c r="D5" s="132">
        <v>940.03243550363538</v>
      </c>
      <c r="E5" s="132">
        <v>1825.5555248589021</v>
      </c>
      <c r="F5" s="132">
        <v>1988.1590048754497</v>
      </c>
      <c r="G5" s="132">
        <v>349.01354098752449</v>
      </c>
      <c r="H5" s="132">
        <v>698.64811837436275</v>
      </c>
      <c r="I5" s="132">
        <v>241.22923368494628</v>
      </c>
      <c r="J5" s="132">
        <v>345.29552755500123</v>
      </c>
      <c r="K5" s="132">
        <v>114.43691249818846</v>
      </c>
      <c r="L5" s="132">
        <v>164.54821949468834</v>
      </c>
      <c r="M5" s="132">
        <v>143.39808860008307</v>
      </c>
      <c r="N5" s="132">
        <v>135.18271954092796</v>
      </c>
      <c r="O5" s="132">
        <v>134.05048082863701</v>
      </c>
      <c r="P5" s="132">
        <v>118.26760218831113</v>
      </c>
      <c r="Q5" s="132">
        <v>104.96348819650107</v>
      </c>
      <c r="R5" s="132">
        <v>134.34343944745777</v>
      </c>
      <c r="S5" s="132">
        <v>130.90967869386191</v>
      </c>
      <c r="T5" s="132">
        <v>91.465275817679029</v>
      </c>
      <c r="U5" s="132">
        <v>110.66759318474713</v>
      </c>
      <c r="V5" s="132">
        <v>83.870983789761056</v>
      </c>
      <c r="W5" s="132">
        <v>96.350741713318556</v>
      </c>
      <c r="X5" s="132">
        <v>96.092476250449067</v>
      </c>
      <c r="Y5" s="132">
        <v>45.046414062110493</v>
      </c>
      <c r="DA5" s="156" t="s">
        <v>358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359</v>
      </c>
    </row>
    <row r="7" spans="1:105" ht="12" customHeight="1" x14ac:dyDescent="0.25">
      <c r="A7" s="131" t="s">
        <v>161</v>
      </c>
      <c r="B7" s="132">
        <v>18.98050752</v>
      </c>
      <c r="C7" s="132">
        <v>9.3187270799999968</v>
      </c>
      <c r="D7" s="132">
        <v>40.400801999999999</v>
      </c>
      <c r="E7" s="132">
        <v>37.283177880000025</v>
      </c>
      <c r="F7" s="132">
        <v>49.630591079999995</v>
      </c>
      <c r="G7" s="132">
        <v>37.13883263999999</v>
      </c>
      <c r="H7" s="132">
        <v>46.932784560000002</v>
      </c>
      <c r="I7" s="132">
        <v>47.386951559999979</v>
      </c>
      <c r="J7" s="132">
        <v>50.31125784000001</v>
      </c>
      <c r="K7" s="132">
        <v>37.766645279999992</v>
      </c>
      <c r="L7" s="132">
        <v>50.28199091999997</v>
      </c>
      <c r="M7" s="132">
        <v>37.834643160000013</v>
      </c>
      <c r="N7" s="132">
        <v>62.411841360000011</v>
      </c>
      <c r="O7" s="132">
        <v>46.983640680000001</v>
      </c>
      <c r="P7" s="132">
        <v>31.343118479999994</v>
      </c>
      <c r="Q7" s="132">
        <v>65.700526679999967</v>
      </c>
      <c r="R7" s="132">
        <v>62.655826319999953</v>
      </c>
      <c r="S7" s="132">
        <v>62.523415079999992</v>
      </c>
      <c r="T7" s="132">
        <v>40.986857520000015</v>
      </c>
      <c r="U7" s="132">
        <v>38.071622160000004</v>
      </c>
      <c r="V7" s="132">
        <v>43.988534999999949</v>
      </c>
      <c r="W7" s="132">
        <v>56.450763360000039</v>
      </c>
      <c r="X7" s="132">
        <v>43.907892839999967</v>
      </c>
      <c r="Y7" s="132">
        <v>53.343095759999933</v>
      </c>
      <c r="DA7" s="156" t="s">
        <v>360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1.1489608147234159E-2</v>
      </c>
      <c r="H8" s="132">
        <v>3.1278380061275465E-2</v>
      </c>
      <c r="I8" s="132">
        <v>6.7047888111863907E-2</v>
      </c>
      <c r="J8" s="132">
        <v>0.11545313028697131</v>
      </c>
      <c r="K8" s="132">
        <v>0.15330767563479217</v>
      </c>
      <c r="L8" s="132">
        <v>0.18070088989091876</v>
      </c>
      <c r="M8" s="132">
        <v>0.25808649360858038</v>
      </c>
      <c r="N8" s="132">
        <v>0.36861398338487145</v>
      </c>
      <c r="O8" s="132">
        <v>0.64008712196464068</v>
      </c>
      <c r="P8" s="132">
        <v>0.98454213008650904</v>
      </c>
      <c r="Q8" s="132">
        <v>1.0976084030318058</v>
      </c>
      <c r="R8" s="132">
        <v>1.1853985068798218</v>
      </c>
      <c r="S8" s="132">
        <v>1.245773497684586</v>
      </c>
      <c r="T8" s="132">
        <v>1.3491785043677695</v>
      </c>
      <c r="U8" s="132">
        <v>1.5496472129942589</v>
      </c>
      <c r="V8" s="132">
        <v>1.7008551039910569</v>
      </c>
      <c r="W8" s="132">
        <v>1.9108582523155437</v>
      </c>
      <c r="X8" s="132">
        <v>1.9829396788386797</v>
      </c>
      <c r="Y8" s="132">
        <v>2.0297998579612511</v>
      </c>
      <c r="DA8" s="156" t="s">
        <v>361</v>
      </c>
    </row>
    <row r="9" spans="1:105" ht="12" customHeight="1" x14ac:dyDescent="0.25">
      <c r="A9" s="131" t="s">
        <v>78</v>
      </c>
      <c r="B9" s="132">
        <v>2287.3711215264025</v>
      </c>
      <c r="C9" s="132">
        <v>2700.679644522897</v>
      </c>
      <c r="D9" s="132">
        <v>2487.2127376394642</v>
      </c>
      <c r="E9" s="132">
        <v>2534.4561203268941</v>
      </c>
      <c r="F9" s="132">
        <v>2477.4033407223869</v>
      </c>
      <c r="G9" s="132">
        <v>2635.50917645042</v>
      </c>
      <c r="H9" s="132">
        <v>2512.1460192144318</v>
      </c>
      <c r="I9" s="132">
        <v>2469.5604263572054</v>
      </c>
      <c r="J9" s="132">
        <v>2768.6040659357518</v>
      </c>
      <c r="K9" s="132">
        <v>2371.1909826635165</v>
      </c>
      <c r="L9" s="132">
        <v>2508.874673589693</v>
      </c>
      <c r="M9" s="132">
        <v>2399.905003740238</v>
      </c>
      <c r="N9" s="132">
        <v>2197.9576137237655</v>
      </c>
      <c r="O9" s="132">
        <v>2061.1727221956617</v>
      </c>
      <c r="P9" s="132">
        <v>1986.5219797885193</v>
      </c>
      <c r="Q9" s="132">
        <v>1978.1713772546079</v>
      </c>
      <c r="R9" s="132">
        <v>1996.3085659093795</v>
      </c>
      <c r="S9" s="132">
        <v>2120.4177993321141</v>
      </c>
      <c r="T9" s="132">
        <v>1913.1426260345347</v>
      </c>
      <c r="U9" s="132">
        <v>2009.2873236652465</v>
      </c>
      <c r="V9" s="132">
        <v>1826.0076828655374</v>
      </c>
      <c r="W9" s="132">
        <v>1697.6469611015159</v>
      </c>
      <c r="X9" s="132">
        <v>1512.5069570487226</v>
      </c>
      <c r="Y9" s="132">
        <v>1345.9238521960065</v>
      </c>
      <c r="DA9" s="156" t="s">
        <v>362</v>
      </c>
    </row>
    <row r="10" spans="1:105" ht="12" customHeight="1" x14ac:dyDescent="0.25">
      <c r="A10" s="131" t="s">
        <v>128</v>
      </c>
      <c r="B10" s="132">
        <v>44.352483840000005</v>
      </c>
      <c r="C10" s="132">
        <v>61.668477719999998</v>
      </c>
      <c r="D10" s="132">
        <v>55.071893879999998</v>
      </c>
      <c r="E10" s="132">
        <v>65.347690987680522</v>
      </c>
      <c r="F10" s="132">
        <v>63.106567262820214</v>
      </c>
      <c r="G10" s="132">
        <v>76.998120911693746</v>
      </c>
      <c r="H10" s="132">
        <v>74.116928924963688</v>
      </c>
      <c r="I10" s="132">
        <v>99.716052192200067</v>
      </c>
      <c r="J10" s="132">
        <v>114.79343658043891</v>
      </c>
      <c r="K10" s="132">
        <v>100.35990263338233</v>
      </c>
      <c r="L10" s="132">
        <v>122.50872383542352</v>
      </c>
      <c r="M10" s="132">
        <v>119.01221379455507</v>
      </c>
      <c r="N10" s="132">
        <v>121.66273926099838</v>
      </c>
      <c r="O10" s="132">
        <v>137.33563268979461</v>
      </c>
      <c r="P10" s="132">
        <v>142.52505273111228</v>
      </c>
      <c r="Q10" s="132">
        <v>157.48875953427628</v>
      </c>
      <c r="R10" s="132">
        <v>141.78301946912913</v>
      </c>
      <c r="S10" s="132">
        <v>141.95220760127361</v>
      </c>
      <c r="T10" s="132">
        <v>148.39605492881736</v>
      </c>
      <c r="U10" s="132">
        <v>161.22167641591494</v>
      </c>
      <c r="V10" s="132">
        <v>146.01630123074386</v>
      </c>
      <c r="W10" s="132">
        <v>157.19901452602127</v>
      </c>
      <c r="X10" s="132">
        <v>148.40628931530685</v>
      </c>
      <c r="Y10" s="132">
        <v>127.73737188885666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0</v>
      </c>
      <c r="C16" s="130">
        <f t="shared" si="6"/>
        <v>0</v>
      </c>
      <c r="D16" s="130">
        <f t="shared" si="6"/>
        <v>0</v>
      </c>
      <c r="E16" s="130">
        <f t="shared" si="6"/>
        <v>0</v>
      </c>
      <c r="F16" s="130">
        <f t="shared" si="6"/>
        <v>0</v>
      </c>
      <c r="G16" s="130">
        <f t="shared" si="6"/>
        <v>9.801603999119668E-2</v>
      </c>
      <c r="H16" s="130">
        <f t="shared" si="6"/>
        <v>0.12694284866048677</v>
      </c>
      <c r="I16" s="130">
        <f t="shared" si="6"/>
        <v>0.17959043174098091</v>
      </c>
      <c r="J16" s="130">
        <f t="shared" si="6"/>
        <v>0.18617402847802816</v>
      </c>
      <c r="K16" s="130">
        <f t="shared" si="6"/>
        <v>0.24151830967403431</v>
      </c>
      <c r="L16" s="130">
        <f t="shared" si="6"/>
        <v>0.24809875744193091</v>
      </c>
      <c r="M16" s="130">
        <f t="shared" si="6"/>
        <v>0.26387116145462097</v>
      </c>
      <c r="N16" s="130">
        <f t="shared" si="6"/>
        <v>0.27651294778979751</v>
      </c>
      <c r="O16" s="130">
        <f t="shared" si="6"/>
        <v>0.34269392591068903</v>
      </c>
      <c r="P16" s="130">
        <f t="shared" si="6"/>
        <v>0.476591564028788</v>
      </c>
      <c r="Q16" s="130">
        <f t="shared" si="6"/>
        <v>0.8828343647976401</v>
      </c>
      <c r="R16" s="130">
        <f t="shared" ref="R16:W16" si="7">SUM(R17:R18)</f>
        <v>0.88541003850930722</v>
      </c>
      <c r="S16" s="130">
        <f t="shared" si="7"/>
        <v>1.0821645409914136</v>
      </c>
      <c r="T16" s="130">
        <f t="shared" si="7"/>
        <v>1.3799610648343268</v>
      </c>
      <c r="U16" s="130">
        <f t="shared" si="7"/>
        <v>1.4053968117668254</v>
      </c>
      <c r="V16" s="130">
        <f t="shared" si="7"/>
        <v>1.5267775963752535</v>
      </c>
      <c r="W16" s="130">
        <f t="shared" si="7"/>
        <v>1.6242342331404471</v>
      </c>
      <c r="X16" s="130">
        <f t="shared" ref="X16:Y16" si="8">SUM(X17:X18)</f>
        <v>1.6960304391344507</v>
      </c>
      <c r="Y16" s="130">
        <f t="shared" si="8"/>
        <v>1.7509501380652885</v>
      </c>
      <c r="DA16" s="155" t="s">
        <v>235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9.801603999119668E-2</v>
      </c>
      <c r="H17" s="132">
        <v>0.12694284866048677</v>
      </c>
      <c r="I17" s="132">
        <v>0.17959043174098091</v>
      </c>
      <c r="J17" s="132">
        <v>0.18617402847802816</v>
      </c>
      <c r="K17" s="132">
        <v>0.24151830967403431</v>
      </c>
      <c r="L17" s="132">
        <v>0.24809875744193091</v>
      </c>
      <c r="M17" s="132">
        <v>0.26387116145462097</v>
      </c>
      <c r="N17" s="132">
        <v>0.27651294778979751</v>
      </c>
      <c r="O17" s="132">
        <v>0.34269392591068903</v>
      </c>
      <c r="P17" s="132">
        <v>0.476591564028788</v>
      </c>
      <c r="Q17" s="132">
        <v>0.8828343647976401</v>
      </c>
      <c r="R17" s="132">
        <v>0.88541003850930722</v>
      </c>
      <c r="S17" s="132">
        <v>1.0821645409914136</v>
      </c>
      <c r="T17" s="132">
        <v>1.3799610648343268</v>
      </c>
      <c r="U17" s="132">
        <v>1.4053968117668254</v>
      </c>
      <c r="V17" s="132">
        <v>1.5267775963752535</v>
      </c>
      <c r="W17" s="132">
        <v>1.6242342331404471</v>
      </c>
      <c r="X17" s="132">
        <v>1.6960304391344507</v>
      </c>
      <c r="Y17" s="132">
        <v>1.7509501380652885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200.33494096374662</v>
      </c>
      <c r="C19" s="130">
        <f t="shared" si="9"/>
        <v>200.75192827945196</v>
      </c>
      <c r="D19" s="130">
        <f t="shared" si="9"/>
        <v>208.00723243422433</v>
      </c>
      <c r="E19" s="130">
        <f t="shared" si="9"/>
        <v>208.06542754246914</v>
      </c>
      <c r="F19" s="130">
        <f t="shared" si="9"/>
        <v>210.44964780754046</v>
      </c>
      <c r="G19" s="130">
        <f t="shared" si="9"/>
        <v>223.21496854260954</v>
      </c>
      <c r="H19" s="130">
        <f t="shared" si="9"/>
        <v>235.6908704447269</v>
      </c>
      <c r="I19" s="130">
        <f t="shared" si="9"/>
        <v>246.81428028393617</v>
      </c>
      <c r="J19" s="130">
        <f t="shared" si="9"/>
        <v>261.97958768852448</v>
      </c>
      <c r="K19" s="130">
        <f t="shared" si="9"/>
        <v>315.4263328493916</v>
      </c>
      <c r="L19" s="130">
        <f t="shared" si="9"/>
        <v>298.82773359396452</v>
      </c>
      <c r="M19" s="130">
        <f t="shared" si="9"/>
        <v>301.25925957893043</v>
      </c>
      <c r="N19" s="130">
        <f t="shared" si="9"/>
        <v>304.87394031247101</v>
      </c>
      <c r="O19" s="130">
        <f t="shared" si="9"/>
        <v>306.4114607708774</v>
      </c>
      <c r="P19" s="130">
        <f t="shared" si="9"/>
        <v>307.90506674267363</v>
      </c>
      <c r="Q19" s="130">
        <f t="shared" si="9"/>
        <v>310.74649620608864</v>
      </c>
      <c r="R19" s="130">
        <f t="shared" ref="R19:W19" si="10">SUM(R20:R27)</f>
        <v>313.41293195586184</v>
      </c>
      <c r="S19" s="130">
        <f t="shared" si="10"/>
        <v>336.17703953820626</v>
      </c>
      <c r="T19" s="130">
        <f t="shared" si="10"/>
        <v>304.75004692820033</v>
      </c>
      <c r="U19" s="130">
        <f t="shared" si="10"/>
        <v>321.9365529463505</v>
      </c>
      <c r="V19" s="130">
        <f t="shared" si="10"/>
        <v>296.9715986643177</v>
      </c>
      <c r="W19" s="130">
        <f t="shared" si="10"/>
        <v>291.33349989034878</v>
      </c>
      <c r="X19" s="130">
        <f t="shared" ref="X19:Y19" si="11">SUM(X20:X27)</f>
        <v>259.57254093147947</v>
      </c>
      <c r="Y19" s="130">
        <f t="shared" si="11"/>
        <v>230.72141076907511</v>
      </c>
      <c r="DA19" s="155" t="s">
        <v>236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372</v>
      </c>
    </row>
    <row r="22" spans="1:105" ht="12" customHeight="1" x14ac:dyDescent="0.25">
      <c r="A22" s="131" t="s">
        <v>161</v>
      </c>
      <c r="B22" s="132">
        <v>0</v>
      </c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0</v>
      </c>
      <c r="Y22" s="132">
        <v>0</v>
      </c>
      <c r="DA22" s="156" t="s">
        <v>373</v>
      </c>
    </row>
    <row r="23" spans="1:105" ht="12" customHeight="1" x14ac:dyDescent="0.25">
      <c r="A23" s="131" t="s">
        <v>149</v>
      </c>
      <c r="B23" s="132">
        <v>200.33494096374662</v>
      </c>
      <c r="C23" s="132">
        <v>200.75192827945196</v>
      </c>
      <c r="D23" s="132">
        <v>208.00723243422433</v>
      </c>
      <c r="E23" s="132">
        <v>208.06542754246914</v>
      </c>
      <c r="F23" s="132">
        <v>210.44964780754046</v>
      </c>
      <c r="G23" s="132">
        <v>223.21496854260954</v>
      </c>
      <c r="H23" s="132">
        <v>235.6908704447269</v>
      </c>
      <c r="I23" s="132">
        <v>246.81428028393617</v>
      </c>
      <c r="J23" s="132">
        <v>261.97958768852448</v>
      </c>
      <c r="K23" s="132">
        <v>315.4263328493916</v>
      </c>
      <c r="L23" s="132">
        <v>298.82773359396452</v>
      </c>
      <c r="M23" s="132">
        <v>301.25925957893043</v>
      </c>
      <c r="N23" s="132">
        <v>304.87394031247101</v>
      </c>
      <c r="O23" s="132">
        <v>306.4114607708774</v>
      </c>
      <c r="P23" s="132">
        <v>307.90506674267363</v>
      </c>
      <c r="Q23" s="132">
        <v>310.74649620608864</v>
      </c>
      <c r="R23" s="132">
        <v>313.41293195586184</v>
      </c>
      <c r="S23" s="132">
        <v>336.17703953820626</v>
      </c>
      <c r="T23" s="132">
        <v>304.75004692820033</v>
      </c>
      <c r="U23" s="132">
        <v>321.9365529463505</v>
      </c>
      <c r="V23" s="132">
        <v>296.9715986643177</v>
      </c>
      <c r="W23" s="132">
        <v>291.33349989034878</v>
      </c>
      <c r="X23" s="132">
        <v>259.57254093147947</v>
      </c>
      <c r="Y23" s="132">
        <v>230.72141076907511</v>
      </c>
      <c r="DA23" s="156" t="s">
        <v>374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253.44652750984972</v>
      </c>
      <c r="C29" s="130">
        <f t="shared" si="12"/>
        <v>300.49275719765228</v>
      </c>
      <c r="D29" s="130">
        <f t="shared" si="12"/>
        <v>302.21985992631238</v>
      </c>
      <c r="E29" s="130">
        <f t="shared" si="12"/>
        <v>296.72400213063503</v>
      </c>
      <c r="F29" s="130">
        <f t="shared" si="12"/>
        <v>305.39617147007243</v>
      </c>
      <c r="G29" s="130">
        <f t="shared" si="12"/>
        <v>309.86825935883172</v>
      </c>
      <c r="H29" s="130">
        <f t="shared" si="12"/>
        <v>311.09300911212068</v>
      </c>
      <c r="I29" s="130">
        <f t="shared" si="12"/>
        <v>322.37175503900716</v>
      </c>
      <c r="J29" s="130">
        <f t="shared" si="12"/>
        <v>336.89869921696027</v>
      </c>
      <c r="K29" s="130">
        <f t="shared" si="12"/>
        <v>370.46029850178331</v>
      </c>
      <c r="L29" s="130">
        <f t="shared" si="12"/>
        <v>366.57901316900768</v>
      </c>
      <c r="M29" s="130">
        <f t="shared" si="12"/>
        <v>371.1351790257699</v>
      </c>
      <c r="N29" s="130">
        <f t="shared" si="12"/>
        <v>371.62587903259009</v>
      </c>
      <c r="O29" s="130">
        <f t="shared" si="12"/>
        <v>373.04003598558648</v>
      </c>
      <c r="P29" s="130">
        <f t="shared" si="12"/>
        <v>378.21368977469166</v>
      </c>
      <c r="Q29" s="130">
        <f t="shared" si="12"/>
        <v>378.65945377147347</v>
      </c>
      <c r="R29" s="130">
        <f t="shared" ref="R29:W29" si="13">SUM(R30:R33)</f>
        <v>411.14127002936749</v>
      </c>
      <c r="S29" s="130">
        <f t="shared" si="13"/>
        <v>474.19279309100654</v>
      </c>
      <c r="T29" s="130">
        <f t="shared" si="13"/>
        <v>448.03178254806079</v>
      </c>
      <c r="U29" s="130">
        <f t="shared" si="13"/>
        <v>484.54630340364207</v>
      </c>
      <c r="V29" s="130">
        <f t="shared" si="13"/>
        <v>443.11879229207494</v>
      </c>
      <c r="W29" s="130">
        <f t="shared" si="13"/>
        <v>435.40584258162642</v>
      </c>
      <c r="X29" s="130">
        <f t="shared" ref="X29:Y29" si="14">SUM(X30:X33)</f>
        <v>397.52306631441957</v>
      </c>
      <c r="Y29" s="130">
        <f t="shared" si="14"/>
        <v>364.72507305903963</v>
      </c>
      <c r="DA29" s="155" t="s">
        <v>237</v>
      </c>
    </row>
    <row r="30" spans="1:105" ht="12" customHeight="1" x14ac:dyDescent="0.25">
      <c r="A30" s="131" t="s">
        <v>52</v>
      </c>
      <c r="B30" s="132">
        <v>0</v>
      </c>
      <c r="C30" s="132">
        <v>0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0</v>
      </c>
      <c r="L30" s="132">
        <v>0</v>
      </c>
      <c r="M30" s="132">
        <v>0</v>
      </c>
      <c r="N30" s="132">
        <v>0</v>
      </c>
      <c r="O30" s="132">
        <v>0</v>
      </c>
      <c r="P30" s="132">
        <v>0</v>
      </c>
      <c r="Q30" s="132">
        <v>0</v>
      </c>
      <c r="R30" s="132">
        <v>0</v>
      </c>
      <c r="S30" s="132">
        <v>0</v>
      </c>
      <c r="T30" s="132">
        <v>0</v>
      </c>
      <c r="U30" s="132">
        <v>0</v>
      </c>
      <c r="V30" s="132">
        <v>0</v>
      </c>
      <c r="W30" s="132">
        <v>0</v>
      </c>
      <c r="X30" s="132">
        <v>0</v>
      </c>
      <c r="Y30" s="132">
        <v>0</v>
      </c>
      <c r="DA30" s="156" t="s">
        <v>379</v>
      </c>
    </row>
    <row r="31" spans="1:105" ht="12" customHeight="1" x14ac:dyDescent="0.25">
      <c r="A31" s="131" t="s">
        <v>149</v>
      </c>
      <c r="B31" s="132">
        <v>253.44652750984972</v>
      </c>
      <c r="C31" s="132">
        <v>300.49275719765228</v>
      </c>
      <c r="D31" s="132">
        <v>302.21985992631238</v>
      </c>
      <c r="E31" s="132">
        <v>296.72400213063503</v>
      </c>
      <c r="F31" s="132">
        <v>305.39617147007243</v>
      </c>
      <c r="G31" s="132">
        <v>309.86825935883172</v>
      </c>
      <c r="H31" s="132">
        <v>311.09300911212068</v>
      </c>
      <c r="I31" s="132">
        <v>322.37175503900716</v>
      </c>
      <c r="J31" s="132">
        <v>336.89869921696027</v>
      </c>
      <c r="K31" s="132">
        <v>370.46029850178331</v>
      </c>
      <c r="L31" s="132">
        <v>366.57901316900768</v>
      </c>
      <c r="M31" s="132">
        <v>371.1351790257699</v>
      </c>
      <c r="N31" s="132">
        <v>371.62587903259009</v>
      </c>
      <c r="O31" s="132">
        <v>373.04003598558648</v>
      </c>
      <c r="P31" s="132">
        <v>378.21368977469166</v>
      </c>
      <c r="Q31" s="132">
        <v>378.65945377147347</v>
      </c>
      <c r="R31" s="132">
        <v>411.14127002936749</v>
      </c>
      <c r="S31" s="132">
        <v>474.19279309100654</v>
      </c>
      <c r="T31" s="132">
        <v>448.03178254806079</v>
      </c>
      <c r="U31" s="132">
        <v>484.54630340364207</v>
      </c>
      <c r="V31" s="132">
        <v>443.11879229207494</v>
      </c>
      <c r="W31" s="132">
        <v>435.40584258162642</v>
      </c>
      <c r="X31" s="132">
        <v>397.52306631441957</v>
      </c>
      <c r="Y31" s="132">
        <v>364.72507305903963</v>
      </c>
      <c r="DA31" s="156" t="s">
        <v>380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165466.81206702461</v>
      </c>
      <c r="C3" s="125">
        <f>IF(SER_hh_fec!C3=0,0,11630*1000*SER_hh_fec!C3/SER_hh_num!C3)</f>
        <v>160347.7105775222</v>
      </c>
      <c r="D3" s="125">
        <f>IF(SER_hh_fec!D3=0,0,11630*1000*SER_hh_fec!D3/SER_hh_num!D3)</f>
        <v>148593.74523644365</v>
      </c>
      <c r="E3" s="125">
        <f>IF(SER_hh_fec!E3=0,0,11630*1000*SER_hh_fec!E3/SER_hh_num!E3)</f>
        <v>163222.93053537302</v>
      </c>
      <c r="F3" s="125">
        <f>IF(SER_hh_fec!F3=0,0,11630*1000*SER_hh_fec!F3/SER_hh_num!F3)</f>
        <v>151115.79120725335</v>
      </c>
      <c r="G3" s="125">
        <f>IF(SER_hh_fec!G3=0,0,11630*1000*SER_hh_fec!G3/SER_hh_num!G3)</f>
        <v>129423.62348654085</v>
      </c>
      <c r="H3" s="125">
        <f>IF(SER_hh_fec!H3=0,0,11630*1000*SER_hh_fec!H3/SER_hh_num!H3)</f>
        <v>121543.91922188769</v>
      </c>
      <c r="I3" s="125">
        <f>IF(SER_hh_fec!I3=0,0,11630*1000*SER_hh_fec!I3/SER_hh_num!I3)</f>
        <v>110888.23828866593</v>
      </c>
      <c r="J3" s="125">
        <f>IF(SER_hh_fec!J3=0,0,11630*1000*SER_hh_fec!J3/SER_hh_num!J3)</f>
        <v>116717.15240633283</v>
      </c>
      <c r="K3" s="125">
        <f>IF(SER_hh_fec!K3=0,0,11630*1000*SER_hh_fec!K3/SER_hh_num!K3)</f>
        <v>108155.71593238834</v>
      </c>
      <c r="L3" s="125">
        <f>IF(SER_hh_fec!L3=0,0,11630*1000*SER_hh_fec!L3/SER_hh_num!L3)</f>
        <v>118276.76911840998</v>
      </c>
      <c r="M3" s="125">
        <f>IF(SER_hh_fec!M3=0,0,11630*1000*SER_hh_fec!M3/SER_hh_num!M3)</f>
        <v>111318.79922888288</v>
      </c>
      <c r="N3" s="125">
        <f>IF(SER_hh_fec!N3=0,0,11630*1000*SER_hh_fec!N3/SER_hh_num!N3)</f>
        <v>106341.48055021411</v>
      </c>
      <c r="O3" s="125">
        <f>IF(SER_hh_fec!O3=0,0,11630*1000*SER_hh_fec!O3/SER_hh_num!O3)</f>
        <v>103601.52250374304</v>
      </c>
      <c r="P3" s="125">
        <f>IF(SER_hh_fec!P3=0,0,11630*1000*SER_hh_fec!P3/SER_hh_num!P3)</f>
        <v>97605.307816826346</v>
      </c>
      <c r="Q3" s="125">
        <f>IF(SER_hh_fec!Q3=0,0,11630*1000*SER_hh_fec!Q3/SER_hh_num!Q3)</f>
        <v>96846.090876624905</v>
      </c>
      <c r="R3" s="125">
        <f>IF(SER_hh_fec!R3=0,0,11630*1000*SER_hh_fec!R3/SER_hh_num!R3)</f>
        <v>98603.987566624302</v>
      </c>
      <c r="S3" s="125">
        <f>IF(SER_hh_fec!S3=0,0,11630*1000*SER_hh_fec!S3/SER_hh_num!S3)</f>
        <v>100903.83404342234</v>
      </c>
      <c r="T3" s="125">
        <f>IF(SER_hh_fec!T3=0,0,11630*1000*SER_hh_fec!T3/SER_hh_num!T3)</f>
        <v>95916.532855189493</v>
      </c>
      <c r="U3" s="125">
        <f>IF(SER_hh_fec!U3=0,0,11630*1000*SER_hh_fec!U3/SER_hh_num!U3)</f>
        <v>97087.142104900588</v>
      </c>
      <c r="V3" s="125">
        <f>IF(SER_hh_fec!V3=0,0,11630*1000*SER_hh_fec!V3/SER_hh_num!V3)</f>
        <v>89224.76189886604</v>
      </c>
      <c r="W3" s="125">
        <f>IF(SER_hh_fec!W3=0,0,11630*1000*SER_hh_fec!W3/SER_hh_num!W3)</f>
        <v>87586.350000829611</v>
      </c>
      <c r="X3" s="125">
        <f>IF(SER_hh_fec!X3=0,0,11630*1000*SER_hh_fec!X3/SER_hh_num!X3)</f>
        <v>82329.779475335818</v>
      </c>
      <c r="Y3" s="125">
        <f>IF(SER_hh_fec!Y3=0,0,11630*1000*SER_hh_fec!Y3/SER_hh_num!Y3)</f>
        <v>73795.773155758754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141702.48217021237</v>
      </c>
      <c r="C4" s="130">
        <f>IF(SER_hh_fec!C4=0,0,11630*1000*SER_hh_fec!C4/SER_hh_num!C4)</f>
        <v>136505.25655447427</v>
      </c>
      <c r="D4" s="130">
        <f>IF(SER_hh_fec!D4=0,0,11630*1000*SER_hh_fec!D4/SER_hh_num!D4)</f>
        <v>124859.6065142236</v>
      </c>
      <c r="E4" s="130">
        <f>IF(SER_hh_fec!E4=0,0,11630*1000*SER_hh_fec!E4/SER_hh_num!E4)</f>
        <v>139552.70433947977</v>
      </c>
      <c r="F4" s="130">
        <f>IF(SER_hh_fec!F4=0,0,11630*1000*SER_hh_fec!F4/SER_hh_num!F4)</f>
        <v>127813.06247361348</v>
      </c>
      <c r="G4" s="130">
        <f>IF(SER_hh_fec!G4=0,0,11630*1000*SER_hh_fec!G4/SER_hh_num!G4)</f>
        <v>106281.58440721962</v>
      </c>
      <c r="H4" s="130">
        <f>IF(SER_hh_fec!H4=0,0,11630*1000*SER_hh_fec!H4/SER_hh_num!H4)</f>
        <v>98249.756996342316</v>
      </c>
      <c r="I4" s="130">
        <f>IF(SER_hh_fec!I4=0,0,11630*1000*SER_hh_fec!I4/SER_hh_num!I4)</f>
        <v>87606.433778869177</v>
      </c>
      <c r="J4" s="130">
        <f>IF(SER_hh_fec!J4=0,0,11630*1000*SER_hh_fec!J4/SER_hh_num!J4)</f>
        <v>93246.473698659887</v>
      </c>
      <c r="K4" s="130">
        <f>IF(SER_hh_fec!K4=0,0,11630*1000*SER_hh_fec!K4/SER_hh_num!K4)</f>
        <v>83029.498366933622</v>
      </c>
      <c r="L4" s="130">
        <f>IF(SER_hh_fec!L4=0,0,11630*1000*SER_hh_fec!L4/SER_hh_num!L4)</f>
        <v>92551.733336372505</v>
      </c>
      <c r="M4" s="130">
        <f>IF(SER_hh_fec!M4=0,0,11630*1000*SER_hh_fec!M4/SER_hh_num!M4)</f>
        <v>85404.546924602022</v>
      </c>
      <c r="N4" s="130">
        <f>IF(SER_hh_fec!N4=0,0,11630*1000*SER_hh_fec!N4/SER_hh_num!N4)</f>
        <v>80284.642204875345</v>
      </c>
      <c r="O4" s="130">
        <f>IF(SER_hh_fec!O4=0,0,11630*1000*SER_hh_fec!O4/SER_hh_num!O4)</f>
        <v>77401.555427846397</v>
      </c>
      <c r="P4" s="130">
        <f>IF(SER_hh_fec!P4=0,0,11630*1000*SER_hh_fec!P4/SER_hh_num!P4)</f>
        <v>71710.423778728204</v>
      </c>
      <c r="Q4" s="130">
        <f>IF(SER_hh_fec!Q4=0,0,11630*1000*SER_hh_fec!Q4/SER_hh_num!Q4)</f>
        <v>70784.708757976055</v>
      </c>
      <c r="R4" s="130">
        <f>IF(SER_hh_fec!R4=0,0,11630*1000*SER_hh_fec!R4/SER_hh_num!R4)</f>
        <v>72644.956298113335</v>
      </c>
      <c r="S4" s="130">
        <f>IF(SER_hh_fec!S4=0,0,11630*1000*SER_hh_fec!S4/SER_hh_num!S4)</f>
        <v>74657.803310078016</v>
      </c>
      <c r="T4" s="130">
        <f>IF(SER_hh_fec!T4=0,0,11630*1000*SER_hh_fec!T4/SER_hh_num!T4)</f>
        <v>70217.292133765237</v>
      </c>
      <c r="U4" s="130">
        <f>IF(SER_hh_fec!U4=0,0,11630*1000*SER_hh_fec!U4/SER_hh_num!U4)</f>
        <v>71394.281408964511</v>
      </c>
      <c r="V4" s="130">
        <f>IF(SER_hh_fec!V4=0,0,11630*1000*SER_hh_fec!V4/SER_hh_num!V4)</f>
        <v>65431.31520646713</v>
      </c>
      <c r="W4" s="130">
        <f>IF(SER_hh_fec!W4=0,0,11630*1000*SER_hh_fec!W4/SER_hh_num!W4)</f>
        <v>63695.180477606867</v>
      </c>
      <c r="X4" s="130">
        <f>IF(SER_hh_fec!X4=0,0,11630*1000*SER_hh_fec!X4/SER_hh_num!X4)</f>
        <v>59137.080651975717</v>
      </c>
      <c r="Y4" s="130">
        <f>IF(SER_hh_fec!Y4=0,0,11630*1000*SER_hh_fec!Y4/SER_hh_num!Y4)</f>
        <v>50688.233834428589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196164.60970214661</v>
      </c>
      <c r="C5" s="132">
        <f>IF(SER_hh_fec!C5=0,0,11630*1000*SER_hh_fec!C5/SER_hh_num!C5)</f>
        <v>103387.96193885127</v>
      </c>
      <c r="D5" s="132">
        <f>IF(SER_hh_fec!D5=0,0,11630*1000*SER_hh_fec!D5/SER_hh_num!D5)</f>
        <v>105842.02237795417</v>
      </c>
      <c r="E5" s="132">
        <f>IF(SER_hh_fec!E5=0,0,11630*1000*SER_hh_fec!E5/SER_hh_num!E5)</f>
        <v>196468.17069583721</v>
      </c>
      <c r="F5" s="132">
        <f>IF(SER_hh_fec!F5=0,0,11630*1000*SER_hh_fec!F5/SER_hh_num!F5)</f>
        <v>210678.68997773208</v>
      </c>
      <c r="G5" s="132">
        <f>IF(SER_hh_fec!G5=0,0,11630*1000*SER_hh_fec!G5/SER_hh_num!G5)</f>
        <v>51917.985680811602</v>
      </c>
      <c r="H5" s="132">
        <f>IF(SER_hh_fec!H5=0,0,11630*1000*SER_hh_fec!H5/SER_hh_num!H5)</f>
        <v>131301.52984469375</v>
      </c>
      <c r="I5" s="132">
        <f>IF(SER_hh_fec!I5=0,0,11630*1000*SER_hh_fec!I5/SER_hh_num!I5)</f>
        <v>72034.71203285997</v>
      </c>
      <c r="J5" s="132">
        <f>IF(SER_hh_fec!J5=0,0,11630*1000*SER_hh_fec!J5/SER_hh_num!J5)</f>
        <v>122482.12366942622</v>
      </c>
      <c r="K5" s="132">
        <f>IF(SER_hh_fec!K5=0,0,11630*1000*SER_hh_fec!K5/SER_hh_num!K5)</f>
        <v>63008.406772875038</v>
      </c>
      <c r="L5" s="132">
        <f>IF(SER_hh_fec!L5=0,0,11630*1000*SER_hh_fec!L5/SER_hh_num!L5)</f>
        <v>102818.39294642302</v>
      </c>
      <c r="M5" s="132">
        <f>IF(SER_hh_fec!M5=0,0,11630*1000*SER_hh_fec!M5/SER_hh_num!M5)</f>
        <v>98234.403055768096</v>
      </c>
      <c r="N5" s="132">
        <f>IF(SER_hh_fec!N5=0,0,11630*1000*SER_hh_fec!N5/SER_hh_num!N5)</f>
        <v>88053.44356392193</v>
      </c>
      <c r="O5" s="132">
        <f>IF(SER_hh_fec!O5=0,0,11630*1000*SER_hh_fec!O5/SER_hh_num!O5)</f>
        <v>84478.176937489028</v>
      </c>
      <c r="P5" s="132">
        <f>IF(SER_hh_fec!P5=0,0,11630*1000*SER_hh_fec!P5/SER_hh_num!P5)</f>
        <v>74294.199622104104</v>
      </c>
      <c r="Q5" s="132">
        <f>IF(SER_hh_fec!Q5=0,0,11630*1000*SER_hh_fec!Q5/SER_hh_num!Q5)</f>
        <v>66478.150478417971</v>
      </c>
      <c r="R5" s="132">
        <f>IF(SER_hh_fec!R5=0,0,11630*1000*SER_hh_fec!R5/SER_hh_num!R5)</f>
        <v>84462.349201866833</v>
      </c>
      <c r="S5" s="132">
        <f>IF(SER_hh_fec!S5=0,0,11630*1000*SER_hh_fec!S5/SER_hh_num!S5)</f>
        <v>85754.921298799833</v>
      </c>
      <c r="T5" s="132">
        <f>IF(SER_hh_fec!T5=0,0,11630*1000*SER_hh_fec!T5/SER_hh_num!T5)</f>
        <v>66657.854246404153</v>
      </c>
      <c r="U5" s="132">
        <f>IF(SER_hh_fec!U5=0,0,11630*1000*SER_hh_fec!U5/SER_hh_num!U5)</f>
        <v>83155.474574844091</v>
      </c>
      <c r="V5" s="132">
        <f>IF(SER_hh_fec!V5=0,0,11630*1000*SER_hh_fec!V5/SER_hh_num!V5)</f>
        <v>66005.264356592583</v>
      </c>
      <c r="W5" s="132">
        <f>IF(SER_hh_fec!W5=0,0,11630*1000*SER_hh_fec!W5/SER_hh_num!W5)</f>
        <v>76546.745792229631</v>
      </c>
      <c r="X5" s="132">
        <f>IF(SER_hh_fec!X5=0,0,11630*1000*SER_hh_fec!X5/SER_hh_num!X5)</f>
        <v>78930.047910188601</v>
      </c>
      <c r="Y5" s="132">
        <f>IF(SER_hh_fec!Y5=0,0,11630*1000*SER_hh_fec!Y5/SER_hh_num!Y5)</f>
        <v>46902.730679351487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0</v>
      </c>
      <c r="C6" s="132">
        <f>IF(SER_hh_fec!C6=0,0,11630*1000*SER_hh_fec!C6/SER_hh_num!C6)</f>
        <v>0</v>
      </c>
      <c r="D6" s="132">
        <f>IF(SER_hh_fec!D6=0,0,11630*1000*SER_hh_fec!D6/SER_hh_num!D6)</f>
        <v>0</v>
      </c>
      <c r="E6" s="132">
        <f>IF(SER_hh_fec!E6=0,0,11630*1000*SER_hh_fec!E6/SER_hh_num!E6)</f>
        <v>0</v>
      </c>
      <c r="F6" s="132">
        <f>IF(SER_hh_fec!F6=0,0,11630*1000*SER_hh_fec!F6/SER_hh_num!F6)</f>
        <v>0</v>
      </c>
      <c r="G6" s="132">
        <f>IF(SER_hh_fec!G6=0,0,11630*1000*SER_hh_fec!G6/SER_hh_num!G6)</f>
        <v>0</v>
      </c>
      <c r="H6" s="132">
        <f>IF(SER_hh_fec!H6=0,0,11630*1000*SER_hh_fec!H6/SER_hh_num!H6)</f>
        <v>0</v>
      </c>
      <c r="I6" s="132">
        <f>IF(SER_hh_fec!I6=0,0,11630*1000*SER_hh_fec!I6/SER_hh_num!I6)</f>
        <v>0</v>
      </c>
      <c r="J6" s="132">
        <f>IF(SER_hh_fec!J6=0,0,11630*1000*SER_hh_fec!J6/SER_hh_num!J6)</f>
        <v>0</v>
      </c>
      <c r="K6" s="132">
        <f>IF(SER_hh_fec!K6=0,0,11630*1000*SER_hh_fec!K6/SER_hh_num!K6)</f>
        <v>0</v>
      </c>
      <c r="L6" s="132">
        <f>IF(SER_hh_fec!L6=0,0,11630*1000*SER_hh_fec!L6/SER_hh_num!L6)</f>
        <v>0</v>
      </c>
      <c r="M6" s="132">
        <f>IF(SER_hh_fec!M6=0,0,11630*1000*SER_hh_fec!M6/SER_hh_num!M6)</f>
        <v>0</v>
      </c>
      <c r="N6" s="132">
        <f>IF(SER_hh_fec!N6=0,0,11630*1000*SER_hh_fec!N6/SER_hh_num!N6)</f>
        <v>0</v>
      </c>
      <c r="O6" s="132">
        <f>IF(SER_hh_fec!O6=0,0,11630*1000*SER_hh_fec!O6/SER_hh_num!O6)</f>
        <v>0</v>
      </c>
      <c r="P6" s="132">
        <f>IF(SER_hh_fec!P6=0,0,11630*1000*SER_hh_fec!P6/SER_hh_num!P6)</f>
        <v>0</v>
      </c>
      <c r="Q6" s="132">
        <f>IF(SER_hh_fec!Q6=0,0,11630*1000*SER_hh_fec!Q6/SER_hh_num!Q6)</f>
        <v>0</v>
      </c>
      <c r="R6" s="132">
        <f>IF(SER_hh_fec!R6=0,0,11630*1000*SER_hh_fec!R6/SER_hh_num!R6)</f>
        <v>0</v>
      </c>
      <c r="S6" s="132">
        <f>IF(SER_hh_fec!S6=0,0,11630*1000*SER_hh_fec!S6/SER_hh_num!S6)</f>
        <v>0</v>
      </c>
      <c r="T6" s="132">
        <f>IF(SER_hh_fec!T6=0,0,11630*1000*SER_hh_fec!T6/SER_hh_num!T6)</f>
        <v>0</v>
      </c>
      <c r="U6" s="132">
        <f>IF(SER_hh_fec!U6=0,0,11630*1000*SER_hh_fec!U6/SER_hh_num!U6)</f>
        <v>0</v>
      </c>
      <c r="V6" s="132">
        <f>IF(SER_hh_fec!V6=0,0,11630*1000*SER_hh_fec!V6/SER_hh_num!V6)</f>
        <v>0</v>
      </c>
      <c r="W6" s="132">
        <f>IF(SER_hh_fec!W6=0,0,11630*1000*SER_hh_fec!W6/SER_hh_num!W6)</f>
        <v>0</v>
      </c>
      <c r="X6" s="132">
        <f>IF(SER_hh_fec!X6=0,0,11630*1000*SER_hh_fec!X6/SER_hh_num!X6)</f>
        <v>0</v>
      </c>
      <c r="Y6" s="132">
        <f>IF(SER_hh_fec!Y6=0,0,11630*1000*SER_hh_fec!Y6/SER_hh_num!Y6)</f>
        <v>0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220128.9325362895</v>
      </c>
      <c r="C7" s="132">
        <f>IF(SER_hh_fec!C7=0,0,11630*1000*SER_hh_fec!C7/SER_hh_num!C7)</f>
        <v>78996.141940502945</v>
      </c>
      <c r="D7" s="132">
        <f>IF(SER_hh_fec!D7=0,0,11630*1000*SER_hh_fec!D7/SER_hh_num!D7)</f>
        <v>200023.28931684827</v>
      </c>
      <c r="E7" s="132">
        <f>IF(SER_hh_fec!E7=0,0,11630*1000*SER_hh_fec!E7/SER_hh_num!E7)</f>
        <v>156348.80405796148</v>
      </c>
      <c r="F7" s="132">
        <f>IF(SER_hh_fec!F7=0,0,11630*1000*SER_hh_fec!F7/SER_hh_num!F7)</f>
        <v>167336.07619867782</v>
      </c>
      <c r="G7" s="132">
        <f>IF(SER_hh_fec!G7=0,0,11630*1000*SER_hh_fec!G7/SER_hh_num!G7)</f>
        <v>114181.05302216724</v>
      </c>
      <c r="H7" s="132">
        <f>IF(SER_hh_fec!H7=0,0,11630*1000*SER_hh_fec!H7/SER_hh_num!H7)</f>
        <v>121693.28897777564</v>
      </c>
      <c r="I7" s="132">
        <f>IF(SER_hh_fec!I7=0,0,11630*1000*SER_hh_fec!I7/SER_hh_num!I7)</f>
        <v>113854.19304633222</v>
      </c>
      <c r="J7" s="132">
        <f>IF(SER_hh_fec!J7=0,0,11630*1000*SER_hh_fec!J7/SER_hh_num!J7)</f>
        <v>117307.33125746738</v>
      </c>
      <c r="K7" s="132">
        <f>IF(SER_hh_fec!K7=0,0,11630*1000*SER_hh_fec!K7/SER_hh_num!K7)</f>
        <v>92255.275114150325</v>
      </c>
      <c r="L7" s="132">
        <f>IF(SER_hh_fec!L7=0,0,11630*1000*SER_hh_fec!L7/SER_hh_num!L7)</f>
        <v>116125.90959427034</v>
      </c>
      <c r="M7" s="132">
        <f>IF(SER_hh_fec!M7=0,0,11630*1000*SER_hh_fec!M7/SER_hh_num!M7)</f>
        <v>84990.505997895816</v>
      </c>
      <c r="N7" s="132">
        <f>IF(SER_hh_fec!N7=0,0,11630*1000*SER_hh_fec!N7/SER_hh_num!N7)</f>
        <v>122716.10013350203</v>
      </c>
      <c r="O7" s="132">
        <f>IF(SER_hh_fec!O7=0,0,11630*1000*SER_hh_fec!O7/SER_hh_num!O7)</f>
        <v>91433.73970476129</v>
      </c>
      <c r="P7" s="132">
        <f>IF(SER_hh_fec!P7=0,0,11630*1000*SER_hh_fec!P7/SER_hh_num!P7)</f>
        <v>57892.207452022929</v>
      </c>
      <c r="Q7" s="132">
        <f>IF(SER_hh_fec!Q7=0,0,11630*1000*SER_hh_fec!Q7/SER_hh_num!Q7)</f>
        <v>99129.421155942007</v>
      </c>
      <c r="R7" s="132">
        <f>IF(SER_hh_fec!R7=0,0,11630*1000*SER_hh_fec!R7/SER_hh_num!R7)</f>
        <v>90976.311310577759</v>
      </c>
      <c r="S7" s="132">
        <f>IF(SER_hh_fec!S7=0,0,11630*1000*SER_hh_fec!S7/SER_hh_num!S7)</f>
        <v>93841.992235077036</v>
      </c>
      <c r="T7" s="132">
        <f>IF(SER_hh_fec!T7=0,0,11630*1000*SER_hh_fec!T7/SER_hh_num!T7)</f>
        <v>69112.456211085475</v>
      </c>
      <c r="U7" s="132">
        <f>IF(SER_hh_fec!U7=0,0,11630*1000*SER_hh_fec!U7/SER_hh_num!U7)</f>
        <v>67017.612809369879</v>
      </c>
      <c r="V7" s="132">
        <f>IF(SER_hh_fec!V7=0,0,11630*1000*SER_hh_fec!V7/SER_hh_num!V7)</f>
        <v>74945.290293572602</v>
      </c>
      <c r="W7" s="132">
        <f>IF(SER_hh_fec!W7=0,0,11630*1000*SER_hh_fec!W7/SER_hh_num!W7)</f>
        <v>83234.266888013226</v>
      </c>
      <c r="X7" s="132">
        <f>IF(SER_hh_fec!X7=0,0,11630*1000*SER_hh_fec!X7/SER_hh_num!X7)</f>
        <v>60678.139165104207</v>
      </c>
      <c r="Y7" s="132">
        <f>IF(SER_hh_fec!Y7=0,0,11630*1000*SER_hh_fec!Y7/SER_hh_num!Y7)</f>
        <v>66963.172614425639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0</v>
      </c>
      <c r="C8" s="132">
        <f>IF(SER_hh_fec!C8=0,0,11630*1000*SER_hh_fec!C8/SER_hh_num!C8)</f>
        <v>0</v>
      </c>
      <c r="D8" s="132">
        <f>IF(SER_hh_fec!D8=0,0,11630*1000*SER_hh_fec!D8/SER_hh_num!D8)</f>
        <v>0</v>
      </c>
      <c r="E8" s="132">
        <f>IF(SER_hh_fec!E8=0,0,11630*1000*SER_hh_fec!E8/SER_hh_num!E8)</f>
        <v>0</v>
      </c>
      <c r="F8" s="132">
        <f>IF(SER_hh_fec!F8=0,0,11630*1000*SER_hh_fec!F8/SER_hh_num!F8)</f>
        <v>0</v>
      </c>
      <c r="G8" s="132">
        <f>IF(SER_hh_fec!G8=0,0,11630*1000*SER_hh_fec!G8/SER_hh_num!G8)</f>
        <v>17226.061227405713</v>
      </c>
      <c r="H8" s="132">
        <f>IF(SER_hh_fec!H8=0,0,11630*1000*SER_hh_fec!H8/SER_hh_num!H8)</f>
        <v>19847.249578792304</v>
      </c>
      <c r="I8" s="132">
        <f>IF(SER_hh_fec!I8=0,0,11630*1000*SER_hh_fec!I8/SER_hh_num!I8)</f>
        <v>21915.168128250985</v>
      </c>
      <c r="J8" s="132">
        <f>IF(SER_hh_fec!J8=0,0,11630*1000*SER_hh_fec!J8/SER_hh_num!J8)</f>
        <v>24255.061842626481</v>
      </c>
      <c r="K8" s="132">
        <f>IF(SER_hh_fec!K8=0,0,11630*1000*SER_hh_fec!K8/SER_hh_num!K8)</f>
        <v>22440.533996038412</v>
      </c>
      <c r="L8" s="132">
        <f>IF(SER_hh_fec!L8=0,0,11630*1000*SER_hh_fec!L8/SER_hh_num!L8)</f>
        <v>19311.793213668585</v>
      </c>
      <c r="M8" s="132">
        <f>IF(SER_hh_fec!M8=0,0,11630*1000*SER_hh_fec!M8/SER_hh_num!M8)</f>
        <v>17522.315180357597</v>
      </c>
      <c r="N8" s="132">
        <f>IF(SER_hh_fec!N8=0,0,11630*1000*SER_hh_fec!N8/SER_hh_num!N8)</f>
        <v>14898.869564209366</v>
      </c>
      <c r="O8" s="132">
        <f>IF(SER_hh_fec!O8=0,0,11630*1000*SER_hh_fec!O8/SER_hh_num!O8)</f>
        <v>16066.771409357134</v>
      </c>
      <c r="P8" s="132">
        <f>IF(SER_hh_fec!P8=0,0,11630*1000*SER_hh_fec!P8/SER_hh_num!P8)</f>
        <v>17220.491416715035</v>
      </c>
      <c r="Q8" s="132">
        <f>IF(SER_hh_fec!Q8=0,0,11630*1000*SER_hh_fec!Q8/SER_hh_num!Q8)</f>
        <v>15880.469966298369</v>
      </c>
      <c r="R8" s="132">
        <f>IF(SER_hh_fec!R8=0,0,11630*1000*SER_hh_fec!R8/SER_hh_num!R8)</f>
        <v>15408.32129780013</v>
      </c>
      <c r="S8" s="132">
        <f>IF(SER_hh_fec!S8=0,0,11630*1000*SER_hh_fec!S8/SER_hh_num!S8)</f>
        <v>14960.710039386338</v>
      </c>
      <c r="T8" s="132">
        <f>IF(SER_hh_fec!T8=0,0,11630*1000*SER_hh_fec!T8/SER_hh_num!T8)</f>
        <v>14428.38848740283</v>
      </c>
      <c r="U8" s="132">
        <f>IF(SER_hh_fec!U8=0,0,11630*1000*SER_hh_fec!U8/SER_hh_num!U8)</f>
        <v>14376.979962525935</v>
      </c>
      <c r="V8" s="132">
        <f>IF(SER_hh_fec!V8=0,0,11630*1000*SER_hh_fec!V8/SER_hh_num!V8)</f>
        <v>13518.43064546397</v>
      </c>
      <c r="W8" s="132">
        <f>IF(SER_hh_fec!W8=0,0,11630*1000*SER_hh_fec!W8/SER_hh_num!W8)</f>
        <v>13106.031118944315</v>
      </c>
      <c r="X8" s="132">
        <f>IF(SER_hh_fec!X8=0,0,11630*1000*SER_hh_fec!X8/SER_hh_num!X8)</f>
        <v>11976.011895848245</v>
      </c>
      <c r="Y8" s="132">
        <f>IF(SER_hh_fec!Y8=0,0,11630*1000*SER_hh_fec!Y8/SER_hh_num!Y8)</f>
        <v>11153.916591962565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161549.1606717245</v>
      </c>
      <c r="C9" s="132">
        <f>IF(SER_hh_fec!C9=0,0,11630*1000*SER_hh_fec!C9/SER_hh_num!C9)</f>
        <v>178682.60542734564</v>
      </c>
      <c r="D9" s="132">
        <f>IF(SER_hh_fec!D9=0,0,11630*1000*SER_hh_fec!D9/SER_hh_num!D9)</f>
        <v>155892.44702215842</v>
      </c>
      <c r="E9" s="132">
        <f>IF(SER_hh_fec!E9=0,0,11630*1000*SER_hh_fec!E9/SER_hh_num!E9)</f>
        <v>153156.45985291505</v>
      </c>
      <c r="F9" s="132">
        <f>IF(SER_hh_fec!F9=0,0,11630*1000*SER_hh_fec!F9/SER_hh_num!F9)</f>
        <v>139963.07790485854</v>
      </c>
      <c r="G9" s="132">
        <f>IF(SER_hh_fec!G9=0,0,11630*1000*SER_hh_fec!G9/SER_hh_num!G9)</f>
        <v>129447.97627253285</v>
      </c>
      <c r="H9" s="132">
        <f>IF(SER_hh_fec!H9=0,0,11630*1000*SER_hh_fec!H9/SER_hh_num!H9)</f>
        <v>111881.55853203655</v>
      </c>
      <c r="I9" s="132">
        <f>IF(SER_hh_fec!I9=0,0,11630*1000*SER_hh_fec!I9/SER_hh_num!I9)</f>
        <v>100242.43420730696</v>
      </c>
      <c r="J9" s="132">
        <f>IF(SER_hh_fec!J9=0,0,11630*1000*SER_hh_fec!J9/SER_hh_num!J9)</f>
        <v>107797.44989169866</v>
      </c>
      <c r="K9" s="132">
        <f>IF(SER_hh_fec!K9=0,0,11630*1000*SER_hh_fec!K9/SER_hh_num!K9)</f>
        <v>97792.953077640326</v>
      </c>
      <c r="L9" s="132">
        <f>IF(SER_hh_fec!L9=0,0,11630*1000*SER_hh_fec!L9/SER_hh_num!L9)</f>
        <v>104628.64694582242</v>
      </c>
      <c r="M9" s="132">
        <f>IF(SER_hh_fec!M9=0,0,11630*1000*SER_hh_fec!M9/SER_hh_num!M9)</f>
        <v>99716.623375491574</v>
      </c>
      <c r="N9" s="132">
        <f>IF(SER_hh_fec!N9=0,0,11630*1000*SER_hh_fec!N9/SER_hh_num!N9)</f>
        <v>92802.999837867916</v>
      </c>
      <c r="O9" s="132">
        <f>IF(SER_hh_fec!O9=0,0,11630*1000*SER_hh_fec!O9/SER_hh_num!O9)</f>
        <v>88098.672091381755</v>
      </c>
      <c r="P9" s="132">
        <f>IF(SER_hh_fec!P9=0,0,11630*1000*SER_hh_fec!P9/SER_hh_num!P9)</f>
        <v>83657.237959267601</v>
      </c>
      <c r="Q9" s="132">
        <f>IF(SER_hh_fec!Q9=0,0,11630*1000*SER_hh_fec!Q9/SER_hh_num!Q9)</f>
        <v>81004.349380030108</v>
      </c>
      <c r="R9" s="132">
        <f>IF(SER_hh_fec!R9=0,0,11630*1000*SER_hh_fec!R9/SER_hh_num!R9)</f>
        <v>81693.717711339181</v>
      </c>
      <c r="S9" s="132">
        <f>IF(SER_hh_fec!S9=0,0,11630*1000*SER_hh_fec!S9/SER_hh_num!S9)</f>
        <v>85160.827678260699</v>
      </c>
      <c r="T9" s="132">
        <f>IF(SER_hh_fec!T9=0,0,11630*1000*SER_hh_fec!T9/SER_hh_num!T9)</f>
        <v>76875.026377953036</v>
      </c>
      <c r="U9" s="132">
        <f>IF(SER_hh_fec!U9=0,0,11630*1000*SER_hh_fec!U9/SER_hh_num!U9)</f>
        <v>79740.284211941747</v>
      </c>
      <c r="V9" s="132">
        <f>IF(SER_hh_fec!V9=0,0,11630*1000*SER_hh_fec!V9/SER_hh_num!V9)</f>
        <v>73020.919956292259</v>
      </c>
      <c r="W9" s="132">
        <f>IF(SER_hh_fec!W9=0,0,11630*1000*SER_hh_fec!W9/SER_hh_num!W9)</f>
        <v>69096.948003500962</v>
      </c>
      <c r="X9" s="132">
        <f>IF(SER_hh_fec!X9=0,0,11630*1000*SER_hh_fec!X9/SER_hh_num!X9)</f>
        <v>62885.968786309524</v>
      </c>
      <c r="Y9" s="132">
        <f>IF(SER_hh_fec!Y9=0,0,11630*1000*SER_hh_fec!Y9/SER_hh_num!Y9)</f>
        <v>55925.873716368777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142522.83409984948</v>
      </c>
      <c r="C10" s="132">
        <f>IF(SER_hh_fec!C10=0,0,11630*1000*SER_hh_fec!C10/SER_hh_num!C10)</f>
        <v>192937.60226969895</v>
      </c>
      <c r="D10" s="132">
        <f>IF(SER_hh_fec!D10=0,0,11630*1000*SER_hh_fec!D10/SER_hh_num!D10)</f>
        <v>148037.80844058163</v>
      </c>
      <c r="E10" s="132">
        <f>IF(SER_hh_fec!E10=0,0,11630*1000*SER_hh_fec!E10/SER_hh_num!E10)</f>
        <v>161186.02106754383</v>
      </c>
      <c r="F10" s="132">
        <f>IF(SER_hh_fec!F10=0,0,11630*1000*SER_hh_fec!F10/SER_hh_num!F10)</f>
        <v>146238.02814962249</v>
      </c>
      <c r="G10" s="132">
        <f>IF(SER_hh_fec!G10=0,0,11630*1000*SER_hh_fec!G10/SER_hh_num!G10)</f>
        <v>130354.0340604213</v>
      </c>
      <c r="H10" s="132">
        <f>IF(SER_hh_fec!H10=0,0,11630*1000*SER_hh_fec!H10/SER_hh_num!H10)</f>
        <v>101560.13308002359</v>
      </c>
      <c r="I10" s="132">
        <f>IF(SER_hh_fec!I10=0,0,11630*1000*SER_hh_fec!I10/SER_hh_num!I10)</f>
        <v>130215.07084226119</v>
      </c>
      <c r="J10" s="132">
        <f>IF(SER_hh_fec!J10=0,0,11630*1000*SER_hh_fec!J10/SER_hh_num!J10)</f>
        <v>100868.95391047603</v>
      </c>
      <c r="K10" s="132">
        <f>IF(SER_hh_fec!K10=0,0,11630*1000*SER_hh_fec!K10/SER_hh_num!K10)</f>
        <v>86568.601759172932</v>
      </c>
      <c r="L10" s="132">
        <f>IF(SER_hh_fec!L10=0,0,11630*1000*SER_hh_fec!L10/SER_hh_num!L10)</f>
        <v>111186.87102119529</v>
      </c>
      <c r="M10" s="132">
        <f>IF(SER_hh_fec!M10=0,0,11630*1000*SER_hh_fec!M10/SER_hh_num!M10)</f>
        <v>102619.0702700306</v>
      </c>
      <c r="N10" s="132">
        <f>IF(SER_hh_fec!N10=0,0,11630*1000*SER_hh_fec!N10/SER_hh_num!N10)</f>
        <v>95519.334548632105</v>
      </c>
      <c r="O10" s="132">
        <f>IF(SER_hh_fec!O10=0,0,11630*1000*SER_hh_fec!O10/SER_hh_num!O10)</f>
        <v>96047.163960482852</v>
      </c>
      <c r="P10" s="132">
        <f>IF(SER_hh_fec!P10=0,0,11630*1000*SER_hh_fec!P10/SER_hh_num!P10)</f>
        <v>88408.195540451867</v>
      </c>
      <c r="Q10" s="132">
        <f>IF(SER_hh_fec!Q10=0,0,11630*1000*SER_hh_fec!Q10/SER_hh_num!Q10)</f>
        <v>95379.435625559709</v>
      </c>
      <c r="R10" s="132">
        <f>IF(SER_hh_fec!R10=0,0,11630*1000*SER_hh_fec!R10/SER_hh_num!R10)</f>
        <v>91953.321242821738</v>
      </c>
      <c r="S10" s="132">
        <f>IF(SER_hh_fec!S10=0,0,11630*1000*SER_hh_fec!S10/SER_hh_num!S10)</f>
        <v>89977.469986819226</v>
      </c>
      <c r="T10" s="132">
        <f>IF(SER_hh_fec!T10=0,0,11630*1000*SER_hh_fec!T10/SER_hh_num!T10)</f>
        <v>93119.996254414218</v>
      </c>
      <c r="U10" s="132">
        <f>IF(SER_hh_fec!U10=0,0,11630*1000*SER_hh_fec!U10/SER_hh_num!U10)</f>
        <v>95358.30875603501</v>
      </c>
      <c r="V10" s="132">
        <f>IF(SER_hh_fec!V10=0,0,11630*1000*SER_hh_fec!V10/SER_hh_num!V10)</f>
        <v>88334.234307186372</v>
      </c>
      <c r="W10" s="132">
        <f>IF(SER_hh_fec!W10=0,0,11630*1000*SER_hh_fec!W10/SER_hh_num!W10)</f>
        <v>90604.811030585144</v>
      </c>
      <c r="X10" s="132">
        <f>IF(SER_hh_fec!X10=0,0,11630*1000*SER_hh_fec!X10/SER_hh_num!X10)</f>
        <v>86968.512153023272</v>
      </c>
      <c r="Y10" s="132">
        <f>IF(SER_hh_fec!Y10=0,0,11630*1000*SER_hh_fec!Y10/SER_hh_num!Y10)</f>
        <v>73695.19022963231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0</v>
      </c>
      <c r="C11" s="132">
        <f>IF(SER_hh_fec!C11=0,0,11630*1000*SER_hh_fec!C11/SER_hh_num!C11)</f>
        <v>0</v>
      </c>
      <c r="D11" s="132">
        <f>IF(SER_hh_fec!D11=0,0,11630*1000*SER_hh_fec!D11/SER_hh_num!D11)</f>
        <v>0</v>
      </c>
      <c r="E11" s="132">
        <f>IF(SER_hh_fec!E11=0,0,11630*1000*SER_hh_fec!E11/SER_hh_num!E11)</f>
        <v>0</v>
      </c>
      <c r="F11" s="132">
        <f>IF(SER_hh_fec!F11=0,0,11630*1000*SER_hh_fec!F11/SER_hh_num!F11)</f>
        <v>0</v>
      </c>
      <c r="G11" s="132">
        <f>IF(SER_hh_fec!G11=0,0,11630*1000*SER_hh_fec!G11/SER_hh_num!G11)</f>
        <v>0</v>
      </c>
      <c r="H11" s="132">
        <f>IF(SER_hh_fec!H11=0,0,11630*1000*SER_hh_fec!H11/SER_hh_num!H11)</f>
        <v>0</v>
      </c>
      <c r="I11" s="132">
        <f>IF(SER_hh_fec!I11=0,0,11630*1000*SER_hh_fec!I11/SER_hh_num!I11)</f>
        <v>0</v>
      </c>
      <c r="J11" s="132">
        <f>IF(SER_hh_fec!J11=0,0,11630*1000*SER_hh_fec!J11/SER_hh_num!J11)</f>
        <v>0</v>
      </c>
      <c r="K11" s="132">
        <f>IF(SER_hh_fec!K11=0,0,11630*1000*SER_hh_fec!K11/SER_hh_num!K11)</f>
        <v>0</v>
      </c>
      <c r="L11" s="132">
        <f>IF(SER_hh_fec!L11=0,0,11630*1000*SER_hh_fec!L11/SER_hh_num!L11)</f>
        <v>0</v>
      </c>
      <c r="M11" s="132">
        <f>IF(SER_hh_fec!M11=0,0,11630*1000*SER_hh_fec!M11/SER_hh_num!M11)</f>
        <v>0</v>
      </c>
      <c r="N11" s="132">
        <f>IF(SER_hh_fec!N11=0,0,11630*1000*SER_hh_fec!N11/SER_hh_num!N11)</f>
        <v>0</v>
      </c>
      <c r="O11" s="132">
        <f>IF(SER_hh_fec!O11=0,0,11630*1000*SER_hh_fec!O11/SER_hh_num!O11)</f>
        <v>0</v>
      </c>
      <c r="P11" s="132">
        <f>IF(SER_hh_fec!P11=0,0,11630*1000*SER_hh_fec!P11/SER_hh_num!P11)</f>
        <v>0</v>
      </c>
      <c r="Q11" s="132">
        <f>IF(SER_hh_fec!Q11=0,0,11630*1000*SER_hh_fec!Q11/SER_hh_num!Q11)</f>
        <v>0</v>
      </c>
      <c r="R11" s="132">
        <f>IF(SER_hh_fec!R11=0,0,11630*1000*SER_hh_fec!R11/SER_hh_num!R11)</f>
        <v>0</v>
      </c>
      <c r="S11" s="132">
        <f>IF(SER_hh_fec!S11=0,0,11630*1000*SER_hh_fec!S11/SER_hh_num!S11)</f>
        <v>0</v>
      </c>
      <c r="T11" s="132">
        <f>IF(SER_hh_fec!T11=0,0,11630*1000*SER_hh_fec!T11/SER_hh_num!T11)</f>
        <v>0</v>
      </c>
      <c r="U11" s="132">
        <f>IF(SER_hh_fec!U11=0,0,11630*1000*SER_hh_fec!U11/SER_hh_num!U11)</f>
        <v>0</v>
      </c>
      <c r="V11" s="132">
        <f>IF(SER_hh_fec!V11=0,0,11630*1000*SER_hh_fec!V11/SER_hh_num!V11)</f>
        <v>0</v>
      </c>
      <c r="W11" s="132">
        <f>IF(SER_hh_fec!W11=0,0,11630*1000*SER_hh_fec!W11/SER_hh_num!W11)</f>
        <v>0</v>
      </c>
      <c r="X11" s="132">
        <f>IF(SER_hh_fec!X11=0,0,11630*1000*SER_hh_fec!X11/SER_hh_num!X11)</f>
        <v>0</v>
      </c>
      <c r="Y11" s="132">
        <f>IF(SER_hh_fec!Y11=0,0,11630*1000*SER_hh_fec!Y11/SER_hh_num!Y11)</f>
        <v>0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106319.61308460942</v>
      </c>
      <c r="C12" s="132">
        <f>IF(SER_hh_fec!C12=0,0,11630*1000*SER_hh_fec!C12/SER_hh_num!C12)</f>
        <v>109043.34887384628</v>
      </c>
      <c r="D12" s="132">
        <f>IF(SER_hh_fec!D12=0,0,11630*1000*SER_hh_fec!D12/SER_hh_num!D12)</f>
        <v>100098.85617883713</v>
      </c>
      <c r="E12" s="132">
        <f>IF(SER_hh_fec!E12=0,0,11630*1000*SER_hh_fec!E12/SER_hh_num!E12)</f>
        <v>98533.79003006377</v>
      </c>
      <c r="F12" s="132">
        <f>IF(SER_hh_fec!F12=0,0,11630*1000*SER_hh_fec!F12/SER_hh_num!F12)</f>
        <v>98118.0413915401</v>
      </c>
      <c r="G12" s="132">
        <f>IF(SER_hh_fec!G12=0,0,11630*1000*SER_hh_fec!G12/SER_hh_num!G12)</f>
        <v>94084.022206721449</v>
      </c>
      <c r="H12" s="132">
        <f>IF(SER_hh_fec!H12=0,0,11630*1000*SER_hh_fec!H12/SER_hh_num!H12)</f>
        <v>74815.974841991221</v>
      </c>
      <c r="I12" s="132">
        <f>IF(SER_hh_fec!I12=0,0,11630*1000*SER_hh_fec!I12/SER_hh_num!I12)</f>
        <v>68045.287574439571</v>
      </c>
      <c r="J12" s="132">
        <f>IF(SER_hh_fec!J12=0,0,11630*1000*SER_hh_fec!J12/SER_hh_num!J12)</f>
        <v>69035.234671997561</v>
      </c>
      <c r="K12" s="132">
        <f>IF(SER_hh_fec!K12=0,0,11630*1000*SER_hh_fec!K12/SER_hh_num!K12)</f>
        <v>63356.098453473031</v>
      </c>
      <c r="L12" s="132">
        <f>IF(SER_hh_fec!L12=0,0,11630*1000*SER_hh_fec!L12/SER_hh_num!L12)</f>
        <v>77859.781251601278</v>
      </c>
      <c r="M12" s="132">
        <f>IF(SER_hh_fec!M12=0,0,11630*1000*SER_hh_fec!M12/SER_hh_num!M12)</f>
        <v>69636.335647767366</v>
      </c>
      <c r="N12" s="132">
        <f>IF(SER_hh_fec!N12=0,0,11630*1000*SER_hh_fec!N12/SER_hh_num!N12)</f>
        <v>65994.519063207408</v>
      </c>
      <c r="O12" s="132">
        <f>IF(SER_hh_fec!O12=0,0,11630*1000*SER_hh_fec!O12/SER_hh_num!O12)</f>
        <v>62937.989992693525</v>
      </c>
      <c r="P12" s="132">
        <f>IF(SER_hh_fec!P12=0,0,11630*1000*SER_hh_fec!P12/SER_hh_num!P12)</f>
        <v>58819.286285754482</v>
      </c>
      <c r="Q12" s="132">
        <f>IF(SER_hh_fec!Q12=0,0,11630*1000*SER_hh_fec!Q12/SER_hh_num!Q12)</f>
        <v>59401.617345471815</v>
      </c>
      <c r="R12" s="132">
        <f>IF(SER_hh_fec!R12=0,0,11630*1000*SER_hh_fec!R12/SER_hh_num!R12)</f>
        <v>61561.907784940238</v>
      </c>
      <c r="S12" s="132">
        <f>IF(SER_hh_fec!S12=0,0,11630*1000*SER_hh_fec!S12/SER_hh_num!S12)</f>
        <v>62554.092907763421</v>
      </c>
      <c r="T12" s="132">
        <f>IF(SER_hh_fec!T12=0,0,11630*1000*SER_hh_fec!T12/SER_hh_num!T12)</f>
        <v>62881.632833075484</v>
      </c>
      <c r="U12" s="132">
        <f>IF(SER_hh_fec!U12=0,0,11630*1000*SER_hh_fec!U12/SER_hh_num!U12)</f>
        <v>60744.458947208252</v>
      </c>
      <c r="V12" s="132">
        <f>IF(SER_hh_fec!V12=0,0,11630*1000*SER_hh_fec!V12/SER_hh_num!V12)</f>
        <v>56903.648765917656</v>
      </c>
      <c r="W12" s="132">
        <f>IF(SER_hh_fec!W12=0,0,11630*1000*SER_hh_fec!W12/SER_hh_num!W12)</f>
        <v>58466.6628198373</v>
      </c>
      <c r="X12" s="132">
        <f>IF(SER_hh_fec!X12=0,0,11630*1000*SER_hh_fec!X12/SER_hh_num!X12)</f>
        <v>54094.542010149133</v>
      </c>
      <c r="Y12" s="132">
        <f>IF(SER_hh_fec!Y12=0,0,11630*1000*SER_hh_fec!Y12/SER_hh_num!Y12)</f>
        <v>49307.213391112571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44824.08025103328</v>
      </c>
      <c r="C13" s="132">
        <f>IF(SER_hh_fec!C13=0,0,11630*1000*SER_hh_fec!C13/SER_hh_num!C13)</f>
        <v>46408.051422839504</v>
      </c>
      <c r="D13" s="132">
        <f>IF(SER_hh_fec!D13=0,0,11630*1000*SER_hh_fec!D13/SER_hh_num!D13)</f>
        <v>49915.22939427285</v>
      </c>
      <c r="E13" s="132">
        <f>IF(SER_hh_fec!E13=0,0,11630*1000*SER_hh_fec!E13/SER_hh_num!E13)</f>
        <v>47666.678212397419</v>
      </c>
      <c r="F13" s="132">
        <f>IF(SER_hh_fec!F13=0,0,11630*1000*SER_hh_fec!F13/SER_hh_num!F13)</f>
        <v>42195.081108611717</v>
      </c>
      <c r="G13" s="132">
        <f>IF(SER_hh_fec!G13=0,0,11630*1000*SER_hh_fec!G13/SER_hh_num!G13)</f>
        <v>34196.039090281614</v>
      </c>
      <c r="H13" s="132">
        <f>IF(SER_hh_fec!H13=0,0,11630*1000*SER_hh_fec!H13/SER_hh_num!H13)</f>
        <v>31378.218099716913</v>
      </c>
      <c r="I13" s="132">
        <f>IF(SER_hh_fec!I13=0,0,11630*1000*SER_hh_fec!I13/SER_hh_num!I13)</f>
        <v>28882.733773665448</v>
      </c>
      <c r="J13" s="132">
        <f>IF(SER_hh_fec!J13=0,0,11630*1000*SER_hh_fec!J13/SER_hh_num!J13)</f>
        <v>27405.837152567616</v>
      </c>
      <c r="K13" s="132">
        <f>IF(SER_hh_fec!K13=0,0,11630*1000*SER_hh_fec!K13/SER_hh_num!K13)</f>
        <v>26195.164221203166</v>
      </c>
      <c r="L13" s="132">
        <f>IF(SER_hh_fec!L13=0,0,11630*1000*SER_hh_fec!L13/SER_hh_num!L13)</f>
        <v>26017.790682042192</v>
      </c>
      <c r="M13" s="132">
        <f>IF(SER_hh_fec!M13=0,0,11630*1000*SER_hh_fec!M13/SER_hh_num!M13)</f>
        <v>24403.829071540091</v>
      </c>
      <c r="N13" s="132">
        <f>IF(SER_hh_fec!N13=0,0,11630*1000*SER_hh_fec!N13/SER_hh_num!N13)</f>
        <v>22826.140661068908</v>
      </c>
      <c r="O13" s="132">
        <f>IF(SER_hh_fec!O13=0,0,11630*1000*SER_hh_fec!O13/SER_hh_num!O13)</f>
        <v>20925.349962079777</v>
      </c>
      <c r="P13" s="132">
        <f>IF(SER_hh_fec!P13=0,0,11630*1000*SER_hh_fec!P13/SER_hh_num!P13)</f>
        <v>19047.057518138619</v>
      </c>
      <c r="Q13" s="132">
        <f>IF(SER_hh_fec!Q13=0,0,11630*1000*SER_hh_fec!Q13/SER_hh_num!Q13)</f>
        <v>18204.786164517242</v>
      </c>
      <c r="R13" s="132">
        <f>IF(SER_hh_fec!R13=0,0,11630*1000*SER_hh_fec!R13/SER_hh_num!R13)</f>
        <v>17747.664370172315</v>
      </c>
      <c r="S13" s="132">
        <f>IF(SER_hh_fec!S13=0,0,11630*1000*SER_hh_fec!S13/SER_hh_num!S13)</f>
        <v>17326.385346306008</v>
      </c>
      <c r="T13" s="132">
        <f>IF(SER_hh_fec!T13=0,0,11630*1000*SER_hh_fec!T13/SER_hh_num!T13)</f>
        <v>16434.845265749769</v>
      </c>
      <c r="U13" s="132">
        <f>IF(SER_hh_fec!U13=0,0,11630*1000*SER_hh_fec!U13/SER_hh_num!U13)</f>
        <v>15662.505947033122</v>
      </c>
      <c r="V13" s="132">
        <f>IF(SER_hh_fec!V13=0,0,11630*1000*SER_hh_fec!V13/SER_hh_num!V13)</f>
        <v>13877.141287889172</v>
      </c>
      <c r="W13" s="132">
        <f>IF(SER_hh_fec!W13=0,0,11630*1000*SER_hh_fec!W13/SER_hh_num!W13)</f>
        <v>11863.065390411957</v>
      </c>
      <c r="X13" s="132">
        <f>IF(SER_hh_fec!X13=0,0,11630*1000*SER_hh_fec!X13/SER_hh_num!X13)</f>
        <v>12507.163357306821</v>
      </c>
      <c r="Y13" s="132">
        <f>IF(SER_hh_fec!Y13=0,0,11630*1000*SER_hh_fec!Y13/SER_hh_num!Y13)</f>
        <v>11806.310925694868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123201.96007821521</v>
      </c>
      <c r="C14" s="65">
        <f>IF(SER_hh_fec!C14=0,0,11630*1000*SER_hh_fec!C14/SER_hh_num!C14)</f>
        <v>122407.26639798201</v>
      </c>
      <c r="D14" s="65">
        <f>IF(SER_hh_fec!D14=0,0,11630*1000*SER_hh_fec!D14/SER_hh_num!D14)</f>
        <v>112877.33395688013</v>
      </c>
      <c r="E14" s="65">
        <f>IF(SER_hh_fec!E14=0,0,11630*1000*SER_hh_fec!E14/SER_hh_num!E14)</f>
        <v>135828.98613179981</v>
      </c>
      <c r="F14" s="65">
        <f>IF(SER_hh_fec!F14=0,0,11630*1000*SER_hh_fec!F14/SER_hh_num!F14)</f>
        <v>93837.868683708832</v>
      </c>
      <c r="G14" s="65">
        <f>IF(SER_hh_fec!G14=0,0,11630*1000*SER_hh_fec!G14/SER_hh_num!G14)</f>
        <v>90881.950759019077</v>
      </c>
      <c r="H14" s="65">
        <f>IF(SER_hh_fec!H14=0,0,11630*1000*SER_hh_fec!H14/SER_hh_num!H14)</f>
        <v>86344.033764787586</v>
      </c>
      <c r="I14" s="65">
        <f>IF(SER_hh_fec!I14=0,0,11630*1000*SER_hh_fec!I14/SER_hh_num!I14)</f>
        <v>79488.81318418782</v>
      </c>
      <c r="J14" s="65">
        <f>IF(SER_hh_fec!J14=0,0,11630*1000*SER_hh_fec!J14/SER_hh_num!J14)</f>
        <v>81248.629160520752</v>
      </c>
      <c r="K14" s="65">
        <f>IF(SER_hh_fec!K14=0,0,11630*1000*SER_hh_fec!K14/SER_hh_num!K14)</f>
        <v>75705.352078183394</v>
      </c>
      <c r="L14" s="65">
        <f>IF(SER_hh_fec!L14=0,0,11630*1000*SER_hh_fec!L14/SER_hh_num!L14)</f>
        <v>82220.973162127513</v>
      </c>
      <c r="M14" s="65">
        <f>IF(SER_hh_fec!M14=0,0,11630*1000*SER_hh_fec!M14/SER_hh_num!M14)</f>
        <v>73076.726921875656</v>
      </c>
      <c r="N14" s="65">
        <f>IF(SER_hh_fec!N14=0,0,11630*1000*SER_hh_fec!N14/SER_hh_num!N14)</f>
        <v>70198.661968387489</v>
      </c>
      <c r="O14" s="65">
        <f>IF(SER_hh_fec!O14=0,0,11630*1000*SER_hh_fec!O14/SER_hh_num!O14)</f>
        <v>72756.481273178404</v>
      </c>
      <c r="P14" s="65">
        <f>IF(SER_hh_fec!P14=0,0,11630*1000*SER_hh_fec!P14/SER_hh_num!P14)</f>
        <v>63851.310436188782</v>
      </c>
      <c r="Q14" s="65">
        <f>IF(SER_hh_fec!Q14=0,0,11630*1000*SER_hh_fec!Q14/SER_hh_num!Q14)</f>
        <v>62039.942794055183</v>
      </c>
      <c r="R14" s="65">
        <f>IF(SER_hh_fec!R14=0,0,11630*1000*SER_hh_fec!R14/SER_hh_num!R14)</f>
        <v>66892.4904617516</v>
      </c>
      <c r="S14" s="65">
        <f>IF(SER_hh_fec!S14=0,0,11630*1000*SER_hh_fec!S14/SER_hh_num!S14)</f>
        <v>68500.107053732441</v>
      </c>
      <c r="T14" s="65">
        <f>IF(SER_hh_fec!T14=0,0,11630*1000*SER_hh_fec!T14/SER_hh_num!T14)</f>
        <v>67156.544867356308</v>
      </c>
      <c r="U14" s="65">
        <f>IF(SER_hh_fec!U14=0,0,11630*1000*SER_hh_fec!U14/SER_hh_num!U14)</f>
        <v>68823.111243687104</v>
      </c>
      <c r="V14" s="65">
        <f>IF(SER_hh_fec!V14=0,0,11630*1000*SER_hh_fec!V14/SER_hh_num!V14)</f>
        <v>63180.315748528948</v>
      </c>
      <c r="W14" s="65">
        <f>IF(SER_hh_fec!W14=0,0,11630*1000*SER_hh_fec!W14/SER_hh_num!W14)</f>
        <v>62031.956115018576</v>
      </c>
      <c r="X14" s="65">
        <f>IF(SER_hh_fec!X14=0,0,11630*1000*SER_hh_fec!X14/SER_hh_num!X14)</f>
        <v>62088.95115729497</v>
      </c>
      <c r="Y14" s="65">
        <f>IF(SER_hh_fec!Y14=0,0,11630*1000*SER_hh_fec!Y14/SER_hh_num!Y14)</f>
        <v>47906.338979563705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998.71366664333027</v>
      </c>
      <c r="C15" s="134">
        <f>IF(SER_hh_fec!C15=0,0,11630*1000*SER_hh_fec!C15/SER_hh_num!C15)</f>
        <v>999.44033964700827</v>
      </c>
      <c r="D15" s="134">
        <f>IF(SER_hh_fec!D15=0,0,11630*1000*SER_hh_fec!D15/SER_hh_num!D15)</f>
        <v>901.58559343527304</v>
      </c>
      <c r="E15" s="134">
        <f>IF(SER_hh_fec!E15=0,0,11630*1000*SER_hh_fec!E15/SER_hh_num!E15)</f>
        <v>953.48615432992983</v>
      </c>
      <c r="F15" s="134">
        <f>IF(SER_hh_fec!F15=0,0,11630*1000*SER_hh_fec!F15/SER_hh_num!F15)</f>
        <v>904.42343823874501</v>
      </c>
      <c r="G15" s="134">
        <f>IF(SER_hh_fec!G15=0,0,11630*1000*SER_hh_fec!G15/SER_hh_num!G15)</f>
        <v>781.97887281425471</v>
      </c>
      <c r="H15" s="134">
        <f>IF(SER_hh_fec!H15=0,0,11630*1000*SER_hh_fec!H15/SER_hh_num!H15)</f>
        <v>725.58342778877011</v>
      </c>
      <c r="I15" s="134">
        <f>IF(SER_hh_fec!I15=0,0,11630*1000*SER_hh_fec!I15/SER_hh_num!I15)</f>
        <v>663.72059222951793</v>
      </c>
      <c r="J15" s="134">
        <f>IF(SER_hh_fec!J15=0,0,11630*1000*SER_hh_fec!J15/SER_hh_num!J15)</f>
        <v>720.28100479770706</v>
      </c>
      <c r="K15" s="134">
        <f>IF(SER_hh_fec!K15=0,0,11630*1000*SER_hh_fec!K15/SER_hh_num!K15)</f>
        <v>628.3609288693516</v>
      </c>
      <c r="L15" s="134">
        <f>IF(SER_hh_fec!L15=0,0,11630*1000*SER_hh_fec!L15/SER_hh_num!L15)</f>
        <v>676.18595196466845</v>
      </c>
      <c r="M15" s="134">
        <f>IF(SER_hh_fec!M15=0,0,11630*1000*SER_hh_fec!M15/SER_hh_num!M15)</f>
        <v>631.60580595496458</v>
      </c>
      <c r="N15" s="134">
        <f>IF(SER_hh_fec!N15=0,0,11630*1000*SER_hh_fec!N15/SER_hh_num!N15)</f>
        <v>588.3496821027602</v>
      </c>
      <c r="O15" s="134">
        <f>IF(SER_hh_fec!O15=0,0,11630*1000*SER_hh_fec!O15/SER_hh_num!O15)</f>
        <v>559.56301630212999</v>
      </c>
      <c r="P15" s="134">
        <f>IF(SER_hh_fec!P15=0,0,11630*1000*SER_hh_fec!P15/SER_hh_num!P15)</f>
        <v>528.80126565883495</v>
      </c>
      <c r="Q15" s="134">
        <f>IF(SER_hh_fec!Q15=0,0,11630*1000*SER_hh_fec!Q15/SER_hh_num!Q15)</f>
        <v>528.31208979543055</v>
      </c>
      <c r="R15" s="134">
        <f>IF(SER_hh_fec!R15=0,0,11630*1000*SER_hh_fec!R15/SER_hh_num!R15)</f>
        <v>540.75154687770225</v>
      </c>
      <c r="S15" s="134">
        <f>IF(SER_hh_fec!S15=0,0,11630*1000*SER_hh_fec!S15/SER_hh_num!S15)</f>
        <v>574.91122171436007</v>
      </c>
      <c r="T15" s="134">
        <f>IF(SER_hh_fec!T15=0,0,11630*1000*SER_hh_fec!T15/SER_hh_num!T15)</f>
        <v>535.61034269538641</v>
      </c>
      <c r="U15" s="134">
        <f>IF(SER_hh_fec!U15=0,0,11630*1000*SER_hh_fec!U15/SER_hh_num!U15)</f>
        <v>565.99278187418099</v>
      </c>
      <c r="V15" s="134">
        <f>IF(SER_hh_fec!V15=0,0,11630*1000*SER_hh_fec!V15/SER_hh_num!V15)</f>
        <v>529.02893935079942</v>
      </c>
      <c r="W15" s="134">
        <f>IF(SER_hh_fec!W15=0,0,11630*1000*SER_hh_fec!W15/SER_hh_num!W15)</f>
        <v>514.51258719121711</v>
      </c>
      <c r="X15" s="134">
        <f>IF(SER_hh_fec!X15=0,0,11630*1000*SER_hh_fec!X15/SER_hh_num!X15)</f>
        <v>471.42931808203912</v>
      </c>
      <c r="Y15" s="134">
        <f>IF(SER_hh_fec!Y15=0,0,11630*1000*SER_hh_fec!Y15/SER_hh_num!Y15)</f>
        <v>425.4968512586978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13832.120688829495</v>
      </c>
      <c r="C16" s="130">
        <f>IF(SER_hh_fec!C16=0,0,11630*1000*SER_hh_fec!C16/SER_hh_num!C16)</f>
        <v>13122.61923010584</v>
      </c>
      <c r="D16" s="130">
        <f>IF(SER_hh_fec!D16=0,0,11630*1000*SER_hh_fec!D16/SER_hh_num!D16)</f>
        <v>12253.429188487569</v>
      </c>
      <c r="E16" s="130">
        <f>IF(SER_hh_fec!E16=0,0,11630*1000*SER_hh_fec!E16/SER_hh_num!E16)</f>
        <v>12317.064326125335</v>
      </c>
      <c r="F16" s="130">
        <f>IF(SER_hh_fec!F16=0,0,11630*1000*SER_hh_fec!F16/SER_hh_num!F16)</f>
        <v>11215.926472165072</v>
      </c>
      <c r="G16" s="130">
        <f>IF(SER_hh_fec!G16=0,0,11630*1000*SER_hh_fec!G16/SER_hh_num!G16)</f>
        <v>10665.429132533009</v>
      </c>
      <c r="H16" s="130">
        <f>IF(SER_hh_fec!H16=0,0,11630*1000*SER_hh_fec!H16/SER_hh_num!H16)</f>
        <v>10440.036708916097</v>
      </c>
      <c r="I16" s="130">
        <f>IF(SER_hh_fec!I16=0,0,11630*1000*SER_hh_fec!I16/SER_hh_num!I16)</f>
        <v>9842.6883509681156</v>
      </c>
      <c r="J16" s="130">
        <f>IF(SER_hh_fec!J16=0,0,11630*1000*SER_hh_fec!J16/SER_hh_num!J16)</f>
        <v>9312.3439272279993</v>
      </c>
      <c r="K16" s="130">
        <f>IF(SER_hh_fec!K16=0,0,11630*1000*SER_hh_fec!K16/SER_hh_num!K16)</f>
        <v>9165.9260518538576</v>
      </c>
      <c r="L16" s="130">
        <f>IF(SER_hh_fec!L16=0,0,11630*1000*SER_hh_fec!L16/SER_hh_num!L16)</f>
        <v>9194.6760719790182</v>
      </c>
      <c r="M16" s="130">
        <f>IF(SER_hh_fec!M16=0,0,11630*1000*SER_hh_fec!M16/SER_hh_num!M16)</f>
        <v>8792.7779005972479</v>
      </c>
      <c r="N16" s="130">
        <f>IF(SER_hh_fec!N16=0,0,11630*1000*SER_hh_fec!N16/SER_hh_num!N16)</f>
        <v>8649.2288062187818</v>
      </c>
      <c r="O16" s="130">
        <f>IF(SER_hh_fec!O16=0,0,11630*1000*SER_hh_fec!O16/SER_hh_num!O16)</f>
        <v>8804.9499511055801</v>
      </c>
      <c r="P16" s="130">
        <f>IF(SER_hh_fec!P16=0,0,11630*1000*SER_hh_fec!P16/SER_hh_num!P16)</f>
        <v>8083.1189013499325</v>
      </c>
      <c r="Q16" s="130">
        <f>IF(SER_hh_fec!Q16=0,0,11630*1000*SER_hh_fec!Q16/SER_hh_num!Q16)</f>
        <v>9113.4005908986601</v>
      </c>
      <c r="R16" s="130">
        <f>IF(SER_hh_fec!R16=0,0,11630*1000*SER_hh_fec!R16/SER_hh_num!R16)</f>
        <v>7510.0344372997288</v>
      </c>
      <c r="S16" s="130">
        <f>IF(SER_hh_fec!S16=0,0,11630*1000*SER_hh_fec!S16/SER_hh_num!S16)</f>
        <v>7382.5893126370484</v>
      </c>
      <c r="T16" s="130">
        <f>IF(SER_hh_fec!T16=0,0,11630*1000*SER_hh_fec!T16/SER_hh_num!T16)</f>
        <v>7577.6921856112785</v>
      </c>
      <c r="U16" s="130">
        <f>IF(SER_hh_fec!U16=0,0,11630*1000*SER_hh_fec!U16/SER_hh_num!U16)</f>
        <v>7302.4277837579402</v>
      </c>
      <c r="V16" s="130">
        <f>IF(SER_hh_fec!V16=0,0,11630*1000*SER_hh_fec!V16/SER_hh_num!V16)</f>
        <v>6524.8856381548703</v>
      </c>
      <c r="W16" s="130">
        <f>IF(SER_hh_fec!W16=0,0,11630*1000*SER_hh_fec!W16/SER_hh_num!W16)</f>
        <v>6723.3181671074099</v>
      </c>
      <c r="X16" s="130">
        <f>IF(SER_hh_fec!X16=0,0,11630*1000*SER_hh_fec!X16/SER_hh_num!X16)</f>
        <v>6889.9867362491323</v>
      </c>
      <c r="Y16" s="130">
        <f>IF(SER_hh_fec!Y16=0,0,11630*1000*SER_hh_fec!Y16/SER_hh_num!Y16)</f>
        <v>6857.5681544608633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0</v>
      </c>
      <c r="C17" s="132">
        <f>IF(SER_hh_fec!C17=0,0,11630*1000*SER_hh_fec!C17/SER_hh_num!C17)</f>
        <v>0</v>
      </c>
      <c r="D17" s="132">
        <f>IF(SER_hh_fec!D17=0,0,11630*1000*SER_hh_fec!D17/SER_hh_num!D17)</f>
        <v>0</v>
      </c>
      <c r="E17" s="132">
        <f>IF(SER_hh_fec!E17=0,0,11630*1000*SER_hh_fec!E17/SER_hh_num!E17)</f>
        <v>0</v>
      </c>
      <c r="F17" s="132">
        <f>IF(SER_hh_fec!F17=0,0,11630*1000*SER_hh_fec!F17/SER_hh_num!F17)</f>
        <v>0</v>
      </c>
      <c r="G17" s="132">
        <f>IF(SER_hh_fec!G17=0,0,11630*1000*SER_hh_fec!G17/SER_hh_num!G17)</f>
        <v>20053.172475332787</v>
      </c>
      <c r="H17" s="132">
        <f>IF(SER_hh_fec!H17=0,0,11630*1000*SER_hh_fec!H17/SER_hh_num!H17)</f>
        <v>20621.817050433521</v>
      </c>
      <c r="I17" s="132">
        <f>IF(SER_hh_fec!I17=0,0,11630*1000*SER_hh_fec!I17/SER_hh_num!I17)</f>
        <v>20190.214444411449</v>
      </c>
      <c r="J17" s="132">
        <f>IF(SER_hh_fec!J17=0,0,11630*1000*SER_hh_fec!J17/SER_hh_num!J17)</f>
        <v>19865.385028774504</v>
      </c>
      <c r="K17" s="132">
        <f>IF(SER_hh_fec!K17=0,0,11630*1000*SER_hh_fec!K17/SER_hh_num!K17)</f>
        <v>19708.613118559708</v>
      </c>
      <c r="L17" s="132">
        <f>IF(SER_hh_fec!L17=0,0,11630*1000*SER_hh_fec!L17/SER_hh_num!L17)</f>
        <v>20220.399112485666</v>
      </c>
      <c r="M17" s="132">
        <f>IF(SER_hh_fec!M17=0,0,11630*1000*SER_hh_fec!M17/SER_hh_num!M17)</f>
        <v>19860.878600813325</v>
      </c>
      <c r="N17" s="132">
        <f>IF(SER_hh_fec!N17=0,0,11630*1000*SER_hh_fec!N17/SER_hh_num!N17)</f>
        <v>20000.560764904163</v>
      </c>
      <c r="O17" s="132">
        <f>IF(SER_hh_fec!O17=0,0,11630*1000*SER_hh_fec!O17/SER_hh_num!O17)</f>
        <v>20567.697848473697</v>
      </c>
      <c r="P17" s="132">
        <f>IF(SER_hh_fec!P17=0,0,11630*1000*SER_hh_fec!P17/SER_hh_num!P17)</f>
        <v>18974.129147130792</v>
      </c>
      <c r="Q17" s="132">
        <f>IF(SER_hh_fec!Q17=0,0,11630*1000*SER_hh_fec!Q17/SER_hh_num!Q17)</f>
        <v>21682.234922835716</v>
      </c>
      <c r="R17" s="132">
        <f>IF(SER_hh_fec!R17=0,0,11630*1000*SER_hh_fec!R17/SER_hh_num!R17)</f>
        <v>18369.003376125678</v>
      </c>
      <c r="S17" s="132">
        <f>IF(SER_hh_fec!S17=0,0,11630*1000*SER_hh_fec!S17/SER_hh_num!S17)</f>
        <v>18444.59486681284</v>
      </c>
      <c r="T17" s="132">
        <f>IF(SER_hh_fec!T17=0,0,11630*1000*SER_hh_fec!T17/SER_hh_num!T17)</f>
        <v>20398.210326816559</v>
      </c>
      <c r="U17" s="132">
        <f>IF(SER_hh_fec!U17=0,0,11630*1000*SER_hh_fec!U17/SER_hh_num!U17)</f>
        <v>18842.631294979037</v>
      </c>
      <c r="V17" s="132">
        <f>IF(SER_hh_fec!V17=0,0,11630*1000*SER_hh_fec!V17/SER_hh_num!V17)</f>
        <v>17736.60946773244</v>
      </c>
      <c r="W17" s="132">
        <f>IF(SER_hh_fec!W17=0,0,11630*1000*SER_hh_fec!W17/SER_hh_num!W17)</f>
        <v>17644.827641753607</v>
      </c>
      <c r="X17" s="132">
        <f>IF(SER_hh_fec!X17=0,0,11630*1000*SER_hh_fec!X17/SER_hh_num!X17)</f>
        <v>18181.453391241146</v>
      </c>
      <c r="Y17" s="132">
        <f>IF(SER_hh_fec!Y17=0,0,11630*1000*SER_hh_fec!Y17/SER_hh_num!Y17)</f>
        <v>18073.475325154948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13832.120688829495</v>
      </c>
      <c r="C18" s="132">
        <f>IF(SER_hh_fec!C18=0,0,11630*1000*SER_hh_fec!C18/SER_hh_num!C18)</f>
        <v>13122.61923010584</v>
      </c>
      <c r="D18" s="132">
        <f>IF(SER_hh_fec!D18=0,0,11630*1000*SER_hh_fec!D18/SER_hh_num!D18)</f>
        <v>12253.429188487569</v>
      </c>
      <c r="E18" s="132">
        <f>IF(SER_hh_fec!E18=0,0,11630*1000*SER_hh_fec!E18/SER_hh_num!E18)</f>
        <v>12317.064326125335</v>
      </c>
      <c r="F18" s="132">
        <f>IF(SER_hh_fec!F18=0,0,11630*1000*SER_hh_fec!F18/SER_hh_num!F18)</f>
        <v>11215.926472165072</v>
      </c>
      <c r="G18" s="132">
        <f>IF(SER_hh_fec!G18=0,0,11630*1000*SER_hh_fec!G18/SER_hh_num!G18)</f>
        <v>10655.94031197279</v>
      </c>
      <c r="H18" s="132">
        <f>IF(SER_hh_fec!H18=0,0,11630*1000*SER_hh_fec!H18/SER_hh_num!H18)</f>
        <v>10429.554378070472</v>
      </c>
      <c r="I18" s="132">
        <f>IF(SER_hh_fec!I18=0,0,11630*1000*SER_hh_fec!I18/SER_hh_num!I18)</f>
        <v>9829.774877824444</v>
      </c>
      <c r="J18" s="132">
        <f>IF(SER_hh_fec!J18=0,0,11630*1000*SER_hh_fec!J18/SER_hh_num!J18)</f>
        <v>9300.176841221868</v>
      </c>
      <c r="K18" s="132">
        <f>IF(SER_hh_fec!K18=0,0,11630*1000*SER_hh_fec!K18/SER_hh_num!K18)</f>
        <v>9151.1130188140451</v>
      </c>
      <c r="L18" s="132">
        <f>IF(SER_hh_fec!L18=0,0,11630*1000*SER_hh_fec!L18/SER_hh_num!L18)</f>
        <v>9180.2516826909068</v>
      </c>
      <c r="M18" s="132">
        <f>IF(SER_hh_fec!M18=0,0,11630*1000*SER_hh_fec!M18/SER_hh_num!M18)</f>
        <v>8778.3935362472694</v>
      </c>
      <c r="N18" s="132">
        <f>IF(SER_hh_fec!N18=0,0,11630*1000*SER_hh_fec!N18/SER_hh_num!N18)</f>
        <v>8634.4243271585365</v>
      </c>
      <c r="O18" s="132">
        <f>IF(SER_hh_fec!O18=0,0,11630*1000*SER_hh_fec!O18/SER_hh_num!O18)</f>
        <v>8786.8848455583138</v>
      </c>
      <c r="P18" s="132">
        <f>IF(SER_hh_fec!P18=0,0,11630*1000*SER_hh_fec!P18/SER_hh_num!P18)</f>
        <v>8058.8714306179409</v>
      </c>
      <c r="Q18" s="132">
        <f>IF(SER_hh_fec!Q18=0,0,11630*1000*SER_hh_fec!Q18/SER_hh_num!Q18)</f>
        <v>9070.2949941888837</v>
      </c>
      <c r="R18" s="132">
        <f>IF(SER_hh_fec!R18=0,0,11630*1000*SER_hh_fec!R18/SER_hh_num!R18)</f>
        <v>7467.0942793258018</v>
      </c>
      <c r="S18" s="132">
        <f>IF(SER_hh_fec!S18=0,0,11630*1000*SER_hh_fec!S18/SER_hh_num!S18)</f>
        <v>7330.9849513076306</v>
      </c>
      <c r="T18" s="132">
        <f>IF(SER_hh_fec!T18=0,0,11630*1000*SER_hh_fec!T18/SER_hh_num!T18)</f>
        <v>7510.7561437451823</v>
      </c>
      <c r="U18" s="132">
        <f>IF(SER_hh_fec!U18=0,0,11630*1000*SER_hh_fec!U18/SER_hh_num!U18)</f>
        <v>7238.381974810728</v>
      </c>
      <c r="V18" s="132">
        <f>IF(SER_hh_fec!V18=0,0,11630*1000*SER_hh_fec!V18/SER_hh_num!V18)</f>
        <v>6453.9048863132839</v>
      </c>
      <c r="W18" s="132">
        <f>IF(SER_hh_fec!W18=0,0,11630*1000*SER_hh_fec!W18/SER_hh_num!W18)</f>
        <v>6650.1702145422205</v>
      </c>
      <c r="X18" s="132">
        <f>IF(SER_hh_fec!X18=0,0,11630*1000*SER_hh_fec!X18/SER_hh_num!X18)</f>
        <v>6813.8644728076888</v>
      </c>
      <c r="Y18" s="132">
        <f>IF(SER_hh_fec!Y18=0,0,11630*1000*SER_hh_fec!Y18/SER_hh_num!Y18)</f>
        <v>6779.0773620947784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11748.211735976423</v>
      </c>
      <c r="C19" s="130">
        <f>IF(SER_hh_fec!C19=0,0,11630*1000*SER_hh_fec!C19/SER_hh_num!C19)</f>
        <v>11589.804129258815</v>
      </c>
      <c r="D19" s="130">
        <f>IF(SER_hh_fec!D19=0,0,11630*1000*SER_hh_fec!D19/SER_hh_num!D19)</f>
        <v>11409.177041230054</v>
      </c>
      <c r="E19" s="130">
        <f>IF(SER_hh_fec!E19=0,0,11630*1000*SER_hh_fec!E19/SER_hh_num!E19)</f>
        <v>11196.725142632016</v>
      </c>
      <c r="F19" s="130">
        <f>IF(SER_hh_fec!F19=0,0,11630*1000*SER_hh_fec!F19/SER_hh_num!F19)</f>
        <v>10845.389384294302</v>
      </c>
      <c r="G19" s="130">
        <f>IF(SER_hh_fec!G19=0,0,11630*1000*SER_hh_fec!G19/SER_hh_num!G19)</f>
        <v>10714.179750855894</v>
      </c>
      <c r="H19" s="130">
        <f>IF(SER_hh_fec!H19=0,0,11630*1000*SER_hh_fec!H19/SER_hh_num!H19)</f>
        <v>10718.444444647957</v>
      </c>
      <c r="I19" s="130">
        <f>IF(SER_hh_fec!I19=0,0,11630*1000*SER_hh_fec!I19/SER_hh_num!I19)</f>
        <v>10708.36486729892</v>
      </c>
      <c r="J19" s="130">
        <f>IF(SER_hh_fec!J19=0,0,11630*1000*SER_hh_fec!J19/SER_hh_num!J19)</f>
        <v>10699.648258706375</v>
      </c>
      <c r="K19" s="130">
        <f>IF(SER_hh_fec!K19=0,0,11630*1000*SER_hh_fec!K19/SER_hh_num!K19)</f>
        <v>11513.926957595757</v>
      </c>
      <c r="L19" s="130">
        <f>IF(SER_hh_fec!L19=0,0,11630*1000*SER_hh_fec!L19/SER_hh_num!L19)</f>
        <v>11751.773693018713</v>
      </c>
      <c r="M19" s="130">
        <f>IF(SER_hh_fec!M19=0,0,11630*1000*SER_hh_fec!M19/SER_hh_num!M19)</f>
        <v>11756.538496932355</v>
      </c>
      <c r="N19" s="130">
        <f>IF(SER_hh_fec!N19=0,0,11630*1000*SER_hh_fec!N19/SER_hh_num!N19)</f>
        <v>11815.825348373854</v>
      </c>
      <c r="O19" s="130">
        <f>IF(SER_hh_fec!O19=0,0,11630*1000*SER_hh_fec!O19/SER_hh_num!O19)</f>
        <v>11749.177008931905</v>
      </c>
      <c r="P19" s="130">
        <f>IF(SER_hh_fec!P19=0,0,11630*1000*SER_hh_fec!P19/SER_hh_num!P19)</f>
        <v>11568.895263777666</v>
      </c>
      <c r="Q19" s="130">
        <f>IF(SER_hh_fec!Q19=0,0,11630*1000*SER_hh_fec!Q19/SER_hh_num!Q19)</f>
        <v>11492.987089224449</v>
      </c>
      <c r="R19" s="130">
        <f>IF(SER_hh_fec!R19=0,0,11630*1000*SER_hh_fec!R19/SER_hh_num!R19)</f>
        <v>11575.037930510252</v>
      </c>
      <c r="S19" s="130">
        <f>IF(SER_hh_fec!S19=0,0,11630*1000*SER_hh_fec!S19/SER_hh_num!S19)</f>
        <v>11569.923207351412</v>
      </c>
      <c r="T19" s="130">
        <f>IF(SER_hh_fec!T19=0,0,11630*1000*SER_hh_fec!T19/SER_hh_num!T19)</f>
        <v>11255.117844852344</v>
      </c>
      <c r="U19" s="130">
        <f>IF(SER_hh_fec!U19=0,0,11630*1000*SER_hh_fec!U19/SER_hh_num!U19)</f>
        <v>11132.995015751674</v>
      </c>
      <c r="V19" s="130">
        <f>IF(SER_hh_fec!V19=0,0,11630*1000*SER_hh_fec!V19/SER_hh_num!V19)</f>
        <v>10387.736051673452</v>
      </c>
      <c r="W19" s="130">
        <f>IF(SER_hh_fec!W19=0,0,11630*1000*SER_hh_fec!W19/SER_hh_num!W19)</f>
        <v>10304.229334200278</v>
      </c>
      <c r="X19" s="130">
        <f>IF(SER_hh_fec!X19=0,0,11630*1000*SER_hh_fec!X19/SER_hh_num!X19)</f>
        <v>9893.8165532003241</v>
      </c>
      <c r="Y19" s="130">
        <f>IF(SER_hh_fec!Y19=0,0,11630*1000*SER_hh_fec!Y19/SER_hh_num!Y19)</f>
        <v>9895.9382628857893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0</v>
      </c>
      <c r="C20" s="132">
        <f>IF(SER_hh_fec!C20=0,0,11630*1000*SER_hh_fec!C20/SER_hh_num!C20)</f>
        <v>0</v>
      </c>
      <c r="D20" s="132">
        <f>IF(SER_hh_fec!D20=0,0,11630*1000*SER_hh_fec!D20/SER_hh_num!D20)</f>
        <v>0</v>
      </c>
      <c r="E20" s="132">
        <f>IF(SER_hh_fec!E20=0,0,11630*1000*SER_hh_fec!E20/SER_hh_num!E20)</f>
        <v>0</v>
      </c>
      <c r="F20" s="132">
        <f>IF(SER_hh_fec!F20=0,0,11630*1000*SER_hh_fec!F20/SER_hh_num!F20)</f>
        <v>0</v>
      </c>
      <c r="G20" s="132">
        <f>IF(SER_hh_fec!G20=0,0,11630*1000*SER_hh_fec!G20/SER_hh_num!G20)</f>
        <v>0</v>
      </c>
      <c r="H20" s="132">
        <f>IF(SER_hh_fec!H20=0,0,11630*1000*SER_hh_fec!H20/SER_hh_num!H20)</f>
        <v>0</v>
      </c>
      <c r="I20" s="132">
        <f>IF(SER_hh_fec!I20=0,0,11630*1000*SER_hh_fec!I20/SER_hh_num!I20)</f>
        <v>0</v>
      </c>
      <c r="J20" s="132">
        <f>IF(SER_hh_fec!J20=0,0,11630*1000*SER_hh_fec!J20/SER_hh_num!J20)</f>
        <v>0</v>
      </c>
      <c r="K20" s="132">
        <f>IF(SER_hh_fec!K20=0,0,11630*1000*SER_hh_fec!K20/SER_hh_num!K20)</f>
        <v>0</v>
      </c>
      <c r="L20" s="132">
        <f>IF(SER_hh_fec!L20=0,0,11630*1000*SER_hh_fec!L20/SER_hh_num!L20)</f>
        <v>0</v>
      </c>
      <c r="M20" s="132">
        <f>IF(SER_hh_fec!M20=0,0,11630*1000*SER_hh_fec!M20/SER_hh_num!M20)</f>
        <v>0</v>
      </c>
      <c r="N20" s="132">
        <f>IF(SER_hh_fec!N20=0,0,11630*1000*SER_hh_fec!N20/SER_hh_num!N20)</f>
        <v>0</v>
      </c>
      <c r="O20" s="132">
        <f>IF(SER_hh_fec!O20=0,0,11630*1000*SER_hh_fec!O20/SER_hh_num!O20)</f>
        <v>0</v>
      </c>
      <c r="P20" s="132">
        <f>IF(SER_hh_fec!P20=0,0,11630*1000*SER_hh_fec!P20/SER_hh_num!P20)</f>
        <v>0</v>
      </c>
      <c r="Q20" s="132">
        <f>IF(SER_hh_fec!Q20=0,0,11630*1000*SER_hh_fec!Q20/SER_hh_num!Q20)</f>
        <v>0</v>
      </c>
      <c r="R20" s="132">
        <f>IF(SER_hh_fec!R20=0,0,11630*1000*SER_hh_fec!R20/SER_hh_num!R20)</f>
        <v>0</v>
      </c>
      <c r="S20" s="132">
        <f>IF(SER_hh_fec!S20=0,0,11630*1000*SER_hh_fec!S20/SER_hh_num!S20)</f>
        <v>0</v>
      </c>
      <c r="T20" s="132">
        <f>IF(SER_hh_fec!T20=0,0,11630*1000*SER_hh_fec!T20/SER_hh_num!T20)</f>
        <v>0</v>
      </c>
      <c r="U20" s="132">
        <f>IF(SER_hh_fec!U20=0,0,11630*1000*SER_hh_fec!U20/SER_hh_num!U20)</f>
        <v>0</v>
      </c>
      <c r="V20" s="132">
        <f>IF(SER_hh_fec!V20=0,0,11630*1000*SER_hh_fec!V20/SER_hh_num!V20)</f>
        <v>0</v>
      </c>
      <c r="W20" s="132">
        <f>IF(SER_hh_fec!W20=0,0,11630*1000*SER_hh_fec!W20/SER_hh_num!W20)</f>
        <v>0</v>
      </c>
      <c r="X20" s="132">
        <f>IF(SER_hh_fec!X20=0,0,11630*1000*SER_hh_fec!X20/SER_hh_num!X20)</f>
        <v>0</v>
      </c>
      <c r="Y20" s="132">
        <f>IF(SER_hh_fec!Y20=0,0,11630*1000*SER_hh_fec!Y20/SER_hh_num!Y20)</f>
        <v>0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0</v>
      </c>
      <c r="C21" s="132">
        <f>IF(SER_hh_fec!C21=0,0,11630*1000*SER_hh_fec!C21/SER_hh_num!C21)</f>
        <v>0</v>
      </c>
      <c r="D21" s="132">
        <f>IF(SER_hh_fec!D21=0,0,11630*1000*SER_hh_fec!D21/SER_hh_num!D21)</f>
        <v>0</v>
      </c>
      <c r="E21" s="132">
        <f>IF(SER_hh_fec!E21=0,0,11630*1000*SER_hh_fec!E21/SER_hh_num!E21)</f>
        <v>0</v>
      </c>
      <c r="F21" s="132">
        <f>IF(SER_hh_fec!F21=0,0,11630*1000*SER_hh_fec!F21/SER_hh_num!F21)</f>
        <v>0</v>
      </c>
      <c r="G21" s="132">
        <f>IF(SER_hh_fec!G21=0,0,11630*1000*SER_hh_fec!G21/SER_hh_num!G21)</f>
        <v>0</v>
      </c>
      <c r="H21" s="132">
        <f>IF(SER_hh_fec!H21=0,0,11630*1000*SER_hh_fec!H21/SER_hh_num!H21)</f>
        <v>0</v>
      </c>
      <c r="I21" s="132">
        <f>IF(SER_hh_fec!I21=0,0,11630*1000*SER_hh_fec!I21/SER_hh_num!I21)</f>
        <v>0</v>
      </c>
      <c r="J21" s="132">
        <f>IF(SER_hh_fec!J21=0,0,11630*1000*SER_hh_fec!J21/SER_hh_num!J21)</f>
        <v>0</v>
      </c>
      <c r="K21" s="132">
        <f>IF(SER_hh_fec!K21=0,0,11630*1000*SER_hh_fec!K21/SER_hh_num!K21)</f>
        <v>0</v>
      </c>
      <c r="L21" s="132">
        <f>IF(SER_hh_fec!L21=0,0,11630*1000*SER_hh_fec!L21/SER_hh_num!L21)</f>
        <v>0</v>
      </c>
      <c r="M21" s="132">
        <f>IF(SER_hh_fec!M21=0,0,11630*1000*SER_hh_fec!M21/SER_hh_num!M21)</f>
        <v>0</v>
      </c>
      <c r="N21" s="132">
        <f>IF(SER_hh_fec!N21=0,0,11630*1000*SER_hh_fec!N21/SER_hh_num!N21)</f>
        <v>0</v>
      </c>
      <c r="O21" s="132">
        <f>IF(SER_hh_fec!O21=0,0,11630*1000*SER_hh_fec!O21/SER_hh_num!O21)</f>
        <v>0</v>
      </c>
      <c r="P21" s="132">
        <f>IF(SER_hh_fec!P21=0,0,11630*1000*SER_hh_fec!P21/SER_hh_num!P21)</f>
        <v>0</v>
      </c>
      <c r="Q21" s="132">
        <f>IF(SER_hh_fec!Q21=0,0,11630*1000*SER_hh_fec!Q21/SER_hh_num!Q21)</f>
        <v>0</v>
      </c>
      <c r="R21" s="132">
        <f>IF(SER_hh_fec!R21=0,0,11630*1000*SER_hh_fec!R21/SER_hh_num!R21)</f>
        <v>0</v>
      </c>
      <c r="S21" s="132">
        <f>IF(SER_hh_fec!S21=0,0,11630*1000*SER_hh_fec!S21/SER_hh_num!S21)</f>
        <v>0</v>
      </c>
      <c r="T21" s="132">
        <f>IF(SER_hh_fec!T21=0,0,11630*1000*SER_hh_fec!T21/SER_hh_num!T21)</f>
        <v>0</v>
      </c>
      <c r="U21" s="132">
        <f>IF(SER_hh_fec!U21=0,0,11630*1000*SER_hh_fec!U21/SER_hh_num!U21)</f>
        <v>0</v>
      </c>
      <c r="V21" s="132">
        <f>IF(SER_hh_fec!V21=0,0,11630*1000*SER_hh_fec!V21/SER_hh_num!V21)</f>
        <v>0</v>
      </c>
      <c r="W21" s="132">
        <f>IF(SER_hh_fec!W21=0,0,11630*1000*SER_hh_fec!W21/SER_hh_num!W21)</f>
        <v>0</v>
      </c>
      <c r="X21" s="132">
        <f>IF(SER_hh_fec!X21=0,0,11630*1000*SER_hh_fec!X21/SER_hh_num!X21)</f>
        <v>0</v>
      </c>
      <c r="Y21" s="132">
        <f>IF(SER_hh_fec!Y21=0,0,11630*1000*SER_hh_fec!Y21/SER_hh_num!Y21)</f>
        <v>0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0</v>
      </c>
      <c r="C22" s="132">
        <f>IF(SER_hh_fec!C22=0,0,11630*1000*SER_hh_fec!C22/SER_hh_num!C22)</f>
        <v>0</v>
      </c>
      <c r="D22" s="132">
        <f>IF(SER_hh_fec!D22=0,0,11630*1000*SER_hh_fec!D22/SER_hh_num!D22)</f>
        <v>0</v>
      </c>
      <c r="E22" s="132">
        <f>IF(SER_hh_fec!E22=0,0,11630*1000*SER_hh_fec!E22/SER_hh_num!E22)</f>
        <v>0</v>
      </c>
      <c r="F22" s="132">
        <f>IF(SER_hh_fec!F22=0,0,11630*1000*SER_hh_fec!F22/SER_hh_num!F22)</f>
        <v>0</v>
      </c>
      <c r="G22" s="132">
        <f>IF(SER_hh_fec!G22=0,0,11630*1000*SER_hh_fec!G22/SER_hh_num!G22)</f>
        <v>0</v>
      </c>
      <c r="H22" s="132">
        <f>IF(SER_hh_fec!H22=0,0,11630*1000*SER_hh_fec!H22/SER_hh_num!H22)</f>
        <v>0</v>
      </c>
      <c r="I22" s="132">
        <f>IF(SER_hh_fec!I22=0,0,11630*1000*SER_hh_fec!I22/SER_hh_num!I22)</f>
        <v>0</v>
      </c>
      <c r="J22" s="132">
        <f>IF(SER_hh_fec!J22=0,0,11630*1000*SER_hh_fec!J22/SER_hh_num!J22)</f>
        <v>0</v>
      </c>
      <c r="K22" s="132">
        <f>IF(SER_hh_fec!K22=0,0,11630*1000*SER_hh_fec!K22/SER_hh_num!K22)</f>
        <v>0</v>
      </c>
      <c r="L22" s="132">
        <f>IF(SER_hh_fec!L22=0,0,11630*1000*SER_hh_fec!L22/SER_hh_num!L22)</f>
        <v>0</v>
      </c>
      <c r="M22" s="132">
        <f>IF(SER_hh_fec!M22=0,0,11630*1000*SER_hh_fec!M22/SER_hh_num!M22)</f>
        <v>0</v>
      </c>
      <c r="N22" s="132">
        <f>IF(SER_hh_fec!N22=0,0,11630*1000*SER_hh_fec!N22/SER_hh_num!N22)</f>
        <v>0</v>
      </c>
      <c r="O22" s="132">
        <f>IF(SER_hh_fec!O22=0,0,11630*1000*SER_hh_fec!O22/SER_hh_num!O22)</f>
        <v>0</v>
      </c>
      <c r="P22" s="132">
        <f>IF(SER_hh_fec!P22=0,0,11630*1000*SER_hh_fec!P22/SER_hh_num!P22)</f>
        <v>0</v>
      </c>
      <c r="Q22" s="132">
        <f>IF(SER_hh_fec!Q22=0,0,11630*1000*SER_hh_fec!Q22/SER_hh_num!Q22)</f>
        <v>0</v>
      </c>
      <c r="R22" s="132">
        <f>IF(SER_hh_fec!R22=0,0,11630*1000*SER_hh_fec!R22/SER_hh_num!R22)</f>
        <v>0</v>
      </c>
      <c r="S22" s="132">
        <f>IF(SER_hh_fec!S22=0,0,11630*1000*SER_hh_fec!S22/SER_hh_num!S22)</f>
        <v>0</v>
      </c>
      <c r="T22" s="132">
        <f>IF(SER_hh_fec!T22=0,0,11630*1000*SER_hh_fec!T22/SER_hh_num!T22)</f>
        <v>0</v>
      </c>
      <c r="U22" s="132">
        <f>IF(SER_hh_fec!U22=0,0,11630*1000*SER_hh_fec!U22/SER_hh_num!U22)</f>
        <v>0</v>
      </c>
      <c r="V22" s="132">
        <f>IF(SER_hh_fec!V22=0,0,11630*1000*SER_hh_fec!V22/SER_hh_num!V22)</f>
        <v>0</v>
      </c>
      <c r="W22" s="132">
        <f>IF(SER_hh_fec!W22=0,0,11630*1000*SER_hh_fec!W22/SER_hh_num!W22)</f>
        <v>0</v>
      </c>
      <c r="X22" s="132">
        <f>IF(SER_hh_fec!X22=0,0,11630*1000*SER_hh_fec!X22/SER_hh_num!X22)</f>
        <v>0</v>
      </c>
      <c r="Y22" s="132">
        <f>IF(SER_hh_fec!Y22=0,0,11630*1000*SER_hh_fec!Y22/SER_hh_num!Y22)</f>
        <v>0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13938.874910766266</v>
      </c>
      <c r="C23" s="132">
        <f>IF(SER_hh_fec!C23=0,0,11630*1000*SER_hh_fec!C23/SER_hh_num!C23)</f>
        <v>13636.379950727031</v>
      </c>
      <c r="D23" s="132">
        <f>IF(SER_hh_fec!D23=0,0,11630*1000*SER_hh_fec!D23/SER_hh_num!D23)</f>
        <v>13482.977815828623</v>
      </c>
      <c r="E23" s="132">
        <f>IF(SER_hh_fec!E23=0,0,11630*1000*SER_hh_fec!E23/SER_hh_num!E23)</f>
        <v>13013.547154383719</v>
      </c>
      <c r="F23" s="132">
        <f>IF(SER_hh_fec!F23=0,0,11630*1000*SER_hh_fec!F23/SER_hh_num!F23)</f>
        <v>12451.24852940128</v>
      </c>
      <c r="G23" s="132">
        <f>IF(SER_hh_fec!G23=0,0,11630*1000*SER_hh_fec!G23/SER_hh_num!G23)</f>
        <v>12351.797421984904</v>
      </c>
      <c r="H23" s="132">
        <f>IF(SER_hh_fec!H23=0,0,11630*1000*SER_hh_fec!H23/SER_hh_num!H23)</f>
        <v>12175.550356676509</v>
      </c>
      <c r="I23" s="132">
        <f>IF(SER_hh_fec!I23=0,0,11630*1000*SER_hh_fec!I23/SER_hh_num!I23)</f>
        <v>11686.808071550628</v>
      </c>
      <c r="J23" s="132">
        <f>IF(SER_hh_fec!J23=0,0,11630*1000*SER_hh_fec!J23/SER_hh_num!J23)</f>
        <v>11718.390435332998</v>
      </c>
      <c r="K23" s="132">
        <f>IF(SER_hh_fec!K23=0,0,11630*1000*SER_hh_fec!K23/SER_hh_num!K23)</f>
        <v>13860.158254081385</v>
      </c>
      <c r="L23" s="132">
        <f>IF(SER_hh_fec!L23=0,0,11630*1000*SER_hh_fec!L23/SER_hh_num!L23)</f>
        <v>12916.442229617878</v>
      </c>
      <c r="M23" s="132">
        <f>IF(SER_hh_fec!M23=0,0,11630*1000*SER_hh_fec!M23/SER_hh_num!M23)</f>
        <v>12792.796699874234</v>
      </c>
      <c r="N23" s="132">
        <f>IF(SER_hh_fec!N23=0,0,11630*1000*SER_hh_fec!N23/SER_hh_num!N23)</f>
        <v>12989.394698225082</v>
      </c>
      <c r="O23" s="132">
        <f>IF(SER_hh_fec!O23=0,0,11630*1000*SER_hh_fec!O23/SER_hh_num!O23)</f>
        <v>12996.447656391549</v>
      </c>
      <c r="P23" s="132">
        <f>IF(SER_hh_fec!P23=0,0,11630*1000*SER_hh_fec!P23/SER_hh_num!P23)</f>
        <v>12792.927436909751</v>
      </c>
      <c r="Q23" s="132">
        <f>IF(SER_hh_fec!Q23=0,0,11630*1000*SER_hh_fec!Q23/SER_hh_num!Q23)</f>
        <v>12448.692953985177</v>
      </c>
      <c r="R23" s="132">
        <f>IF(SER_hh_fec!R23=0,0,11630*1000*SER_hh_fec!R23/SER_hh_num!R23)</f>
        <v>12424.395970568759</v>
      </c>
      <c r="S23" s="132">
        <f>IF(SER_hh_fec!S23=0,0,11630*1000*SER_hh_fec!S23/SER_hh_num!S23)</f>
        <v>12890.423469794825</v>
      </c>
      <c r="T23" s="132">
        <f>IF(SER_hh_fec!T23=0,0,11630*1000*SER_hh_fec!T23/SER_hh_num!T23)</f>
        <v>11670.451516105095</v>
      </c>
      <c r="U23" s="132">
        <f>IF(SER_hh_fec!U23=0,0,11630*1000*SER_hh_fec!U23/SER_hh_num!U23)</f>
        <v>12058.317736533392</v>
      </c>
      <c r="V23" s="132">
        <f>IF(SER_hh_fec!V23=0,0,11630*1000*SER_hh_fec!V23/SER_hh_num!V23)</f>
        <v>11198.701016669142</v>
      </c>
      <c r="W23" s="132">
        <f>IF(SER_hh_fec!W23=0,0,11630*1000*SER_hh_fec!W23/SER_hh_num!W23)</f>
        <v>11278.067805152557</v>
      </c>
      <c r="X23" s="132">
        <f>IF(SER_hh_fec!X23=0,0,11630*1000*SER_hh_fec!X23/SER_hh_num!X23)</f>
        <v>10683.068614353875</v>
      </c>
      <c r="Y23" s="132">
        <f>IF(SER_hh_fec!Y23=0,0,11630*1000*SER_hh_fec!Y23/SER_hh_num!Y23)</f>
        <v>10239.399220104988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0</v>
      </c>
      <c r="C24" s="132">
        <f>IF(SER_hh_fec!C24=0,0,11630*1000*SER_hh_fec!C24/SER_hh_num!C24)</f>
        <v>0</v>
      </c>
      <c r="D24" s="132">
        <f>IF(SER_hh_fec!D24=0,0,11630*1000*SER_hh_fec!D24/SER_hh_num!D24)</f>
        <v>0</v>
      </c>
      <c r="E24" s="132">
        <f>IF(SER_hh_fec!E24=0,0,11630*1000*SER_hh_fec!E24/SER_hh_num!E24)</f>
        <v>0</v>
      </c>
      <c r="F24" s="132">
        <f>IF(SER_hh_fec!F24=0,0,11630*1000*SER_hh_fec!F24/SER_hh_num!F24)</f>
        <v>0</v>
      </c>
      <c r="G24" s="132">
        <f>IF(SER_hh_fec!G24=0,0,11630*1000*SER_hh_fec!G24/SER_hh_num!G24)</f>
        <v>0</v>
      </c>
      <c r="H24" s="132">
        <f>IF(SER_hh_fec!H24=0,0,11630*1000*SER_hh_fec!H24/SER_hh_num!H24)</f>
        <v>0</v>
      </c>
      <c r="I24" s="132">
        <f>IF(SER_hh_fec!I24=0,0,11630*1000*SER_hh_fec!I24/SER_hh_num!I24)</f>
        <v>0</v>
      </c>
      <c r="J24" s="132">
        <f>IF(SER_hh_fec!J24=0,0,11630*1000*SER_hh_fec!J24/SER_hh_num!J24)</f>
        <v>0</v>
      </c>
      <c r="K24" s="132">
        <f>IF(SER_hh_fec!K24=0,0,11630*1000*SER_hh_fec!K24/SER_hh_num!K24)</f>
        <v>0</v>
      </c>
      <c r="L24" s="132">
        <f>IF(SER_hh_fec!L24=0,0,11630*1000*SER_hh_fec!L24/SER_hh_num!L24)</f>
        <v>0</v>
      </c>
      <c r="M24" s="132">
        <f>IF(SER_hh_fec!M24=0,0,11630*1000*SER_hh_fec!M24/SER_hh_num!M24)</f>
        <v>0</v>
      </c>
      <c r="N24" s="132">
        <f>IF(SER_hh_fec!N24=0,0,11630*1000*SER_hh_fec!N24/SER_hh_num!N24)</f>
        <v>0</v>
      </c>
      <c r="O24" s="132">
        <f>IF(SER_hh_fec!O24=0,0,11630*1000*SER_hh_fec!O24/SER_hh_num!O24)</f>
        <v>0</v>
      </c>
      <c r="P24" s="132">
        <f>IF(SER_hh_fec!P24=0,0,11630*1000*SER_hh_fec!P24/SER_hh_num!P24)</f>
        <v>0</v>
      </c>
      <c r="Q24" s="132">
        <f>IF(SER_hh_fec!Q24=0,0,11630*1000*SER_hh_fec!Q24/SER_hh_num!Q24)</f>
        <v>0</v>
      </c>
      <c r="R24" s="132">
        <f>IF(SER_hh_fec!R24=0,0,11630*1000*SER_hh_fec!R24/SER_hh_num!R24)</f>
        <v>0</v>
      </c>
      <c r="S24" s="132">
        <f>IF(SER_hh_fec!S24=0,0,11630*1000*SER_hh_fec!S24/SER_hh_num!S24)</f>
        <v>0</v>
      </c>
      <c r="T24" s="132">
        <f>IF(SER_hh_fec!T24=0,0,11630*1000*SER_hh_fec!T24/SER_hh_num!T24)</f>
        <v>0</v>
      </c>
      <c r="U24" s="132">
        <f>IF(SER_hh_fec!U24=0,0,11630*1000*SER_hh_fec!U24/SER_hh_num!U24)</f>
        <v>0</v>
      </c>
      <c r="V24" s="132">
        <f>IF(SER_hh_fec!V24=0,0,11630*1000*SER_hh_fec!V24/SER_hh_num!V24)</f>
        <v>0</v>
      </c>
      <c r="W24" s="132">
        <f>IF(SER_hh_fec!W24=0,0,11630*1000*SER_hh_fec!W24/SER_hh_num!W24)</f>
        <v>0</v>
      </c>
      <c r="X24" s="132">
        <f>IF(SER_hh_fec!X24=0,0,11630*1000*SER_hh_fec!X24/SER_hh_num!X24)</f>
        <v>0</v>
      </c>
      <c r="Y24" s="132">
        <f>IF(SER_hh_fec!Y24=0,0,11630*1000*SER_hh_fec!Y24/SER_hh_num!Y24)</f>
        <v>0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9344.162476492209</v>
      </c>
      <c r="C25" s="132">
        <f>IF(SER_hh_fec!C25=0,0,11630*1000*SER_hh_fec!C25/SER_hh_num!C25)</f>
        <v>9293.5771361618772</v>
      </c>
      <c r="D25" s="132">
        <f>IF(SER_hh_fec!D25=0,0,11630*1000*SER_hh_fec!D25/SER_hh_num!D25)</f>
        <v>9069.0425375903305</v>
      </c>
      <c r="E25" s="132">
        <f>IF(SER_hh_fec!E25=0,0,11630*1000*SER_hh_fec!E25/SER_hh_num!E25)</f>
        <v>9019.5629980940776</v>
      </c>
      <c r="F25" s="132">
        <f>IF(SER_hh_fec!F25=0,0,11630*1000*SER_hh_fec!F25/SER_hh_num!F25)</f>
        <v>8878.4560967706893</v>
      </c>
      <c r="G25" s="132">
        <f>IF(SER_hh_fec!G25=0,0,11630*1000*SER_hh_fec!G25/SER_hh_num!G25)</f>
        <v>8623.4584518240536</v>
      </c>
      <c r="H25" s="132">
        <f>IF(SER_hh_fec!H25=0,0,11630*1000*SER_hh_fec!H25/SER_hh_num!H25)</f>
        <v>8749.0172415160487</v>
      </c>
      <c r="I25" s="132">
        <f>IF(SER_hh_fec!I25=0,0,11630*1000*SER_hh_fec!I25/SER_hh_num!I25)</f>
        <v>8722.4660418809162</v>
      </c>
      <c r="J25" s="132">
        <f>IF(SER_hh_fec!J25=0,0,11630*1000*SER_hh_fec!J25/SER_hh_num!J25)</f>
        <v>8865.9071779304231</v>
      </c>
      <c r="K25" s="132">
        <f>IF(SER_hh_fec!K25=0,0,11630*1000*SER_hh_fec!K25/SER_hh_num!K25)</f>
        <v>8991.3691426001205</v>
      </c>
      <c r="L25" s="132">
        <f>IF(SER_hh_fec!L25=0,0,11630*1000*SER_hh_fec!L25/SER_hh_num!L25)</f>
        <v>9351.6175885379707</v>
      </c>
      <c r="M25" s="132">
        <f>IF(SER_hh_fec!M25=0,0,11630*1000*SER_hh_fec!M25/SER_hh_num!M25)</f>
        <v>9697.0024581252073</v>
      </c>
      <c r="N25" s="132">
        <f>IF(SER_hh_fec!N25=0,0,11630*1000*SER_hh_fec!N25/SER_hh_num!N25)</f>
        <v>9714.2626234211475</v>
      </c>
      <c r="O25" s="132">
        <f>IF(SER_hh_fec!O25=0,0,11630*1000*SER_hh_fec!O25/SER_hh_num!O25)</f>
        <v>10035.013502537571</v>
      </c>
      <c r="P25" s="132">
        <f>IF(SER_hh_fec!P25=0,0,11630*1000*SER_hh_fec!P25/SER_hh_num!P25)</f>
        <v>9755.2598650213913</v>
      </c>
      <c r="Q25" s="132">
        <f>IF(SER_hh_fec!Q25=0,0,11630*1000*SER_hh_fec!Q25/SER_hh_num!Q25)</f>
        <v>9642.5680104019993</v>
      </c>
      <c r="R25" s="132">
        <f>IF(SER_hh_fec!R25=0,0,11630*1000*SER_hh_fec!R25/SER_hh_num!R25)</f>
        <v>9983.0111567544682</v>
      </c>
      <c r="S25" s="132">
        <f>IF(SER_hh_fec!S25=0,0,11630*1000*SER_hh_fec!S25/SER_hh_num!S25)</f>
        <v>9945.3071492146428</v>
      </c>
      <c r="T25" s="132">
        <f>IF(SER_hh_fec!T25=0,0,11630*1000*SER_hh_fec!T25/SER_hh_num!T25)</f>
        <v>10056.100360402714</v>
      </c>
      <c r="U25" s="132">
        <f>IF(SER_hh_fec!U25=0,0,11630*1000*SER_hh_fec!U25/SER_hh_num!U25)</f>
        <v>9689.1805375685726</v>
      </c>
      <c r="V25" s="132">
        <f>IF(SER_hh_fec!V25=0,0,11630*1000*SER_hh_fec!V25/SER_hh_num!V25)</f>
        <v>9397.1671201063273</v>
      </c>
      <c r="W25" s="132">
        <f>IF(SER_hh_fec!W25=0,0,11630*1000*SER_hh_fec!W25/SER_hh_num!W25)</f>
        <v>9863.5242508294523</v>
      </c>
      <c r="X25" s="132">
        <f>IF(SER_hh_fec!X25=0,0,11630*1000*SER_hh_fec!X25/SER_hh_num!X25)</f>
        <v>9322.1151194648355</v>
      </c>
      <c r="Y25" s="132">
        <f>IF(SER_hh_fec!Y25=0,0,11630*1000*SER_hh_fec!Y25/SER_hh_num!Y25)</f>
        <v>9211.781722071215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11402.303814308969</v>
      </c>
      <c r="C26" s="65">
        <f>IF(SER_hh_fec!C26=0,0,11630*1000*SER_hh_fec!C26/SER_hh_num!C26)</f>
        <v>11275.271900580003</v>
      </c>
      <c r="D26" s="65">
        <f>IF(SER_hh_fec!D26=0,0,11630*1000*SER_hh_fec!D26/SER_hh_num!D26)</f>
        <v>11048.990209297815</v>
      </c>
      <c r="E26" s="65">
        <f>IF(SER_hh_fec!E26=0,0,11630*1000*SER_hh_fec!E26/SER_hh_num!E26)</f>
        <v>10869.231487235007</v>
      </c>
      <c r="F26" s="65">
        <f>IF(SER_hh_fec!F26=0,0,11630*1000*SER_hh_fec!F26/SER_hh_num!F26)</f>
        <v>10506.36262015548</v>
      </c>
      <c r="G26" s="65">
        <f>IF(SER_hh_fec!G26=0,0,11630*1000*SER_hh_fec!G26/SER_hh_num!G26)</f>
        <v>10331.102893991409</v>
      </c>
      <c r="H26" s="65">
        <f>IF(SER_hh_fec!H26=0,0,11630*1000*SER_hh_fec!H26/SER_hh_num!H26)</f>
        <v>10337.93500004097</v>
      </c>
      <c r="I26" s="65">
        <f>IF(SER_hh_fec!I26=0,0,11630*1000*SER_hh_fec!I26/SER_hh_num!I26)</f>
        <v>10704.382386986937</v>
      </c>
      <c r="J26" s="65">
        <f>IF(SER_hh_fec!J26=0,0,11630*1000*SER_hh_fec!J26/SER_hh_num!J26)</f>
        <v>10449.861686689332</v>
      </c>
      <c r="K26" s="65">
        <f>IF(SER_hh_fec!K26=0,0,11630*1000*SER_hh_fec!K26/SER_hh_num!K26)</f>
        <v>9902.4918576790278</v>
      </c>
      <c r="L26" s="65">
        <f>IF(SER_hh_fec!L26=0,0,11630*1000*SER_hh_fec!L26/SER_hh_num!L26)</f>
        <v>11517.265005089155</v>
      </c>
      <c r="M26" s="65">
        <f>IF(SER_hh_fec!M26=0,0,11630*1000*SER_hh_fec!M26/SER_hh_num!M26)</f>
        <v>11434.804631605741</v>
      </c>
      <c r="N26" s="65">
        <f>IF(SER_hh_fec!N26=0,0,11630*1000*SER_hh_fec!N26/SER_hh_num!N26)</f>
        <v>11371.438597913824</v>
      </c>
      <c r="O26" s="65">
        <f>IF(SER_hh_fec!O26=0,0,11630*1000*SER_hh_fec!O26/SER_hh_num!O26)</f>
        <v>10938.598176996595</v>
      </c>
      <c r="P26" s="65">
        <f>IF(SER_hh_fec!P26=0,0,11630*1000*SER_hh_fec!P26/SER_hh_num!P26)</f>
        <v>10816.573012821458</v>
      </c>
      <c r="Q26" s="65">
        <f>IF(SER_hh_fec!Q26=0,0,11630*1000*SER_hh_fec!Q26/SER_hh_num!Q26)</f>
        <v>11097.725023195813</v>
      </c>
      <c r="R26" s="65">
        <f>IF(SER_hh_fec!R26=0,0,11630*1000*SER_hh_fec!R26/SER_hh_num!R26)</f>
        <v>11122.534136054592</v>
      </c>
      <c r="S26" s="65">
        <f>IF(SER_hh_fec!S26=0,0,11630*1000*SER_hh_fec!S26/SER_hh_num!S26)</f>
        <v>10397.304536298767</v>
      </c>
      <c r="T26" s="65">
        <f>IF(SER_hh_fec!T26=0,0,11630*1000*SER_hh_fec!T26/SER_hh_num!T26)</f>
        <v>11102.228650151452</v>
      </c>
      <c r="U26" s="65">
        <f>IF(SER_hh_fec!U26=0,0,11630*1000*SER_hh_fec!U26/SER_hh_num!U26)</f>
        <v>10418.303678518922</v>
      </c>
      <c r="V26" s="65">
        <f>IF(SER_hh_fec!V26=0,0,11630*1000*SER_hh_fec!V26/SER_hh_num!V26)</f>
        <v>9520.3982973950006</v>
      </c>
      <c r="W26" s="65">
        <f>IF(SER_hh_fec!W26=0,0,11630*1000*SER_hh_fec!W26/SER_hh_num!W26)</f>
        <v>8896.6203422017479</v>
      </c>
      <c r="X26" s="65">
        <f>IF(SER_hh_fec!X26=0,0,11630*1000*SER_hh_fec!X26/SER_hh_num!X26)</f>
        <v>8962.8381867162243</v>
      </c>
      <c r="Y26" s="65">
        <f>IF(SER_hh_fec!Y26=0,0,11630*1000*SER_hh_fec!Y26/SER_hh_num!Y26)</f>
        <v>9556.9531077821375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0</v>
      </c>
      <c r="C27" s="145">
        <f>IF(SER_hh_fec!C27=0,0,11630*1000*SER_hh_fec!C27/SER_hh_num!C19)</f>
        <v>0</v>
      </c>
      <c r="D27" s="145">
        <f>IF(SER_hh_fec!D27=0,0,11630*1000*SER_hh_fec!D27/SER_hh_num!D19)</f>
        <v>0</v>
      </c>
      <c r="E27" s="145">
        <f>IF(SER_hh_fec!E27=0,0,11630*1000*SER_hh_fec!E27/SER_hh_num!E19)</f>
        <v>18.292219795656699</v>
      </c>
      <c r="F27" s="145">
        <f>IF(SER_hh_fec!F27=0,0,11630*1000*SER_hh_fec!F27/SER_hh_num!F19)</f>
        <v>23.863150724307928</v>
      </c>
      <c r="G27" s="145">
        <f>IF(SER_hh_fec!G27=0,0,11630*1000*SER_hh_fec!G27/SER_hh_num!G19)</f>
        <v>28.755024920575991</v>
      </c>
      <c r="H27" s="145">
        <f>IF(SER_hh_fec!H27=0,0,11630*1000*SER_hh_fec!H27/SER_hh_num!H19)</f>
        <v>33.147296996866345</v>
      </c>
      <c r="I27" s="145">
        <f>IF(SER_hh_fec!I27=0,0,11630*1000*SER_hh_fec!I27/SER_hh_num!I19)</f>
        <v>40.582122793527745</v>
      </c>
      <c r="J27" s="145">
        <f>IF(SER_hh_fec!J27=0,0,11630*1000*SER_hh_fec!J27/SER_hh_num!J19)</f>
        <v>52.397509118561601</v>
      </c>
      <c r="K27" s="145">
        <f>IF(SER_hh_fec!K27=0,0,11630*1000*SER_hh_fec!K27/SER_hh_num!K19)</f>
        <v>64.06790255226106</v>
      </c>
      <c r="L27" s="145">
        <f>IF(SER_hh_fec!L27=0,0,11630*1000*SER_hh_fec!L27/SER_hh_num!L19)</f>
        <v>84.009322419017025</v>
      </c>
      <c r="M27" s="145">
        <f>IF(SER_hh_fec!M27=0,0,11630*1000*SER_hh_fec!M27/SER_hh_num!M19)</f>
        <v>104.63906986310738</v>
      </c>
      <c r="N27" s="145">
        <f>IF(SER_hh_fec!N27=0,0,11630*1000*SER_hh_fec!N27/SER_hh_num!N19)</f>
        <v>116.2177166611679</v>
      </c>
      <c r="O27" s="145">
        <f>IF(SER_hh_fec!O27=0,0,11630*1000*SER_hh_fec!O27/SER_hh_num!O19)</f>
        <v>123.21073130536118</v>
      </c>
      <c r="P27" s="145">
        <f>IF(SER_hh_fec!P27=0,0,11630*1000*SER_hh_fec!P27/SER_hh_num!P19)</f>
        <v>137.84592134722485</v>
      </c>
      <c r="Q27" s="145">
        <f>IF(SER_hh_fec!Q27=0,0,11630*1000*SER_hh_fec!Q27/SER_hh_num!Q19)</f>
        <v>143.97727599873457</v>
      </c>
      <c r="R27" s="145">
        <f>IF(SER_hh_fec!R27=0,0,11630*1000*SER_hh_fec!R27/SER_hh_num!R19)</f>
        <v>150.05184855978109</v>
      </c>
      <c r="S27" s="145">
        <f>IF(SER_hh_fec!S27=0,0,11630*1000*SER_hh_fec!S27/SER_hh_num!S19)</f>
        <v>153.31004660010632</v>
      </c>
      <c r="T27" s="145">
        <f>IF(SER_hh_fec!T27=0,0,11630*1000*SER_hh_fec!T27/SER_hh_num!T19)</f>
        <v>155.00577184847538</v>
      </c>
      <c r="U27" s="145">
        <f>IF(SER_hh_fec!U27=0,0,11630*1000*SER_hh_fec!U27/SER_hh_num!U19)</f>
        <v>155.61375874392834</v>
      </c>
      <c r="V27" s="145">
        <f>IF(SER_hh_fec!V27=0,0,11630*1000*SER_hh_fec!V27/SER_hh_num!V19)</f>
        <v>158.05384557489438</v>
      </c>
      <c r="W27" s="145">
        <f>IF(SER_hh_fec!W27=0,0,11630*1000*SER_hh_fec!W27/SER_hh_num!W19)</f>
        <v>160.28644472064153</v>
      </c>
      <c r="X27" s="145">
        <f>IF(SER_hh_fec!X27=0,0,11630*1000*SER_hh_fec!X27/SER_hh_num!X19)</f>
        <v>163.96056268670745</v>
      </c>
      <c r="Y27" s="145">
        <f>IF(SER_hh_fec!Y27=0,0,11630*1000*SER_hh_fec!Y27/SER_hh_num!Y19)</f>
        <v>168.01365454771312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0</v>
      </c>
      <c r="C28" s="146">
        <f>IF(SER_hh_fec!C27=0,0,11630*1000*SER_hh_fec!C27/SER_hh_num!C27)</f>
        <v>0</v>
      </c>
      <c r="D28" s="146">
        <f>IF(SER_hh_fec!D27=0,0,11630*1000*SER_hh_fec!D27/SER_hh_num!D27)</f>
        <v>0</v>
      </c>
      <c r="E28" s="146">
        <f>IF(SER_hh_fec!E27=0,0,11630*1000*SER_hh_fec!E27/SER_hh_num!E27)</f>
        <v>3489.3205991835857</v>
      </c>
      <c r="F28" s="146">
        <f>IF(SER_hh_fec!F27=0,0,11630*1000*SER_hh_fec!F27/SER_hh_num!F27)</f>
        <v>3378.6347971157484</v>
      </c>
      <c r="G28" s="146">
        <f>IF(SER_hh_fec!G27=0,0,11630*1000*SER_hh_fec!G27/SER_hh_num!G27)</f>
        <v>3462.0303732919897</v>
      </c>
      <c r="H28" s="146">
        <f>IF(SER_hh_fec!H27=0,0,11630*1000*SER_hh_fec!H27/SER_hh_num!H27)</f>
        <v>3343.5762660509572</v>
      </c>
      <c r="I28" s="146">
        <f>IF(SER_hh_fec!I27=0,0,11630*1000*SER_hh_fec!I27/SER_hh_num!I27)</f>
        <v>3414.4595062557687</v>
      </c>
      <c r="J28" s="146">
        <f>IF(SER_hh_fec!J27=0,0,11630*1000*SER_hh_fec!J27/SER_hh_num!J27)</f>
        <v>3494.0005449283994</v>
      </c>
      <c r="K28" s="146">
        <f>IF(SER_hh_fec!K27=0,0,11630*1000*SER_hh_fec!K27/SER_hh_num!K27)</f>
        <v>3692.6768860314578</v>
      </c>
      <c r="L28" s="146">
        <f>IF(SER_hh_fec!L27=0,0,11630*1000*SER_hh_fec!L27/SER_hh_num!L27)</f>
        <v>3912.5043951455523</v>
      </c>
      <c r="M28" s="146">
        <f>IF(SER_hh_fec!M27=0,0,11630*1000*SER_hh_fec!M27/SER_hh_num!M27)</f>
        <v>4348.607034422841</v>
      </c>
      <c r="N28" s="146">
        <f>IF(SER_hh_fec!N27=0,0,11630*1000*SER_hh_fec!N27/SER_hh_num!N27)</f>
        <v>4520.1248452145819</v>
      </c>
      <c r="O28" s="146">
        <f>IF(SER_hh_fec!O27=0,0,11630*1000*SER_hh_fec!O27/SER_hh_num!O27)</f>
        <v>4650.0959146436444</v>
      </c>
      <c r="P28" s="146">
        <f>IF(SER_hh_fec!P27=0,0,11630*1000*SER_hh_fec!P27/SER_hh_num!P27)</f>
        <v>4400.8500633757558</v>
      </c>
      <c r="Q28" s="146">
        <f>IF(SER_hh_fec!Q27=0,0,11630*1000*SER_hh_fec!Q27/SER_hh_num!Q27)</f>
        <v>4637.5165468897158</v>
      </c>
      <c r="R28" s="146">
        <f>IF(SER_hh_fec!R27=0,0,11630*1000*SER_hh_fec!R27/SER_hh_num!R27)</f>
        <v>4838.7877217998084</v>
      </c>
      <c r="S28" s="146">
        <f>IF(SER_hh_fec!S27=0,0,11630*1000*SER_hh_fec!S27/SER_hh_num!S27)</f>
        <v>4810.3906405656953</v>
      </c>
      <c r="T28" s="146">
        <f>IF(SER_hh_fec!T27=0,0,11630*1000*SER_hh_fec!T27/SER_hh_num!T27)</f>
        <v>4709.5743730238592</v>
      </c>
      <c r="U28" s="146">
        <f>IF(SER_hh_fec!U27=0,0,11630*1000*SER_hh_fec!U27/SER_hh_num!U27)</f>
        <v>4744.8621667869766</v>
      </c>
      <c r="V28" s="146">
        <f>IF(SER_hh_fec!V27=0,0,11630*1000*SER_hh_fec!V27/SER_hh_num!V27)</f>
        <v>4330.047278382649</v>
      </c>
      <c r="W28" s="146">
        <f>IF(SER_hh_fec!W27=0,0,11630*1000*SER_hh_fec!W27/SER_hh_num!W27)</f>
        <v>4765.6659797246866</v>
      </c>
      <c r="X28" s="146">
        <f>IF(SER_hh_fec!X27=0,0,11630*1000*SER_hh_fec!X27/SER_hh_num!X27)</f>
        <v>4460.5888374847964</v>
      </c>
      <c r="Y28" s="146">
        <f>IF(SER_hh_fec!Y27=0,0,11630*1000*SER_hh_fec!Y27/SER_hh_num!Y27)</f>
        <v>4974.4564045351763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11346.922771767247</v>
      </c>
      <c r="C29" s="130">
        <f>IF(SER_hh_fec!C29=0,0,11630*1000*SER_hh_fec!C29/SER_hh_num!C29)</f>
        <v>11554.767531590369</v>
      </c>
      <c r="D29" s="130">
        <f>IF(SER_hh_fec!D29=0,0,11630*1000*SER_hh_fec!D29/SER_hh_num!D29)</f>
        <v>11495.711023855951</v>
      </c>
      <c r="E29" s="130">
        <f>IF(SER_hh_fec!E29=0,0,11630*1000*SER_hh_fec!E29/SER_hh_num!E29)</f>
        <v>11550.23317648923</v>
      </c>
      <c r="F29" s="130">
        <f>IF(SER_hh_fec!F29=0,0,11630*1000*SER_hh_fec!F29/SER_hh_num!F29)</f>
        <v>11523.893427673802</v>
      </c>
      <c r="G29" s="130">
        <f>IF(SER_hh_fec!G29=0,0,11630*1000*SER_hh_fec!G29/SER_hh_num!G29)</f>
        <v>11355.141563799813</v>
      </c>
      <c r="H29" s="130">
        <f>IF(SER_hh_fec!H29=0,0,11630*1000*SER_hh_fec!H29/SER_hh_num!H29)</f>
        <v>11322.889103203635</v>
      </c>
      <c r="I29" s="130">
        <f>IF(SER_hh_fec!I29=0,0,11630*1000*SER_hh_fec!I29/SER_hh_num!I29)</f>
        <v>11211.43074197705</v>
      </c>
      <c r="J29" s="130">
        <f>IF(SER_hh_fec!J29=0,0,11630*1000*SER_hh_fec!J29/SER_hh_num!J29)</f>
        <v>11333.561776324383</v>
      </c>
      <c r="K29" s="130">
        <f>IF(SER_hh_fec!K29=0,0,11630*1000*SER_hh_fec!K29/SER_hh_num!K29)</f>
        <v>12061.894733803483</v>
      </c>
      <c r="L29" s="130">
        <f>IF(SER_hh_fec!L29=0,0,11630*1000*SER_hh_fec!L29/SER_hh_num!L29)</f>
        <v>12321.372565332709</v>
      </c>
      <c r="M29" s="130">
        <f>IF(SER_hh_fec!M29=0,0,11630*1000*SER_hh_fec!M29/SER_hh_num!M29)</f>
        <v>12459.017717950215</v>
      </c>
      <c r="N29" s="130">
        <f>IF(SER_hh_fec!N29=0,0,11630*1000*SER_hh_fec!N29/SER_hh_num!N29)</f>
        <v>12519.535639499418</v>
      </c>
      <c r="O29" s="130">
        <f>IF(SER_hh_fec!O29=0,0,11630*1000*SER_hh_fec!O29/SER_hh_num!O29)</f>
        <v>12665.35552643779</v>
      </c>
      <c r="P29" s="130">
        <f>IF(SER_hh_fec!P29=0,0,11630*1000*SER_hh_fec!P29/SER_hh_num!P29)</f>
        <v>12646.513292548236</v>
      </c>
      <c r="Q29" s="130">
        <f>IF(SER_hh_fec!Q29=0,0,11630*1000*SER_hh_fec!Q29/SER_hh_num!Q29)</f>
        <v>12617.718044925417</v>
      </c>
      <c r="R29" s="130">
        <f>IF(SER_hh_fec!R29=0,0,11630*1000*SER_hh_fec!R29/SER_hh_num!R29)</f>
        <v>12754.601253557037</v>
      </c>
      <c r="S29" s="130">
        <f>IF(SER_hh_fec!S29=0,0,11630*1000*SER_hh_fec!S29/SER_hh_num!S29)</f>
        <v>13055.377843321332</v>
      </c>
      <c r="T29" s="130">
        <f>IF(SER_hh_fec!T29=0,0,11630*1000*SER_hh_fec!T29/SER_hh_num!T29)</f>
        <v>12754.37227605049</v>
      </c>
      <c r="U29" s="130">
        <f>IF(SER_hh_fec!U29=0,0,11630*1000*SER_hh_fec!U29/SER_hh_num!U29)</f>
        <v>12898.882309231753</v>
      </c>
      <c r="V29" s="130">
        <f>IF(SER_hh_fec!V29=0,0,11630*1000*SER_hh_fec!V29/SER_hh_num!V29)</f>
        <v>11922.095664817874</v>
      </c>
      <c r="W29" s="130">
        <f>IF(SER_hh_fec!W29=0,0,11630*1000*SER_hh_fec!W29/SER_hh_num!W29)</f>
        <v>12058.8829864948</v>
      </c>
      <c r="X29" s="130">
        <f>IF(SER_hh_fec!X29=0,0,11630*1000*SER_hh_fec!X29/SER_hh_num!X29)</f>
        <v>11734.434189459696</v>
      </c>
      <c r="Y29" s="130">
        <f>IF(SER_hh_fec!Y29=0,0,11630*1000*SER_hh_fec!Y29/SER_hh_num!Y29)</f>
        <v>11664.492829487783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0</v>
      </c>
      <c r="C30" s="132">
        <f>IF(SER_hh_fec!C30=0,0,11630*1000*SER_hh_fec!C30/SER_hh_num!C30)</f>
        <v>0</v>
      </c>
      <c r="D30" s="132">
        <f>IF(SER_hh_fec!D30=0,0,11630*1000*SER_hh_fec!D30/SER_hh_num!D30)</f>
        <v>0</v>
      </c>
      <c r="E30" s="132">
        <f>IF(SER_hh_fec!E30=0,0,11630*1000*SER_hh_fec!E30/SER_hh_num!E30)</f>
        <v>0</v>
      </c>
      <c r="F30" s="132">
        <f>IF(SER_hh_fec!F30=0,0,11630*1000*SER_hh_fec!F30/SER_hh_num!F30)</f>
        <v>0</v>
      </c>
      <c r="G30" s="132">
        <f>IF(SER_hh_fec!G30=0,0,11630*1000*SER_hh_fec!G30/SER_hh_num!G30)</f>
        <v>0</v>
      </c>
      <c r="H30" s="132">
        <f>IF(SER_hh_fec!H30=0,0,11630*1000*SER_hh_fec!H30/SER_hh_num!H30)</f>
        <v>0</v>
      </c>
      <c r="I30" s="132">
        <f>IF(SER_hh_fec!I30=0,0,11630*1000*SER_hh_fec!I30/SER_hh_num!I30)</f>
        <v>0</v>
      </c>
      <c r="J30" s="132">
        <f>IF(SER_hh_fec!J30=0,0,11630*1000*SER_hh_fec!J30/SER_hh_num!J30)</f>
        <v>0</v>
      </c>
      <c r="K30" s="132">
        <f>IF(SER_hh_fec!K30=0,0,11630*1000*SER_hh_fec!K30/SER_hh_num!K30)</f>
        <v>0</v>
      </c>
      <c r="L30" s="132">
        <f>IF(SER_hh_fec!L30=0,0,11630*1000*SER_hh_fec!L30/SER_hh_num!L30)</f>
        <v>0</v>
      </c>
      <c r="M30" s="132">
        <f>IF(SER_hh_fec!M30=0,0,11630*1000*SER_hh_fec!M30/SER_hh_num!M30)</f>
        <v>0</v>
      </c>
      <c r="N30" s="132">
        <f>IF(SER_hh_fec!N30=0,0,11630*1000*SER_hh_fec!N30/SER_hh_num!N30)</f>
        <v>0</v>
      </c>
      <c r="O30" s="132">
        <f>IF(SER_hh_fec!O30=0,0,11630*1000*SER_hh_fec!O30/SER_hh_num!O30)</f>
        <v>0</v>
      </c>
      <c r="P30" s="132">
        <f>IF(SER_hh_fec!P30=0,0,11630*1000*SER_hh_fec!P30/SER_hh_num!P30)</f>
        <v>0</v>
      </c>
      <c r="Q30" s="132">
        <f>IF(SER_hh_fec!Q30=0,0,11630*1000*SER_hh_fec!Q30/SER_hh_num!Q30)</f>
        <v>0</v>
      </c>
      <c r="R30" s="132">
        <f>IF(SER_hh_fec!R30=0,0,11630*1000*SER_hh_fec!R30/SER_hh_num!R30)</f>
        <v>0</v>
      </c>
      <c r="S30" s="132">
        <f>IF(SER_hh_fec!S30=0,0,11630*1000*SER_hh_fec!S30/SER_hh_num!S30)</f>
        <v>0</v>
      </c>
      <c r="T30" s="132">
        <f>IF(SER_hh_fec!T30=0,0,11630*1000*SER_hh_fec!T30/SER_hh_num!T30)</f>
        <v>0</v>
      </c>
      <c r="U30" s="132">
        <f>IF(SER_hh_fec!U30=0,0,11630*1000*SER_hh_fec!U30/SER_hh_num!U30)</f>
        <v>0</v>
      </c>
      <c r="V30" s="132">
        <f>IF(SER_hh_fec!V30=0,0,11630*1000*SER_hh_fec!V30/SER_hh_num!V30)</f>
        <v>0</v>
      </c>
      <c r="W30" s="132">
        <f>IF(SER_hh_fec!W30=0,0,11630*1000*SER_hh_fec!W30/SER_hh_num!W30)</f>
        <v>0</v>
      </c>
      <c r="X30" s="132">
        <f>IF(SER_hh_fec!X30=0,0,11630*1000*SER_hh_fec!X30/SER_hh_num!X30)</f>
        <v>0</v>
      </c>
      <c r="Y30" s="132">
        <f>IF(SER_hh_fec!Y30=0,0,11630*1000*SER_hh_fec!Y30/SER_hh_num!Y30)</f>
        <v>0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11715.622331722414</v>
      </c>
      <c r="C31" s="132">
        <f>IF(SER_hh_fec!C31=0,0,11630*1000*SER_hh_fec!C31/SER_hh_num!C31)</f>
        <v>13530.826933740213</v>
      </c>
      <c r="D31" s="132">
        <f>IF(SER_hh_fec!D31=0,0,11630*1000*SER_hh_fec!D31/SER_hh_num!D31)</f>
        <v>13311.317546255499</v>
      </c>
      <c r="E31" s="132">
        <f>IF(SER_hh_fec!E31=0,0,11630*1000*SER_hh_fec!E31/SER_hh_num!E31)</f>
        <v>12975.722654368155</v>
      </c>
      <c r="F31" s="132">
        <f>IF(SER_hh_fec!F31=0,0,11630*1000*SER_hh_fec!F31/SER_hh_num!F31)</f>
        <v>13241.377643147163</v>
      </c>
      <c r="G31" s="132">
        <f>IF(SER_hh_fec!G31=0,0,11630*1000*SER_hh_fec!G31/SER_hh_num!G31)</f>
        <v>12950.532349803145</v>
      </c>
      <c r="H31" s="132">
        <f>IF(SER_hh_fec!H31=0,0,11630*1000*SER_hh_fec!H31/SER_hh_num!H31)</f>
        <v>12737.114780916265</v>
      </c>
      <c r="I31" s="132">
        <f>IF(SER_hh_fec!I31=0,0,11630*1000*SER_hh_fec!I31/SER_hh_num!I31)</f>
        <v>12763.211194309402</v>
      </c>
      <c r="J31" s="132">
        <f>IF(SER_hh_fec!J31=0,0,11630*1000*SER_hh_fec!J31/SER_hh_num!J31)</f>
        <v>12966.192660892901</v>
      </c>
      <c r="K31" s="132">
        <f>IF(SER_hh_fec!K31=0,0,11630*1000*SER_hh_fec!K31/SER_hh_num!K31)</f>
        <v>14467.976466523658</v>
      </c>
      <c r="L31" s="132">
        <f>IF(SER_hh_fec!L31=0,0,11630*1000*SER_hh_fec!L31/SER_hh_num!L31)</f>
        <v>14001.076155514678</v>
      </c>
      <c r="M31" s="132">
        <f>IF(SER_hh_fec!M31=0,0,11630*1000*SER_hh_fec!M31/SER_hh_num!M31)</f>
        <v>14181.140319143897</v>
      </c>
      <c r="N31" s="132">
        <f>IF(SER_hh_fec!N31=0,0,11630*1000*SER_hh_fec!N31/SER_hh_num!N31)</f>
        <v>14298.203852203997</v>
      </c>
      <c r="O31" s="132">
        <f>IF(SER_hh_fec!O31=0,0,11630*1000*SER_hh_fec!O31/SER_hh_num!O31)</f>
        <v>14404.998865963065</v>
      </c>
      <c r="P31" s="132">
        <f>IF(SER_hh_fec!P31=0,0,11630*1000*SER_hh_fec!P31/SER_hh_num!P31)</f>
        <v>14427.200326778464</v>
      </c>
      <c r="Q31" s="132">
        <f>IF(SER_hh_fec!Q31=0,0,11630*1000*SER_hh_fec!Q31/SER_hh_num!Q31)</f>
        <v>13982.683012677591</v>
      </c>
      <c r="R31" s="132">
        <f>IF(SER_hh_fec!R31=0,0,11630*1000*SER_hh_fec!R31/SER_hh_num!R31)</f>
        <v>14385.262728489801</v>
      </c>
      <c r="S31" s="132">
        <f>IF(SER_hh_fec!S31=0,0,11630*1000*SER_hh_fec!S31/SER_hh_num!S31)</f>
        <v>15431.983537141043</v>
      </c>
      <c r="T31" s="132">
        <f>IF(SER_hh_fec!T31=0,0,11630*1000*SER_hh_fec!T31/SER_hh_num!T31)</f>
        <v>14184.127191306483</v>
      </c>
      <c r="U31" s="132">
        <f>IF(SER_hh_fec!U31=0,0,11630*1000*SER_hh_fec!U31/SER_hh_num!U31)</f>
        <v>14925.554909574601</v>
      </c>
      <c r="V31" s="132">
        <f>IF(SER_hh_fec!V31=0,0,11630*1000*SER_hh_fec!V31/SER_hh_num!V31)</f>
        <v>13838.78142075536</v>
      </c>
      <c r="W31" s="132">
        <f>IF(SER_hh_fec!W31=0,0,11630*1000*SER_hh_fec!W31/SER_hh_num!W31)</f>
        <v>14122.942516429215</v>
      </c>
      <c r="X31" s="132">
        <f>IF(SER_hh_fec!X31=0,0,11630*1000*SER_hh_fec!X31/SER_hh_num!X31)</f>
        <v>13821.387344878998</v>
      </c>
      <c r="Y31" s="132">
        <f>IF(SER_hh_fec!Y31=0,0,11630*1000*SER_hh_fec!Y31/SER_hh_num!Y31)</f>
        <v>13529.354138722412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0</v>
      </c>
      <c r="C32" s="132">
        <f>IF(SER_hh_fec!C32=0,0,11630*1000*SER_hh_fec!C32/SER_hh_num!C32)</f>
        <v>0</v>
      </c>
      <c r="D32" s="132">
        <f>IF(SER_hh_fec!D32=0,0,11630*1000*SER_hh_fec!D32/SER_hh_num!D32)</f>
        <v>0</v>
      </c>
      <c r="E32" s="132">
        <f>IF(SER_hh_fec!E32=0,0,11630*1000*SER_hh_fec!E32/SER_hh_num!E32)</f>
        <v>0</v>
      </c>
      <c r="F32" s="132">
        <f>IF(SER_hh_fec!F32=0,0,11630*1000*SER_hh_fec!F32/SER_hh_num!F32)</f>
        <v>0</v>
      </c>
      <c r="G32" s="132">
        <f>IF(SER_hh_fec!G32=0,0,11630*1000*SER_hh_fec!G32/SER_hh_num!G32)</f>
        <v>0</v>
      </c>
      <c r="H32" s="132">
        <f>IF(SER_hh_fec!H32=0,0,11630*1000*SER_hh_fec!H32/SER_hh_num!H32)</f>
        <v>0</v>
      </c>
      <c r="I32" s="132">
        <f>IF(SER_hh_fec!I32=0,0,11630*1000*SER_hh_fec!I32/SER_hh_num!I32)</f>
        <v>0</v>
      </c>
      <c r="J32" s="132">
        <f>IF(SER_hh_fec!J32=0,0,11630*1000*SER_hh_fec!J32/SER_hh_num!J32)</f>
        <v>0</v>
      </c>
      <c r="K32" s="132">
        <f>IF(SER_hh_fec!K32=0,0,11630*1000*SER_hh_fec!K32/SER_hh_num!K32)</f>
        <v>0</v>
      </c>
      <c r="L32" s="132">
        <f>IF(SER_hh_fec!L32=0,0,11630*1000*SER_hh_fec!L32/SER_hh_num!L32)</f>
        <v>0</v>
      </c>
      <c r="M32" s="132">
        <f>IF(SER_hh_fec!M32=0,0,11630*1000*SER_hh_fec!M32/SER_hh_num!M32)</f>
        <v>0</v>
      </c>
      <c r="N32" s="132">
        <f>IF(SER_hh_fec!N32=0,0,11630*1000*SER_hh_fec!N32/SER_hh_num!N32)</f>
        <v>0</v>
      </c>
      <c r="O32" s="132">
        <f>IF(SER_hh_fec!O32=0,0,11630*1000*SER_hh_fec!O32/SER_hh_num!O32)</f>
        <v>0</v>
      </c>
      <c r="P32" s="132">
        <f>IF(SER_hh_fec!P32=0,0,11630*1000*SER_hh_fec!P32/SER_hh_num!P32)</f>
        <v>0</v>
      </c>
      <c r="Q32" s="132">
        <f>IF(SER_hh_fec!Q32=0,0,11630*1000*SER_hh_fec!Q32/SER_hh_num!Q32)</f>
        <v>0</v>
      </c>
      <c r="R32" s="132">
        <f>IF(SER_hh_fec!R32=0,0,11630*1000*SER_hh_fec!R32/SER_hh_num!R32)</f>
        <v>0</v>
      </c>
      <c r="S32" s="132">
        <f>IF(SER_hh_fec!S32=0,0,11630*1000*SER_hh_fec!S32/SER_hh_num!S32)</f>
        <v>0</v>
      </c>
      <c r="T32" s="132">
        <f>IF(SER_hh_fec!T32=0,0,11630*1000*SER_hh_fec!T32/SER_hh_num!T32)</f>
        <v>0</v>
      </c>
      <c r="U32" s="132">
        <f>IF(SER_hh_fec!U32=0,0,11630*1000*SER_hh_fec!U32/SER_hh_num!U32)</f>
        <v>0</v>
      </c>
      <c r="V32" s="132">
        <f>IF(SER_hh_fec!V32=0,0,11630*1000*SER_hh_fec!V32/SER_hh_num!V32)</f>
        <v>0</v>
      </c>
      <c r="W32" s="132">
        <f>IF(SER_hh_fec!W32=0,0,11630*1000*SER_hh_fec!W32/SER_hh_num!W32)</f>
        <v>0</v>
      </c>
      <c r="X32" s="132">
        <f>IF(SER_hh_fec!X32=0,0,11630*1000*SER_hh_fec!X32/SER_hh_num!X32)</f>
        <v>0</v>
      </c>
      <c r="Y32" s="132">
        <f>IF(SER_hh_fec!Y32=0,0,11630*1000*SER_hh_fec!Y32/SER_hh_num!Y32)</f>
        <v>0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10988.925765794376</v>
      </c>
      <c r="C33" s="68">
        <f>IF(SER_hh_fec!C33=0,0,11630*1000*SER_hh_fec!C33/SER_hh_num!C33)</f>
        <v>9591.5229659905071</v>
      </c>
      <c r="D33" s="68">
        <f>IF(SER_hh_fec!D33=0,0,11630*1000*SER_hh_fec!D33/SER_hh_num!D33)</f>
        <v>9655.6007183981819</v>
      </c>
      <c r="E33" s="68">
        <f>IF(SER_hh_fec!E33=0,0,11630*1000*SER_hh_fec!E33/SER_hh_num!E33)</f>
        <v>10103.488524988819</v>
      </c>
      <c r="F33" s="68">
        <f>IF(SER_hh_fec!F33=0,0,11630*1000*SER_hh_fec!F33/SER_hh_num!F33)</f>
        <v>9819.8990525237241</v>
      </c>
      <c r="G33" s="68">
        <f>IF(SER_hh_fec!G33=0,0,11630*1000*SER_hh_fec!G33/SER_hh_num!G33)</f>
        <v>9777.7818442005446</v>
      </c>
      <c r="H33" s="68">
        <f>IF(SER_hh_fec!H33=0,0,11630*1000*SER_hh_fec!H33/SER_hh_num!H33)</f>
        <v>9965.8472144980442</v>
      </c>
      <c r="I33" s="68">
        <f>IF(SER_hh_fec!I33=0,0,11630*1000*SER_hh_fec!I33/SER_hh_num!I33)</f>
        <v>9721.9184987034532</v>
      </c>
      <c r="J33" s="68">
        <f>IF(SER_hh_fec!J33=0,0,11630*1000*SER_hh_fec!J33/SER_hh_num!J33)</f>
        <v>9746.9810066886566</v>
      </c>
      <c r="K33" s="68">
        <f>IF(SER_hh_fec!K33=0,0,11630*1000*SER_hh_fec!K33/SER_hh_num!K33)</f>
        <v>9695.0066565425823</v>
      </c>
      <c r="L33" s="68">
        <f>IF(SER_hh_fec!L33=0,0,11630*1000*SER_hh_fec!L33/SER_hh_num!L33)</f>
        <v>10635.709053372875</v>
      </c>
      <c r="M33" s="68">
        <f>IF(SER_hh_fec!M33=0,0,11630*1000*SER_hh_fec!M33/SER_hh_num!M33)</f>
        <v>10778.167000322455</v>
      </c>
      <c r="N33" s="68">
        <f>IF(SER_hh_fec!N33=0,0,11630*1000*SER_hh_fec!N33/SER_hh_num!N33)</f>
        <v>10828.53792763916</v>
      </c>
      <c r="O33" s="68">
        <f>IF(SER_hh_fec!O33=0,0,11630*1000*SER_hh_fec!O33/SER_hh_num!O33)</f>
        <v>11038.258871399117</v>
      </c>
      <c r="P33" s="68">
        <f>IF(SER_hh_fec!P33=0,0,11630*1000*SER_hh_fec!P33/SER_hh_num!P33)</f>
        <v>10991.414527895584</v>
      </c>
      <c r="Q33" s="68">
        <f>IF(SER_hh_fec!Q33=0,0,11630*1000*SER_hh_fec!Q33/SER_hh_num!Q33)</f>
        <v>11324.193198419087</v>
      </c>
      <c r="R33" s="68">
        <f>IF(SER_hh_fec!R33=0,0,11630*1000*SER_hh_fec!R33/SER_hh_num!R33)</f>
        <v>11079.579771534389</v>
      </c>
      <c r="S33" s="68">
        <f>IF(SER_hh_fec!S33=0,0,11630*1000*SER_hh_fec!S33/SER_hh_num!S33)</f>
        <v>10333.304434202977</v>
      </c>
      <c r="T33" s="68">
        <f>IF(SER_hh_fec!T33=0,0,11630*1000*SER_hh_fec!T33/SER_hh_num!T33)</f>
        <v>11070.774837693063</v>
      </c>
      <c r="U33" s="68">
        <f>IF(SER_hh_fec!U33=0,0,11630*1000*SER_hh_fec!U33/SER_hh_num!U33)</f>
        <v>10457.478053901223</v>
      </c>
      <c r="V33" s="68">
        <f>IF(SER_hh_fec!V33=0,0,11630*1000*SER_hh_fec!V33/SER_hh_num!V33)</f>
        <v>9742.4283876252211</v>
      </c>
      <c r="W33" s="68">
        <f>IF(SER_hh_fec!W33=0,0,11630*1000*SER_hh_fec!W33/SER_hh_num!W33)</f>
        <v>9941.0954414222833</v>
      </c>
      <c r="X33" s="68">
        <f>IF(SER_hh_fec!X33=0,0,11630*1000*SER_hh_fec!X33/SER_hh_num!X33)</f>
        <v>9892.6020437203988</v>
      </c>
      <c r="Y33" s="68">
        <f>IF(SER_hh_fec!Y33=0,0,11630*1000*SER_hh_fec!Y33/SER_hh_num!Y33)</f>
        <v>10221.235842223787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98626.365607757485</v>
      </c>
      <c r="C3" s="125">
        <f>IF(SER_hh_tes!C3=0,0,11630*1000*SER_hh_tes!C3/SER_hh_num!C3)</f>
        <v>96563.345146162261</v>
      </c>
      <c r="D3" s="125">
        <f>IF(SER_hh_tes!D3=0,0,11630*1000*SER_hh_tes!D3/SER_hh_num!D3)</f>
        <v>90111.114435300304</v>
      </c>
      <c r="E3" s="125">
        <f>IF(SER_hh_tes!E3=0,0,11630*1000*SER_hh_tes!E3/SER_hh_num!E3)</f>
        <v>98946.165334223551</v>
      </c>
      <c r="F3" s="125">
        <f>IF(SER_hh_tes!F3=0,0,11630*1000*SER_hh_tes!F3/SER_hh_num!F3)</f>
        <v>91833.028680591204</v>
      </c>
      <c r="G3" s="125">
        <f>IF(SER_hh_tes!G3=0,0,11630*1000*SER_hh_tes!G3/SER_hh_num!G3)</f>
        <v>80867.497761251172</v>
      </c>
      <c r="H3" s="125">
        <f>IF(SER_hh_tes!H3=0,0,11630*1000*SER_hh_tes!H3/SER_hh_num!H3)</f>
        <v>76238.341347009802</v>
      </c>
      <c r="I3" s="125">
        <f>IF(SER_hh_tes!I3=0,0,11630*1000*SER_hh_tes!I3/SER_hh_num!I3)</f>
        <v>70738.585144195182</v>
      </c>
      <c r="J3" s="125">
        <f>IF(SER_hh_tes!J3=0,0,11630*1000*SER_hh_tes!J3/SER_hh_num!J3)</f>
        <v>74667.40536877187</v>
      </c>
      <c r="K3" s="125">
        <f>IF(SER_hh_tes!K3=0,0,11630*1000*SER_hh_tes!K3/SER_hh_num!K3)</f>
        <v>70723.260900461552</v>
      </c>
      <c r="L3" s="125">
        <f>IF(SER_hh_tes!L3=0,0,11630*1000*SER_hh_tes!L3/SER_hh_num!L3)</f>
        <v>78569.438716637378</v>
      </c>
      <c r="M3" s="125">
        <f>IF(SER_hh_tes!M3=0,0,11630*1000*SER_hh_tes!M3/SER_hh_num!M3)</f>
        <v>74950.992560608094</v>
      </c>
      <c r="N3" s="125">
        <f>IF(SER_hh_tes!N3=0,0,11630*1000*SER_hh_tes!N3/SER_hh_num!N3)</f>
        <v>72919.055289445474</v>
      </c>
      <c r="O3" s="125">
        <f>IF(SER_hh_tes!O3=0,0,11630*1000*SER_hh_tes!O3/SER_hh_num!O3)</f>
        <v>72467.382510637108</v>
      </c>
      <c r="P3" s="125">
        <f>IF(SER_hh_tes!P3=0,0,11630*1000*SER_hh_tes!P3/SER_hh_num!P3)</f>
        <v>68807.60879327837</v>
      </c>
      <c r="Q3" s="125">
        <f>IF(SER_hh_tes!Q3=0,0,11630*1000*SER_hh_tes!Q3/SER_hh_num!Q3)</f>
        <v>69891.332225311795</v>
      </c>
      <c r="R3" s="125">
        <f>IF(SER_hh_tes!R3=0,0,11630*1000*SER_hh_tes!R3/SER_hh_num!R3)</f>
        <v>71307.151573143216</v>
      </c>
      <c r="S3" s="125">
        <f>IF(SER_hh_tes!S3=0,0,11630*1000*SER_hh_tes!S3/SER_hh_num!S3)</f>
        <v>73875.371738274422</v>
      </c>
      <c r="T3" s="125">
        <f>IF(SER_hh_tes!T3=0,0,11630*1000*SER_hh_tes!T3/SER_hh_num!T3)</f>
        <v>72358.278009309739</v>
      </c>
      <c r="U3" s="125">
        <f>IF(SER_hh_tes!U3=0,0,11630*1000*SER_hh_tes!U3/SER_hh_num!U3)</f>
        <v>74175.073680257963</v>
      </c>
      <c r="V3" s="125">
        <f>IF(SER_hh_tes!V3=0,0,11630*1000*SER_hh_tes!V3/SER_hh_num!V3)</f>
        <v>69510.218216698908</v>
      </c>
      <c r="W3" s="125">
        <f>IF(SER_hh_tes!W3=0,0,11630*1000*SER_hh_tes!W3/SER_hh_num!W3)</f>
        <v>69968.223158625755</v>
      </c>
      <c r="X3" s="125">
        <f>IF(SER_hh_tes!X3=0,0,11630*1000*SER_hh_tes!X3/SER_hh_num!X3)</f>
        <v>67921.221600663819</v>
      </c>
      <c r="Y3" s="125">
        <f>IF(SER_hh_tes!Y3=0,0,11630*1000*SER_hh_tes!Y3/SER_hh_num!Y3)</f>
        <v>62795.616614425722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82843.085029872906</v>
      </c>
      <c r="C4" s="130">
        <f>IF(SER_hh_tes!C4=0,0,11630*1000*SER_hh_tes!C4/SER_hh_num!C4)</f>
        <v>80731.796279529051</v>
      </c>
      <c r="D4" s="130">
        <f>IF(SER_hh_tes!D4=0,0,11630*1000*SER_hh_tes!D4/SER_hh_num!D4)</f>
        <v>74032.894500159746</v>
      </c>
      <c r="E4" s="130">
        <f>IF(SER_hh_tes!E4=0,0,11630*1000*SER_hh_tes!E4/SER_hh_num!E4)</f>
        <v>82587.873736390713</v>
      </c>
      <c r="F4" s="130">
        <f>IF(SER_hh_tes!F4=0,0,11630*1000*SER_hh_tes!F4/SER_hh_num!F4)</f>
        <v>75547.177303880031</v>
      </c>
      <c r="G4" s="130">
        <f>IF(SER_hh_tes!G4=0,0,11630*1000*SER_hh_tes!G4/SER_hh_num!G4)</f>
        <v>64274.118599222995</v>
      </c>
      <c r="H4" s="130">
        <f>IF(SER_hh_tes!H4=0,0,11630*1000*SER_hh_tes!H4/SER_hh_num!H4)</f>
        <v>58994.238848265217</v>
      </c>
      <c r="I4" s="130">
        <f>IF(SER_hh_tes!I4=0,0,11630*1000*SER_hh_tes!I4/SER_hh_num!I4)</f>
        <v>53106.549490917503</v>
      </c>
      <c r="J4" s="130">
        <f>IF(SER_hh_tes!J4=0,0,11630*1000*SER_hh_tes!J4/SER_hh_num!J4)</f>
        <v>56567.68351393404</v>
      </c>
      <c r="K4" s="130">
        <f>IF(SER_hh_tes!K4=0,0,11630*1000*SER_hh_tes!K4/SER_hh_num!K4)</f>
        <v>51322.532228944474</v>
      </c>
      <c r="L4" s="130">
        <f>IF(SER_hh_tes!L4=0,0,11630*1000*SER_hh_tes!L4/SER_hh_num!L4)</f>
        <v>58267.096764378017</v>
      </c>
      <c r="M4" s="130">
        <f>IF(SER_hh_tes!M4=0,0,11630*1000*SER_hh_tes!M4/SER_hh_num!M4)</f>
        <v>54129.993902376445</v>
      </c>
      <c r="N4" s="130">
        <f>IF(SER_hh_tes!N4=0,0,11630*1000*SER_hh_tes!N4/SER_hh_num!N4)</f>
        <v>51664.253493080025</v>
      </c>
      <c r="O4" s="130">
        <f>IF(SER_hh_tes!O4=0,0,11630*1000*SER_hh_tes!O4/SER_hh_num!O4)</f>
        <v>50647.481434300782</v>
      </c>
      <c r="P4" s="130">
        <f>IF(SER_hh_tes!P4=0,0,11630*1000*SER_hh_tes!P4/SER_hh_num!P4)</f>
        <v>47175.893047067359</v>
      </c>
      <c r="Q4" s="130">
        <f>IF(SER_hh_tes!Q4=0,0,11630*1000*SER_hh_tes!Q4/SER_hh_num!Q4)</f>
        <v>47064.17544356695</v>
      </c>
      <c r="R4" s="130">
        <f>IF(SER_hh_tes!R4=0,0,11630*1000*SER_hh_tes!R4/SER_hh_num!R4)</f>
        <v>49107.671986289562</v>
      </c>
      <c r="S4" s="130">
        <f>IF(SER_hh_tes!S4=0,0,11630*1000*SER_hh_tes!S4/SER_hh_num!S4)</f>
        <v>51294.302967714801</v>
      </c>
      <c r="T4" s="130">
        <f>IF(SER_hh_tes!T4=0,0,11630*1000*SER_hh_tes!T4/SER_hh_num!T4)</f>
        <v>49461.521887462877</v>
      </c>
      <c r="U4" s="130">
        <f>IF(SER_hh_tes!U4=0,0,11630*1000*SER_hh_tes!U4/SER_hh_num!U4)</f>
        <v>51099.615533369855</v>
      </c>
      <c r="V4" s="130">
        <f>IF(SER_hh_tes!V4=0,0,11630*1000*SER_hh_tes!V4/SER_hh_num!V4)</f>
        <v>47917.561329203716</v>
      </c>
      <c r="W4" s="130">
        <f>IF(SER_hh_tes!W4=0,0,11630*1000*SER_hh_tes!W4/SER_hh_num!W4)</f>
        <v>47749.753517206656</v>
      </c>
      <c r="X4" s="130">
        <f>IF(SER_hh_tes!X4=0,0,11630*1000*SER_hh_tes!X4/SER_hh_num!X4)</f>
        <v>45651.673939160071</v>
      </c>
      <c r="Y4" s="130">
        <f>IF(SER_hh_tes!Y4=0,0,11630*1000*SER_hh_tes!Y4/SER_hh_num!Y4)</f>
        <v>40181.376088818623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100339.01849016103</v>
      </c>
      <c r="C5" s="132">
        <f>IF(SER_hh_tes!C5=0,0,11630*1000*SER_hh_tes!C5/SER_hh_num!C5)</f>
        <v>52883.375040961539</v>
      </c>
      <c r="D5" s="132">
        <f>IF(SER_hh_tes!D5=0,0,11630*1000*SER_hh_tes!D5/SER_hh_num!D5)</f>
        <v>54138.637221785102</v>
      </c>
      <c r="E5" s="132">
        <f>IF(SER_hh_tes!E5=0,0,11630*1000*SER_hh_tes!E5/SER_hh_num!E5)</f>
        <v>102347.34972517955</v>
      </c>
      <c r="F5" s="132">
        <f>IF(SER_hh_tes!F5=0,0,11630*1000*SER_hh_tes!F5/SER_hh_num!F5)</f>
        <v>111502.4669820041</v>
      </c>
      <c r="G5" s="132">
        <f>IF(SER_hh_tes!G5=0,0,11630*1000*SER_hh_tes!G5/SER_hh_num!G5)</f>
        <v>27568.384232806144</v>
      </c>
      <c r="H5" s="132">
        <f>IF(SER_hh_tes!H5=0,0,11630*1000*SER_hh_tes!H5/SER_hh_num!H5)</f>
        <v>69720.945018319791</v>
      </c>
      <c r="I5" s="132">
        <f>IF(SER_hh_tes!I5=0,0,11630*1000*SER_hh_tes!I5/SER_hh_num!I5)</f>
        <v>38250.340289210995</v>
      </c>
      <c r="J5" s="132">
        <f>IF(SER_hh_tes!J5=0,0,11630*1000*SER_hh_tes!J5/SER_hh_num!J5)</f>
        <v>65037.851578606111</v>
      </c>
      <c r="K5" s="132">
        <f>IF(SER_hh_tes!K5=0,0,11630*1000*SER_hh_tes!K5/SER_hh_num!K5)</f>
        <v>33457.383699182261</v>
      </c>
      <c r="L5" s="132">
        <f>IF(SER_hh_tes!L5=0,0,11630*1000*SER_hh_tes!L5/SER_hh_num!L5)</f>
        <v>54596.435623931618</v>
      </c>
      <c r="M5" s="132">
        <f>IF(SER_hh_tes!M5=0,0,11630*1000*SER_hh_tes!M5/SER_hh_num!M5)</f>
        <v>52162.342833779694</v>
      </c>
      <c r="N5" s="132">
        <f>IF(SER_hh_tes!N5=0,0,11630*1000*SER_hh_tes!N5/SER_hh_num!N5)</f>
        <v>50153.344985433017</v>
      </c>
      <c r="O5" s="132">
        <f>IF(SER_hh_tes!O5=0,0,11630*1000*SER_hh_tes!O5/SER_hh_num!O5)</f>
        <v>53664.938175761417</v>
      </c>
      <c r="P5" s="132">
        <f>IF(SER_hh_tes!P5=0,0,11630*1000*SER_hh_tes!P5/SER_hh_num!P5)</f>
        <v>47204.744571085968</v>
      </c>
      <c r="Q5" s="132">
        <f>IF(SER_hh_tes!Q5=0,0,11630*1000*SER_hh_tes!Q5/SER_hh_num!Q5)</f>
        <v>42236.918620886921</v>
      </c>
      <c r="R5" s="132">
        <f>IF(SER_hh_tes!R5=0,0,11630*1000*SER_hh_tes!R5/SER_hh_num!R5)</f>
        <v>53696.692686487469</v>
      </c>
      <c r="S5" s="132">
        <f>IF(SER_hh_tes!S5=0,0,11630*1000*SER_hh_tes!S5/SER_hh_num!S5)</f>
        <v>54510.651046716383</v>
      </c>
      <c r="T5" s="132">
        <f>IF(SER_hh_tes!T5=0,0,11630*1000*SER_hh_tes!T5/SER_hh_num!T5)</f>
        <v>42371.481161856864</v>
      </c>
      <c r="U5" s="132">
        <f>IF(SER_hh_tes!U5=0,0,11630*1000*SER_hh_tes!U5/SER_hh_num!U5)</f>
        <v>53776.729555675425</v>
      </c>
      <c r="V5" s="132">
        <f>IF(SER_hh_tes!V5=0,0,11630*1000*SER_hh_tes!V5/SER_hh_num!V5)</f>
        <v>43307.756384210843</v>
      </c>
      <c r="W5" s="132">
        <f>IF(SER_hh_tes!W5=0,0,11630*1000*SER_hh_tes!W5/SER_hh_num!W5)</f>
        <v>50239.944982625588</v>
      </c>
      <c r="X5" s="132">
        <f>IF(SER_hh_tes!X5=0,0,11630*1000*SER_hh_tes!X5/SER_hh_num!X5)</f>
        <v>51892.636534171994</v>
      </c>
      <c r="Y5" s="132">
        <f>IF(SER_hh_tes!Y5=0,0,11630*1000*SER_hh_tes!Y5/SER_hh_num!Y5)</f>
        <v>30869.493304594311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0</v>
      </c>
      <c r="C6" s="132">
        <f>IF(SER_hh_tes!C6=0,0,11630*1000*SER_hh_tes!C6/SER_hh_num!C6)</f>
        <v>0</v>
      </c>
      <c r="D6" s="132">
        <f>IF(SER_hh_tes!D6=0,0,11630*1000*SER_hh_tes!D6/SER_hh_num!D6)</f>
        <v>0</v>
      </c>
      <c r="E6" s="132">
        <f>IF(SER_hh_tes!E6=0,0,11630*1000*SER_hh_tes!E6/SER_hh_num!E6)</f>
        <v>0</v>
      </c>
      <c r="F6" s="132">
        <f>IF(SER_hh_tes!F6=0,0,11630*1000*SER_hh_tes!F6/SER_hh_num!F6)</f>
        <v>0</v>
      </c>
      <c r="G6" s="132">
        <f>IF(SER_hh_tes!G6=0,0,11630*1000*SER_hh_tes!G6/SER_hh_num!G6)</f>
        <v>0</v>
      </c>
      <c r="H6" s="132">
        <f>IF(SER_hh_tes!H6=0,0,11630*1000*SER_hh_tes!H6/SER_hh_num!H6)</f>
        <v>0</v>
      </c>
      <c r="I6" s="132">
        <f>IF(SER_hh_tes!I6=0,0,11630*1000*SER_hh_tes!I6/SER_hh_num!I6)</f>
        <v>0</v>
      </c>
      <c r="J6" s="132">
        <f>IF(SER_hh_tes!J6=0,0,11630*1000*SER_hh_tes!J6/SER_hh_num!J6)</f>
        <v>0</v>
      </c>
      <c r="K6" s="132">
        <f>IF(SER_hh_tes!K6=0,0,11630*1000*SER_hh_tes!K6/SER_hh_num!K6)</f>
        <v>0</v>
      </c>
      <c r="L6" s="132">
        <f>IF(SER_hh_tes!L6=0,0,11630*1000*SER_hh_tes!L6/SER_hh_num!L6)</f>
        <v>0</v>
      </c>
      <c r="M6" s="132">
        <f>IF(SER_hh_tes!M6=0,0,11630*1000*SER_hh_tes!M6/SER_hh_num!M6)</f>
        <v>0</v>
      </c>
      <c r="N6" s="132">
        <f>IF(SER_hh_tes!N6=0,0,11630*1000*SER_hh_tes!N6/SER_hh_num!N6)</f>
        <v>0</v>
      </c>
      <c r="O6" s="132">
        <f>IF(SER_hh_tes!O6=0,0,11630*1000*SER_hh_tes!O6/SER_hh_num!O6)</f>
        <v>0</v>
      </c>
      <c r="P6" s="132">
        <f>IF(SER_hh_tes!P6=0,0,11630*1000*SER_hh_tes!P6/SER_hh_num!P6)</f>
        <v>0</v>
      </c>
      <c r="Q6" s="132">
        <f>IF(SER_hh_tes!Q6=0,0,11630*1000*SER_hh_tes!Q6/SER_hh_num!Q6)</f>
        <v>0</v>
      </c>
      <c r="R6" s="132">
        <f>IF(SER_hh_tes!R6=0,0,11630*1000*SER_hh_tes!R6/SER_hh_num!R6)</f>
        <v>0</v>
      </c>
      <c r="S6" s="132">
        <f>IF(SER_hh_tes!S6=0,0,11630*1000*SER_hh_tes!S6/SER_hh_num!S6)</f>
        <v>0</v>
      </c>
      <c r="T6" s="132">
        <f>IF(SER_hh_tes!T6=0,0,11630*1000*SER_hh_tes!T6/SER_hh_num!T6)</f>
        <v>0</v>
      </c>
      <c r="U6" s="132">
        <f>IF(SER_hh_tes!U6=0,0,11630*1000*SER_hh_tes!U6/SER_hh_num!U6)</f>
        <v>0</v>
      </c>
      <c r="V6" s="132">
        <f>IF(SER_hh_tes!V6=0,0,11630*1000*SER_hh_tes!V6/SER_hh_num!V6)</f>
        <v>0</v>
      </c>
      <c r="W6" s="132">
        <f>IF(SER_hh_tes!W6=0,0,11630*1000*SER_hh_tes!W6/SER_hh_num!W6)</f>
        <v>0</v>
      </c>
      <c r="X6" s="132">
        <f>IF(SER_hh_tes!X6=0,0,11630*1000*SER_hh_tes!X6/SER_hh_num!X6)</f>
        <v>0</v>
      </c>
      <c r="Y6" s="132">
        <f>IF(SER_hh_tes!Y6=0,0,11630*1000*SER_hh_tes!Y6/SER_hh_num!Y6)</f>
        <v>0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96651.972567555757</v>
      </c>
      <c r="C7" s="132">
        <f>IF(SER_hh_tes!C7=0,0,11630*1000*SER_hh_tes!C7/SER_hh_num!C7)</f>
        <v>35880.935835421275</v>
      </c>
      <c r="D7" s="132">
        <f>IF(SER_hh_tes!D7=0,0,11630*1000*SER_hh_tes!D7/SER_hh_num!D7)</f>
        <v>94344.683841351158</v>
      </c>
      <c r="E7" s="132">
        <f>IF(SER_hh_tes!E7=0,0,11630*1000*SER_hh_tes!E7/SER_hh_num!E7)</f>
        <v>74627.252594299091</v>
      </c>
      <c r="F7" s="132">
        <f>IF(SER_hh_tes!F7=0,0,11630*1000*SER_hh_tes!F7/SER_hh_num!F7)</f>
        <v>80926.321139799678</v>
      </c>
      <c r="G7" s="132">
        <f>IF(SER_hh_tes!G7=0,0,11630*1000*SER_hh_tes!G7/SER_hh_num!G7)</f>
        <v>55629.364909163451</v>
      </c>
      <c r="H7" s="132">
        <f>IF(SER_hh_tes!H7=0,0,11630*1000*SER_hh_tes!H7/SER_hh_num!H7)</f>
        <v>59917.888820282344</v>
      </c>
      <c r="I7" s="132">
        <f>IF(SER_hh_tes!I7=0,0,11630*1000*SER_hh_tes!I7/SER_hh_num!I7)</f>
        <v>56452.822302568406</v>
      </c>
      <c r="J7" s="132">
        <f>IF(SER_hh_tes!J7=0,0,11630*1000*SER_hh_tes!J7/SER_hh_num!J7)</f>
        <v>58470.674822076246</v>
      </c>
      <c r="K7" s="132">
        <f>IF(SER_hh_tes!K7=0,0,11630*1000*SER_hh_tes!K7/SER_hh_num!K7)</f>
        <v>46091.290957717407</v>
      </c>
      <c r="L7" s="132">
        <f>IF(SER_hh_tes!L7=0,0,11630*1000*SER_hh_tes!L7/SER_hh_num!L7)</f>
        <v>58484.363093360604</v>
      </c>
      <c r="M7" s="132">
        <f>IF(SER_hh_tes!M7=0,0,11630*1000*SER_hh_tes!M7/SER_hh_num!M7)</f>
        <v>43201.67601817895</v>
      </c>
      <c r="N7" s="132">
        <f>IF(SER_hh_tes!N7=0,0,11630*1000*SER_hh_tes!N7/SER_hh_num!N7)</f>
        <v>63721.665806336234</v>
      </c>
      <c r="O7" s="132">
        <f>IF(SER_hh_tes!O7=0,0,11630*1000*SER_hh_tes!O7/SER_hh_num!O7)</f>
        <v>48110.190225616381</v>
      </c>
      <c r="P7" s="132">
        <f>IF(SER_hh_tes!P7=0,0,11630*1000*SER_hh_tes!P7/SER_hh_num!P7)</f>
        <v>31058.477338628774</v>
      </c>
      <c r="Q7" s="132">
        <f>IF(SER_hh_tes!Q7=0,0,11630*1000*SER_hh_tes!Q7/SER_hh_num!Q7)</f>
        <v>55693.426374996045</v>
      </c>
      <c r="R7" s="132">
        <f>IF(SER_hh_tes!R7=0,0,11630*1000*SER_hh_tes!R7/SER_hh_num!R7)</f>
        <v>52333.410658734036</v>
      </c>
      <c r="S7" s="132">
        <f>IF(SER_hh_tes!S7=0,0,11630*1000*SER_hh_tes!S7/SER_hh_num!S7)</f>
        <v>54922.982757633581</v>
      </c>
      <c r="T7" s="132">
        <f>IF(SER_hh_tes!T7=0,0,11630*1000*SER_hh_tes!T7/SER_hh_num!T7)</f>
        <v>41005.537114004685</v>
      </c>
      <c r="U7" s="132">
        <f>IF(SER_hh_tes!U7=0,0,11630*1000*SER_hh_tes!U7/SER_hh_num!U7)</f>
        <v>40309.298109792115</v>
      </c>
      <c r="V7" s="132">
        <f>IF(SER_hh_tes!V7=0,0,11630*1000*SER_hh_tes!V7/SER_hh_num!V7)</f>
        <v>46080.839783434538</v>
      </c>
      <c r="W7" s="132">
        <f>IF(SER_hh_tes!W7=0,0,11630*1000*SER_hh_tes!W7/SER_hh_num!W7)</f>
        <v>52600.839598774983</v>
      </c>
      <c r="X7" s="132">
        <f>IF(SER_hh_tes!X7=0,0,11630*1000*SER_hh_tes!X7/SER_hh_num!X7)</f>
        <v>39044.019412979702</v>
      </c>
      <c r="Y7" s="132">
        <f>IF(SER_hh_tes!Y7=0,0,11630*1000*SER_hh_tes!Y7/SER_hh_num!Y7)</f>
        <v>43712.045203200389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0</v>
      </c>
      <c r="C8" s="132">
        <f>IF(SER_hh_tes!C8=0,0,11630*1000*SER_hh_tes!C8/SER_hh_num!C8)</f>
        <v>0</v>
      </c>
      <c r="D8" s="132">
        <f>IF(SER_hh_tes!D8=0,0,11630*1000*SER_hh_tes!D8/SER_hh_num!D8)</f>
        <v>0</v>
      </c>
      <c r="E8" s="132">
        <f>IF(SER_hh_tes!E8=0,0,11630*1000*SER_hh_tes!E8/SER_hh_num!E8)</f>
        <v>0</v>
      </c>
      <c r="F8" s="132">
        <f>IF(SER_hh_tes!F8=0,0,11630*1000*SER_hh_tes!F8/SER_hh_num!F8)</f>
        <v>0</v>
      </c>
      <c r="G8" s="132">
        <f>IF(SER_hh_tes!G8=0,0,11630*1000*SER_hh_tes!G8/SER_hh_num!G8)</f>
        <v>36284.259895499621</v>
      </c>
      <c r="H8" s="132">
        <f>IF(SER_hh_tes!H8=0,0,11630*1000*SER_hh_tes!H8/SER_hh_num!H8)</f>
        <v>42993.756247785401</v>
      </c>
      <c r="I8" s="132">
        <f>IF(SER_hh_tes!I8=0,0,11630*1000*SER_hh_tes!I8/SER_hh_num!I8)</f>
        <v>49048.830760430043</v>
      </c>
      <c r="J8" s="132">
        <f>IF(SER_hh_tes!J8=0,0,11630*1000*SER_hh_tes!J8/SER_hh_num!J8)</f>
        <v>55864.127630652802</v>
      </c>
      <c r="K8" s="132">
        <f>IF(SER_hh_tes!K8=0,0,11630*1000*SER_hh_tes!K8/SER_hh_num!K8)</f>
        <v>53251.156621419294</v>
      </c>
      <c r="L8" s="132">
        <f>IF(SER_hh_tes!L8=0,0,11630*1000*SER_hh_tes!L8/SER_hh_num!L8)</f>
        <v>47224.542285016789</v>
      </c>
      <c r="M8" s="132">
        <f>IF(SER_hh_tes!M8=0,0,11630*1000*SER_hh_tes!M8/SER_hh_num!M8)</f>
        <v>44976.327867479376</v>
      </c>
      <c r="N8" s="132">
        <f>IF(SER_hh_tes!N8=0,0,11630*1000*SER_hh_tes!N8/SER_hh_num!N8)</f>
        <v>40599.152021102142</v>
      </c>
      <c r="O8" s="132">
        <f>IF(SER_hh_tes!O8=0,0,11630*1000*SER_hh_tes!O8/SER_hh_num!O8)</f>
        <v>46491.344302736085</v>
      </c>
      <c r="P8" s="132">
        <f>IF(SER_hh_tes!P8=0,0,11630*1000*SER_hh_tes!P8/SER_hh_num!P8)</f>
        <v>52320.645033744542</v>
      </c>
      <c r="Q8" s="132">
        <f>IF(SER_hh_tes!Q8=0,0,11630*1000*SER_hh_tes!Q8/SER_hh_num!Q8)</f>
        <v>49679.514717902646</v>
      </c>
      <c r="R8" s="132">
        <f>IF(SER_hh_tes!R8=0,0,11630*1000*SER_hh_tes!R8/SER_hh_num!R8)</f>
        <v>49213.285725000846</v>
      </c>
      <c r="S8" s="132">
        <f>IF(SER_hh_tes!S8=0,0,11630*1000*SER_hh_tes!S8/SER_hh_num!S8)</f>
        <v>48630.752645822737</v>
      </c>
      <c r="T8" s="132">
        <f>IF(SER_hh_tes!T8=0,0,11630*1000*SER_hh_tes!T8/SER_hh_num!T8)</f>
        <v>48091.594210813884</v>
      </c>
      <c r="U8" s="132">
        <f>IF(SER_hh_tes!U8=0,0,11630*1000*SER_hh_tes!U8/SER_hh_num!U8)</f>
        <v>49297.322127635336</v>
      </c>
      <c r="V8" s="132">
        <f>IF(SER_hh_tes!V8=0,0,11630*1000*SER_hh_tes!V8/SER_hh_num!V8)</f>
        <v>47742.719191815071</v>
      </c>
      <c r="W8" s="132">
        <f>IF(SER_hh_tes!W8=0,0,11630*1000*SER_hh_tes!W8/SER_hh_num!W8)</f>
        <v>47566.733296602484</v>
      </c>
      <c r="X8" s="132">
        <f>IF(SER_hh_tes!X8=0,0,11630*1000*SER_hh_tes!X8/SER_hh_num!X8)</f>
        <v>44511.102814536098</v>
      </c>
      <c r="Y8" s="132">
        <f>IF(SER_hh_tes!Y8=0,0,11630*1000*SER_hh_tes!Y8/SER_hh_num!Y8)</f>
        <v>42274.725538998027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76669.312487114279</v>
      </c>
      <c r="C9" s="132">
        <f>IF(SER_hh_tes!C9=0,0,11630*1000*SER_hh_tes!C9/SER_hh_num!C9)</f>
        <v>85879.473504315363</v>
      </c>
      <c r="D9" s="132">
        <f>IF(SER_hh_tes!D9=0,0,11630*1000*SER_hh_tes!D9/SER_hh_num!D9)</f>
        <v>75811.443570039381</v>
      </c>
      <c r="E9" s="132">
        <f>IF(SER_hh_tes!E9=0,0,11630*1000*SER_hh_tes!E9/SER_hh_num!E9)</f>
        <v>75331.71000572131</v>
      </c>
      <c r="F9" s="132">
        <f>IF(SER_hh_tes!F9=0,0,11630*1000*SER_hh_tes!F9/SER_hh_num!F9)</f>
        <v>69737.131270266342</v>
      </c>
      <c r="G9" s="132">
        <f>IF(SER_hh_tes!G9=0,0,11630*1000*SER_hh_tes!G9/SER_hh_num!G9)</f>
        <v>65615.093314938</v>
      </c>
      <c r="H9" s="132">
        <f>IF(SER_hh_tes!H9=0,0,11630*1000*SER_hh_tes!H9/SER_hh_num!H9)</f>
        <v>57493.308206956819</v>
      </c>
      <c r="I9" s="132">
        <f>IF(SER_hh_tes!I9=0,0,11630*1000*SER_hh_tes!I9/SER_hh_num!I9)</f>
        <v>52179.570370056019</v>
      </c>
      <c r="J9" s="132">
        <f>IF(SER_hh_tes!J9=0,0,11630*1000*SER_hh_tes!J9/SER_hh_num!J9)</f>
        <v>56672.54077707127</v>
      </c>
      <c r="K9" s="132">
        <f>IF(SER_hh_tes!K9=0,0,11630*1000*SER_hh_tes!K9/SER_hh_num!K9)</f>
        <v>51660.9960266325</v>
      </c>
      <c r="L9" s="132">
        <f>IF(SER_hh_tes!L9=0,0,11630*1000*SER_hh_tes!L9/SER_hh_num!L9)</f>
        <v>55764.018788810958</v>
      </c>
      <c r="M9" s="132">
        <f>IF(SER_hh_tes!M9=0,0,11630*1000*SER_hh_tes!M9/SER_hh_num!M9)</f>
        <v>53796.45171038813</v>
      </c>
      <c r="N9" s="132">
        <f>IF(SER_hh_tes!N9=0,0,11630*1000*SER_hh_tes!N9/SER_hh_num!N9)</f>
        <v>50753.110690583911</v>
      </c>
      <c r="O9" s="132">
        <f>IF(SER_hh_tes!O9=0,0,11630*1000*SER_hh_tes!O9/SER_hh_num!O9)</f>
        <v>48976.34036545956</v>
      </c>
      <c r="P9" s="132">
        <f>IF(SER_hh_tes!P9=0,0,11630*1000*SER_hh_tes!P9/SER_hh_num!P9)</f>
        <v>47098.694783412284</v>
      </c>
      <c r="Q9" s="132">
        <f>IF(SER_hh_tes!Q9=0,0,11630*1000*SER_hh_tes!Q9/SER_hh_num!Q9)</f>
        <v>46526.74090150246</v>
      </c>
      <c r="R9" s="132">
        <f>IF(SER_hh_tes!R9=0,0,11630*1000*SER_hh_tes!R9/SER_hh_num!R9)</f>
        <v>47890.21082860278</v>
      </c>
      <c r="S9" s="132">
        <f>IF(SER_hh_tes!S9=0,0,11630*1000*SER_hh_tes!S9/SER_hh_num!S9)</f>
        <v>51387.641051843624</v>
      </c>
      <c r="T9" s="132">
        <f>IF(SER_hh_tes!T9=0,0,11630*1000*SER_hh_tes!T9/SER_hh_num!T9)</f>
        <v>47667.33004521612</v>
      </c>
      <c r="U9" s="132">
        <f>IF(SER_hh_tes!U9=0,0,11630*1000*SER_hh_tes!U9/SER_hh_num!U9)</f>
        <v>50953.636908957436</v>
      </c>
      <c r="V9" s="132">
        <f>IF(SER_hh_tes!V9=0,0,11630*1000*SER_hh_tes!V9/SER_hh_num!V9)</f>
        <v>48042.944511876136</v>
      </c>
      <c r="W9" s="132">
        <f>IF(SER_hh_tes!W9=0,0,11630*1000*SER_hh_tes!W9/SER_hh_num!W9)</f>
        <v>46783.127911143274</v>
      </c>
      <c r="X9" s="132">
        <f>IF(SER_hh_tes!X9=0,0,11630*1000*SER_hh_tes!X9/SER_hh_num!X9)</f>
        <v>43635.236779988278</v>
      </c>
      <c r="Y9" s="132">
        <f>IF(SER_hh_tes!Y9=0,0,11630*1000*SER_hh_tes!Y9/SER_hh_num!Y9)</f>
        <v>39665.766309281629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61669.673891493207</v>
      </c>
      <c r="C10" s="132">
        <f>IF(SER_hh_tes!C10=0,0,11630*1000*SER_hh_tes!C10/SER_hh_num!C10)</f>
        <v>88576.137058767184</v>
      </c>
      <c r="D10" s="132">
        <f>IF(SER_hh_tes!D10=0,0,11630*1000*SER_hh_tes!D10/SER_hh_num!D10)</f>
        <v>70582.148717161006</v>
      </c>
      <c r="E10" s="132">
        <f>IF(SER_hh_tes!E10=0,0,11630*1000*SER_hh_tes!E10/SER_hh_num!E10)</f>
        <v>79096.434606063005</v>
      </c>
      <c r="F10" s="132">
        <f>IF(SER_hh_tes!F10=0,0,11630*1000*SER_hh_tes!F10/SER_hh_num!F10)</f>
        <v>73129.658731453485</v>
      </c>
      <c r="G10" s="132">
        <f>IF(SER_hh_tes!G10=0,0,11630*1000*SER_hh_tes!G10/SER_hh_num!G10)</f>
        <v>66251.920881438185</v>
      </c>
      <c r="H10" s="132">
        <f>IF(SER_hh_tes!H10=0,0,11630*1000*SER_hh_tes!H10/SER_hh_num!H10)</f>
        <v>52102.159101435456</v>
      </c>
      <c r="I10" s="132">
        <f>IF(SER_hh_tes!I10=0,0,11630*1000*SER_hh_tes!I10/SER_hh_num!I10)</f>
        <v>67293.906483284212</v>
      </c>
      <c r="J10" s="132">
        <f>IF(SER_hh_tes!J10=0,0,11630*1000*SER_hh_tes!J10/SER_hh_num!J10)</f>
        <v>52384.051245322022</v>
      </c>
      <c r="K10" s="132">
        <f>IF(SER_hh_tes!K10=0,0,11630*1000*SER_hh_tes!K10/SER_hh_num!K10)</f>
        <v>45176.729923376071</v>
      </c>
      <c r="L10" s="132">
        <f>IF(SER_hh_tes!L10=0,0,11630*1000*SER_hh_tes!L10/SER_hh_num!L10)</f>
        <v>58324.464618731901</v>
      </c>
      <c r="M10" s="132">
        <f>IF(SER_hh_tes!M10=0,0,11630*1000*SER_hh_tes!M10/SER_hh_num!M10)</f>
        <v>54083.783635492837</v>
      </c>
      <c r="N10" s="132">
        <f>IF(SER_hh_tes!N10=0,0,11630*1000*SER_hh_tes!N10/SER_hh_num!N10)</f>
        <v>50536.04548989531</v>
      </c>
      <c r="O10" s="132">
        <f>IF(SER_hh_tes!O10=0,0,11630*1000*SER_hh_tes!O10/SER_hh_num!O10)</f>
        <v>50951.976891578342</v>
      </c>
      <c r="P10" s="132">
        <f>IF(SER_hh_tes!P10=0,0,11630*1000*SER_hh_tes!P10/SER_hh_num!P10)</f>
        <v>46914.809576458661</v>
      </c>
      <c r="Q10" s="132">
        <f>IF(SER_hh_tes!Q10=0,0,11630*1000*SER_hh_tes!Q10/SER_hh_num!Q10)</f>
        <v>50629.34171804817</v>
      </c>
      <c r="R10" s="132">
        <f>IF(SER_hh_tes!R10=0,0,11630*1000*SER_hh_tes!R10/SER_hh_num!R10)</f>
        <v>48821.262240755423</v>
      </c>
      <c r="S10" s="132">
        <f>IF(SER_hh_tes!S10=0,0,11630*1000*SER_hh_tes!S10/SER_hh_num!S10)</f>
        <v>47785.728706586771</v>
      </c>
      <c r="T10" s="132">
        <f>IF(SER_hh_tes!T10=0,0,11630*1000*SER_hh_tes!T10/SER_hh_num!T10)</f>
        <v>49474.607475217155</v>
      </c>
      <c r="U10" s="132">
        <f>IF(SER_hh_tes!U10=0,0,11630*1000*SER_hh_tes!U10/SER_hh_num!U10)</f>
        <v>50687.740247015114</v>
      </c>
      <c r="V10" s="132">
        <f>IF(SER_hh_tes!V10=0,0,11630*1000*SER_hh_tes!V10/SER_hh_num!V10)</f>
        <v>46977.552452124415</v>
      </c>
      <c r="W10" s="132">
        <f>IF(SER_hh_tes!W10=0,0,11630*1000*SER_hh_tes!W10/SER_hh_num!W10)</f>
        <v>48208.279286480341</v>
      </c>
      <c r="X10" s="132">
        <f>IF(SER_hh_tes!X10=0,0,11630*1000*SER_hh_tes!X10/SER_hh_num!X10)</f>
        <v>46319.343971201874</v>
      </c>
      <c r="Y10" s="132">
        <f>IF(SER_hh_tes!Y10=0,0,11630*1000*SER_hh_tes!Y10/SER_hh_num!Y10)</f>
        <v>39311.065325433585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0</v>
      </c>
      <c r="C11" s="132">
        <f>IF(SER_hh_tes!C11=0,0,11630*1000*SER_hh_tes!C11/SER_hh_num!C11)</f>
        <v>0</v>
      </c>
      <c r="D11" s="132">
        <f>IF(SER_hh_tes!D11=0,0,11630*1000*SER_hh_tes!D11/SER_hh_num!D11)</f>
        <v>0</v>
      </c>
      <c r="E11" s="132">
        <f>IF(SER_hh_tes!E11=0,0,11630*1000*SER_hh_tes!E11/SER_hh_num!E11)</f>
        <v>0</v>
      </c>
      <c r="F11" s="132">
        <f>IF(SER_hh_tes!F11=0,0,11630*1000*SER_hh_tes!F11/SER_hh_num!F11)</f>
        <v>0</v>
      </c>
      <c r="G11" s="132">
        <f>IF(SER_hh_tes!G11=0,0,11630*1000*SER_hh_tes!G11/SER_hh_num!G11)</f>
        <v>0</v>
      </c>
      <c r="H11" s="132">
        <f>IF(SER_hh_tes!H11=0,0,11630*1000*SER_hh_tes!H11/SER_hh_num!H11)</f>
        <v>0</v>
      </c>
      <c r="I11" s="132">
        <f>IF(SER_hh_tes!I11=0,0,11630*1000*SER_hh_tes!I11/SER_hh_num!I11)</f>
        <v>0</v>
      </c>
      <c r="J11" s="132">
        <f>IF(SER_hh_tes!J11=0,0,11630*1000*SER_hh_tes!J11/SER_hh_num!J11)</f>
        <v>0</v>
      </c>
      <c r="K11" s="132">
        <f>IF(SER_hh_tes!K11=0,0,11630*1000*SER_hh_tes!K11/SER_hh_num!K11)</f>
        <v>0</v>
      </c>
      <c r="L11" s="132">
        <f>IF(SER_hh_tes!L11=0,0,11630*1000*SER_hh_tes!L11/SER_hh_num!L11)</f>
        <v>0</v>
      </c>
      <c r="M11" s="132">
        <f>IF(SER_hh_tes!M11=0,0,11630*1000*SER_hh_tes!M11/SER_hh_num!M11)</f>
        <v>0</v>
      </c>
      <c r="N11" s="132">
        <f>IF(SER_hh_tes!N11=0,0,11630*1000*SER_hh_tes!N11/SER_hh_num!N11)</f>
        <v>0</v>
      </c>
      <c r="O11" s="132">
        <f>IF(SER_hh_tes!O11=0,0,11630*1000*SER_hh_tes!O11/SER_hh_num!O11)</f>
        <v>0</v>
      </c>
      <c r="P11" s="132">
        <f>IF(SER_hh_tes!P11=0,0,11630*1000*SER_hh_tes!P11/SER_hh_num!P11)</f>
        <v>0</v>
      </c>
      <c r="Q11" s="132">
        <f>IF(SER_hh_tes!Q11=0,0,11630*1000*SER_hh_tes!Q11/SER_hh_num!Q11)</f>
        <v>0</v>
      </c>
      <c r="R11" s="132">
        <f>IF(SER_hh_tes!R11=0,0,11630*1000*SER_hh_tes!R11/SER_hh_num!R11)</f>
        <v>0</v>
      </c>
      <c r="S11" s="132">
        <f>IF(SER_hh_tes!S11=0,0,11630*1000*SER_hh_tes!S11/SER_hh_num!S11)</f>
        <v>0</v>
      </c>
      <c r="T11" s="132">
        <f>IF(SER_hh_tes!T11=0,0,11630*1000*SER_hh_tes!T11/SER_hh_num!T11)</f>
        <v>0</v>
      </c>
      <c r="U11" s="132">
        <f>IF(SER_hh_tes!U11=0,0,11630*1000*SER_hh_tes!U11/SER_hh_num!U11)</f>
        <v>0</v>
      </c>
      <c r="V11" s="132">
        <f>IF(SER_hh_tes!V11=0,0,11630*1000*SER_hh_tes!V11/SER_hh_num!V11)</f>
        <v>0</v>
      </c>
      <c r="W11" s="132">
        <f>IF(SER_hh_tes!W11=0,0,11630*1000*SER_hh_tes!W11/SER_hh_num!W11)</f>
        <v>0</v>
      </c>
      <c r="X11" s="132">
        <f>IF(SER_hh_tes!X11=0,0,11630*1000*SER_hh_tes!X11/SER_hh_num!X11)</f>
        <v>0</v>
      </c>
      <c r="Y11" s="132">
        <f>IF(SER_hh_tes!Y11=0,0,11630*1000*SER_hh_tes!Y11/SER_hh_num!Y11)</f>
        <v>0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79925.062077891227</v>
      </c>
      <c r="C12" s="132">
        <f>IF(SER_hh_tes!C12=0,0,11630*1000*SER_hh_tes!C12/SER_hh_num!C12)</f>
        <v>82264.121393185167</v>
      </c>
      <c r="D12" s="132">
        <f>IF(SER_hh_tes!D12=0,0,11630*1000*SER_hh_tes!D12/SER_hh_num!D12)</f>
        <v>75690.543392174513</v>
      </c>
      <c r="E12" s="132">
        <f>IF(SER_hh_tes!E12=0,0,11630*1000*SER_hh_tes!E12/SER_hh_num!E12)</f>
        <v>74731.310140112502</v>
      </c>
      <c r="F12" s="132">
        <f>IF(SER_hh_tes!F12=0,0,11630*1000*SER_hh_tes!F12/SER_hh_num!F12)</f>
        <v>74733.42371144575</v>
      </c>
      <c r="G12" s="132">
        <f>IF(SER_hh_tes!G12=0,0,11630*1000*SER_hh_tes!G12/SER_hh_num!G12)</f>
        <v>71938.843702197191</v>
      </c>
      <c r="H12" s="132">
        <f>IF(SER_hh_tes!H12=0,0,11630*1000*SER_hh_tes!H12/SER_hh_num!H12)</f>
        <v>57369.085309710194</v>
      </c>
      <c r="I12" s="132">
        <f>IF(SER_hh_tes!I12=0,0,11630*1000*SER_hh_tes!I12/SER_hh_num!I12)</f>
        <v>52323.824563272305</v>
      </c>
      <c r="J12" s="132">
        <f>IF(SER_hh_tes!J12=0,0,11630*1000*SER_hh_tes!J12/SER_hh_num!J12)</f>
        <v>53273.24420551792</v>
      </c>
      <c r="K12" s="132">
        <f>IF(SER_hh_tes!K12=0,0,11630*1000*SER_hh_tes!K12/SER_hh_num!K12)</f>
        <v>49153.685710902224</v>
      </c>
      <c r="L12" s="132">
        <f>IF(SER_hh_tes!L12=0,0,11630*1000*SER_hh_tes!L12/SER_hh_num!L12)</f>
        <v>60765.480598350048</v>
      </c>
      <c r="M12" s="132">
        <f>IF(SER_hh_tes!M12=0,0,11630*1000*SER_hh_tes!M12/SER_hh_num!M12)</f>
        <v>54641.040701137019</v>
      </c>
      <c r="N12" s="132">
        <f>IF(SER_hh_tes!N12=0,0,11630*1000*SER_hh_tes!N12/SER_hh_num!N12)</f>
        <v>52072.239314004059</v>
      </c>
      <c r="O12" s="132">
        <f>IF(SER_hh_tes!O12=0,0,11630*1000*SER_hh_tes!O12/SER_hh_num!O12)</f>
        <v>49911.108176921771</v>
      </c>
      <c r="P12" s="132">
        <f>IF(SER_hh_tes!P12=0,0,11630*1000*SER_hh_tes!P12/SER_hh_num!P12)</f>
        <v>46733.322859375388</v>
      </c>
      <c r="Q12" s="132">
        <f>IF(SER_hh_tes!Q12=0,0,11630*1000*SER_hh_tes!Q12/SER_hh_num!Q12)</f>
        <v>47322.087831680765</v>
      </c>
      <c r="R12" s="132">
        <f>IF(SER_hh_tes!R12=0,0,11630*1000*SER_hh_tes!R12/SER_hh_num!R12)</f>
        <v>49222.550225848914</v>
      </c>
      <c r="S12" s="132">
        <f>IF(SER_hh_tes!S12=0,0,11630*1000*SER_hh_tes!S12/SER_hh_num!S12)</f>
        <v>50235.750259029985</v>
      </c>
      <c r="T12" s="132">
        <f>IF(SER_hh_tes!T12=0,0,11630*1000*SER_hh_tes!T12/SER_hh_num!T12)</f>
        <v>50741.756567357341</v>
      </c>
      <c r="U12" s="132">
        <f>IF(SER_hh_tes!U12=0,0,11630*1000*SER_hh_tes!U12/SER_hh_num!U12)</f>
        <v>49262.107422940979</v>
      </c>
      <c r="V12" s="132">
        <f>IF(SER_hh_tes!V12=0,0,11630*1000*SER_hh_tes!V12/SER_hh_num!V12)</f>
        <v>46448.275244524528</v>
      </c>
      <c r="W12" s="132">
        <f>IF(SER_hh_tes!W12=0,0,11630*1000*SER_hh_tes!W12/SER_hh_num!W12)</f>
        <v>48061.979794791216</v>
      </c>
      <c r="X12" s="132">
        <f>IF(SER_hh_tes!X12=0,0,11630*1000*SER_hh_tes!X12/SER_hh_num!X12)</f>
        <v>44776.791800722778</v>
      </c>
      <c r="Y12" s="132">
        <f>IF(SER_hh_tes!Y12=0,0,11630*1000*SER_hh_tes!Y12/SER_hh_num!Y12)</f>
        <v>41095.797129567996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65876.211636942913</v>
      </c>
      <c r="C13" s="132">
        <f>IF(SER_hh_tes!C13=0,0,11630*1000*SER_hh_tes!C13/SER_hh_num!C13)</f>
        <v>69399.358051846764</v>
      </c>
      <c r="D13" s="132">
        <f>IF(SER_hh_tes!D13=0,0,11630*1000*SER_hh_tes!D13/SER_hh_num!D13)</f>
        <v>77547.13924511084</v>
      </c>
      <c r="E13" s="132">
        <f>IF(SER_hh_tes!E13=0,0,11630*1000*SER_hh_tes!E13/SER_hh_num!E13)</f>
        <v>76671.792380956031</v>
      </c>
      <c r="F13" s="132">
        <f>IF(SER_hh_tes!F13=0,0,11630*1000*SER_hh_tes!F13/SER_hh_num!F13)</f>
        <v>70648.051113783586</v>
      </c>
      <c r="G13" s="132">
        <f>IF(SER_hh_tes!G13=0,0,11630*1000*SER_hh_tes!G13/SER_hh_num!G13)</f>
        <v>59758.160017818802</v>
      </c>
      <c r="H13" s="132">
        <f>IF(SER_hh_tes!H13=0,0,11630*1000*SER_hh_tes!H13/SER_hh_num!H13)</f>
        <v>57188.375716515475</v>
      </c>
      <c r="I13" s="132">
        <f>IF(SER_hh_tes!I13=0,0,11630*1000*SER_hh_tes!I13/SER_hh_num!I13)</f>
        <v>54858.394850159748</v>
      </c>
      <c r="J13" s="132">
        <f>IF(SER_hh_tes!J13=0,0,11630*1000*SER_hh_tes!J13/SER_hh_num!J13)</f>
        <v>53822.152982787935</v>
      </c>
      <c r="K13" s="132">
        <f>IF(SER_hh_tes!K13=0,0,11630*1000*SER_hh_tes!K13/SER_hh_num!K13)</f>
        <v>53421.119130593419</v>
      </c>
      <c r="L13" s="132">
        <f>IF(SER_hh_tes!L13=0,0,11630*1000*SER_hh_tes!L13/SER_hh_num!L13)</f>
        <v>54815.027495057708</v>
      </c>
      <c r="M13" s="132">
        <f>IF(SER_hh_tes!M13=0,0,11630*1000*SER_hh_tes!M13/SER_hh_num!M13)</f>
        <v>53529.257276664968</v>
      </c>
      <c r="N13" s="132">
        <f>IF(SER_hh_tes!N13=0,0,11630*1000*SER_hh_tes!N13/SER_hh_num!N13)</f>
        <v>52254.445045852663</v>
      </c>
      <c r="O13" s="132">
        <f>IF(SER_hh_tes!O13=0,0,11630*1000*SER_hh_tes!O13/SER_hh_num!O13)</f>
        <v>50050.681392527382</v>
      </c>
      <c r="P13" s="132">
        <f>IF(SER_hh_tes!P13=0,0,11630*1000*SER_hh_tes!P13/SER_hh_num!P13)</f>
        <v>47531.337221476315</v>
      </c>
      <c r="Q13" s="132">
        <f>IF(SER_hh_tes!Q13=0,0,11630*1000*SER_hh_tes!Q13/SER_hh_num!Q13)</f>
        <v>47334.392488460951</v>
      </c>
      <c r="R13" s="132">
        <f>IF(SER_hh_tes!R13=0,0,11630*1000*SER_hh_tes!R13/SER_hh_num!R13)</f>
        <v>48293.42853609578</v>
      </c>
      <c r="S13" s="132">
        <f>IF(SER_hh_tes!S13=0,0,11630*1000*SER_hh_tes!S13/SER_hh_num!S13)</f>
        <v>49506.645259737488</v>
      </c>
      <c r="T13" s="132">
        <f>IF(SER_hh_tes!T13=0,0,11630*1000*SER_hh_tes!T13/SER_hh_num!T13)</f>
        <v>49498.996643243263</v>
      </c>
      <c r="U13" s="132">
        <f>IF(SER_hh_tes!U13=0,0,11630*1000*SER_hh_tes!U13/SER_hh_num!U13)</f>
        <v>49463.676381100522</v>
      </c>
      <c r="V13" s="132">
        <f>IF(SER_hh_tes!V13=0,0,11630*1000*SER_hh_tes!V13/SER_hh_num!V13)</f>
        <v>46111.324882373978</v>
      </c>
      <c r="W13" s="132">
        <f>IF(SER_hh_tes!W13=0,0,11630*1000*SER_hh_tes!W13/SER_hh_num!W13)</f>
        <v>41337.829204208501</v>
      </c>
      <c r="X13" s="132">
        <f>IF(SER_hh_tes!X13=0,0,11630*1000*SER_hh_tes!X13/SER_hh_num!X13)</f>
        <v>45404.040094660915</v>
      </c>
      <c r="Y13" s="132">
        <f>IF(SER_hh_tes!Y13=0,0,11630*1000*SER_hh_tes!Y13/SER_hh_num!Y13)</f>
        <v>44043.273469983418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81879.631445343708</v>
      </c>
      <c r="C14" s="65">
        <f>IF(SER_hh_tes!C14=0,0,11630*1000*SER_hh_tes!C14/SER_hh_num!C14)</f>
        <v>81752.523698434539</v>
      </c>
      <c r="D14" s="65">
        <f>IF(SER_hh_tes!D14=0,0,11630*1000*SER_hh_tes!D14/SER_hh_num!D14)</f>
        <v>75644.885579055466</v>
      </c>
      <c r="E14" s="65">
        <f>IF(SER_hh_tes!E14=0,0,11630*1000*SER_hh_tes!E14/SER_hh_num!E14)</f>
        <v>91289.592695175306</v>
      </c>
      <c r="F14" s="65">
        <f>IF(SER_hh_tes!F14=0,0,11630*1000*SER_hh_tes!F14/SER_hh_num!F14)</f>
        <v>63130.303235201958</v>
      </c>
      <c r="G14" s="65">
        <f>IF(SER_hh_tes!G14=0,0,11630*1000*SER_hh_tes!G14/SER_hh_num!G14)</f>
        <v>61506.776747120224</v>
      </c>
      <c r="H14" s="65">
        <f>IF(SER_hh_tes!H14=0,0,11630*1000*SER_hh_tes!H14/SER_hh_num!H14)</f>
        <v>59014.699064366498</v>
      </c>
      <c r="I14" s="65">
        <f>IF(SER_hh_tes!I14=0,0,11630*1000*SER_hh_tes!I14/SER_hh_num!I14)</f>
        <v>54951.807916547252</v>
      </c>
      <c r="J14" s="65">
        <f>IF(SER_hh_tes!J14=0,0,11630*1000*SER_hh_tes!J14/SER_hh_num!J14)</f>
        <v>56676.972350678552</v>
      </c>
      <c r="K14" s="65">
        <f>IF(SER_hh_tes!K14=0,0,11630*1000*SER_hh_tes!K14/SER_hh_num!K14)</f>
        <v>53257.166189333635</v>
      </c>
      <c r="L14" s="65">
        <f>IF(SER_hh_tes!L14=0,0,11630*1000*SER_hh_tes!L14/SER_hh_num!L14)</f>
        <v>58272.552984143731</v>
      </c>
      <c r="M14" s="65">
        <f>IF(SER_hh_tes!M14=0,0,11630*1000*SER_hh_tes!M14/SER_hh_num!M14)</f>
        <v>52226.36941140642</v>
      </c>
      <c r="N14" s="65">
        <f>IF(SER_hh_tes!N14=0,0,11630*1000*SER_hh_tes!N14/SER_hh_num!N14)</f>
        <v>50645.032083372549</v>
      </c>
      <c r="O14" s="65">
        <f>IF(SER_hh_tes!O14=0,0,11630*1000*SER_hh_tes!O14/SER_hh_num!O14)</f>
        <v>52930.761499410764</v>
      </c>
      <c r="P14" s="65">
        <f>IF(SER_hh_tes!P14=0,0,11630*1000*SER_hh_tes!P14/SER_hh_num!P14)</f>
        <v>46518.794098255901</v>
      </c>
      <c r="Q14" s="65">
        <f>IF(SER_hh_tes!Q14=0,0,11630*1000*SER_hh_tes!Q14/SER_hh_num!Q14)</f>
        <v>45305.18056583326</v>
      </c>
      <c r="R14" s="65">
        <f>IF(SER_hh_tes!R14=0,0,11630*1000*SER_hh_tes!R14/SER_hh_num!R14)</f>
        <v>49096.088393670434</v>
      </c>
      <c r="S14" s="65">
        <f>IF(SER_hh_tes!S14=0,0,11630*1000*SER_hh_tes!S14/SER_hh_num!S14)</f>
        <v>50697.325749421965</v>
      </c>
      <c r="T14" s="65">
        <f>IF(SER_hh_tes!T14=0,0,11630*1000*SER_hh_tes!T14/SER_hh_num!T14)</f>
        <v>50219.725829741721</v>
      </c>
      <c r="U14" s="65">
        <f>IF(SER_hh_tes!U14=0,0,11630*1000*SER_hh_tes!U14/SER_hh_num!U14)</f>
        <v>52019.264693897305</v>
      </c>
      <c r="V14" s="65">
        <f>IF(SER_hh_tes!V14=0,0,11630*1000*SER_hh_tes!V14/SER_hh_num!V14)</f>
        <v>48299.179201021609</v>
      </c>
      <c r="W14" s="65">
        <f>IF(SER_hh_tes!W14=0,0,11630*1000*SER_hh_tes!W14/SER_hh_num!W14)</f>
        <v>47970.076828187412</v>
      </c>
      <c r="X14" s="65">
        <f>IF(SER_hh_tes!X14=0,0,11630*1000*SER_hh_tes!X14/SER_hh_num!X14)</f>
        <v>48580.59028346261</v>
      </c>
      <c r="Y14" s="65">
        <f>IF(SER_hh_tes!Y14=0,0,11630*1000*SER_hh_tes!Y14/SER_hh_num!Y14)</f>
        <v>37866.346714318715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998.71366664333027</v>
      </c>
      <c r="C15" s="134">
        <f>IF(SER_hh_tes!C15=0,0,11630*1000*SER_hh_tes!C15/SER_hh_num!C15)</f>
        <v>999.44033964700827</v>
      </c>
      <c r="D15" s="134">
        <f>IF(SER_hh_tes!D15=0,0,11630*1000*SER_hh_tes!D15/SER_hh_num!D15)</f>
        <v>901.58559343527304</v>
      </c>
      <c r="E15" s="134">
        <f>IF(SER_hh_tes!E15=0,0,11630*1000*SER_hh_tes!E15/SER_hh_num!E15)</f>
        <v>953.48615432992983</v>
      </c>
      <c r="F15" s="134">
        <f>IF(SER_hh_tes!F15=0,0,11630*1000*SER_hh_tes!F15/SER_hh_num!F15)</f>
        <v>904.42343823874501</v>
      </c>
      <c r="G15" s="134">
        <f>IF(SER_hh_tes!G15=0,0,11630*1000*SER_hh_tes!G15/SER_hh_num!G15)</f>
        <v>781.97887281425471</v>
      </c>
      <c r="H15" s="134">
        <f>IF(SER_hh_tes!H15=0,0,11630*1000*SER_hh_tes!H15/SER_hh_num!H15)</f>
        <v>725.58342778877011</v>
      </c>
      <c r="I15" s="134">
        <f>IF(SER_hh_tes!I15=0,0,11630*1000*SER_hh_tes!I15/SER_hh_num!I15)</f>
        <v>663.72059222951793</v>
      </c>
      <c r="J15" s="134">
        <f>IF(SER_hh_tes!J15=0,0,11630*1000*SER_hh_tes!J15/SER_hh_num!J15)</f>
        <v>720.28100479770706</v>
      </c>
      <c r="K15" s="134">
        <f>IF(SER_hh_tes!K15=0,0,11630*1000*SER_hh_tes!K15/SER_hh_num!K15)</f>
        <v>628.3609288693516</v>
      </c>
      <c r="L15" s="134">
        <f>IF(SER_hh_tes!L15=0,0,11630*1000*SER_hh_tes!L15/SER_hh_num!L15)</f>
        <v>676.18595196466845</v>
      </c>
      <c r="M15" s="134">
        <f>IF(SER_hh_tes!M15=0,0,11630*1000*SER_hh_tes!M15/SER_hh_num!M15)</f>
        <v>631.60580595496458</v>
      </c>
      <c r="N15" s="134">
        <f>IF(SER_hh_tes!N15=0,0,11630*1000*SER_hh_tes!N15/SER_hh_num!N15)</f>
        <v>588.3496821027602</v>
      </c>
      <c r="O15" s="134">
        <f>IF(SER_hh_tes!O15=0,0,11630*1000*SER_hh_tes!O15/SER_hh_num!O15)</f>
        <v>559.56301630212999</v>
      </c>
      <c r="P15" s="134">
        <f>IF(SER_hh_tes!P15=0,0,11630*1000*SER_hh_tes!P15/SER_hh_num!P15)</f>
        <v>528.80126565883495</v>
      </c>
      <c r="Q15" s="134">
        <f>IF(SER_hh_tes!Q15=0,0,11630*1000*SER_hh_tes!Q15/SER_hh_num!Q15)</f>
        <v>528.31208979543055</v>
      </c>
      <c r="R15" s="134">
        <f>IF(SER_hh_tes!R15=0,0,11630*1000*SER_hh_tes!R15/SER_hh_num!R15)</f>
        <v>540.75154687770225</v>
      </c>
      <c r="S15" s="134">
        <f>IF(SER_hh_tes!S15=0,0,11630*1000*SER_hh_tes!S15/SER_hh_num!S15)</f>
        <v>574.91122171436007</v>
      </c>
      <c r="T15" s="134">
        <f>IF(SER_hh_tes!T15=0,0,11630*1000*SER_hh_tes!T15/SER_hh_num!T15)</f>
        <v>535.61034269538641</v>
      </c>
      <c r="U15" s="134">
        <f>IF(SER_hh_tes!U15=0,0,11630*1000*SER_hh_tes!U15/SER_hh_num!U15)</f>
        <v>565.99278187418099</v>
      </c>
      <c r="V15" s="134">
        <f>IF(SER_hh_tes!V15=0,0,11630*1000*SER_hh_tes!V15/SER_hh_num!V15)</f>
        <v>529.02893935079942</v>
      </c>
      <c r="W15" s="134">
        <f>IF(SER_hh_tes!W15=0,0,11630*1000*SER_hh_tes!W15/SER_hh_num!W15)</f>
        <v>514.51258719121711</v>
      </c>
      <c r="X15" s="134">
        <f>IF(SER_hh_tes!X15=0,0,11630*1000*SER_hh_tes!X15/SER_hh_num!X15)</f>
        <v>471.42931808203912</v>
      </c>
      <c r="Y15" s="134">
        <f>IF(SER_hh_tes!Y15=0,0,11630*1000*SER_hh_tes!Y15/SER_hh_num!Y15)</f>
        <v>425.4968512586978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24540.250068340607</v>
      </c>
      <c r="C16" s="130">
        <f>IF(SER_hh_tes!C16=0,0,11630*1000*SER_hh_tes!C16/SER_hh_num!C16)</f>
        <v>24410.47619932437</v>
      </c>
      <c r="D16" s="130">
        <f>IF(SER_hh_tes!D16=0,0,11630*1000*SER_hh_tes!D16/SER_hh_num!D16)</f>
        <v>24484.007288082325</v>
      </c>
      <c r="E16" s="130">
        <f>IF(SER_hh_tes!E16=0,0,11630*1000*SER_hh_tes!E16/SER_hh_num!E16)</f>
        <v>25756.484541606784</v>
      </c>
      <c r="F16" s="130">
        <f>IF(SER_hh_tes!F16=0,0,11630*1000*SER_hh_tes!F16/SER_hh_num!F16)</f>
        <v>24562.120974399502</v>
      </c>
      <c r="G16" s="130">
        <f>IF(SER_hh_tes!G16=0,0,11630*1000*SER_hh_tes!G16/SER_hh_num!G16)</f>
        <v>24730.203618496304</v>
      </c>
      <c r="H16" s="130">
        <f>IF(SER_hh_tes!H16=0,0,11630*1000*SER_hh_tes!H16/SER_hh_num!H16)</f>
        <v>25501.809314752616</v>
      </c>
      <c r="I16" s="130">
        <f>IF(SER_hh_tes!I16=0,0,11630*1000*SER_hh_tes!I16/SER_hh_num!I16)</f>
        <v>25149.400548185349</v>
      </c>
      <c r="J16" s="130">
        <f>IF(SER_hh_tes!J16=0,0,11630*1000*SER_hh_tes!J16/SER_hh_num!J16)</f>
        <v>24789.950823671501</v>
      </c>
      <c r="K16" s="130">
        <f>IF(SER_hh_tes!K16=0,0,11630*1000*SER_hh_tes!K16/SER_hh_num!K16)</f>
        <v>24846.189497511736</v>
      </c>
      <c r="L16" s="130">
        <f>IF(SER_hh_tes!L16=0,0,11630*1000*SER_hh_tes!L16/SER_hh_num!L16)</f>
        <v>25541.68145899782</v>
      </c>
      <c r="M16" s="130">
        <f>IF(SER_hh_tes!M16=0,0,11630*1000*SER_hh_tes!M16/SER_hh_num!M16)</f>
        <v>25274.975697787511</v>
      </c>
      <c r="N16" s="130">
        <f>IF(SER_hh_tes!N16=0,0,11630*1000*SER_hh_tes!N16/SER_hh_num!N16)</f>
        <v>25665.659041117695</v>
      </c>
      <c r="O16" s="130">
        <f>IF(SER_hh_tes!O16=0,0,11630*1000*SER_hh_tes!O16/SER_hh_num!O16)</f>
        <v>26934.498383558166</v>
      </c>
      <c r="P16" s="130">
        <f>IF(SER_hh_tes!P16=0,0,11630*1000*SER_hh_tes!P16/SER_hh_num!P16)</f>
        <v>25636.358661865856</v>
      </c>
      <c r="Q16" s="130">
        <f>IF(SER_hh_tes!Q16=0,0,11630*1000*SER_hh_tes!Q16/SER_hh_num!Q16)</f>
        <v>30111.553322310268</v>
      </c>
      <c r="R16" s="130">
        <f>IF(SER_hh_tes!R16=0,0,11630*1000*SER_hh_tes!R16/SER_hh_num!R16)</f>
        <v>25786.791780930729</v>
      </c>
      <c r="S16" s="130">
        <f>IF(SER_hh_tes!S16=0,0,11630*1000*SER_hh_tes!S16/SER_hh_num!S16)</f>
        <v>26222.363731270834</v>
      </c>
      <c r="T16" s="130">
        <f>IF(SER_hh_tes!T16=0,0,11630*1000*SER_hh_tes!T16/SER_hh_num!T16)</f>
        <v>27698.340224826748</v>
      </c>
      <c r="U16" s="130">
        <f>IF(SER_hh_tes!U16=0,0,11630*1000*SER_hh_tes!U16/SER_hh_num!U16)</f>
        <v>27363.779584856809</v>
      </c>
      <c r="V16" s="130">
        <f>IF(SER_hh_tes!V16=0,0,11630*1000*SER_hh_tes!V16/SER_hh_num!V16)</f>
        <v>24958.96485496196</v>
      </c>
      <c r="W16" s="130">
        <f>IF(SER_hh_tes!W16=0,0,11630*1000*SER_hh_tes!W16/SER_hh_num!W16)</f>
        <v>26238.433190438143</v>
      </c>
      <c r="X16" s="130">
        <f>IF(SER_hh_tes!X16=0,0,11630*1000*SER_hh_tes!X16/SER_hh_num!X16)</f>
        <v>27298.52627029561</v>
      </c>
      <c r="Y16" s="130">
        <f>IF(SER_hh_tes!Y16=0,0,11630*1000*SER_hh_tes!Y16/SER_hh_num!Y16)</f>
        <v>27488.548453792566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0</v>
      </c>
      <c r="C17" s="132">
        <f>IF(SER_hh_tes!C17=0,0,11630*1000*SER_hh_tes!C17/SER_hh_num!C17)</f>
        <v>0</v>
      </c>
      <c r="D17" s="132">
        <f>IF(SER_hh_tes!D17=0,0,11630*1000*SER_hh_tes!D17/SER_hh_num!D17)</f>
        <v>0</v>
      </c>
      <c r="E17" s="132">
        <f>IF(SER_hh_tes!E17=0,0,11630*1000*SER_hh_tes!E17/SER_hh_num!E17)</f>
        <v>0</v>
      </c>
      <c r="F17" s="132">
        <f>IF(SER_hh_tes!F17=0,0,11630*1000*SER_hh_tes!F17/SER_hh_num!F17)</f>
        <v>0</v>
      </c>
      <c r="G17" s="132">
        <f>IF(SER_hh_tes!G17=0,0,11630*1000*SER_hh_tes!G17/SER_hh_num!G17)</f>
        <v>24730.203618496384</v>
      </c>
      <c r="H17" s="132">
        <f>IF(SER_hh_tes!H17=0,0,11630*1000*SER_hh_tes!H17/SER_hh_num!H17)</f>
        <v>25501.809314752594</v>
      </c>
      <c r="I17" s="132">
        <f>IF(SER_hh_tes!I17=0,0,11630*1000*SER_hh_tes!I17/SER_hh_num!I17)</f>
        <v>25149.400548185316</v>
      </c>
      <c r="J17" s="132">
        <f>IF(SER_hh_tes!J17=0,0,11630*1000*SER_hh_tes!J17/SER_hh_num!J17)</f>
        <v>24789.950823671461</v>
      </c>
      <c r="K17" s="132">
        <f>IF(SER_hh_tes!K17=0,0,11630*1000*SER_hh_tes!K17/SER_hh_num!K17)</f>
        <v>24846.189497511787</v>
      </c>
      <c r="L17" s="132">
        <f>IF(SER_hh_tes!L17=0,0,11630*1000*SER_hh_tes!L17/SER_hh_num!L17)</f>
        <v>25541.681458997788</v>
      </c>
      <c r="M17" s="132">
        <f>IF(SER_hh_tes!M17=0,0,11630*1000*SER_hh_tes!M17/SER_hh_num!M17)</f>
        <v>25274.975697787559</v>
      </c>
      <c r="N17" s="132">
        <f>IF(SER_hh_tes!N17=0,0,11630*1000*SER_hh_tes!N17/SER_hh_num!N17)</f>
        <v>25665.659041117706</v>
      </c>
      <c r="O17" s="132">
        <f>IF(SER_hh_tes!O17=0,0,11630*1000*SER_hh_tes!O17/SER_hh_num!O17)</f>
        <v>26934.49838355805</v>
      </c>
      <c r="P17" s="132">
        <f>IF(SER_hh_tes!P17=0,0,11630*1000*SER_hh_tes!P17/SER_hh_num!P17)</f>
        <v>25636.358661865797</v>
      </c>
      <c r="Q17" s="132">
        <f>IF(SER_hh_tes!Q17=0,0,11630*1000*SER_hh_tes!Q17/SER_hh_num!Q17)</f>
        <v>30111.553322310221</v>
      </c>
      <c r="R17" s="132">
        <f>IF(SER_hh_tes!R17=0,0,11630*1000*SER_hh_tes!R17/SER_hh_num!R17)</f>
        <v>25786.791780930758</v>
      </c>
      <c r="S17" s="132">
        <f>IF(SER_hh_tes!S17=0,0,11630*1000*SER_hh_tes!S17/SER_hh_num!S17)</f>
        <v>26222.363731270802</v>
      </c>
      <c r="T17" s="132">
        <f>IF(SER_hh_tes!T17=0,0,11630*1000*SER_hh_tes!T17/SER_hh_num!T17)</f>
        <v>29313.405041615548</v>
      </c>
      <c r="U17" s="132">
        <f>IF(SER_hh_tes!U17=0,0,11630*1000*SER_hh_tes!U17/SER_hh_num!U17)</f>
        <v>27363.779584856751</v>
      </c>
      <c r="V17" s="132">
        <f>IF(SER_hh_tes!V17=0,0,11630*1000*SER_hh_tes!V17/SER_hh_num!V17)</f>
        <v>26093.956818070121</v>
      </c>
      <c r="W17" s="132">
        <f>IF(SER_hh_tes!W17=0,0,11630*1000*SER_hh_tes!W17/SER_hh_num!W17)</f>
        <v>26238.433118390112</v>
      </c>
      <c r="X17" s="132">
        <f>IF(SER_hh_tes!X17=0,0,11630*1000*SER_hh_tes!X17/SER_hh_num!X17)</f>
        <v>27298.526072746845</v>
      </c>
      <c r="Y17" s="132">
        <f>IF(SER_hh_tes!Y17=0,0,11630*1000*SER_hh_tes!Y17/SER_hh_num!Y17)</f>
        <v>27488.548233400157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24540.250068340607</v>
      </c>
      <c r="C18" s="132">
        <f>IF(SER_hh_tes!C18=0,0,11630*1000*SER_hh_tes!C18/SER_hh_num!C18)</f>
        <v>24410.47619932437</v>
      </c>
      <c r="D18" s="132">
        <f>IF(SER_hh_tes!D18=0,0,11630*1000*SER_hh_tes!D18/SER_hh_num!D18)</f>
        <v>24484.007288082325</v>
      </c>
      <c r="E18" s="132">
        <f>IF(SER_hh_tes!E18=0,0,11630*1000*SER_hh_tes!E18/SER_hh_num!E18)</f>
        <v>25756.484541606784</v>
      </c>
      <c r="F18" s="132">
        <f>IF(SER_hh_tes!F18=0,0,11630*1000*SER_hh_tes!F18/SER_hh_num!F18)</f>
        <v>24562.120974399502</v>
      </c>
      <c r="G18" s="132">
        <f>IF(SER_hh_tes!G18=0,0,11630*1000*SER_hh_tes!G18/SER_hh_num!G18)</f>
        <v>24730.2036184963</v>
      </c>
      <c r="H18" s="132">
        <f>IF(SER_hh_tes!H18=0,0,11630*1000*SER_hh_tes!H18/SER_hh_num!H18)</f>
        <v>25501.809314752616</v>
      </c>
      <c r="I18" s="132">
        <f>IF(SER_hh_tes!I18=0,0,11630*1000*SER_hh_tes!I18/SER_hh_num!I18)</f>
        <v>25149.400548185349</v>
      </c>
      <c r="J18" s="132">
        <f>IF(SER_hh_tes!J18=0,0,11630*1000*SER_hh_tes!J18/SER_hh_num!J18)</f>
        <v>24789.950823671501</v>
      </c>
      <c r="K18" s="132">
        <f>IF(SER_hh_tes!K18=0,0,11630*1000*SER_hh_tes!K18/SER_hh_num!K18)</f>
        <v>24846.189497511739</v>
      </c>
      <c r="L18" s="132">
        <f>IF(SER_hh_tes!L18=0,0,11630*1000*SER_hh_tes!L18/SER_hh_num!L18)</f>
        <v>25541.681458997817</v>
      </c>
      <c r="M18" s="132">
        <f>IF(SER_hh_tes!M18=0,0,11630*1000*SER_hh_tes!M18/SER_hh_num!M18)</f>
        <v>25274.975697787511</v>
      </c>
      <c r="N18" s="132">
        <f>IF(SER_hh_tes!N18=0,0,11630*1000*SER_hh_tes!N18/SER_hh_num!N18)</f>
        <v>25665.659041117695</v>
      </c>
      <c r="O18" s="132">
        <f>IF(SER_hh_tes!O18=0,0,11630*1000*SER_hh_tes!O18/SER_hh_num!O18)</f>
        <v>26934.498383558166</v>
      </c>
      <c r="P18" s="132">
        <f>IF(SER_hh_tes!P18=0,0,11630*1000*SER_hh_tes!P18/SER_hh_num!P18)</f>
        <v>25636.358661865859</v>
      </c>
      <c r="Q18" s="132">
        <f>IF(SER_hh_tes!Q18=0,0,11630*1000*SER_hh_tes!Q18/SER_hh_num!Q18)</f>
        <v>30111.553322310268</v>
      </c>
      <c r="R18" s="132">
        <f>IF(SER_hh_tes!R18=0,0,11630*1000*SER_hh_tes!R18/SER_hh_num!R18)</f>
        <v>25786.791780930726</v>
      </c>
      <c r="S18" s="132">
        <f>IF(SER_hh_tes!S18=0,0,11630*1000*SER_hh_tes!S18/SER_hh_num!S18)</f>
        <v>26222.363731270838</v>
      </c>
      <c r="T18" s="132">
        <f>IF(SER_hh_tes!T18=0,0,11630*1000*SER_hh_tes!T18/SER_hh_num!T18)</f>
        <v>27689.907956723197</v>
      </c>
      <c r="U18" s="132">
        <f>IF(SER_hh_tes!U18=0,0,11630*1000*SER_hh_tes!U18/SER_hh_num!U18)</f>
        <v>27363.779584856809</v>
      </c>
      <c r="V18" s="132">
        <f>IF(SER_hh_tes!V18=0,0,11630*1000*SER_hh_tes!V18/SER_hh_num!V18)</f>
        <v>24951.779288843834</v>
      </c>
      <c r="W18" s="132">
        <f>IF(SER_hh_tes!W18=0,0,11630*1000*SER_hh_tes!W18/SER_hh_num!W18)</f>
        <v>26238.433190920692</v>
      </c>
      <c r="X18" s="132">
        <f>IF(SER_hh_tes!X18=0,0,11630*1000*SER_hh_tes!X18/SER_hh_num!X18)</f>
        <v>27298.526271627401</v>
      </c>
      <c r="Y18" s="132">
        <f>IF(SER_hh_tes!Y18=0,0,11630*1000*SER_hh_tes!Y18/SER_hh_num!Y18)</f>
        <v>27488.548455334905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7045.0100132586185</v>
      </c>
      <c r="C19" s="130">
        <f>IF(SER_hh_tes!C19=0,0,11630*1000*SER_hh_tes!C19/SER_hh_num!C19)</f>
        <v>6985.8156538866679</v>
      </c>
      <c r="D19" s="130">
        <f>IF(SER_hh_tes!D19=0,0,11630*1000*SER_hh_tes!D19/SER_hh_num!D19)</f>
        <v>6898.1519401288288</v>
      </c>
      <c r="E19" s="130">
        <f>IF(SER_hh_tes!E19=0,0,11630*1000*SER_hh_tes!E19/SER_hh_num!E19)</f>
        <v>6819.4585683157165</v>
      </c>
      <c r="F19" s="130">
        <f>IF(SER_hh_tes!F19=0,0,11630*1000*SER_hh_tes!F19/SER_hh_num!F19)</f>
        <v>6648.7105160796127</v>
      </c>
      <c r="G19" s="130">
        <f>IF(SER_hh_tes!G19=0,0,11630*1000*SER_hh_tes!G19/SER_hh_num!G19)</f>
        <v>6596.7550785576332</v>
      </c>
      <c r="H19" s="130">
        <f>IF(SER_hh_tes!H19=0,0,11630*1000*SER_hh_tes!H19/SER_hh_num!H19)</f>
        <v>6644.9947645028315</v>
      </c>
      <c r="I19" s="130">
        <f>IF(SER_hh_tes!I19=0,0,11630*1000*SER_hh_tes!I19/SER_hh_num!I19)</f>
        <v>6683.7633509007437</v>
      </c>
      <c r="J19" s="130">
        <f>IF(SER_hh_tes!J19=0,0,11630*1000*SER_hh_tes!J19/SER_hh_num!J19)</f>
        <v>6719.1666664139157</v>
      </c>
      <c r="K19" s="130">
        <f>IF(SER_hh_tes!K19=0,0,11630*1000*SER_hh_tes!K19/SER_hh_num!K19)</f>
        <v>7209.9654427945916</v>
      </c>
      <c r="L19" s="130">
        <f>IF(SER_hh_tes!L19=0,0,11630*1000*SER_hh_tes!L19/SER_hh_num!L19)</f>
        <v>7479.365058676467</v>
      </c>
      <c r="M19" s="130">
        <f>IF(SER_hh_tes!M19=0,0,11630*1000*SER_hh_tes!M19/SER_hh_num!M19)</f>
        <v>7588.6330834115251</v>
      </c>
      <c r="N19" s="130">
        <f>IF(SER_hh_tes!N19=0,0,11630*1000*SER_hh_tes!N19/SER_hh_num!N19)</f>
        <v>7733.3421477898573</v>
      </c>
      <c r="O19" s="130">
        <f>IF(SER_hh_tes!O19=0,0,11630*1000*SER_hh_tes!O19/SER_hh_num!O19)</f>
        <v>7815.1782998231711</v>
      </c>
      <c r="P19" s="130">
        <f>IF(SER_hh_tes!P19=0,0,11630*1000*SER_hh_tes!P19/SER_hh_num!P19)</f>
        <v>7755.3305200966488</v>
      </c>
      <c r="Q19" s="130">
        <f>IF(SER_hh_tes!Q19=0,0,11630*1000*SER_hh_tes!Q19/SER_hh_num!Q19)</f>
        <v>7801.00107861585</v>
      </c>
      <c r="R19" s="130">
        <f>IF(SER_hh_tes!R19=0,0,11630*1000*SER_hh_tes!R19/SER_hh_num!R19)</f>
        <v>7980.682748040902</v>
      </c>
      <c r="S19" s="130">
        <f>IF(SER_hh_tes!S19=0,0,11630*1000*SER_hh_tes!S19/SER_hh_num!S19)</f>
        <v>8108.8891125307655</v>
      </c>
      <c r="T19" s="130">
        <f>IF(SER_hh_tes!T19=0,0,11630*1000*SER_hh_tes!T19/SER_hh_num!T19)</f>
        <v>8073.4062218591034</v>
      </c>
      <c r="U19" s="130">
        <f>IF(SER_hh_tes!U19=0,0,11630*1000*SER_hh_tes!U19/SER_hh_num!U19)</f>
        <v>8124.3066008396099</v>
      </c>
      <c r="V19" s="130">
        <f>IF(SER_hh_tes!V19=0,0,11630*1000*SER_hh_tes!V19/SER_hh_num!V19)</f>
        <v>7748.4278206237186</v>
      </c>
      <c r="W19" s="130">
        <f>IF(SER_hh_tes!W19=0,0,11630*1000*SER_hh_tes!W19/SER_hh_num!W19)</f>
        <v>7858.5682348963728</v>
      </c>
      <c r="X19" s="130">
        <f>IF(SER_hh_tes!X19=0,0,11630*1000*SER_hh_tes!X19/SER_hh_num!X19)</f>
        <v>7718.5806411279236</v>
      </c>
      <c r="Y19" s="130">
        <f>IF(SER_hh_tes!Y19=0,0,11630*1000*SER_hh_tes!Y19/SER_hh_num!Y19)</f>
        <v>7910.1786005468712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0</v>
      </c>
      <c r="C20" s="132">
        <f>IF(SER_hh_tes!C20=0,0,11630*1000*SER_hh_tes!C20/SER_hh_num!C20)</f>
        <v>0</v>
      </c>
      <c r="D20" s="132">
        <f>IF(SER_hh_tes!D20=0,0,11630*1000*SER_hh_tes!D20/SER_hh_num!D20)</f>
        <v>0</v>
      </c>
      <c r="E20" s="132">
        <f>IF(SER_hh_tes!E20=0,0,11630*1000*SER_hh_tes!E20/SER_hh_num!E20)</f>
        <v>0</v>
      </c>
      <c r="F20" s="132">
        <f>IF(SER_hh_tes!F20=0,0,11630*1000*SER_hh_tes!F20/SER_hh_num!F20)</f>
        <v>0</v>
      </c>
      <c r="G20" s="132">
        <f>IF(SER_hh_tes!G20=0,0,11630*1000*SER_hh_tes!G20/SER_hh_num!G20)</f>
        <v>0</v>
      </c>
      <c r="H20" s="132">
        <f>IF(SER_hh_tes!H20=0,0,11630*1000*SER_hh_tes!H20/SER_hh_num!H20)</f>
        <v>0</v>
      </c>
      <c r="I20" s="132">
        <f>IF(SER_hh_tes!I20=0,0,11630*1000*SER_hh_tes!I20/SER_hh_num!I20)</f>
        <v>0</v>
      </c>
      <c r="J20" s="132">
        <f>IF(SER_hh_tes!J20=0,0,11630*1000*SER_hh_tes!J20/SER_hh_num!J20)</f>
        <v>0</v>
      </c>
      <c r="K20" s="132">
        <f>IF(SER_hh_tes!K20=0,0,11630*1000*SER_hh_tes!K20/SER_hh_num!K20)</f>
        <v>0</v>
      </c>
      <c r="L20" s="132">
        <f>IF(SER_hh_tes!L20=0,0,11630*1000*SER_hh_tes!L20/SER_hh_num!L20)</f>
        <v>0</v>
      </c>
      <c r="M20" s="132">
        <f>IF(SER_hh_tes!M20=0,0,11630*1000*SER_hh_tes!M20/SER_hh_num!M20)</f>
        <v>0</v>
      </c>
      <c r="N20" s="132">
        <f>IF(SER_hh_tes!N20=0,0,11630*1000*SER_hh_tes!N20/SER_hh_num!N20)</f>
        <v>0</v>
      </c>
      <c r="O20" s="132">
        <f>IF(SER_hh_tes!O20=0,0,11630*1000*SER_hh_tes!O20/SER_hh_num!O20)</f>
        <v>0</v>
      </c>
      <c r="P20" s="132">
        <f>IF(SER_hh_tes!P20=0,0,11630*1000*SER_hh_tes!P20/SER_hh_num!P20)</f>
        <v>0</v>
      </c>
      <c r="Q20" s="132">
        <f>IF(SER_hh_tes!Q20=0,0,11630*1000*SER_hh_tes!Q20/SER_hh_num!Q20)</f>
        <v>0</v>
      </c>
      <c r="R20" s="132">
        <f>IF(SER_hh_tes!R20=0,0,11630*1000*SER_hh_tes!R20/SER_hh_num!R20)</f>
        <v>0</v>
      </c>
      <c r="S20" s="132">
        <f>IF(SER_hh_tes!S20=0,0,11630*1000*SER_hh_tes!S20/SER_hh_num!S20)</f>
        <v>0</v>
      </c>
      <c r="T20" s="132">
        <f>IF(SER_hh_tes!T20=0,0,11630*1000*SER_hh_tes!T20/SER_hh_num!T20)</f>
        <v>0</v>
      </c>
      <c r="U20" s="132">
        <f>IF(SER_hh_tes!U20=0,0,11630*1000*SER_hh_tes!U20/SER_hh_num!U20)</f>
        <v>0</v>
      </c>
      <c r="V20" s="132">
        <f>IF(SER_hh_tes!V20=0,0,11630*1000*SER_hh_tes!V20/SER_hh_num!V20)</f>
        <v>0</v>
      </c>
      <c r="W20" s="132">
        <f>IF(SER_hh_tes!W20=0,0,11630*1000*SER_hh_tes!W20/SER_hh_num!W20)</f>
        <v>0</v>
      </c>
      <c r="X20" s="132">
        <f>IF(SER_hh_tes!X20=0,0,11630*1000*SER_hh_tes!X20/SER_hh_num!X20)</f>
        <v>0</v>
      </c>
      <c r="Y20" s="132">
        <f>IF(SER_hh_tes!Y20=0,0,11630*1000*SER_hh_tes!Y20/SER_hh_num!Y20)</f>
        <v>0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0</v>
      </c>
      <c r="C21" s="132">
        <f>IF(SER_hh_tes!C21=0,0,11630*1000*SER_hh_tes!C21/SER_hh_num!C21)</f>
        <v>0</v>
      </c>
      <c r="D21" s="132">
        <f>IF(SER_hh_tes!D21=0,0,11630*1000*SER_hh_tes!D21/SER_hh_num!D21)</f>
        <v>0</v>
      </c>
      <c r="E21" s="132">
        <f>IF(SER_hh_tes!E21=0,0,11630*1000*SER_hh_tes!E21/SER_hh_num!E21)</f>
        <v>0</v>
      </c>
      <c r="F21" s="132">
        <f>IF(SER_hh_tes!F21=0,0,11630*1000*SER_hh_tes!F21/SER_hh_num!F21)</f>
        <v>0</v>
      </c>
      <c r="G21" s="132">
        <f>IF(SER_hh_tes!G21=0,0,11630*1000*SER_hh_tes!G21/SER_hh_num!G21)</f>
        <v>0</v>
      </c>
      <c r="H21" s="132">
        <f>IF(SER_hh_tes!H21=0,0,11630*1000*SER_hh_tes!H21/SER_hh_num!H21)</f>
        <v>0</v>
      </c>
      <c r="I21" s="132">
        <f>IF(SER_hh_tes!I21=0,0,11630*1000*SER_hh_tes!I21/SER_hh_num!I21)</f>
        <v>0</v>
      </c>
      <c r="J21" s="132">
        <f>IF(SER_hh_tes!J21=0,0,11630*1000*SER_hh_tes!J21/SER_hh_num!J21)</f>
        <v>0</v>
      </c>
      <c r="K21" s="132">
        <f>IF(SER_hh_tes!K21=0,0,11630*1000*SER_hh_tes!K21/SER_hh_num!K21)</f>
        <v>0</v>
      </c>
      <c r="L21" s="132">
        <f>IF(SER_hh_tes!L21=0,0,11630*1000*SER_hh_tes!L21/SER_hh_num!L21)</f>
        <v>0</v>
      </c>
      <c r="M21" s="132">
        <f>IF(SER_hh_tes!M21=0,0,11630*1000*SER_hh_tes!M21/SER_hh_num!M21)</f>
        <v>0</v>
      </c>
      <c r="N21" s="132">
        <f>IF(SER_hh_tes!N21=0,0,11630*1000*SER_hh_tes!N21/SER_hh_num!N21)</f>
        <v>0</v>
      </c>
      <c r="O21" s="132">
        <f>IF(SER_hh_tes!O21=0,0,11630*1000*SER_hh_tes!O21/SER_hh_num!O21)</f>
        <v>0</v>
      </c>
      <c r="P21" s="132">
        <f>IF(SER_hh_tes!P21=0,0,11630*1000*SER_hh_tes!P21/SER_hh_num!P21)</f>
        <v>0</v>
      </c>
      <c r="Q21" s="132">
        <f>IF(SER_hh_tes!Q21=0,0,11630*1000*SER_hh_tes!Q21/SER_hh_num!Q21)</f>
        <v>0</v>
      </c>
      <c r="R21" s="132">
        <f>IF(SER_hh_tes!R21=0,0,11630*1000*SER_hh_tes!R21/SER_hh_num!R21)</f>
        <v>0</v>
      </c>
      <c r="S21" s="132">
        <f>IF(SER_hh_tes!S21=0,0,11630*1000*SER_hh_tes!S21/SER_hh_num!S21)</f>
        <v>0</v>
      </c>
      <c r="T21" s="132">
        <f>IF(SER_hh_tes!T21=0,0,11630*1000*SER_hh_tes!T21/SER_hh_num!T21)</f>
        <v>0</v>
      </c>
      <c r="U21" s="132">
        <f>IF(SER_hh_tes!U21=0,0,11630*1000*SER_hh_tes!U21/SER_hh_num!U21)</f>
        <v>0</v>
      </c>
      <c r="V21" s="132">
        <f>IF(SER_hh_tes!V21=0,0,11630*1000*SER_hh_tes!V21/SER_hh_num!V21)</f>
        <v>0</v>
      </c>
      <c r="W21" s="132">
        <f>IF(SER_hh_tes!W21=0,0,11630*1000*SER_hh_tes!W21/SER_hh_num!W21)</f>
        <v>0</v>
      </c>
      <c r="X21" s="132">
        <f>IF(SER_hh_tes!X21=0,0,11630*1000*SER_hh_tes!X21/SER_hh_num!X21)</f>
        <v>0</v>
      </c>
      <c r="Y21" s="132">
        <f>IF(SER_hh_tes!Y21=0,0,11630*1000*SER_hh_tes!Y21/SER_hh_num!Y21)</f>
        <v>0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0</v>
      </c>
      <c r="C22" s="132">
        <f>IF(SER_hh_tes!C22=0,0,11630*1000*SER_hh_tes!C22/SER_hh_num!C22)</f>
        <v>0</v>
      </c>
      <c r="D22" s="132">
        <f>IF(SER_hh_tes!D22=0,0,11630*1000*SER_hh_tes!D22/SER_hh_num!D22)</f>
        <v>0</v>
      </c>
      <c r="E22" s="132">
        <f>IF(SER_hh_tes!E22=0,0,11630*1000*SER_hh_tes!E22/SER_hh_num!E22)</f>
        <v>0</v>
      </c>
      <c r="F22" s="132">
        <f>IF(SER_hh_tes!F22=0,0,11630*1000*SER_hh_tes!F22/SER_hh_num!F22)</f>
        <v>0</v>
      </c>
      <c r="G22" s="132">
        <f>IF(SER_hh_tes!G22=0,0,11630*1000*SER_hh_tes!G22/SER_hh_num!G22)</f>
        <v>0</v>
      </c>
      <c r="H22" s="132">
        <f>IF(SER_hh_tes!H22=0,0,11630*1000*SER_hh_tes!H22/SER_hh_num!H22)</f>
        <v>0</v>
      </c>
      <c r="I22" s="132">
        <f>IF(SER_hh_tes!I22=0,0,11630*1000*SER_hh_tes!I22/SER_hh_num!I22)</f>
        <v>0</v>
      </c>
      <c r="J22" s="132">
        <f>IF(SER_hh_tes!J22=0,0,11630*1000*SER_hh_tes!J22/SER_hh_num!J22)</f>
        <v>0</v>
      </c>
      <c r="K22" s="132">
        <f>IF(SER_hh_tes!K22=0,0,11630*1000*SER_hh_tes!K22/SER_hh_num!K22)</f>
        <v>0</v>
      </c>
      <c r="L22" s="132">
        <f>IF(SER_hh_tes!L22=0,0,11630*1000*SER_hh_tes!L22/SER_hh_num!L22)</f>
        <v>0</v>
      </c>
      <c r="M22" s="132">
        <f>IF(SER_hh_tes!M22=0,0,11630*1000*SER_hh_tes!M22/SER_hh_num!M22)</f>
        <v>0</v>
      </c>
      <c r="N22" s="132">
        <f>IF(SER_hh_tes!N22=0,0,11630*1000*SER_hh_tes!N22/SER_hh_num!N22)</f>
        <v>0</v>
      </c>
      <c r="O22" s="132">
        <f>IF(SER_hh_tes!O22=0,0,11630*1000*SER_hh_tes!O22/SER_hh_num!O22)</f>
        <v>0</v>
      </c>
      <c r="P22" s="132">
        <f>IF(SER_hh_tes!P22=0,0,11630*1000*SER_hh_tes!P22/SER_hh_num!P22)</f>
        <v>0</v>
      </c>
      <c r="Q22" s="132">
        <f>IF(SER_hh_tes!Q22=0,0,11630*1000*SER_hh_tes!Q22/SER_hh_num!Q22)</f>
        <v>0</v>
      </c>
      <c r="R22" s="132">
        <f>IF(SER_hh_tes!R22=0,0,11630*1000*SER_hh_tes!R22/SER_hh_num!R22)</f>
        <v>0</v>
      </c>
      <c r="S22" s="132">
        <f>IF(SER_hh_tes!S22=0,0,11630*1000*SER_hh_tes!S22/SER_hh_num!S22)</f>
        <v>0</v>
      </c>
      <c r="T22" s="132">
        <f>IF(SER_hh_tes!T22=0,0,11630*1000*SER_hh_tes!T22/SER_hh_num!T22)</f>
        <v>0</v>
      </c>
      <c r="U22" s="132">
        <f>IF(SER_hh_tes!U22=0,0,11630*1000*SER_hh_tes!U22/SER_hh_num!U22)</f>
        <v>0</v>
      </c>
      <c r="V22" s="132">
        <f>IF(SER_hh_tes!V22=0,0,11630*1000*SER_hh_tes!V22/SER_hh_num!V22)</f>
        <v>0</v>
      </c>
      <c r="W22" s="132">
        <f>IF(SER_hh_tes!W22=0,0,11630*1000*SER_hh_tes!W22/SER_hh_num!W22)</f>
        <v>0</v>
      </c>
      <c r="X22" s="132">
        <f>IF(SER_hh_tes!X22=0,0,11630*1000*SER_hh_tes!X22/SER_hh_num!X22)</f>
        <v>0</v>
      </c>
      <c r="Y22" s="132">
        <f>IF(SER_hh_tes!Y22=0,0,11630*1000*SER_hh_tes!Y22/SER_hh_num!Y22)</f>
        <v>0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6998.025230149321</v>
      </c>
      <c r="C23" s="132">
        <f>IF(SER_hh_tes!C23=0,0,11630*1000*SER_hh_tes!C23/SER_hh_num!C23)</f>
        <v>6910.9857201508848</v>
      </c>
      <c r="D23" s="132">
        <f>IF(SER_hh_tes!D23=0,0,11630*1000*SER_hh_tes!D23/SER_hh_num!D23)</f>
        <v>6916.5485234755824</v>
      </c>
      <c r="E23" s="132">
        <f>IF(SER_hh_tes!E23=0,0,11630*1000*SER_hh_tes!E23/SER_hh_num!E23)</f>
        <v>6759.8688534710327</v>
      </c>
      <c r="F23" s="132">
        <f>IF(SER_hh_tes!F23=0,0,11630*1000*SER_hh_tes!F23/SER_hh_num!F23)</f>
        <v>6556.8779055939003</v>
      </c>
      <c r="G23" s="132">
        <f>IF(SER_hh_tes!G23=0,0,11630*1000*SER_hh_tes!G23/SER_hh_num!G23)</f>
        <v>6599.3740563720103</v>
      </c>
      <c r="H23" s="132">
        <f>IF(SER_hh_tes!H23=0,0,11630*1000*SER_hh_tes!H23/SER_hh_num!H23)</f>
        <v>6603.9947438688614</v>
      </c>
      <c r="I23" s="132">
        <f>IF(SER_hh_tes!I23=0,0,11630*1000*SER_hh_tes!I23/SER_hh_num!I23)</f>
        <v>6442.7005562882023</v>
      </c>
      <c r="J23" s="132">
        <f>IF(SER_hh_tes!J23=0,0,11630*1000*SER_hh_tes!J23/SER_hh_num!J23)</f>
        <v>6551.3378437587808</v>
      </c>
      <c r="K23" s="132">
        <f>IF(SER_hh_tes!K23=0,0,11630*1000*SER_hh_tes!K23/SER_hh_num!K23)</f>
        <v>7840.9474554054459</v>
      </c>
      <c r="L23" s="132">
        <f>IF(SER_hh_tes!L23=0,0,11630*1000*SER_hh_tes!L23/SER_hh_num!L23)</f>
        <v>7402.3675683224128</v>
      </c>
      <c r="M23" s="132">
        <f>IF(SER_hh_tes!M23=0,0,11630*1000*SER_hh_tes!M23/SER_hh_num!M23)</f>
        <v>7441.8280422511289</v>
      </c>
      <c r="N23" s="132">
        <f>IF(SER_hh_tes!N23=0,0,11630*1000*SER_hh_tes!N23/SER_hh_num!N23)</f>
        <v>7676.4454888045711</v>
      </c>
      <c r="O23" s="132">
        <f>IF(SER_hh_tes!O23=0,0,11630*1000*SER_hh_tes!O23/SER_hh_num!O23)</f>
        <v>7820.799218067521</v>
      </c>
      <c r="P23" s="132">
        <f>IF(SER_hh_tes!P23=0,0,11630*1000*SER_hh_tes!P23/SER_hh_num!P23)</f>
        <v>7787.4061172818165</v>
      </c>
      <c r="Q23" s="132">
        <f>IF(SER_hh_tes!Q23=0,0,11630*1000*SER_hh_tes!Q23/SER_hh_num!Q23)</f>
        <v>7720.8909278940973</v>
      </c>
      <c r="R23" s="132">
        <f>IF(SER_hh_tes!R23=0,0,11630*1000*SER_hh_tes!R23/SER_hh_num!R23)</f>
        <v>7849.3280341529398</v>
      </c>
      <c r="S23" s="132">
        <f>IF(SER_hh_tes!S23=0,0,11630*1000*SER_hh_tes!S23/SER_hh_num!S23)</f>
        <v>8361.3625902333515</v>
      </c>
      <c r="T23" s="132">
        <f>IF(SER_hh_tes!T23=0,0,11630*1000*SER_hh_tes!T23/SER_hh_num!T23)</f>
        <v>7747.6724684269784</v>
      </c>
      <c r="U23" s="132">
        <f>IF(SER_hh_tes!U23=0,0,11630*1000*SER_hh_tes!U23/SER_hh_num!U23)</f>
        <v>8219.4904953060031</v>
      </c>
      <c r="V23" s="132">
        <f>IF(SER_hh_tes!V23=0,0,11630*1000*SER_hh_tes!V23/SER_hh_num!V23)</f>
        <v>7811.6227326159742</v>
      </c>
      <c r="W23" s="132">
        <f>IF(SER_hh_tes!W23=0,0,11630*1000*SER_hh_tes!W23/SER_hh_num!W23)</f>
        <v>8034.0392018737675</v>
      </c>
      <c r="X23" s="132">
        <f>IF(SER_hh_tes!X23=0,0,11630*1000*SER_hh_tes!X23/SER_hh_num!X23)</f>
        <v>7745.1973018346616</v>
      </c>
      <c r="Y23" s="132">
        <f>IF(SER_hh_tes!Y23=0,0,11630*1000*SER_hh_tes!Y23/SER_hh_num!Y23)</f>
        <v>7544.5484415992787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0</v>
      </c>
      <c r="C24" s="132">
        <f>IF(SER_hh_tes!C24=0,0,11630*1000*SER_hh_tes!C24/SER_hh_num!C24)</f>
        <v>0</v>
      </c>
      <c r="D24" s="132">
        <f>IF(SER_hh_tes!D24=0,0,11630*1000*SER_hh_tes!D24/SER_hh_num!D24)</f>
        <v>0</v>
      </c>
      <c r="E24" s="132">
        <f>IF(SER_hh_tes!E24=0,0,11630*1000*SER_hh_tes!E24/SER_hh_num!E24)</f>
        <v>0</v>
      </c>
      <c r="F24" s="132">
        <f>IF(SER_hh_tes!F24=0,0,11630*1000*SER_hh_tes!F24/SER_hh_num!F24)</f>
        <v>0</v>
      </c>
      <c r="G24" s="132">
        <f>IF(SER_hh_tes!G24=0,0,11630*1000*SER_hh_tes!G24/SER_hh_num!G24)</f>
        <v>0</v>
      </c>
      <c r="H24" s="132">
        <f>IF(SER_hh_tes!H24=0,0,11630*1000*SER_hh_tes!H24/SER_hh_num!H24)</f>
        <v>0</v>
      </c>
      <c r="I24" s="132">
        <f>IF(SER_hh_tes!I24=0,0,11630*1000*SER_hh_tes!I24/SER_hh_num!I24)</f>
        <v>0</v>
      </c>
      <c r="J24" s="132">
        <f>IF(SER_hh_tes!J24=0,0,11630*1000*SER_hh_tes!J24/SER_hh_num!J24)</f>
        <v>0</v>
      </c>
      <c r="K24" s="132">
        <f>IF(SER_hh_tes!K24=0,0,11630*1000*SER_hh_tes!K24/SER_hh_num!K24)</f>
        <v>0</v>
      </c>
      <c r="L24" s="132">
        <f>IF(SER_hh_tes!L24=0,0,11630*1000*SER_hh_tes!L24/SER_hh_num!L24)</f>
        <v>0</v>
      </c>
      <c r="M24" s="132">
        <f>IF(SER_hh_tes!M24=0,0,11630*1000*SER_hh_tes!M24/SER_hh_num!M24)</f>
        <v>0</v>
      </c>
      <c r="N24" s="132">
        <f>IF(SER_hh_tes!N24=0,0,11630*1000*SER_hh_tes!N24/SER_hh_num!N24)</f>
        <v>0</v>
      </c>
      <c r="O24" s="132">
        <f>IF(SER_hh_tes!O24=0,0,11630*1000*SER_hh_tes!O24/SER_hh_num!O24)</f>
        <v>0</v>
      </c>
      <c r="P24" s="132">
        <f>IF(SER_hh_tes!P24=0,0,11630*1000*SER_hh_tes!P24/SER_hh_num!P24)</f>
        <v>0</v>
      </c>
      <c r="Q24" s="132">
        <f>IF(SER_hh_tes!Q24=0,0,11630*1000*SER_hh_tes!Q24/SER_hh_num!Q24)</f>
        <v>0</v>
      </c>
      <c r="R24" s="132">
        <f>IF(SER_hh_tes!R24=0,0,11630*1000*SER_hh_tes!R24/SER_hh_num!R24)</f>
        <v>0</v>
      </c>
      <c r="S24" s="132">
        <f>IF(SER_hh_tes!S24=0,0,11630*1000*SER_hh_tes!S24/SER_hh_num!S24)</f>
        <v>0</v>
      </c>
      <c r="T24" s="132">
        <f>IF(SER_hh_tes!T24=0,0,11630*1000*SER_hh_tes!T24/SER_hh_num!T24)</f>
        <v>0</v>
      </c>
      <c r="U24" s="132">
        <f>IF(SER_hh_tes!U24=0,0,11630*1000*SER_hh_tes!U24/SER_hh_num!U24)</f>
        <v>0</v>
      </c>
      <c r="V24" s="132">
        <f>IF(SER_hh_tes!V24=0,0,11630*1000*SER_hh_tes!V24/SER_hh_num!V24)</f>
        <v>0</v>
      </c>
      <c r="W24" s="132">
        <f>IF(SER_hh_tes!W24=0,0,11630*1000*SER_hh_tes!W24/SER_hh_num!W24)</f>
        <v>0</v>
      </c>
      <c r="X24" s="132">
        <f>IF(SER_hh_tes!X24=0,0,11630*1000*SER_hh_tes!X24/SER_hh_num!X24)</f>
        <v>0</v>
      </c>
      <c r="Y24" s="132">
        <f>IF(SER_hh_tes!Y24=0,0,11630*1000*SER_hh_tes!Y24/SER_hh_num!Y24)</f>
        <v>0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7000.5021595053004</v>
      </c>
      <c r="C25" s="132">
        <f>IF(SER_hh_tes!C25=0,0,11630*1000*SER_hh_tes!C25/SER_hh_num!C25)</f>
        <v>6982.9922165823173</v>
      </c>
      <c r="D25" s="132">
        <f>IF(SER_hh_tes!D25=0,0,11630*1000*SER_hh_tes!D25/SER_hh_num!D25)</f>
        <v>6838.5253708145819</v>
      </c>
      <c r="E25" s="132">
        <f>IF(SER_hh_tes!E25=0,0,11630*1000*SER_hh_tes!E25/SER_hh_num!E25)</f>
        <v>6826.3241111888192</v>
      </c>
      <c r="F25" s="132">
        <f>IF(SER_hh_tes!F25=0,0,11630*1000*SER_hh_tes!F25/SER_hh_num!F25)</f>
        <v>6744.7009329512475</v>
      </c>
      <c r="G25" s="132">
        <f>IF(SER_hh_tes!G25=0,0,11630*1000*SER_hh_tes!G25/SER_hh_num!G25)</f>
        <v>6573.8129631449101</v>
      </c>
      <c r="H25" s="132">
        <f>IF(SER_hh_tes!H25=0,0,11630*1000*SER_hh_tes!H25/SER_hh_num!H25)</f>
        <v>6693.4164486838372</v>
      </c>
      <c r="I25" s="132">
        <f>IF(SER_hh_tes!I25=0,0,11630*1000*SER_hh_tes!I25/SER_hh_num!I25)</f>
        <v>6695.7397152873709</v>
      </c>
      <c r="J25" s="132">
        <f>IF(SER_hh_tes!J25=0,0,11630*1000*SER_hh_tes!J25/SER_hh_num!J25)</f>
        <v>6830.6113530013636</v>
      </c>
      <c r="K25" s="132">
        <f>IF(SER_hh_tes!K25=0,0,11630*1000*SER_hh_tes!K25/SER_hh_num!K25)</f>
        <v>6953.9928773028596</v>
      </c>
      <c r="L25" s="132">
        <f>IF(SER_hh_tes!L25=0,0,11630*1000*SER_hh_tes!L25/SER_hh_num!L25)</f>
        <v>7269.1213275251193</v>
      </c>
      <c r="M25" s="132">
        <f>IF(SER_hh_tes!M25=0,0,11630*1000*SER_hh_tes!M25/SER_hh_num!M25)</f>
        <v>7583.9099216213262</v>
      </c>
      <c r="N25" s="132">
        <f>IF(SER_hh_tes!N25=0,0,11630*1000*SER_hh_tes!N25/SER_hh_num!N25)</f>
        <v>7649.6155665415899</v>
      </c>
      <c r="O25" s="132">
        <f>IF(SER_hh_tes!O25=0,0,11630*1000*SER_hh_tes!O25/SER_hh_num!O25)</f>
        <v>7955.1146852811271</v>
      </c>
      <c r="P25" s="132">
        <f>IF(SER_hh_tes!P25=0,0,11630*1000*SER_hh_tes!P25/SER_hh_num!P25)</f>
        <v>7755.0214912498013</v>
      </c>
      <c r="Q25" s="132">
        <f>IF(SER_hh_tes!Q25=0,0,11630*1000*SER_hh_tes!Q25/SER_hh_num!Q25)</f>
        <v>7692.518077017472</v>
      </c>
      <c r="R25" s="132">
        <f>IF(SER_hh_tes!R25=0,0,11630*1000*SER_hh_tes!R25/SER_hh_num!R25)</f>
        <v>8001.1815879114329</v>
      </c>
      <c r="S25" s="132">
        <f>IF(SER_hh_tes!S25=0,0,11630*1000*SER_hh_tes!S25/SER_hh_num!S25)</f>
        <v>8014.8621727907102</v>
      </c>
      <c r="T25" s="132">
        <f>IF(SER_hh_tes!T25=0,0,11630*1000*SER_hh_tes!T25/SER_hh_num!T25)</f>
        <v>8153.2363826396804</v>
      </c>
      <c r="U25" s="132">
        <f>IF(SER_hh_tes!U25=0,0,11630*1000*SER_hh_tes!U25/SER_hh_num!U25)</f>
        <v>7901.3328001072023</v>
      </c>
      <c r="V25" s="132">
        <f>IF(SER_hh_tes!V25=0,0,11630*1000*SER_hh_tes!V25/SER_hh_num!V25)</f>
        <v>7710.4717500219713</v>
      </c>
      <c r="W25" s="132">
        <f>IF(SER_hh_tes!W25=0,0,11630*1000*SER_hh_tes!W25/SER_hh_num!W25)</f>
        <v>8138.2978570581326</v>
      </c>
      <c r="X25" s="132">
        <f>IF(SER_hh_tes!X25=0,0,11630*1000*SER_hh_tes!X25/SER_hh_num!X25)</f>
        <v>7728.3909083202279</v>
      </c>
      <c r="Y25" s="132">
        <f>IF(SER_hh_tes!Y25=0,0,11630*1000*SER_hh_tes!Y25/SER_hh_num!Y25)</f>
        <v>7665.9466744644142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7104.1099686770185</v>
      </c>
      <c r="C26" s="65">
        <f>IF(SER_hh_tes!C26=0,0,11630*1000*SER_hh_tes!C26/SER_hh_num!C26)</f>
        <v>7044.2101318501427</v>
      </c>
      <c r="D26" s="65">
        <f>IF(SER_hh_tes!D26=0,0,11630*1000*SER_hh_tes!D26/SER_hh_num!D26)</f>
        <v>6917.0621104549955</v>
      </c>
      <c r="E26" s="65">
        <f>IF(SER_hh_tes!E26=0,0,11630*1000*SER_hh_tes!E26/SER_hh_num!E26)</f>
        <v>6822.0114184882877</v>
      </c>
      <c r="F26" s="65">
        <f>IF(SER_hh_tes!F26=0,0,11630*1000*SER_hh_tes!F26/SER_hh_num!F26)</f>
        <v>6614.0218415609925</v>
      </c>
      <c r="G26" s="65">
        <f>IF(SER_hh_tes!G26=0,0,11630*1000*SER_hh_tes!G26/SER_hh_num!G26)</f>
        <v>6534.061034607932</v>
      </c>
      <c r="H26" s="65">
        <f>IF(SER_hh_tes!H26=0,0,11630*1000*SER_hh_tes!H26/SER_hh_num!H26)</f>
        <v>6570.6261734965092</v>
      </c>
      <c r="I26" s="65">
        <f>IF(SER_hh_tes!I26=0,0,11630*1000*SER_hh_tes!I26/SER_hh_num!I26)</f>
        <v>6834.1101533995379</v>
      </c>
      <c r="J26" s="65">
        <f>IF(SER_hh_tes!J26=0,0,11630*1000*SER_hh_tes!J26/SER_hh_num!J26)</f>
        <v>6704.7925987563349</v>
      </c>
      <c r="K26" s="65">
        <f>IF(SER_hh_tes!K26=0,0,11630*1000*SER_hh_tes!K26/SER_hh_num!K26)</f>
        <v>6373.9493331074855</v>
      </c>
      <c r="L26" s="65">
        <f>IF(SER_hh_tes!L26=0,0,11630*1000*SER_hh_tes!L26/SER_hh_num!L26)</f>
        <v>7466.3977898519424</v>
      </c>
      <c r="M26" s="65">
        <f>IF(SER_hh_tes!M26=0,0,11630*1000*SER_hh_tes!M26/SER_hh_num!M26)</f>
        <v>7473.5503732074731</v>
      </c>
      <c r="N26" s="65">
        <f>IF(SER_hh_tes!N26=0,0,11630*1000*SER_hh_tes!N26/SER_hh_num!N26)</f>
        <v>7514.6485151822553</v>
      </c>
      <c r="O26" s="65">
        <f>IF(SER_hh_tes!O26=0,0,11630*1000*SER_hh_tes!O26/SER_hh_num!O26)</f>
        <v>7314.8172653044685</v>
      </c>
      <c r="P26" s="65">
        <f>IF(SER_hh_tes!P26=0,0,11630*1000*SER_hh_tes!P26/SER_hh_num!P26)</f>
        <v>7270.0260214346681</v>
      </c>
      <c r="Q26" s="65">
        <f>IF(SER_hh_tes!Q26=0,0,11630*1000*SER_hh_tes!Q26/SER_hh_num!Q26)</f>
        <v>7535.8569564288764</v>
      </c>
      <c r="R26" s="65">
        <f>IF(SER_hh_tes!R26=0,0,11630*1000*SER_hh_tes!R26/SER_hh_num!R26)</f>
        <v>7667.1329685668525</v>
      </c>
      <c r="S26" s="65">
        <f>IF(SER_hh_tes!S26=0,0,11630*1000*SER_hh_tes!S26/SER_hh_num!S26)</f>
        <v>7300.3626533739553</v>
      </c>
      <c r="T26" s="65">
        <f>IF(SER_hh_tes!T26=0,0,11630*1000*SER_hh_tes!T26/SER_hh_num!T26)</f>
        <v>7979.5025326317482</v>
      </c>
      <c r="U26" s="65">
        <f>IF(SER_hh_tes!U26=0,0,11630*1000*SER_hh_tes!U26/SER_hh_num!U26)</f>
        <v>7654.7825735919814</v>
      </c>
      <c r="V26" s="65">
        <f>IF(SER_hh_tes!V26=0,0,11630*1000*SER_hh_tes!V26/SER_hh_num!V26)</f>
        <v>7185.0965667505807</v>
      </c>
      <c r="W26" s="65">
        <f>IF(SER_hh_tes!W26=0,0,11630*1000*SER_hh_tes!W26/SER_hh_num!W26)</f>
        <v>6941.7224653139292</v>
      </c>
      <c r="X26" s="65">
        <f>IF(SER_hh_tes!X26=0,0,11630*1000*SER_hh_tes!X26/SER_hh_num!X26)</f>
        <v>7234.5261118415874</v>
      </c>
      <c r="Y26" s="65">
        <f>IF(SER_hh_tes!Y26=0,0,11630*1000*SER_hh_tes!Y26/SER_hh_num!Y26)</f>
        <v>7960.0422149528868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0</v>
      </c>
      <c r="C27" s="145">
        <f>IF(SER_hh_tes!C27=0,0,11630*1000*SER_hh_tes!C27/SER_hh_num!C19)</f>
        <v>0</v>
      </c>
      <c r="D27" s="145">
        <f>IF(SER_hh_tes!D27=0,0,11630*1000*SER_hh_tes!D27/SER_hh_num!D19)</f>
        <v>0</v>
      </c>
      <c r="E27" s="145">
        <f>IF(SER_hh_tes!E27=0,0,11630*1000*SER_hh_tes!E27/SER_hh_num!E19)</f>
        <v>18.292219795656699</v>
      </c>
      <c r="F27" s="145">
        <f>IF(SER_hh_tes!F27=0,0,11630*1000*SER_hh_tes!F27/SER_hh_num!F19)</f>
        <v>23.863150724307928</v>
      </c>
      <c r="G27" s="145">
        <f>IF(SER_hh_tes!G27=0,0,11630*1000*SER_hh_tes!G27/SER_hh_num!G19)</f>
        <v>28.755024920575991</v>
      </c>
      <c r="H27" s="145">
        <f>IF(SER_hh_tes!H27=0,0,11630*1000*SER_hh_tes!H27/SER_hh_num!H19)</f>
        <v>33.147296996866345</v>
      </c>
      <c r="I27" s="145">
        <f>IF(SER_hh_tes!I27=0,0,11630*1000*SER_hh_tes!I27/SER_hh_num!I19)</f>
        <v>40.582122793527745</v>
      </c>
      <c r="J27" s="145">
        <f>IF(SER_hh_tes!J27=0,0,11630*1000*SER_hh_tes!J27/SER_hh_num!J19)</f>
        <v>52.397509118561601</v>
      </c>
      <c r="K27" s="145">
        <f>IF(SER_hh_tes!K27=0,0,11630*1000*SER_hh_tes!K27/SER_hh_num!K19)</f>
        <v>64.06790255226106</v>
      </c>
      <c r="L27" s="145">
        <f>IF(SER_hh_tes!L27=0,0,11630*1000*SER_hh_tes!L27/SER_hh_num!L19)</f>
        <v>84.009322419017025</v>
      </c>
      <c r="M27" s="145">
        <f>IF(SER_hh_tes!M27=0,0,11630*1000*SER_hh_tes!M27/SER_hh_num!M19)</f>
        <v>104.63906986310738</v>
      </c>
      <c r="N27" s="145">
        <f>IF(SER_hh_tes!N27=0,0,11630*1000*SER_hh_tes!N27/SER_hh_num!N19)</f>
        <v>116.2177166611679</v>
      </c>
      <c r="O27" s="145">
        <f>IF(SER_hh_tes!O27=0,0,11630*1000*SER_hh_tes!O27/SER_hh_num!O19)</f>
        <v>123.21073130536118</v>
      </c>
      <c r="P27" s="145">
        <f>IF(SER_hh_tes!P27=0,0,11630*1000*SER_hh_tes!P27/SER_hh_num!P19)</f>
        <v>137.84592134722485</v>
      </c>
      <c r="Q27" s="145">
        <f>IF(SER_hh_tes!Q27=0,0,11630*1000*SER_hh_tes!Q27/SER_hh_num!Q19)</f>
        <v>143.97727599873457</v>
      </c>
      <c r="R27" s="145">
        <f>IF(SER_hh_tes!R27=0,0,11630*1000*SER_hh_tes!R27/SER_hh_num!R19)</f>
        <v>150.05184855978109</v>
      </c>
      <c r="S27" s="145">
        <f>IF(SER_hh_tes!S27=0,0,11630*1000*SER_hh_tes!S27/SER_hh_num!S19)</f>
        <v>153.31004660010632</v>
      </c>
      <c r="T27" s="145">
        <f>IF(SER_hh_tes!T27=0,0,11630*1000*SER_hh_tes!T27/SER_hh_num!T19)</f>
        <v>155.00577184847538</v>
      </c>
      <c r="U27" s="145">
        <f>IF(SER_hh_tes!U27=0,0,11630*1000*SER_hh_tes!U27/SER_hh_num!U19)</f>
        <v>155.61375874392834</v>
      </c>
      <c r="V27" s="145">
        <f>IF(SER_hh_tes!V27=0,0,11630*1000*SER_hh_tes!V27/SER_hh_num!V19)</f>
        <v>158.05384557489438</v>
      </c>
      <c r="W27" s="145">
        <f>IF(SER_hh_tes!W27=0,0,11630*1000*SER_hh_tes!W27/SER_hh_num!W19)</f>
        <v>160.28644472064153</v>
      </c>
      <c r="X27" s="145">
        <f>IF(SER_hh_tes!X27=0,0,11630*1000*SER_hh_tes!X27/SER_hh_num!X19)</f>
        <v>163.96056268670745</v>
      </c>
      <c r="Y27" s="145">
        <f>IF(SER_hh_tes!Y27=0,0,11630*1000*SER_hh_tes!Y27/SER_hh_num!Y19)</f>
        <v>168.01365454771312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0</v>
      </c>
      <c r="C28" s="146">
        <f>IF(SER_hh_tes!C27=0,0,11630*1000*SER_hh_tes!C27/SER_hh_num!C27)</f>
        <v>0</v>
      </c>
      <c r="D28" s="146">
        <f>IF(SER_hh_tes!D27=0,0,11630*1000*SER_hh_tes!D27/SER_hh_num!D27)</f>
        <v>0</v>
      </c>
      <c r="E28" s="146">
        <f>IF(SER_hh_tes!E27=0,0,11630*1000*SER_hh_tes!E27/SER_hh_num!E27)</f>
        <v>3489.3205991835857</v>
      </c>
      <c r="F28" s="146">
        <f>IF(SER_hh_tes!F27=0,0,11630*1000*SER_hh_tes!F27/SER_hh_num!F27)</f>
        <v>3378.6347971157484</v>
      </c>
      <c r="G28" s="146">
        <f>IF(SER_hh_tes!G27=0,0,11630*1000*SER_hh_tes!G27/SER_hh_num!G27)</f>
        <v>3462.0303732919897</v>
      </c>
      <c r="H28" s="146">
        <f>IF(SER_hh_tes!H27=0,0,11630*1000*SER_hh_tes!H27/SER_hh_num!H27)</f>
        <v>3343.5762660509572</v>
      </c>
      <c r="I28" s="146">
        <f>IF(SER_hh_tes!I27=0,0,11630*1000*SER_hh_tes!I27/SER_hh_num!I27)</f>
        <v>3414.4595062557687</v>
      </c>
      <c r="J28" s="146">
        <f>IF(SER_hh_tes!J27=0,0,11630*1000*SER_hh_tes!J27/SER_hh_num!J27)</f>
        <v>3494.0005449283994</v>
      </c>
      <c r="K28" s="146">
        <f>IF(SER_hh_tes!K27=0,0,11630*1000*SER_hh_tes!K27/SER_hh_num!K27)</f>
        <v>3692.6768860314578</v>
      </c>
      <c r="L28" s="146">
        <f>IF(SER_hh_tes!L27=0,0,11630*1000*SER_hh_tes!L27/SER_hh_num!L27)</f>
        <v>3912.5043951455523</v>
      </c>
      <c r="M28" s="146">
        <f>IF(SER_hh_tes!M27=0,0,11630*1000*SER_hh_tes!M27/SER_hh_num!M27)</f>
        <v>4348.607034422841</v>
      </c>
      <c r="N28" s="146">
        <f>IF(SER_hh_tes!N27=0,0,11630*1000*SER_hh_tes!N27/SER_hh_num!N27)</f>
        <v>4520.1248452145819</v>
      </c>
      <c r="O28" s="146">
        <f>IF(SER_hh_tes!O27=0,0,11630*1000*SER_hh_tes!O27/SER_hh_num!O27)</f>
        <v>4650.0959146436444</v>
      </c>
      <c r="P28" s="146">
        <f>IF(SER_hh_tes!P27=0,0,11630*1000*SER_hh_tes!P27/SER_hh_num!P27)</f>
        <v>4400.8500633757558</v>
      </c>
      <c r="Q28" s="146">
        <f>IF(SER_hh_tes!Q27=0,0,11630*1000*SER_hh_tes!Q27/SER_hh_num!Q27)</f>
        <v>4637.5165468897158</v>
      </c>
      <c r="R28" s="146">
        <f>IF(SER_hh_tes!R27=0,0,11630*1000*SER_hh_tes!R27/SER_hh_num!R27)</f>
        <v>4838.7877217998084</v>
      </c>
      <c r="S28" s="146">
        <f>IF(SER_hh_tes!S27=0,0,11630*1000*SER_hh_tes!S27/SER_hh_num!S27)</f>
        <v>4810.3906405656953</v>
      </c>
      <c r="T28" s="146">
        <f>IF(SER_hh_tes!T27=0,0,11630*1000*SER_hh_tes!T27/SER_hh_num!T27)</f>
        <v>4709.5743730238592</v>
      </c>
      <c r="U28" s="146">
        <f>IF(SER_hh_tes!U27=0,0,11630*1000*SER_hh_tes!U27/SER_hh_num!U27)</f>
        <v>4744.8621667869766</v>
      </c>
      <c r="V28" s="146">
        <f>IF(SER_hh_tes!V27=0,0,11630*1000*SER_hh_tes!V27/SER_hh_num!V27)</f>
        <v>4330.047278382649</v>
      </c>
      <c r="W28" s="146">
        <f>IF(SER_hh_tes!W27=0,0,11630*1000*SER_hh_tes!W27/SER_hh_num!W27)</f>
        <v>4765.6659797246866</v>
      </c>
      <c r="X28" s="146">
        <f>IF(SER_hh_tes!X27=0,0,11630*1000*SER_hh_tes!X27/SER_hh_num!X27)</f>
        <v>4460.5888374847964</v>
      </c>
      <c r="Y28" s="146">
        <f>IF(SER_hh_tes!Y27=0,0,11630*1000*SER_hh_tes!Y27/SER_hh_num!Y27)</f>
        <v>4974.4564045351763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7551.0178965961331</v>
      </c>
      <c r="C29" s="130">
        <f>IF(SER_hh_tes!C29=0,0,11630*1000*SER_hh_tes!C29/SER_hh_num!C29)</f>
        <v>7547.5441474646368</v>
      </c>
      <c r="D29" s="130">
        <f>IF(SER_hh_tes!D29=0,0,11630*1000*SER_hh_tes!D29/SER_hh_num!D29)</f>
        <v>7523.1131278800967</v>
      </c>
      <c r="E29" s="130">
        <f>IF(SER_hh_tes!E29=0,0,11630*1000*SER_hh_tes!E29/SER_hh_num!E29)</f>
        <v>7608.1672339832658</v>
      </c>
      <c r="F29" s="130">
        <f>IF(SER_hh_tes!F29=0,0,11630*1000*SER_hh_tes!F29/SER_hh_num!F29)</f>
        <v>7592.9573767204374</v>
      </c>
      <c r="G29" s="130">
        <f>IF(SER_hh_tes!G29=0,0,11630*1000*SER_hh_tes!G29/SER_hh_num!G29)</f>
        <v>7509.2859355439496</v>
      </c>
      <c r="H29" s="130">
        <f>IF(SER_hh_tes!H29=0,0,11630*1000*SER_hh_tes!H29/SER_hh_num!H29)</f>
        <v>7538.8313258921153</v>
      </c>
      <c r="I29" s="130">
        <f>IF(SER_hh_tes!I29=0,0,11630*1000*SER_hh_tes!I29/SER_hh_num!I29)</f>
        <v>7468.155268495485</v>
      </c>
      <c r="J29" s="130">
        <f>IF(SER_hh_tes!J29=0,0,11630*1000*SER_hh_tes!J29/SER_hh_num!J29)</f>
        <v>7553.9377456148213</v>
      </c>
      <c r="K29" s="130">
        <f>IF(SER_hh_tes!K29=0,0,11630*1000*SER_hh_tes!K29/SER_hh_num!K29)</f>
        <v>7988.0858925735847</v>
      </c>
      <c r="L29" s="130">
        <f>IF(SER_hh_tes!L29=0,0,11630*1000*SER_hh_tes!L29/SER_hh_num!L29)</f>
        <v>8234.2305702593785</v>
      </c>
      <c r="M29" s="130">
        <f>IF(SER_hh_tes!M29=0,0,11630*1000*SER_hh_tes!M29/SER_hh_num!M29)</f>
        <v>8349.4374646318574</v>
      </c>
      <c r="N29" s="130">
        <f>IF(SER_hh_tes!N29=0,0,11630*1000*SER_hh_tes!N29/SER_hh_num!N29)</f>
        <v>8413.1601812351455</v>
      </c>
      <c r="O29" s="130">
        <f>IF(SER_hh_tes!O29=0,0,11630*1000*SER_hh_tes!O29/SER_hh_num!O29)</f>
        <v>8543.0467859831424</v>
      </c>
      <c r="P29" s="130">
        <f>IF(SER_hh_tes!P29=0,0,11630*1000*SER_hh_tes!P29/SER_hh_num!P29)</f>
        <v>8549.7735134829054</v>
      </c>
      <c r="Q29" s="130">
        <f>IF(SER_hh_tes!Q29=0,0,11630*1000*SER_hh_tes!Q29/SER_hh_num!Q29)</f>
        <v>8580.9310641501852</v>
      </c>
      <c r="R29" s="130">
        <f>IF(SER_hh_tes!R29=0,0,11630*1000*SER_hh_tes!R29/SER_hh_num!R29)</f>
        <v>8624.0429449606909</v>
      </c>
      <c r="S29" s="130">
        <f>IF(SER_hh_tes!S29=0,0,11630*1000*SER_hh_tes!S29/SER_hh_num!S29)</f>
        <v>8715.478120218444</v>
      </c>
      <c r="T29" s="130">
        <f>IF(SER_hh_tes!T29=0,0,11630*1000*SER_hh_tes!T29/SER_hh_num!T29)</f>
        <v>8646.8932847112719</v>
      </c>
      <c r="U29" s="130">
        <f>IF(SER_hh_tes!U29=0,0,11630*1000*SER_hh_tes!U29/SER_hh_num!U29)</f>
        <v>8727.0868647170955</v>
      </c>
      <c r="V29" s="130">
        <f>IF(SER_hh_tes!V29=0,0,11630*1000*SER_hh_tes!V29/SER_hh_num!V29)</f>
        <v>8169.1113566944214</v>
      </c>
      <c r="W29" s="130">
        <f>IF(SER_hh_tes!W29=0,0,11630*1000*SER_hh_tes!W29/SER_hh_num!W29)</f>
        <v>8396.5027061843193</v>
      </c>
      <c r="X29" s="130">
        <f>IF(SER_hh_tes!X29=0,0,11630*1000*SER_hh_tes!X29/SER_hh_num!X29)</f>
        <v>8352.5331678377479</v>
      </c>
      <c r="Y29" s="130">
        <f>IF(SER_hh_tes!Y29=0,0,11630*1000*SER_hh_tes!Y29/SER_hh_num!Y29)</f>
        <v>8502.4816334710031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0</v>
      </c>
      <c r="C30" s="132">
        <f>IF(SER_hh_tes!C30=0,0,11630*1000*SER_hh_tes!C30/SER_hh_num!C30)</f>
        <v>0</v>
      </c>
      <c r="D30" s="132">
        <f>IF(SER_hh_tes!D30=0,0,11630*1000*SER_hh_tes!D30/SER_hh_num!D30)</f>
        <v>0</v>
      </c>
      <c r="E30" s="132">
        <f>IF(SER_hh_tes!E30=0,0,11630*1000*SER_hh_tes!E30/SER_hh_num!E30)</f>
        <v>0</v>
      </c>
      <c r="F30" s="132">
        <f>IF(SER_hh_tes!F30=0,0,11630*1000*SER_hh_tes!F30/SER_hh_num!F30)</f>
        <v>0</v>
      </c>
      <c r="G30" s="132">
        <f>IF(SER_hh_tes!G30=0,0,11630*1000*SER_hh_tes!G30/SER_hh_num!G30)</f>
        <v>0</v>
      </c>
      <c r="H30" s="132">
        <f>IF(SER_hh_tes!H30=0,0,11630*1000*SER_hh_tes!H30/SER_hh_num!H30)</f>
        <v>0</v>
      </c>
      <c r="I30" s="132">
        <f>IF(SER_hh_tes!I30=0,0,11630*1000*SER_hh_tes!I30/SER_hh_num!I30)</f>
        <v>0</v>
      </c>
      <c r="J30" s="132">
        <f>IF(SER_hh_tes!J30=0,0,11630*1000*SER_hh_tes!J30/SER_hh_num!J30)</f>
        <v>0</v>
      </c>
      <c r="K30" s="132">
        <f>IF(SER_hh_tes!K30=0,0,11630*1000*SER_hh_tes!K30/SER_hh_num!K30)</f>
        <v>0</v>
      </c>
      <c r="L30" s="132">
        <f>IF(SER_hh_tes!L30=0,0,11630*1000*SER_hh_tes!L30/SER_hh_num!L30)</f>
        <v>0</v>
      </c>
      <c r="M30" s="132">
        <f>IF(SER_hh_tes!M30=0,0,11630*1000*SER_hh_tes!M30/SER_hh_num!M30)</f>
        <v>0</v>
      </c>
      <c r="N30" s="132">
        <f>IF(SER_hh_tes!N30=0,0,11630*1000*SER_hh_tes!N30/SER_hh_num!N30)</f>
        <v>0</v>
      </c>
      <c r="O30" s="132">
        <f>IF(SER_hh_tes!O30=0,0,11630*1000*SER_hh_tes!O30/SER_hh_num!O30)</f>
        <v>0</v>
      </c>
      <c r="P30" s="132">
        <f>IF(SER_hh_tes!P30=0,0,11630*1000*SER_hh_tes!P30/SER_hh_num!P30)</f>
        <v>0</v>
      </c>
      <c r="Q30" s="132">
        <f>IF(SER_hh_tes!Q30=0,0,11630*1000*SER_hh_tes!Q30/SER_hh_num!Q30)</f>
        <v>0</v>
      </c>
      <c r="R30" s="132">
        <f>IF(SER_hh_tes!R30=0,0,11630*1000*SER_hh_tes!R30/SER_hh_num!R30)</f>
        <v>0</v>
      </c>
      <c r="S30" s="132">
        <f>IF(SER_hh_tes!S30=0,0,11630*1000*SER_hh_tes!S30/SER_hh_num!S30)</f>
        <v>0</v>
      </c>
      <c r="T30" s="132">
        <f>IF(SER_hh_tes!T30=0,0,11630*1000*SER_hh_tes!T30/SER_hh_num!T30)</f>
        <v>0</v>
      </c>
      <c r="U30" s="132">
        <f>IF(SER_hh_tes!U30=0,0,11630*1000*SER_hh_tes!U30/SER_hh_num!U30)</f>
        <v>0</v>
      </c>
      <c r="V30" s="132">
        <f>IF(SER_hh_tes!V30=0,0,11630*1000*SER_hh_tes!V30/SER_hh_num!V30)</f>
        <v>0</v>
      </c>
      <c r="W30" s="132">
        <f>IF(SER_hh_tes!W30=0,0,11630*1000*SER_hh_tes!W30/SER_hh_num!W30)</f>
        <v>0</v>
      </c>
      <c r="X30" s="132">
        <f>IF(SER_hh_tes!X30=0,0,11630*1000*SER_hh_tes!X30/SER_hh_num!X30)</f>
        <v>0</v>
      </c>
      <c r="Y30" s="132">
        <f>IF(SER_hh_tes!Y30=0,0,11630*1000*SER_hh_tes!Y30/SER_hh_num!Y30)</f>
        <v>0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6774.3806474354897</v>
      </c>
      <c r="C31" s="132">
        <f>IF(SER_hh_tes!C31=0,0,11630*1000*SER_hh_tes!C31/SER_hh_num!C31)</f>
        <v>7835.0077104061893</v>
      </c>
      <c r="D31" s="132">
        <f>IF(SER_hh_tes!D31=0,0,11630*1000*SER_hh_tes!D31/SER_hh_num!D31)</f>
        <v>7719.0280701481288</v>
      </c>
      <c r="E31" s="132">
        <f>IF(SER_hh_tes!E31=0,0,11630*1000*SER_hh_tes!E31/SER_hh_num!E31)</f>
        <v>7535.5625446901167</v>
      </c>
      <c r="F31" s="132">
        <f>IF(SER_hh_tes!F31=0,0,11630*1000*SER_hh_tes!F31/SER_hh_num!F31)</f>
        <v>7701.1923493708155</v>
      </c>
      <c r="G31" s="132">
        <f>IF(SER_hh_tes!G31=0,0,11630*1000*SER_hh_tes!G31/SER_hh_num!G31)</f>
        <v>7545.277860510625</v>
      </c>
      <c r="H31" s="132">
        <f>IF(SER_hh_tes!H31=0,0,11630*1000*SER_hh_tes!H31/SER_hh_num!H31)</f>
        <v>7433.6870411265199</v>
      </c>
      <c r="I31" s="132">
        <f>IF(SER_hh_tes!I31=0,0,11630*1000*SER_hh_tes!I31/SER_hh_num!I31)</f>
        <v>7462.7916937623359</v>
      </c>
      <c r="J31" s="132">
        <f>IF(SER_hh_tes!J31=0,0,11630*1000*SER_hh_tes!J31/SER_hh_num!J31)</f>
        <v>7595.8918428695506</v>
      </c>
      <c r="K31" s="132">
        <f>IF(SER_hh_tes!K31=0,0,11630*1000*SER_hh_tes!K31/SER_hh_num!K31)</f>
        <v>8491.0864252739375</v>
      </c>
      <c r="L31" s="132">
        <f>IF(SER_hh_tes!L31=0,0,11630*1000*SER_hh_tes!L31/SER_hh_num!L31)</f>
        <v>8229.4782685936898</v>
      </c>
      <c r="M31" s="132">
        <f>IF(SER_hh_tes!M31=0,0,11630*1000*SER_hh_tes!M31/SER_hh_num!M31)</f>
        <v>8339.4564150199676</v>
      </c>
      <c r="N31" s="132">
        <f>IF(SER_hh_tes!N31=0,0,11630*1000*SER_hh_tes!N31/SER_hh_num!N31)</f>
        <v>8413.7100779057982</v>
      </c>
      <c r="O31" s="132">
        <f>IF(SER_hh_tes!O31=0,0,11630*1000*SER_hh_tes!O31/SER_hh_num!O31)</f>
        <v>8483.9490912660895</v>
      </c>
      <c r="P31" s="132">
        <f>IF(SER_hh_tes!P31=0,0,11630*1000*SER_hh_tes!P31/SER_hh_num!P31)</f>
        <v>8504.5982515100222</v>
      </c>
      <c r="Q31" s="132">
        <f>IF(SER_hh_tes!Q31=0,0,11630*1000*SER_hh_tes!Q31/SER_hh_num!Q31)</f>
        <v>8252.801114967122</v>
      </c>
      <c r="R31" s="132">
        <f>IF(SER_hh_tes!R31=0,0,11630*1000*SER_hh_tes!R31/SER_hh_num!R31)</f>
        <v>8510.563308965704</v>
      </c>
      <c r="S31" s="132">
        <f>IF(SER_hh_tes!S31=0,0,11630*1000*SER_hh_tes!S31/SER_hh_num!S31)</f>
        <v>9166.9784363382914</v>
      </c>
      <c r="T31" s="132">
        <f>IF(SER_hh_tes!T31=0,0,11630*1000*SER_hh_tes!T31/SER_hh_num!T31)</f>
        <v>8462.1486896209426</v>
      </c>
      <c r="U31" s="132">
        <f>IF(SER_hh_tes!U31=0,0,11630*1000*SER_hh_tes!U31/SER_hh_num!U31)</f>
        <v>8950.3866860411199</v>
      </c>
      <c r="V31" s="132">
        <f>IF(SER_hh_tes!V31=0,0,11630*1000*SER_hh_tes!V31/SER_hh_num!V31)</f>
        <v>8333.6647574721137</v>
      </c>
      <c r="W31" s="132">
        <f>IF(SER_hh_tes!W31=0,0,11630*1000*SER_hh_tes!W31/SER_hh_num!W31)</f>
        <v>8533.6718839398163</v>
      </c>
      <c r="X31" s="132">
        <f>IF(SER_hh_tes!X31=0,0,11630*1000*SER_hh_tes!X31/SER_hh_num!X31)</f>
        <v>8374.5235836057818</v>
      </c>
      <c r="Y31" s="132">
        <f>IF(SER_hh_tes!Y31=0,0,11630*1000*SER_hh_tes!Y31/SER_hh_num!Y31)</f>
        <v>8222.4374755699446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0</v>
      </c>
      <c r="C32" s="132">
        <f>IF(SER_hh_tes!C32=0,0,11630*1000*SER_hh_tes!C32/SER_hh_num!C32)</f>
        <v>0</v>
      </c>
      <c r="D32" s="132">
        <f>IF(SER_hh_tes!D32=0,0,11630*1000*SER_hh_tes!D32/SER_hh_num!D32)</f>
        <v>0</v>
      </c>
      <c r="E32" s="132">
        <f>IF(SER_hh_tes!E32=0,0,11630*1000*SER_hh_tes!E32/SER_hh_num!E32)</f>
        <v>0</v>
      </c>
      <c r="F32" s="132">
        <f>IF(SER_hh_tes!F32=0,0,11630*1000*SER_hh_tes!F32/SER_hh_num!F32)</f>
        <v>0</v>
      </c>
      <c r="G32" s="132">
        <f>IF(SER_hh_tes!G32=0,0,11630*1000*SER_hh_tes!G32/SER_hh_num!G32)</f>
        <v>0</v>
      </c>
      <c r="H32" s="132">
        <f>IF(SER_hh_tes!H32=0,0,11630*1000*SER_hh_tes!H32/SER_hh_num!H32)</f>
        <v>0</v>
      </c>
      <c r="I32" s="132">
        <f>IF(SER_hh_tes!I32=0,0,11630*1000*SER_hh_tes!I32/SER_hh_num!I32)</f>
        <v>0</v>
      </c>
      <c r="J32" s="132">
        <f>IF(SER_hh_tes!J32=0,0,11630*1000*SER_hh_tes!J32/SER_hh_num!J32)</f>
        <v>0</v>
      </c>
      <c r="K32" s="132">
        <f>IF(SER_hh_tes!K32=0,0,11630*1000*SER_hh_tes!K32/SER_hh_num!K32)</f>
        <v>0</v>
      </c>
      <c r="L32" s="132">
        <f>IF(SER_hh_tes!L32=0,0,11630*1000*SER_hh_tes!L32/SER_hh_num!L32)</f>
        <v>0</v>
      </c>
      <c r="M32" s="132">
        <f>IF(SER_hh_tes!M32=0,0,11630*1000*SER_hh_tes!M32/SER_hh_num!M32)</f>
        <v>0</v>
      </c>
      <c r="N32" s="132">
        <f>IF(SER_hh_tes!N32=0,0,11630*1000*SER_hh_tes!N32/SER_hh_num!N32)</f>
        <v>0</v>
      </c>
      <c r="O32" s="132">
        <f>IF(SER_hh_tes!O32=0,0,11630*1000*SER_hh_tes!O32/SER_hh_num!O32)</f>
        <v>0</v>
      </c>
      <c r="P32" s="132">
        <f>IF(SER_hh_tes!P32=0,0,11630*1000*SER_hh_tes!P32/SER_hh_num!P32)</f>
        <v>0</v>
      </c>
      <c r="Q32" s="132">
        <f>IF(SER_hh_tes!Q32=0,0,11630*1000*SER_hh_tes!Q32/SER_hh_num!Q32)</f>
        <v>0</v>
      </c>
      <c r="R32" s="132">
        <f>IF(SER_hh_tes!R32=0,0,11630*1000*SER_hh_tes!R32/SER_hh_num!R32)</f>
        <v>0</v>
      </c>
      <c r="S32" s="132">
        <f>IF(SER_hh_tes!S32=0,0,11630*1000*SER_hh_tes!S32/SER_hh_num!S32)</f>
        <v>0</v>
      </c>
      <c r="T32" s="132">
        <f>IF(SER_hh_tes!T32=0,0,11630*1000*SER_hh_tes!T32/SER_hh_num!T32)</f>
        <v>0</v>
      </c>
      <c r="U32" s="132">
        <f>IF(SER_hh_tes!U32=0,0,11630*1000*SER_hh_tes!U32/SER_hh_num!U32)</f>
        <v>0</v>
      </c>
      <c r="V32" s="132">
        <f>IF(SER_hh_tes!V32=0,0,11630*1000*SER_hh_tes!V32/SER_hh_num!V32)</f>
        <v>0</v>
      </c>
      <c r="W32" s="132">
        <f>IF(SER_hh_tes!W32=0,0,11630*1000*SER_hh_tes!W32/SER_hh_num!W32)</f>
        <v>0</v>
      </c>
      <c r="X32" s="132">
        <f>IF(SER_hh_tes!X32=0,0,11630*1000*SER_hh_tes!X32/SER_hh_num!X32)</f>
        <v>0</v>
      </c>
      <c r="Y32" s="132">
        <f>IF(SER_hh_tes!Y32=0,0,11630*1000*SER_hh_tes!Y32/SER_hh_num!Y32)</f>
        <v>0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8305.1110394258358</v>
      </c>
      <c r="C33" s="68">
        <f>IF(SER_hh_tes!C33=0,0,11630*1000*SER_hh_tes!C33/SER_hh_num!C33)</f>
        <v>7261.9447990143899</v>
      </c>
      <c r="D33" s="68">
        <f>IF(SER_hh_tes!D33=0,0,11630*1000*SER_hh_tes!D33/SER_hh_num!D33)</f>
        <v>7324.5540789821471</v>
      </c>
      <c r="E33" s="68">
        <f>IF(SER_hh_tes!E33=0,0,11630*1000*SER_hh_tes!E33/SER_hh_num!E33)</f>
        <v>7681.8545165193755</v>
      </c>
      <c r="F33" s="68">
        <f>IF(SER_hh_tes!F33=0,0,11630*1000*SER_hh_tes!F33/SER_hh_num!F33)</f>
        <v>7485.5725268748556</v>
      </c>
      <c r="G33" s="68">
        <f>IF(SER_hh_tes!G33=0,0,11630*1000*SER_hh_tes!G33/SER_hh_num!G33)</f>
        <v>7473.700790404997</v>
      </c>
      <c r="H33" s="68">
        <f>IF(SER_hh_tes!H33=0,0,11630*1000*SER_hh_tes!H33/SER_hh_num!H33)</f>
        <v>7639.724133195461</v>
      </c>
      <c r="I33" s="68">
        <f>IF(SER_hh_tes!I33=0,0,11630*1000*SER_hh_tes!I33/SER_hh_num!I33)</f>
        <v>7473.3036193596345</v>
      </c>
      <c r="J33" s="68">
        <f>IF(SER_hh_tes!J33=0,0,11630*1000*SER_hh_tes!J33/SER_hh_num!J33)</f>
        <v>7513.1670089217141</v>
      </c>
      <c r="K33" s="68">
        <f>IF(SER_hh_tes!K33=0,0,11630*1000*SER_hh_tes!K33/SER_hh_num!K33)</f>
        <v>7493.2789425376886</v>
      </c>
      <c r="L33" s="68">
        <f>IF(SER_hh_tes!L33=0,0,11630*1000*SER_hh_tes!L33/SER_hh_num!L33)</f>
        <v>8238.99973403476</v>
      </c>
      <c r="M33" s="68">
        <f>IF(SER_hh_tes!M33=0,0,11630*1000*SER_hh_tes!M33/SER_hh_num!M33)</f>
        <v>8359.1793113454423</v>
      </c>
      <c r="N33" s="68">
        <f>IF(SER_hh_tes!N33=0,0,11630*1000*SER_hh_tes!N33/SER_hh_num!N33)</f>
        <v>8412.637388954272</v>
      </c>
      <c r="O33" s="68">
        <f>IF(SER_hh_tes!O33=0,0,11630*1000*SER_hh_tes!O33/SER_hh_num!O33)</f>
        <v>8598.3211397600808</v>
      </c>
      <c r="P33" s="68">
        <f>IF(SER_hh_tes!P33=0,0,11630*1000*SER_hh_tes!P33/SER_hh_num!P33)</f>
        <v>8591.7626552281326</v>
      </c>
      <c r="Q33" s="68">
        <f>IF(SER_hh_tes!Q33=0,0,11630*1000*SER_hh_tes!Q33/SER_hh_num!Q33)</f>
        <v>8891.8872074789942</v>
      </c>
      <c r="R33" s="68">
        <f>IF(SER_hh_tes!R33=0,0,11630*1000*SER_hh_tes!R33/SER_hh_num!R33)</f>
        <v>8740.6096456436426</v>
      </c>
      <c r="S33" s="68">
        <f>IF(SER_hh_tes!S33=0,0,11630*1000*SER_hh_tes!S33/SER_hh_num!S33)</f>
        <v>8198.3468990342208</v>
      </c>
      <c r="T33" s="68">
        <f>IF(SER_hh_tes!T33=0,0,11630*1000*SER_hh_tes!T33/SER_hh_num!T33)</f>
        <v>8864.4379308080261</v>
      </c>
      <c r="U33" s="68">
        <f>IF(SER_hh_tes!U33=0,0,11630*1000*SER_hh_tes!U33/SER_hh_num!U33)</f>
        <v>8458.0916980074871</v>
      </c>
      <c r="V33" s="68">
        <f>IF(SER_hh_tes!V33=0,0,11630*1000*SER_hh_tes!V33/SER_hh_num!V33)</f>
        <v>7981.9801788710292</v>
      </c>
      <c r="W33" s="68">
        <f>IF(SER_hh_tes!W33=0,0,11630*1000*SER_hh_tes!W33/SER_hh_num!W33)</f>
        <v>8255.7629784751771</v>
      </c>
      <c r="X33" s="68">
        <f>IF(SER_hh_tes!X33=0,0,11630*1000*SER_hh_tes!X33/SER_hh_num!X33)</f>
        <v>8333.1256145083607</v>
      </c>
      <c r="Y33" s="68">
        <f>IF(SER_hh_tes!Y33=0,0,11630*1000*SER_hh_tes!Y33/SER_hh_num!Y33)</f>
        <v>8719.2139371719404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22413.170901191927</v>
      </c>
      <c r="C3" s="125">
        <f>IF(SER_hh_emi!C3=0,0,1000000*SER_hh_emi!C3/SER_hh_num!C3)</f>
        <v>19016.559082720039</v>
      </c>
      <c r="D3" s="125">
        <f>IF(SER_hh_emi!D3=0,0,1000000*SER_hh_emi!D3/SER_hh_num!D3)</f>
        <v>18041.267251730984</v>
      </c>
      <c r="E3" s="125">
        <f>IF(SER_hh_emi!E3=0,0,1000000*SER_hh_emi!E3/SER_hh_num!E3)</f>
        <v>21805.941189011963</v>
      </c>
      <c r="F3" s="125">
        <f>IF(SER_hh_emi!F3=0,0,1000000*SER_hh_emi!F3/SER_hh_num!F3)</f>
        <v>21879.474020785794</v>
      </c>
      <c r="G3" s="125">
        <f>IF(SER_hh_emi!G3=0,0,1000000*SER_hh_emi!G3/SER_hh_num!G3)</f>
        <v>15039.459447059195</v>
      </c>
      <c r="H3" s="125">
        <f>IF(SER_hh_emi!H3=0,0,1000000*SER_hh_emi!H3/SER_hh_num!H3)</f>
        <v>15460.710670220553</v>
      </c>
      <c r="I3" s="125">
        <f>IF(SER_hh_emi!I3=0,0,1000000*SER_hh_emi!I3/SER_hh_num!I3)</f>
        <v>13217.536605268779</v>
      </c>
      <c r="J3" s="125">
        <f>IF(SER_hh_emi!J3=0,0,1000000*SER_hh_emi!J3/SER_hh_num!J3)</f>
        <v>14640.287614298973</v>
      </c>
      <c r="K3" s="125">
        <f>IF(SER_hh_emi!K3=0,0,1000000*SER_hh_emi!K3/SER_hh_num!K3)</f>
        <v>12747.478811736846</v>
      </c>
      <c r="L3" s="125">
        <f>IF(SER_hh_emi!L3=0,0,1000000*SER_hh_emi!L3/SER_hh_num!L3)</f>
        <v>13346.219285784298</v>
      </c>
      <c r="M3" s="125">
        <f>IF(SER_hh_emi!M3=0,0,1000000*SER_hh_emi!M3/SER_hh_num!M3)</f>
        <v>12626.713590147328</v>
      </c>
      <c r="N3" s="125">
        <f>IF(SER_hh_emi!N3=0,0,1000000*SER_hh_emi!N3/SER_hh_num!N3)</f>
        <v>11877.818241628773</v>
      </c>
      <c r="O3" s="125">
        <f>IF(SER_hh_emi!O3=0,0,1000000*SER_hh_emi!O3/SER_hh_num!O3)</f>
        <v>11311.790388904727</v>
      </c>
      <c r="P3" s="125">
        <f>IF(SER_hh_emi!P3=0,0,1000000*SER_hh_emi!P3/SER_hh_num!P3)</f>
        <v>10816.172284983058</v>
      </c>
      <c r="Q3" s="125">
        <f>IF(SER_hh_emi!Q3=0,0,1000000*SER_hh_emi!Q3/SER_hh_num!Q3)</f>
        <v>10687.455388692239</v>
      </c>
      <c r="R3" s="125">
        <f>IF(SER_hh_emi!R3=0,0,1000000*SER_hh_emi!R3/SER_hh_num!R3)</f>
        <v>10767.228949315062</v>
      </c>
      <c r="S3" s="125">
        <f>IF(SER_hh_emi!S3=0,0,1000000*SER_hh_emi!S3/SER_hh_num!S3)</f>
        <v>11280.819921274442</v>
      </c>
      <c r="T3" s="125">
        <f>IF(SER_hh_emi!T3=0,0,1000000*SER_hh_emi!T3/SER_hh_num!T3)</f>
        <v>10014.452511249603</v>
      </c>
      <c r="U3" s="125">
        <f>IF(SER_hh_emi!U3=0,0,1000000*SER_hh_emi!U3/SER_hh_num!U3)</f>
        <v>10459.452745760971</v>
      </c>
      <c r="V3" s="125">
        <f>IF(SER_hh_emi!V3=0,0,1000000*SER_hh_emi!V3/SER_hh_num!V3)</f>
        <v>9373.1918114114578</v>
      </c>
      <c r="W3" s="125">
        <f>IF(SER_hh_emi!W3=0,0,1000000*SER_hh_emi!W3/SER_hh_num!W3)</f>
        <v>8911.9625080436872</v>
      </c>
      <c r="X3" s="125">
        <f>IF(SER_hh_emi!X3=0,0,1000000*SER_hh_emi!X3/SER_hh_num!X3)</f>
        <v>7919.0821938024028</v>
      </c>
      <c r="Y3" s="125">
        <f>IF(SER_hh_emi!Y3=0,0,1000000*SER_hh_emi!Y3/SER_hh_num!Y3)</f>
        <v>6910.2202302893647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20326.19505501274</v>
      </c>
      <c r="C4" s="130">
        <f>IF(SER_hh_emi!C4=0,0,1000000*SER_hh_emi!C4/SER_hh_num!C4)</f>
        <v>16744.809881149635</v>
      </c>
      <c r="D4" s="130">
        <f>IF(SER_hh_emi!D4=0,0,1000000*SER_hh_emi!D4/SER_hh_num!D4)</f>
        <v>15758.780527887388</v>
      </c>
      <c r="E4" s="130">
        <f>IF(SER_hh_emi!E4=0,0,1000000*SER_hh_emi!E4/SER_hh_num!E4)</f>
        <v>19590.025854693595</v>
      </c>
      <c r="F4" s="130">
        <f>IF(SER_hh_emi!F4=0,0,1000000*SER_hh_emi!F4/SER_hh_num!F4)</f>
        <v>19663.90408991362</v>
      </c>
      <c r="G4" s="130">
        <f>IF(SER_hh_emi!G4=0,0,1000000*SER_hh_emi!G4/SER_hh_num!G4)</f>
        <v>12831.561987854184</v>
      </c>
      <c r="H4" s="130">
        <f>IF(SER_hh_emi!H4=0,0,1000000*SER_hh_emi!H4/SER_hh_num!H4)</f>
        <v>13280.742481057998</v>
      </c>
      <c r="I4" s="130">
        <f>IF(SER_hh_emi!I4=0,0,1000000*SER_hh_emi!I4/SER_hh_num!I4)</f>
        <v>11021.768693191387</v>
      </c>
      <c r="J4" s="130">
        <f>IF(SER_hh_emi!J4=0,0,1000000*SER_hh_emi!J4/SER_hh_num!J4)</f>
        <v>12378.79730058186</v>
      </c>
      <c r="K4" s="130">
        <f>IF(SER_hh_emi!K4=0,0,1000000*SER_hh_emi!K4/SER_hh_num!K4)</f>
        <v>10105.089329238985</v>
      </c>
      <c r="L4" s="130">
        <f>IF(SER_hh_emi!L4=0,0,1000000*SER_hh_emi!L4/SER_hh_num!L4)</f>
        <v>10816.648899159905</v>
      </c>
      <c r="M4" s="130">
        <f>IF(SER_hh_emi!M4=0,0,1000000*SER_hh_emi!M4/SER_hh_num!M4)</f>
        <v>10108.689053617423</v>
      </c>
      <c r="N4" s="130">
        <f>IF(SER_hh_emi!N4=0,0,1000000*SER_hh_emi!N4/SER_hh_num!N4)</f>
        <v>9361.3120816737246</v>
      </c>
      <c r="O4" s="130">
        <f>IF(SER_hh_emi!O4=0,0,1000000*SER_hh_emi!O4/SER_hh_num!O4)</f>
        <v>8798.8009088233703</v>
      </c>
      <c r="P4" s="130">
        <f>IF(SER_hh_emi!P4=0,0,1000000*SER_hh_emi!P4/SER_hh_num!P4)</f>
        <v>8312.5517165361543</v>
      </c>
      <c r="Q4" s="130">
        <f>IF(SER_hh_emi!Q4=0,0,1000000*SER_hh_emi!Q4/SER_hh_num!Q4)</f>
        <v>8226.4337261008441</v>
      </c>
      <c r="R4" s="130">
        <f>IF(SER_hh_emi!R4=0,0,1000000*SER_hh_emi!R4/SER_hh_num!R4)</f>
        <v>8216.0534828612199</v>
      </c>
      <c r="S4" s="130">
        <f>IF(SER_hh_emi!S4=0,0,1000000*SER_hh_emi!S4/SER_hh_num!S4)</f>
        <v>8480.1953490116448</v>
      </c>
      <c r="T4" s="130">
        <f>IF(SER_hh_emi!T4=0,0,1000000*SER_hh_emi!T4/SER_hh_num!T4)</f>
        <v>7453.8446554361662</v>
      </c>
      <c r="U4" s="130">
        <f>IF(SER_hh_emi!U4=0,0,1000000*SER_hh_emi!U4/SER_hh_num!U4)</f>
        <v>7758.6164537706063</v>
      </c>
      <c r="V4" s="130">
        <f>IF(SER_hh_emi!V4=0,0,1000000*SER_hh_emi!V4/SER_hh_num!V4)</f>
        <v>6928.3000559074317</v>
      </c>
      <c r="W4" s="130">
        <f>IF(SER_hh_emi!W4=0,0,1000000*SER_hh_emi!W4/SER_hh_num!W4)</f>
        <v>6541.1319702195624</v>
      </c>
      <c r="X4" s="130">
        <f>IF(SER_hh_emi!X4=0,0,1000000*SER_hh_emi!X4/SER_hh_num!X4)</f>
        <v>5799.7946485164284</v>
      </c>
      <c r="Y4" s="130">
        <f>IF(SER_hh_emi!Y4=0,0,1000000*SER_hh_emi!Y4/SER_hh_num!Y4)</f>
        <v>5009.604164082848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69210.453277830151</v>
      </c>
      <c r="C5" s="132">
        <f>IF(SER_hh_emi!C5=0,0,1000000*SER_hh_emi!C5/SER_hh_num!C5)</f>
        <v>36904.808180842505</v>
      </c>
      <c r="D5" s="132">
        <f>IF(SER_hh_emi!D5=0,0,1000000*SER_hh_emi!D5/SER_hh_num!D5)</f>
        <v>37754.904716028264</v>
      </c>
      <c r="E5" s="132">
        <f>IF(SER_hh_emi!E5=0,0,1000000*SER_hh_emi!E5/SER_hh_num!E5)</f>
        <v>69398.358315870559</v>
      </c>
      <c r="F5" s="132">
        <f>IF(SER_hh_emi!F5=0,0,1000000*SER_hh_emi!F5/SER_hh_num!F5)</f>
        <v>74061.054196083409</v>
      </c>
      <c r="G5" s="132">
        <f>IF(SER_hh_emi!G5=0,0,1000000*SER_hh_emi!G5/SER_hh_num!G5)</f>
        <v>18540.656270233634</v>
      </c>
      <c r="H5" s="132">
        <f>IF(SER_hh_emi!H5=0,0,1000000*SER_hh_emi!H5/SER_hh_num!H5)</f>
        <v>46259.923341351743</v>
      </c>
      <c r="I5" s="132">
        <f>IF(SER_hh_emi!I5=0,0,1000000*SER_hh_emi!I5/SER_hh_num!I5)</f>
        <v>25951.907736794092</v>
      </c>
      <c r="J5" s="132">
        <f>IF(SER_hh_emi!J5=0,0,1000000*SER_hh_emi!J5/SER_hh_num!J5)</f>
        <v>43516.473852054311</v>
      </c>
      <c r="K5" s="132">
        <f>IF(SER_hh_emi!K5=0,0,1000000*SER_hh_emi!K5/SER_hh_num!K5)</f>
        <v>22342.928468784819</v>
      </c>
      <c r="L5" s="132">
        <f>IF(SER_hh_emi!L5=0,0,1000000*SER_hh_emi!L5/SER_hh_num!L5)</f>
        <v>36264.727864529894</v>
      </c>
      <c r="M5" s="132">
        <f>IF(SER_hh_emi!M5=0,0,1000000*SER_hh_emi!M5/SER_hh_num!M5)</f>
        <v>34712.110338917933</v>
      </c>
      <c r="N5" s="132">
        <f>IF(SER_hh_emi!N5=0,0,1000000*SER_hh_emi!N5/SER_hh_num!N5)</f>
        <v>31077.662057434867</v>
      </c>
      <c r="O5" s="132">
        <f>IF(SER_hh_emi!O5=0,0,1000000*SER_hh_emi!O5/SER_hh_num!O5)</f>
        <v>29863.451435103754</v>
      </c>
      <c r="P5" s="132">
        <f>IF(SER_hh_emi!P5=0,0,1000000*SER_hh_emi!P5/SER_hh_num!P5)</f>
        <v>26159.22773834804</v>
      </c>
      <c r="Q5" s="132">
        <f>IF(SER_hh_emi!Q5=0,0,1000000*SER_hh_emi!Q5/SER_hh_num!Q5)</f>
        <v>23416.700157615192</v>
      </c>
      <c r="R5" s="132">
        <f>IF(SER_hh_emi!R5=0,0,1000000*SER_hh_emi!R5/SER_hh_num!R5)</f>
        <v>29564.625759091996</v>
      </c>
      <c r="S5" s="132">
        <f>IF(SER_hh_emi!S5=0,0,1000000*SER_hh_emi!S5/SER_hh_num!S5)</f>
        <v>30036.278487780168</v>
      </c>
      <c r="T5" s="132">
        <f>IF(SER_hh_emi!T5=0,0,1000000*SER_hh_emi!T5/SER_hh_num!T5)</f>
        <v>23251.272892535584</v>
      </c>
      <c r="U5" s="132">
        <f>IF(SER_hh_emi!U5=0,0,1000000*SER_hh_emi!U5/SER_hh_num!U5)</f>
        <v>29040.778801630364</v>
      </c>
      <c r="V5" s="132">
        <f>IF(SER_hh_emi!V5=0,0,1000000*SER_hh_emi!V5/SER_hh_num!V5)</f>
        <v>23016.395478526483</v>
      </c>
      <c r="W5" s="132">
        <f>IF(SER_hh_emi!W5=0,0,1000000*SER_hh_emi!W5/SER_hh_num!W5)</f>
        <v>26631.721659079547</v>
      </c>
      <c r="X5" s="132">
        <f>IF(SER_hh_emi!X5=0,0,1000000*SER_hh_emi!X5/SER_hh_num!X5)</f>
        <v>27480.2763550009</v>
      </c>
      <c r="Y5" s="132">
        <f>IF(SER_hh_emi!Y5=0,0,1000000*SER_hh_emi!Y5/SER_hh_num!Y5)</f>
        <v>16317.95474737384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0</v>
      </c>
      <c r="C6" s="132">
        <f>IF(SER_hh_emi!C6=0,0,1000000*SER_hh_emi!C6/SER_hh_num!C6)</f>
        <v>0</v>
      </c>
      <c r="D6" s="132">
        <f>IF(SER_hh_emi!D6=0,0,1000000*SER_hh_emi!D6/SER_hh_num!D6)</f>
        <v>0</v>
      </c>
      <c r="E6" s="132">
        <f>IF(SER_hh_emi!E6=0,0,1000000*SER_hh_emi!E6/SER_hh_num!E6)</f>
        <v>0</v>
      </c>
      <c r="F6" s="132">
        <f>IF(SER_hh_emi!F6=0,0,1000000*SER_hh_emi!F6/SER_hh_num!F6)</f>
        <v>0</v>
      </c>
      <c r="G6" s="132">
        <f>IF(SER_hh_emi!G6=0,0,1000000*SER_hh_emi!G6/SER_hh_num!G6)</f>
        <v>0</v>
      </c>
      <c r="H6" s="132">
        <f>IF(SER_hh_emi!H6=0,0,1000000*SER_hh_emi!H6/SER_hh_num!H6)</f>
        <v>0</v>
      </c>
      <c r="I6" s="132">
        <f>IF(SER_hh_emi!I6=0,0,1000000*SER_hh_emi!I6/SER_hh_num!I6)</f>
        <v>0</v>
      </c>
      <c r="J6" s="132">
        <f>IF(SER_hh_emi!J6=0,0,1000000*SER_hh_emi!J6/SER_hh_num!J6)</f>
        <v>0</v>
      </c>
      <c r="K6" s="132">
        <f>IF(SER_hh_emi!K6=0,0,1000000*SER_hh_emi!K6/SER_hh_num!K6)</f>
        <v>0</v>
      </c>
      <c r="L6" s="132">
        <f>IF(SER_hh_emi!L6=0,0,1000000*SER_hh_emi!L6/SER_hh_num!L6)</f>
        <v>0</v>
      </c>
      <c r="M6" s="132">
        <f>IF(SER_hh_emi!M6=0,0,1000000*SER_hh_emi!M6/SER_hh_num!M6)</f>
        <v>0</v>
      </c>
      <c r="N6" s="132">
        <f>IF(SER_hh_emi!N6=0,0,1000000*SER_hh_emi!N6/SER_hh_num!N6)</f>
        <v>0</v>
      </c>
      <c r="O6" s="132">
        <f>IF(SER_hh_emi!O6=0,0,1000000*SER_hh_emi!O6/SER_hh_num!O6)</f>
        <v>0</v>
      </c>
      <c r="P6" s="132">
        <f>IF(SER_hh_emi!P6=0,0,1000000*SER_hh_emi!P6/SER_hh_num!P6)</f>
        <v>0</v>
      </c>
      <c r="Q6" s="132">
        <f>IF(SER_hh_emi!Q6=0,0,1000000*SER_hh_emi!Q6/SER_hh_num!Q6)</f>
        <v>0</v>
      </c>
      <c r="R6" s="132">
        <f>IF(SER_hh_emi!R6=0,0,1000000*SER_hh_emi!R6/SER_hh_num!R6)</f>
        <v>0</v>
      </c>
      <c r="S6" s="132">
        <f>IF(SER_hh_emi!S6=0,0,1000000*SER_hh_emi!S6/SER_hh_num!S6)</f>
        <v>0</v>
      </c>
      <c r="T6" s="132">
        <f>IF(SER_hh_emi!T6=0,0,1000000*SER_hh_emi!T6/SER_hh_num!T6)</f>
        <v>0</v>
      </c>
      <c r="U6" s="132">
        <f>IF(SER_hh_emi!U6=0,0,1000000*SER_hh_emi!U6/SER_hh_num!U6)</f>
        <v>0</v>
      </c>
      <c r="V6" s="132">
        <f>IF(SER_hh_emi!V6=0,0,1000000*SER_hh_emi!V6/SER_hh_num!V6)</f>
        <v>0</v>
      </c>
      <c r="W6" s="132">
        <f>IF(SER_hh_emi!W6=0,0,1000000*SER_hh_emi!W6/SER_hh_num!W6)</f>
        <v>0</v>
      </c>
      <c r="X6" s="132">
        <f>IF(SER_hh_emi!X6=0,0,1000000*SER_hh_emi!X6/SER_hh_num!X6)</f>
        <v>0</v>
      </c>
      <c r="Y6" s="132">
        <f>IF(SER_hh_emi!Y6=0,0,1000000*SER_hh_emi!Y6/SER_hh_num!Y6)</f>
        <v>0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58721.594043380588</v>
      </c>
      <c r="C7" s="132">
        <f>IF(SER_hh_emi!C7=0,0,1000000*SER_hh_emi!C7/SER_hh_num!C7)</f>
        <v>21073.010824048568</v>
      </c>
      <c r="D7" s="132">
        <f>IF(SER_hh_emi!D7=0,0,1000000*SER_hh_emi!D7/SER_hh_num!D7)</f>
        <v>53358.21265816244</v>
      </c>
      <c r="E7" s="132">
        <f>IF(SER_hh_emi!E7=0,0,1000000*SER_hh_emi!E7/SER_hh_num!E7)</f>
        <v>41707.606970501816</v>
      </c>
      <c r="F7" s="132">
        <f>IF(SER_hh_emi!F7=0,0,1000000*SER_hh_emi!F7/SER_hh_num!F7)</f>
        <v>44877.274239426675</v>
      </c>
      <c r="G7" s="132">
        <f>IF(SER_hh_emi!G7=0,0,1000000*SER_hh_emi!G7/SER_hh_num!G7)</f>
        <v>30675.282254407091</v>
      </c>
      <c r="H7" s="132">
        <f>IF(SER_hh_emi!H7=0,0,1000000*SER_hh_emi!H7/SER_hh_num!H7)</f>
        <v>33014.855423519562</v>
      </c>
      <c r="I7" s="132">
        <f>IF(SER_hh_emi!I7=0,0,1000000*SER_hh_emi!I7/SER_hh_num!I7)</f>
        <v>30807.198910450839</v>
      </c>
      <c r="J7" s="132">
        <f>IF(SER_hh_emi!J7=0,0,1000000*SER_hh_emi!J7/SER_hh_num!J7)</f>
        <v>31705.817451001814</v>
      </c>
      <c r="K7" s="132">
        <f>IF(SER_hh_emi!K7=0,0,1000000*SER_hh_emi!K7/SER_hh_num!K7)</f>
        <v>24956.287473371918</v>
      </c>
      <c r="L7" s="132">
        <f>IF(SER_hh_emi!L7=0,0,1000000*SER_hh_emi!L7/SER_hh_num!L7)</f>
        <v>31468.493639496442</v>
      </c>
      <c r="M7" s="132">
        <f>IF(SER_hh_emi!M7=0,0,1000000*SER_hh_emi!M7/SER_hh_num!M7)</f>
        <v>22908.741256140969</v>
      </c>
      <c r="N7" s="132">
        <f>IF(SER_hh_emi!N7=0,0,1000000*SER_hh_emi!N7/SER_hh_num!N7)</f>
        <v>33434.193054021627</v>
      </c>
      <c r="O7" s="132">
        <f>IF(SER_hh_emi!O7=0,0,1000000*SER_hh_emi!O7/SER_hh_num!O7)</f>
        <v>24803.489508000453</v>
      </c>
      <c r="P7" s="132">
        <f>IF(SER_hh_emi!P7=0,0,1000000*SER_hh_emi!P7/SER_hh_num!P7)</f>
        <v>15704.575148540289</v>
      </c>
      <c r="Q7" s="132">
        <f>IF(SER_hh_emi!Q7=0,0,1000000*SER_hh_emi!Q7/SER_hh_num!Q7)</f>
        <v>26924.529355661085</v>
      </c>
      <c r="R7" s="132">
        <f>IF(SER_hh_emi!R7=0,0,1000000*SER_hh_emi!R7/SER_hh_num!R7)</f>
        <v>24679.59180799856</v>
      </c>
      <c r="S7" s="132">
        <f>IF(SER_hh_emi!S7=0,0,1000000*SER_hh_emi!S7/SER_hh_num!S7)</f>
        <v>25511.980591817046</v>
      </c>
      <c r="T7" s="132">
        <f>IF(SER_hh_emi!T7=0,0,1000000*SER_hh_emi!T7/SER_hh_num!T7)</f>
        <v>18614.034574493529</v>
      </c>
      <c r="U7" s="132">
        <f>IF(SER_hh_emi!U7=0,0,1000000*SER_hh_emi!U7/SER_hh_num!U7)</f>
        <v>17939.037003047921</v>
      </c>
      <c r="V7" s="132">
        <f>IF(SER_hh_emi!V7=0,0,1000000*SER_hh_emi!V7/SER_hh_num!V7)</f>
        <v>20293.085667282085</v>
      </c>
      <c r="W7" s="132">
        <f>IF(SER_hh_emi!W7=0,0,1000000*SER_hh_emi!W7/SER_hh_num!W7)</f>
        <v>22491.206278006408</v>
      </c>
      <c r="X7" s="132">
        <f>IF(SER_hh_emi!X7=0,0,1000000*SER_hh_emi!X7/SER_hh_num!X7)</f>
        <v>16358.334554313944</v>
      </c>
      <c r="Y7" s="132">
        <f>IF(SER_hh_emi!Y7=0,0,1000000*SER_hh_emi!Y7/SER_hh_num!Y7)</f>
        <v>18063.418420142287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0</v>
      </c>
      <c r="C8" s="132">
        <f>IF(SER_hh_emi!C8=0,0,1000000*SER_hh_emi!C8/SER_hh_num!C8)</f>
        <v>0</v>
      </c>
      <c r="D8" s="132">
        <f>IF(SER_hh_emi!D8=0,0,1000000*SER_hh_emi!D8/SER_hh_num!D8)</f>
        <v>0</v>
      </c>
      <c r="E8" s="132">
        <f>IF(SER_hh_emi!E8=0,0,1000000*SER_hh_emi!E8/SER_hh_num!E8)</f>
        <v>0</v>
      </c>
      <c r="F8" s="132">
        <f>IF(SER_hh_emi!F8=0,0,1000000*SER_hh_emi!F8/SER_hh_num!F8)</f>
        <v>0</v>
      </c>
      <c r="G8" s="132">
        <f>IF(SER_hh_emi!G8=0,0,1000000*SER_hh_emi!G8/SER_hh_num!G8)</f>
        <v>3433.0858982648879</v>
      </c>
      <c r="H8" s="132">
        <f>IF(SER_hh_emi!H8=0,0,1000000*SER_hh_emi!H8/SER_hh_num!H8)</f>
        <v>3945.829947433454</v>
      </c>
      <c r="I8" s="132">
        <f>IF(SER_hh_emi!I8=0,0,1000000*SER_hh_emi!I8/SER_hh_num!I8)</f>
        <v>4358.6416706213786</v>
      </c>
      <c r="J8" s="132">
        <f>IF(SER_hh_emi!J8=0,0,1000000*SER_hh_emi!J8/SER_hh_num!J8)</f>
        <v>4827.2275457844426</v>
      </c>
      <c r="K8" s="132">
        <f>IF(SER_hh_emi!K8=0,0,1000000*SER_hh_emi!K8/SER_hh_num!K8)</f>
        <v>4462.4116002379214</v>
      </c>
      <c r="L8" s="132">
        <f>IF(SER_hh_emi!L8=0,0,1000000*SER_hh_emi!L8/SER_hh_num!L8)</f>
        <v>3836.0831467179023</v>
      </c>
      <c r="M8" s="132">
        <f>IF(SER_hh_emi!M8=0,0,1000000*SER_hh_emi!M8/SER_hh_num!M8)</f>
        <v>3475.4200460705297</v>
      </c>
      <c r="N8" s="132">
        <f>IF(SER_hh_emi!N8=0,0,1000000*SER_hh_emi!N8/SER_hh_num!N8)</f>
        <v>2954.4405759688457</v>
      </c>
      <c r="O8" s="132">
        <f>IF(SER_hh_emi!O8=0,0,1000000*SER_hh_emi!O8/SER_hh_num!O8)</f>
        <v>3182.5869541146594</v>
      </c>
      <c r="P8" s="132">
        <f>IF(SER_hh_emi!P8=0,0,1000000*SER_hh_emi!P8/SER_hh_num!P8)</f>
        <v>3417.2011427754774</v>
      </c>
      <c r="Q8" s="132">
        <f>IF(SER_hh_emi!Q8=0,0,1000000*SER_hh_emi!Q8/SER_hh_num!Q8)</f>
        <v>3151.1312118117603</v>
      </c>
      <c r="R8" s="132">
        <f>IF(SER_hh_emi!R8=0,0,1000000*SER_hh_emi!R8/SER_hh_num!R8)</f>
        <v>3056.3879726884725</v>
      </c>
      <c r="S8" s="132">
        <f>IF(SER_hh_emi!S8=0,0,1000000*SER_hh_emi!S8/SER_hh_num!S8)</f>
        <v>2971.9076604397605</v>
      </c>
      <c r="T8" s="132">
        <f>IF(SER_hh_emi!T8=0,0,1000000*SER_hh_emi!T8/SER_hh_num!T8)</f>
        <v>2861.4924227823594</v>
      </c>
      <c r="U8" s="132">
        <f>IF(SER_hh_emi!U8=0,0,1000000*SER_hh_emi!U8/SER_hh_num!U8)</f>
        <v>2855.6197077976685</v>
      </c>
      <c r="V8" s="132">
        <f>IF(SER_hh_emi!V8=0,0,1000000*SER_hh_emi!V8/SER_hh_num!V8)</f>
        <v>2681.8570835422133</v>
      </c>
      <c r="W8" s="132">
        <f>IF(SER_hh_emi!W8=0,0,1000000*SER_hh_emi!W8/SER_hh_num!W8)</f>
        <v>2597.0380089856426</v>
      </c>
      <c r="X8" s="132">
        <f>IF(SER_hh_emi!X8=0,0,1000000*SER_hh_emi!X8/SER_hh_num!X8)</f>
        <v>2363.5944958610989</v>
      </c>
      <c r="Y8" s="132">
        <f>IF(SER_hh_emi!Y8=0,0,1000000*SER_hh_emi!Y8/SER_hh_num!Y8)</f>
        <v>2193.4602744380645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32626.468489261486</v>
      </c>
      <c r="C9" s="132">
        <f>IF(SER_hh_emi!C9=0,0,1000000*SER_hh_emi!C9/SER_hh_num!C9)</f>
        <v>36086.738992106722</v>
      </c>
      <c r="D9" s="132">
        <f>IF(SER_hh_emi!D9=0,0,1000000*SER_hh_emi!D9/SER_hh_num!D9)</f>
        <v>31455.78048270633</v>
      </c>
      <c r="E9" s="132">
        <f>IF(SER_hh_emi!E9=0,0,1000000*SER_hh_emi!E9/SER_hh_num!E9)</f>
        <v>30523.006318940821</v>
      </c>
      <c r="F9" s="132">
        <f>IF(SER_hh_emi!F9=0,0,1000000*SER_hh_emi!F9/SER_hh_num!F9)</f>
        <v>27839.095331842385</v>
      </c>
      <c r="G9" s="132">
        <f>IF(SER_hh_emi!G9=0,0,1000000*SER_hh_emi!G9/SER_hh_num!G9)</f>
        <v>25798.469890095061</v>
      </c>
      <c r="H9" s="132">
        <f>IF(SER_hh_emi!H9=0,0,1000000*SER_hh_emi!H9/SER_hh_num!H9)</f>
        <v>22243.162835668922</v>
      </c>
      <c r="I9" s="132">
        <f>IF(SER_hh_emi!I9=0,0,1000000*SER_hh_emi!I9/SER_hh_num!I9)</f>
        <v>19936.915306492792</v>
      </c>
      <c r="J9" s="132">
        <f>IF(SER_hh_emi!J9=0,0,1000000*SER_hh_emi!J9/SER_hh_num!J9)</f>
        <v>21453.78242524316</v>
      </c>
      <c r="K9" s="132">
        <f>IF(SER_hh_emi!K9=0,0,1000000*SER_hh_emi!K9/SER_hh_num!K9)</f>
        <v>19446.614252237683</v>
      </c>
      <c r="L9" s="132">
        <f>IF(SER_hh_emi!L9=0,0,1000000*SER_hh_emi!L9/SER_hh_num!L9)</f>
        <v>20783.372355534939</v>
      </c>
      <c r="M9" s="132">
        <f>IF(SER_hh_emi!M9=0,0,1000000*SER_hh_emi!M9/SER_hh_num!M9)</f>
        <v>19778.045779825778</v>
      </c>
      <c r="N9" s="132">
        <f>IF(SER_hh_emi!N9=0,0,1000000*SER_hh_emi!N9/SER_hh_num!N9)</f>
        <v>18402.802112670019</v>
      </c>
      <c r="O9" s="132">
        <f>IF(SER_hh_emi!O9=0,0,1000000*SER_hh_emi!O9/SER_hh_num!O9)</f>
        <v>17451.02841941009</v>
      </c>
      <c r="P9" s="132">
        <f>IF(SER_hh_emi!P9=0,0,1000000*SER_hh_emi!P9/SER_hh_num!P9)</f>
        <v>16600.781141377109</v>
      </c>
      <c r="Q9" s="132">
        <f>IF(SER_hh_emi!Q9=0,0,1000000*SER_hh_emi!Q9/SER_hh_num!Q9)</f>
        <v>16073.537758367476</v>
      </c>
      <c r="R9" s="132">
        <f>IF(SER_hh_emi!R9=0,0,1000000*SER_hh_emi!R9/SER_hh_num!R9)</f>
        <v>16204.730640760497</v>
      </c>
      <c r="S9" s="132">
        <f>IF(SER_hh_emi!S9=0,0,1000000*SER_hh_emi!S9/SER_hh_num!S9)</f>
        <v>16916.985589595362</v>
      </c>
      <c r="T9" s="132">
        <f>IF(SER_hh_emi!T9=0,0,1000000*SER_hh_emi!T9/SER_hh_num!T9)</f>
        <v>15246.145172329179</v>
      </c>
      <c r="U9" s="132">
        <f>IF(SER_hh_emi!U9=0,0,1000000*SER_hh_emi!U9/SER_hh_num!U9)</f>
        <v>15838.36992849237</v>
      </c>
      <c r="V9" s="132">
        <f>IF(SER_hh_emi!V9=0,0,1000000*SER_hh_emi!V9/SER_hh_num!V9)</f>
        <v>14486.272598310923</v>
      </c>
      <c r="W9" s="132">
        <f>IF(SER_hh_emi!W9=0,0,1000000*SER_hh_emi!W9/SER_hh_num!W9)</f>
        <v>13691.971172768819</v>
      </c>
      <c r="X9" s="132">
        <f>IF(SER_hh_emi!X9=0,0,1000000*SER_hh_emi!X9/SER_hh_num!X9)</f>
        <v>12411.220945909581</v>
      </c>
      <c r="Y9" s="132">
        <f>IF(SER_hh_emi!Y9=0,0,1000000*SER_hh_emi!Y9/SER_hh_num!Y9)</f>
        <v>10998.0365460587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40709.452760193548</v>
      </c>
      <c r="C10" s="132">
        <f>IF(SER_hh_emi!C10=0,0,1000000*SER_hh_emi!C10/SER_hh_num!C10)</f>
        <v>41911.339385883744</v>
      </c>
      <c r="D10" s="132">
        <f>IF(SER_hh_emi!D10=0,0,1000000*SER_hh_emi!D10/SER_hh_num!D10)</f>
        <v>29349.777436180986</v>
      </c>
      <c r="E10" s="132">
        <f>IF(SER_hh_emi!E10=0,0,1000000*SER_hh_emi!E10/SER_hh_num!E10)</f>
        <v>27299.652949858279</v>
      </c>
      <c r="F10" s="132">
        <f>IF(SER_hh_emi!F10=0,0,1000000*SER_hh_emi!F10/SER_hh_num!F10)</f>
        <v>21771.166953233966</v>
      </c>
      <c r="G10" s="132">
        <f>IF(SER_hh_emi!G10=0,0,1000000*SER_hh_emi!G10/SER_hh_num!G10)</f>
        <v>21217.439147480454</v>
      </c>
      <c r="H10" s="132">
        <f>IF(SER_hh_emi!H10=0,0,1000000*SER_hh_emi!H10/SER_hh_num!H10)</f>
        <v>17969.694108481857</v>
      </c>
      <c r="I10" s="132">
        <f>IF(SER_hh_emi!I10=0,0,1000000*SER_hh_emi!I10/SER_hh_num!I10)</f>
        <v>21741.551383435224</v>
      </c>
      <c r="J10" s="132">
        <f>IF(SER_hh_emi!J10=0,0,1000000*SER_hh_emi!J10/SER_hh_num!J10)</f>
        <v>24165.04864412083</v>
      </c>
      <c r="K10" s="132">
        <f>IF(SER_hh_emi!K10=0,0,1000000*SER_hh_emi!K10/SER_hh_num!K10)</f>
        <v>20191.635276864374</v>
      </c>
      <c r="L10" s="132">
        <f>IF(SER_hh_emi!L10=0,0,1000000*SER_hh_emi!L10/SER_hh_num!L10)</f>
        <v>22370.84538571148</v>
      </c>
      <c r="M10" s="132">
        <f>IF(SER_hh_emi!M10=0,0,1000000*SER_hh_emi!M10/SER_hh_num!M10)</f>
        <v>19157.525851569171</v>
      </c>
      <c r="N10" s="132">
        <f>IF(SER_hh_emi!N10=0,0,1000000*SER_hh_emi!N10/SER_hh_num!N10)</f>
        <v>17468.101896612108</v>
      </c>
      <c r="O10" s="132">
        <f>IF(SER_hh_emi!O10=0,0,1000000*SER_hh_emi!O10/SER_hh_num!O10)</f>
        <v>17679.27028360841</v>
      </c>
      <c r="P10" s="132">
        <f>IF(SER_hh_emi!P10=0,0,1000000*SER_hh_emi!P10/SER_hh_num!P10)</f>
        <v>17078.826871044388</v>
      </c>
      <c r="Q10" s="132">
        <f>IF(SER_hh_emi!Q10=0,0,1000000*SER_hh_emi!Q10/SER_hh_num!Q10)</f>
        <v>18103.8817841985</v>
      </c>
      <c r="R10" s="132">
        <f>IF(SER_hh_emi!R10=0,0,1000000*SER_hh_emi!R10/SER_hh_num!R10)</f>
        <v>16738.482037905367</v>
      </c>
      <c r="S10" s="132">
        <f>IF(SER_hh_emi!S10=0,0,1000000*SER_hh_emi!S10/SER_hh_num!S10)</f>
        <v>17390.304589360538</v>
      </c>
      <c r="T10" s="132">
        <f>IF(SER_hh_emi!T10=0,0,1000000*SER_hh_emi!T10/SER_hh_num!T10)</f>
        <v>18282.590507916157</v>
      </c>
      <c r="U10" s="132">
        <f>IF(SER_hh_emi!U10=0,0,1000000*SER_hh_emi!U10/SER_hh_num!U10)</f>
        <v>19690.444375639618</v>
      </c>
      <c r="V10" s="132">
        <f>IF(SER_hh_emi!V10=0,0,1000000*SER_hh_emi!V10/SER_hh_num!V10)</f>
        <v>17510.077361108786</v>
      </c>
      <c r="W10" s="132">
        <f>IF(SER_hh_emi!W10=0,0,1000000*SER_hh_emi!W10/SER_hh_num!W10)</f>
        <v>18560.612326567476</v>
      </c>
      <c r="X10" s="132">
        <f>IF(SER_hh_emi!X10=0,0,1000000*SER_hh_emi!X10/SER_hh_num!X10)</f>
        <v>17577.582842123709</v>
      </c>
      <c r="Y10" s="132">
        <f>IF(SER_hh_emi!Y10=0,0,1000000*SER_hh_emi!Y10/SER_hh_num!Y10)</f>
        <v>15205.051623587644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0</v>
      </c>
      <c r="C16" s="130">
        <f>IF(SER_hh_emi!C16=0,0,1000000*SER_hh_emi!C16/SER_hh_num!C16)</f>
        <v>0</v>
      </c>
      <c r="D16" s="130">
        <f>IF(SER_hh_emi!D16=0,0,1000000*SER_hh_emi!D16/SER_hh_num!D16)</f>
        <v>0</v>
      </c>
      <c r="E16" s="130">
        <f>IF(SER_hh_emi!E16=0,0,1000000*SER_hh_emi!E16/SER_hh_num!E16)</f>
        <v>0</v>
      </c>
      <c r="F16" s="130">
        <f>IF(SER_hh_emi!F16=0,0,1000000*SER_hh_emi!F16/SER_hh_num!F16)</f>
        <v>0</v>
      </c>
      <c r="G16" s="130">
        <f>IF(SER_hh_emi!G16=0,0,1000000*SER_hh_emi!G16/SER_hh_num!G16)</f>
        <v>4.0354693212011314</v>
      </c>
      <c r="H16" s="130">
        <f>IF(SER_hh_emi!H16=0,0,1000000*SER_hh_emi!H16/SER_hh_num!H16)</f>
        <v>4.2165011052424619</v>
      </c>
      <c r="I16" s="130">
        <f>IF(SER_hh_emi!I16=0,0,1000000*SER_hh_emi!I16/SER_hh_num!I16)</f>
        <v>5.005093251340905</v>
      </c>
      <c r="J16" s="130">
        <f>IF(SER_hh_emi!J16=0,0,1000000*SER_hh_emi!J16/SER_hh_num!J16)</f>
        <v>4.5530339686955941</v>
      </c>
      <c r="K16" s="130">
        <f>IF(SER_hh_emi!K16=0,0,1000000*SER_hh_emi!K16/SER_hh_num!K16)</f>
        <v>5.4988946624132371</v>
      </c>
      <c r="L16" s="130">
        <f>IF(SER_hh_emi!L16=0,0,1000000*SER_hh_emi!L16/SER_hh_num!L16)</f>
        <v>5.2478050683333475</v>
      </c>
      <c r="M16" s="130">
        <f>IF(SER_hh_emi!M16=0,0,1000000*SER_hh_emi!M16/SER_hh_num!M16)</f>
        <v>5.1129057959948012</v>
      </c>
      <c r="N16" s="130">
        <f>IF(SER_hh_emi!N16=0,0,1000000*SER_hh_emi!N16/SER_hh_num!N16)</f>
        <v>5.1658807739089916</v>
      </c>
      <c r="O16" s="130">
        <f>IF(SER_hh_emi!O16=0,0,1000000*SER_hh_emi!O16/SER_hh_num!O16)</f>
        <v>6.247447106676816</v>
      </c>
      <c r="P16" s="130">
        <f>IF(SER_hh_emi!P16=0,0,1000000*SER_hh_emi!P16/SER_hh_num!P16)</f>
        <v>8.3641016881484749</v>
      </c>
      <c r="Q16" s="130">
        <f>IF(SER_hh_emi!Q16=0,0,1000000*SER_hh_emi!Q16/SER_hh_num!Q16)</f>
        <v>14.704794178343636</v>
      </c>
      <c r="R16" s="130">
        <f>IF(SER_hh_emi!R16=0,0,1000000*SER_hh_emi!R16/SER_hh_num!R16)</f>
        <v>14.351583809491709</v>
      </c>
      <c r="S16" s="130">
        <f>IF(SER_hh_emi!S16=0,0,1000000*SER_hh_emi!S16/SER_hh_num!S16)</f>
        <v>17.013101165484223</v>
      </c>
      <c r="T16" s="130">
        <f>IF(SER_hh_emi!T16=0,0,1000000*SER_hh_emi!T16/SER_hh_num!T16)</f>
        <v>21.011629380143184</v>
      </c>
      <c r="U16" s="130">
        <f>IF(SER_hh_emi!U16=0,0,1000000*SER_hh_emi!U16/SER_hh_num!U16)</f>
        <v>20.656080504259663</v>
      </c>
      <c r="V16" s="130">
        <f>IF(SER_hh_emi!V16=0,0,1000000*SER_hh_emi!V16/SER_hh_num!V16)</f>
        <v>22.136417392418657</v>
      </c>
      <c r="W16" s="130">
        <f>IF(SER_hh_emi!W16=0,0,1000000*SER_hh_emi!W16/SER_hh_num!W16)</f>
        <v>23.261890331446335</v>
      </c>
      <c r="X16" s="130">
        <f>IF(SER_hh_emi!X16=0,0,1000000*SER_hh_emi!X16/SER_hh_num!X16)</f>
        <v>24.028833131090924</v>
      </c>
      <c r="Y16" s="130">
        <f>IF(SER_hh_emi!Y16=0,0,1000000*SER_hh_emi!Y16/SER_hh_num!Y16)</f>
        <v>24.700154989568556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0</v>
      </c>
      <c r="C17" s="132">
        <f>IF(SER_hh_emi!C17=0,0,1000000*SER_hh_emi!C17/SER_hh_num!C17)</f>
        <v>0</v>
      </c>
      <c r="D17" s="132">
        <f>IF(SER_hh_emi!D17=0,0,1000000*SER_hh_emi!D17/SER_hh_num!D17)</f>
        <v>0</v>
      </c>
      <c r="E17" s="132">
        <f>IF(SER_hh_emi!E17=0,0,1000000*SER_hh_emi!E17/SER_hh_num!E17)</f>
        <v>0</v>
      </c>
      <c r="F17" s="132">
        <f>IF(SER_hh_emi!F17=0,0,1000000*SER_hh_emi!F17/SER_hh_num!F17)</f>
        <v>0</v>
      </c>
      <c r="G17" s="132">
        <f>IF(SER_hh_emi!G17=0,0,1000000*SER_hh_emi!G17/SER_hh_num!G17)</f>
        <v>3996.5179928079651</v>
      </c>
      <c r="H17" s="132">
        <f>IF(SER_hh_emi!H17=0,0,1000000*SER_hh_emi!H17/SER_hh_num!H17)</f>
        <v>4099.8216385126825</v>
      </c>
      <c r="I17" s="132">
        <f>IF(SER_hh_emi!I17=0,0,1000000*SER_hh_emi!I17/SER_hh_num!I17)</f>
        <v>4015.5708366548911</v>
      </c>
      <c r="J17" s="132">
        <f>IF(SER_hh_emi!J17=0,0,1000000*SER_hh_emi!J17/SER_hh_num!J17)</f>
        <v>3953.5967560382078</v>
      </c>
      <c r="K17" s="132">
        <f>IF(SER_hh_emi!K17=0,0,1000000*SER_hh_emi!K17/SER_hh_num!K17)</f>
        <v>3919.1555700228964</v>
      </c>
      <c r="L17" s="132">
        <f>IF(SER_hh_emi!L17=0,0,1000000*SER_hh_emi!L17/SER_hh_num!L17)</f>
        <v>4016.5680834038285</v>
      </c>
      <c r="M17" s="132">
        <f>IF(SER_hh_emi!M17=0,0,1000000*SER_hh_emi!M17/SER_hh_num!M17)</f>
        <v>3939.2565943121667</v>
      </c>
      <c r="N17" s="132">
        <f>IF(SER_hh_emi!N17=0,0,1000000*SER_hh_emi!N17/SER_hh_num!N17)</f>
        <v>3966.104140404902</v>
      </c>
      <c r="O17" s="132">
        <f>IF(SER_hh_emi!O17=0,0,1000000*SER_hh_emi!O17/SER_hh_num!O17)</f>
        <v>4074.153118939761</v>
      </c>
      <c r="P17" s="132">
        <f>IF(SER_hh_emi!P17=0,0,1000000*SER_hh_emi!P17/SER_hh_num!P17)</f>
        <v>3765.1896357504379</v>
      </c>
      <c r="Q17" s="132">
        <f>IF(SER_hh_emi!Q17=0,0,1000000*SER_hh_emi!Q17/SER_hh_num!Q17)</f>
        <v>4302.3643098837301</v>
      </c>
      <c r="R17" s="132">
        <f>IF(SER_hh_emi!R17=0,0,1000000*SER_hh_emi!R17/SER_hh_num!R17)</f>
        <v>3643.6675938916246</v>
      </c>
      <c r="S17" s="132">
        <f>IF(SER_hh_emi!S17=0,0,1000000*SER_hh_emi!S17/SER_hh_num!S17)</f>
        <v>3663.9726746978249</v>
      </c>
      <c r="T17" s="132">
        <f>IF(SER_hh_emi!T17=0,0,1000000*SER_hh_emi!T17/SER_hh_num!T17)</f>
        <v>4045.4500056931288</v>
      </c>
      <c r="U17" s="132">
        <f>IF(SER_hh_emi!U17=0,0,1000000*SER_hh_emi!U17/SER_hh_num!U17)</f>
        <v>3742.6072383044257</v>
      </c>
      <c r="V17" s="132">
        <f>IF(SER_hh_emi!V17=0,0,1000000*SER_hh_emi!V17/SER_hh_num!V17)</f>
        <v>3518.6814939218534</v>
      </c>
      <c r="W17" s="132">
        <f>IF(SER_hh_emi!W17=0,0,1000000*SER_hh_emi!W17/SER_hh_num!W17)</f>
        <v>3496.4275326187189</v>
      </c>
      <c r="X17" s="132">
        <f>IF(SER_hh_emi!X17=0,0,1000000*SER_hh_emi!X17/SER_hh_num!X17)</f>
        <v>3588.3049829960878</v>
      </c>
      <c r="Y17" s="132">
        <f>IF(SER_hh_emi!Y17=0,0,1000000*SER_hh_emi!Y17/SER_hh_num!Y17)</f>
        <v>3554.2179125967964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921.35578903967405</v>
      </c>
      <c r="C19" s="130">
        <f>IF(SER_hh_emi!C19=0,0,1000000*SER_hh_emi!C19/SER_hh_num!C19)</f>
        <v>909.85110864261981</v>
      </c>
      <c r="D19" s="130">
        <f>IF(SER_hh_emi!D19=0,0,1000000*SER_hh_emi!D19/SER_hh_num!D19)</f>
        <v>930.51457596665875</v>
      </c>
      <c r="E19" s="130">
        <f>IF(SER_hh_emi!E19=0,0,1000000*SER_hh_emi!E19/SER_hh_num!E19)</f>
        <v>913.36177885388236</v>
      </c>
      <c r="F19" s="130">
        <f>IF(SER_hh_emi!F19=0,0,1000000*SER_hh_emi!F19/SER_hh_num!F19)</f>
        <v>903.88618889648239</v>
      </c>
      <c r="G19" s="130">
        <f>IF(SER_hh_emi!G19=0,0,1000000*SER_hh_emi!G19/SER_hh_num!G19)</f>
        <v>924.33064272585329</v>
      </c>
      <c r="H19" s="130">
        <f>IF(SER_hh_emi!H19=0,0,1000000*SER_hh_emi!H19/SER_hh_num!H19)</f>
        <v>939.45590212617981</v>
      </c>
      <c r="I19" s="130">
        <f>IF(SER_hh_emi!I19=0,0,1000000*SER_hh_emi!I19/SER_hh_num!I19)</f>
        <v>951.8433364704814</v>
      </c>
      <c r="J19" s="130">
        <f>IF(SER_hh_emi!J19=0,0,1000000*SER_hh_emi!J19/SER_hh_num!J19)</f>
        <v>988.98255293850616</v>
      </c>
      <c r="K19" s="130">
        <f>IF(SER_hh_emi!K19=0,0,1000000*SER_hh_emi!K19/SER_hh_num!K19)</f>
        <v>1214.7573668797716</v>
      </c>
      <c r="L19" s="130">
        <f>IF(SER_hh_emi!L19=0,0,1000000*SER_hh_emi!L19/SER_hh_num!L19)</f>
        <v>1135.5821875080053</v>
      </c>
      <c r="M19" s="130">
        <f>IF(SER_hh_emi!M19=0,0,1000000*SER_hh_emi!M19/SER_hh_num!M19)</f>
        <v>1127.7318609804922</v>
      </c>
      <c r="N19" s="130">
        <f>IF(SER_hh_emi!N19=0,0,1000000*SER_hh_emi!N19/SER_hh_num!N19)</f>
        <v>1133.6347212480755</v>
      </c>
      <c r="O19" s="130">
        <f>IF(SER_hh_emi!O19=0,0,1000000*SER_hh_emi!O19/SER_hh_num!O19)</f>
        <v>1132.7086757252871</v>
      </c>
      <c r="P19" s="130">
        <f>IF(SER_hh_emi!P19=0,0,1000000*SER_hh_emi!P19/SER_hh_num!P19)</f>
        <v>1122.753686549285</v>
      </c>
      <c r="Q19" s="130">
        <f>IF(SER_hh_emi!Q19=0,0,1000000*SER_hh_emi!Q19/SER_hh_num!Q19)</f>
        <v>1107.8752488585515</v>
      </c>
      <c r="R19" s="130">
        <f>IF(SER_hh_emi!R19=0,0,1000000*SER_hh_emi!R19/SER_hh_num!R19)</f>
        <v>1102.1887550979179</v>
      </c>
      <c r="S19" s="130">
        <f>IF(SER_hh_emi!S19=0,0,1000000*SER_hh_emi!S19/SER_hh_num!S19)</f>
        <v>1160.2727959812742</v>
      </c>
      <c r="T19" s="130">
        <f>IF(SER_hh_emi!T19=0,0,1000000*SER_hh_emi!T19/SER_hh_num!T19)</f>
        <v>1034.7187752166299</v>
      </c>
      <c r="U19" s="130">
        <f>IF(SER_hh_emi!U19=0,0,1000000*SER_hh_emi!U19/SER_hh_num!U19)</f>
        <v>1076.2601418115762</v>
      </c>
      <c r="V19" s="130">
        <f>IF(SER_hh_emi!V19=0,0,1000000*SER_hh_emi!V19/SER_hh_num!V19)</f>
        <v>979.02724475772379</v>
      </c>
      <c r="W19" s="130">
        <f>IF(SER_hh_emi!W19=0,0,1000000*SER_hh_emi!W19/SER_hh_num!W19)</f>
        <v>948.29338028644588</v>
      </c>
      <c r="X19" s="130">
        <f>IF(SER_hh_emi!X19=0,0,1000000*SER_hh_emi!X19/SER_hh_num!X19)</f>
        <v>835.02707324485505</v>
      </c>
      <c r="Y19" s="130">
        <f>IF(SER_hh_emi!Y19=0,0,1000000*SER_hh_emi!Y19/SER_hh_num!Y19)</f>
        <v>734.28450154789368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0</v>
      </c>
      <c r="C20" s="132">
        <f>IF(SER_hh_emi!C20=0,0,1000000*SER_hh_emi!C20/SER_hh_num!C20)</f>
        <v>0</v>
      </c>
      <c r="D20" s="132">
        <f>IF(SER_hh_emi!D20=0,0,1000000*SER_hh_emi!D20/SER_hh_num!D20)</f>
        <v>0</v>
      </c>
      <c r="E20" s="132">
        <f>IF(SER_hh_emi!E20=0,0,1000000*SER_hh_emi!E20/SER_hh_num!E20)</f>
        <v>0</v>
      </c>
      <c r="F20" s="132">
        <f>IF(SER_hh_emi!F20=0,0,1000000*SER_hh_emi!F20/SER_hh_num!F20)</f>
        <v>0</v>
      </c>
      <c r="G20" s="132">
        <f>IF(SER_hh_emi!G20=0,0,1000000*SER_hh_emi!G20/SER_hh_num!G20)</f>
        <v>0</v>
      </c>
      <c r="H20" s="132">
        <f>IF(SER_hh_emi!H20=0,0,1000000*SER_hh_emi!H20/SER_hh_num!H20)</f>
        <v>0</v>
      </c>
      <c r="I20" s="132">
        <f>IF(SER_hh_emi!I20=0,0,1000000*SER_hh_emi!I20/SER_hh_num!I20)</f>
        <v>0</v>
      </c>
      <c r="J20" s="132">
        <f>IF(SER_hh_emi!J20=0,0,1000000*SER_hh_emi!J20/SER_hh_num!J20)</f>
        <v>0</v>
      </c>
      <c r="K20" s="132">
        <f>IF(SER_hh_emi!K20=0,0,1000000*SER_hh_emi!K20/SER_hh_num!K20)</f>
        <v>0</v>
      </c>
      <c r="L20" s="132">
        <f>IF(SER_hh_emi!L20=0,0,1000000*SER_hh_emi!L20/SER_hh_num!L20)</f>
        <v>0</v>
      </c>
      <c r="M20" s="132">
        <f>IF(SER_hh_emi!M20=0,0,1000000*SER_hh_emi!M20/SER_hh_num!M20)</f>
        <v>0</v>
      </c>
      <c r="N20" s="132">
        <f>IF(SER_hh_emi!N20=0,0,1000000*SER_hh_emi!N20/SER_hh_num!N20)</f>
        <v>0</v>
      </c>
      <c r="O20" s="132">
        <f>IF(SER_hh_emi!O20=0,0,1000000*SER_hh_emi!O20/SER_hh_num!O20)</f>
        <v>0</v>
      </c>
      <c r="P20" s="132">
        <f>IF(SER_hh_emi!P20=0,0,1000000*SER_hh_emi!P20/SER_hh_num!P20)</f>
        <v>0</v>
      </c>
      <c r="Q20" s="132">
        <f>IF(SER_hh_emi!Q20=0,0,1000000*SER_hh_emi!Q20/SER_hh_num!Q20)</f>
        <v>0</v>
      </c>
      <c r="R20" s="132">
        <f>IF(SER_hh_emi!R20=0,0,1000000*SER_hh_emi!R20/SER_hh_num!R20)</f>
        <v>0</v>
      </c>
      <c r="S20" s="132">
        <f>IF(SER_hh_emi!S20=0,0,1000000*SER_hh_emi!S20/SER_hh_num!S20)</f>
        <v>0</v>
      </c>
      <c r="T20" s="132">
        <f>IF(SER_hh_emi!T20=0,0,1000000*SER_hh_emi!T20/SER_hh_num!T20)</f>
        <v>0</v>
      </c>
      <c r="U20" s="132">
        <f>IF(SER_hh_emi!U20=0,0,1000000*SER_hh_emi!U20/SER_hh_num!U20)</f>
        <v>0</v>
      </c>
      <c r="V20" s="132">
        <f>IF(SER_hh_emi!V20=0,0,1000000*SER_hh_emi!V20/SER_hh_num!V20)</f>
        <v>0</v>
      </c>
      <c r="W20" s="132">
        <f>IF(SER_hh_emi!W20=0,0,1000000*SER_hh_emi!W20/SER_hh_num!W20)</f>
        <v>0</v>
      </c>
      <c r="X20" s="132">
        <f>IF(SER_hh_emi!X20=0,0,1000000*SER_hh_emi!X20/SER_hh_num!X20)</f>
        <v>0</v>
      </c>
      <c r="Y20" s="132">
        <f>IF(SER_hh_emi!Y20=0,0,1000000*SER_hh_emi!Y20/SER_hh_num!Y20)</f>
        <v>0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0</v>
      </c>
      <c r="C21" s="132">
        <f>IF(SER_hh_emi!C21=0,0,1000000*SER_hh_emi!C21/SER_hh_num!C21)</f>
        <v>0</v>
      </c>
      <c r="D21" s="132">
        <f>IF(SER_hh_emi!D21=0,0,1000000*SER_hh_emi!D21/SER_hh_num!D21)</f>
        <v>0</v>
      </c>
      <c r="E21" s="132">
        <f>IF(SER_hh_emi!E21=0,0,1000000*SER_hh_emi!E21/SER_hh_num!E21)</f>
        <v>0</v>
      </c>
      <c r="F21" s="132">
        <f>IF(SER_hh_emi!F21=0,0,1000000*SER_hh_emi!F21/SER_hh_num!F21)</f>
        <v>0</v>
      </c>
      <c r="G21" s="132">
        <f>IF(SER_hh_emi!G21=0,0,1000000*SER_hh_emi!G21/SER_hh_num!G21)</f>
        <v>0</v>
      </c>
      <c r="H21" s="132">
        <f>IF(SER_hh_emi!H21=0,0,1000000*SER_hh_emi!H21/SER_hh_num!H21)</f>
        <v>0</v>
      </c>
      <c r="I21" s="132">
        <f>IF(SER_hh_emi!I21=0,0,1000000*SER_hh_emi!I21/SER_hh_num!I21)</f>
        <v>0</v>
      </c>
      <c r="J21" s="132">
        <f>IF(SER_hh_emi!J21=0,0,1000000*SER_hh_emi!J21/SER_hh_num!J21)</f>
        <v>0</v>
      </c>
      <c r="K21" s="132">
        <f>IF(SER_hh_emi!K21=0,0,1000000*SER_hh_emi!K21/SER_hh_num!K21)</f>
        <v>0</v>
      </c>
      <c r="L21" s="132">
        <f>IF(SER_hh_emi!L21=0,0,1000000*SER_hh_emi!L21/SER_hh_num!L21)</f>
        <v>0</v>
      </c>
      <c r="M21" s="132">
        <f>IF(SER_hh_emi!M21=0,0,1000000*SER_hh_emi!M21/SER_hh_num!M21)</f>
        <v>0</v>
      </c>
      <c r="N21" s="132">
        <f>IF(SER_hh_emi!N21=0,0,1000000*SER_hh_emi!N21/SER_hh_num!N21)</f>
        <v>0</v>
      </c>
      <c r="O21" s="132">
        <f>IF(SER_hh_emi!O21=0,0,1000000*SER_hh_emi!O21/SER_hh_num!O21)</f>
        <v>0</v>
      </c>
      <c r="P21" s="132">
        <f>IF(SER_hh_emi!P21=0,0,1000000*SER_hh_emi!P21/SER_hh_num!P21)</f>
        <v>0</v>
      </c>
      <c r="Q21" s="132">
        <f>IF(SER_hh_emi!Q21=0,0,1000000*SER_hh_emi!Q21/SER_hh_num!Q21)</f>
        <v>0</v>
      </c>
      <c r="R21" s="132">
        <f>IF(SER_hh_emi!R21=0,0,1000000*SER_hh_emi!R21/SER_hh_num!R21)</f>
        <v>0</v>
      </c>
      <c r="S21" s="132">
        <f>IF(SER_hh_emi!S21=0,0,1000000*SER_hh_emi!S21/SER_hh_num!S21)</f>
        <v>0</v>
      </c>
      <c r="T21" s="132">
        <f>IF(SER_hh_emi!T21=0,0,1000000*SER_hh_emi!T21/SER_hh_num!T21)</f>
        <v>0</v>
      </c>
      <c r="U21" s="132">
        <f>IF(SER_hh_emi!U21=0,0,1000000*SER_hh_emi!U21/SER_hh_num!U21)</f>
        <v>0</v>
      </c>
      <c r="V21" s="132">
        <f>IF(SER_hh_emi!V21=0,0,1000000*SER_hh_emi!V21/SER_hh_num!V21)</f>
        <v>0</v>
      </c>
      <c r="W21" s="132">
        <f>IF(SER_hh_emi!W21=0,0,1000000*SER_hh_emi!W21/SER_hh_num!W21)</f>
        <v>0</v>
      </c>
      <c r="X21" s="132">
        <f>IF(SER_hh_emi!X21=0,0,1000000*SER_hh_emi!X21/SER_hh_num!X21)</f>
        <v>0</v>
      </c>
      <c r="Y21" s="132">
        <f>IF(SER_hh_emi!Y21=0,0,1000000*SER_hh_emi!Y21/SER_hh_num!Y21)</f>
        <v>0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0</v>
      </c>
      <c r="C22" s="132">
        <f>IF(SER_hh_emi!C22=0,0,1000000*SER_hh_emi!C22/SER_hh_num!C22)</f>
        <v>0</v>
      </c>
      <c r="D22" s="132">
        <f>IF(SER_hh_emi!D22=0,0,1000000*SER_hh_emi!D22/SER_hh_num!D22)</f>
        <v>0</v>
      </c>
      <c r="E22" s="132">
        <f>IF(SER_hh_emi!E22=0,0,1000000*SER_hh_emi!E22/SER_hh_num!E22)</f>
        <v>0</v>
      </c>
      <c r="F22" s="132">
        <f>IF(SER_hh_emi!F22=0,0,1000000*SER_hh_emi!F22/SER_hh_num!F22)</f>
        <v>0</v>
      </c>
      <c r="G22" s="132">
        <f>IF(SER_hh_emi!G22=0,0,1000000*SER_hh_emi!G22/SER_hh_num!G22)</f>
        <v>0</v>
      </c>
      <c r="H22" s="132">
        <f>IF(SER_hh_emi!H22=0,0,1000000*SER_hh_emi!H22/SER_hh_num!H22)</f>
        <v>0</v>
      </c>
      <c r="I22" s="132">
        <f>IF(SER_hh_emi!I22=0,0,1000000*SER_hh_emi!I22/SER_hh_num!I22)</f>
        <v>0</v>
      </c>
      <c r="J22" s="132">
        <f>IF(SER_hh_emi!J22=0,0,1000000*SER_hh_emi!J22/SER_hh_num!J22)</f>
        <v>0</v>
      </c>
      <c r="K22" s="132">
        <f>IF(SER_hh_emi!K22=0,0,1000000*SER_hh_emi!K22/SER_hh_num!K22)</f>
        <v>0</v>
      </c>
      <c r="L22" s="132">
        <f>IF(SER_hh_emi!L22=0,0,1000000*SER_hh_emi!L22/SER_hh_num!L22)</f>
        <v>0</v>
      </c>
      <c r="M22" s="132">
        <f>IF(SER_hh_emi!M22=0,0,1000000*SER_hh_emi!M22/SER_hh_num!M22)</f>
        <v>0</v>
      </c>
      <c r="N22" s="132">
        <f>IF(SER_hh_emi!N22=0,0,1000000*SER_hh_emi!N22/SER_hh_num!N22)</f>
        <v>0</v>
      </c>
      <c r="O22" s="132">
        <f>IF(SER_hh_emi!O22=0,0,1000000*SER_hh_emi!O22/SER_hh_num!O22)</f>
        <v>0</v>
      </c>
      <c r="P22" s="132">
        <f>IF(SER_hh_emi!P22=0,0,1000000*SER_hh_emi!P22/SER_hh_num!P22)</f>
        <v>0</v>
      </c>
      <c r="Q22" s="132">
        <f>IF(SER_hh_emi!Q22=0,0,1000000*SER_hh_emi!Q22/SER_hh_num!Q22)</f>
        <v>0</v>
      </c>
      <c r="R22" s="132">
        <f>IF(SER_hh_emi!R22=0,0,1000000*SER_hh_emi!R22/SER_hh_num!R22)</f>
        <v>0</v>
      </c>
      <c r="S22" s="132">
        <f>IF(SER_hh_emi!S22=0,0,1000000*SER_hh_emi!S22/SER_hh_num!S22)</f>
        <v>0</v>
      </c>
      <c r="T22" s="132">
        <f>IF(SER_hh_emi!T22=0,0,1000000*SER_hh_emi!T22/SER_hh_num!T22)</f>
        <v>0</v>
      </c>
      <c r="U22" s="132">
        <f>IF(SER_hh_emi!U22=0,0,1000000*SER_hh_emi!U22/SER_hh_num!U22)</f>
        <v>0</v>
      </c>
      <c r="V22" s="132">
        <f>IF(SER_hh_emi!V22=0,0,1000000*SER_hh_emi!V22/SER_hh_num!V22)</f>
        <v>0</v>
      </c>
      <c r="W22" s="132">
        <f>IF(SER_hh_emi!W22=0,0,1000000*SER_hh_emi!W22/SER_hh_num!W22)</f>
        <v>0</v>
      </c>
      <c r="X22" s="132">
        <f>IF(SER_hh_emi!X22=0,0,1000000*SER_hh_emi!X22/SER_hh_num!X22)</f>
        <v>0</v>
      </c>
      <c r="Y22" s="132">
        <f>IF(SER_hh_emi!Y22=0,0,1000000*SER_hh_emi!Y22/SER_hh_num!Y22)</f>
        <v>0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2815.0951769783551</v>
      </c>
      <c r="C23" s="132">
        <f>IF(SER_hh_emi!C23=0,0,1000000*SER_hh_emi!C23/SER_hh_num!C23)</f>
        <v>2754.0032948488315</v>
      </c>
      <c r="D23" s="132">
        <f>IF(SER_hh_emi!D23=0,0,1000000*SER_hh_emi!D23/SER_hh_num!D23)</f>
        <v>2720.578184058018</v>
      </c>
      <c r="E23" s="132">
        <f>IF(SER_hh_emi!E23=0,0,1000000*SER_hh_emi!E23/SER_hh_num!E23)</f>
        <v>2593.5085102290468</v>
      </c>
      <c r="F23" s="132">
        <f>IF(SER_hh_emi!F23=0,0,1000000*SER_hh_emi!F23/SER_hh_num!F23)</f>
        <v>2476.5923985044919</v>
      </c>
      <c r="G23" s="132">
        <f>IF(SER_hh_emi!G23=0,0,1000000*SER_hh_emi!G23/SER_hh_num!G23)</f>
        <v>2461.6643925645235</v>
      </c>
      <c r="H23" s="132">
        <f>IF(SER_hh_emi!H23=0,0,1000000*SER_hh_emi!H23/SER_hh_num!H23)</f>
        <v>2420.6200981718903</v>
      </c>
      <c r="I23" s="132">
        <f>IF(SER_hh_emi!I23=0,0,1000000*SER_hh_emi!I23/SER_hh_num!I23)</f>
        <v>2324.3539980671903</v>
      </c>
      <c r="J23" s="132">
        <f>IF(SER_hh_emi!J23=0,0,1000000*SER_hh_emi!J23/SER_hh_num!J23)</f>
        <v>2332.1868840706679</v>
      </c>
      <c r="K23" s="132">
        <f>IF(SER_hh_emi!K23=0,0,1000000*SER_hh_emi!K23/SER_hh_num!K23)</f>
        <v>2756.161283196956</v>
      </c>
      <c r="L23" s="132">
        <f>IF(SER_hh_emi!L23=0,0,1000000*SER_hh_emi!L23/SER_hh_num!L23)</f>
        <v>2565.7144214615373</v>
      </c>
      <c r="M23" s="132">
        <f>IF(SER_hh_emi!M23=0,0,1000000*SER_hh_emi!M23/SER_hh_num!M23)</f>
        <v>2537.3554600757097</v>
      </c>
      <c r="N23" s="132">
        <f>IF(SER_hh_emi!N23=0,0,1000000*SER_hh_emi!N23/SER_hh_num!N23)</f>
        <v>2575.7923840007315</v>
      </c>
      <c r="O23" s="132">
        <f>IF(SER_hh_emi!O23=0,0,1000000*SER_hh_emi!O23/SER_hh_num!O23)</f>
        <v>2574.4017704127391</v>
      </c>
      <c r="P23" s="132">
        <f>IF(SER_hh_emi!P23=0,0,1000000*SER_hh_emi!P23/SER_hh_num!P23)</f>
        <v>2538.6038759857283</v>
      </c>
      <c r="Q23" s="132">
        <f>IF(SER_hh_emi!Q23=0,0,1000000*SER_hh_emi!Q23/SER_hh_num!Q23)</f>
        <v>2470.1702781348795</v>
      </c>
      <c r="R23" s="132">
        <f>IF(SER_hh_emi!R23=0,0,1000000*SER_hh_emi!R23/SER_hh_num!R23)</f>
        <v>2464.4978306486282</v>
      </c>
      <c r="S23" s="132">
        <f>IF(SER_hh_emi!S23=0,0,1000000*SER_hh_emi!S23/SER_hh_num!S23)</f>
        <v>2560.6504073229862</v>
      </c>
      <c r="T23" s="132">
        <f>IF(SER_hh_emi!T23=0,0,1000000*SER_hh_emi!T23/SER_hh_num!T23)</f>
        <v>2314.5279608280662</v>
      </c>
      <c r="U23" s="132">
        <f>IF(SER_hh_emi!U23=0,0,1000000*SER_hh_emi!U23/SER_hh_num!U23)</f>
        <v>2395.0767032495132</v>
      </c>
      <c r="V23" s="132">
        <f>IF(SER_hh_emi!V23=0,0,1000000*SER_hh_emi!V23/SER_hh_num!V23)</f>
        <v>2221.6569685996078</v>
      </c>
      <c r="W23" s="132">
        <f>IF(SER_hh_emi!W23=0,0,1000000*SER_hh_emi!W23/SER_hh_num!W23)</f>
        <v>2234.816207292642</v>
      </c>
      <c r="X23" s="132">
        <f>IF(SER_hh_emi!X23=0,0,1000000*SER_hh_emi!X23/SER_hh_num!X23)</f>
        <v>2108.418261052906</v>
      </c>
      <c r="Y23" s="132">
        <f>IF(SER_hh_emi!Y23=0,0,1000000*SER_hh_emi!Y23/SER_hh_num!Y23)</f>
        <v>2013.6169423749054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0</v>
      </c>
      <c r="C24" s="132">
        <f>IF(SER_hh_emi!C24=0,0,1000000*SER_hh_emi!C24/SER_hh_num!C24)</f>
        <v>0</v>
      </c>
      <c r="D24" s="132">
        <f>IF(SER_hh_emi!D24=0,0,1000000*SER_hh_emi!D24/SER_hh_num!D24)</f>
        <v>0</v>
      </c>
      <c r="E24" s="132">
        <f>IF(SER_hh_emi!E24=0,0,1000000*SER_hh_emi!E24/SER_hh_num!E24)</f>
        <v>0</v>
      </c>
      <c r="F24" s="132">
        <f>IF(SER_hh_emi!F24=0,0,1000000*SER_hh_emi!F24/SER_hh_num!F24)</f>
        <v>0</v>
      </c>
      <c r="G24" s="132">
        <f>IF(SER_hh_emi!G24=0,0,1000000*SER_hh_emi!G24/SER_hh_num!G24)</f>
        <v>0</v>
      </c>
      <c r="H24" s="132">
        <f>IF(SER_hh_emi!H24=0,0,1000000*SER_hh_emi!H24/SER_hh_num!H24)</f>
        <v>0</v>
      </c>
      <c r="I24" s="132">
        <f>IF(SER_hh_emi!I24=0,0,1000000*SER_hh_emi!I24/SER_hh_num!I24)</f>
        <v>0</v>
      </c>
      <c r="J24" s="132">
        <f>IF(SER_hh_emi!J24=0,0,1000000*SER_hh_emi!J24/SER_hh_num!J24)</f>
        <v>0</v>
      </c>
      <c r="K24" s="132">
        <f>IF(SER_hh_emi!K24=0,0,1000000*SER_hh_emi!K24/SER_hh_num!K24)</f>
        <v>0</v>
      </c>
      <c r="L24" s="132">
        <f>IF(SER_hh_emi!L24=0,0,1000000*SER_hh_emi!L24/SER_hh_num!L24)</f>
        <v>0</v>
      </c>
      <c r="M24" s="132">
        <f>IF(SER_hh_emi!M24=0,0,1000000*SER_hh_emi!M24/SER_hh_num!M24)</f>
        <v>0</v>
      </c>
      <c r="N24" s="132">
        <f>IF(SER_hh_emi!N24=0,0,1000000*SER_hh_emi!N24/SER_hh_num!N24)</f>
        <v>0</v>
      </c>
      <c r="O24" s="132">
        <f>IF(SER_hh_emi!O24=0,0,1000000*SER_hh_emi!O24/SER_hh_num!O24)</f>
        <v>0</v>
      </c>
      <c r="P24" s="132">
        <f>IF(SER_hh_emi!P24=0,0,1000000*SER_hh_emi!P24/SER_hh_num!P24)</f>
        <v>0</v>
      </c>
      <c r="Q24" s="132">
        <f>IF(SER_hh_emi!Q24=0,0,1000000*SER_hh_emi!Q24/SER_hh_num!Q24)</f>
        <v>0</v>
      </c>
      <c r="R24" s="132">
        <f>IF(SER_hh_emi!R24=0,0,1000000*SER_hh_emi!R24/SER_hh_num!R24)</f>
        <v>0</v>
      </c>
      <c r="S24" s="132">
        <f>IF(SER_hh_emi!S24=0,0,1000000*SER_hh_emi!S24/SER_hh_num!S24)</f>
        <v>0</v>
      </c>
      <c r="T24" s="132">
        <f>IF(SER_hh_emi!T24=0,0,1000000*SER_hh_emi!T24/SER_hh_num!T24)</f>
        <v>0</v>
      </c>
      <c r="U24" s="132">
        <f>IF(SER_hh_emi!U24=0,0,1000000*SER_hh_emi!U24/SER_hh_num!U24)</f>
        <v>0</v>
      </c>
      <c r="V24" s="132">
        <f>IF(SER_hh_emi!V24=0,0,1000000*SER_hh_emi!V24/SER_hh_num!V24)</f>
        <v>0</v>
      </c>
      <c r="W24" s="132">
        <f>IF(SER_hh_emi!W24=0,0,1000000*SER_hh_emi!W24/SER_hh_num!W24)</f>
        <v>0</v>
      </c>
      <c r="X24" s="132">
        <f>IF(SER_hh_emi!X24=0,0,1000000*SER_hh_emi!X24/SER_hh_num!X24)</f>
        <v>0</v>
      </c>
      <c r="Y24" s="132">
        <f>IF(SER_hh_emi!Y24=0,0,1000000*SER_hh_emi!Y24/SER_hh_num!Y24)</f>
        <v>0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1165.6200571395118</v>
      </c>
      <c r="C29" s="130">
        <f>IF(SER_hh_emi!C29=0,0,1000000*SER_hh_emi!C29/SER_hh_num!C29)</f>
        <v>1361.898092927787</v>
      </c>
      <c r="D29" s="130">
        <f>IF(SER_hh_emi!D29=0,0,1000000*SER_hh_emi!D29/SER_hh_num!D29)</f>
        <v>1351.972147876937</v>
      </c>
      <c r="E29" s="130">
        <f>IF(SER_hh_emi!E29=0,0,1000000*SER_hh_emi!E29/SER_hh_num!E29)</f>
        <v>1302.5535554644789</v>
      </c>
      <c r="F29" s="130">
        <f>IF(SER_hh_emi!F29=0,0,1000000*SER_hh_emi!F29/SER_hh_num!F29)</f>
        <v>1311.6837419756885</v>
      </c>
      <c r="G29" s="130">
        <f>IF(SER_hh_emi!G29=0,0,1000000*SER_hh_emi!G29/SER_hh_num!G29)</f>
        <v>1283.1609331737779</v>
      </c>
      <c r="H29" s="130">
        <f>IF(SER_hh_emi!H29=0,0,1000000*SER_hh_emi!H29/SER_hh_num!H29)</f>
        <v>1240.0062971005671</v>
      </c>
      <c r="I29" s="130">
        <f>IF(SER_hh_emi!I29=0,0,1000000*SER_hh_emi!I29/SER_hh_num!I29)</f>
        <v>1243.2319821493911</v>
      </c>
      <c r="J29" s="130">
        <f>IF(SER_hh_emi!J29=0,0,1000000*SER_hh_emi!J29/SER_hh_num!J29)</f>
        <v>1271.8049469922339</v>
      </c>
      <c r="K29" s="130">
        <f>IF(SER_hh_emi!K29=0,0,1000000*SER_hh_emi!K29/SER_hh_num!K29)</f>
        <v>1426.701989895035</v>
      </c>
      <c r="L29" s="130">
        <f>IF(SER_hh_emi!L29=0,0,1000000*SER_hh_emi!L29/SER_hh_num!L29)</f>
        <v>1393.0453932853959</v>
      </c>
      <c r="M29" s="130">
        <f>IF(SER_hh_emi!M29=0,0,1000000*SER_hh_emi!M29/SER_hh_num!M29)</f>
        <v>1389.3049020403676</v>
      </c>
      <c r="N29" s="130">
        <f>IF(SER_hh_emi!N29=0,0,1000000*SER_hh_emi!N29/SER_hh_num!N29)</f>
        <v>1381.8432607060331</v>
      </c>
      <c r="O29" s="130">
        <f>IF(SER_hh_emi!O29=0,0,1000000*SER_hh_emi!O29/SER_hh_num!O29)</f>
        <v>1379.0139705959309</v>
      </c>
      <c r="P29" s="130">
        <f>IF(SER_hh_emi!P29=0,0,1000000*SER_hh_emi!P29/SER_hh_num!P29)</f>
        <v>1379.1290250277984</v>
      </c>
      <c r="Q29" s="130">
        <f>IF(SER_hh_emi!Q29=0,0,1000000*SER_hh_emi!Q29/SER_hh_num!Q29)</f>
        <v>1349.9989274263446</v>
      </c>
      <c r="R29" s="130">
        <f>IF(SER_hh_emi!R29=0,0,1000000*SER_hh_emi!R29/SER_hh_num!R29)</f>
        <v>1445.8729630430951</v>
      </c>
      <c r="S29" s="130">
        <f>IF(SER_hh_emi!S29=0,0,1000000*SER_hh_emi!S29/SER_hh_num!S29)</f>
        <v>1636.6168213916419</v>
      </c>
      <c r="T29" s="130">
        <f>IF(SER_hh_emi!T29=0,0,1000000*SER_hh_emi!T29/SER_hh_num!T29)</f>
        <v>1521.2036945329003</v>
      </c>
      <c r="U29" s="130">
        <f>IF(SER_hh_emi!U29=0,0,1000000*SER_hh_emi!U29/SER_hh_num!U29)</f>
        <v>1619.8777940645491</v>
      </c>
      <c r="V29" s="130">
        <f>IF(SER_hh_emi!V29=0,0,1000000*SER_hh_emi!V29/SER_hh_num!V29)</f>
        <v>1460.8311780294364</v>
      </c>
      <c r="W29" s="130">
        <f>IF(SER_hh_emi!W29=0,0,1000000*SER_hh_emi!W29/SER_hh_num!W29)</f>
        <v>1417.2502592856695</v>
      </c>
      <c r="X29" s="130">
        <f>IF(SER_hh_emi!X29=0,0,1000000*SER_hh_emi!X29/SER_hh_num!X29)</f>
        <v>1278.8044583632391</v>
      </c>
      <c r="Y29" s="130">
        <f>IF(SER_hh_emi!Y29=0,0,1000000*SER_hh_emi!Y29/SER_hh_num!Y29)</f>
        <v>1160.7590625441526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0</v>
      </c>
      <c r="C30" s="132">
        <f>IF(SER_hh_emi!C30=0,0,1000000*SER_hh_emi!C30/SER_hh_num!C30)</f>
        <v>0</v>
      </c>
      <c r="D30" s="132">
        <f>IF(SER_hh_emi!D30=0,0,1000000*SER_hh_emi!D30/SER_hh_num!D30)</f>
        <v>0</v>
      </c>
      <c r="E30" s="132">
        <f>IF(SER_hh_emi!E30=0,0,1000000*SER_hh_emi!E30/SER_hh_num!E30)</f>
        <v>0</v>
      </c>
      <c r="F30" s="132">
        <f>IF(SER_hh_emi!F30=0,0,1000000*SER_hh_emi!F30/SER_hh_num!F30)</f>
        <v>0</v>
      </c>
      <c r="G30" s="132">
        <f>IF(SER_hh_emi!G30=0,0,1000000*SER_hh_emi!G30/SER_hh_num!G30)</f>
        <v>0</v>
      </c>
      <c r="H30" s="132">
        <f>IF(SER_hh_emi!H30=0,0,1000000*SER_hh_emi!H30/SER_hh_num!H30)</f>
        <v>0</v>
      </c>
      <c r="I30" s="132">
        <f>IF(SER_hh_emi!I30=0,0,1000000*SER_hh_emi!I30/SER_hh_num!I30)</f>
        <v>0</v>
      </c>
      <c r="J30" s="132">
        <f>IF(SER_hh_emi!J30=0,0,1000000*SER_hh_emi!J30/SER_hh_num!J30)</f>
        <v>0</v>
      </c>
      <c r="K30" s="132">
        <f>IF(SER_hh_emi!K30=0,0,1000000*SER_hh_emi!K30/SER_hh_num!K30)</f>
        <v>0</v>
      </c>
      <c r="L30" s="132">
        <f>IF(SER_hh_emi!L30=0,0,1000000*SER_hh_emi!L30/SER_hh_num!L30)</f>
        <v>0</v>
      </c>
      <c r="M30" s="132">
        <f>IF(SER_hh_emi!M30=0,0,1000000*SER_hh_emi!M30/SER_hh_num!M30)</f>
        <v>0</v>
      </c>
      <c r="N30" s="132">
        <f>IF(SER_hh_emi!N30=0,0,1000000*SER_hh_emi!N30/SER_hh_num!N30)</f>
        <v>0</v>
      </c>
      <c r="O30" s="132">
        <f>IF(SER_hh_emi!O30=0,0,1000000*SER_hh_emi!O30/SER_hh_num!O30)</f>
        <v>0</v>
      </c>
      <c r="P30" s="132">
        <f>IF(SER_hh_emi!P30=0,0,1000000*SER_hh_emi!P30/SER_hh_num!P30)</f>
        <v>0</v>
      </c>
      <c r="Q30" s="132">
        <f>IF(SER_hh_emi!Q30=0,0,1000000*SER_hh_emi!Q30/SER_hh_num!Q30)</f>
        <v>0</v>
      </c>
      <c r="R30" s="132">
        <f>IF(SER_hh_emi!R30=0,0,1000000*SER_hh_emi!R30/SER_hh_num!R30)</f>
        <v>0</v>
      </c>
      <c r="S30" s="132">
        <f>IF(SER_hh_emi!S30=0,0,1000000*SER_hh_emi!S30/SER_hh_num!S30)</f>
        <v>0</v>
      </c>
      <c r="T30" s="132">
        <f>IF(SER_hh_emi!T30=0,0,1000000*SER_hh_emi!T30/SER_hh_num!T30)</f>
        <v>0</v>
      </c>
      <c r="U30" s="132">
        <f>IF(SER_hh_emi!U30=0,0,1000000*SER_hh_emi!U30/SER_hh_num!U30)</f>
        <v>0</v>
      </c>
      <c r="V30" s="132">
        <f>IF(SER_hh_emi!V30=0,0,1000000*SER_hh_emi!V30/SER_hh_num!V30)</f>
        <v>0</v>
      </c>
      <c r="W30" s="132">
        <f>IF(SER_hh_emi!W30=0,0,1000000*SER_hh_emi!W30/SER_hh_num!W30)</f>
        <v>0</v>
      </c>
      <c r="X30" s="132">
        <f>IF(SER_hh_emi!X30=0,0,1000000*SER_hh_emi!X30/SER_hh_num!X30)</f>
        <v>0</v>
      </c>
      <c r="Y30" s="132">
        <f>IF(SER_hh_emi!Y30=0,0,1000000*SER_hh_emi!Y30/SER_hh_num!Y30)</f>
        <v>0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2366.0870861146591</v>
      </c>
      <c r="C31" s="132">
        <f>IF(SER_hh_emi!C31=0,0,1000000*SER_hh_emi!C31/SER_hh_num!C31)</f>
        <v>2732.6858075381738</v>
      </c>
      <c r="D31" s="132">
        <f>IF(SER_hh_emi!D31=0,0,1000000*SER_hh_emi!D31/SER_hh_num!D31)</f>
        <v>2685.9407923149342</v>
      </c>
      <c r="E31" s="132">
        <f>IF(SER_hh_emi!E31=0,0,1000000*SER_hh_emi!E31/SER_hh_num!E31)</f>
        <v>2585.9703531438377</v>
      </c>
      <c r="F31" s="132">
        <f>IF(SER_hh_emi!F31=0,0,1000000*SER_hh_emi!F31/SER_hh_num!F31)</f>
        <v>2633.7515582722422</v>
      </c>
      <c r="G31" s="132">
        <f>IF(SER_hh_emi!G31=0,0,1000000*SER_hh_emi!G31/SER_hh_num!G31)</f>
        <v>2580.9898965410935</v>
      </c>
      <c r="H31" s="132">
        <f>IF(SER_hh_emi!H31=0,0,1000000*SER_hh_emi!H31/SER_hh_num!H31)</f>
        <v>2532.264672085355</v>
      </c>
      <c r="I31" s="132">
        <f>IF(SER_hh_emi!I31=0,0,1000000*SER_hh_emi!I31/SER_hh_num!I31)</f>
        <v>2538.4365676275547</v>
      </c>
      <c r="J31" s="132">
        <f>IF(SER_hh_emi!J31=0,0,1000000*SER_hh_emi!J31/SER_hh_num!J31)</f>
        <v>2580.5237184187113</v>
      </c>
      <c r="K31" s="132">
        <f>IF(SER_hh_emi!K31=0,0,1000000*SER_hh_emi!K31/SER_hh_num!K31)</f>
        <v>2877.028952500953</v>
      </c>
      <c r="L31" s="132">
        <f>IF(SER_hh_emi!L31=0,0,1000000*SER_hh_emi!L31/SER_hh_num!L31)</f>
        <v>2781.1654610131768</v>
      </c>
      <c r="M31" s="132">
        <f>IF(SER_hh_emi!M31=0,0,1000000*SER_hh_emi!M31/SER_hh_num!M31)</f>
        <v>2812.7230239837468</v>
      </c>
      <c r="N31" s="132">
        <f>IF(SER_hh_emi!N31=0,0,1000000*SER_hh_emi!N31/SER_hh_num!N31)</f>
        <v>2835.3287772854765</v>
      </c>
      <c r="O31" s="132">
        <f>IF(SER_hh_emi!O31=0,0,1000000*SER_hh_emi!O31/SER_hh_num!O31)</f>
        <v>2853.4146840572294</v>
      </c>
      <c r="P31" s="132">
        <f>IF(SER_hh_emi!P31=0,0,1000000*SER_hh_emi!P31/SER_hh_num!P31)</f>
        <v>2862.9058399497549</v>
      </c>
      <c r="Q31" s="132">
        <f>IF(SER_hh_emi!Q31=0,0,1000000*SER_hh_emi!Q31/SER_hh_num!Q31)</f>
        <v>2774.5569847508009</v>
      </c>
      <c r="R31" s="132">
        <f>IF(SER_hh_emi!R31=0,0,1000000*SER_hh_emi!R31/SER_hh_num!R31)</f>
        <v>2853.4545157490465</v>
      </c>
      <c r="S31" s="132">
        <f>IF(SER_hh_emi!S31=0,0,1000000*SER_hh_emi!S31/SER_hh_num!S31)</f>
        <v>3065.5249629910563</v>
      </c>
      <c r="T31" s="132">
        <f>IF(SER_hh_emi!T31=0,0,1000000*SER_hh_emi!T31/SER_hh_num!T31)</f>
        <v>2813.0496012871558</v>
      </c>
      <c r="U31" s="132">
        <f>IF(SER_hh_emi!U31=0,0,1000000*SER_hh_emi!U31/SER_hh_num!U31)</f>
        <v>2964.5801037973447</v>
      </c>
      <c r="V31" s="132">
        <f>IF(SER_hh_emi!V31=0,0,1000000*SER_hh_emi!V31/SER_hh_num!V31)</f>
        <v>2745.409948402435</v>
      </c>
      <c r="W31" s="132">
        <f>IF(SER_hh_emi!W31=0,0,1000000*SER_hh_emi!W31/SER_hh_num!W31)</f>
        <v>2798.5450500624479</v>
      </c>
      <c r="X31" s="132">
        <f>IF(SER_hh_emi!X31=0,0,1000000*SER_hh_emi!X31/SER_hh_num!X31)</f>
        <v>2727.7991486335613</v>
      </c>
      <c r="Y31" s="132">
        <f>IF(SER_hh_emi!Y31=0,0,1000000*SER_hh_emi!Y31/SER_hh_num!Y31)</f>
        <v>2660.5991355069141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0</v>
      </c>
      <c r="C32" s="132">
        <f>IF(SER_hh_emi!C32=0,0,1000000*SER_hh_emi!C32/SER_hh_num!C32)</f>
        <v>0</v>
      </c>
      <c r="D32" s="132">
        <f>IF(SER_hh_emi!D32=0,0,1000000*SER_hh_emi!D32/SER_hh_num!D32)</f>
        <v>0</v>
      </c>
      <c r="E32" s="132">
        <f>IF(SER_hh_emi!E32=0,0,1000000*SER_hh_emi!E32/SER_hh_num!E32)</f>
        <v>0</v>
      </c>
      <c r="F32" s="132">
        <f>IF(SER_hh_emi!F32=0,0,1000000*SER_hh_emi!F32/SER_hh_num!F32)</f>
        <v>0</v>
      </c>
      <c r="G32" s="132">
        <f>IF(SER_hh_emi!G32=0,0,1000000*SER_hh_emi!G32/SER_hh_num!G32)</f>
        <v>0</v>
      </c>
      <c r="H32" s="132">
        <f>IF(SER_hh_emi!H32=0,0,1000000*SER_hh_emi!H32/SER_hh_num!H32)</f>
        <v>0</v>
      </c>
      <c r="I32" s="132">
        <f>IF(SER_hh_emi!I32=0,0,1000000*SER_hh_emi!I32/SER_hh_num!I32)</f>
        <v>0</v>
      </c>
      <c r="J32" s="132">
        <f>IF(SER_hh_emi!J32=0,0,1000000*SER_hh_emi!J32/SER_hh_num!J32)</f>
        <v>0</v>
      </c>
      <c r="K32" s="132">
        <f>IF(SER_hh_emi!K32=0,0,1000000*SER_hh_emi!K32/SER_hh_num!K32)</f>
        <v>0</v>
      </c>
      <c r="L32" s="132">
        <f>IF(SER_hh_emi!L32=0,0,1000000*SER_hh_emi!L32/SER_hh_num!L32)</f>
        <v>0</v>
      </c>
      <c r="M32" s="132">
        <f>IF(SER_hh_emi!M32=0,0,1000000*SER_hh_emi!M32/SER_hh_num!M32)</f>
        <v>0</v>
      </c>
      <c r="N32" s="132">
        <f>IF(SER_hh_emi!N32=0,0,1000000*SER_hh_emi!N32/SER_hh_num!N32)</f>
        <v>0</v>
      </c>
      <c r="O32" s="132">
        <f>IF(SER_hh_emi!O32=0,0,1000000*SER_hh_emi!O32/SER_hh_num!O32)</f>
        <v>0</v>
      </c>
      <c r="P32" s="132">
        <f>IF(SER_hh_emi!P32=0,0,1000000*SER_hh_emi!P32/SER_hh_num!P32)</f>
        <v>0</v>
      </c>
      <c r="Q32" s="132">
        <f>IF(SER_hh_emi!Q32=0,0,1000000*SER_hh_emi!Q32/SER_hh_num!Q32)</f>
        <v>0</v>
      </c>
      <c r="R32" s="132">
        <f>IF(SER_hh_emi!R32=0,0,1000000*SER_hh_emi!R32/SER_hh_num!R32)</f>
        <v>0</v>
      </c>
      <c r="S32" s="132">
        <f>IF(SER_hh_emi!S32=0,0,1000000*SER_hh_emi!S32/SER_hh_num!S32)</f>
        <v>0</v>
      </c>
      <c r="T32" s="132">
        <f>IF(SER_hh_emi!T32=0,0,1000000*SER_hh_emi!T32/SER_hh_num!T32)</f>
        <v>0</v>
      </c>
      <c r="U32" s="132">
        <f>IF(SER_hh_emi!U32=0,0,1000000*SER_hh_emi!U32/SER_hh_num!U32)</f>
        <v>0</v>
      </c>
      <c r="V32" s="132">
        <f>IF(SER_hh_emi!V32=0,0,1000000*SER_hh_emi!V32/SER_hh_num!V32)</f>
        <v>0</v>
      </c>
      <c r="W32" s="132">
        <f>IF(SER_hh_emi!W32=0,0,1000000*SER_hh_emi!W32/SER_hh_num!W32)</f>
        <v>0</v>
      </c>
      <c r="X32" s="132">
        <f>IF(SER_hh_emi!X32=0,0,1000000*SER_hh_emi!X32/SER_hh_num!X32)</f>
        <v>0</v>
      </c>
      <c r="Y32" s="132">
        <f>IF(SER_hh_emi!Y32=0,0,1000000*SER_hh_emi!Y32/SER_hh_num!Y32)</f>
        <v>0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183.85201340780512</v>
      </c>
      <c r="C3" s="125">
        <f>IF(SER_hh_fech!C3=0,0,SER_hh_fech!C3/SER_summary!C$26)</f>
        <v>178.16412286391355</v>
      </c>
      <c r="D3" s="125">
        <f>IF(SER_hh_fech!D3=0,0,SER_hh_fech!D3/SER_summary!D$26)</f>
        <v>165.10416137382629</v>
      </c>
      <c r="E3" s="125">
        <f>IF(SER_hh_fech!E3=0,0,SER_hh_fech!E3/SER_summary!E$26)</f>
        <v>181.35881170597003</v>
      </c>
      <c r="F3" s="125">
        <f>IF(SER_hh_fech!F3=0,0,SER_hh_fech!F3/SER_summary!F$26)</f>
        <v>167.90643467472592</v>
      </c>
      <c r="G3" s="125">
        <f>IF(SER_hh_fech!G3=0,0,SER_hh_fech!G3/SER_summary!G$26)</f>
        <v>143.80402609615649</v>
      </c>
      <c r="H3" s="125">
        <f>IF(SER_hh_fech!H3=0,0,SER_hh_fech!H3/SER_summary!H$26)</f>
        <v>135.04879913543078</v>
      </c>
      <c r="I3" s="125">
        <f>IF(SER_hh_fech!I3=0,0,SER_hh_fech!I3/SER_summary!I$26)</f>
        <v>123.20915365407326</v>
      </c>
      <c r="J3" s="125">
        <f>IF(SER_hh_fech!J3=0,0,SER_hh_fech!J3/SER_summary!J$26)</f>
        <v>129.68572489592535</v>
      </c>
      <c r="K3" s="125">
        <f>IF(SER_hh_fech!K3=0,0,SER_hh_fech!K3/SER_summary!K$26)</f>
        <v>120.17301770265372</v>
      </c>
      <c r="L3" s="125">
        <f>IF(SER_hh_fech!L3=0,0,SER_hh_fech!L3/SER_summary!L$26)</f>
        <v>131.41863235378887</v>
      </c>
      <c r="M3" s="125">
        <f>IF(SER_hh_fech!M3=0,0,SER_hh_fech!M3/SER_summary!M$26)</f>
        <v>123.68755469875876</v>
      </c>
      <c r="N3" s="125">
        <f>IF(SER_hh_fech!N3=0,0,SER_hh_fech!N3/SER_summary!N$26)</f>
        <v>118.15720061134901</v>
      </c>
      <c r="O3" s="125">
        <f>IF(SER_hh_fech!O3=0,0,SER_hh_fech!O3/SER_summary!O$26)</f>
        <v>115.11280278193672</v>
      </c>
      <c r="P3" s="125">
        <f>IF(SER_hh_fech!P3=0,0,SER_hh_fech!P3/SER_summary!P$26)</f>
        <v>108.45034201869593</v>
      </c>
      <c r="Q3" s="125">
        <f>IF(SER_hh_fech!Q3=0,0,SER_hh_fech!Q3/SER_summary!Q$26)</f>
        <v>107.60676764069434</v>
      </c>
      <c r="R3" s="125">
        <f>IF(SER_hh_fech!R3=0,0,SER_hh_fech!R3/SER_summary!R$26)</f>
        <v>109.5599861851381</v>
      </c>
      <c r="S3" s="125">
        <f>IF(SER_hh_fech!S3=0,0,SER_hh_fech!S3/SER_summary!S$26)</f>
        <v>112.11537115935815</v>
      </c>
      <c r="T3" s="125">
        <f>IF(SER_hh_fech!T3=0,0,SER_hh_fech!T3/SER_summary!T$26)</f>
        <v>106.57392539465502</v>
      </c>
      <c r="U3" s="125">
        <f>IF(SER_hh_fech!U3=0,0,SER_hh_fech!U3/SER_summary!U$26)</f>
        <v>107.87460233877843</v>
      </c>
      <c r="V3" s="125">
        <f>IF(SER_hh_fech!V3=0,0,SER_hh_fech!V3/SER_summary!V$26)</f>
        <v>99.138624332073377</v>
      </c>
      <c r="W3" s="125">
        <f>IF(SER_hh_fech!W3=0,0,SER_hh_fech!W3/SER_summary!W$26)</f>
        <v>97.318166667588429</v>
      </c>
      <c r="X3" s="125">
        <f>IF(SER_hh_fech!X3=0,0,SER_hh_fech!X3/SER_summary!X$26)</f>
        <v>91.477532750373115</v>
      </c>
      <c r="Y3" s="125">
        <f>IF(SER_hh_fech!Y3=0,0,SER_hh_fech!Y3/SER_summary!Y$26)</f>
        <v>81.995303506398614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157.44720241134709</v>
      </c>
      <c r="C4" s="130">
        <f>IF(SER_hh_fech!C4=0,0,SER_hh_fech!C4/SER_summary!C$26)</f>
        <v>151.67250728274919</v>
      </c>
      <c r="D4" s="130">
        <f>IF(SER_hh_fech!D4=0,0,SER_hh_fech!D4/SER_summary!D$26)</f>
        <v>138.73289612691511</v>
      </c>
      <c r="E4" s="130">
        <f>IF(SER_hh_fech!E4=0,0,SER_hh_fech!E4/SER_summary!E$26)</f>
        <v>155.05856037719974</v>
      </c>
      <c r="F4" s="130">
        <f>IF(SER_hh_fech!F4=0,0,SER_hh_fech!F4/SER_summary!F$26)</f>
        <v>142.01451385957051</v>
      </c>
      <c r="G4" s="130">
        <f>IF(SER_hh_fech!G4=0,0,SER_hh_fech!G4/SER_summary!G$26)</f>
        <v>118.09064934135512</v>
      </c>
      <c r="H4" s="130">
        <f>IF(SER_hh_fech!H4=0,0,SER_hh_fech!H4/SER_summary!H$26)</f>
        <v>109.16639666260258</v>
      </c>
      <c r="I4" s="130">
        <f>IF(SER_hh_fech!I4=0,0,SER_hh_fech!I4/SER_summary!I$26)</f>
        <v>97.340481976521303</v>
      </c>
      <c r="J4" s="130">
        <f>IF(SER_hh_fech!J4=0,0,SER_hh_fech!J4/SER_summary!J$26)</f>
        <v>103.60719299851097</v>
      </c>
      <c r="K4" s="130">
        <f>IF(SER_hh_fech!K4=0,0,SER_hh_fech!K4/SER_summary!K$26)</f>
        <v>92.25499818548181</v>
      </c>
      <c r="L4" s="130">
        <f>IF(SER_hh_fech!L4=0,0,SER_hh_fech!L4/SER_summary!L$26)</f>
        <v>102.83525926263611</v>
      </c>
      <c r="M4" s="130">
        <f>IF(SER_hh_fech!M4=0,0,SER_hh_fech!M4/SER_summary!M$26)</f>
        <v>94.893941027335586</v>
      </c>
      <c r="N4" s="130">
        <f>IF(SER_hh_fech!N4=0,0,SER_hh_fech!N4/SER_summary!N$26)</f>
        <v>89.205158005417047</v>
      </c>
      <c r="O4" s="130">
        <f>IF(SER_hh_fech!O4=0,0,SER_hh_fech!O4/SER_summary!O$26)</f>
        <v>86.001728253162668</v>
      </c>
      <c r="P4" s="130">
        <f>IF(SER_hh_fech!P4=0,0,SER_hh_fech!P4/SER_summary!P$26)</f>
        <v>79.678248643031338</v>
      </c>
      <c r="Q4" s="130">
        <f>IF(SER_hh_fech!Q4=0,0,SER_hh_fech!Q4/SER_summary!Q$26)</f>
        <v>78.649676397751179</v>
      </c>
      <c r="R4" s="130">
        <f>IF(SER_hh_fech!R4=0,0,SER_hh_fech!R4/SER_summary!R$26)</f>
        <v>80.716618109014803</v>
      </c>
      <c r="S4" s="130">
        <f>IF(SER_hh_fech!S4=0,0,SER_hh_fech!S4/SER_summary!S$26)</f>
        <v>82.953114788975569</v>
      </c>
      <c r="T4" s="130">
        <f>IF(SER_hh_fech!T4=0,0,SER_hh_fech!T4/SER_summary!T$26)</f>
        <v>78.019213481961401</v>
      </c>
      <c r="U4" s="130">
        <f>IF(SER_hh_fech!U4=0,0,SER_hh_fech!U4/SER_summary!U$26)</f>
        <v>79.3269793432939</v>
      </c>
      <c r="V4" s="130">
        <f>IF(SER_hh_fech!V4=0,0,SER_hh_fech!V4/SER_summary!V$26)</f>
        <v>72.701461340519032</v>
      </c>
      <c r="W4" s="130">
        <f>IF(SER_hh_fech!W4=0,0,SER_hh_fech!W4/SER_summary!W$26)</f>
        <v>70.772422752896503</v>
      </c>
      <c r="X4" s="130">
        <f>IF(SER_hh_fech!X4=0,0,SER_hh_fech!X4/SER_summary!X$26)</f>
        <v>65.707867391084122</v>
      </c>
      <c r="Y4" s="130">
        <f>IF(SER_hh_fech!Y4=0,0,SER_hh_fech!Y4/SER_summary!Y$26)</f>
        <v>56.320259816031765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217.96067744682958</v>
      </c>
      <c r="C5" s="132">
        <f>IF(SER_hh_fech!C5=0,0,SER_hh_fech!C5/SER_summary!C$26)</f>
        <v>114.8755132653903</v>
      </c>
      <c r="D5" s="132">
        <f>IF(SER_hh_fech!D5=0,0,SER_hh_fech!D5/SER_summary!D$26)</f>
        <v>117.60224708661575</v>
      </c>
      <c r="E5" s="132">
        <f>IF(SER_hh_fech!E5=0,0,SER_hh_fech!E5/SER_summary!E$26)</f>
        <v>218.29796743981913</v>
      </c>
      <c r="F5" s="132">
        <f>IF(SER_hh_fech!F5=0,0,SER_hh_fech!F5/SER_summary!F$26)</f>
        <v>234.08743330859116</v>
      </c>
      <c r="G5" s="132">
        <f>IF(SER_hh_fech!G5=0,0,SER_hh_fech!G5/SER_summary!G$26)</f>
        <v>57.686650756457325</v>
      </c>
      <c r="H5" s="132">
        <f>IF(SER_hh_fech!H5=0,0,SER_hh_fech!H5/SER_summary!H$26)</f>
        <v>145.89058871632642</v>
      </c>
      <c r="I5" s="132">
        <f>IF(SER_hh_fech!I5=0,0,SER_hh_fech!I5/SER_summary!I$26)</f>
        <v>80.038568925399971</v>
      </c>
      <c r="J5" s="132">
        <f>IF(SER_hh_fech!J5=0,0,SER_hh_fech!J5/SER_summary!J$26)</f>
        <v>136.09124852158467</v>
      </c>
      <c r="K5" s="132">
        <f>IF(SER_hh_fech!K5=0,0,SER_hh_fech!K5/SER_summary!K$26)</f>
        <v>70.009340858750051</v>
      </c>
      <c r="L5" s="132">
        <f>IF(SER_hh_fech!L5=0,0,SER_hh_fech!L5/SER_summary!L$26)</f>
        <v>114.2426588293589</v>
      </c>
      <c r="M5" s="132">
        <f>IF(SER_hh_fech!M5=0,0,SER_hh_fech!M5/SER_summary!M$26)</f>
        <v>109.14933672863121</v>
      </c>
      <c r="N5" s="132">
        <f>IF(SER_hh_fech!N5=0,0,SER_hh_fech!N5/SER_summary!N$26)</f>
        <v>97.837159515468812</v>
      </c>
      <c r="O5" s="132">
        <f>IF(SER_hh_fech!O5=0,0,SER_hh_fech!O5/SER_summary!O$26)</f>
        <v>93.864641041654494</v>
      </c>
      <c r="P5" s="132">
        <f>IF(SER_hh_fech!P5=0,0,SER_hh_fech!P5/SER_summary!P$26)</f>
        <v>82.549110691226787</v>
      </c>
      <c r="Q5" s="132">
        <f>IF(SER_hh_fech!Q5=0,0,SER_hh_fech!Q5/SER_summary!Q$26)</f>
        <v>73.86461164268664</v>
      </c>
      <c r="R5" s="132">
        <f>IF(SER_hh_fech!R5=0,0,SER_hh_fech!R5/SER_summary!R$26)</f>
        <v>93.84705466874091</v>
      </c>
      <c r="S5" s="132">
        <f>IF(SER_hh_fech!S5=0,0,SER_hh_fech!S5/SER_summary!S$26)</f>
        <v>95.283245887555367</v>
      </c>
      <c r="T5" s="132">
        <f>IF(SER_hh_fech!T5=0,0,SER_hh_fech!T5/SER_summary!T$26)</f>
        <v>74.064282496004637</v>
      </c>
      <c r="U5" s="132">
        <f>IF(SER_hh_fech!U5=0,0,SER_hh_fech!U5/SER_summary!U$26)</f>
        <v>92.394971749826766</v>
      </c>
      <c r="V5" s="132">
        <f>IF(SER_hh_fech!V5=0,0,SER_hh_fech!V5/SER_summary!V$26)</f>
        <v>73.339182618436197</v>
      </c>
      <c r="W5" s="132">
        <f>IF(SER_hh_fech!W5=0,0,SER_hh_fech!W5/SER_summary!W$26)</f>
        <v>85.051939769144013</v>
      </c>
      <c r="X5" s="132">
        <f>IF(SER_hh_fech!X5=0,0,SER_hh_fech!X5/SER_summary!X$26)</f>
        <v>87.700053233542874</v>
      </c>
      <c r="Y5" s="132">
        <f>IF(SER_hh_fech!Y5=0,0,SER_hh_fech!Y5/SER_summary!Y$26)</f>
        <v>52.114145199279427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0</v>
      </c>
      <c r="C6" s="132">
        <f>IF(SER_hh_fech!C6=0,0,SER_hh_fech!C6/SER_summary!C$26)</f>
        <v>0</v>
      </c>
      <c r="D6" s="132">
        <f>IF(SER_hh_fech!D6=0,0,SER_hh_fech!D6/SER_summary!D$26)</f>
        <v>0</v>
      </c>
      <c r="E6" s="132">
        <f>IF(SER_hh_fech!E6=0,0,SER_hh_fech!E6/SER_summary!E$26)</f>
        <v>0</v>
      </c>
      <c r="F6" s="132">
        <f>IF(SER_hh_fech!F6=0,0,SER_hh_fech!F6/SER_summary!F$26)</f>
        <v>0</v>
      </c>
      <c r="G6" s="132">
        <f>IF(SER_hh_fech!G6=0,0,SER_hh_fech!G6/SER_summary!G$26)</f>
        <v>0</v>
      </c>
      <c r="H6" s="132">
        <f>IF(SER_hh_fech!H6=0,0,SER_hh_fech!H6/SER_summary!H$26)</f>
        <v>0</v>
      </c>
      <c r="I6" s="132">
        <f>IF(SER_hh_fech!I6=0,0,SER_hh_fech!I6/SER_summary!I$26)</f>
        <v>0</v>
      </c>
      <c r="J6" s="132">
        <f>IF(SER_hh_fech!J6=0,0,SER_hh_fech!J6/SER_summary!J$26)</f>
        <v>0</v>
      </c>
      <c r="K6" s="132">
        <f>IF(SER_hh_fech!K6=0,0,SER_hh_fech!K6/SER_summary!K$26)</f>
        <v>0</v>
      </c>
      <c r="L6" s="132">
        <f>IF(SER_hh_fech!L6=0,0,SER_hh_fech!L6/SER_summary!L$26)</f>
        <v>0</v>
      </c>
      <c r="M6" s="132">
        <f>IF(SER_hh_fech!M6=0,0,SER_hh_fech!M6/SER_summary!M$26)</f>
        <v>0</v>
      </c>
      <c r="N6" s="132">
        <f>IF(SER_hh_fech!N6=0,0,SER_hh_fech!N6/SER_summary!N$26)</f>
        <v>0</v>
      </c>
      <c r="O6" s="132">
        <f>IF(SER_hh_fech!O6=0,0,SER_hh_fech!O6/SER_summary!O$26)</f>
        <v>0</v>
      </c>
      <c r="P6" s="132">
        <f>IF(SER_hh_fech!P6=0,0,SER_hh_fech!P6/SER_summary!P$26)</f>
        <v>0</v>
      </c>
      <c r="Q6" s="132">
        <f>IF(SER_hh_fech!Q6=0,0,SER_hh_fech!Q6/SER_summary!Q$26)</f>
        <v>0</v>
      </c>
      <c r="R6" s="132">
        <f>IF(SER_hh_fech!R6=0,0,SER_hh_fech!R6/SER_summary!R$26)</f>
        <v>0</v>
      </c>
      <c r="S6" s="132">
        <f>IF(SER_hh_fech!S6=0,0,SER_hh_fech!S6/SER_summary!S$26)</f>
        <v>0</v>
      </c>
      <c r="T6" s="132">
        <f>IF(SER_hh_fech!T6=0,0,SER_hh_fech!T6/SER_summary!T$26)</f>
        <v>0</v>
      </c>
      <c r="U6" s="132">
        <f>IF(SER_hh_fech!U6=0,0,SER_hh_fech!U6/SER_summary!U$26)</f>
        <v>0</v>
      </c>
      <c r="V6" s="132">
        <f>IF(SER_hh_fech!V6=0,0,SER_hh_fech!V6/SER_summary!V$26)</f>
        <v>0</v>
      </c>
      <c r="W6" s="132">
        <f>IF(SER_hh_fech!W6=0,0,SER_hh_fech!W6/SER_summary!W$26)</f>
        <v>0</v>
      </c>
      <c r="X6" s="132">
        <f>IF(SER_hh_fech!X6=0,0,SER_hh_fech!X6/SER_summary!X$26)</f>
        <v>0</v>
      </c>
      <c r="Y6" s="132">
        <f>IF(SER_hh_fech!Y6=0,0,SER_hh_fech!Y6/SER_summary!Y$26)</f>
        <v>0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244.58770281809944</v>
      </c>
      <c r="C7" s="132">
        <f>IF(SER_hh_fech!C7=0,0,SER_hh_fech!C7/SER_summary!C$26)</f>
        <v>87.773491045003269</v>
      </c>
      <c r="D7" s="132">
        <f>IF(SER_hh_fech!D7=0,0,SER_hh_fech!D7/SER_summary!D$26)</f>
        <v>222.24809924094251</v>
      </c>
      <c r="E7" s="132">
        <f>IF(SER_hh_fech!E7=0,0,SER_hh_fech!E7/SER_summary!E$26)</f>
        <v>173.72089339773498</v>
      </c>
      <c r="F7" s="132">
        <f>IF(SER_hh_fech!F7=0,0,SER_hh_fech!F7/SER_summary!F$26)</f>
        <v>185.92897355408644</v>
      </c>
      <c r="G7" s="132">
        <f>IF(SER_hh_fech!G7=0,0,SER_hh_fech!G7/SER_summary!G$26)</f>
        <v>126.86783669129692</v>
      </c>
      <c r="H7" s="132">
        <f>IF(SER_hh_fech!H7=0,0,SER_hh_fech!H7/SER_summary!H$26)</f>
        <v>135.21476553086183</v>
      </c>
      <c r="I7" s="132">
        <f>IF(SER_hh_fech!I7=0,0,SER_hh_fech!I7/SER_summary!I$26)</f>
        <v>126.50465894036914</v>
      </c>
      <c r="J7" s="132">
        <f>IF(SER_hh_fech!J7=0,0,SER_hh_fech!J7/SER_summary!J$26)</f>
        <v>130.34147917496372</v>
      </c>
      <c r="K7" s="132">
        <f>IF(SER_hh_fech!K7=0,0,SER_hh_fech!K7/SER_summary!K$26)</f>
        <v>102.50586123794481</v>
      </c>
      <c r="L7" s="132">
        <f>IF(SER_hh_fech!L7=0,0,SER_hh_fech!L7/SER_summary!L$26)</f>
        <v>129.02878843807815</v>
      </c>
      <c r="M7" s="132">
        <f>IF(SER_hh_fech!M7=0,0,SER_hh_fech!M7/SER_summary!M$26)</f>
        <v>94.433895553217567</v>
      </c>
      <c r="N7" s="132">
        <f>IF(SER_hh_fech!N7=0,0,SER_hh_fech!N7/SER_summary!N$26)</f>
        <v>136.35122237055782</v>
      </c>
      <c r="O7" s="132">
        <f>IF(SER_hh_fech!O7=0,0,SER_hh_fech!O7/SER_summary!O$26)</f>
        <v>101.59304411640144</v>
      </c>
      <c r="P7" s="132">
        <f>IF(SER_hh_fech!P7=0,0,SER_hh_fech!P7/SER_summary!P$26)</f>
        <v>64.324674946692141</v>
      </c>
      <c r="Q7" s="132">
        <f>IF(SER_hh_fech!Q7=0,0,SER_hh_fech!Q7/SER_summary!Q$26)</f>
        <v>110.14380128438</v>
      </c>
      <c r="R7" s="132">
        <f>IF(SER_hh_fech!R7=0,0,SER_hh_fech!R7/SER_summary!R$26)</f>
        <v>101.08479034508639</v>
      </c>
      <c r="S7" s="132">
        <f>IF(SER_hh_fech!S7=0,0,SER_hh_fech!S7/SER_summary!S$26)</f>
        <v>104.26888026119671</v>
      </c>
      <c r="T7" s="132">
        <f>IF(SER_hh_fech!T7=0,0,SER_hh_fech!T7/SER_summary!T$26)</f>
        <v>76.791618012317215</v>
      </c>
      <c r="U7" s="132">
        <f>IF(SER_hh_fech!U7=0,0,SER_hh_fech!U7/SER_summary!U$26)</f>
        <v>74.464014232633204</v>
      </c>
      <c r="V7" s="132">
        <f>IF(SER_hh_fech!V7=0,0,SER_hh_fech!V7/SER_summary!V$26)</f>
        <v>83.27254477063623</v>
      </c>
      <c r="W7" s="132">
        <f>IF(SER_hh_fech!W7=0,0,SER_hh_fech!W7/SER_summary!W$26)</f>
        <v>92.482518764459115</v>
      </c>
      <c r="X7" s="132">
        <f>IF(SER_hh_fech!X7=0,0,SER_hh_fech!X7/SER_summary!X$26)</f>
        <v>67.420154627893552</v>
      </c>
      <c r="Y7" s="132">
        <f>IF(SER_hh_fech!Y7=0,0,SER_hh_fech!Y7/SER_summary!Y$26)</f>
        <v>74.403525127139602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0</v>
      </c>
      <c r="C8" s="132">
        <f>IF(SER_hh_fech!C8=0,0,SER_hh_fech!C8/SER_summary!C$26)</f>
        <v>0</v>
      </c>
      <c r="D8" s="132">
        <f>IF(SER_hh_fech!D8=0,0,SER_hh_fech!D8/SER_summary!D$26)</f>
        <v>0</v>
      </c>
      <c r="E8" s="132">
        <f>IF(SER_hh_fech!E8=0,0,SER_hh_fech!E8/SER_summary!E$26)</f>
        <v>0</v>
      </c>
      <c r="F8" s="132">
        <f>IF(SER_hh_fech!F8=0,0,SER_hh_fech!F8/SER_summary!F$26)</f>
        <v>0</v>
      </c>
      <c r="G8" s="132">
        <f>IF(SER_hh_fech!G8=0,0,SER_hh_fech!G8/SER_summary!G$26)</f>
        <v>19.140068030450792</v>
      </c>
      <c r="H8" s="132">
        <f>IF(SER_hh_fech!H8=0,0,SER_hh_fech!H8/SER_summary!H$26)</f>
        <v>22.052499531991451</v>
      </c>
      <c r="I8" s="132">
        <f>IF(SER_hh_fech!I8=0,0,SER_hh_fech!I8/SER_summary!I$26)</f>
        <v>24.350186809167763</v>
      </c>
      <c r="J8" s="132">
        <f>IF(SER_hh_fech!J8=0,0,SER_hh_fech!J8/SER_summary!J$26)</f>
        <v>26.95006871402942</v>
      </c>
      <c r="K8" s="132">
        <f>IF(SER_hh_fech!K8=0,0,SER_hh_fech!K8/SER_summary!K$26)</f>
        <v>24.933926662264906</v>
      </c>
      <c r="L8" s="132">
        <f>IF(SER_hh_fech!L8=0,0,SER_hh_fech!L8/SER_summary!L$26)</f>
        <v>21.457548015187317</v>
      </c>
      <c r="M8" s="132">
        <f>IF(SER_hh_fech!M8=0,0,SER_hh_fech!M8/SER_summary!M$26)</f>
        <v>19.469239089286219</v>
      </c>
      <c r="N8" s="132">
        <f>IF(SER_hh_fech!N8=0,0,SER_hh_fech!N8/SER_summary!N$26)</f>
        <v>16.554299515788184</v>
      </c>
      <c r="O8" s="132">
        <f>IF(SER_hh_fech!O8=0,0,SER_hh_fech!O8/SER_summary!O$26)</f>
        <v>17.85196823261904</v>
      </c>
      <c r="P8" s="132">
        <f>IF(SER_hh_fech!P8=0,0,SER_hh_fech!P8/SER_summary!P$26)</f>
        <v>19.133879351905595</v>
      </c>
      <c r="Q8" s="132">
        <f>IF(SER_hh_fech!Q8=0,0,SER_hh_fech!Q8/SER_summary!Q$26)</f>
        <v>17.644966629220409</v>
      </c>
      <c r="R8" s="132">
        <f>IF(SER_hh_fech!R8=0,0,SER_hh_fech!R8/SER_summary!R$26)</f>
        <v>17.1203569975557</v>
      </c>
      <c r="S8" s="132">
        <f>IF(SER_hh_fech!S8=0,0,SER_hh_fech!S8/SER_summary!S$26)</f>
        <v>16.623011154873709</v>
      </c>
      <c r="T8" s="132">
        <f>IF(SER_hh_fech!T8=0,0,SER_hh_fech!T8/SER_summary!T$26)</f>
        <v>16.031542763780926</v>
      </c>
      <c r="U8" s="132">
        <f>IF(SER_hh_fech!U8=0,0,SER_hh_fech!U8/SER_summary!U$26)</f>
        <v>15.974422180584371</v>
      </c>
      <c r="V8" s="132">
        <f>IF(SER_hh_fech!V8=0,0,SER_hh_fech!V8/SER_summary!V$26)</f>
        <v>15.020478494959967</v>
      </c>
      <c r="W8" s="132">
        <f>IF(SER_hh_fech!W8=0,0,SER_hh_fech!W8/SER_summary!W$26)</f>
        <v>14.562256798827013</v>
      </c>
      <c r="X8" s="132">
        <f>IF(SER_hh_fech!X8=0,0,SER_hh_fech!X8/SER_summary!X$26)</f>
        <v>13.306679884275827</v>
      </c>
      <c r="Y8" s="132">
        <f>IF(SER_hh_fech!Y8=0,0,SER_hh_fech!Y8/SER_summary!Y$26)</f>
        <v>12.393240657736182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179.49906741302723</v>
      </c>
      <c r="C9" s="132">
        <f>IF(SER_hh_fech!C9=0,0,SER_hh_fech!C9/SER_summary!C$26)</f>
        <v>198.53622825260626</v>
      </c>
      <c r="D9" s="132">
        <f>IF(SER_hh_fech!D9=0,0,SER_hh_fech!D9/SER_summary!D$26)</f>
        <v>173.21383002462048</v>
      </c>
      <c r="E9" s="132">
        <f>IF(SER_hh_fech!E9=0,0,SER_hh_fech!E9/SER_summary!E$26)</f>
        <v>170.17384428101673</v>
      </c>
      <c r="F9" s="132">
        <f>IF(SER_hh_fech!F9=0,0,SER_hh_fech!F9/SER_summary!F$26)</f>
        <v>155.51453100539837</v>
      </c>
      <c r="G9" s="132">
        <f>IF(SER_hh_fech!G9=0,0,SER_hh_fech!G9/SER_summary!G$26)</f>
        <v>143.8310847472587</v>
      </c>
      <c r="H9" s="132">
        <f>IF(SER_hh_fech!H9=0,0,SER_hh_fech!H9/SER_summary!H$26)</f>
        <v>124.31284281337396</v>
      </c>
      <c r="I9" s="132">
        <f>IF(SER_hh_fech!I9=0,0,SER_hh_fech!I9/SER_summary!I$26)</f>
        <v>111.38048245256329</v>
      </c>
      <c r="J9" s="132">
        <f>IF(SER_hh_fech!J9=0,0,SER_hh_fech!J9/SER_summary!J$26)</f>
        <v>119.77494432410961</v>
      </c>
      <c r="K9" s="132">
        <f>IF(SER_hh_fech!K9=0,0,SER_hh_fech!K9/SER_summary!K$26)</f>
        <v>108.65883675293371</v>
      </c>
      <c r="L9" s="132">
        <f>IF(SER_hh_fech!L9=0,0,SER_hh_fech!L9/SER_summary!L$26)</f>
        <v>116.25405216202491</v>
      </c>
      <c r="M9" s="132">
        <f>IF(SER_hh_fech!M9=0,0,SER_hh_fech!M9/SER_summary!M$26)</f>
        <v>110.79624819499064</v>
      </c>
      <c r="N9" s="132">
        <f>IF(SER_hh_fech!N9=0,0,SER_hh_fech!N9/SER_summary!N$26)</f>
        <v>103.11444426429769</v>
      </c>
      <c r="O9" s="132">
        <f>IF(SER_hh_fech!O9=0,0,SER_hh_fech!O9/SER_summary!O$26)</f>
        <v>97.887413434868634</v>
      </c>
      <c r="P9" s="132">
        <f>IF(SER_hh_fech!P9=0,0,SER_hh_fech!P9/SER_summary!P$26)</f>
        <v>92.95248662140844</v>
      </c>
      <c r="Q9" s="132">
        <f>IF(SER_hh_fech!Q9=0,0,SER_hh_fech!Q9/SER_summary!Q$26)</f>
        <v>90.004832644477901</v>
      </c>
      <c r="R9" s="132">
        <f>IF(SER_hh_fech!R9=0,0,SER_hh_fech!R9/SER_summary!R$26)</f>
        <v>90.770797457043528</v>
      </c>
      <c r="S9" s="132">
        <f>IF(SER_hh_fech!S9=0,0,SER_hh_fech!S9/SER_summary!S$26)</f>
        <v>94.623141864734109</v>
      </c>
      <c r="T9" s="132">
        <f>IF(SER_hh_fech!T9=0,0,SER_hh_fech!T9/SER_summary!T$26)</f>
        <v>85.416695975503401</v>
      </c>
      <c r="U9" s="132">
        <f>IF(SER_hh_fech!U9=0,0,SER_hh_fech!U9/SER_summary!U$26)</f>
        <v>88.600315791046384</v>
      </c>
      <c r="V9" s="132">
        <f>IF(SER_hh_fech!V9=0,0,SER_hh_fech!V9/SER_summary!V$26)</f>
        <v>81.134355506991398</v>
      </c>
      <c r="W9" s="132">
        <f>IF(SER_hh_fech!W9=0,0,SER_hh_fech!W9/SER_summary!W$26)</f>
        <v>76.774386670556609</v>
      </c>
      <c r="X9" s="132">
        <f>IF(SER_hh_fech!X9=0,0,SER_hh_fech!X9/SER_summary!X$26)</f>
        <v>69.873298651455016</v>
      </c>
      <c r="Y9" s="132">
        <f>IF(SER_hh_fech!Y9=0,0,SER_hh_fech!Y9/SER_summary!Y$26)</f>
        <v>62.139859684854194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158.3587045553883</v>
      </c>
      <c r="C10" s="132">
        <f>IF(SER_hh_fech!C10=0,0,SER_hh_fech!C10/SER_summary!C$26)</f>
        <v>214.37511363299885</v>
      </c>
      <c r="D10" s="132">
        <f>IF(SER_hh_fech!D10=0,0,SER_hh_fech!D10/SER_summary!D$26)</f>
        <v>164.48645382286847</v>
      </c>
      <c r="E10" s="132">
        <f>IF(SER_hh_fech!E10=0,0,SER_hh_fech!E10/SER_summary!E$26)</f>
        <v>179.09557896393758</v>
      </c>
      <c r="F10" s="132">
        <f>IF(SER_hh_fech!F10=0,0,SER_hh_fech!F10/SER_summary!F$26)</f>
        <v>162.48669794402497</v>
      </c>
      <c r="G10" s="132">
        <f>IF(SER_hh_fech!G10=0,0,SER_hh_fech!G10/SER_summary!G$26)</f>
        <v>144.8378156226903</v>
      </c>
      <c r="H10" s="132">
        <f>IF(SER_hh_fech!H10=0,0,SER_hh_fech!H10/SER_summary!H$26)</f>
        <v>112.84459231113733</v>
      </c>
      <c r="I10" s="132">
        <f>IF(SER_hh_fech!I10=0,0,SER_hh_fech!I10/SER_summary!I$26)</f>
        <v>144.68341204695687</v>
      </c>
      <c r="J10" s="132">
        <f>IF(SER_hh_fech!J10=0,0,SER_hh_fech!J10/SER_summary!J$26)</f>
        <v>112.07661545608447</v>
      </c>
      <c r="K10" s="132">
        <f>IF(SER_hh_fech!K10=0,0,SER_hh_fech!K10/SER_summary!K$26)</f>
        <v>96.187335287969944</v>
      </c>
      <c r="L10" s="132">
        <f>IF(SER_hh_fech!L10=0,0,SER_hh_fech!L10/SER_summary!L$26)</f>
        <v>123.54096780132809</v>
      </c>
      <c r="M10" s="132">
        <f>IF(SER_hh_fech!M10=0,0,SER_hh_fech!M10/SER_summary!M$26)</f>
        <v>114.02118918892289</v>
      </c>
      <c r="N10" s="132">
        <f>IF(SER_hh_fech!N10=0,0,SER_hh_fech!N10/SER_summary!N$26)</f>
        <v>106.13259394292456</v>
      </c>
      <c r="O10" s="132">
        <f>IF(SER_hh_fech!O10=0,0,SER_hh_fech!O10/SER_summary!O$26)</f>
        <v>106.71907106720319</v>
      </c>
      <c r="P10" s="132">
        <f>IF(SER_hh_fech!P10=0,0,SER_hh_fech!P10/SER_summary!P$26)</f>
        <v>98.231328378279855</v>
      </c>
      <c r="Q10" s="132">
        <f>IF(SER_hh_fech!Q10=0,0,SER_hh_fech!Q10/SER_summary!Q$26)</f>
        <v>105.97715069506634</v>
      </c>
      <c r="R10" s="132">
        <f>IF(SER_hh_fech!R10=0,0,SER_hh_fech!R10/SER_summary!R$26)</f>
        <v>102.17035693646858</v>
      </c>
      <c r="S10" s="132">
        <f>IF(SER_hh_fech!S10=0,0,SER_hh_fech!S10/SER_summary!S$26)</f>
        <v>99.974966652021365</v>
      </c>
      <c r="T10" s="132">
        <f>IF(SER_hh_fech!T10=0,0,SER_hh_fech!T10/SER_summary!T$26)</f>
        <v>103.46666250490472</v>
      </c>
      <c r="U10" s="132">
        <f>IF(SER_hh_fech!U10=0,0,SER_hh_fech!U10/SER_summary!U$26)</f>
        <v>105.95367639559446</v>
      </c>
      <c r="V10" s="132">
        <f>IF(SER_hh_fech!V10=0,0,SER_hh_fech!V10/SER_summary!V$26)</f>
        <v>98.149149230207087</v>
      </c>
      <c r="W10" s="132">
        <f>IF(SER_hh_fech!W10=0,0,SER_hh_fech!W10/SER_summary!W$26)</f>
        <v>100.67201225620569</v>
      </c>
      <c r="X10" s="132">
        <f>IF(SER_hh_fech!X10=0,0,SER_hh_fech!X10/SER_summary!X$26)</f>
        <v>96.631680170025845</v>
      </c>
      <c r="Y10" s="132">
        <f>IF(SER_hh_fech!Y10=0,0,SER_hh_fech!Y10/SER_summary!Y$26)</f>
        <v>81.883544699591454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0</v>
      </c>
      <c r="C11" s="132">
        <f>IF(SER_hh_fech!C11=0,0,SER_hh_fech!C11/SER_summary!C$26)</f>
        <v>0</v>
      </c>
      <c r="D11" s="132">
        <f>IF(SER_hh_fech!D11=0,0,SER_hh_fech!D11/SER_summary!D$26)</f>
        <v>0</v>
      </c>
      <c r="E11" s="132">
        <f>IF(SER_hh_fech!E11=0,0,SER_hh_fech!E11/SER_summary!E$26)</f>
        <v>0</v>
      </c>
      <c r="F11" s="132">
        <f>IF(SER_hh_fech!F11=0,0,SER_hh_fech!F11/SER_summary!F$26)</f>
        <v>0</v>
      </c>
      <c r="G11" s="132">
        <f>IF(SER_hh_fech!G11=0,0,SER_hh_fech!G11/SER_summary!G$26)</f>
        <v>0</v>
      </c>
      <c r="H11" s="132">
        <f>IF(SER_hh_fech!H11=0,0,SER_hh_fech!H11/SER_summary!H$26)</f>
        <v>0</v>
      </c>
      <c r="I11" s="132">
        <f>IF(SER_hh_fech!I11=0,0,SER_hh_fech!I11/SER_summary!I$26)</f>
        <v>0</v>
      </c>
      <c r="J11" s="132">
        <f>IF(SER_hh_fech!J11=0,0,SER_hh_fech!J11/SER_summary!J$26)</f>
        <v>0</v>
      </c>
      <c r="K11" s="132">
        <f>IF(SER_hh_fech!K11=0,0,SER_hh_fech!K11/SER_summary!K$26)</f>
        <v>0</v>
      </c>
      <c r="L11" s="132">
        <f>IF(SER_hh_fech!L11=0,0,SER_hh_fech!L11/SER_summary!L$26)</f>
        <v>0</v>
      </c>
      <c r="M11" s="132">
        <f>IF(SER_hh_fech!M11=0,0,SER_hh_fech!M11/SER_summary!M$26)</f>
        <v>0</v>
      </c>
      <c r="N11" s="132">
        <f>IF(SER_hh_fech!N11=0,0,SER_hh_fech!N11/SER_summary!N$26)</f>
        <v>0</v>
      </c>
      <c r="O11" s="132">
        <f>IF(SER_hh_fech!O11=0,0,SER_hh_fech!O11/SER_summary!O$26)</f>
        <v>0</v>
      </c>
      <c r="P11" s="132">
        <f>IF(SER_hh_fech!P11=0,0,SER_hh_fech!P11/SER_summary!P$26)</f>
        <v>0</v>
      </c>
      <c r="Q11" s="132">
        <f>IF(SER_hh_fech!Q11=0,0,SER_hh_fech!Q11/SER_summary!Q$26)</f>
        <v>0</v>
      </c>
      <c r="R11" s="132">
        <f>IF(SER_hh_fech!R11=0,0,SER_hh_fech!R11/SER_summary!R$26)</f>
        <v>0</v>
      </c>
      <c r="S11" s="132">
        <f>IF(SER_hh_fech!S11=0,0,SER_hh_fech!S11/SER_summary!S$26)</f>
        <v>0</v>
      </c>
      <c r="T11" s="132">
        <f>IF(SER_hh_fech!T11=0,0,SER_hh_fech!T11/SER_summary!T$26)</f>
        <v>0</v>
      </c>
      <c r="U11" s="132">
        <f>IF(SER_hh_fech!U11=0,0,SER_hh_fech!U11/SER_summary!U$26)</f>
        <v>0</v>
      </c>
      <c r="V11" s="132">
        <f>IF(SER_hh_fech!V11=0,0,SER_hh_fech!V11/SER_summary!V$26)</f>
        <v>0</v>
      </c>
      <c r="W11" s="132">
        <f>IF(SER_hh_fech!W11=0,0,SER_hh_fech!W11/SER_summary!W$26)</f>
        <v>0</v>
      </c>
      <c r="X11" s="132">
        <f>IF(SER_hh_fech!X11=0,0,SER_hh_fech!X11/SER_summary!X$26)</f>
        <v>0</v>
      </c>
      <c r="Y11" s="132">
        <f>IF(SER_hh_fech!Y11=0,0,SER_hh_fech!Y11/SER_summary!Y$26)</f>
        <v>0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118.13290342734379</v>
      </c>
      <c r="C12" s="132">
        <f>IF(SER_hh_fech!C12=0,0,SER_hh_fech!C12/SER_summary!C$26)</f>
        <v>121.15927652649586</v>
      </c>
      <c r="D12" s="132">
        <f>IF(SER_hh_fech!D12=0,0,SER_hh_fech!D12/SER_summary!D$26)</f>
        <v>111.22095130981903</v>
      </c>
      <c r="E12" s="132">
        <f>IF(SER_hh_fech!E12=0,0,SER_hh_fech!E12/SER_summary!E$26)</f>
        <v>109.48198892229308</v>
      </c>
      <c r="F12" s="132">
        <f>IF(SER_hh_fech!F12=0,0,SER_hh_fech!F12/SER_summary!F$26)</f>
        <v>109.0200459906001</v>
      </c>
      <c r="G12" s="132">
        <f>IF(SER_hh_fech!G12=0,0,SER_hh_fech!G12/SER_summary!G$26)</f>
        <v>104.53780245191271</v>
      </c>
      <c r="H12" s="132">
        <f>IF(SER_hh_fech!H12=0,0,SER_hh_fech!H12/SER_summary!H$26)</f>
        <v>83.128860935545816</v>
      </c>
      <c r="I12" s="132">
        <f>IF(SER_hh_fech!I12=0,0,SER_hh_fech!I12/SER_summary!I$26)</f>
        <v>75.605875082710639</v>
      </c>
      <c r="J12" s="132">
        <f>IF(SER_hh_fech!J12=0,0,SER_hh_fech!J12/SER_summary!J$26)</f>
        <v>76.705816302219503</v>
      </c>
      <c r="K12" s="132">
        <f>IF(SER_hh_fech!K12=0,0,SER_hh_fech!K12/SER_summary!K$26)</f>
        <v>70.395664948303377</v>
      </c>
      <c r="L12" s="132">
        <f>IF(SER_hh_fech!L12=0,0,SER_hh_fech!L12/SER_summary!L$26)</f>
        <v>86.510868057334747</v>
      </c>
      <c r="M12" s="132">
        <f>IF(SER_hh_fech!M12=0,0,SER_hh_fech!M12/SER_summary!M$26)</f>
        <v>77.373706275297067</v>
      </c>
      <c r="N12" s="132">
        <f>IF(SER_hh_fech!N12=0,0,SER_hh_fech!N12/SER_summary!N$26)</f>
        <v>73.327243403563784</v>
      </c>
      <c r="O12" s="132">
        <f>IF(SER_hh_fech!O12=0,0,SER_hh_fech!O12/SER_summary!O$26)</f>
        <v>69.931099991881709</v>
      </c>
      <c r="P12" s="132">
        <f>IF(SER_hh_fech!P12=0,0,SER_hh_fech!P12/SER_summary!P$26)</f>
        <v>65.354762539727204</v>
      </c>
      <c r="Q12" s="132">
        <f>IF(SER_hh_fech!Q12=0,0,SER_hh_fech!Q12/SER_summary!Q$26)</f>
        <v>66.001797050524246</v>
      </c>
      <c r="R12" s="132">
        <f>IF(SER_hh_fech!R12=0,0,SER_hh_fech!R12/SER_summary!R$26)</f>
        <v>68.402119761044702</v>
      </c>
      <c r="S12" s="132">
        <f>IF(SER_hh_fech!S12=0,0,SER_hh_fech!S12/SER_summary!S$26)</f>
        <v>69.504547675292685</v>
      </c>
      <c r="T12" s="132">
        <f>IF(SER_hh_fech!T12=0,0,SER_hh_fech!T12/SER_summary!T$26)</f>
        <v>69.868480925639446</v>
      </c>
      <c r="U12" s="132">
        <f>IF(SER_hh_fech!U12=0,0,SER_hh_fech!U12/SER_summary!U$26)</f>
        <v>67.493843274675839</v>
      </c>
      <c r="V12" s="132">
        <f>IF(SER_hh_fech!V12=0,0,SER_hh_fech!V12/SER_summary!V$26)</f>
        <v>63.226276406575174</v>
      </c>
      <c r="W12" s="132">
        <f>IF(SER_hh_fech!W12=0,0,SER_hh_fech!W12/SER_summary!W$26)</f>
        <v>64.962958688708099</v>
      </c>
      <c r="X12" s="132">
        <f>IF(SER_hh_fech!X12=0,0,SER_hh_fech!X12/SER_summary!X$26)</f>
        <v>60.10504667794347</v>
      </c>
      <c r="Y12" s="132">
        <f>IF(SER_hh_fech!Y12=0,0,SER_hh_fech!Y12/SER_summary!Y$26)</f>
        <v>54.785792656791749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49.804533612259199</v>
      </c>
      <c r="C13" s="132">
        <f>IF(SER_hh_fech!C13=0,0,SER_hh_fech!C13/SER_summary!C$26)</f>
        <v>51.564501580932784</v>
      </c>
      <c r="D13" s="132">
        <f>IF(SER_hh_fech!D13=0,0,SER_hh_fech!D13/SER_summary!D$26)</f>
        <v>55.461365993636498</v>
      </c>
      <c r="E13" s="132">
        <f>IF(SER_hh_fech!E13=0,0,SER_hh_fech!E13/SER_summary!E$26)</f>
        <v>52.962975791552687</v>
      </c>
      <c r="F13" s="132">
        <f>IF(SER_hh_fech!F13=0,0,SER_hh_fech!F13/SER_summary!F$26)</f>
        <v>46.883423454013013</v>
      </c>
      <c r="G13" s="132">
        <f>IF(SER_hh_fech!G13=0,0,SER_hh_fech!G13/SER_summary!G$26)</f>
        <v>37.995598989201788</v>
      </c>
      <c r="H13" s="132">
        <f>IF(SER_hh_fech!H13=0,0,SER_hh_fech!H13/SER_summary!H$26)</f>
        <v>34.864686777463241</v>
      </c>
      <c r="I13" s="132">
        <f>IF(SER_hh_fech!I13=0,0,SER_hh_fech!I13/SER_summary!I$26)</f>
        <v>32.091926415183828</v>
      </c>
      <c r="J13" s="132">
        <f>IF(SER_hh_fech!J13=0,0,SER_hh_fech!J13/SER_summary!J$26)</f>
        <v>30.45093016951957</v>
      </c>
      <c r="K13" s="132">
        <f>IF(SER_hh_fech!K13=0,0,SER_hh_fech!K13/SER_summary!K$26)</f>
        <v>29.105738023559077</v>
      </c>
      <c r="L13" s="132">
        <f>IF(SER_hh_fech!L13=0,0,SER_hh_fech!L13/SER_summary!L$26)</f>
        <v>28.908656313380213</v>
      </c>
      <c r="M13" s="132">
        <f>IF(SER_hh_fech!M13=0,0,SER_hh_fech!M13/SER_summary!M$26)</f>
        <v>27.115365635044544</v>
      </c>
      <c r="N13" s="132">
        <f>IF(SER_hh_fech!N13=0,0,SER_hh_fech!N13/SER_summary!N$26)</f>
        <v>25.362378512298786</v>
      </c>
      <c r="O13" s="132">
        <f>IF(SER_hh_fech!O13=0,0,SER_hh_fech!O13/SER_summary!O$26)</f>
        <v>23.25038884675531</v>
      </c>
      <c r="P13" s="132">
        <f>IF(SER_hh_fech!P13=0,0,SER_hh_fech!P13/SER_summary!P$26)</f>
        <v>21.163397242376245</v>
      </c>
      <c r="Q13" s="132">
        <f>IF(SER_hh_fech!Q13=0,0,SER_hh_fech!Q13/SER_summary!Q$26)</f>
        <v>20.227540182796936</v>
      </c>
      <c r="R13" s="132">
        <f>IF(SER_hh_fech!R13=0,0,SER_hh_fech!R13/SER_summary!R$26)</f>
        <v>19.719627077969236</v>
      </c>
      <c r="S13" s="132">
        <f>IF(SER_hh_fech!S13=0,0,SER_hh_fech!S13/SER_summary!S$26)</f>
        <v>19.251539273673341</v>
      </c>
      <c r="T13" s="132">
        <f>IF(SER_hh_fech!T13=0,0,SER_hh_fech!T13/SER_summary!T$26)</f>
        <v>18.260939184166414</v>
      </c>
      <c r="U13" s="132">
        <f>IF(SER_hh_fech!U13=0,0,SER_hh_fech!U13/SER_summary!U$26)</f>
        <v>17.402784385592359</v>
      </c>
      <c r="V13" s="132">
        <f>IF(SER_hh_fech!V13=0,0,SER_hh_fech!V13/SER_summary!V$26)</f>
        <v>15.419045875432413</v>
      </c>
      <c r="W13" s="132">
        <f>IF(SER_hh_fech!W13=0,0,SER_hh_fech!W13/SER_summary!W$26)</f>
        <v>13.181183767124393</v>
      </c>
      <c r="X13" s="132">
        <f>IF(SER_hh_fech!X13=0,0,SER_hh_fech!X13/SER_summary!X$26)</f>
        <v>13.896848174785355</v>
      </c>
      <c r="Y13" s="132">
        <f>IF(SER_hh_fech!Y13=0,0,SER_hh_fech!Y13/SER_summary!Y$26)</f>
        <v>13.118123250772076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136.89106675357246</v>
      </c>
      <c r="C14" s="65">
        <f>IF(SER_hh_fech!C14=0,0,SER_hh_fech!C14/SER_summary!C$26)</f>
        <v>136.00807377553556</v>
      </c>
      <c r="D14" s="65">
        <f>IF(SER_hh_fech!D14=0,0,SER_hh_fech!D14/SER_summary!D$26)</f>
        <v>125.41925995208904</v>
      </c>
      <c r="E14" s="65">
        <f>IF(SER_hh_fech!E14=0,0,SER_hh_fech!E14/SER_summary!E$26)</f>
        <v>150.9210957019998</v>
      </c>
      <c r="F14" s="65">
        <f>IF(SER_hh_fech!F14=0,0,SER_hh_fech!F14/SER_summary!F$26)</f>
        <v>104.26429853745424</v>
      </c>
      <c r="G14" s="65">
        <f>IF(SER_hh_fech!G14=0,0,SER_hh_fech!G14/SER_summary!G$26)</f>
        <v>100.97994528779896</v>
      </c>
      <c r="H14" s="65">
        <f>IF(SER_hh_fech!H14=0,0,SER_hh_fech!H14/SER_summary!H$26)</f>
        <v>95.937815294208434</v>
      </c>
      <c r="I14" s="65">
        <f>IF(SER_hh_fech!I14=0,0,SER_hh_fech!I14/SER_summary!I$26)</f>
        <v>88.320903537986467</v>
      </c>
      <c r="J14" s="65">
        <f>IF(SER_hh_fech!J14=0,0,SER_hh_fech!J14/SER_summary!J$26)</f>
        <v>90.27625462280082</v>
      </c>
      <c r="K14" s="65">
        <f>IF(SER_hh_fech!K14=0,0,SER_hh_fech!K14/SER_summary!K$26)</f>
        <v>84.117057864648231</v>
      </c>
      <c r="L14" s="65">
        <f>IF(SER_hh_fech!L14=0,0,SER_hh_fech!L14/SER_summary!L$26)</f>
        <v>91.356636846808343</v>
      </c>
      <c r="M14" s="65">
        <f>IF(SER_hh_fech!M14=0,0,SER_hh_fech!M14/SER_summary!M$26)</f>
        <v>81.196363246528506</v>
      </c>
      <c r="N14" s="65">
        <f>IF(SER_hh_fech!N14=0,0,SER_hh_fech!N14/SER_summary!N$26)</f>
        <v>77.998513298208323</v>
      </c>
      <c r="O14" s="65">
        <f>IF(SER_hh_fech!O14=0,0,SER_hh_fech!O14/SER_summary!O$26)</f>
        <v>80.840534747976008</v>
      </c>
      <c r="P14" s="65">
        <f>IF(SER_hh_fech!P14=0,0,SER_hh_fech!P14/SER_summary!P$26)</f>
        <v>70.945900484654203</v>
      </c>
      <c r="Q14" s="65">
        <f>IF(SER_hh_fech!Q14=0,0,SER_hh_fech!Q14/SER_summary!Q$26)</f>
        <v>68.933269771172419</v>
      </c>
      <c r="R14" s="65">
        <f>IF(SER_hh_fech!R14=0,0,SER_hh_fech!R14/SER_summary!R$26)</f>
        <v>74.324989401946212</v>
      </c>
      <c r="S14" s="65">
        <f>IF(SER_hh_fech!S14=0,0,SER_hh_fech!S14/SER_summary!S$26)</f>
        <v>76.111230059702706</v>
      </c>
      <c r="T14" s="65">
        <f>IF(SER_hh_fech!T14=0,0,SER_hh_fech!T14/SER_summary!T$26)</f>
        <v>74.618383185951473</v>
      </c>
      <c r="U14" s="65">
        <f>IF(SER_hh_fech!U14=0,0,SER_hh_fech!U14/SER_summary!U$26)</f>
        <v>76.470123604096784</v>
      </c>
      <c r="V14" s="65">
        <f>IF(SER_hh_fech!V14=0,0,SER_hh_fech!V14/SER_summary!V$26)</f>
        <v>70.200350831698827</v>
      </c>
      <c r="W14" s="65">
        <f>IF(SER_hh_fech!W14=0,0,SER_hh_fech!W14/SER_summary!W$26)</f>
        <v>68.92439568335395</v>
      </c>
      <c r="X14" s="65">
        <f>IF(SER_hh_fech!X14=0,0,SER_hh_fech!X14/SER_summary!X$26)</f>
        <v>68.987723508105518</v>
      </c>
      <c r="Y14" s="65">
        <f>IF(SER_hh_fech!Y14=0,0,SER_hh_fech!Y14/SER_summary!Y$26)</f>
        <v>53.229265532848558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1.1096818518259226</v>
      </c>
      <c r="C15" s="134">
        <f>IF(SER_hh_fech!C15=0,0,SER_hh_fech!C15/SER_summary!C$26)</f>
        <v>1.1104892662744537</v>
      </c>
      <c r="D15" s="134">
        <f>IF(SER_hh_fech!D15=0,0,SER_hh_fech!D15/SER_summary!D$26)</f>
        <v>1.0017617704836368</v>
      </c>
      <c r="E15" s="134">
        <f>IF(SER_hh_fech!E15=0,0,SER_hh_fech!E15/SER_summary!E$26)</f>
        <v>1.0594290603665888</v>
      </c>
      <c r="F15" s="134">
        <f>IF(SER_hh_fech!F15=0,0,SER_hh_fech!F15/SER_summary!F$26)</f>
        <v>1.0049149313763832</v>
      </c>
      <c r="G15" s="134">
        <f>IF(SER_hh_fech!G15=0,0,SER_hh_fech!G15/SER_summary!G$26)</f>
        <v>0.86886541423806063</v>
      </c>
      <c r="H15" s="134">
        <f>IF(SER_hh_fech!H15=0,0,SER_hh_fech!H15/SER_summary!H$26)</f>
        <v>0.80620380865418906</v>
      </c>
      <c r="I15" s="134">
        <f>IF(SER_hh_fech!I15=0,0,SER_hh_fech!I15/SER_summary!I$26)</f>
        <v>0.73746732469946441</v>
      </c>
      <c r="J15" s="134">
        <f>IF(SER_hh_fech!J15=0,0,SER_hh_fech!J15/SER_summary!J$26)</f>
        <v>0.80031222755300779</v>
      </c>
      <c r="K15" s="134">
        <f>IF(SER_hh_fech!K15=0,0,SER_hh_fech!K15/SER_summary!K$26)</f>
        <v>0.69817880985483516</v>
      </c>
      <c r="L15" s="134">
        <f>IF(SER_hh_fech!L15=0,0,SER_hh_fech!L15/SER_summary!L$26)</f>
        <v>0.75131772440518718</v>
      </c>
      <c r="M15" s="134">
        <f>IF(SER_hh_fech!M15=0,0,SER_hh_fech!M15/SER_summary!M$26)</f>
        <v>0.7017842288388495</v>
      </c>
      <c r="N15" s="134">
        <f>IF(SER_hh_fech!N15=0,0,SER_hh_fech!N15/SER_summary!N$26)</f>
        <v>0.65372186900306684</v>
      </c>
      <c r="O15" s="134">
        <f>IF(SER_hh_fech!O15=0,0,SER_hh_fech!O15/SER_summary!O$26)</f>
        <v>0.62173668478014454</v>
      </c>
      <c r="P15" s="134">
        <f>IF(SER_hh_fech!P15=0,0,SER_hh_fech!P15/SER_summary!P$26)</f>
        <v>0.58755696184314998</v>
      </c>
      <c r="Q15" s="134">
        <f>IF(SER_hh_fech!Q15=0,0,SER_hh_fech!Q15/SER_summary!Q$26)</f>
        <v>0.58701343310603393</v>
      </c>
      <c r="R15" s="134">
        <f>IF(SER_hh_fech!R15=0,0,SER_hh_fech!R15/SER_summary!R$26)</f>
        <v>0.60083505208633581</v>
      </c>
      <c r="S15" s="134">
        <f>IF(SER_hh_fech!S15=0,0,SER_hh_fech!S15/SER_summary!S$26)</f>
        <v>0.63879024634928894</v>
      </c>
      <c r="T15" s="134">
        <f>IF(SER_hh_fech!T15=0,0,SER_hh_fech!T15/SER_summary!T$26)</f>
        <v>0.59512260299487396</v>
      </c>
      <c r="U15" s="134">
        <f>IF(SER_hh_fech!U15=0,0,SER_hh_fech!U15/SER_summary!U$26)</f>
        <v>0.62888086874908999</v>
      </c>
      <c r="V15" s="134">
        <f>IF(SER_hh_fech!V15=0,0,SER_hh_fech!V15/SER_summary!V$26)</f>
        <v>0.58780993261199932</v>
      </c>
      <c r="W15" s="134">
        <f>IF(SER_hh_fech!W15=0,0,SER_hh_fech!W15/SER_summary!W$26)</f>
        <v>0.57168065243468558</v>
      </c>
      <c r="X15" s="134">
        <f>IF(SER_hh_fech!X15=0,0,SER_hh_fech!X15/SER_summary!X$26)</f>
        <v>0.5238103534244879</v>
      </c>
      <c r="Y15" s="134">
        <f>IF(SER_hh_fech!Y15=0,0,SER_hh_fech!Y15/SER_summary!Y$26)</f>
        <v>0.47277427917633091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15.369022987588327</v>
      </c>
      <c r="C16" s="130">
        <f>IF(SER_hh_fech!C16=0,0,SER_hh_fech!C16/SER_summary!C$26)</f>
        <v>14.580688033450933</v>
      </c>
      <c r="D16" s="130">
        <f>IF(SER_hh_fech!D16=0,0,SER_hh_fech!D16/SER_summary!D$26)</f>
        <v>13.614921320541743</v>
      </c>
      <c r="E16" s="130">
        <f>IF(SER_hh_fech!E16=0,0,SER_hh_fech!E16/SER_summary!E$26)</f>
        <v>13.685627029028151</v>
      </c>
      <c r="F16" s="130">
        <f>IF(SER_hh_fech!F16=0,0,SER_hh_fech!F16/SER_summary!F$26)</f>
        <v>12.462140524627857</v>
      </c>
      <c r="G16" s="130">
        <f>IF(SER_hh_fech!G16=0,0,SER_hh_fech!G16/SER_summary!G$26)</f>
        <v>11.850476813925564</v>
      </c>
      <c r="H16" s="130">
        <f>IF(SER_hh_fech!H16=0,0,SER_hh_fech!H16/SER_summary!H$26)</f>
        <v>11.600040787684554</v>
      </c>
      <c r="I16" s="130">
        <f>IF(SER_hh_fech!I16=0,0,SER_hh_fech!I16/SER_summary!I$26)</f>
        <v>10.936320389964573</v>
      </c>
      <c r="J16" s="130">
        <f>IF(SER_hh_fech!J16=0,0,SER_hh_fech!J16/SER_summary!J$26)</f>
        <v>10.34704880803111</v>
      </c>
      <c r="K16" s="130">
        <f>IF(SER_hh_fech!K16=0,0,SER_hh_fech!K16/SER_summary!K$26)</f>
        <v>10.184362279837622</v>
      </c>
      <c r="L16" s="130">
        <f>IF(SER_hh_fech!L16=0,0,SER_hh_fech!L16/SER_summary!L$26)</f>
        <v>10.216306746643353</v>
      </c>
      <c r="M16" s="130">
        <f>IF(SER_hh_fech!M16=0,0,SER_hh_fech!M16/SER_summary!M$26)</f>
        <v>9.7697532228858304</v>
      </c>
      <c r="N16" s="130">
        <f>IF(SER_hh_fech!N16=0,0,SER_hh_fech!N16/SER_summary!N$26)</f>
        <v>9.6102542291319804</v>
      </c>
      <c r="O16" s="130">
        <f>IF(SER_hh_fech!O16=0,0,SER_hh_fech!O16/SER_summary!O$26)</f>
        <v>9.7832777234506452</v>
      </c>
      <c r="P16" s="130">
        <f>IF(SER_hh_fech!P16=0,0,SER_hh_fech!P16/SER_summary!P$26)</f>
        <v>8.9812432237221476</v>
      </c>
      <c r="Q16" s="130">
        <f>IF(SER_hh_fech!Q16=0,0,SER_hh_fech!Q16/SER_summary!Q$26)</f>
        <v>10.126000656554067</v>
      </c>
      <c r="R16" s="130">
        <f>IF(SER_hh_fech!R16=0,0,SER_hh_fech!R16/SER_summary!R$26)</f>
        <v>8.3444827081108084</v>
      </c>
      <c r="S16" s="130">
        <f>IF(SER_hh_fech!S16=0,0,SER_hh_fech!S16/SER_summary!S$26)</f>
        <v>8.2028770140411655</v>
      </c>
      <c r="T16" s="130">
        <f>IF(SER_hh_fech!T16=0,0,SER_hh_fech!T16/SER_summary!T$26)</f>
        <v>8.4196579840125345</v>
      </c>
      <c r="U16" s="130">
        <f>IF(SER_hh_fech!U16=0,0,SER_hh_fech!U16/SER_summary!U$26)</f>
        <v>8.1138086486199335</v>
      </c>
      <c r="V16" s="130">
        <f>IF(SER_hh_fech!V16=0,0,SER_hh_fech!V16/SER_summary!V$26)</f>
        <v>7.2498729312831891</v>
      </c>
      <c r="W16" s="130">
        <f>IF(SER_hh_fech!W16=0,0,SER_hh_fech!W16/SER_summary!W$26)</f>
        <v>7.4703535190082313</v>
      </c>
      <c r="X16" s="130">
        <f>IF(SER_hh_fech!X16=0,0,SER_hh_fech!X16/SER_summary!X$26)</f>
        <v>7.6555408180545905</v>
      </c>
      <c r="Y16" s="130">
        <f>IF(SER_hh_fech!Y16=0,0,SER_hh_fech!Y16/SER_summary!Y$26)</f>
        <v>7.6195201716231811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0</v>
      </c>
      <c r="C17" s="132">
        <f>IF(SER_hh_fech!C17=0,0,SER_hh_fech!C17/SER_summary!C$26)</f>
        <v>0</v>
      </c>
      <c r="D17" s="132">
        <f>IF(SER_hh_fech!D17=0,0,SER_hh_fech!D17/SER_summary!D$26)</f>
        <v>0</v>
      </c>
      <c r="E17" s="132">
        <f>IF(SER_hh_fech!E17=0,0,SER_hh_fech!E17/SER_summary!E$26)</f>
        <v>0</v>
      </c>
      <c r="F17" s="132">
        <f>IF(SER_hh_fech!F17=0,0,SER_hh_fech!F17/SER_summary!F$26)</f>
        <v>0</v>
      </c>
      <c r="G17" s="132">
        <f>IF(SER_hh_fech!G17=0,0,SER_hh_fech!G17/SER_summary!G$26)</f>
        <v>22.281302750369761</v>
      </c>
      <c r="H17" s="132">
        <f>IF(SER_hh_fech!H17=0,0,SER_hh_fech!H17/SER_summary!H$26)</f>
        <v>22.91313005603725</v>
      </c>
      <c r="I17" s="132">
        <f>IF(SER_hh_fech!I17=0,0,SER_hh_fech!I17/SER_summary!I$26)</f>
        <v>22.433571604901609</v>
      </c>
      <c r="J17" s="132">
        <f>IF(SER_hh_fech!J17=0,0,SER_hh_fech!J17/SER_summary!J$26)</f>
        <v>22.072650031971669</v>
      </c>
      <c r="K17" s="132">
        <f>IF(SER_hh_fech!K17=0,0,SER_hh_fech!K17/SER_summary!K$26)</f>
        <v>21.8984590206219</v>
      </c>
      <c r="L17" s="132">
        <f>IF(SER_hh_fech!L17=0,0,SER_hh_fech!L17/SER_summary!L$26)</f>
        <v>22.467110124984075</v>
      </c>
      <c r="M17" s="132">
        <f>IF(SER_hh_fech!M17=0,0,SER_hh_fech!M17/SER_summary!M$26)</f>
        <v>22.067642889792584</v>
      </c>
      <c r="N17" s="132">
        <f>IF(SER_hh_fech!N17=0,0,SER_hh_fech!N17/SER_summary!N$26)</f>
        <v>22.222845294337958</v>
      </c>
      <c r="O17" s="132">
        <f>IF(SER_hh_fech!O17=0,0,SER_hh_fech!O17/SER_summary!O$26)</f>
        <v>22.852997609415223</v>
      </c>
      <c r="P17" s="132">
        <f>IF(SER_hh_fech!P17=0,0,SER_hh_fech!P17/SER_summary!P$26)</f>
        <v>21.082365719034215</v>
      </c>
      <c r="Q17" s="132">
        <f>IF(SER_hh_fech!Q17=0,0,SER_hh_fech!Q17/SER_summary!Q$26)</f>
        <v>24.091372136484129</v>
      </c>
      <c r="R17" s="132">
        <f>IF(SER_hh_fech!R17=0,0,SER_hh_fech!R17/SER_summary!R$26)</f>
        <v>20.410003751250752</v>
      </c>
      <c r="S17" s="132">
        <f>IF(SER_hh_fech!S17=0,0,SER_hh_fech!S17/SER_summary!S$26)</f>
        <v>20.493994296458713</v>
      </c>
      <c r="T17" s="132">
        <f>IF(SER_hh_fech!T17=0,0,SER_hh_fech!T17/SER_summary!T$26)</f>
        <v>22.664678140907295</v>
      </c>
      <c r="U17" s="132">
        <f>IF(SER_hh_fech!U17=0,0,SER_hh_fech!U17/SER_summary!U$26)</f>
        <v>20.936256994421154</v>
      </c>
      <c r="V17" s="132">
        <f>IF(SER_hh_fech!V17=0,0,SER_hh_fech!V17/SER_summary!V$26)</f>
        <v>19.707343853036043</v>
      </c>
      <c r="W17" s="132">
        <f>IF(SER_hh_fech!W17=0,0,SER_hh_fech!W17/SER_summary!W$26)</f>
        <v>19.605364046392893</v>
      </c>
      <c r="X17" s="132">
        <f>IF(SER_hh_fech!X17=0,0,SER_hh_fech!X17/SER_summary!X$26)</f>
        <v>20.201614879156825</v>
      </c>
      <c r="Y17" s="132">
        <f>IF(SER_hh_fech!Y17=0,0,SER_hh_fech!Y17/SER_summary!Y$26)</f>
        <v>20.081639250172163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15.369022987588327</v>
      </c>
      <c r="C18" s="132">
        <f>IF(SER_hh_fech!C18=0,0,SER_hh_fech!C18/SER_summary!C$26)</f>
        <v>14.580688033450933</v>
      </c>
      <c r="D18" s="132">
        <f>IF(SER_hh_fech!D18=0,0,SER_hh_fech!D18/SER_summary!D$26)</f>
        <v>13.614921320541743</v>
      </c>
      <c r="E18" s="132">
        <f>IF(SER_hh_fech!E18=0,0,SER_hh_fech!E18/SER_summary!E$26)</f>
        <v>13.685627029028151</v>
      </c>
      <c r="F18" s="132">
        <f>IF(SER_hh_fech!F18=0,0,SER_hh_fech!F18/SER_summary!F$26)</f>
        <v>12.462140524627857</v>
      </c>
      <c r="G18" s="132">
        <f>IF(SER_hh_fech!G18=0,0,SER_hh_fech!G18/SER_summary!G$26)</f>
        <v>11.839933679969766</v>
      </c>
      <c r="H18" s="132">
        <f>IF(SER_hh_fech!H18=0,0,SER_hh_fech!H18/SER_summary!H$26)</f>
        <v>11.588393753411637</v>
      </c>
      <c r="I18" s="132">
        <f>IF(SER_hh_fech!I18=0,0,SER_hh_fech!I18/SER_summary!I$26)</f>
        <v>10.921972086471605</v>
      </c>
      <c r="J18" s="132">
        <f>IF(SER_hh_fech!J18=0,0,SER_hh_fech!J18/SER_summary!J$26)</f>
        <v>10.333529823579852</v>
      </c>
      <c r="K18" s="132">
        <f>IF(SER_hh_fech!K18=0,0,SER_hh_fech!K18/SER_summary!K$26)</f>
        <v>10.167903354237829</v>
      </c>
      <c r="L18" s="132">
        <f>IF(SER_hh_fech!L18=0,0,SER_hh_fech!L18/SER_summary!L$26)</f>
        <v>10.200279647434341</v>
      </c>
      <c r="M18" s="132">
        <f>IF(SER_hh_fech!M18=0,0,SER_hh_fech!M18/SER_summary!M$26)</f>
        <v>9.7537705958303</v>
      </c>
      <c r="N18" s="132">
        <f>IF(SER_hh_fech!N18=0,0,SER_hh_fech!N18/SER_summary!N$26)</f>
        <v>9.59380480795393</v>
      </c>
      <c r="O18" s="132">
        <f>IF(SER_hh_fech!O18=0,0,SER_hh_fech!O18/SER_summary!O$26)</f>
        <v>9.7632053839536841</v>
      </c>
      <c r="P18" s="132">
        <f>IF(SER_hh_fech!P18=0,0,SER_hh_fech!P18/SER_summary!P$26)</f>
        <v>8.9543015895754898</v>
      </c>
      <c r="Q18" s="132">
        <f>IF(SER_hh_fech!Q18=0,0,SER_hh_fech!Q18/SER_summary!Q$26)</f>
        <v>10.07810554909876</v>
      </c>
      <c r="R18" s="132">
        <f>IF(SER_hh_fech!R18=0,0,SER_hh_fech!R18/SER_summary!R$26)</f>
        <v>8.2967714214731121</v>
      </c>
      <c r="S18" s="132">
        <f>IF(SER_hh_fech!S18=0,0,SER_hh_fech!S18/SER_summary!S$26)</f>
        <v>8.1455388347862563</v>
      </c>
      <c r="T18" s="132">
        <f>IF(SER_hh_fech!T18=0,0,SER_hh_fech!T18/SER_summary!T$26)</f>
        <v>8.345284604161316</v>
      </c>
      <c r="U18" s="132">
        <f>IF(SER_hh_fech!U18=0,0,SER_hh_fech!U18/SER_summary!U$26)</f>
        <v>8.0426466386785869</v>
      </c>
      <c r="V18" s="132">
        <f>IF(SER_hh_fech!V18=0,0,SER_hh_fech!V18/SER_summary!V$26)</f>
        <v>7.171005429236982</v>
      </c>
      <c r="W18" s="132">
        <f>IF(SER_hh_fech!W18=0,0,SER_hh_fech!W18/SER_summary!W$26)</f>
        <v>7.3890780161580212</v>
      </c>
      <c r="X18" s="132">
        <f>IF(SER_hh_fech!X18=0,0,SER_hh_fech!X18/SER_summary!X$26)</f>
        <v>7.5709605253418752</v>
      </c>
      <c r="Y18" s="132">
        <f>IF(SER_hh_fech!Y18=0,0,SER_hh_fech!Y18/SER_summary!Y$26)</f>
        <v>7.5323081801053098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13.053568595529359</v>
      </c>
      <c r="C19" s="130">
        <f>IF(SER_hh_fech!C19=0,0,SER_hh_fech!C19/SER_summary!C$26)</f>
        <v>12.877560143620906</v>
      </c>
      <c r="D19" s="130">
        <f>IF(SER_hh_fech!D19=0,0,SER_hh_fech!D19/SER_summary!D$26)</f>
        <v>12.676863379144505</v>
      </c>
      <c r="E19" s="130">
        <f>IF(SER_hh_fech!E19=0,0,SER_hh_fech!E19/SER_summary!E$26)</f>
        <v>12.440805714035573</v>
      </c>
      <c r="F19" s="130">
        <f>IF(SER_hh_fech!F19=0,0,SER_hh_fech!F19/SER_summary!F$26)</f>
        <v>12.050432649215889</v>
      </c>
      <c r="G19" s="130">
        <f>IF(SER_hh_fech!G19=0,0,SER_hh_fech!G19/SER_summary!G$26)</f>
        <v>11.904644167617658</v>
      </c>
      <c r="H19" s="130">
        <f>IF(SER_hh_fech!H19=0,0,SER_hh_fech!H19/SER_summary!H$26)</f>
        <v>11.909382716275509</v>
      </c>
      <c r="I19" s="130">
        <f>IF(SER_hh_fech!I19=0,0,SER_hh_fech!I19/SER_summary!I$26)</f>
        <v>11.898183185887689</v>
      </c>
      <c r="J19" s="130">
        <f>IF(SER_hh_fech!J19=0,0,SER_hh_fech!J19/SER_summary!J$26)</f>
        <v>11.888498065229303</v>
      </c>
      <c r="K19" s="130">
        <f>IF(SER_hh_fech!K19=0,0,SER_hh_fech!K19/SER_summary!K$26)</f>
        <v>12.793252175106398</v>
      </c>
      <c r="L19" s="130">
        <f>IF(SER_hh_fech!L19=0,0,SER_hh_fech!L19/SER_summary!L$26)</f>
        <v>13.057526325576347</v>
      </c>
      <c r="M19" s="130">
        <f>IF(SER_hh_fech!M19=0,0,SER_hh_fech!M19/SER_summary!M$26)</f>
        <v>13.062820552147061</v>
      </c>
      <c r="N19" s="130">
        <f>IF(SER_hh_fech!N19=0,0,SER_hh_fech!N19/SER_summary!N$26)</f>
        <v>13.128694831526504</v>
      </c>
      <c r="O19" s="130">
        <f>IF(SER_hh_fech!O19=0,0,SER_hh_fech!O19/SER_summary!O$26)</f>
        <v>13.054641121035452</v>
      </c>
      <c r="P19" s="130">
        <f>IF(SER_hh_fech!P19=0,0,SER_hh_fech!P19/SER_summary!P$26)</f>
        <v>12.854328070864073</v>
      </c>
      <c r="Q19" s="130">
        <f>IF(SER_hh_fech!Q19=0,0,SER_hh_fech!Q19/SER_summary!Q$26)</f>
        <v>12.769985654693832</v>
      </c>
      <c r="R19" s="130">
        <f>IF(SER_hh_fech!R19=0,0,SER_hh_fech!R19/SER_summary!R$26)</f>
        <v>12.861153256122501</v>
      </c>
      <c r="S19" s="130">
        <f>IF(SER_hh_fech!S19=0,0,SER_hh_fech!S19/SER_summary!S$26)</f>
        <v>12.855470230390457</v>
      </c>
      <c r="T19" s="130">
        <f>IF(SER_hh_fech!T19=0,0,SER_hh_fech!T19/SER_summary!T$26)</f>
        <v>12.505686494280386</v>
      </c>
      <c r="U19" s="130">
        <f>IF(SER_hh_fech!U19=0,0,SER_hh_fech!U19/SER_summary!U$26)</f>
        <v>12.369994461946305</v>
      </c>
      <c r="V19" s="130">
        <f>IF(SER_hh_fech!V19=0,0,SER_hh_fech!V19/SER_summary!V$26)</f>
        <v>11.541928946303836</v>
      </c>
      <c r="W19" s="130">
        <f>IF(SER_hh_fech!W19=0,0,SER_hh_fech!W19/SER_summary!W$26)</f>
        <v>11.449143704666973</v>
      </c>
      <c r="X19" s="130">
        <f>IF(SER_hh_fech!X19=0,0,SER_hh_fech!X19/SER_summary!X$26)</f>
        <v>10.993129503555915</v>
      </c>
      <c r="Y19" s="130">
        <f>IF(SER_hh_fech!Y19=0,0,SER_hh_fech!Y19/SER_summary!Y$26)</f>
        <v>10.995486958761989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0</v>
      </c>
      <c r="C20" s="132">
        <f>IF(SER_hh_fech!C20=0,0,SER_hh_fech!C20/SER_summary!C$26)</f>
        <v>0</v>
      </c>
      <c r="D20" s="132">
        <f>IF(SER_hh_fech!D20=0,0,SER_hh_fech!D20/SER_summary!D$26)</f>
        <v>0</v>
      </c>
      <c r="E20" s="132">
        <f>IF(SER_hh_fech!E20=0,0,SER_hh_fech!E20/SER_summary!E$26)</f>
        <v>0</v>
      </c>
      <c r="F20" s="132">
        <f>IF(SER_hh_fech!F20=0,0,SER_hh_fech!F20/SER_summary!F$26)</f>
        <v>0</v>
      </c>
      <c r="G20" s="132">
        <f>IF(SER_hh_fech!G20=0,0,SER_hh_fech!G20/SER_summary!G$26)</f>
        <v>0</v>
      </c>
      <c r="H20" s="132">
        <f>IF(SER_hh_fech!H20=0,0,SER_hh_fech!H20/SER_summary!H$26)</f>
        <v>0</v>
      </c>
      <c r="I20" s="132">
        <f>IF(SER_hh_fech!I20=0,0,SER_hh_fech!I20/SER_summary!I$26)</f>
        <v>0</v>
      </c>
      <c r="J20" s="132">
        <f>IF(SER_hh_fech!J20=0,0,SER_hh_fech!J20/SER_summary!J$26)</f>
        <v>0</v>
      </c>
      <c r="K20" s="132">
        <f>IF(SER_hh_fech!K20=0,0,SER_hh_fech!K20/SER_summary!K$26)</f>
        <v>0</v>
      </c>
      <c r="L20" s="132">
        <f>IF(SER_hh_fech!L20=0,0,SER_hh_fech!L20/SER_summary!L$26)</f>
        <v>0</v>
      </c>
      <c r="M20" s="132">
        <f>IF(SER_hh_fech!M20=0,0,SER_hh_fech!M20/SER_summary!M$26)</f>
        <v>0</v>
      </c>
      <c r="N20" s="132">
        <f>IF(SER_hh_fech!N20=0,0,SER_hh_fech!N20/SER_summary!N$26)</f>
        <v>0</v>
      </c>
      <c r="O20" s="132">
        <f>IF(SER_hh_fech!O20=0,0,SER_hh_fech!O20/SER_summary!O$26)</f>
        <v>0</v>
      </c>
      <c r="P20" s="132">
        <f>IF(SER_hh_fech!P20=0,0,SER_hh_fech!P20/SER_summary!P$26)</f>
        <v>0</v>
      </c>
      <c r="Q20" s="132">
        <f>IF(SER_hh_fech!Q20=0,0,SER_hh_fech!Q20/SER_summary!Q$26)</f>
        <v>0</v>
      </c>
      <c r="R20" s="132">
        <f>IF(SER_hh_fech!R20=0,0,SER_hh_fech!R20/SER_summary!R$26)</f>
        <v>0</v>
      </c>
      <c r="S20" s="132">
        <f>IF(SER_hh_fech!S20=0,0,SER_hh_fech!S20/SER_summary!S$26)</f>
        <v>0</v>
      </c>
      <c r="T20" s="132">
        <f>IF(SER_hh_fech!T20=0,0,SER_hh_fech!T20/SER_summary!T$26)</f>
        <v>0</v>
      </c>
      <c r="U20" s="132">
        <f>IF(SER_hh_fech!U20=0,0,SER_hh_fech!U20/SER_summary!U$26)</f>
        <v>0</v>
      </c>
      <c r="V20" s="132">
        <f>IF(SER_hh_fech!V20=0,0,SER_hh_fech!V20/SER_summary!V$26)</f>
        <v>0</v>
      </c>
      <c r="W20" s="132">
        <f>IF(SER_hh_fech!W20=0,0,SER_hh_fech!W20/SER_summary!W$26)</f>
        <v>0</v>
      </c>
      <c r="X20" s="132">
        <f>IF(SER_hh_fech!X20=0,0,SER_hh_fech!X20/SER_summary!X$26)</f>
        <v>0</v>
      </c>
      <c r="Y20" s="132">
        <f>IF(SER_hh_fech!Y20=0,0,SER_hh_fech!Y20/SER_summary!Y$26)</f>
        <v>0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0</v>
      </c>
      <c r="C21" s="132">
        <f>IF(SER_hh_fech!C21=0,0,SER_hh_fech!C21/SER_summary!C$26)</f>
        <v>0</v>
      </c>
      <c r="D21" s="132">
        <f>IF(SER_hh_fech!D21=0,0,SER_hh_fech!D21/SER_summary!D$26)</f>
        <v>0</v>
      </c>
      <c r="E21" s="132">
        <f>IF(SER_hh_fech!E21=0,0,SER_hh_fech!E21/SER_summary!E$26)</f>
        <v>0</v>
      </c>
      <c r="F21" s="132">
        <f>IF(SER_hh_fech!F21=0,0,SER_hh_fech!F21/SER_summary!F$26)</f>
        <v>0</v>
      </c>
      <c r="G21" s="132">
        <f>IF(SER_hh_fech!G21=0,0,SER_hh_fech!G21/SER_summary!G$26)</f>
        <v>0</v>
      </c>
      <c r="H21" s="132">
        <f>IF(SER_hh_fech!H21=0,0,SER_hh_fech!H21/SER_summary!H$26)</f>
        <v>0</v>
      </c>
      <c r="I21" s="132">
        <f>IF(SER_hh_fech!I21=0,0,SER_hh_fech!I21/SER_summary!I$26)</f>
        <v>0</v>
      </c>
      <c r="J21" s="132">
        <f>IF(SER_hh_fech!J21=0,0,SER_hh_fech!J21/SER_summary!J$26)</f>
        <v>0</v>
      </c>
      <c r="K21" s="132">
        <f>IF(SER_hh_fech!K21=0,0,SER_hh_fech!K21/SER_summary!K$26)</f>
        <v>0</v>
      </c>
      <c r="L21" s="132">
        <f>IF(SER_hh_fech!L21=0,0,SER_hh_fech!L21/SER_summary!L$26)</f>
        <v>0</v>
      </c>
      <c r="M21" s="132">
        <f>IF(SER_hh_fech!M21=0,0,SER_hh_fech!M21/SER_summary!M$26)</f>
        <v>0</v>
      </c>
      <c r="N21" s="132">
        <f>IF(SER_hh_fech!N21=0,0,SER_hh_fech!N21/SER_summary!N$26)</f>
        <v>0</v>
      </c>
      <c r="O21" s="132">
        <f>IF(SER_hh_fech!O21=0,0,SER_hh_fech!O21/SER_summary!O$26)</f>
        <v>0</v>
      </c>
      <c r="P21" s="132">
        <f>IF(SER_hh_fech!P21=0,0,SER_hh_fech!P21/SER_summary!P$26)</f>
        <v>0</v>
      </c>
      <c r="Q21" s="132">
        <f>IF(SER_hh_fech!Q21=0,0,SER_hh_fech!Q21/SER_summary!Q$26)</f>
        <v>0</v>
      </c>
      <c r="R21" s="132">
        <f>IF(SER_hh_fech!R21=0,0,SER_hh_fech!R21/SER_summary!R$26)</f>
        <v>0</v>
      </c>
      <c r="S21" s="132">
        <f>IF(SER_hh_fech!S21=0,0,SER_hh_fech!S21/SER_summary!S$26)</f>
        <v>0</v>
      </c>
      <c r="T21" s="132">
        <f>IF(SER_hh_fech!T21=0,0,SER_hh_fech!T21/SER_summary!T$26)</f>
        <v>0</v>
      </c>
      <c r="U21" s="132">
        <f>IF(SER_hh_fech!U21=0,0,SER_hh_fech!U21/SER_summary!U$26)</f>
        <v>0</v>
      </c>
      <c r="V21" s="132">
        <f>IF(SER_hh_fech!V21=0,0,SER_hh_fech!V21/SER_summary!V$26)</f>
        <v>0</v>
      </c>
      <c r="W21" s="132">
        <f>IF(SER_hh_fech!W21=0,0,SER_hh_fech!W21/SER_summary!W$26)</f>
        <v>0</v>
      </c>
      <c r="X21" s="132">
        <f>IF(SER_hh_fech!X21=0,0,SER_hh_fech!X21/SER_summary!X$26)</f>
        <v>0</v>
      </c>
      <c r="Y21" s="132">
        <f>IF(SER_hh_fech!Y21=0,0,SER_hh_fech!Y21/SER_summary!Y$26)</f>
        <v>0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0</v>
      </c>
      <c r="C22" s="132">
        <f>IF(SER_hh_fech!C22=0,0,SER_hh_fech!C22/SER_summary!C$26)</f>
        <v>0</v>
      </c>
      <c r="D22" s="132">
        <f>IF(SER_hh_fech!D22=0,0,SER_hh_fech!D22/SER_summary!D$26)</f>
        <v>0</v>
      </c>
      <c r="E22" s="132">
        <f>IF(SER_hh_fech!E22=0,0,SER_hh_fech!E22/SER_summary!E$26)</f>
        <v>0</v>
      </c>
      <c r="F22" s="132">
        <f>IF(SER_hh_fech!F22=0,0,SER_hh_fech!F22/SER_summary!F$26)</f>
        <v>0</v>
      </c>
      <c r="G22" s="132">
        <f>IF(SER_hh_fech!G22=0,0,SER_hh_fech!G22/SER_summary!G$26)</f>
        <v>0</v>
      </c>
      <c r="H22" s="132">
        <f>IF(SER_hh_fech!H22=0,0,SER_hh_fech!H22/SER_summary!H$26)</f>
        <v>0</v>
      </c>
      <c r="I22" s="132">
        <f>IF(SER_hh_fech!I22=0,0,SER_hh_fech!I22/SER_summary!I$26)</f>
        <v>0</v>
      </c>
      <c r="J22" s="132">
        <f>IF(SER_hh_fech!J22=0,0,SER_hh_fech!J22/SER_summary!J$26)</f>
        <v>0</v>
      </c>
      <c r="K22" s="132">
        <f>IF(SER_hh_fech!K22=0,0,SER_hh_fech!K22/SER_summary!K$26)</f>
        <v>0</v>
      </c>
      <c r="L22" s="132">
        <f>IF(SER_hh_fech!L22=0,0,SER_hh_fech!L22/SER_summary!L$26)</f>
        <v>0</v>
      </c>
      <c r="M22" s="132">
        <f>IF(SER_hh_fech!M22=0,0,SER_hh_fech!M22/SER_summary!M$26)</f>
        <v>0</v>
      </c>
      <c r="N22" s="132">
        <f>IF(SER_hh_fech!N22=0,0,SER_hh_fech!N22/SER_summary!N$26)</f>
        <v>0</v>
      </c>
      <c r="O22" s="132">
        <f>IF(SER_hh_fech!O22=0,0,SER_hh_fech!O22/SER_summary!O$26)</f>
        <v>0</v>
      </c>
      <c r="P22" s="132">
        <f>IF(SER_hh_fech!P22=0,0,SER_hh_fech!P22/SER_summary!P$26)</f>
        <v>0</v>
      </c>
      <c r="Q22" s="132">
        <f>IF(SER_hh_fech!Q22=0,0,SER_hh_fech!Q22/SER_summary!Q$26)</f>
        <v>0</v>
      </c>
      <c r="R22" s="132">
        <f>IF(SER_hh_fech!R22=0,0,SER_hh_fech!R22/SER_summary!R$26)</f>
        <v>0</v>
      </c>
      <c r="S22" s="132">
        <f>IF(SER_hh_fech!S22=0,0,SER_hh_fech!S22/SER_summary!S$26)</f>
        <v>0</v>
      </c>
      <c r="T22" s="132">
        <f>IF(SER_hh_fech!T22=0,0,SER_hh_fech!T22/SER_summary!T$26)</f>
        <v>0</v>
      </c>
      <c r="U22" s="132">
        <f>IF(SER_hh_fech!U22=0,0,SER_hh_fech!U22/SER_summary!U$26)</f>
        <v>0</v>
      </c>
      <c r="V22" s="132">
        <f>IF(SER_hh_fech!V22=0,0,SER_hh_fech!V22/SER_summary!V$26)</f>
        <v>0</v>
      </c>
      <c r="W22" s="132">
        <f>IF(SER_hh_fech!W22=0,0,SER_hh_fech!W22/SER_summary!W$26)</f>
        <v>0</v>
      </c>
      <c r="X22" s="132">
        <f>IF(SER_hh_fech!X22=0,0,SER_hh_fech!X22/SER_summary!X$26)</f>
        <v>0</v>
      </c>
      <c r="Y22" s="132">
        <f>IF(SER_hh_fech!Y22=0,0,SER_hh_fech!Y22/SER_summary!Y$26)</f>
        <v>0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15.487638789740295</v>
      </c>
      <c r="C23" s="132">
        <f>IF(SER_hh_fech!C23=0,0,SER_hh_fech!C23/SER_summary!C$26)</f>
        <v>15.151533278585589</v>
      </c>
      <c r="D23" s="132">
        <f>IF(SER_hh_fech!D23=0,0,SER_hh_fech!D23/SER_summary!D$26)</f>
        <v>14.981086462031802</v>
      </c>
      <c r="E23" s="132">
        <f>IF(SER_hh_fech!E23=0,0,SER_hh_fech!E23/SER_summary!E$26)</f>
        <v>14.459496838204133</v>
      </c>
      <c r="F23" s="132">
        <f>IF(SER_hh_fech!F23=0,0,SER_hh_fech!F23/SER_summary!F$26)</f>
        <v>13.834720588223643</v>
      </c>
      <c r="G23" s="132">
        <f>IF(SER_hh_fech!G23=0,0,SER_hh_fech!G23/SER_summary!G$26)</f>
        <v>13.724219357761003</v>
      </c>
      <c r="H23" s="132">
        <f>IF(SER_hh_fech!H23=0,0,SER_hh_fech!H23/SER_summary!H$26)</f>
        <v>13.528389285196123</v>
      </c>
      <c r="I23" s="132">
        <f>IF(SER_hh_fech!I23=0,0,SER_hh_fech!I23/SER_summary!I$26)</f>
        <v>12.98534230172292</v>
      </c>
      <c r="J23" s="132">
        <f>IF(SER_hh_fech!J23=0,0,SER_hh_fech!J23/SER_summary!J$26)</f>
        <v>13.020433817036663</v>
      </c>
      <c r="K23" s="132">
        <f>IF(SER_hh_fech!K23=0,0,SER_hh_fech!K23/SER_summary!K$26)</f>
        <v>15.400175837868208</v>
      </c>
      <c r="L23" s="132">
        <f>IF(SER_hh_fech!L23=0,0,SER_hh_fech!L23/SER_summary!L$26)</f>
        <v>14.351602477353198</v>
      </c>
      <c r="M23" s="132">
        <f>IF(SER_hh_fech!M23=0,0,SER_hh_fech!M23/SER_summary!M$26)</f>
        <v>14.214218555415815</v>
      </c>
      <c r="N23" s="132">
        <f>IF(SER_hh_fech!N23=0,0,SER_hh_fech!N23/SER_summary!N$26)</f>
        <v>14.432660775805646</v>
      </c>
      <c r="O23" s="132">
        <f>IF(SER_hh_fech!O23=0,0,SER_hh_fech!O23/SER_summary!O$26)</f>
        <v>14.440497395990612</v>
      </c>
      <c r="P23" s="132">
        <f>IF(SER_hh_fech!P23=0,0,SER_hh_fech!P23/SER_summary!P$26)</f>
        <v>14.214363818788613</v>
      </c>
      <c r="Q23" s="132">
        <f>IF(SER_hh_fech!Q23=0,0,SER_hh_fech!Q23/SER_summary!Q$26)</f>
        <v>13.83188105998353</v>
      </c>
      <c r="R23" s="132">
        <f>IF(SER_hh_fech!R23=0,0,SER_hh_fech!R23/SER_summary!R$26)</f>
        <v>13.804884411743064</v>
      </c>
      <c r="S23" s="132">
        <f>IF(SER_hh_fech!S23=0,0,SER_hh_fech!S23/SER_summary!S$26)</f>
        <v>14.322692744216472</v>
      </c>
      <c r="T23" s="132">
        <f>IF(SER_hh_fech!T23=0,0,SER_hh_fech!T23/SER_summary!T$26)</f>
        <v>12.967168351227887</v>
      </c>
      <c r="U23" s="132">
        <f>IF(SER_hh_fech!U23=0,0,SER_hh_fech!U23/SER_summary!U$26)</f>
        <v>13.398130818370436</v>
      </c>
      <c r="V23" s="132">
        <f>IF(SER_hh_fech!V23=0,0,SER_hh_fech!V23/SER_summary!V$26)</f>
        <v>12.44300112963238</v>
      </c>
      <c r="W23" s="132">
        <f>IF(SER_hh_fech!W23=0,0,SER_hh_fech!W23/SER_summary!W$26)</f>
        <v>12.531186450169505</v>
      </c>
      <c r="X23" s="132">
        <f>IF(SER_hh_fech!X23=0,0,SER_hh_fech!X23/SER_summary!X$26)</f>
        <v>11.87007623817097</v>
      </c>
      <c r="Y23" s="132">
        <f>IF(SER_hh_fech!Y23=0,0,SER_hh_fech!Y23/SER_summary!Y$26)</f>
        <v>11.377110244561097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0</v>
      </c>
      <c r="C24" s="132">
        <f>IF(SER_hh_fech!C24=0,0,SER_hh_fech!C24/SER_summary!C$26)</f>
        <v>0</v>
      </c>
      <c r="D24" s="132">
        <f>IF(SER_hh_fech!D24=0,0,SER_hh_fech!D24/SER_summary!D$26)</f>
        <v>0</v>
      </c>
      <c r="E24" s="132">
        <f>IF(SER_hh_fech!E24=0,0,SER_hh_fech!E24/SER_summary!E$26)</f>
        <v>0</v>
      </c>
      <c r="F24" s="132">
        <f>IF(SER_hh_fech!F24=0,0,SER_hh_fech!F24/SER_summary!F$26)</f>
        <v>0</v>
      </c>
      <c r="G24" s="132">
        <f>IF(SER_hh_fech!G24=0,0,SER_hh_fech!G24/SER_summary!G$26)</f>
        <v>0</v>
      </c>
      <c r="H24" s="132">
        <f>IF(SER_hh_fech!H24=0,0,SER_hh_fech!H24/SER_summary!H$26)</f>
        <v>0</v>
      </c>
      <c r="I24" s="132">
        <f>IF(SER_hh_fech!I24=0,0,SER_hh_fech!I24/SER_summary!I$26)</f>
        <v>0</v>
      </c>
      <c r="J24" s="132">
        <f>IF(SER_hh_fech!J24=0,0,SER_hh_fech!J24/SER_summary!J$26)</f>
        <v>0</v>
      </c>
      <c r="K24" s="132">
        <f>IF(SER_hh_fech!K24=0,0,SER_hh_fech!K24/SER_summary!K$26)</f>
        <v>0</v>
      </c>
      <c r="L24" s="132">
        <f>IF(SER_hh_fech!L24=0,0,SER_hh_fech!L24/SER_summary!L$26)</f>
        <v>0</v>
      </c>
      <c r="M24" s="132">
        <f>IF(SER_hh_fech!M24=0,0,SER_hh_fech!M24/SER_summary!M$26)</f>
        <v>0</v>
      </c>
      <c r="N24" s="132">
        <f>IF(SER_hh_fech!N24=0,0,SER_hh_fech!N24/SER_summary!N$26)</f>
        <v>0</v>
      </c>
      <c r="O24" s="132">
        <f>IF(SER_hh_fech!O24=0,0,SER_hh_fech!O24/SER_summary!O$26)</f>
        <v>0</v>
      </c>
      <c r="P24" s="132">
        <f>IF(SER_hh_fech!P24=0,0,SER_hh_fech!P24/SER_summary!P$26)</f>
        <v>0</v>
      </c>
      <c r="Q24" s="132">
        <f>IF(SER_hh_fech!Q24=0,0,SER_hh_fech!Q24/SER_summary!Q$26)</f>
        <v>0</v>
      </c>
      <c r="R24" s="132">
        <f>IF(SER_hh_fech!R24=0,0,SER_hh_fech!R24/SER_summary!R$26)</f>
        <v>0</v>
      </c>
      <c r="S24" s="132">
        <f>IF(SER_hh_fech!S24=0,0,SER_hh_fech!S24/SER_summary!S$26)</f>
        <v>0</v>
      </c>
      <c r="T24" s="132">
        <f>IF(SER_hh_fech!T24=0,0,SER_hh_fech!T24/SER_summary!T$26)</f>
        <v>0</v>
      </c>
      <c r="U24" s="132">
        <f>IF(SER_hh_fech!U24=0,0,SER_hh_fech!U24/SER_summary!U$26)</f>
        <v>0</v>
      </c>
      <c r="V24" s="132">
        <f>IF(SER_hh_fech!V24=0,0,SER_hh_fech!V24/SER_summary!V$26)</f>
        <v>0</v>
      </c>
      <c r="W24" s="132">
        <f>IF(SER_hh_fech!W24=0,0,SER_hh_fech!W24/SER_summary!W$26)</f>
        <v>0</v>
      </c>
      <c r="X24" s="132">
        <f>IF(SER_hh_fech!X24=0,0,SER_hh_fech!X24/SER_summary!X$26)</f>
        <v>0</v>
      </c>
      <c r="Y24" s="132">
        <f>IF(SER_hh_fech!Y24=0,0,SER_hh_fech!Y24/SER_summary!Y$26)</f>
        <v>0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10.38240275165801</v>
      </c>
      <c r="C25" s="132">
        <f>IF(SER_hh_fech!C25=0,0,SER_hh_fech!C25/SER_summary!C$26)</f>
        <v>10.326196817957641</v>
      </c>
      <c r="D25" s="132">
        <f>IF(SER_hh_fech!D25=0,0,SER_hh_fech!D25/SER_summary!D$26)</f>
        <v>10.076713930655924</v>
      </c>
      <c r="E25" s="132">
        <f>IF(SER_hh_fech!E25=0,0,SER_hh_fech!E25/SER_summary!E$26)</f>
        <v>10.021736664548975</v>
      </c>
      <c r="F25" s="132">
        <f>IF(SER_hh_fech!F25=0,0,SER_hh_fech!F25/SER_summary!F$26)</f>
        <v>9.8649512186340989</v>
      </c>
      <c r="G25" s="132">
        <f>IF(SER_hh_fech!G25=0,0,SER_hh_fech!G25/SER_summary!G$26)</f>
        <v>9.5816205020267251</v>
      </c>
      <c r="H25" s="132">
        <f>IF(SER_hh_fech!H25=0,0,SER_hh_fech!H25/SER_summary!H$26)</f>
        <v>9.7211302683511658</v>
      </c>
      <c r="I25" s="132">
        <f>IF(SER_hh_fech!I25=0,0,SER_hh_fech!I25/SER_summary!I$26)</f>
        <v>9.6916289354232408</v>
      </c>
      <c r="J25" s="132">
        <f>IF(SER_hh_fech!J25=0,0,SER_hh_fech!J25/SER_summary!J$26)</f>
        <v>9.8510079754782467</v>
      </c>
      <c r="K25" s="132">
        <f>IF(SER_hh_fech!K25=0,0,SER_hh_fech!K25/SER_summary!K$26)</f>
        <v>9.990410158444579</v>
      </c>
      <c r="L25" s="132">
        <f>IF(SER_hh_fech!L25=0,0,SER_hh_fech!L25/SER_summary!L$26)</f>
        <v>10.390686209486635</v>
      </c>
      <c r="M25" s="132">
        <f>IF(SER_hh_fech!M25=0,0,SER_hh_fech!M25/SER_summary!M$26)</f>
        <v>10.774447175694675</v>
      </c>
      <c r="N25" s="132">
        <f>IF(SER_hh_fech!N25=0,0,SER_hh_fech!N25/SER_summary!N$26)</f>
        <v>10.793625137134608</v>
      </c>
      <c r="O25" s="132">
        <f>IF(SER_hh_fech!O25=0,0,SER_hh_fech!O25/SER_summary!O$26)</f>
        <v>11.150015002819526</v>
      </c>
      <c r="P25" s="132">
        <f>IF(SER_hh_fech!P25=0,0,SER_hh_fech!P25/SER_summary!P$26)</f>
        <v>10.839177627801545</v>
      </c>
      <c r="Q25" s="132">
        <f>IF(SER_hh_fech!Q25=0,0,SER_hh_fech!Q25/SER_summary!Q$26)</f>
        <v>10.713964456002222</v>
      </c>
      <c r="R25" s="132">
        <f>IF(SER_hh_fech!R25=0,0,SER_hh_fech!R25/SER_summary!R$26)</f>
        <v>11.092234618616075</v>
      </c>
      <c r="S25" s="132">
        <f>IF(SER_hh_fech!S25=0,0,SER_hh_fech!S25/SER_summary!S$26)</f>
        <v>11.050341276905158</v>
      </c>
      <c r="T25" s="132">
        <f>IF(SER_hh_fech!T25=0,0,SER_hh_fech!T25/SER_summary!T$26)</f>
        <v>11.173444844891907</v>
      </c>
      <c r="U25" s="132">
        <f>IF(SER_hh_fech!U25=0,0,SER_hh_fech!U25/SER_summary!U$26)</f>
        <v>10.765756152853969</v>
      </c>
      <c r="V25" s="132">
        <f>IF(SER_hh_fech!V25=0,0,SER_hh_fech!V25/SER_summary!V$26)</f>
        <v>10.441296800118142</v>
      </c>
      <c r="W25" s="132">
        <f>IF(SER_hh_fech!W25=0,0,SER_hh_fech!W25/SER_summary!W$26)</f>
        <v>10.959471389810499</v>
      </c>
      <c r="X25" s="132">
        <f>IF(SER_hh_fech!X25=0,0,SER_hh_fech!X25/SER_summary!X$26)</f>
        <v>10.35790568829426</v>
      </c>
      <c r="Y25" s="132">
        <f>IF(SER_hh_fech!Y25=0,0,SER_hh_fech!Y25/SER_summary!Y$26)</f>
        <v>10.235313024523572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12.6692264603433</v>
      </c>
      <c r="C26" s="65">
        <f>IF(SER_hh_fech!C26=0,0,SER_hh_fech!C26/SER_summary!C$26)</f>
        <v>12.528079889533336</v>
      </c>
      <c r="D26" s="65">
        <f>IF(SER_hh_fech!D26=0,0,SER_hh_fech!D26/SER_summary!D$26)</f>
        <v>12.276655788108684</v>
      </c>
      <c r="E26" s="65">
        <f>IF(SER_hh_fech!E26=0,0,SER_hh_fech!E26/SER_summary!E$26)</f>
        <v>12.076923874705564</v>
      </c>
      <c r="F26" s="65">
        <f>IF(SER_hh_fech!F26=0,0,SER_hh_fech!F26/SER_summary!F$26)</f>
        <v>11.673736244617197</v>
      </c>
      <c r="G26" s="65">
        <f>IF(SER_hh_fech!G26=0,0,SER_hh_fech!G26/SER_summary!G$26)</f>
        <v>11.479003215546008</v>
      </c>
      <c r="H26" s="65">
        <f>IF(SER_hh_fech!H26=0,0,SER_hh_fech!H26/SER_summary!H$26)</f>
        <v>11.486594444489969</v>
      </c>
      <c r="I26" s="65">
        <f>IF(SER_hh_fech!I26=0,0,SER_hh_fech!I26/SER_summary!I$26)</f>
        <v>11.893758207763264</v>
      </c>
      <c r="J26" s="65">
        <f>IF(SER_hh_fech!J26=0,0,SER_hh_fech!J26/SER_summary!J$26)</f>
        <v>11.610957429654812</v>
      </c>
      <c r="K26" s="65">
        <f>IF(SER_hh_fech!K26=0,0,SER_hh_fech!K26/SER_summary!K$26)</f>
        <v>11.002768730754477</v>
      </c>
      <c r="L26" s="65">
        <f>IF(SER_hh_fech!L26=0,0,SER_hh_fech!L26/SER_summary!L$26)</f>
        <v>12.796961116765727</v>
      </c>
      <c r="M26" s="65">
        <f>IF(SER_hh_fech!M26=0,0,SER_hh_fech!M26/SER_summary!M$26)</f>
        <v>12.705338479561934</v>
      </c>
      <c r="N26" s="65">
        <f>IF(SER_hh_fech!N26=0,0,SER_hh_fech!N26/SER_summary!N$26)</f>
        <v>12.634931775459805</v>
      </c>
      <c r="O26" s="65">
        <f>IF(SER_hh_fech!O26=0,0,SER_hh_fech!O26/SER_summary!O$26)</f>
        <v>12.153997974440662</v>
      </c>
      <c r="P26" s="65">
        <f>IF(SER_hh_fech!P26=0,0,SER_hh_fech!P26/SER_summary!P$26)</f>
        <v>12.01841445869051</v>
      </c>
      <c r="Q26" s="65">
        <f>IF(SER_hh_fech!Q26=0,0,SER_hh_fech!Q26/SER_summary!Q$26)</f>
        <v>12.330805581328681</v>
      </c>
      <c r="R26" s="65">
        <f>IF(SER_hh_fech!R26=0,0,SER_hh_fech!R26/SER_summary!R$26)</f>
        <v>12.358371262282878</v>
      </c>
      <c r="S26" s="65">
        <f>IF(SER_hh_fech!S26=0,0,SER_hh_fech!S26/SER_summary!S$26)</f>
        <v>11.552560595887519</v>
      </c>
      <c r="T26" s="65">
        <f>IF(SER_hh_fech!T26=0,0,SER_hh_fech!T26/SER_summary!T$26)</f>
        <v>12.335809611279394</v>
      </c>
      <c r="U26" s="65">
        <f>IF(SER_hh_fech!U26=0,0,SER_hh_fech!U26/SER_summary!U$26)</f>
        <v>11.575892976132135</v>
      </c>
      <c r="V26" s="65">
        <f>IF(SER_hh_fech!V26=0,0,SER_hh_fech!V26/SER_summary!V$26)</f>
        <v>10.578220330438889</v>
      </c>
      <c r="W26" s="65">
        <f>IF(SER_hh_fech!W26=0,0,SER_hh_fech!W26/SER_summary!W$26)</f>
        <v>9.8851337135574955</v>
      </c>
      <c r="X26" s="65">
        <f>IF(SER_hh_fech!X26=0,0,SER_hh_fech!X26/SER_summary!X$26)</f>
        <v>9.9587090963513596</v>
      </c>
      <c r="Y26" s="65">
        <f>IF(SER_hh_fech!Y26=0,0,SER_hh_fech!Y26/SER_summary!Y$26)</f>
        <v>10.618836786424596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0</v>
      </c>
      <c r="C27" s="145">
        <f>IF(SER_hh_fech!C27=0,0,SER_hh_fech!C27/SER_summary!C$26)</f>
        <v>0</v>
      </c>
      <c r="D27" s="145">
        <f>IF(SER_hh_fech!D27=0,0,SER_hh_fech!D27/SER_summary!D$26)</f>
        <v>0</v>
      </c>
      <c r="E27" s="145">
        <f>IF(SER_hh_fech!E27=0,0,SER_hh_fech!E27/SER_summary!E$26)</f>
        <v>2.0324688661840777E-2</v>
      </c>
      <c r="F27" s="145">
        <f>IF(SER_hh_fech!F27=0,0,SER_hh_fech!F27/SER_summary!F$26)</f>
        <v>2.6514611915897695E-2</v>
      </c>
      <c r="G27" s="145">
        <f>IF(SER_hh_fech!G27=0,0,SER_hh_fech!G27/SER_summary!G$26)</f>
        <v>3.1950027689528877E-2</v>
      </c>
      <c r="H27" s="145">
        <f>IF(SER_hh_fech!H27=0,0,SER_hh_fech!H27/SER_summary!H$26)</f>
        <v>3.6830329996518169E-2</v>
      </c>
      <c r="I27" s="145">
        <f>IF(SER_hh_fech!I27=0,0,SER_hh_fech!I27/SER_summary!I$26)</f>
        <v>4.5091247548364161E-2</v>
      </c>
      <c r="J27" s="145">
        <f>IF(SER_hh_fech!J27=0,0,SER_hh_fech!J27/SER_summary!J$26)</f>
        <v>5.8219454576179552E-2</v>
      </c>
      <c r="K27" s="145">
        <f>IF(SER_hh_fech!K27=0,0,SER_hh_fech!K27/SER_summary!K$26)</f>
        <v>7.1186558391401186E-2</v>
      </c>
      <c r="L27" s="145">
        <f>IF(SER_hh_fech!L27=0,0,SER_hh_fech!L27/SER_summary!L$26)</f>
        <v>9.3343691576685581E-2</v>
      </c>
      <c r="M27" s="145">
        <f>IF(SER_hh_fech!M27=0,0,SER_hh_fech!M27/SER_summary!M$26)</f>
        <v>0.11626563318123043</v>
      </c>
      <c r="N27" s="145">
        <f>IF(SER_hh_fech!N27=0,0,SER_hh_fech!N27/SER_summary!N$26)</f>
        <v>0.12913079629018656</v>
      </c>
      <c r="O27" s="145">
        <f>IF(SER_hh_fech!O27=0,0,SER_hh_fech!O27/SER_summary!O$26)</f>
        <v>0.13690081256151243</v>
      </c>
      <c r="P27" s="145">
        <f>IF(SER_hh_fech!P27=0,0,SER_hh_fech!P27/SER_summary!P$26)</f>
        <v>0.15316213483024982</v>
      </c>
      <c r="Q27" s="145">
        <f>IF(SER_hh_fech!Q27=0,0,SER_hh_fech!Q27/SER_summary!Q$26)</f>
        <v>0.15997475110970508</v>
      </c>
      <c r="R27" s="145">
        <f>IF(SER_hh_fech!R27=0,0,SER_hh_fech!R27/SER_summary!R$26)</f>
        <v>0.16672427617753452</v>
      </c>
      <c r="S27" s="145">
        <f>IF(SER_hh_fech!S27=0,0,SER_hh_fech!S27/SER_summary!S$26)</f>
        <v>0.17034449622234035</v>
      </c>
      <c r="T27" s="145">
        <f>IF(SER_hh_fech!T27=0,0,SER_hh_fech!T27/SER_summary!T$26)</f>
        <v>0.17222863538719491</v>
      </c>
      <c r="U27" s="145">
        <f>IF(SER_hh_fech!U27=0,0,SER_hh_fech!U27/SER_summary!U$26)</f>
        <v>0.17290417638214262</v>
      </c>
      <c r="V27" s="145">
        <f>IF(SER_hh_fech!V27=0,0,SER_hh_fech!V27/SER_summary!V$26)</f>
        <v>0.17561538397210485</v>
      </c>
      <c r="W27" s="145">
        <f>IF(SER_hh_fech!W27=0,0,SER_hh_fech!W27/SER_summary!W$26)</f>
        <v>0.17809604968960166</v>
      </c>
      <c r="X27" s="145">
        <f>IF(SER_hh_fech!X27=0,0,SER_hh_fech!X27/SER_summary!X$26)</f>
        <v>0.18217840298523047</v>
      </c>
      <c r="Y27" s="145">
        <f>IF(SER_hh_fech!Y27=0,0,SER_hh_fech!Y27/SER_summary!Y$26)</f>
        <v>0.18668183838634791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0</v>
      </c>
      <c r="C28" s="146">
        <f>IF(SER_hh_fech!C28=0,0,SER_hh_fech!C28/SER_summary!C$26)</f>
        <v>0</v>
      </c>
      <c r="D28" s="146">
        <f>IF(SER_hh_fech!D28=0,0,SER_hh_fech!D28/SER_summary!D$26)</f>
        <v>0</v>
      </c>
      <c r="E28" s="146">
        <f>IF(SER_hh_fech!E28=0,0,SER_hh_fech!E28/SER_summary!E$26)</f>
        <v>3.8770228879817621</v>
      </c>
      <c r="F28" s="146">
        <f>IF(SER_hh_fech!F28=0,0,SER_hh_fech!F28/SER_summary!F$26)</f>
        <v>3.7540386634619423</v>
      </c>
      <c r="G28" s="146">
        <f>IF(SER_hh_fech!G28=0,0,SER_hh_fech!G28/SER_summary!G$26)</f>
        <v>3.8467004147688768</v>
      </c>
      <c r="H28" s="146">
        <f>IF(SER_hh_fech!H28=0,0,SER_hh_fech!H28/SER_summary!H$26)</f>
        <v>3.7150847400566196</v>
      </c>
      <c r="I28" s="146">
        <f>IF(SER_hh_fech!I28=0,0,SER_hh_fech!I28/SER_summary!I$26)</f>
        <v>3.7938438958397431</v>
      </c>
      <c r="J28" s="146">
        <f>IF(SER_hh_fech!J28=0,0,SER_hh_fech!J28/SER_summary!J$26)</f>
        <v>3.8822228276982211</v>
      </c>
      <c r="K28" s="146">
        <f>IF(SER_hh_fech!K28=0,0,SER_hh_fech!K28/SER_summary!K$26)</f>
        <v>4.1029743178127314</v>
      </c>
      <c r="L28" s="146">
        <f>IF(SER_hh_fech!L28=0,0,SER_hh_fech!L28/SER_summary!L$26)</f>
        <v>4.3472271057172804</v>
      </c>
      <c r="M28" s="146">
        <f>IF(SER_hh_fech!M28=0,0,SER_hh_fech!M28/SER_summary!M$26)</f>
        <v>4.8317855938031569</v>
      </c>
      <c r="N28" s="146">
        <f>IF(SER_hh_fech!N28=0,0,SER_hh_fech!N28/SER_summary!N$26)</f>
        <v>5.0223609391273136</v>
      </c>
      <c r="O28" s="146">
        <f>IF(SER_hh_fech!O28=0,0,SER_hh_fech!O28/SER_summary!O$26)</f>
        <v>5.1667732384929392</v>
      </c>
      <c r="P28" s="146">
        <f>IF(SER_hh_fech!P28=0,0,SER_hh_fech!P28/SER_summary!P$26)</f>
        <v>4.8898334037508402</v>
      </c>
      <c r="Q28" s="146">
        <f>IF(SER_hh_fech!Q28=0,0,SER_hh_fech!Q28/SER_summary!Q$26)</f>
        <v>5.1527961632107955</v>
      </c>
      <c r="R28" s="146">
        <f>IF(SER_hh_fech!R28=0,0,SER_hh_fech!R28/SER_summary!R$26)</f>
        <v>5.3764308019997866</v>
      </c>
      <c r="S28" s="146">
        <f>IF(SER_hh_fech!S28=0,0,SER_hh_fech!S28/SER_summary!S$26)</f>
        <v>5.3448784895174395</v>
      </c>
      <c r="T28" s="146">
        <f>IF(SER_hh_fech!T28=0,0,SER_hh_fech!T28/SER_summary!T$26)</f>
        <v>5.2328604144709558</v>
      </c>
      <c r="U28" s="146">
        <f>IF(SER_hh_fech!U28=0,0,SER_hh_fech!U28/SER_summary!U$26)</f>
        <v>5.2720690742077521</v>
      </c>
      <c r="V28" s="146">
        <f>IF(SER_hh_fech!V28=0,0,SER_hh_fech!V28/SER_summary!V$26)</f>
        <v>4.8111636426473874</v>
      </c>
      <c r="W28" s="146">
        <f>IF(SER_hh_fech!W28=0,0,SER_hh_fech!W28/SER_summary!W$26)</f>
        <v>5.2951844219163169</v>
      </c>
      <c r="X28" s="146">
        <f>IF(SER_hh_fech!X28=0,0,SER_hh_fech!X28/SER_summary!X$26)</f>
        <v>4.956209819427551</v>
      </c>
      <c r="Y28" s="146">
        <f>IF(SER_hh_fech!Y28=0,0,SER_hh_fech!Y28/SER_summary!Y$26)</f>
        <v>5.5271737828168623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12.607691968630276</v>
      </c>
      <c r="C29" s="130">
        <f>IF(SER_hh_fech!C29=0,0,SER_hh_fech!C29/SER_summary!C$26)</f>
        <v>12.838630590655965</v>
      </c>
      <c r="D29" s="130">
        <f>IF(SER_hh_fech!D29=0,0,SER_hh_fech!D29/SER_summary!D$26)</f>
        <v>12.773012248728834</v>
      </c>
      <c r="E29" s="130">
        <f>IF(SER_hh_fech!E29=0,0,SER_hh_fech!E29/SER_summary!E$26)</f>
        <v>12.833592418321366</v>
      </c>
      <c r="F29" s="130">
        <f>IF(SER_hh_fech!F29=0,0,SER_hh_fech!F29/SER_summary!F$26)</f>
        <v>12.804326030748667</v>
      </c>
      <c r="G29" s="130">
        <f>IF(SER_hh_fech!G29=0,0,SER_hh_fech!G29/SER_summary!G$26)</f>
        <v>12.616823959777568</v>
      </c>
      <c r="H29" s="130">
        <f>IF(SER_hh_fech!H29=0,0,SER_hh_fech!H29/SER_summary!H$26)</f>
        <v>12.580987892448485</v>
      </c>
      <c r="I29" s="130">
        <f>IF(SER_hh_fech!I29=0,0,SER_hh_fech!I29/SER_summary!I$26)</f>
        <v>12.457145268863389</v>
      </c>
      <c r="J29" s="130">
        <f>IF(SER_hh_fech!J29=0,0,SER_hh_fech!J29/SER_summary!J$26)</f>
        <v>12.592846418138201</v>
      </c>
      <c r="K29" s="130">
        <f>IF(SER_hh_fech!K29=0,0,SER_hh_fech!K29/SER_summary!K$26)</f>
        <v>13.402105259781649</v>
      </c>
      <c r="L29" s="130">
        <f>IF(SER_hh_fech!L29=0,0,SER_hh_fech!L29/SER_summary!L$26)</f>
        <v>13.690413961480788</v>
      </c>
      <c r="M29" s="130">
        <f>IF(SER_hh_fech!M29=0,0,SER_hh_fech!M29/SER_summary!M$26)</f>
        <v>13.843353019944683</v>
      </c>
      <c r="N29" s="130">
        <f>IF(SER_hh_fech!N29=0,0,SER_hh_fech!N29/SER_summary!N$26)</f>
        <v>13.910595154999353</v>
      </c>
      <c r="O29" s="130">
        <f>IF(SER_hh_fech!O29=0,0,SER_hh_fech!O29/SER_summary!O$26)</f>
        <v>14.072617251597546</v>
      </c>
      <c r="P29" s="130">
        <f>IF(SER_hh_fech!P29=0,0,SER_hh_fech!P29/SER_summary!P$26)</f>
        <v>14.051681436164706</v>
      </c>
      <c r="Q29" s="130">
        <f>IF(SER_hh_fech!Q29=0,0,SER_hh_fech!Q29/SER_summary!Q$26)</f>
        <v>14.019686716583797</v>
      </c>
      <c r="R29" s="130">
        <f>IF(SER_hh_fech!R29=0,0,SER_hh_fech!R29/SER_summary!R$26)</f>
        <v>14.171779170618928</v>
      </c>
      <c r="S29" s="130">
        <f>IF(SER_hh_fech!S29=0,0,SER_hh_fech!S29/SER_summary!S$26)</f>
        <v>14.505975381468147</v>
      </c>
      <c r="T29" s="130">
        <f>IF(SER_hh_fech!T29=0,0,SER_hh_fech!T29/SER_summary!T$26)</f>
        <v>14.171524751167214</v>
      </c>
      <c r="U29" s="130">
        <f>IF(SER_hh_fech!U29=0,0,SER_hh_fech!U29/SER_summary!U$26)</f>
        <v>14.332091454701947</v>
      </c>
      <c r="V29" s="130">
        <f>IF(SER_hh_fech!V29=0,0,SER_hh_fech!V29/SER_summary!V$26)</f>
        <v>13.24677296090875</v>
      </c>
      <c r="W29" s="130">
        <f>IF(SER_hh_fech!W29=0,0,SER_hh_fech!W29/SER_summary!W$26)</f>
        <v>13.398758873883107</v>
      </c>
      <c r="X29" s="130">
        <f>IF(SER_hh_fech!X29=0,0,SER_hh_fech!X29/SER_summary!X$26)</f>
        <v>13.038260210510773</v>
      </c>
      <c r="Y29" s="130">
        <f>IF(SER_hh_fech!Y29=0,0,SER_hh_fech!Y29/SER_summary!Y$26)</f>
        <v>12.960547588319759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0</v>
      </c>
      <c r="C30" s="132">
        <f>IF(SER_hh_fech!C30=0,0,SER_hh_fech!C30/SER_summary!C$26)</f>
        <v>0</v>
      </c>
      <c r="D30" s="132">
        <f>IF(SER_hh_fech!D30=0,0,SER_hh_fech!D30/SER_summary!D$26)</f>
        <v>0</v>
      </c>
      <c r="E30" s="132">
        <f>IF(SER_hh_fech!E30=0,0,SER_hh_fech!E30/SER_summary!E$26)</f>
        <v>0</v>
      </c>
      <c r="F30" s="132">
        <f>IF(SER_hh_fech!F30=0,0,SER_hh_fech!F30/SER_summary!F$26)</f>
        <v>0</v>
      </c>
      <c r="G30" s="132">
        <f>IF(SER_hh_fech!G30=0,0,SER_hh_fech!G30/SER_summary!G$26)</f>
        <v>0</v>
      </c>
      <c r="H30" s="132">
        <f>IF(SER_hh_fech!H30=0,0,SER_hh_fech!H30/SER_summary!H$26)</f>
        <v>0</v>
      </c>
      <c r="I30" s="132">
        <f>IF(SER_hh_fech!I30=0,0,SER_hh_fech!I30/SER_summary!I$26)</f>
        <v>0</v>
      </c>
      <c r="J30" s="132">
        <f>IF(SER_hh_fech!J30=0,0,SER_hh_fech!J30/SER_summary!J$26)</f>
        <v>0</v>
      </c>
      <c r="K30" s="132">
        <f>IF(SER_hh_fech!K30=0,0,SER_hh_fech!K30/SER_summary!K$26)</f>
        <v>0</v>
      </c>
      <c r="L30" s="132">
        <f>IF(SER_hh_fech!L30=0,0,SER_hh_fech!L30/SER_summary!L$26)</f>
        <v>0</v>
      </c>
      <c r="M30" s="132">
        <f>IF(SER_hh_fech!M30=0,0,SER_hh_fech!M30/SER_summary!M$26)</f>
        <v>0</v>
      </c>
      <c r="N30" s="132">
        <f>IF(SER_hh_fech!N30=0,0,SER_hh_fech!N30/SER_summary!N$26)</f>
        <v>0</v>
      </c>
      <c r="O30" s="132">
        <f>IF(SER_hh_fech!O30=0,0,SER_hh_fech!O30/SER_summary!O$26)</f>
        <v>0</v>
      </c>
      <c r="P30" s="132">
        <f>IF(SER_hh_fech!P30=0,0,SER_hh_fech!P30/SER_summary!P$26)</f>
        <v>0</v>
      </c>
      <c r="Q30" s="132">
        <f>IF(SER_hh_fech!Q30=0,0,SER_hh_fech!Q30/SER_summary!Q$26)</f>
        <v>0</v>
      </c>
      <c r="R30" s="132">
        <f>IF(SER_hh_fech!R30=0,0,SER_hh_fech!R30/SER_summary!R$26)</f>
        <v>0</v>
      </c>
      <c r="S30" s="132">
        <f>IF(SER_hh_fech!S30=0,0,SER_hh_fech!S30/SER_summary!S$26)</f>
        <v>0</v>
      </c>
      <c r="T30" s="132">
        <f>IF(SER_hh_fech!T30=0,0,SER_hh_fech!T30/SER_summary!T$26)</f>
        <v>0</v>
      </c>
      <c r="U30" s="132">
        <f>IF(SER_hh_fech!U30=0,0,SER_hh_fech!U30/SER_summary!U$26)</f>
        <v>0</v>
      </c>
      <c r="V30" s="132">
        <f>IF(SER_hh_fech!V30=0,0,SER_hh_fech!V30/SER_summary!V$26)</f>
        <v>0</v>
      </c>
      <c r="W30" s="132">
        <f>IF(SER_hh_fech!W30=0,0,SER_hh_fech!W30/SER_summary!W$26)</f>
        <v>0</v>
      </c>
      <c r="X30" s="132">
        <f>IF(SER_hh_fech!X30=0,0,SER_hh_fech!X30/SER_summary!X$26)</f>
        <v>0</v>
      </c>
      <c r="Y30" s="132">
        <f>IF(SER_hh_fech!Y30=0,0,SER_hh_fech!Y30/SER_summary!Y$26)</f>
        <v>0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13.017358146358237</v>
      </c>
      <c r="C31" s="132">
        <f>IF(SER_hh_fech!C31=0,0,SER_hh_fech!C31/SER_summary!C$26)</f>
        <v>15.034252148600237</v>
      </c>
      <c r="D31" s="132">
        <f>IF(SER_hh_fech!D31=0,0,SER_hh_fech!D31/SER_summary!D$26)</f>
        <v>14.790352829172777</v>
      </c>
      <c r="E31" s="132">
        <f>IF(SER_hh_fech!E31=0,0,SER_hh_fech!E31/SER_summary!E$26)</f>
        <v>14.417469615964617</v>
      </c>
      <c r="F31" s="132">
        <f>IF(SER_hh_fech!F31=0,0,SER_hh_fech!F31/SER_summary!F$26)</f>
        <v>14.712641825719068</v>
      </c>
      <c r="G31" s="132">
        <f>IF(SER_hh_fech!G31=0,0,SER_hh_fech!G31/SER_summary!G$26)</f>
        <v>14.38948038867016</v>
      </c>
      <c r="H31" s="132">
        <f>IF(SER_hh_fech!H31=0,0,SER_hh_fech!H31/SER_summary!H$26)</f>
        <v>14.15234975657363</v>
      </c>
      <c r="I31" s="132">
        <f>IF(SER_hh_fech!I31=0,0,SER_hh_fech!I31/SER_summary!I$26)</f>
        <v>14.181345771454891</v>
      </c>
      <c r="J31" s="132">
        <f>IF(SER_hh_fech!J31=0,0,SER_hh_fech!J31/SER_summary!J$26)</f>
        <v>14.406880734325444</v>
      </c>
      <c r="K31" s="132">
        <f>IF(SER_hh_fech!K31=0,0,SER_hh_fech!K31/SER_summary!K$26)</f>
        <v>16.07552940724851</v>
      </c>
      <c r="L31" s="132">
        <f>IF(SER_hh_fech!L31=0,0,SER_hh_fech!L31/SER_summary!L$26)</f>
        <v>15.556751283905198</v>
      </c>
      <c r="M31" s="132">
        <f>IF(SER_hh_fech!M31=0,0,SER_hh_fech!M31/SER_summary!M$26)</f>
        <v>15.756822576826552</v>
      </c>
      <c r="N31" s="132">
        <f>IF(SER_hh_fech!N31=0,0,SER_hh_fech!N31/SER_summary!N$26)</f>
        <v>15.886893169115552</v>
      </c>
      <c r="O31" s="132">
        <f>IF(SER_hh_fech!O31=0,0,SER_hh_fech!O31/SER_summary!O$26)</f>
        <v>16.005554295514518</v>
      </c>
      <c r="P31" s="132">
        <f>IF(SER_hh_fech!P31=0,0,SER_hh_fech!P31/SER_summary!P$26)</f>
        <v>16.030222585309403</v>
      </c>
      <c r="Q31" s="132">
        <f>IF(SER_hh_fech!Q31=0,0,SER_hh_fech!Q31/SER_summary!Q$26)</f>
        <v>15.536314458530656</v>
      </c>
      <c r="R31" s="132">
        <f>IF(SER_hh_fech!R31=0,0,SER_hh_fech!R31/SER_summary!R$26)</f>
        <v>15.983625253877554</v>
      </c>
      <c r="S31" s="132">
        <f>IF(SER_hh_fech!S31=0,0,SER_hh_fech!S31/SER_summary!S$26)</f>
        <v>17.14664837460116</v>
      </c>
      <c r="T31" s="132">
        <f>IF(SER_hh_fech!T31=0,0,SER_hh_fech!T31/SER_summary!T$26)</f>
        <v>15.760141323673874</v>
      </c>
      <c r="U31" s="132">
        <f>IF(SER_hh_fech!U31=0,0,SER_hh_fech!U31/SER_summary!U$26)</f>
        <v>16.583949899527333</v>
      </c>
      <c r="V31" s="132">
        <f>IF(SER_hh_fech!V31=0,0,SER_hh_fech!V31/SER_summary!V$26)</f>
        <v>15.376423800839289</v>
      </c>
      <c r="W31" s="132">
        <f>IF(SER_hh_fech!W31=0,0,SER_hh_fech!W31/SER_summary!W$26)</f>
        <v>15.692158351588013</v>
      </c>
      <c r="X31" s="132">
        <f>IF(SER_hh_fech!X31=0,0,SER_hh_fech!X31/SER_summary!X$26)</f>
        <v>15.357097049865551</v>
      </c>
      <c r="Y31" s="132">
        <f>IF(SER_hh_fech!Y31=0,0,SER_hh_fech!Y31/SER_summary!Y$26)</f>
        <v>15.032615709691569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0</v>
      </c>
      <c r="C32" s="132">
        <f>IF(SER_hh_fech!C32=0,0,SER_hh_fech!C32/SER_summary!C$26)</f>
        <v>0</v>
      </c>
      <c r="D32" s="132">
        <f>IF(SER_hh_fech!D32=0,0,SER_hh_fech!D32/SER_summary!D$26)</f>
        <v>0</v>
      </c>
      <c r="E32" s="132">
        <f>IF(SER_hh_fech!E32=0,0,SER_hh_fech!E32/SER_summary!E$26)</f>
        <v>0</v>
      </c>
      <c r="F32" s="132">
        <f>IF(SER_hh_fech!F32=0,0,SER_hh_fech!F32/SER_summary!F$26)</f>
        <v>0</v>
      </c>
      <c r="G32" s="132">
        <f>IF(SER_hh_fech!G32=0,0,SER_hh_fech!G32/SER_summary!G$26)</f>
        <v>0</v>
      </c>
      <c r="H32" s="132">
        <f>IF(SER_hh_fech!H32=0,0,SER_hh_fech!H32/SER_summary!H$26)</f>
        <v>0</v>
      </c>
      <c r="I32" s="132">
        <f>IF(SER_hh_fech!I32=0,0,SER_hh_fech!I32/SER_summary!I$26)</f>
        <v>0</v>
      </c>
      <c r="J32" s="132">
        <f>IF(SER_hh_fech!J32=0,0,SER_hh_fech!J32/SER_summary!J$26)</f>
        <v>0</v>
      </c>
      <c r="K32" s="132">
        <f>IF(SER_hh_fech!K32=0,0,SER_hh_fech!K32/SER_summary!K$26)</f>
        <v>0</v>
      </c>
      <c r="L32" s="132">
        <f>IF(SER_hh_fech!L32=0,0,SER_hh_fech!L32/SER_summary!L$26)</f>
        <v>0</v>
      </c>
      <c r="M32" s="132">
        <f>IF(SER_hh_fech!M32=0,0,SER_hh_fech!M32/SER_summary!M$26)</f>
        <v>0</v>
      </c>
      <c r="N32" s="132">
        <f>IF(SER_hh_fech!N32=0,0,SER_hh_fech!N32/SER_summary!N$26)</f>
        <v>0</v>
      </c>
      <c r="O32" s="132">
        <f>IF(SER_hh_fech!O32=0,0,SER_hh_fech!O32/SER_summary!O$26)</f>
        <v>0</v>
      </c>
      <c r="P32" s="132">
        <f>IF(SER_hh_fech!P32=0,0,SER_hh_fech!P32/SER_summary!P$26)</f>
        <v>0</v>
      </c>
      <c r="Q32" s="132">
        <f>IF(SER_hh_fech!Q32=0,0,SER_hh_fech!Q32/SER_summary!Q$26)</f>
        <v>0</v>
      </c>
      <c r="R32" s="132">
        <f>IF(SER_hh_fech!R32=0,0,SER_hh_fech!R32/SER_summary!R$26)</f>
        <v>0</v>
      </c>
      <c r="S32" s="132">
        <f>IF(SER_hh_fech!S32=0,0,SER_hh_fech!S32/SER_summary!S$26)</f>
        <v>0</v>
      </c>
      <c r="T32" s="132">
        <f>IF(SER_hh_fech!T32=0,0,SER_hh_fech!T32/SER_summary!T$26)</f>
        <v>0</v>
      </c>
      <c r="U32" s="132">
        <f>IF(SER_hh_fech!U32=0,0,SER_hh_fech!U32/SER_summary!U$26)</f>
        <v>0</v>
      </c>
      <c r="V32" s="132">
        <f>IF(SER_hh_fech!V32=0,0,SER_hh_fech!V32/SER_summary!V$26)</f>
        <v>0</v>
      </c>
      <c r="W32" s="132">
        <f>IF(SER_hh_fech!W32=0,0,SER_hh_fech!W32/SER_summary!W$26)</f>
        <v>0</v>
      </c>
      <c r="X32" s="132">
        <f>IF(SER_hh_fech!X32=0,0,SER_hh_fech!X32/SER_summary!X$26)</f>
        <v>0</v>
      </c>
      <c r="Y32" s="132">
        <f>IF(SER_hh_fech!Y32=0,0,SER_hh_fech!Y32/SER_summary!Y$26)</f>
        <v>0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12.209917517549307</v>
      </c>
      <c r="C33" s="68">
        <f>IF(SER_hh_fech!C33=0,0,SER_hh_fech!C33/SER_summary!C$26)</f>
        <v>10.657247739989453</v>
      </c>
      <c r="D33" s="68">
        <f>IF(SER_hh_fech!D33=0,0,SER_hh_fech!D33/SER_summary!D$26)</f>
        <v>10.728445242664646</v>
      </c>
      <c r="E33" s="68">
        <f>IF(SER_hh_fech!E33=0,0,SER_hh_fech!E33/SER_summary!E$26)</f>
        <v>11.226098361098687</v>
      </c>
      <c r="F33" s="68">
        <f>IF(SER_hh_fech!F33=0,0,SER_hh_fech!F33/SER_summary!F$26)</f>
        <v>10.910998947248581</v>
      </c>
      <c r="G33" s="68">
        <f>IF(SER_hh_fech!G33=0,0,SER_hh_fech!G33/SER_summary!G$26)</f>
        <v>10.864202049111714</v>
      </c>
      <c r="H33" s="68">
        <f>IF(SER_hh_fech!H33=0,0,SER_hh_fech!H33/SER_summary!H$26)</f>
        <v>11.073163571664494</v>
      </c>
      <c r="I33" s="68">
        <f>IF(SER_hh_fech!I33=0,0,SER_hh_fech!I33/SER_summary!I$26)</f>
        <v>10.802131665226058</v>
      </c>
      <c r="J33" s="68">
        <f>IF(SER_hh_fech!J33=0,0,SER_hh_fech!J33/SER_summary!J$26)</f>
        <v>10.829978896320728</v>
      </c>
      <c r="K33" s="68">
        <f>IF(SER_hh_fech!K33=0,0,SER_hh_fech!K33/SER_summary!K$26)</f>
        <v>10.772229618380649</v>
      </c>
      <c r="L33" s="68">
        <f>IF(SER_hh_fech!L33=0,0,SER_hh_fech!L33/SER_summary!L$26)</f>
        <v>11.817454503747639</v>
      </c>
      <c r="M33" s="68">
        <f>IF(SER_hh_fech!M33=0,0,SER_hh_fech!M33/SER_summary!M$26)</f>
        <v>11.975741111469395</v>
      </c>
      <c r="N33" s="68">
        <f>IF(SER_hh_fech!N33=0,0,SER_hh_fech!N33/SER_summary!N$26)</f>
        <v>12.031708808487956</v>
      </c>
      <c r="O33" s="68">
        <f>IF(SER_hh_fech!O33=0,0,SER_hh_fech!O33/SER_summary!O$26)</f>
        <v>12.264732079332354</v>
      </c>
      <c r="P33" s="68">
        <f>IF(SER_hh_fech!P33=0,0,SER_hh_fech!P33/SER_summary!P$26)</f>
        <v>12.212682808772872</v>
      </c>
      <c r="Q33" s="68">
        <f>IF(SER_hh_fech!Q33=0,0,SER_hh_fech!Q33/SER_summary!Q$26)</f>
        <v>12.582436887132319</v>
      </c>
      <c r="R33" s="68">
        <f>IF(SER_hh_fech!R33=0,0,SER_hh_fech!R33/SER_summary!R$26)</f>
        <v>12.310644190593763</v>
      </c>
      <c r="S33" s="68">
        <f>IF(SER_hh_fech!S33=0,0,SER_hh_fech!S33/SER_summary!S$26)</f>
        <v>11.481449371336641</v>
      </c>
      <c r="T33" s="68">
        <f>IF(SER_hh_fech!T33=0,0,SER_hh_fech!T33/SER_summary!T$26)</f>
        <v>12.300860930770073</v>
      </c>
      <c r="U33" s="68">
        <f>IF(SER_hh_fech!U33=0,0,SER_hh_fech!U33/SER_summary!U$26)</f>
        <v>11.619420059890247</v>
      </c>
      <c r="V33" s="68">
        <f>IF(SER_hh_fech!V33=0,0,SER_hh_fech!V33/SER_summary!V$26)</f>
        <v>10.824920430694689</v>
      </c>
      <c r="W33" s="68">
        <f>IF(SER_hh_fech!W33=0,0,SER_hh_fech!W33/SER_summary!W$26)</f>
        <v>11.045661601580312</v>
      </c>
      <c r="X33" s="68">
        <f>IF(SER_hh_fech!X33=0,0,SER_hh_fech!X33/SER_summary!X$26)</f>
        <v>10.991780048578219</v>
      </c>
      <c r="Y33" s="68">
        <f>IF(SER_hh_fech!Y33=0,0,SER_hh_fech!Y33/SER_summary!Y$26)</f>
        <v>11.356928713581985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109.58485067528609</v>
      </c>
      <c r="C3" s="125">
        <f>IF(SER_hh_tesh!C3=0,0,SER_hh_tesh!C3/SER_summary!C$26)</f>
        <v>107.29260571795807</v>
      </c>
      <c r="D3" s="125">
        <f>IF(SER_hh_tesh!D3=0,0,SER_hh_tesh!D3/SER_summary!D$26)</f>
        <v>100.123460483667</v>
      </c>
      <c r="E3" s="125">
        <f>IF(SER_hh_tesh!E3=0,0,SER_hh_tesh!E3/SER_summary!E$26)</f>
        <v>109.94018370469283</v>
      </c>
      <c r="F3" s="125">
        <f>IF(SER_hh_tesh!F3=0,0,SER_hh_tesh!F3/SER_summary!F$26)</f>
        <v>102.03669853399022</v>
      </c>
      <c r="G3" s="125">
        <f>IF(SER_hh_tesh!G3=0,0,SER_hh_tesh!G3/SER_summary!G$26)</f>
        <v>89.85277529027907</v>
      </c>
      <c r="H3" s="125">
        <f>IF(SER_hh_tesh!H3=0,0,SER_hh_tesh!H3/SER_summary!H$26)</f>
        <v>84.709268163344234</v>
      </c>
      <c r="I3" s="125">
        <f>IF(SER_hh_tesh!I3=0,0,SER_hh_tesh!I3/SER_summary!I$26)</f>
        <v>78.598427937994643</v>
      </c>
      <c r="J3" s="125">
        <f>IF(SER_hh_tesh!J3=0,0,SER_hh_tesh!J3/SER_summary!J$26)</f>
        <v>82.963783743079844</v>
      </c>
      <c r="K3" s="125">
        <f>IF(SER_hh_tesh!K3=0,0,SER_hh_tesh!K3/SER_summary!K$26)</f>
        <v>78.581401000512841</v>
      </c>
      <c r="L3" s="125">
        <f>IF(SER_hh_tesh!L3=0,0,SER_hh_tesh!L3/SER_summary!L$26)</f>
        <v>87.299376351819305</v>
      </c>
      <c r="M3" s="125">
        <f>IF(SER_hh_tesh!M3=0,0,SER_hh_tesh!M3/SER_summary!M$26)</f>
        <v>83.278880622897887</v>
      </c>
      <c r="N3" s="125">
        <f>IF(SER_hh_tesh!N3=0,0,SER_hh_tesh!N3/SER_summary!N$26)</f>
        <v>81.0211725438283</v>
      </c>
      <c r="O3" s="125">
        <f>IF(SER_hh_tesh!O3=0,0,SER_hh_tesh!O3/SER_summary!O$26)</f>
        <v>80.519313900707914</v>
      </c>
      <c r="P3" s="125">
        <f>IF(SER_hh_tesh!P3=0,0,SER_hh_tesh!P3/SER_summary!P$26)</f>
        <v>76.452898659198183</v>
      </c>
      <c r="Q3" s="125">
        <f>IF(SER_hh_tesh!Q3=0,0,SER_hh_tesh!Q3/SER_summary!Q$26)</f>
        <v>77.657035805901998</v>
      </c>
      <c r="R3" s="125">
        <f>IF(SER_hh_tesh!R3=0,0,SER_hh_tesh!R3/SER_summary!R$26)</f>
        <v>79.230168414603568</v>
      </c>
      <c r="S3" s="125">
        <f>IF(SER_hh_tesh!S3=0,0,SER_hh_tesh!S3/SER_summary!S$26)</f>
        <v>82.083746375860471</v>
      </c>
      <c r="T3" s="125">
        <f>IF(SER_hh_tesh!T3=0,0,SER_hh_tesh!T3/SER_summary!T$26)</f>
        <v>80.398086677010838</v>
      </c>
      <c r="U3" s="125">
        <f>IF(SER_hh_tesh!U3=0,0,SER_hh_tesh!U3/SER_summary!U$26)</f>
        <v>82.416748533619966</v>
      </c>
      <c r="V3" s="125">
        <f>IF(SER_hh_tesh!V3=0,0,SER_hh_tesh!V3/SER_summary!V$26)</f>
        <v>77.233575796332119</v>
      </c>
      <c r="W3" s="125">
        <f>IF(SER_hh_tesh!W3=0,0,SER_hh_tesh!W3/SER_summary!W$26)</f>
        <v>77.742470176250819</v>
      </c>
      <c r="X3" s="125">
        <f>IF(SER_hh_tesh!X3=0,0,SER_hh_tesh!X3/SER_summary!X$26)</f>
        <v>75.468024000737572</v>
      </c>
      <c r="Y3" s="125">
        <f>IF(SER_hh_tesh!Y3=0,0,SER_hh_tesh!Y3/SER_summary!Y$26)</f>
        <v>69.772907349361915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92.047872255414333</v>
      </c>
      <c r="C4" s="130">
        <f>IF(SER_hh_tesh!C4=0,0,SER_hh_tesh!C4/SER_summary!C$26)</f>
        <v>89.701995866143392</v>
      </c>
      <c r="D4" s="130">
        <f>IF(SER_hh_tesh!D4=0,0,SER_hh_tesh!D4/SER_summary!D$26)</f>
        <v>82.258771666844169</v>
      </c>
      <c r="E4" s="130">
        <f>IF(SER_hh_tesh!E4=0,0,SER_hh_tesh!E4/SER_summary!E$26)</f>
        <v>91.764304151545232</v>
      </c>
      <c r="F4" s="130">
        <f>IF(SER_hh_tesh!F4=0,0,SER_hh_tesh!F4/SER_summary!F$26)</f>
        <v>83.941308115422245</v>
      </c>
      <c r="G4" s="130">
        <f>IF(SER_hh_tesh!G4=0,0,SER_hh_tesh!G4/SER_summary!G$26)</f>
        <v>71.415687332469986</v>
      </c>
      <c r="H4" s="130">
        <f>IF(SER_hh_tesh!H4=0,0,SER_hh_tesh!H4/SER_summary!H$26)</f>
        <v>65.549154275850256</v>
      </c>
      <c r="I4" s="130">
        <f>IF(SER_hh_tesh!I4=0,0,SER_hh_tesh!I4/SER_summary!I$26)</f>
        <v>59.00727721213056</v>
      </c>
      <c r="J4" s="130">
        <f>IF(SER_hh_tesh!J4=0,0,SER_hh_tesh!J4/SER_summary!J$26)</f>
        <v>62.852981682148922</v>
      </c>
      <c r="K4" s="130">
        <f>IF(SER_hh_tesh!K4=0,0,SER_hh_tesh!K4/SER_summary!K$26)</f>
        <v>57.025035809938309</v>
      </c>
      <c r="L4" s="130">
        <f>IF(SER_hh_tesh!L4=0,0,SER_hh_tesh!L4/SER_summary!L$26)</f>
        <v>64.741218627086681</v>
      </c>
      <c r="M4" s="130">
        <f>IF(SER_hh_tesh!M4=0,0,SER_hh_tesh!M4/SER_summary!M$26)</f>
        <v>60.144437669307159</v>
      </c>
      <c r="N4" s="130">
        <f>IF(SER_hh_tesh!N4=0,0,SER_hh_tesh!N4/SER_summary!N$26)</f>
        <v>57.404726103422249</v>
      </c>
      <c r="O4" s="130">
        <f>IF(SER_hh_tesh!O4=0,0,SER_hh_tesh!O4/SER_summary!O$26)</f>
        <v>56.274979371445319</v>
      </c>
      <c r="P4" s="130">
        <f>IF(SER_hh_tesh!P4=0,0,SER_hh_tesh!P4/SER_summary!P$26)</f>
        <v>52.417658941185955</v>
      </c>
      <c r="Q4" s="130">
        <f>IF(SER_hh_tesh!Q4=0,0,SER_hh_tesh!Q4/SER_summary!Q$26)</f>
        <v>52.293528270629942</v>
      </c>
      <c r="R4" s="130">
        <f>IF(SER_hh_tesh!R4=0,0,SER_hh_tesh!R4/SER_summary!R$26)</f>
        <v>54.564079984766174</v>
      </c>
      <c r="S4" s="130">
        <f>IF(SER_hh_tesh!S4=0,0,SER_hh_tesh!S4/SER_summary!S$26)</f>
        <v>56.993669964127555</v>
      </c>
      <c r="T4" s="130">
        <f>IF(SER_hh_tesh!T4=0,0,SER_hh_tesh!T4/SER_summary!T$26)</f>
        <v>54.95724654162543</v>
      </c>
      <c r="U4" s="130">
        <f>IF(SER_hh_tesh!U4=0,0,SER_hh_tesh!U4/SER_summary!U$26)</f>
        <v>56.777350592633169</v>
      </c>
      <c r="V4" s="130">
        <f>IF(SER_hh_tesh!V4=0,0,SER_hh_tesh!V4/SER_summary!V$26)</f>
        <v>53.241734810226355</v>
      </c>
      <c r="W4" s="130">
        <f>IF(SER_hh_tesh!W4=0,0,SER_hh_tesh!W4/SER_summary!W$26)</f>
        <v>53.055281685785161</v>
      </c>
      <c r="X4" s="130">
        <f>IF(SER_hh_tesh!X4=0,0,SER_hh_tesh!X4/SER_summary!X$26)</f>
        <v>50.724082154622295</v>
      </c>
      <c r="Y4" s="130">
        <f>IF(SER_hh_tesh!Y4=0,0,SER_hh_tesh!Y4/SER_summary!Y$26)</f>
        <v>44.645973432020689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111.48779832240115</v>
      </c>
      <c r="C5" s="132">
        <f>IF(SER_hh_tesh!C5=0,0,SER_hh_tesh!C5/SER_summary!C$26)</f>
        <v>58.759305601068377</v>
      </c>
      <c r="D5" s="132">
        <f>IF(SER_hh_tesh!D5=0,0,SER_hh_tesh!D5/SER_summary!D$26)</f>
        <v>60.154041357539001</v>
      </c>
      <c r="E5" s="132">
        <f>IF(SER_hh_tesh!E5=0,0,SER_hh_tesh!E5/SER_summary!E$26)</f>
        <v>113.71927747242172</v>
      </c>
      <c r="F5" s="132">
        <f>IF(SER_hh_tesh!F5=0,0,SER_hh_tesh!F5/SER_summary!F$26)</f>
        <v>123.89162998000454</v>
      </c>
      <c r="G5" s="132">
        <f>IF(SER_hh_tesh!G5=0,0,SER_hh_tesh!G5/SER_summary!G$26)</f>
        <v>30.631538036451268</v>
      </c>
      <c r="H5" s="132">
        <f>IF(SER_hh_tesh!H5=0,0,SER_hh_tesh!H5/SER_summary!H$26)</f>
        <v>77.467716687022005</v>
      </c>
      <c r="I5" s="132">
        <f>IF(SER_hh_tesh!I5=0,0,SER_hh_tesh!I5/SER_summary!I$26)</f>
        <v>42.500378099123331</v>
      </c>
      <c r="J5" s="132">
        <f>IF(SER_hh_tesh!J5=0,0,SER_hh_tesh!J5/SER_summary!J$26)</f>
        <v>72.264279531784553</v>
      </c>
      <c r="K5" s="132">
        <f>IF(SER_hh_tesh!K5=0,0,SER_hh_tesh!K5/SER_summary!K$26)</f>
        <v>37.174870776869184</v>
      </c>
      <c r="L5" s="132">
        <f>IF(SER_hh_tesh!L5=0,0,SER_hh_tesh!L5/SER_summary!L$26)</f>
        <v>60.66270624881291</v>
      </c>
      <c r="M5" s="132">
        <f>IF(SER_hh_tesh!M5=0,0,SER_hh_tesh!M5/SER_summary!M$26)</f>
        <v>57.958158704199661</v>
      </c>
      <c r="N5" s="132">
        <f>IF(SER_hh_tesh!N5=0,0,SER_hh_tesh!N5/SER_summary!N$26)</f>
        <v>55.725938872703352</v>
      </c>
      <c r="O5" s="132">
        <f>IF(SER_hh_tesh!O5=0,0,SER_hh_tesh!O5/SER_summary!O$26)</f>
        <v>59.627709084179358</v>
      </c>
      <c r="P5" s="132">
        <f>IF(SER_hh_tesh!P5=0,0,SER_hh_tesh!P5/SER_summary!P$26)</f>
        <v>52.449716190095522</v>
      </c>
      <c r="Q5" s="132">
        <f>IF(SER_hh_tesh!Q5=0,0,SER_hh_tesh!Q5/SER_summary!Q$26)</f>
        <v>46.929909578763244</v>
      </c>
      <c r="R5" s="132">
        <f>IF(SER_hh_tesh!R5=0,0,SER_hh_tesh!R5/SER_summary!R$26)</f>
        <v>59.662991873874958</v>
      </c>
      <c r="S5" s="132">
        <f>IF(SER_hh_tesh!S5=0,0,SER_hh_tesh!S5/SER_summary!S$26)</f>
        <v>60.56739005190709</v>
      </c>
      <c r="T5" s="132">
        <f>IF(SER_hh_tesh!T5=0,0,SER_hh_tesh!T5/SER_summary!T$26)</f>
        <v>47.079423513174305</v>
      </c>
      <c r="U5" s="132">
        <f>IF(SER_hh_tesh!U5=0,0,SER_hh_tesh!U5/SER_summary!U$26)</f>
        <v>59.751921728528252</v>
      </c>
      <c r="V5" s="132">
        <f>IF(SER_hh_tesh!V5=0,0,SER_hh_tesh!V5/SER_summary!V$26)</f>
        <v>48.119729315789826</v>
      </c>
      <c r="W5" s="132">
        <f>IF(SER_hh_tesh!W5=0,0,SER_hh_tesh!W5/SER_summary!W$26)</f>
        <v>55.822161091806194</v>
      </c>
      <c r="X5" s="132">
        <f>IF(SER_hh_tesh!X5=0,0,SER_hh_tesh!X5/SER_summary!X$26)</f>
        <v>57.658485037968873</v>
      </c>
      <c r="Y5" s="132">
        <f>IF(SER_hh_tesh!Y5=0,0,SER_hh_tesh!Y5/SER_summary!Y$26)</f>
        <v>34.299437005104792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0</v>
      </c>
      <c r="C6" s="132">
        <f>IF(SER_hh_tesh!C6=0,0,SER_hh_tesh!C6/SER_summary!C$26)</f>
        <v>0</v>
      </c>
      <c r="D6" s="132">
        <f>IF(SER_hh_tesh!D6=0,0,SER_hh_tesh!D6/SER_summary!D$26)</f>
        <v>0</v>
      </c>
      <c r="E6" s="132">
        <f>IF(SER_hh_tesh!E6=0,0,SER_hh_tesh!E6/SER_summary!E$26)</f>
        <v>0</v>
      </c>
      <c r="F6" s="132">
        <f>IF(SER_hh_tesh!F6=0,0,SER_hh_tesh!F6/SER_summary!F$26)</f>
        <v>0</v>
      </c>
      <c r="G6" s="132">
        <f>IF(SER_hh_tesh!G6=0,0,SER_hh_tesh!G6/SER_summary!G$26)</f>
        <v>0</v>
      </c>
      <c r="H6" s="132">
        <f>IF(SER_hh_tesh!H6=0,0,SER_hh_tesh!H6/SER_summary!H$26)</f>
        <v>0</v>
      </c>
      <c r="I6" s="132">
        <f>IF(SER_hh_tesh!I6=0,0,SER_hh_tesh!I6/SER_summary!I$26)</f>
        <v>0</v>
      </c>
      <c r="J6" s="132">
        <f>IF(SER_hh_tesh!J6=0,0,SER_hh_tesh!J6/SER_summary!J$26)</f>
        <v>0</v>
      </c>
      <c r="K6" s="132">
        <f>IF(SER_hh_tesh!K6=0,0,SER_hh_tesh!K6/SER_summary!K$26)</f>
        <v>0</v>
      </c>
      <c r="L6" s="132">
        <f>IF(SER_hh_tesh!L6=0,0,SER_hh_tesh!L6/SER_summary!L$26)</f>
        <v>0</v>
      </c>
      <c r="M6" s="132">
        <f>IF(SER_hh_tesh!M6=0,0,SER_hh_tesh!M6/SER_summary!M$26)</f>
        <v>0</v>
      </c>
      <c r="N6" s="132">
        <f>IF(SER_hh_tesh!N6=0,0,SER_hh_tesh!N6/SER_summary!N$26)</f>
        <v>0</v>
      </c>
      <c r="O6" s="132">
        <f>IF(SER_hh_tesh!O6=0,0,SER_hh_tesh!O6/SER_summary!O$26)</f>
        <v>0</v>
      </c>
      <c r="P6" s="132">
        <f>IF(SER_hh_tesh!P6=0,0,SER_hh_tesh!P6/SER_summary!P$26)</f>
        <v>0</v>
      </c>
      <c r="Q6" s="132">
        <f>IF(SER_hh_tesh!Q6=0,0,SER_hh_tesh!Q6/SER_summary!Q$26)</f>
        <v>0</v>
      </c>
      <c r="R6" s="132">
        <f>IF(SER_hh_tesh!R6=0,0,SER_hh_tesh!R6/SER_summary!R$26)</f>
        <v>0</v>
      </c>
      <c r="S6" s="132">
        <f>IF(SER_hh_tesh!S6=0,0,SER_hh_tesh!S6/SER_summary!S$26)</f>
        <v>0</v>
      </c>
      <c r="T6" s="132">
        <f>IF(SER_hh_tesh!T6=0,0,SER_hh_tesh!T6/SER_summary!T$26)</f>
        <v>0</v>
      </c>
      <c r="U6" s="132">
        <f>IF(SER_hh_tesh!U6=0,0,SER_hh_tesh!U6/SER_summary!U$26)</f>
        <v>0</v>
      </c>
      <c r="V6" s="132">
        <f>IF(SER_hh_tesh!V6=0,0,SER_hh_tesh!V6/SER_summary!V$26)</f>
        <v>0</v>
      </c>
      <c r="W6" s="132">
        <f>IF(SER_hh_tesh!W6=0,0,SER_hh_tesh!W6/SER_summary!W$26)</f>
        <v>0</v>
      </c>
      <c r="X6" s="132">
        <f>IF(SER_hh_tesh!X6=0,0,SER_hh_tesh!X6/SER_summary!X$26)</f>
        <v>0</v>
      </c>
      <c r="Y6" s="132">
        <f>IF(SER_hh_tesh!Y6=0,0,SER_hh_tesh!Y6/SER_summary!Y$26)</f>
        <v>0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107.39108063061751</v>
      </c>
      <c r="C7" s="132">
        <f>IF(SER_hh_tesh!C7=0,0,SER_hh_tesh!C7/SER_summary!C$26)</f>
        <v>39.867706483801413</v>
      </c>
      <c r="D7" s="132">
        <f>IF(SER_hh_tesh!D7=0,0,SER_hh_tesh!D7/SER_summary!D$26)</f>
        <v>104.82742649039018</v>
      </c>
      <c r="E7" s="132">
        <f>IF(SER_hh_tesh!E7=0,0,SER_hh_tesh!E7/SER_summary!E$26)</f>
        <v>82.919169549221209</v>
      </c>
      <c r="F7" s="132">
        <f>IF(SER_hh_tesh!F7=0,0,SER_hh_tesh!F7/SER_summary!F$26)</f>
        <v>89.918134599777403</v>
      </c>
      <c r="G7" s="132">
        <f>IF(SER_hh_tesh!G7=0,0,SER_hh_tesh!G7/SER_summary!G$26)</f>
        <v>61.81040545462605</v>
      </c>
      <c r="H7" s="132">
        <f>IF(SER_hh_tesh!H7=0,0,SER_hh_tesh!H7/SER_summary!H$26)</f>
        <v>66.575432022535949</v>
      </c>
      <c r="I7" s="132">
        <f>IF(SER_hh_tesh!I7=0,0,SER_hh_tesh!I7/SER_summary!I$26)</f>
        <v>62.725358113964894</v>
      </c>
      <c r="J7" s="132">
        <f>IF(SER_hh_tesh!J7=0,0,SER_hh_tesh!J7/SER_summary!J$26)</f>
        <v>64.967416468973596</v>
      </c>
      <c r="K7" s="132">
        <f>IF(SER_hh_tesh!K7=0,0,SER_hh_tesh!K7/SER_summary!K$26)</f>
        <v>51.212545508574905</v>
      </c>
      <c r="L7" s="132">
        <f>IF(SER_hh_tesh!L7=0,0,SER_hh_tesh!L7/SER_summary!L$26)</f>
        <v>64.982625659289553</v>
      </c>
      <c r="M7" s="132">
        <f>IF(SER_hh_tesh!M7=0,0,SER_hh_tesh!M7/SER_summary!M$26)</f>
        <v>48.001862242421055</v>
      </c>
      <c r="N7" s="132">
        <f>IF(SER_hh_tesh!N7=0,0,SER_hh_tesh!N7/SER_summary!N$26)</f>
        <v>70.801850895929149</v>
      </c>
      <c r="O7" s="132">
        <f>IF(SER_hh_tesh!O7=0,0,SER_hh_tesh!O7/SER_summary!O$26)</f>
        <v>53.455766917351539</v>
      </c>
      <c r="P7" s="132">
        <f>IF(SER_hh_tesh!P7=0,0,SER_hh_tesh!P7/SER_summary!P$26)</f>
        <v>34.50941926514308</v>
      </c>
      <c r="Q7" s="132">
        <f>IF(SER_hh_tesh!Q7=0,0,SER_hh_tesh!Q7/SER_summary!Q$26)</f>
        <v>61.881584861106717</v>
      </c>
      <c r="R7" s="132">
        <f>IF(SER_hh_tesh!R7=0,0,SER_hh_tesh!R7/SER_summary!R$26)</f>
        <v>58.148234065260034</v>
      </c>
      <c r="S7" s="132">
        <f>IF(SER_hh_tesh!S7=0,0,SER_hh_tesh!S7/SER_summary!S$26)</f>
        <v>61.025536397370644</v>
      </c>
      <c r="T7" s="132">
        <f>IF(SER_hh_tesh!T7=0,0,SER_hh_tesh!T7/SER_summary!T$26)</f>
        <v>45.561707904449662</v>
      </c>
      <c r="U7" s="132">
        <f>IF(SER_hh_tesh!U7=0,0,SER_hh_tesh!U7/SER_summary!U$26)</f>
        <v>44.788109010880127</v>
      </c>
      <c r="V7" s="132">
        <f>IF(SER_hh_tesh!V7=0,0,SER_hh_tesh!V7/SER_summary!V$26)</f>
        <v>51.200933092705043</v>
      </c>
      <c r="W7" s="132">
        <f>IF(SER_hh_tesh!W7=0,0,SER_hh_tesh!W7/SER_summary!W$26)</f>
        <v>58.445377331972189</v>
      </c>
      <c r="X7" s="132">
        <f>IF(SER_hh_tesh!X7=0,0,SER_hh_tesh!X7/SER_summary!X$26)</f>
        <v>43.382243792199667</v>
      </c>
      <c r="Y7" s="132">
        <f>IF(SER_hh_tesh!Y7=0,0,SER_hh_tesh!Y7/SER_summary!Y$26)</f>
        <v>48.568939114667096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0</v>
      </c>
      <c r="C8" s="132">
        <f>IF(SER_hh_tesh!C8=0,0,SER_hh_tesh!C8/SER_summary!C$26)</f>
        <v>0</v>
      </c>
      <c r="D8" s="132">
        <f>IF(SER_hh_tesh!D8=0,0,SER_hh_tesh!D8/SER_summary!D$26)</f>
        <v>0</v>
      </c>
      <c r="E8" s="132">
        <f>IF(SER_hh_tesh!E8=0,0,SER_hh_tesh!E8/SER_summary!E$26)</f>
        <v>0</v>
      </c>
      <c r="F8" s="132">
        <f>IF(SER_hh_tesh!F8=0,0,SER_hh_tesh!F8/SER_summary!F$26)</f>
        <v>0</v>
      </c>
      <c r="G8" s="132">
        <f>IF(SER_hh_tesh!G8=0,0,SER_hh_tesh!G8/SER_summary!G$26)</f>
        <v>40.315844328332908</v>
      </c>
      <c r="H8" s="132">
        <f>IF(SER_hh_tesh!H8=0,0,SER_hh_tesh!H8/SER_summary!H$26)</f>
        <v>47.77084027531712</v>
      </c>
      <c r="I8" s="132">
        <f>IF(SER_hh_tesh!I8=0,0,SER_hh_tesh!I8/SER_summary!I$26)</f>
        <v>54.498700844922269</v>
      </c>
      <c r="J8" s="132">
        <f>IF(SER_hh_tesh!J8=0,0,SER_hh_tesh!J8/SER_summary!J$26)</f>
        <v>62.071252922947551</v>
      </c>
      <c r="K8" s="132">
        <f>IF(SER_hh_tesh!K8=0,0,SER_hh_tesh!K8/SER_summary!K$26)</f>
        <v>59.167951801576997</v>
      </c>
      <c r="L8" s="132">
        <f>IF(SER_hh_tesh!L8=0,0,SER_hh_tesh!L8/SER_summary!L$26)</f>
        <v>52.471713650018657</v>
      </c>
      <c r="M8" s="132">
        <f>IF(SER_hh_tesh!M8=0,0,SER_hh_tesh!M8/SER_summary!M$26)</f>
        <v>49.973697630532641</v>
      </c>
      <c r="N8" s="132">
        <f>IF(SER_hh_tesh!N8=0,0,SER_hh_tesh!N8/SER_summary!N$26)</f>
        <v>45.110168912335716</v>
      </c>
      <c r="O8" s="132">
        <f>IF(SER_hh_tesh!O8=0,0,SER_hh_tesh!O8/SER_summary!O$26)</f>
        <v>51.65704922526232</v>
      </c>
      <c r="P8" s="132">
        <f>IF(SER_hh_tesh!P8=0,0,SER_hh_tesh!P8/SER_summary!P$26)</f>
        <v>58.134050037493935</v>
      </c>
      <c r="Q8" s="132">
        <f>IF(SER_hh_tesh!Q8=0,0,SER_hh_tesh!Q8/SER_summary!Q$26)</f>
        <v>55.199460797669609</v>
      </c>
      <c r="R8" s="132">
        <f>IF(SER_hh_tesh!R8=0,0,SER_hh_tesh!R8/SER_summary!R$26)</f>
        <v>54.681428583334267</v>
      </c>
      <c r="S8" s="132">
        <f>IF(SER_hh_tesh!S8=0,0,SER_hh_tesh!S8/SER_summary!S$26)</f>
        <v>54.03416960646971</v>
      </c>
      <c r="T8" s="132">
        <f>IF(SER_hh_tesh!T8=0,0,SER_hh_tesh!T8/SER_summary!T$26)</f>
        <v>53.435104678682109</v>
      </c>
      <c r="U8" s="132">
        <f>IF(SER_hh_tesh!U8=0,0,SER_hh_tesh!U8/SER_summary!U$26)</f>
        <v>54.77480236403926</v>
      </c>
      <c r="V8" s="132">
        <f>IF(SER_hh_tesh!V8=0,0,SER_hh_tesh!V8/SER_summary!V$26)</f>
        <v>53.047465768683409</v>
      </c>
      <c r="W8" s="132">
        <f>IF(SER_hh_tesh!W8=0,0,SER_hh_tesh!W8/SER_summary!W$26)</f>
        <v>52.851925885113857</v>
      </c>
      <c r="X8" s="132">
        <f>IF(SER_hh_tesh!X8=0,0,SER_hh_tesh!X8/SER_summary!X$26)</f>
        <v>49.456780905040105</v>
      </c>
      <c r="Y8" s="132">
        <f>IF(SER_hh_tesh!Y8=0,0,SER_hh_tesh!Y8/SER_summary!Y$26)</f>
        <v>46.971917265553365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85.188124985682535</v>
      </c>
      <c r="C9" s="132">
        <f>IF(SER_hh_tesh!C9=0,0,SER_hh_tesh!C9/SER_summary!C$26)</f>
        <v>95.421637227017072</v>
      </c>
      <c r="D9" s="132">
        <f>IF(SER_hh_tesh!D9=0,0,SER_hh_tesh!D9/SER_summary!D$26)</f>
        <v>84.234937300043754</v>
      </c>
      <c r="E9" s="132">
        <f>IF(SER_hh_tesh!E9=0,0,SER_hh_tesh!E9/SER_summary!E$26)</f>
        <v>83.701900006357008</v>
      </c>
      <c r="F9" s="132">
        <f>IF(SER_hh_tesh!F9=0,0,SER_hh_tesh!F9/SER_summary!F$26)</f>
        <v>77.485701411407035</v>
      </c>
      <c r="G9" s="132">
        <f>IF(SER_hh_tesh!G9=0,0,SER_hh_tesh!G9/SER_summary!G$26)</f>
        <v>72.905659238819993</v>
      </c>
      <c r="H9" s="132">
        <f>IF(SER_hh_tesh!H9=0,0,SER_hh_tesh!H9/SER_summary!H$26)</f>
        <v>63.881453563285362</v>
      </c>
      <c r="I9" s="132">
        <f>IF(SER_hh_tesh!I9=0,0,SER_hh_tesh!I9/SER_summary!I$26)</f>
        <v>57.977300411173353</v>
      </c>
      <c r="J9" s="132">
        <f>IF(SER_hh_tesh!J9=0,0,SER_hh_tesh!J9/SER_summary!J$26)</f>
        <v>62.969489752301406</v>
      </c>
      <c r="K9" s="132">
        <f>IF(SER_hh_tesh!K9=0,0,SER_hh_tesh!K9/SER_summary!K$26)</f>
        <v>57.401106696258339</v>
      </c>
      <c r="L9" s="132">
        <f>IF(SER_hh_tesh!L9=0,0,SER_hh_tesh!L9/SER_summary!L$26)</f>
        <v>61.960020876456618</v>
      </c>
      <c r="M9" s="132">
        <f>IF(SER_hh_tesh!M9=0,0,SER_hh_tesh!M9/SER_summary!M$26)</f>
        <v>59.773835233764586</v>
      </c>
      <c r="N9" s="132">
        <f>IF(SER_hh_tesh!N9=0,0,SER_hh_tesh!N9/SER_summary!N$26)</f>
        <v>56.392345211759903</v>
      </c>
      <c r="O9" s="132">
        <f>IF(SER_hh_tesh!O9=0,0,SER_hh_tesh!O9/SER_summary!O$26)</f>
        <v>54.418155961621743</v>
      </c>
      <c r="P9" s="132">
        <f>IF(SER_hh_tesh!P9=0,0,SER_hh_tesh!P9/SER_summary!P$26)</f>
        <v>52.331883092680314</v>
      </c>
      <c r="Q9" s="132">
        <f>IF(SER_hh_tesh!Q9=0,0,SER_hh_tesh!Q9/SER_summary!Q$26)</f>
        <v>51.69637877944718</v>
      </c>
      <c r="R9" s="132">
        <f>IF(SER_hh_tesh!R9=0,0,SER_hh_tesh!R9/SER_summary!R$26)</f>
        <v>53.211345365114191</v>
      </c>
      <c r="S9" s="132">
        <f>IF(SER_hh_tesh!S9=0,0,SER_hh_tesh!S9/SER_summary!S$26)</f>
        <v>57.097378946492917</v>
      </c>
      <c r="T9" s="132">
        <f>IF(SER_hh_tesh!T9=0,0,SER_hh_tesh!T9/SER_summary!T$26)</f>
        <v>52.963700050240149</v>
      </c>
      <c r="U9" s="132">
        <f>IF(SER_hh_tesh!U9=0,0,SER_hh_tesh!U9/SER_summary!U$26)</f>
        <v>56.615152121063815</v>
      </c>
      <c r="V9" s="132">
        <f>IF(SER_hh_tesh!V9=0,0,SER_hh_tesh!V9/SER_summary!V$26)</f>
        <v>53.381049457640152</v>
      </c>
      <c r="W9" s="132">
        <f>IF(SER_hh_tesh!W9=0,0,SER_hh_tesh!W9/SER_summary!W$26)</f>
        <v>51.981253234603628</v>
      </c>
      <c r="X9" s="132">
        <f>IF(SER_hh_tesh!X9=0,0,SER_hh_tesh!X9/SER_summary!X$26)</f>
        <v>48.483596422209189</v>
      </c>
      <c r="Y9" s="132">
        <f>IF(SER_hh_tesh!Y9=0,0,SER_hh_tesh!Y9/SER_summary!Y$26)</f>
        <v>44.07307367697959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68.521859879436903</v>
      </c>
      <c r="C10" s="132">
        <f>IF(SER_hh_tesh!C10=0,0,SER_hh_tesh!C10/SER_summary!C$26)</f>
        <v>98.417930065296872</v>
      </c>
      <c r="D10" s="132">
        <f>IF(SER_hh_tesh!D10=0,0,SER_hh_tesh!D10/SER_summary!D$26)</f>
        <v>78.424609685734453</v>
      </c>
      <c r="E10" s="132">
        <f>IF(SER_hh_tesh!E10=0,0,SER_hh_tesh!E10/SER_summary!E$26)</f>
        <v>87.884927340070007</v>
      </c>
      <c r="F10" s="132">
        <f>IF(SER_hh_tesh!F10=0,0,SER_hh_tesh!F10/SER_summary!F$26)</f>
        <v>81.255176368281639</v>
      </c>
      <c r="G10" s="132">
        <f>IF(SER_hh_tesh!G10=0,0,SER_hh_tesh!G10/SER_summary!G$26)</f>
        <v>73.613245423820203</v>
      </c>
      <c r="H10" s="132">
        <f>IF(SER_hh_tesh!H10=0,0,SER_hh_tesh!H10/SER_summary!H$26)</f>
        <v>57.891287890483845</v>
      </c>
      <c r="I10" s="132">
        <f>IF(SER_hh_tesh!I10=0,0,SER_hh_tesh!I10/SER_summary!I$26)</f>
        <v>74.77100720364912</v>
      </c>
      <c r="J10" s="132">
        <f>IF(SER_hh_tesh!J10=0,0,SER_hh_tesh!J10/SER_summary!J$26)</f>
        <v>58.204501383691131</v>
      </c>
      <c r="K10" s="132">
        <f>IF(SER_hh_tesh!K10=0,0,SER_hh_tesh!K10/SER_summary!K$26)</f>
        <v>50.196366581528977</v>
      </c>
      <c r="L10" s="132">
        <f>IF(SER_hh_tesh!L10=0,0,SER_hh_tesh!L10/SER_summary!L$26)</f>
        <v>64.804960687479891</v>
      </c>
      <c r="M10" s="132">
        <f>IF(SER_hh_tesh!M10=0,0,SER_hh_tesh!M10/SER_summary!M$26)</f>
        <v>60.093092928325376</v>
      </c>
      <c r="N10" s="132">
        <f>IF(SER_hh_tesh!N10=0,0,SER_hh_tesh!N10/SER_summary!N$26)</f>
        <v>56.151161655439232</v>
      </c>
      <c r="O10" s="132">
        <f>IF(SER_hh_tesh!O10=0,0,SER_hh_tesh!O10/SER_summary!O$26)</f>
        <v>56.613307657309278</v>
      </c>
      <c r="P10" s="132">
        <f>IF(SER_hh_tesh!P10=0,0,SER_hh_tesh!P10/SER_summary!P$26)</f>
        <v>52.127566196065182</v>
      </c>
      <c r="Q10" s="132">
        <f>IF(SER_hh_tesh!Q10=0,0,SER_hh_tesh!Q10/SER_summary!Q$26)</f>
        <v>56.254824131164632</v>
      </c>
      <c r="R10" s="132">
        <f>IF(SER_hh_tesh!R10=0,0,SER_hh_tesh!R10/SER_summary!R$26)</f>
        <v>54.245846934172683</v>
      </c>
      <c r="S10" s="132">
        <f>IF(SER_hh_tesh!S10=0,0,SER_hh_tesh!S10/SER_summary!S$26)</f>
        <v>53.095254118429743</v>
      </c>
      <c r="T10" s="132">
        <f>IF(SER_hh_tesh!T10=0,0,SER_hh_tesh!T10/SER_summary!T$26)</f>
        <v>54.971786083574628</v>
      </c>
      <c r="U10" s="132">
        <f>IF(SER_hh_tesh!U10=0,0,SER_hh_tesh!U10/SER_summary!U$26)</f>
        <v>56.319711385572347</v>
      </c>
      <c r="V10" s="132">
        <f>IF(SER_hh_tesh!V10=0,0,SER_hh_tesh!V10/SER_summary!V$26)</f>
        <v>52.197280502360464</v>
      </c>
      <c r="W10" s="132">
        <f>IF(SER_hh_tesh!W10=0,0,SER_hh_tesh!W10/SER_summary!W$26)</f>
        <v>53.564754762755925</v>
      </c>
      <c r="X10" s="132">
        <f>IF(SER_hh_tesh!X10=0,0,SER_hh_tesh!X10/SER_summary!X$26)</f>
        <v>51.465937745779854</v>
      </c>
      <c r="Y10" s="132">
        <f>IF(SER_hh_tesh!Y10=0,0,SER_hh_tesh!Y10/SER_summary!Y$26)</f>
        <v>43.678961472703982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0</v>
      </c>
      <c r="C11" s="132">
        <f>IF(SER_hh_tesh!C11=0,0,SER_hh_tesh!C11/SER_summary!C$26)</f>
        <v>0</v>
      </c>
      <c r="D11" s="132">
        <f>IF(SER_hh_tesh!D11=0,0,SER_hh_tesh!D11/SER_summary!D$26)</f>
        <v>0</v>
      </c>
      <c r="E11" s="132">
        <f>IF(SER_hh_tesh!E11=0,0,SER_hh_tesh!E11/SER_summary!E$26)</f>
        <v>0</v>
      </c>
      <c r="F11" s="132">
        <f>IF(SER_hh_tesh!F11=0,0,SER_hh_tesh!F11/SER_summary!F$26)</f>
        <v>0</v>
      </c>
      <c r="G11" s="132">
        <f>IF(SER_hh_tesh!G11=0,0,SER_hh_tesh!G11/SER_summary!G$26)</f>
        <v>0</v>
      </c>
      <c r="H11" s="132">
        <f>IF(SER_hh_tesh!H11=0,0,SER_hh_tesh!H11/SER_summary!H$26)</f>
        <v>0</v>
      </c>
      <c r="I11" s="132">
        <f>IF(SER_hh_tesh!I11=0,0,SER_hh_tesh!I11/SER_summary!I$26)</f>
        <v>0</v>
      </c>
      <c r="J11" s="132">
        <f>IF(SER_hh_tesh!J11=0,0,SER_hh_tesh!J11/SER_summary!J$26)</f>
        <v>0</v>
      </c>
      <c r="K11" s="132">
        <f>IF(SER_hh_tesh!K11=0,0,SER_hh_tesh!K11/SER_summary!K$26)</f>
        <v>0</v>
      </c>
      <c r="L11" s="132">
        <f>IF(SER_hh_tesh!L11=0,0,SER_hh_tesh!L11/SER_summary!L$26)</f>
        <v>0</v>
      </c>
      <c r="M11" s="132">
        <f>IF(SER_hh_tesh!M11=0,0,SER_hh_tesh!M11/SER_summary!M$26)</f>
        <v>0</v>
      </c>
      <c r="N11" s="132">
        <f>IF(SER_hh_tesh!N11=0,0,SER_hh_tesh!N11/SER_summary!N$26)</f>
        <v>0</v>
      </c>
      <c r="O11" s="132">
        <f>IF(SER_hh_tesh!O11=0,0,SER_hh_tesh!O11/SER_summary!O$26)</f>
        <v>0</v>
      </c>
      <c r="P11" s="132">
        <f>IF(SER_hh_tesh!P11=0,0,SER_hh_tesh!P11/SER_summary!P$26)</f>
        <v>0</v>
      </c>
      <c r="Q11" s="132">
        <f>IF(SER_hh_tesh!Q11=0,0,SER_hh_tesh!Q11/SER_summary!Q$26)</f>
        <v>0</v>
      </c>
      <c r="R11" s="132">
        <f>IF(SER_hh_tesh!R11=0,0,SER_hh_tesh!R11/SER_summary!R$26)</f>
        <v>0</v>
      </c>
      <c r="S11" s="132">
        <f>IF(SER_hh_tesh!S11=0,0,SER_hh_tesh!S11/SER_summary!S$26)</f>
        <v>0</v>
      </c>
      <c r="T11" s="132">
        <f>IF(SER_hh_tesh!T11=0,0,SER_hh_tesh!T11/SER_summary!T$26)</f>
        <v>0</v>
      </c>
      <c r="U11" s="132">
        <f>IF(SER_hh_tesh!U11=0,0,SER_hh_tesh!U11/SER_summary!U$26)</f>
        <v>0</v>
      </c>
      <c r="V11" s="132">
        <f>IF(SER_hh_tesh!V11=0,0,SER_hh_tesh!V11/SER_summary!V$26)</f>
        <v>0</v>
      </c>
      <c r="W11" s="132">
        <f>IF(SER_hh_tesh!W11=0,0,SER_hh_tesh!W11/SER_summary!W$26)</f>
        <v>0</v>
      </c>
      <c r="X11" s="132">
        <f>IF(SER_hh_tesh!X11=0,0,SER_hh_tesh!X11/SER_summary!X$26)</f>
        <v>0</v>
      </c>
      <c r="Y11" s="132">
        <f>IF(SER_hh_tesh!Y11=0,0,SER_hh_tesh!Y11/SER_summary!Y$26)</f>
        <v>0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88.805624530990258</v>
      </c>
      <c r="C12" s="132">
        <f>IF(SER_hh_tesh!C12=0,0,SER_hh_tesh!C12/SER_summary!C$26)</f>
        <v>91.40457932576129</v>
      </c>
      <c r="D12" s="132">
        <f>IF(SER_hh_tesh!D12=0,0,SER_hh_tesh!D12/SER_summary!D$26)</f>
        <v>84.100603769082795</v>
      </c>
      <c r="E12" s="132">
        <f>IF(SER_hh_tesh!E12=0,0,SER_hh_tesh!E12/SER_summary!E$26)</f>
        <v>83.03478904456945</v>
      </c>
      <c r="F12" s="132">
        <f>IF(SER_hh_tesh!F12=0,0,SER_hh_tesh!F12/SER_summary!F$26)</f>
        <v>83.037137457161933</v>
      </c>
      <c r="G12" s="132">
        <f>IF(SER_hh_tesh!G12=0,0,SER_hh_tesh!G12/SER_summary!G$26)</f>
        <v>79.932048557996865</v>
      </c>
      <c r="H12" s="132">
        <f>IF(SER_hh_tesh!H12=0,0,SER_hh_tesh!H12/SER_summary!H$26)</f>
        <v>63.743428121900223</v>
      </c>
      <c r="I12" s="132">
        <f>IF(SER_hh_tesh!I12=0,0,SER_hh_tesh!I12/SER_summary!I$26)</f>
        <v>58.137582848080342</v>
      </c>
      <c r="J12" s="132">
        <f>IF(SER_hh_tesh!J12=0,0,SER_hh_tesh!J12/SER_summary!J$26)</f>
        <v>59.192493561686568</v>
      </c>
      <c r="K12" s="132">
        <f>IF(SER_hh_tesh!K12=0,0,SER_hh_tesh!K12/SER_summary!K$26)</f>
        <v>54.615206345446921</v>
      </c>
      <c r="L12" s="132">
        <f>IF(SER_hh_tesh!L12=0,0,SER_hh_tesh!L12/SER_summary!L$26)</f>
        <v>67.517200664833382</v>
      </c>
      <c r="M12" s="132">
        <f>IF(SER_hh_tesh!M12=0,0,SER_hh_tesh!M12/SER_summary!M$26)</f>
        <v>60.712267445707802</v>
      </c>
      <c r="N12" s="132">
        <f>IF(SER_hh_tesh!N12=0,0,SER_hh_tesh!N12/SER_summary!N$26)</f>
        <v>57.858043682226729</v>
      </c>
      <c r="O12" s="132">
        <f>IF(SER_hh_tesh!O12=0,0,SER_hh_tesh!O12/SER_summary!O$26)</f>
        <v>55.456786863246421</v>
      </c>
      <c r="P12" s="132">
        <f>IF(SER_hh_tesh!P12=0,0,SER_hh_tesh!P12/SER_summary!P$26)</f>
        <v>51.925914288194875</v>
      </c>
      <c r="Q12" s="132">
        <f>IF(SER_hh_tesh!Q12=0,0,SER_hh_tesh!Q12/SER_summary!Q$26)</f>
        <v>52.580097590756402</v>
      </c>
      <c r="R12" s="132">
        <f>IF(SER_hh_tesh!R12=0,0,SER_hh_tesh!R12/SER_summary!R$26)</f>
        <v>54.691722473165456</v>
      </c>
      <c r="S12" s="132">
        <f>IF(SER_hh_tesh!S12=0,0,SER_hh_tesh!S12/SER_summary!S$26)</f>
        <v>55.817500287811093</v>
      </c>
      <c r="T12" s="132">
        <f>IF(SER_hh_tesh!T12=0,0,SER_hh_tesh!T12/SER_summary!T$26)</f>
        <v>56.379729519285945</v>
      </c>
      <c r="U12" s="132">
        <f>IF(SER_hh_tesh!U12=0,0,SER_hh_tesh!U12/SER_summary!U$26)</f>
        <v>54.735674914378862</v>
      </c>
      <c r="V12" s="132">
        <f>IF(SER_hh_tesh!V12=0,0,SER_hh_tesh!V12/SER_summary!V$26)</f>
        <v>51.609194716138362</v>
      </c>
      <c r="W12" s="132">
        <f>IF(SER_hh_tesh!W12=0,0,SER_hh_tesh!W12/SER_summary!W$26)</f>
        <v>53.402199771990226</v>
      </c>
      <c r="X12" s="132">
        <f>IF(SER_hh_tesh!X12=0,0,SER_hh_tesh!X12/SER_summary!X$26)</f>
        <v>49.751990889691967</v>
      </c>
      <c r="Y12" s="132">
        <f>IF(SER_hh_tesh!Y12=0,0,SER_hh_tesh!Y12/SER_summary!Y$26)</f>
        <v>45.661996810631109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73.195790707714352</v>
      </c>
      <c r="C13" s="132">
        <f>IF(SER_hh_tesh!C13=0,0,SER_hh_tesh!C13/SER_summary!C$26)</f>
        <v>77.110397835385299</v>
      </c>
      <c r="D13" s="132">
        <f>IF(SER_hh_tesh!D13=0,0,SER_hh_tesh!D13/SER_summary!D$26)</f>
        <v>86.163488050123149</v>
      </c>
      <c r="E13" s="132">
        <f>IF(SER_hh_tesh!E13=0,0,SER_hh_tesh!E13/SER_summary!E$26)</f>
        <v>85.190880423284483</v>
      </c>
      <c r="F13" s="132">
        <f>IF(SER_hh_tesh!F13=0,0,SER_hh_tesh!F13/SER_summary!F$26)</f>
        <v>78.497834570870637</v>
      </c>
      <c r="G13" s="132">
        <f>IF(SER_hh_tesh!G13=0,0,SER_hh_tesh!G13/SER_summary!G$26)</f>
        <v>66.397955575354217</v>
      </c>
      <c r="H13" s="132">
        <f>IF(SER_hh_tesh!H13=0,0,SER_hh_tesh!H13/SER_summary!H$26)</f>
        <v>63.5426396850172</v>
      </c>
      <c r="I13" s="132">
        <f>IF(SER_hh_tesh!I13=0,0,SER_hh_tesh!I13/SER_summary!I$26)</f>
        <v>60.953772055733054</v>
      </c>
      <c r="J13" s="132">
        <f>IF(SER_hh_tesh!J13=0,0,SER_hh_tesh!J13/SER_summary!J$26)</f>
        <v>59.802392203097696</v>
      </c>
      <c r="K13" s="132">
        <f>IF(SER_hh_tesh!K13=0,0,SER_hh_tesh!K13/SER_summary!K$26)</f>
        <v>59.356799033992694</v>
      </c>
      <c r="L13" s="132">
        <f>IF(SER_hh_tesh!L13=0,0,SER_hh_tesh!L13/SER_summary!L$26)</f>
        <v>60.905586105619676</v>
      </c>
      <c r="M13" s="132">
        <f>IF(SER_hh_tesh!M13=0,0,SER_hh_tesh!M13/SER_summary!M$26)</f>
        <v>59.476952529627745</v>
      </c>
      <c r="N13" s="132">
        <f>IF(SER_hh_tesh!N13=0,0,SER_hh_tesh!N13/SER_summary!N$26)</f>
        <v>58.06049449539185</v>
      </c>
      <c r="O13" s="132">
        <f>IF(SER_hh_tesh!O13=0,0,SER_hh_tesh!O13/SER_summary!O$26)</f>
        <v>55.611868213919323</v>
      </c>
      <c r="P13" s="132">
        <f>IF(SER_hh_tesh!P13=0,0,SER_hh_tesh!P13/SER_summary!P$26)</f>
        <v>52.812596912751459</v>
      </c>
      <c r="Q13" s="132">
        <f>IF(SER_hh_tesh!Q13=0,0,SER_hh_tesh!Q13/SER_summary!Q$26)</f>
        <v>52.593769431623279</v>
      </c>
      <c r="R13" s="132">
        <f>IF(SER_hh_tesh!R13=0,0,SER_hh_tesh!R13/SER_summary!R$26)</f>
        <v>53.659365040106415</v>
      </c>
      <c r="S13" s="132">
        <f>IF(SER_hh_tesh!S13=0,0,SER_hh_tesh!S13/SER_summary!S$26)</f>
        <v>55.007383621930543</v>
      </c>
      <c r="T13" s="132">
        <f>IF(SER_hh_tesh!T13=0,0,SER_hh_tesh!T13/SER_summary!T$26)</f>
        <v>54.998885159159194</v>
      </c>
      <c r="U13" s="132">
        <f>IF(SER_hh_tesh!U13=0,0,SER_hh_tesh!U13/SER_summary!U$26)</f>
        <v>54.959640423445023</v>
      </c>
      <c r="V13" s="132">
        <f>IF(SER_hh_tesh!V13=0,0,SER_hh_tesh!V13/SER_summary!V$26)</f>
        <v>51.234805424859978</v>
      </c>
      <c r="W13" s="132">
        <f>IF(SER_hh_tesh!W13=0,0,SER_hh_tesh!W13/SER_summary!W$26)</f>
        <v>45.930921338009433</v>
      </c>
      <c r="X13" s="132">
        <f>IF(SER_hh_tesh!X13=0,0,SER_hh_tesh!X13/SER_summary!X$26)</f>
        <v>50.448933438512121</v>
      </c>
      <c r="Y13" s="132">
        <f>IF(SER_hh_tesh!Y13=0,0,SER_hh_tesh!Y13/SER_summary!Y$26)</f>
        <v>48.936970522203801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90.977368272604124</v>
      </c>
      <c r="C14" s="65">
        <f>IF(SER_hh_tesh!C14=0,0,SER_hh_tesh!C14/SER_summary!C$26)</f>
        <v>90.836137442705038</v>
      </c>
      <c r="D14" s="65">
        <f>IF(SER_hh_tesh!D14=0,0,SER_hh_tesh!D14/SER_summary!D$26)</f>
        <v>84.049872865617189</v>
      </c>
      <c r="E14" s="65">
        <f>IF(SER_hh_tesh!E14=0,0,SER_hh_tesh!E14/SER_summary!E$26)</f>
        <v>101.43288077241701</v>
      </c>
      <c r="F14" s="65">
        <f>IF(SER_hh_tesh!F14=0,0,SER_hh_tesh!F14/SER_summary!F$26)</f>
        <v>70.144781372446616</v>
      </c>
      <c r="G14" s="65">
        <f>IF(SER_hh_tesh!G14=0,0,SER_hh_tesh!G14/SER_summary!G$26)</f>
        <v>68.3408630523558</v>
      </c>
      <c r="H14" s="65">
        <f>IF(SER_hh_tesh!H14=0,0,SER_hh_tesh!H14/SER_summary!H$26)</f>
        <v>65.571887849296118</v>
      </c>
      <c r="I14" s="65">
        <f>IF(SER_hh_tesh!I14=0,0,SER_hh_tesh!I14/SER_summary!I$26)</f>
        <v>61.057564351719172</v>
      </c>
      <c r="J14" s="65">
        <f>IF(SER_hh_tesh!J14=0,0,SER_hh_tesh!J14/SER_summary!J$26)</f>
        <v>62.974413722976159</v>
      </c>
      <c r="K14" s="65">
        <f>IF(SER_hh_tesh!K14=0,0,SER_hh_tesh!K14/SER_summary!K$26)</f>
        <v>59.174629099259604</v>
      </c>
      <c r="L14" s="65">
        <f>IF(SER_hh_tesh!L14=0,0,SER_hh_tesh!L14/SER_summary!L$26)</f>
        <v>64.747281093493029</v>
      </c>
      <c r="M14" s="65">
        <f>IF(SER_hh_tesh!M14=0,0,SER_hh_tesh!M14/SER_summary!M$26)</f>
        <v>58.029299346007136</v>
      </c>
      <c r="N14" s="65">
        <f>IF(SER_hh_tesh!N14=0,0,SER_hh_tesh!N14/SER_summary!N$26)</f>
        <v>56.272257870413945</v>
      </c>
      <c r="O14" s="65">
        <f>IF(SER_hh_tesh!O14=0,0,SER_hh_tesh!O14/SER_summary!O$26)</f>
        <v>58.811957221567525</v>
      </c>
      <c r="P14" s="65">
        <f>IF(SER_hh_tesh!P14=0,0,SER_hh_tesh!P14/SER_summary!P$26)</f>
        <v>51.687548998062113</v>
      </c>
      <c r="Q14" s="65">
        <f>IF(SER_hh_tesh!Q14=0,0,SER_hh_tesh!Q14/SER_summary!Q$26)</f>
        <v>50.339089517592512</v>
      </c>
      <c r="R14" s="65">
        <f>IF(SER_hh_tesh!R14=0,0,SER_hh_tesh!R14/SER_summary!R$26)</f>
        <v>54.551209326300473</v>
      </c>
      <c r="S14" s="65">
        <f>IF(SER_hh_tesh!S14=0,0,SER_hh_tesh!S14/SER_summary!S$26)</f>
        <v>56.330361943802181</v>
      </c>
      <c r="T14" s="65">
        <f>IF(SER_hh_tesh!T14=0,0,SER_hh_tesh!T14/SER_summary!T$26)</f>
        <v>55.799695366379702</v>
      </c>
      <c r="U14" s="65">
        <f>IF(SER_hh_tesh!U14=0,0,SER_hh_tesh!U14/SER_summary!U$26)</f>
        <v>57.799182993219226</v>
      </c>
      <c r="V14" s="65">
        <f>IF(SER_hh_tesh!V14=0,0,SER_hh_tesh!V14/SER_summary!V$26)</f>
        <v>53.665754667801785</v>
      </c>
      <c r="W14" s="65">
        <f>IF(SER_hh_tesh!W14=0,0,SER_hh_tesh!W14/SER_summary!W$26)</f>
        <v>53.300085364652666</v>
      </c>
      <c r="X14" s="65">
        <f>IF(SER_hh_tesh!X14=0,0,SER_hh_tesh!X14/SER_summary!X$26)</f>
        <v>53.978433648291784</v>
      </c>
      <c r="Y14" s="65">
        <f>IF(SER_hh_tesh!Y14=0,0,SER_hh_tesh!Y14/SER_summary!Y$26)</f>
        <v>42.073718571465243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1.1096818518259226</v>
      </c>
      <c r="C15" s="134">
        <f>IF(SER_hh_tesh!C15=0,0,SER_hh_tesh!C15/SER_summary!C$26)</f>
        <v>1.1104892662744537</v>
      </c>
      <c r="D15" s="134">
        <f>IF(SER_hh_tesh!D15=0,0,SER_hh_tesh!D15/SER_summary!D$26)</f>
        <v>1.0017617704836368</v>
      </c>
      <c r="E15" s="134">
        <f>IF(SER_hh_tesh!E15=0,0,SER_hh_tesh!E15/SER_summary!E$26)</f>
        <v>1.0594290603665888</v>
      </c>
      <c r="F15" s="134">
        <f>IF(SER_hh_tesh!F15=0,0,SER_hh_tesh!F15/SER_summary!F$26)</f>
        <v>1.0049149313763832</v>
      </c>
      <c r="G15" s="134">
        <f>IF(SER_hh_tesh!G15=0,0,SER_hh_tesh!G15/SER_summary!G$26)</f>
        <v>0.86886541423806063</v>
      </c>
      <c r="H15" s="134">
        <f>IF(SER_hh_tesh!H15=0,0,SER_hh_tesh!H15/SER_summary!H$26)</f>
        <v>0.80620380865418906</v>
      </c>
      <c r="I15" s="134">
        <f>IF(SER_hh_tesh!I15=0,0,SER_hh_tesh!I15/SER_summary!I$26)</f>
        <v>0.73746732469946441</v>
      </c>
      <c r="J15" s="134">
        <f>IF(SER_hh_tesh!J15=0,0,SER_hh_tesh!J15/SER_summary!J$26)</f>
        <v>0.80031222755300779</v>
      </c>
      <c r="K15" s="134">
        <f>IF(SER_hh_tesh!K15=0,0,SER_hh_tesh!K15/SER_summary!K$26)</f>
        <v>0.69817880985483516</v>
      </c>
      <c r="L15" s="134">
        <f>IF(SER_hh_tesh!L15=0,0,SER_hh_tesh!L15/SER_summary!L$26)</f>
        <v>0.75131772440518718</v>
      </c>
      <c r="M15" s="134">
        <f>IF(SER_hh_tesh!M15=0,0,SER_hh_tesh!M15/SER_summary!M$26)</f>
        <v>0.7017842288388495</v>
      </c>
      <c r="N15" s="134">
        <f>IF(SER_hh_tesh!N15=0,0,SER_hh_tesh!N15/SER_summary!N$26)</f>
        <v>0.65372186900306684</v>
      </c>
      <c r="O15" s="134">
        <f>IF(SER_hh_tesh!O15=0,0,SER_hh_tesh!O15/SER_summary!O$26)</f>
        <v>0.62173668478014454</v>
      </c>
      <c r="P15" s="134">
        <f>IF(SER_hh_tesh!P15=0,0,SER_hh_tesh!P15/SER_summary!P$26)</f>
        <v>0.58755696184314998</v>
      </c>
      <c r="Q15" s="134">
        <f>IF(SER_hh_tesh!Q15=0,0,SER_hh_tesh!Q15/SER_summary!Q$26)</f>
        <v>0.58701343310603393</v>
      </c>
      <c r="R15" s="134">
        <f>IF(SER_hh_tesh!R15=0,0,SER_hh_tesh!R15/SER_summary!R$26)</f>
        <v>0.60083505208633581</v>
      </c>
      <c r="S15" s="134">
        <f>IF(SER_hh_tesh!S15=0,0,SER_hh_tesh!S15/SER_summary!S$26)</f>
        <v>0.63879024634928894</v>
      </c>
      <c r="T15" s="134">
        <f>IF(SER_hh_tesh!T15=0,0,SER_hh_tesh!T15/SER_summary!T$26)</f>
        <v>0.59512260299487396</v>
      </c>
      <c r="U15" s="134">
        <f>IF(SER_hh_tesh!U15=0,0,SER_hh_tesh!U15/SER_summary!U$26)</f>
        <v>0.62888086874908999</v>
      </c>
      <c r="V15" s="134">
        <f>IF(SER_hh_tesh!V15=0,0,SER_hh_tesh!V15/SER_summary!V$26)</f>
        <v>0.58780993261199932</v>
      </c>
      <c r="W15" s="134">
        <f>IF(SER_hh_tesh!W15=0,0,SER_hh_tesh!W15/SER_summary!W$26)</f>
        <v>0.57168065243468558</v>
      </c>
      <c r="X15" s="134">
        <f>IF(SER_hh_tesh!X15=0,0,SER_hh_tesh!X15/SER_summary!X$26)</f>
        <v>0.5238103534244879</v>
      </c>
      <c r="Y15" s="134">
        <f>IF(SER_hh_tesh!Y15=0,0,SER_hh_tesh!Y15/SER_summary!Y$26)</f>
        <v>0.47277427917633091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27.266944520378452</v>
      </c>
      <c r="C16" s="130">
        <f>IF(SER_hh_tesh!C16=0,0,SER_hh_tesh!C16/SER_summary!C$26)</f>
        <v>27.122751332582634</v>
      </c>
      <c r="D16" s="130">
        <f>IF(SER_hh_tesh!D16=0,0,SER_hh_tesh!D16/SER_summary!D$26)</f>
        <v>27.204452542313692</v>
      </c>
      <c r="E16" s="130">
        <f>IF(SER_hh_tesh!E16=0,0,SER_hh_tesh!E16/SER_summary!E$26)</f>
        <v>28.618316157340871</v>
      </c>
      <c r="F16" s="130">
        <f>IF(SER_hh_tesh!F16=0,0,SER_hh_tesh!F16/SER_summary!F$26)</f>
        <v>27.291245527110554</v>
      </c>
      <c r="G16" s="130">
        <f>IF(SER_hh_tesh!G16=0,0,SER_hh_tesh!G16/SER_summary!G$26)</f>
        <v>27.478004020551445</v>
      </c>
      <c r="H16" s="130">
        <f>IF(SER_hh_tesh!H16=0,0,SER_hh_tesh!H16/SER_summary!H$26)</f>
        <v>28.335343683058465</v>
      </c>
      <c r="I16" s="130">
        <f>IF(SER_hh_tesh!I16=0,0,SER_hh_tesh!I16/SER_summary!I$26)</f>
        <v>27.943778386872609</v>
      </c>
      <c r="J16" s="130">
        <f>IF(SER_hh_tesh!J16=0,0,SER_hh_tesh!J16/SER_summary!J$26)</f>
        <v>27.544389804079444</v>
      </c>
      <c r="K16" s="130">
        <f>IF(SER_hh_tesh!K16=0,0,SER_hh_tesh!K16/SER_summary!K$26)</f>
        <v>27.606877219457488</v>
      </c>
      <c r="L16" s="130">
        <f>IF(SER_hh_tesh!L16=0,0,SER_hh_tesh!L16/SER_summary!L$26)</f>
        <v>28.379646065553132</v>
      </c>
      <c r="M16" s="130">
        <f>IF(SER_hh_tesh!M16=0,0,SER_hh_tesh!M16/SER_summary!M$26)</f>
        <v>28.083306330875011</v>
      </c>
      <c r="N16" s="130">
        <f>IF(SER_hh_tesh!N16=0,0,SER_hh_tesh!N16/SER_summary!N$26)</f>
        <v>28.517398934575215</v>
      </c>
      <c r="O16" s="130">
        <f>IF(SER_hh_tesh!O16=0,0,SER_hh_tesh!O16/SER_summary!O$26)</f>
        <v>29.927220426175744</v>
      </c>
      <c r="P16" s="130">
        <f>IF(SER_hh_tesh!P16=0,0,SER_hh_tesh!P16/SER_summary!P$26)</f>
        <v>28.484842957628729</v>
      </c>
      <c r="Q16" s="130">
        <f>IF(SER_hh_tesh!Q16=0,0,SER_hh_tesh!Q16/SER_summary!Q$26)</f>
        <v>33.457281469233635</v>
      </c>
      <c r="R16" s="130">
        <f>IF(SER_hh_tesh!R16=0,0,SER_hh_tesh!R16/SER_summary!R$26)</f>
        <v>28.651990867700807</v>
      </c>
      <c r="S16" s="130">
        <f>IF(SER_hh_tesh!S16=0,0,SER_hh_tesh!S16/SER_summary!S$26)</f>
        <v>29.135959701412038</v>
      </c>
      <c r="T16" s="130">
        <f>IF(SER_hh_tesh!T16=0,0,SER_hh_tesh!T16/SER_summary!T$26)</f>
        <v>30.775933583140841</v>
      </c>
      <c r="U16" s="130">
        <f>IF(SER_hh_tesh!U16=0,0,SER_hh_tesh!U16/SER_summary!U$26)</f>
        <v>30.404199538729788</v>
      </c>
      <c r="V16" s="130">
        <f>IF(SER_hh_tesh!V16=0,0,SER_hh_tesh!V16/SER_summary!V$26)</f>
        <v>27.732183172179955</v>
      </c>
      <c r="W16" s="130">
        <f>IF(SER_hh_tesh!W16=0,0,SER_hh_tesh!W16/SER_summary!W$26)</f>
        <v>29.153814656042375</v>
      </c>
      <c r="X16" s="130">
        <f>IF(SER_hh_tesh!X16=0,0,SER_hh_tesh!X16/SER_summary!X$26)</f>
        <v>30.331695855884007</v>
      </c>
      <c r="Y16" s="130">
        <f>IF(SER_hh_tesh!Y16=0,0,SER_hh_tesh!Y16/SER_summary!Y$26)</f>
        <v>30.542831615325074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0</v>
      </c>
      <c r="C17" s="132">
        <f>IF(SER_hh_tesh!C17=0,0,SER_hh_tesh!C17/SER_summary!C$26)</f>
        <v>0</v>
      </c>
      <c r="D17" s="132">
        <f>IF(SER_hh_tesh!D17=0,0,SER_hh_tesh!D17/SER_summary!D$26)</f>
        <v>0</v>
      </c>
      <c r="E17" s="132">
        <f>IF(SER_hh_tesh!E17=0,0,SER_hh_tesh!E17/SER_summary!E$26)</f>
        <v>0</v>
      </c>
      <c r="F17" s="132">
        <f>IF(SER_hh_tesh!F17=0,0,SER_hh_tesh!F17/SER_summary!F$26)</f>
        <v>0</v>
      </c>
      <c r="G17" s="132">
        <f>IF(SER_hh_tesh!G17=0,0,SER_hh_tesh!G17/SER_summary!G$26)</f>
        <v>27.478004020551534</v>
      </c>
      <c r="H17" s="132">
        <f>IF(SER_hh_tesh!H17=0,0,SER_hh_tesh!H17/SER_summary!H$26)</f>
        <v>28.33534368305844</v>
      </c>
      <c r="I17" s="132">
        <f>IF(SER_hh_tesh!I17=0,0,SER_hh_tesh!I17/SER_summary!I$26)</f>
        <v>27.943778386872573</v>
      </c>
      <c r="J17" s="132">
        <f>IF(SER_hh_tesh!J17=0,0,SER_hh_tesh!J17/SER_summary!J$26)</f>
        <v>27.544389804079398</v>
      </c>
      <c r="K17" s="132">
        <f>IF(SER_hh_tesh!K17=0,0,SER_hh_tesh!K17/SER_summary!K$26)</f>
        <v>27.606877219457544</v>
      </c>
      <c r="L17" s="132">
        <f>IF(SER_hh_tesh!L17=0,0,SER_hh_tesh!L17/SER_summary!L$26)</f>
        <v>28.379646065553096</v>
      </c>
      <c r="M17" s="132">
        <f>IF(SER_hh_tesh!M17=0,0,SER_hh_tesh!M17/SER_summary!M$26)</f>
        <v>28.083306330875065</v>
      </c>
      <c r="N17" s="132">
        <f>IF(SER_hh_tesh!N17=0,0,SER_hh_tesh!N17/SER_summary!N$26)</f>
        <v>28.51739893457523</v>
      </c>
      <c r="O17" s="132">
        <f>IF(SER_hh_tesh!O17=0,0,SER_hh_tesh!O17/SER_summary!O$26)</f>
        <v>29.927220426175616</v>
      </c>
      <c r="P17" s="132">
        <f>IF(SER_hh_tesh!P17=0,0,SER_hh_tesh!P17/SER_summary!P$26)</f>
        <v>28.484842957628665</v>
      </c>
      <c r="Q17" s="132">
        <f>IF(SER_hh_tesh!Q17=0,0,SER_hh_tesh!Q17/SER_summary!Q$26)</f>
        <v>33.457281469233578</v>
      </c>
      <c r="R17" s="132">
        <f>IF(SER_hh_tesh!R17=0,0,SER_hh_tesh!R17/SER_summary!R$26)</f>
        <v>28.651990867700839</v>
      </c>
      <c r="S17" s="132">
        <f>IF(SER_hh_tesh!S17=0,0,SER_hh_tesh!S17/SER_summary!S$26)</f>
        <v>29.135959701412002</v>
      </c>
      <c r="T17" s="132">
        <f>IF(SER_hh_tesh!T17=0,0,SER_hh_tesh!T17/SER_summary!T$26)</f>
        <v>32.570450046239507</v>
      </c>
      <c r="U17" s="132">
        <f>IF(SER_hh_tesh!U17=0,0,SER_hh_tesh!U17/SER_summary!U$26)</f>
        <v>30.404199538729724</v>
      </c>
      <c r="V17" s="132">
        <f>IF(SER_hh_tesh!V17=0,0,SER_hh_tesh!V17/SER_summary!V$26)</f>
        <v>28.993285353411245</v>
      </c>
      <c r="W17" s="132">
        <f>IF(SER_hh_tesh!W17=0,0,SER_hh_tesh!W17/SER_summary!W$26)</f>
        <v>29.153814575989006</v>
      </c>
      <c r="X17" s="132">
        <f>IF(SER_hh_tesh!X17=0,0,SER_hh_tesh!X17/SER_summary!X$26)</f>
        <v>30.33169563638538</v>
      </c>
      <c r="Y17" s="132">
        <f>IF(SER_hh_tesh!Y17=0,0,SER_hh_tesh!Y17/SER_summary!Y$26)</f>
        <v>30.54283137044462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27.266944520378452</v>
      </c>
      <c r="C18" s="132">
        <f>IF(SER_hh_tesh!C18=0,0,SER_hh_tesh!C18/SER_summary!C$26)</f>
        <v>27.122751332582634</v>
      </c>
      <c r="D18" s="132">
        <f>IF(SER_hh_tesh!D18=0,0,SER_hh_tesh!D18/SER_summary!D$26)</f>
        <v>27.204452542313692</v>
      </c>
      <c r="E18" s="132">
        <f>IF(SER_hh_tesh!E18=0,0,SER_hh_tesh!E18/SER_summary!E$26)</f>
        <v>28.618316157340871</v>
      </c>
      <c r="F18" s="132">
        <f>IF(SER_hh_tesh!F18=0,0,SER_hh_tesh!F18/SER_summary!F$26)</f>
        <v>27.291245527110554</v>
      </c>
      <c r="G18" s="132">
        <f>IF(SER_hh_tesh!G18=0,0,SER_hh_tesh!G18/SER_summary!G$26)</f>
        <v>27.478004020551442</v>
      </c>
      <c r="H18" s="132">
        <f>IF(SER_hh_tesh!H18=0,0,SER_hh_tesh!H18/SER_summary!H$26)</f>
        <v>28.335343683058465</v>
      </c>
      <c r="I18" s="132">
        <f>IF(SER_hh_tesh!I18=0,0,SER_hh_tesh!I18/SER_summary!I$26)</f>
        <v>27.943778386872609</v>
      </c>
      <c r="J18" s="132">
        <f>IF(SER_hh_tesh!J18=0,0,SER_hh_tesh!J18/SER_summary!J$26)</f>
        <v>27.544389804079444</v>
      </c>
      <c r="K18" s="132">
        <f>IF(SER_hh_tesh!K18=0,0,SER_hh_tesh!K18/SER_summary!K$26)</f>
        <v>27.606877219457491</v>
      </c>
      <c r="L18" s="132">
        <f>IF(SER_hh_tesh!L18=0,0,SER_hh_tesh!L18/SER_summary!L$26)</f>
        <v>28.379646065553128</v>
      </c>
      <c r="M18" s="132">
        <f>IF(SER_hh_tesh!M18=0,0,SER_hh_tesh!M18/SER_summary!M$26)</f>
        <v>28.083306330875011</v>
      </c>
      <c r="N18" s="132">
        <f>IF(SER_hh_tesh!N18=0,0,SER_hh_tesh!N18/SER_summary!N$26)</f>
        <v>28.517398934575215</v>
      </c>
      <c r="O18" s="132">
        <f>IF(SER_hh_tesh!O18=0,0,SER_hh_tesh!O18/SER_summary!O$26)</f>
        <v>29.927220426175744</v>
      </c>
      <c r="P18" s="132">
        <f>IF(SER_hh_tesh!P18=0,0,SER_hh_tesh!P18/SER_summary!P$26)</f>
        <v>28.484842957628732</v>
      </c>
      <c r="Q18" s="132">
        <f>IF(SER_hh_tesh!Q18=0,0,SER_hh_tesh!Q18/SER_summary!Q$26)</f>
        <v>33.457281469233635</v>
      </c>
      <c r="R18" s="132">
        <f>IF(SER_hh_tesh!R18=0,0,SER_hh_tesh!R18/SER_summary!R$26)</f>
        <v>28.651990867700803</v>
      </c>
      <c r="S18" s="132">
        <f>IF(SER_hh_tesh!S18=0,0,SER_hh_tesh!S18/SER_summary!S$26)</f>
        <v>29.135959701412041</v>
      </c>
      <c r="T18" s="132">
        <f>IF(SER_hh_tesh!T18=0,0,SER_hh_tesh!T18/SER_summary!T$26)</f>
        <v>30.766564396359115</v>
      </c>
      <c r="U18" s="132">
        <f>IF(SER_hh_tesh!U18=0,0,SER_hh_tesh!U18/SER_summary!U$26)</f>
        <v>30.404199538729788</v>
      </c>
      <c r="V18" s="132">
        <f>IF(SER_hh_tesh!V18=0,0,SER_hh_tesh!V18/SER_summary!V$26)</f>
        <v>27.724199209826484</v>
      </c>
      <c r="W18" s="132">
        <f>IF(SER_hh_tesh!W18=0,0,SER_hh_tesh!W18/SER_summary!W$26)</f>
        <v>29.15381465657854</v>
      </c>
      <c r="X18" s="132">
        <f>IF(SER_hh_tesh!X18=0,0,SER_hh_tesh!X18/SER_summary!X$26)</f>
        <v>30.331695857363776</v>
      </c>
      <c r="Y18" s="132">
        <f>IF(SER_hh_tesh!Y18=0,0,SER_hh_tesh!Y18/SER_summary!Y$26)</f>
        <v>30.542831617038782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7.8277889036206876</v>
      </c>
      <c r="C19" s="130">
        <f>IF(SER_hh_tesh!C19=0,0,SER_hh_tesh!C19/SER_summary!C$26)</f>
        <v>7.762017393207409</v>
      </c>
      <c r="D19" s="130">
        <f>IF(SER_hh_tesh!D19=0,0,SER_hh_tesh!D19/SER_summary!D$26)</f>
        <v>7.6646132668098099</v>
      </c>
      <c r="E19" s="130">
        <f>IF(SER_hh_tesh!E19=0,0,SER_hh_tesh!E19/SER_summary!E$26)</f>
        <v>7.5771761870174625</v>
      </c>
      <c r="F19" s="130">
        <f>IF(SER_hh_tesh!F19=0,0,SER_hh_tesh!F19/SER_summary!F$26)</f>
        <v>7.3874561289773464</v>
      </c>
      <c r="G19" s="130">
        <f>IF(SER_hh_tesh!G19=0,0,SER_hh_tesh!G19/SER_summary!G$26)</f>
        <v>7.3297278650640356</v>
      </c>
      <c r="H19" s="130">
        <f>IF(SER_hh_tesh!H19=0,0,SER_hh_tesh!H19/SER_summary!H$26)</f>
        <v>7.3833275161142584</v>
      </c>
      <c r="I19" s="130">
        <f>IF(SER_hh_tesh!I19=0,0,SER_hh_tesh!I19/SER_summary!I$26)</f>
        <v>7.4264037232230482</v>
      </c>
      <c r="J19" s="130">
        <f>IF(SER_hh_tesh!J19=0,0,SER_hh_tesh!J19/SER_summary!J$26)</f>
        <v>7.4657407404599052</v>
      </c>
      <c r="K19" s="130">
        <f>IF(SER_hh_tesh!K19=0,0,SER_hh_tesh!K19/SER_summary!K$26)</f>
        <v>8.0110727142162137</v>
      </c>
      <c r="L19" s="130">
        <f>IF(SER_hh_tesh!L19=0,0,SER_hh_tesh!L19/SER_summary!L$26)</f>
        <v>8.3104056207516308</v>
      </c>
      <c r="M19" s="130">
        <f>IF(SER_hh_tesh!M19=0,0,SER_hh_tesh!M19/SER_summary!M$26)</f>
        <v>8.4318145371239162</v>
      </c>
      <c r="N19" s="130">
        <f>IF(SER_hh_tesh!N19=0,0,SER_hh_tesh!N19/SER_summary!N$26)</f>
        <v>8.5926023864331746</v>
      </c>
      <c r="O19" s="130">
        <f>IF(SER_hh_tesh!O19=0,0,SER_hh_tesh!O19/SER_summary!O$26)</f>
        <v>8.6835314442479685</v>
      </c>
      <c r="P19" s="130">
        <f>IF(SER_hh_tesh!P19=0,0,SER_hh_tesh!P19/SER_summary!P$26)</f>
        <v>8.617033911218499</v>
      </c>
      <c r="Q19" s="130">
        <f>IF(SER_hh_tesh!Q19=0,0,SER_hh_tesh!Q19/SER_summary!Q$26)</f>
        <v>8.6677789762398341</v>
      </c>
      <c r="R19" s="130">
        <f>IF(SER_hh_tesh!R19=0,0,SER_hh_tesh!R19/SER_summary!R$26)</f>
        <v>8.8674252756010006</v>
      </c>
      <c r="S19" s="130">
        <f>IF(SER_hh_tesh!S19=0,0,SER_hh_tesh!S19/SER_summary!S$26)</f>
        <v>9.0098767917008509</v>
      </c>
      <c r="T19" s="130">
        <f>IF(SER_hh_tesh!T19=0,0,SER_hh_tesh!T19/SER_summary!T$26)</f>
        <v>8.9704513576212275</v>
      </c>
      <c r="U19" s="130">
        <f>IF(SER_hh_tesh!U19=0,0,SER_hh_tesh!U19/SER_summary!U$26)</f>
        <v>9.0270073342662336</v>
      </c>
      <c r="V19" s="130">
        <f>IF(SER_hh_tesh!V19=0,0,SER_hh_tesh!V19/SER_summary!V$26)</f>
        <v>8.6093642451374652</v>
      </c>
      <c r="W19" s="130">
        <f>IF(SER_hh_tesh!W19=0,0,SER_hh_tesh!W19/SER_summary!W$26)</f>
        <v>8.7317424832181896</v>
      </c>
      <c r="X19" s="130">
        <f>IF(SER_hh_tesh!X19=0,0,SER_hh_tesh!X19/SER_summary!X$26)</f>
        <v>8.5762007123643578</v>
      </c>
      <c r="Y19" s="130">
        <f>IF(SER_hh_tesh!Y19=0,0,SER_hh_tesh!Y19/SER_summary!Y$26)</f>
        <v>8.7890873339409676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0</v>
      </c>
      <c r="C20" s="132">
        <f>IF(SER_hh_tesh!C20=0,0,SER_hh_tesh!C20/SER_summary!C$26)</f>
        <v>0</v>
      </c>
      <c r="D20" s="132">
        <f>IF(SER_hh_tesh!D20=0,0,SER_hh_tesh!D20/SER_summary!D$26)</f>
        <v>0</v>
      </c>
      <c r="E20" s="132">
        <f>IF(SER_hh_tesh!E20=0,0,SER_hh_tesh!E20/SER_summary!E$26)</f>
        <v>0</v>
      </c>
      <c r="F20" s="132">
        <f>IF(SER_hh_tesh!F20=0,0,SER_hh_tesh!F20/SER_summary!F$26)</f>
        <v>0</v>
      </c>
      <c r="G20" s="132">
        <f>IF(SER_hh_tesh!G20=0,0,SER_hh_tesh!G20/SER_summary!G$26)</f>
        <v>0</v>
      </c>
      <c r="H20" s="132">
        <f>IF(SER_hh_tesh!H20=0,0,SER_hh_tesh!H20/SER_summary!H$26)</f>
        <v>0</v>
      </c>
      <c r="I20" s="132">
        <f>IF(SER_hh_tesh!I20=0,0,SER_hh_tesh!I20/SER_summary!I$26)</f>
        <v>0</v>
      </c>
      <c r="J20" s="132">
        <f>IF(SER_hh_tesh!J20=0,0,SER_hh_tesh!J20/SER_summary!J$26)</f>
        <v>0</v>
      </c>
      <c r="K20" s="132">
        <f>IF(SER_hh_tesh!K20=0,0,SER_hh_tesh!K20/SER_summary!K$26)</f>
        <v>0</v>
      </c>
      <c r="L20" s="132">
        <f>IF(SER_hh_tesh!L20=0,0,SER_hh_tesh!L20/SER_summary!L$26)</f>
        <v>0</v>
      </c>
      <c r="M20" s="132">
        <f>IF(SER_hh_tesh!M20=0,0,SER_hh_tesh!M20/SER_summary!M$26)</f>
        <v>0</v>
      </c>
      <c r="N20" s="132">
        <f>IF(SER_hh_tesh!N20=0,0,SER_hh_tesh!N20/SER_summary!N$26)</f>
        <v>0</v>
      </c>
      <c r="O20" s="132">
        <f>IF(SER_hh_tesh!O20=0,0,SER_hh_tesh!O20/SER_summary!O$26)</f>
        <v>0</v>
      </c>
      <c r="P20" s="132">
        <f>IF(SER_hh_tesh!P20=0,0,SER_hh_tesh!P20/SER_summary!P$26)</f>
        <v>0</v>
      </c>
      <c r="Q20" s="132">
        <f>IF(SER_hh_tesh!Q20=0,0,SER_hh_tesh!Q20/SER_summary!Q$26)</f>
        <v>0</v>
      </c>
      <c r="R20" s="132">
        <f>IF(SER_hh_tesh!R20=0,0,SER_hh_tesh!R20/SER_summary!R$26)</f>
        <v>0</v>
      </c>
      <c r="S20" s="132">
        <f>IF(SER_hh_tesh!S20=0,0,SER_hh_tesh!S20/SER_summary!S$26)</f>
        <v>0</v>
      </c>
      <c r="T20" s="132">
        <f>IF(SER_hh_tesh!T20=0,0,SER_hh_tesh!T20/SER_summary!T$26)</f>
        <v>0</v>
      </c>
      <c r="U20" s="132">
        <f>IF(SER_hh_tesh!U20=0,0,SER_hh_tesh!U20/SER_summary!U$26)</f>
        <v>0</v>
      </c>
      <c r="V20" s="132">
        <f>IF(SER_hh_tesh!V20=0,0,SER_hh_tesh!V20/SER_summary!V$26)</f>
        <v>0</v>
      </c>
      <c r="W20" s="132">
        <f>IF(SER_hh_tesh!W20=0,0,SER_hh_tesh!W20/SER_summary!W$26)</f>
        <v>0</v>
      </c>
      <c r="X20" s="132">
        <f>IF(SER_hh_tesh!X20=0,0,SER_hh_tesh!X20/SER_summary!X$26)</f>
        <v>0</v>
      </c>
      <c r="Y20" s="132">
        <f>IF(SER_hh_tesh!Y20=0,0,SER_hh_tesh!Y20/SER_summary!Y$26)</f>
        <v>0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0</v>
      </c>
      <c r="C21" s="132">
        <f>IF(SER_hh_tesh!C21=0,0,SER_hh_tesh!C21/SER_summary!C$26)</f>
        <v>0</v>
      </c>
      <c r="D21" s="132">
        <f>IF(SER_hh_tesh!D21=0,0,SER_hh_tesh!D21/SER_summary!D$26)</f>
        <v>0</v>
      </c>
      <c r="E21" s="132">
        <f>IF(SER_hh_tesh!E21=0,0,SER_hh_tesh!E21/SER_summary!E$26)</f>
        <v>0</v>
      </c>
      <c r="F21" s="132">
        <f>IF(SER_hh_tesh!F21=0,0,SER_hh_tesh!F21/SER_summary!F$26)</f>
        <v>0</v>
      </c>
      <c r="G21" s="132">
        <f>IF(SER_hh_tesh!G21=0,0,SER_hh_tesh!G21/SER_summary!G$26)</f>
        <v>0</v>
      </c>
      <c r="H21" s="132">
        <f>IF(SER_hh_tesh!H21=0,0,SER_hh_tesh!H21/SER_summary!H$26)</f>
        <v>0</v>
      </c>
      <c r="I21" s="132">
        <f>IF(SER_hh_tesh!I21=0,0,SER_hh_tesh!I21/SER_summary!I$26)</f>
        <v>0</v>
      </c>
      <c r="J21" s="132">
        <f>IF(SER_hh_tesh!J21=0,0,SER_hh_tesh!J21/SER_summary!J$26)</f>
        <v>0</v>
      </c>
      <c r="K21" s="132">
        <f>IF(SER_hh_tesh!K21=0,0,SER_hh_tesh!K21/SER_summary!K$26)</f>
        <v>0</v>
      </c>
      <c r="L21" s="132">
        <f>IF(SER_hh_tesh!L21=0,0,SER_hh_tesh!L21/SER_summary!L$26)</f>
        <v>0</v>
      </c>
      <c r="M21" s="132">
        <f>IF(SER_hh_tesh!M21=0,0,SER_hh_tesh!M21/SER_summary!M$26)</f>
        <v>0</v>
      </c>
      <c r="N21" s="132">
        <f>IF(SER_hh_tesh!N21=0,0,SER_hh_tesh!N21/SER_summary!N$26)</f>
        <v>0</v>
      </c>
      <c r="O21" s="132">
        <f>IF(SER_hh_tesh!O21=0,0,SER_hh_tesh!O21/SER_summary!O$26)</f>
        <v>0</v>
      </c>
      <c r="P21" s="132">
        <f>IF(SER_hh_tesh!P21=0,0,SER_hh_tesh!P21/SER_summary!P$26)</f>
        <v>0</v>
      </c>
      <c r="Q21" s="132">
        <f>IF(SER_hh_tesh!Q21=0,0,SER_hh_tesh!Q21/SER_summary!Q$26)</f>
        <v>0</v>
      </c>
      <c r="R21" s="132">
        <f>IF(SER_hh_tesh!R21=0,0,SER_hh_tesh!R21/SER_summary!R$26)</f>
        <v>0</v>
      </c>
      <c r="S21" s="132">
        <f>IF(SER_hh_tesh!S21=0,0,SER_hh_tesh!S21/SER_summary!S$26)</f>
        <v>0</v>
      </c>
      <c r="T21" s="132">
        <f>IF(SER_hh_tesh!T21=0,0,SER_hh_tesh!T21/SER_summary!T$26)</f>
        <v>0</v>
      </c>
      <c r="U21" s="132">
        <f>IF(SER_hh_tesh!U21=0,0,SER_hh_tesh!U21/SER_summary!U$26)</f>
        <v>0</v>
      </c>
      <c r="V21" s="132">
        <f>IF(SER_hh_tesh!V21=0,0,SER_hh_tesh!V21/SER_summary!V$26)</f>
        <v>0</v>
      </c>
      <c r="W21" s="132">
        <f>IF(SER_hh_tesh!W21=0,0,SER_hh_tesh!W21/SER_summary!W$26)</f>
        <v>0</v>
      </c>
      <c r="X21" s="132">
        <f>IF(SER_hh_tesh!X21=0,0,SER_hh_tesh!X21/SER_summary!X$26)</f>
        <v>0</v>
      </c>
      <c r="Y21" s="132">
        <f>IF(SER_hh_tesh!Y21=0,0,SER_hh_tesh!Y21/SER_summary!Y$26)</f>
        <v>0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0</v>
      </c>
      <c r="C22" s="132">
        <f>IF(SER_hh_tesh!C22=0,0,SER_hh_tesh!C22/SER_summary!C$26)</f>
        <v>0</v>
      </c>
      <c r="D22" s="132">
        <f>IF(SER_hh_tesh!D22=0,0,SER_hh_tesh!D22/SER_summary!D$26)</f>
        <v>0</v>
      </c>
      <c r="E22" s="132">
        <f>IF(SER_hh_tesh!E22=0,0,SER_hh_tesh!E22/SER_summary!E$26)</f>
        <v>0</v>
      </c>
      <c r="F22" s="132">
        <f>IF(SER_hh_tesh!F22=0,0,SER_hh_tesh!F22/SER_summary!F$26)</f>
        <v>0</v>
      </c>
      <c r="G22" s="132">
        <f>IF(SER_hh_tesh!G22=0,0,SER_hh_tesh!G22/SER_summary!G$26)</f>
        <v>0</v>
      </c>
      <c r="H22" s="132">
        <f>IF(SER_hh_tesh!H22=0,0,SER_hh_tesh!H22/SER_summary!H$26)</f>
        <v>0</v>
      </c>
      <c r="I22" s="132">
        <f>IF(SER_hh_tesh!I22=0,0,SER_hh_tesh!I22/SER_summary!I$26)</f>
        <v>0</v>
      </c>
      <c r="J22" s="132">
        <f>IF(SER_hh_tesh!J22=0,0,SER_hh_tesh!J22/SER_summary!J$26)</f>
        <v>0</v>
      </c>
      <c r="K22" s="132">
        <f>IF(SER_hh_tesh!K22=0,0,SER_hh_tesh!K22/SER_summary!K$26)</f>
        <v>0</v>
      </c>
      <c r="L22" s="132">
        <f>IF(SER_hh_tesh!L22=0,0,SER_hh_tesh!L22/SER_summary!L$26)</f>
        <v>0</v>
      </c>
      <c r="M22" s="132">
        <f>IF(SER_hh_tesh!M22=0,0,SER_hh_tesh!M22/SER_summary!M$26)</f>
        <v>0</v>
      </c>
      <c r="N22" s="132">
        <f>IF(SER_hh_tesh!N22=0,0,SER_hh_tesh!N22/SER_summary!N$26)</f>
        <v>0</v>
      </c>
      <c r="O22" s="132">
        <f>IF(SER_hh_tesh!O22=0,0,SER_hh_tesh!O22/SER_summary!O$26)</f>
        <v>0</v>
      </c>
      <c r="P22" s="132">
        <f>IF(SER_hh_tesh!P22=0,0,SER_hh_tesh!P22/SER_summary!P$26)</f>
        <v>0</v>
      </c>
      <c r="Q22" s="132">
        <f>IF(SER_hh_tesh!Q22=0,0,SER_hh_tesh!Q22/SER_summary!Q$26)</f>
        <v>0</v>
      </c>
      <c r="R22" s="132">
        <f>IF(SER_hh_tesh!R22=0,0,SER_hh_tesh!R22/SER_summary!R$26)</f>
        <v>0</v>
      </c>
      <c r="S22" s="132">
        <f>IF(SER_hh_tesh!S22=0,0,SER_hh_tesh!S22/SER_summary!S$26)</f>
        <v>0</v>
      </c>
      <c r="T22" s="132">
        <f>IF(SER_hh_tesh!T22=0,0,SER_hh_tesh!T22/SER_summary!T$26)</f>
        <v>0</v>
      </c>
      <c r="U22" s="132">
        <f>IF(SER_hh_tesh!U22=0,0,SER_hh_tesh!U22/SER_summary!U$26)</f>
        <v>0</v>
      </c>
      <c r="V22" s="132">
        <f>IF(SER_hh_tesh!V22=0,0,SER_hh_tesh!V22/SER_summary!V$26)</f>
        <v>0</v>
      </c>
      <c r="W22" s="132">
        <f>IF(SER_hh_tesh!W22=0,0,SER_hh_tesh!W22/SER_summary!W$26)</f>
        <v>0</v>
      </c>
      <c r="X22" s="132">
        <f>IF(SER_hh_tesh!X22=0,0,SER_hh_tesh!X22/SER_summary!X$26)</f>
        <v>0</v>
      </c>
      <c r="Y22" s="132">
        <f>IF(SER_hh_tesh!Y22=0,0,SER_hh_tesh!Y22/SER_summary!Y$26)</f>
        <v>0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7.7755835890548015</v>
      </c>
      <c r="C23" s="132">
        <f>IF(SER_hh_tesh!C23=0,0,SER_hh_tesh!C23/SER_summary!C$26)</f>
        <v>7.6788730223898725</v>
      </c>
      <c r="D23" s="132">
        <f>IF(SER_hh_tesh!D23=0,0,SER_hh_tesh!D23/SER_summary!D$26)</f>
        <v>7.6850539149728689</v>
      </c>
      <c r="E23" s="132">
        <f>IF(SER_hh_tesh!E23=0,0,SER_hh_tesh!E23/SER_summary!E$26)</f>
        <v>7.5109653927455922</v>
      </c>
      <c r="F23" s="132">
        <f>IF(SER_hh_tesh!F23=0,0,SER_hh_tesh!F23/SER_summary!F$26)</f>
        <v>7.285419895104333</v>
      </c>
      <c r="G23" s="132">
        <f>IF(SER_hh_tesh!G23=0,0,SER_hh_tesh!G23/SER_summary!G$26)</f>
        <v>7.3326378404133434</v>
      </c>
      <c r="H23" s="132">
        <f>IF(SER_hh_tesh!H23=0,0,SER_hh_tesh!H23/SER_summary!H$26)</f>
        <v>7.3377719376320689</v>
      </c>
      <c r="I23" s="132">
        <f>IF(SER_hh_tesh!I23=0,0,SER_hh_tesh!I23/SER_summary!I$26)</f>
        <v>7.1585561736535581</v>
      </c>
      <c r="J23" s="132">
        <f>IF(SER_hh_tesh!J23=0,0,SER_hh_tesh!J23/SER_summary!J$26)</f>
        <v>7.2792642708430888</v>
      </c>
      <c r="K23" s="132">
        <f>IF(SER_hh_tesh!K23=0,0,SER_hh_tesh!K23/SER_summary!K$26)</f>
        <v>8.7121638393393859</v>
      </c>
      <c r="L23" s="132">
        <f>IF(SER_hh_tesh!L23=0,0,SER_hh_tesh!L23/SER_summary!L$26)</f>
        <v>8.2248528536915693</v>
      </c>
      <c r="M23" s="132">
        <f>IF(SER_hh_tesh!M23=0,0,SER_hh_tesh!M23/SER_summary!M$26)</f>
        <v>8.2686978247234766</v>
      </c>
      <c r="N23" s="132">
        <f>IF(SER_hh_tesh!N23=0,0,SER_hh_tesh!N23/SER_summary!N$26)</f>
        <v>8.5293838764495238</v>
      </c>
      <c r="O23" s="132">
        <f>IF(SER_hh_tesh!O23=0,0,SER_hh_tesh!O23/SER_summary!O$26)</f>
        <v>8.6897769089639141</v>
      </c>
      <c r="P23" s="132">
        <f>IF(SER_hh_tesh!P23=0,0,SER_hh_tesh!P23/SER_summary!P$26)</f>
        <v>8.6526734636464635</v>
      </c>
      <c r="Q23" s="132">
        <f>IF(SER_hh_tesh!Q23=0,0,SER_hh_tesh!Q23/SER_summary!Q$26)</f>
        <v>8.5787676976601084</v>
      </c>
      <c r="R23" s="132">
        <f>IF(SER_hh_tesh!R23=0,0,SER_hh_tesh!R23/SER_summary!R$26)</f>
        <v>8.721475593503266</v>
      </c>
      <c r="S23" s="132">
        <f>IF(SER_hh_tesh!S23=0,0,SER_hh_tesh!S23/SER_summary!S$26)</f>
        <v>9.2904028780370567</v>
      </c>
      <c r="T23" s="132">
        <f>IF(SER_hh_tesh!T23=0,0,SER_hh_tesh!T23/SER_summary!T$26)</f>
        <v>8.6085249649188675</v>
      </c>
      <c r="U23" s="132">
        <f>IF(SER_hh_tesh!U23=0,0,SER_hh_tesh!U23/SER_summary!U$26)</f>
        <v>9.1327672170066698</v>
      </c>
      <c r="V23" s="132">
        <f>IF(SER_hh_tesh!V23=0,0,SER_hh_tesh!V23/SER_summary!V$26)</f>
        <v>8.6795808140177488</v>
      </c>
      <c r="W23" s="132">
        <f>IF(SER_hh_tesh!W23=0,0,SER_hh_tesh!W23/SER_summary!W$26)</f>
        <v>8.926710224304184</v>
      </c>
      <c r="X23" s="132">
        <f>IF(SER_hh_tesh!X23=0,0,SER_hh_tesh!X23/SER_summary!X$26)</f>
        <v>8.60577477981629</v>
      </c>
      <c r="Y23" s="132">
        <f>IF(SER_hh_tesh!Y23=0,0,SER_hh_tesh!Y23/SER_summary!Y$26)</f>
        <v>8.3828316017769762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0</v>
      </c>
      <c r="C24" s="132">
        <f>IF(SER_hh_tesh!C24=0,0,SER_hh_tesh!C24/SER_summary!C$26)</f>
        <v>0</v>
      </c>
      <c r="D24" s="132">
        <f>IF(SER_hh_tesh!D24=0,0,SER_hh_tesh!D24/SER_summary!D$26)</f>
        <v>0</v>
      </c>
      <c r="E24" s="132">
        <f>IF(SER_hh_tesh!E24=0,0,SER_hh_tesh!E24/SER_summary!E$26)</f>
        <v>0</v>
      </c>
      <c r="F24" s="132">
        <f>IF(SER_hh_tesh!F24=0,0,SER_hh_tesh!F24/SER_summary!F$26)</f>
        <v>0</v>
      </c>
      <c r="G24" s="132">
        <f>IF(SER_hh_tesh!G24=0,0,SER_hh_tesh!G24/SER_summary!G$26)</f>
        <v>0</v>
      </c>
      <c r="H24" s="132">
        <f>IF(SER_hh_tesh!H24=0,0,SER_hh_tesh!H24/SER_summary!H$26)</f>
        <v>0</v>
      </c>
      <c r="I24" s="132">
        <f>IF(SER_hh_tesh!I24=0,0,SER_hh_tesh!I24/SER_summary!I$26)</f>
        <v>0</v>
      </c>
      <c r="J24" s="132">
        <f>IF(SER_hh_tesh!J24=0,0,SER_hh_tesh!J24/SER_summary!J$26)</f>
        <v>0</v>
      </c>
      <c r="K24" s="132">
        <f>IF(SER_hh_tesh!K24=0,0,SER_hh_tesh!K24/SER_summary!K$26)</f>
        <v>0</v>
      </c>
      <c r="L24" s="132">
        <f>IF(SER_hh_tesh!L24=0,0,SER_hh_tesh!L24/SER_summary!L$26)</f>
        <v>0</v>
      </c>
      <c r="M24" s="132">
        <f>IF(SER_hh_tesh!M24=0,0,SER_hh_tesh!M24/SER_summary!M$26)</f>
        <v>0</v>
      </c>
      <c r="N24" s="132">
        <f>IF(SER_hh_tesh!N24=0,0,SER_hh_tesh!N24/SER_summary!N$26)</f>
        <v>0</v>
      </c>
      <c r="O24" s="132">
        <f>IF(SER_hh_tesh!O24=0,0,SER_hh_tesh!O24/SER_summary!O$26)</f>
        <v>0</v>
      </c>
      <c r="P24" s="132">
        <f>IF(SER_hh_tesh!P24=0,0,SER_hh_tesh!P24/SER_summary!P$26)</f>
        <v>0</v>
      </c>
      <c r="Q24" s="132">
        <f>IF(SER_hh_tesh!Q24=0,0,SER_hh_tesh!Q24/SER_summary!Q$26)</f>
        <v>0</v>
      </c>
      <c r="R24" s="132">
        <f>IF(SER_hh_tesh!R24=0,0,SER_hh_tesh!R24/SER_summary!R$26)</f>
        <v>0</v>
      </c>
      <c r="S24" s="132">
        <f>IF(SER_hh_tesh!S24=0,0,SER_hh_tesh!S24/SER_summary!S$26)</f>
        <v>0</v>
      </c>
      <c r="T24" s="132">
        <f>IF(SER_hh_tesh!T24=0,0,SER_hh_tesh!T24/SER_summary!T$26)</f>
        <v>0</v>
      </c>
      <c r="U24" s="132">
        <f>IF(SER_hh_tesh!U24=0,0,SER_hh_tesh!U24/SER_summary!U$26)</f>
        <v>0</v>
      </c>
      <c r="V24" s="132">
        <f>IF(SER_hh_tesh!V24=0,0,SER_hh_tesh!V24/SER_summary!V$26)</f>
        <v>0</v>
      </c>
      <c r="W24" s="132">
        <f>IF(SER_hh_tesh!W24=0,0,SER_hh_tesh!W24/SER_summary!W$26)</f>
        <v>0</v>
      </c>
      <c r="X24" s="132">
        <f>IF(SER_hh_tesh!X24=0,0,SER_hh_tesh!X24/SER_summary!X$26)</f>
        <v>0</v>
      </c>
      <c r="Y24" s="132">
        <f>IF(SER_hh_tesh!Y24=0,0,SER_hh_tesh!Y24/SER_summary!Y$26)</f>
        <v>0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7.7783357327836669</v>
      </c>
      <c r="C25" s="132">
        <f>IF(SER_hh_tesh!C25=0,0,SER_hh_tesh!C25/SER_summary!C$26)</f>
        <v>7.7588802406470192</v>
      </c>
      <c r="D25" s="132">
        <f>IF(SER_hh_tesh!D25=0,0,SER_hh_tesh!D25/SER_summary!D$26)</f>
        <v>7.5983615231273136</v>
      </c>
      <c r="E25" s="132">
        <f>IF(SER_hh_tesh!E25=0,0,SER_hh_tesh!E25/SER_summary!E$26)</f>
        <v>7.5848045679875771</v>
      </c>
      <c r="F25" s="132">
        <f>IF(SER_hh_tesh!F25=0,0,SER_hh_tesh!F25/SER_summary!F$26)</f>
        <v>7.494112147723607</v>
      </c>
      <c r="G25" s="132">
        <f>IF(SER_hh_tesh!G25=0,0,SER_hh_tesh!G25/SER_summary!G$26)</f>
        <v>7.3042366257165661</v>
      </c>
      <c r="H25" s="132">
        <f>IF(SER_hh_tesh!H25=0,0,SER_hh_tesh!H25/SER_summary!H$26)</f>
        <v>7.437129387426487</v>
      </c>
      <c r="I25" s="132">
        <f>IF(SER_hh_tesh!I25=0,0,SER_hh_tesh!I25/SER_summary!I$26)</f>
        <v>7.4397107947637453</v>
      </c>
      <c r="J25" s="132">
        <f>IF(SER_hh_tesh!J25=0,0,SER_hh_tesh!J25/SER_summary!J$26)</f>
        <v>7.5895681700015141</v>
      </c>
      <c r="K25" s="132">
        <f>IF(SER_hh_tesh!K25=0,0,SER_hh_tesh!K25/SER_summary!K$26)</f>
        <v>7.726658752558734</v>
      </c>
      <c r="L25" s="132">
        <f>IF(SER_hh_tesh!L25=0,0,SER_hh_tesh!L25/SER_summary!L$26)</f>
        <v>8.07680147502791</v>
      </c>
      <c r="M25" s="132">
        <f>IF(SER_hh_tesh!M25=0,0,SER_hh_tesh!M25/SER_summary!M$26)</f>
        <v>8.4265665795792515</v>
      </c>
      <c r="N25" s="132">
        <f>IF(SER_hh_tesh!N25=0,0,SER_hh_tesh!N25/SER_summary!N$26)</f>
        <v>8.4995728517128786</v>
      </c>
      <c r="O25" s="132">
        <f>IF(SER_hh_tesh!O25=0,0,SER_hh_tesh!O25/SER_summary!O$26)</f>
        <v>8.8390163169790306</v>
      </c>
      <c r="P25" s="132">
        <f>IF(SER_hh_tesh!P25=0,0,SER_hh_tesh!P25/SER_summary!P$26)</f>
        <v>8.6166905458331122</v>
      </c>
      <c r="Q25" s="132">
        <f>IF(SER_hh_tesh!Q25=0,0,SER_hh_tesh!Q25/SER_summary!Q$26)</f>
        <v>8.5472423077971911</v>
      </c>
      <c r="R25" s="132">
        <f>IF(SER_hh_tesh!R25=0,0,SER_hh_tesh!R25/SER_summary!R$26)</f>
        <v>8.8902017643460347</v>
      </c>
      <c r="S25" s="132">
        <f>IF(SER_hh_tesh!S25=0,0,SER_hh_tesh!S25/SER_summary!S$26)</f>
        <v>8.9054024142119008</v>
      </c>
      <c r="T25" s="132">
        <f>IF(SER_hh_tesh!T25=0,0,SER_hh_tesh!T25/SER_summary!T$26)</f>
        <v>9.0591515362663131</v>
      </c>
      <c r="U25" s="132">
        <f>IF(SER_hh_tesh!U25=0,0,SER_hh_tesh!U25/SER_summary!U$26)</f>
        <v>8.7792586667857808</v>
      </c>
      <c r="V25" s="132">
        <f>IF(SER_hh_tesh!V25=0,0,SER_hh_tesh!V25/SER_summary!V$26)</f>
        <v>8.5671908333577456</v>
      </c>
      <c r="W25" s="132">
        <f>IF(SER_hh_tesh!W25=0,0,SER_hh_tesh!W25/SER_summary!W$26)</f>
        <v>9.0425531745090346</v>
      </c>
      <c r="X25" s="132">
        <f>IF(SER_hh_tesh!X25=0,0,SER_hh_tesh!X25/SER_summary!X$26)</f>
        <v>8.5871010092446962</v>
      </c>
      <c r="Y25" s="132">
        <f>IF(SER_hh_tesh!Y25=0,0,SER_hh_tesh!Y25/SER_summary!Y$26)</f>
        <v>8.5177185271826819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7.8934555207522425</v>
      </c>
      <c r="C26" s="65">
        <f>IF(SER_hh_tesh!C26=0,0,SER_hh_tesh!C26/SER_summary!C$26)</f>
        <v>7.8269001465001589</v>
      </c>
      <c r="D26" s="65">
        <f>IF(SER_hh_tesh!D26=0,0,SER_hh_tesh!D26/SER_summary!D$26)</f>
        <v>7.6856245671722174</v>
      </c>
      <c r="E26" s="65">
        <f>IF(SER_hh_tesh!E26=0,0,SER_hh_tesh!E26/SER_summary!E$26)</f>
        <v>7.5800126872092086</v>
      </c>
      <c r="F26" s="65">
        <f>IF(SER_hh_tesh!F26=0,0,SER_hh_tesh!F26/SER_summary!F$26)</f>
        <v>7.3489131572899904</v>
      </c>
      <c r="G26" s="65">
        <f>IF(SER_hh_tesh!G26=0,0,SER_hh_tesh!G26/SER_summary!G$26)</f>
        <v>7.260067816231035</v>
      </c>
      <c r="H26" s="65">
        <f>IF(SER_hh_tesh!H26=0,0,SER_hh_tesh!H26/SER_summary!H$26)</f>
        <v>7.3006957483294554</v>
      </c>
      <c r="I26" s="65">
        <f>IF(SER_hh_tesh!I26=0,0,SER_hh_tesh!I26/SER_summary!I$26)</f>
        <v>7.5934557259994868</v>
      </c>
      <c r="J26" s="65">
        <f>IF(SER_hh_tesh!J26=0,0,SER_hh_tesh!J26/SER_summary!J$26)</f>
        <v>7.4497695541737041</v>
      </c>
      <c r="K26" s="65">
        <f>IF(SER_hh_tesh!K26=0,0,SER_hh_tesh!K26/SER_summary!K$26)</f>
        <v>7.0821659256749845</v>
      </c>
      <c r="L26" s="65">
        <f>IF(SER_hh_tesh!L26=0,0,SER_hh_tesh!L26/SER_summary!L$26)</f>
        <v>8.2959975442799365</v>
      </c>
      <c r="M26" s="65">
        <f>IF(SER_hh_tesh!M26=0,0,SER_hh_tesh!M26/SER_summary!M$26)</f>
        <v>8.3039448591194152</v>
      </c>
      <c r="N26" s="65">
        <f>IF(SER_hh_tesh!N26=0,0,SER_hh_tesh!N26/SER_summary!N$26)</f>
        <v>8.3496094613136176</v>
      </c>
      <c r="O26" s="65">
        <f>IF(SER_hh_tesh!O26=0,0,SER_hh_tesh!O26/SER_summary!O$26)</f>
        <v>8.1275747392271889</v>
      </c>
      <c r="P26" s="65">
        <f>IF(SER_hh_tesh!P26=0,0,SER_hh_tesh!P26/SER_summary!P$26)</f>
        <v>8.077806690482964</v>
      </c>
      <c r="Q26" s="65">
        <f>IF(SER_hh_tesh!Q26=0,0,SER_hh_tesh!Q26/SER_summary!Q$26)</f>
        <v>8.3731743960320841</v>
      </c>
      <c r="R26" s="65">
        <f>IF(SER_hh_tesh!R26=0,0,SER_hh_tesh!R26/SER_summary!R$26)</f>
        <v>8.5190366317409456</v>
      </c>
      <c r="S26" s="65">
        <f>IF(SER_hh_tesh!S26=0,0,SER_hh_tesh!S26/SER_summary!S$26)</f>
        <v>8.111514059304394</v>
      </c>
      <c r="T26" s="65">
        <f>IF(SER_hh_tesh!T26=0,0,SER_hh_tesh!T26/SER_summary!T$26)</f>
        <v>8.8661139251463883</v>
      </c>
      <c r="U26" s="65">
        <f>IF(SER_hh_tesh!U26=0,0,SER_hh_tesh!U26/SER_summary!U$26)</f>
        <v>8.5053139706577578</v>
      </c>
      <c r="V26" s="65">
        <f>IF(SER_hh_tesh!V26=0,0,SER_hh_tesh!V26/SER_summary!V$26)</f>
        <v>7.9834406297228675</v>
      </c>
      <c r="W26" s="65">
        <f>IF(SER_hh_tesh!W26=0,0,SER_hh_tesh!W26/SER_summary!W$26)</f>
        <v>7.7130249614599196</v>
      </c>
      <c r="X26" s="65">
        <f>IF(SER_hh_tesh!X26=0,0,SER_hh_tesh!X26/SER_summary!X$26)</f>
        <v>8.0383623464906524</v>
      </c>
      <c r="Y26" s="65">
        <f>IF(SER_hh_tesh!Y26=0,0,SER_hh_tesh!Y26/SER_summary!Y$26)</f>
        <v>8.8444913499476527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0</v>
      </c>
      <c r="C27" s="145">
        <f>IF(SER_hh_tesh!C27=0,0,SER_hh_tesh!C27/SER_summary!C$26)</f>
        <v>0</v>
      </c>
      <c r="D27" s="145">
        <f>IF(SER_hh_tesh!D27=0,0,SER_hh_tesh!D27/SER_summary!D$26)</f>
        <v>0</v>
      </c>
      <c r="E27" s="145">
        <f>IF(SER_hh_tesh!E27=0,0,SER_hh_tesh!E27/SER_summary!E$26)</f>
        <v>2.0324688661840777E-2</v>
      </c>
      <c r="F27" s="145">
        <f>IF(SER_hh_tesh!F27=0,0,SER_hh_tesh!F27/SER_summary!F$26)</f>
        <v>2.6514611915897695E-2</v>
      </c>
      <c r="G27" s="145">
        <f>IF(SER_hh_tesh!G27=0,0,SER_hh_tesh!G27/SER_summary!G$26)</f>
        <v>3.1950027689528877E-2</v>
      </c>
      <c r="H27" s="145">
        <f>IF(SER_hh_tesh!H27=0,0,SER_hh_tesh!H27/SER_summary!H$26)</f>
        <v>3.6830329996518169E-2</v>
      </c>
      <c r="I27" s="145">
        <f>IF(SER_hh_tesh!I27=0,0,SER_hh_tesh!I27/SER_summary!I$26)</f>
        <v>4.5091247548364161E-2</v>
      </c>
      <c r="J27" s="145">
        <f>IF(SER_hh_tesh!J27=0,0,SER_hh_tesh!J27/SER_summary!J$26)</f>
        <v>5.8219454576179552E-2</v>
      </c>
      <c r="K27" s="145">
        <f>IF(SER_hh_tesh!K27=0,0,SER_hh_tesh!K27/SER_summary!K$26)</f>
        <v>7.1186558391401186E-2</v>
      </c>
      <c r="L27" s="145">
        <f>IF(SER_hh_tesh!L27=0,0,SER_hh_tesh!L27/SER_summary!L$26)</f>
        <v>9.3343691576685581E-2</v>
      </c>
      <c r="M27" s="145">
        <f>IF(SER_hh_tesh!M27=0,0,SER_hh_tesh!M27/SER_summary!M$26)</f>
        <v>0.11626563318123043</v>
      </c>
      <c r="N27" s="145">
        <f>IF(SER_hh_tesh!N27=0,0,SER_hh_tesh!N27/SER_summary!N$26)</f>
        <v>0.12913079629018656</v>
      </c>
      <c r="O27" s="145">
        <f>IF(SER_hh_tesh!O27=0,0,SER_hh_tesh!O27/SER_summary!O$26)</f>
        <v>0.13690081256151243</v>
      </c>
      <c r="P27" s="145">
        <f>IF(SER_hh_tesh!P27=0,0,SER_hh_tesh!P27/SER_summary!P$26)</f>
        <v>0.15316213483024982</v>
      </c>
      <c r="Q27" s="145">
        <f>IF(SER_hh_tesh!Q27=0,0,SER_hh_tesh!Q27/SER_summary!Q$26)</f>
        <v>0.15997475110970508</v>
      </c>
      <c r="R27" s="145">
        <f>IF(SER_hh_tesh!R27=0,0,SER_hh_tesh!R27/SER_summary!R$26)</f>
        <v>0.16672427617753452</v>
      </c>
      <c r="S27" s="145">
        <f>IF(SER_hh_tesh!S27=0,0,SER_hh_tesh!S27/SER_summary!S$26)</f>
        <v>0.17034449622234035</v>
      </c>
      <c r="T27" s="145">
        <f>IF(SER_hh_tesh!T27=0,0,SER_hh_tesh!T27/SER_summary!T$26)</f>
        <v>0.17222863538719491</v>
      </c>
      <c r="U27" s="145">
        <f>IF(SER_hh_tesh!U27=0,0,SER_hh_tesh!U27/SER_summary!U$26)</f>
        <v>0.17290417638214262</v>
      </c>
      <c r="V27" s="145">
        <f>IF(SER_hh_tesh!V27=0,0,SER_hh_tesh!V27/SER_summary!V$26)</f>
        <v>0.17561538397210485</v>
      </c>
      <c r="W27" s="145">
        <f>IF(SER_hh_tesh!W27=0,0,SER_hh_tesh!W27/SER_summary!W$26)</f>
        <v>0.17809604968960166</v>
      </c>
      <c r="X27" s="145">
        <f>IF(SER_hh_tesh!X27=0,0,SER_hh_tesh!X27/SER_summary!X$26)</f>
        <v>0.18217840298523047</v>
      </c>
      <c r="Y27" s="145">
        <f>IF(SER_hh_tesh!Y27=0,0,SER_hh_tesh!Y27/SER_summary!Y$26)</f>
        <v>0.18668183838634791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0</v>
      </c>
      <c r="C28" s="146">
        <f>IF(SER_hh_tesh!C28=0,0,SER_hh_tesh!C28/SER_summary!C$26)</f>
        <v>0</v>
      </c>
      <c r="D28" s="146">
        <f>IF(SER_hh_tesh!D28=0,0,SER_hh_tesh!D28/SER_summary!D$26)</f>
        <v>0</v>
      </c>
      <c r="E28" s="146">
        <f>IF(SER_hh_tesh!E28=0,0,SER_hh_tesh!E28/SER_summary!E$26)</f>
        <v>3.8770228879817621</v>
      </c>
      <c r="F28" s="146">
        <f>IF(SER_hh_tesh!F28=0,0,SER_hh_tesh!F28/SER_summary!F$26)</f>
        <v>3.7540386634619423</v>
      </c>
      <c r="G28" s="146">
        <f>IF(SER_hh_tesh!G28=0,0,SER_hh_tesh!G28/SER_summary!G$26)</f>
        <v>3.8467004147688768</v>
      </c>
      <c r="H28" s="146">
        <f>IF(SER_hh_tesh!H28=0,0,SER_hh_tesh!H28/SER_summary!H$26)</f>
        <v>3.7150847400566196</v>
      </c>
      <c r="I28" s="146">
        <f>IF(SER_hh_tesh!I28=0,0,SER_hh_tesh!I28/SER_summary!I$26)</f>
        <v>3.7938438958397431</v>
      </c>
      <c r="J28" s="146">
        <f>IF(SER_hh_tesh!J28=0,0,SER_hh_tesh!J28/SER_summary!J$26)</f>
        <v>3.8822228276982211</v>
      </c>
      <c r="K28" s="146">
        <f>IF(SER_hh_tesh!K28=0,0,SER_hh_tesh!K28/SER_summary!K$26)</f>
        <v>4.1029743178127314</v>
      </c>
      <c r="L28" s="146">
        <f>IF(SER_hh_tesh!L28=0,0,SER_hh_tesh!L28/SER_summary!L$26)</f>
        <v>4.3472271057172804</v>
      </c>
      <c r="M28" s="146">
        <f>IF(SER_hh_tesh!M28=0,0,SER_hh_tesh!M28/SER_summary!M$26)</f>
        <v>4.8317855938031569</v>
      </c>
      <c r="N28" s="146">
        <f>IF(SER_hh_tesh!N28=0,0,SER_hh_tesh!N28/SER_summary!N$26)</f>
        <v>5.0223609391273136</v>
      </c>
      <c r="O28" s="146">
        <f>IF(SER_hh_tesh!O28=0,0,SER_hh_tesh!O28/SER_summary!O$26)</f>
        <v>5.1667732384929392</v>
      </c>
      <c r="P28" s="146">
        <f>IF(SER_hh_tesh!P28=0,0,SER_hh_tesh!P28/SER_summary!P$26)</f>
        <v>4.8898334037508402</v>
      </c>
      <c r="Q28" s="146">
        <f>IF(SER_hh_tesh!Q28=0,0,SER_hh_tesh!Q28/SER_summary!Q$26)</f>
        <v>5.1527961632107955</v>
      </c>
      <c r="R28" s="146">
        <f>IF(SER_hh_tesh!R28=0,0,SER_hh_tesh!R28/SER_summary!R$26)</f>
        <v>5.3764308019997866</v>
      </c>
      <c r="S28" s="146">
        <f>IF(SER_hh_tesh!S28=0,0,SER_hh_tesh!S28/SER_summary!S$26)</f>
        <v>5.3448784895174395</v>
      </c>
      <c r="T28" s="146">
        <f>IF(SER_hh_tesh!T28=0,0,SER_hh_tesh!T28/SER_summary!T$26)</f>
        <v>5.2328604144709558</v>
      </c>
      <c r="U28" s="146">
        <f>IF(SER_hh_tesh!U28=0,0,SER_hh_tesh!U28/SER_summary!U$26)</f>
        <v>5.2720690742077521</v>
      </c>
      <c r="V28" s="146">
        <f>IF(SER_hh_tesh!V28=0,0,SER_hh_tesh!V28/SER_summary!V$26)</f>
        <v>4.8111636426473874</v>
      </c>
      <c r="W28" s="146">
        <f>IF(SER_hh_tesh!W28=0,0,SER_hh_tesh!W28/SER_summary!W$26)</f>
        <v>5.2951844219163169</v>
      </c>
      <c r="X28" s="146">
        <f>IF(SER_hh_tesh!X28=0,0,SER_hh_tesh!X28/SER_summary!X$26)</f>
        <v>4.956209819427551</v>
      </c>
      <c r="Y28" s="146">
        <f>IF(SER_hh_tesh!Y28=0,0,SER_hh_tesh!Y28/SER_summary!Y$26)</f>
        <v>5.5271737828168623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8.3900198851068151</v>
      </c>
      <c r="C29" s="130">
        <f>IF(SER_hh_tesh!C29=0,0,SER_hh_tesh!C29/SER_summary!C$26)</f>
        <v>8.3861601638495973</v>
      </c>
      <c r="D29" s="130">
        <f>IF(SER_hh_tesh!D29=0,0,SER_hh_tesh!D29/SER_summary!D$26)</f>
        <v>8.3590145865334406</v>
      </c>
      <c r="E29" s="130">
        <f>IF(SER_hh_tesh!E29=0,0,SER_hh_tesh!E29/SER_summary!E$26)</f>
        <v>8.4535191488702957</v>
      </c>
      <c r="F29" s="130">
        <f>IF(SER_hh_tesh!F29=0,0,SER_hh_tesh!F29/SER_summary!F$26)</f>
        <v>8.4366193074671525</v>
      </c>
      <c r="G29" s="130">
        <f>IF(SER_hh_tesh!G29=0,0,SER_hh_tesh!G29/SER_summary!G$26)</f>
        <v>8.3436510394932757</v>
      </c>
      <c r="H29" s="130">
        <f>IF(SER_hh_tesh!H29=0,0,SER_hh_tesh!H29/SER_summary!H$26)</f>
        <v>8.37647925099124</v>
      </c>
      <c r="I29" s="130">
        <f>IF(SER_hh_tesh!I29=0,0,SER_hh_tesh!I29/SER_summary!I$26)</f>
        <v>8.2979502983283169</v>
      </c>
      <c r="J29" s="130">
        <f>IF(SER_hh_tesh!J29=0,0,SER_hh_tesh!J29/SER_summary!J$26)</f>
        <v>8.3932641617942441</v>
      </c>
      <c r="K29" s="130">
        <f>IF(SER_hh_tesh!K29=0,0,SER_hh_tesh!K29/SER_summary!K$26)</f>
        <v>8.8756509917484294</v>
      </c>
      <c r="L29" s="130">
        <f>IF(SER_hh_tesh!L29=0,0,SER_hh_tesh!L29/SER_summary!L$26)</f>
        <v>9.1491450780659758</v>
      </c>
      <c r="M29" s="130">
        <f>IF(SER_hh_tesh!M29=0,0,SER_hh_tesh!M29/SER_summary!M$26)</f>
        <v>9.2771527384798418</v>
      </c>
      <c r="N29" s="130">
        <f>IF(SER_hh_tesh!N29=0,0,SER_hh_tesh!N29/SER_summary!N$26)</f>
        <v>9.3479557569279397</v>
      </c>
      <c r="O29" s="130">
        <f>IF(SER_hh_tesh!O29=0,0,SER_hh_tesh!O29/SER_summary!O$26)</f>
        <v>9.492274206647938</v>
      </c>
      <c r="P29" s="130">
        <f>IF(SER_hh_tesh!P29=0,0,SER_hh_tesh!P29/SER_summary!P$26)</f>
        <v>9.4997483483143395</v>
      </c>
      <c r="Q29" s="130">
        <f>IF(SER_hh_tesh!Q29=0,0,SER_hh_tesh!Q29/SER_summary!Q$26)</f>
        <v>9.5343678490557622</v>
      </c>
      <c r="R29" s="130">
        <f>IF(SER_hh_tesh!R29=0,0,SER_hh_tesh!R29/SER_summary!R$26)</f>
        <v>9.5822699388452115</v>
      </c>
      <c r="S29" s="130">
        <f>IF(SER_hh_tesh!S29=0,0,SER_hh_tesh!S29/SER_summary!S$26)</f>
        <v>9.6838645780204935</v>
      </c>
      <c r="T29" s="130">
        <f>IF(SER_hh_tesh!T29=0,0,SER_hh_tesh!T29/SER_summary!T$26)</f>
        <v>9.6076592052347483</v>
      </c>
      <c r="U29" s="130">
        <f>IF(SER_hh_tesh!U29=0,0,SER_hh_tesh!U29/SER_summary!U$26)</f>
        <v>9.6967631830189944</v>
      </c>
      <c r="V29" s="130">
        <f>IF(SER_hh_tesh!V29=0,0,SER_hh_tesh!V29/SER_summary!V$26)</f>
        <v>9.0767903963271355</v>
      </c>
      <c r="W29" s="130">
        <f>IF(SER_hh_tesh!W29=0,0,SER_hh_tesh!W29/SER_summary!W$26)</f>
        <v>9.3294474513159074</v>
      </c>
      <c r="X29" s="130">
        <f>IF(SER_hh_tesh!X29=0,0,SER_hh_tesh!X29/SER_summary!X$26)</f>
        <v>9.2805924087086069</v>
      </c>
      <c r="Y29" s="130">
        <f>IF(SER_hh_tesh!Y29=0,0,SER_hh_tesh!Y29/SER_summary!Y$26)</f>
        <v>9.4472018149677819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0</v>
      </c>
      <c r="C30" s="132">
        <f>IF(SER_hh_tesh!C30=0,0,SER_hh_tesh!C30/SER_summary!C$26)</f>
        <v>0</v>
      </c>
      <c r="D30" s="132">
        <f>IF(SER_hh_tesh!D30=0,0,SER_hh_tesh!D30/SER_summary!D$26)</f>
        <v>0</v>
      </c>
      <c r="E30" s="132">
        <f>IF(SER_hh_tesh!E30=0,0,SER_hh_tesh!E30/SER_summary!E$26)</f>
        <v>0</v>
      </c>
      <c r="F30" s="132">
        <f>IF(SER_hh_tesh!F30=0,0,SER_hh_tesh!F30/SER_summary!F$26)</f>
        <v>0</v>
      </c>
      <c r="G30" s="132">
        <f>IF(SER_hh_tesh!G30=0,0,SER_hh_tesh!G30/SER_summary!G$26)</f>
        <v>0</v>
      </c>
      <c r="H30" s="132">
        <f>IF(SER_hh_tesh!H30=0,0,SER_hh_tesh!H30/SER_summary!H$26)</f>
        <v>0</v>
      </c>
      <c r="I30" s="132">
        <f>IF(SER_hh_tesh!I30=0,0,SER_hh_tesh!I30/SER_summary!I$26)</f>
        <v>0</v>
      </c>
      <c r="J30" s="132">
        <f>IF(SER_hh_tesh!J30=0,0,SER_hh_tesh!J30/SER_summary!J$26)</f>
        <v>0</v>
      </c>
      <c r="K30" s="132">
        <f>IF(SER_hh_tesh!K30=0,0,SER_hh_tesh!K30/SER_summary!K$26)</f>
        <v>0</v>
      </c>
      <c r="L30" s="132">
        <f>IF(SER_hh_tesh!L30=0,0,SER_hh_tesh!L30/SER_summary!L$26)</f>
        <v>0</v>
      </c>
      <c r="M30" s="132">
        <f>IF(SER_hh_tesh!M30=0,0,SER_hh_tesh!M30/SER_summary!M$26)</f>
        <v>0</v>
      </c>
      <c r="N30" s="132">
        <f>IF(SER_hh_tesh!N30=0,0,SER_hh_tesh!N30/SER_summary!N$26)</f>
        <v>0</v>
      </c>
      <c r="O30" s="132">
        <f>IF(SER_hh_tesh!O30=0,0,SER_hh_tesh!O30/SER_summary!O$26)</f>
        <v>0</v>
      </c>
      <c r="P30" s="132">
        <f>IF(SER_hh_tesh!P30=0,0,SER_hh_tesh!P30/SER_summary!P$26)</f>
        <v>0</v>
      </c>
      <c r="Q30" s="132">
        <f>IF(SER_hh_tesh!Q30=0,0,SER_hh_tesh!Q30/SER_summary!Q$26)</f>
        <v>0</v>
      </c>
      <c r="R30" s="132">
        <f>IF(SER_hh_tesh!R30=0,0,SER_hh_tesh!R30/SER_summary!R$26)</f>
        <v>0</v>
      </c>
      <c r="S30" s="132">
        <f>IF(SER_hh_tesh!S30=0,0,SER_hh_tesh!S30/SER_summary!S$26)</f>
        <v>0</v>
      </c>
      <c r="T30" s="132">
        <f>IF(SER_hh_tesh!T30=0,0,SER_hh_tesh!T30/SER_summary!T$26)</f>
        <v>0</v>
      </c>
      <c r="U30" s="132">
        <f>IF(SER_hh_tesh!U30=0,0,SER_hh_tesh!U30/SER_summary!U$26)</f>
        <v>0</v>
      </c>
      <c r="V30" s="132">
        <f>IF(SER_hh_tesh!V30=0,0,SER_hh_tesh!V30/SER_summary!V$26)</f>
        <v>0</v>
      </c>
      <c r="W30" s="132">
        <f>IF(SER_hh_tesh!W30=0,0,SER_hh_tesh!W30/SER_summary!W$26)</f>
        <v>0</v>
      </c>
      <c r="X30" s="132">
        <f>IF(SER_hh_tesh!X30=0,0,SER_hh_tesh!X30/SER_summary!X$26)</f>
        <v>0</v>
      </c>
      <c r="Y30" s="132">
        <f>IF(SER_hh_tesh!Y30=0,0,SER_hh_tesh!Y30/SER_summary!Y$26)</f>
        <v>0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7.5270896082616554</v>
      </c>
      <c r="C31" s="132">
        <f>IF(SER_hh_tesh!C31=0,0,SER_hh_tesh!C31/SER_summary!C$26)</f>
        <v>8.7055641226735432</v>
      </c>
      <c r="D31" s="132">
        <f>IF(SER_hh_tesh!D31=0,0,SER_hh_tesh!D31/SER_summary!D$26)</f>
        <v>8.576697855720143</v>
      </c>
      <c r="E31" s="132">
        <f>IF(SER_hh_tesh!E31=0,0,SER_hh_tesh!E31/SER_summary!E$26)</f>
        <v>8.372847271877907</v>
      </c>
      <c r="F31" s="132">
        <f>IF(SER_hh_tesh!F31=0,0,SER_hh_tesh!F31/SER_summary!F$26)</f>
        <v>8.5568803881897946</v>
      </c>
      <c r="G31" s="132">
        <f>IF(SER_hh_tesh!G31=0,0,SER_hh_tesh!G31/SER_summary!G$26)</f>
        <v>8.3836420672340264</v>
      </c>
      <c r="H31" s="132">
        <f>IF(SER_hh_tesh!H31=0,0,SER_hh_tesh!H31/SER_summary!H$26)</f>
        <v>8.2596522679183568</v>
      </c>
      <c r="I31" s="132">
        <f>IF(SER_hh_tesh!I31=0,0,SER_hh_tesh!I31/SER_summary!I$26)</f>
        <v>8.2919907708470397</v>
      </c>
      <c r="J31" s="132">
        <f>IF(SER_hh_tesh!J31=0,0,SER_hh_tesh!J31/SER_summary!J$26)</f>
        <v>8.4398798254106104</v>
      </c>
      <c r="K31" s="132">
        <f>IF(SER_hh_tesh!K31=0,0,SER_hh_tesh!K31/SER_summary!K$26)</f>
        <v>9.4345404725265976</v>
      </c>
      <c r="L31" s="132">
        <f>IF(SER_hh_tesh!L31=0,0,SER_hh_tesh!L31/SER_summary!L$26)</f>
        <v>9.1438647428818776</v>
      </c>
      <c r="M31" s="132">
        <f>IF(SER_hh_tesh!M31=0,0,SER_hh_tesh!M31/SER_summary!M$26)</f>
        <v>9.2660626833555195</v>
      </c>
      <c r="N31" s="132">
        <f>IF(SER_hh_tesh!N31=0,0,SER_hh_tesh!N31/SER_summary!N$26)</f>
        <v>9.3485667532286651</v>
      </c>
      <c r="O31" s="132">
        <f>IF(SER_hh_tesh!O31=0,0,SER_hh_tesh!O31/SER_summary!O$26)</f>
        <v>9.4266101014067676</v>
      </c>
      <c r="P31" s="132">
        <f>IF(SER_hh_tesh!P31=0,0,SER_hh_tesh!P31/SER_summary!P$26)</f>
        <v>9.4495536127889128</v>
      </c>
      <c r="Q31" s="132">
        <f>IF(SER_hh_tesh!Q31=0,0,SER_hh_tesh!Q31/SER_summary!Q$26)</f>
        <v>9.1697790166301356</v>
      </c>
      <c r="R31" s="132">
        <f>IF(SER_hh_tesh!R31=0,0,SER_hh_tesh!R31/SER_summary!R$26)</f>
        <v>9.4561814544063374</v>
      </c>
      <c r="S31" s="132">
        <f>IF(SER_hh_tesh!S31=0,0,SER_hh_tesh!S31/SER_summary!S$26)</f>
        <v>10.185531595931435</v>
      </c>
      <c r="T31" s="132">
        <f>IF(SER_hh_tesh!T31=0,0,SER_hh_tesh!T31/SER_summary!T$26)</f>
        <v>9.4023874329121604</v>
      </c>
      <c r="U31" s="132">
        <f>IF(SER_hh_tesh!U31=0,0,SER_hh_tesh!U31/SER_summary!U$26)</f>
        <v>9.9448740956012447</v>
      </c>
      <c r="V31" s="132">
        <f>IF(SER_hh_tesh!V31=0,0,SER_hh_tesh!V31/SER_summary!V$26)</f>
        <v>9.2596275083023478</v>
      </c>
      <c r="W31" s="132">
        <f>IF(SER_hh_tesh!W31=0,0,SER_hh_tesh!W31/SER_summary!W$26)</f>
        <v>9.4818576488220163</v>
      </c>
      <c r="X31" s="132">
        <f>IF(SER_hh_tesh!X31=0,0,SER_hh_tesh!X31/SER_summary!X$26)</f>
        <v>9.3050262040064222</v>
      </c>
      <c r="Y31" s="132">
        <f>IF(SER_hh_tesh!Y31=0,0,SER_hh_tesh!Y31/SER_summary!Y$26)</f>
        <v>9.1360416395221602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0</v>
      </c>
      <c r="C32" s="132">
        <f>IF(SER_hh_tesh!C32=0,0,SER_hh_tesh!C32/SER_summary!C$26)</f>
        <v>0</v>
      </c>
      <c r="D32" s="132">
        <f>IF(SER_hh_tesh!D32=0,0,SER_hh_tesh!D32/SER_summary!D$26)</f>
        <v>0</v>
      </c>
      <c r="E32" s="132">
        <f>IF(SER_hh_tesh!E32=0,0,SER_hh_tesh!E32/SER_summary!E$26)</f>
        <v>0</v>
      </c>
      <c r="F32" s="132">
        <f>IF(SER_hh_tesh!F32=0,0,SER_hh_tesh!F32/SER_summary!F$26)</f>
        <v>0</v>
      </c>
      <c r="G32" s="132">
        <f>IF(SER_hh_tesh!G32=0,0,SER_hh_tesh!G32/SER_summary!G$26)</f>
        <v>0</v>
      </c>
      <c r="H32" s="132">
        <f>IF(SER_hh_tesh!H32=0,0,SER_hh_tesh!H32/SER_summary!H$26)</f>
        <v>0</v>
      </c>
      <c r="I32" s="132">
        <f>IF(SER_hh_tesh!I32=0,0,SER_hh_tesh!I32/SER_summary!I$26)</f>
        <v>0</v>
      </c>
      <c r="J32" s="132">
        <f>IF(SER_hh_tesh!J32=0,0,SER_hh_tesh!J32/SER_summary!J$26)</f>
        <v>0</v>
      </c>
      <c r="K32" s="132">
        <f>IF(SER_hh_tesh!K32=0,0,SER_hh_tesh!K32/SER_summary!K$26)</f>
        <v>0</v>
      </c>
      <c r="L32" s="132">
        <f>IF(SER_hh_tesh!L32=0,0,SER_hh_tesh!L32/SER_summary!L$26)</f>
        <v>0</v>
      </c>
      <c r="M32" s="132">
        <f>IF(SER_hh_tesh!M32=0,0,SER_hh_tesh!M32/SER_summary!M$26)</f>
        <v>0</v>
      </c>
      <c r="N32" s="132">
        <f>IF(SER_hh_tesh!N32=0,0,SER_hh_tesh!N32/SER_summary!N$26)</f>
        <v>0</v>
      </c>
      <c r="O32" s="132">
        <f>IF(SER_hh_tesh!O32=0,0,SER_hh_tesh!O32/SER_summary!O$26)</f>
        <v>0</v>
      </c>
      <c r="P32" s="132">
        <f>IF(SER_hh_tesh!P32=0,0,SER_hh_tesh!P32/SER_summary!P$26)</f>
        <v>0</v>
      </c>
      <c r="Q32" s="132">
        <f>IF(SER_hh_tesh!Q32=0,0,SER_hh_tesh!Q32/SER_summary!Q$26)</f>
        <v>0</v>
      </c>
      <c r="R32" s="132">
        <f>IF(SER_hh_tesh!R32=0,0,SER_hh_tesh!R32/SER_summary!R$26)</f>
        <v>0</v>
      </c>
      <c r="S32" s="132">
        <f>IF(SER_hh_tesh!S32=0,0,SER_hh_tesh!S32/SER_summary!S$26)</f>
        <v>0</v>
      </c>
      <c r="T32" s="132">
        <f>IF(SER_hh_tesh!T32=0,0,SER_hh_tesh!T32/SER_summary!T$26)</f>
        <v>0</v>
      </c>
      <c r="U32" s="132">
        <f>IF(SER_hh_tesh!U32=0,0,SER_hh_tesh!U32/SER_summary!U$26)</f>
        <v>0</v>
      </c>
      <c r="V32" s="132">
        <f>IF(SER_hh_tesh!V32=0,0,SER_hh_tesh!V32/SER_summary!V$26)</f>
        <v>0</v>
      </c>
      <c r="W32" s="132">
        <f>IF(SER_hh_tesh!W32=0,0,SER_hh_tesh!W32/SER_summary!W$26)</f>
        <v>0</v>
      </c>
      <c r="X32" s="132">
        <f>IF(SER_hh_tesh!X32=0,0,SER_hh_tesh!X32/SER_summary!X$26)</f>
        <v>0</v>
      </c>
      <c r="Y32" s="132">
        <f>IF(SER_hh_tesh!Y32=0,0,SER_hh_tesh!Y32/SER_summary!Y$26)</f>
        <v>0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9.2279011549175944</v>
      </c>
      <c r="C33" s="68">
        <f>IF(SER_hh_tesh!C33=0,0,SER_hh_tesh!C33/SER_summary!C$26)</f>
        <v>8.0688275544604338</v>
      </c>
      <c r="D33" s="68">
        <f>IF(SER_hh_tesh!D33=0,0,SER_hh_tesh!D33/SER_summary!D$26)</f>
        <v>8.1383934210912745</v>
      </c>
      <c r="E33" s="68">
        <f>IF(SER_hh_tesh!E33=0,0,SER_hh_tesh!E33/SER_summary!E$26)</f>
        <v>8.5353939072437512</v>
      </c>
      <c r="F33" s="68">
        <f>IF(SER_hh_tesh!F33=0,0,SER_hh_tesh!F33/SER_summary!F$26)</f>
        <v>8.3173028076387272</v>
      </c>
      <c r="G33" s="68">
        <f>IF(SER_hh_tesh!G33=0,0,SER_hh_tesh!G33/SER_summary!G$26)</f>
        <v>8.3041119893388853</v>
      </c>
      <c r="H33" s="68">
        <f>IF(SER_hh_tesh!H33=0,0,SER_hh_tesh!H33/SER_summary!H$26)</f>
        <v>8.4885823702171805</v>
      </c>
      <c r="I33" s="68">
        <f>IF(SER_hh_tesh!I33=0,0,SER_hh_tesh!I33/SER_summary!I$26)</f>
        <v>8.3036706881773714</v>
      </c>
      <c r="J33" s="68">
        <f>IF(SER_hh_tesh!J33=0,0,SER_hh_tesh!J33/SER_summary!J$26)</f>
        <v>8.3479633432463487</v>
      </c>
      <c r="K33" s="68">
        <f>IF(SER_hh_tesh!K33=0,0,SER_hh_tesh!K33/SER_summary!K$26)</f>
        <v>8.3258654917085444</v>
      </c>
      <c r="L33" s="68">
        <f>IF(SER_hh_tesh!L33=0,0,SER_hh_tesh!L33/SER_summary!L$26)</f>
        <v>9.1544441489275119</v>
      </c>
      <c r="M33" s="68">
        <f>IF(SER_hh_tesh!M33=0,0,SER_hh_tesh!M33/SER_summary!M$26)</f>
        <v>9.2879770126060475</v>
      </c>
      <c r="N33" s="68">
        <f>IF(SER_hh_tesh!N33=0,0,SER_hh_tesh!N33/SER_summary!N$26)</f>
        <v>9.3473748766158575</v>
      </c>
      <c r="O33" s="68">
        <f>IF(SER_hh_tesh!O33=0,0,SER_hh_tesh!O33/SER_summary!O$26)</f>
        <v>9.5536901552889795</v>
      </c>
      <c r="P33" s="68">
        <f>IF(SER_hh_tesh!P33=0,0,SER_hh_tesh!P33/SER_summary!P$26)</f>
        <v>9.54640295025348</v>
      </c>
      <c r="Q33" s="68">
        <f>IF(SER_hh_tesh!Q33=0,0,SER_hh_tesh!Q33/SER_summary!Q$26)</f>
        <v>9.8798746749766604</v>
      </c>
      <c r="R33" s="68">
        <f>IF(SER_hh_tesh!R33=0,0,SER_hh_tesh!R33/SER_summary!R$26)</f>
        <v>9.7117884951596025</v>
      </c>
      <c r="S33" s="68">
        <f>IF(SER_hh_tesh!S33=0,0,SER_hh_tesh!S33/SER_summary!S$26)</f>
        <v>9.1092743322602452</v>
      </c>
      <c r="T33" s="68">
        <f>IF(SER_hh_tesh!T33=0,0,SER_hh_tesh!T33/SER_summary!T$26)</f>
        <v>9.8493754786755865</v>
      </c>
      <c r="U33" s="68">
        <f>IF(SER_hh_tesh!U33=0,0,SER_hh_tesh!U33/SER_summary!U$26)</f>
        <v>9.3978796644527627</v>
      </c>
      <c r="V33" s="68">
        <f>IF(SER_hh_tesh!V33=0,0,SER_hh_tesh!V33/SER_summary!V$26)</f>
        <v>8.8688668654122544</v>
      </c>
      <c r="W33" s="68">
        <f>IF(SER_hh_tesh!W33=0,0,SER_hh_tesh!W33/SER_summary!W$26)</f>
        <v>9.1730699760835286</v>
      </c>
      <c r="X33" s="68">
        <f>IF(SER_hh_tesh!X33=0,0,SER_hh_tesh!X33/SER_summary!X$26)</f>
        <v>9.2590284605648439</v>
      </c>
      <c r="Y33" s="68">
        <f>IF(SER_hh_tesh!Y33=0,0,SER_hh_tesh!Y33/SER_summary!Y$26)</f>
        <v>9.6880154857466003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24.903523223546586</v>
      </c>
      <c r="C3" s="125">
        <f>IF(SER_hh_emih!C3=0,0,SER_hh_emih!C3/SER_summary!C$26)</f>
        <v>21.129510091911154</v>
      </c>
      <c r="D3" s="125">
        <f>IF(SER_hh_emih!D3=0,0,SER_hh_emih!D3/SER_summary!D$26)</f>
        <v>20.045852501923317</v>
      </c>
      <c r="E3" s="125">
        <f>IF(SER_hh_emih!E3=0,0,SER_hh_emih!E3/SER_summary!E$26)</f>
        <v>24.228823543346625</v>
      </c>
      <c r="F3" s="125">
        <f>IF(SER_hh_emih!F3=0,0,SER_hh_emih!F3/SER_summary!F$26)</f>
        <v>24.310526689761989</v>
      </c>
      <c r="G3" s="125">
        <f>IF(SER_hh_emih!G3=0,0,SER_hh_emih!G3/SER_summary!G$26)</f>
        <v>16.710510496732436</v>
      </c>
      <c r="H3" s="125">
        <f>IF(SER_hh_emih!H3=0,0,SER_hh_emih!H3/SER_summary!H$26)</f>
        <v>17.178567411356173</v>
      </c>
      <c r="I3" s="125">
        <f>IF(SER_hh_emih!I3=0,0,SER_hh_emih!I3/SER_summary!I$26)</f>
        <v>14.686151783631976</v>
      </c>
      <c r="J3" s="125">
        <f>IF(SER_hh_emih!J3=0,0,SER_hh_emih!J3/SER_summary!J$26)</f>
        <v>16.266986238109968</v>
      </c>
      <c r="K3" s="125">
        <f>IF(SER_hh_emih!K3=0,0,SER_hh_emih!K3/SER_summary!K$26)</f>
        <v>14.163865346374275</v>
      </c>
      <c r="L3" s="125">
        <f>IF(SER_hh_emih!L3=0,0,SER_hh_emih!L3/SER_summary!L$26)</f>
        <v>14.829132539760332</v>
      </c>
      <c r="M3" s="125">
        <f>IF(SER_hh_emih!M3=0,0,SER_hh_emih!M3/SER_summary!M$26)</f>
        <v>14.029681766830365</v>
      </c>
      <c r="N3" s="125">
        <f>IF(SER_hh_emih!N3=0,0,SER_hh_emih!N3/SER_summary!N$26)</f>
        <v>13.19757582403197</v>
      </c>
      <c r="O3" s="125">
        <f>IF(SER_hh_emih!O3=0,0,SER_hh_emih!O3/SER_summary!O$26)</f>
        <v>12.568655987671921</v>
      </c>
      <c r="P3" s="125">
        <f>IF(SER_hh_emih!P3=0,0,SER_hh_emih!P3/SER_summary!P$26)</f>
        <v>12.017969205536732</v>
      </c>
      <c r="Q3" s="125">
        <f>IF(SER_hh_emih!Q3=0,0,SER_hh_emih!Q3/SER_summary!Q$26)</f>
        <v>11.874950431880265</v>
      </c>
      <c r="R3" s="125">
        <f>IF(SER_hh_emih!R3=0,0,SER_hh_emih!R3/SER_summary!R$26)</f>
        <v>11.963587721461179</v>
      </c>
      <c r="S3" s="125">
        <f>IF(SER_hh_emih!S3=0,0,SER_hh_emih!S3/SER_summary!S$26)</f>
        <v>12.534244356971602</v>
      </c>
      <c r="T3" s="125">
        <f>IF(SER_hh_emih!T3=0,0,SER_hh_emih!T3/SER_summary!T$26)</f>
        <v>11.127169456944006</v>
      </c>
      <c r="U3" s="125">
        <f>IF(SER_hh_emih!U3=0,0,SER_hh_emih!U3/SER_summary!U$26)</f>
        <v>11.621614161956634</v>
      </c>
      <c r="V3" s="125">
        <f>IF(SER_hh_emih!V3=0,0,SER_hh_emih!V3/SER_summary!V$26)</f>
        <v>10.414657568234952</v>
      </c>
      <c r="W3" s="125">
        <f>IF(SER_hh_emih!W3=0,0,SER_hh_emih!W3/SER_summary!W$26)</f>
        <v>9.9021805644929835</v>
      </c>
      <c r="X3" s="125">
        <f>IF(SER_hh_emih!X3=0,0,SER_hh_emih!X3/SER_summary!X$26)</f>
        <v>8.7989802153360017</v>
      </c>
      <c r="Y3" s="125">
        <f>IF(SER_hh_emih!Y3=0,0,SER_hh_emih!Y3/SER_summary!Y$26)</f>
        <v>7.6780224780992938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22.584661172236377</v>
      </c>
      <c r="C4" s="130">
        <f>IF(SER_hh_emih!C4=0,0,SER_hh_emih!C4/SER_summary!C$26)</f>
        <v>18.605344312388482</v>
      </c>
      <c r="D4" s="130">
        <f>IF(SER_hh_emih!D4=0,0,SER_hh_emih!D4/SER_summary!D$26)</f>
        <v>17.509756142097096</v>
      </c>
      <c r="E4" s="130">
        <f>IF(SER_hh_emih!E4=0,0,SER_hh_emih!E4/SER_summary!E$26)</f>
        <v>21.766695394103994</v>
      </c>
      <c r="F4" s="130">
        <f>IF(SER_hh_emih!F4=0,0,SER_hh_emih!F4/SER_summary!F$26)</f>
        <v>21.84878232212624</v>
      </c>
      <c r="G4" s="130">
        <f>IF(SER_hh_emih!G4=0,0,SER_hh_emih!G4/SER_summary!G$26)</f>
        <v>14.257291097615758</v>
      </c>
      <c r="H4" s="130">
        <f>IF(SER_hh_emih!H4=0,0,SER_hh_emih!H4/SER_summary!H$26)</f>
        <v>14.756380534508889</v>
      </c>
      <c r="I4" s="130">
        <f>IF(SER_hh_emih!I4=0,0,SER_hh_emih!I4/SER_summary!I$26)</f>
        <v>12.246409659101541</v>
      </c>
      <c r="J4" s="130">
        <f>IF(SER_hh_emih!J4=0,0,SER_hh_emih!J4/SER_summary!J$26)</f>
        <v>13.754219222868732</v>
      </c>
      <c r="K4" s="130">
        <f>IF(SER_hh_emih!K4=0,0,SER_hh_emih!K4/SER_summary!K$26)</f>
        <v>11.227877032487761</v>
      </c>
      <c r="L4" s="130">
        <f>IF(SER_hh_emih!L4=0,0,SER_hh_emih!L4/SER_summary!L$26)</f>
        <v>12.018498776844339</v>
      </c>
      <c r="M4" s="130">
        <f>IF(SER_hh_emih!M4=0,0,SER_hh_emih!M4/SER_summary!M$26)</f>
        <v>11.231876726241582</v>
      </c>
      <c r="N4" s="130">
        <f>IF(SER_hh_emih!N4=0,0,SER_hh_emih!N4/SER_summary!N$26)</f>
        <v>10.401457868526361</v>
      </c>
      <c r="O4" s="130">
        <f>IF(SER_hh_emih!O4=0,0,SER_hh_emih!O4/SER_summary!O$26)</f>
        <v>9.77644545424819</v>
      </c>
      <c r="P4" s="130">
        <f>IF(SER_hh_emih!P4=0,0,SER_hh_emih!P4/SER_summary!P$26)</f>
        <v>9.23616857392906</v>
      </c>
      <c r="Q4" s="130">
        <f>IF(SER_hh_emih!Q4=0,0,SER_hh_emih!Q4/SER_summary!Q$26)</f>
        <v>9.1404819178898276</v>
      </c>
      <c r="R4" s="130">
        <f>IF(SER_hh_emih!R4=0,0,SER_hh_emih!R4/SER_summary!R$26)</f>
        <v>9.128948314290243</v>
      </c>
      <c r="S4" s="130">
        <f>IF(SER_hh_emih!S4=0,0,SER_hh_emih!S4/SER_summary!S$26)</f>
        <v>9.4224392766796061</v>
      </c>
      <c r="T4" s="130">
        <f>IF(SER_hh_emih!T4=0,0,SER_hh_emih!T4/SER_summary!T$26)</f>
        <v>8.2820496171512978</v>
      </c>
      <c r="U4" s="130">
        <f>IF(SER_hh_emih!U4=0,0,SER_hh_emih!U4/SER_summary!U$26)</f>
        <v>8.6206849486340076</v>
      </c>
      <c r="V4" s="130">
        <f>IF(SER_hh_emih!V4=0,0,SER_hh_emih!V4/SER_summary!V$26)</f>
        <v>7.6981111732304797</v>
      </c>
      <c r="W4" s="130">
        <f>IF(SER_hh_emih!W4=0,0,SER_hh_emih!W4/SER_summary!W$26)</f>
        <v>7.2679244113550672</v>
      </c>
      <c r="X4" s="130">
        <f>IF(SER_hh_emih!X4=0,0,SER_hh_emih!X4/SER_summary!X$26)</f>
        <v>6.4442162761293638</v>
      </c>
      <c r="Y4" s="130">
        <f>IF(SER_hh_emih!Y4=0,0,SER_hh_emih!Y4/SER_summary!Y$26)</f>
        <v>5.5662268489809419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76.900503642033499</v>
      </c>
      <c r="C5" s="132">
        <f>IF(SER_hh_emih!C5=0,0,SER_hh_emih!C5/SER_summary!C$26)</f>
        <v>41.005342423158339</v>
      </c>
      <c r="D5" s="132">
        <f>IF(SER_hh_emih!D5=0,0,SER_hh_emih!D5/SER_summary!D$26)</f>
        <v>41.949894128920292</v>
      </c>
      <c r="E5" s="132">
        <f>IF(SER_hh_emih!E5=0,0,SER_hh_emih!E5/SER_summary!E$26)</f>
        <v>77.10928701763396</v>
      </c>
      <c r="F5" s="132">
        <f>IF(SER_hh_emih!F5=0,0,SER_hh_emih!F5/SER_summary!F$26)</f>
        <v>82.290060217870447</v>
      </c>
      <c r="G5" s="132">
        <f>IF(SER_hh_emih!G5=0,0,SER_hh_emih!G5/SER_summary!G$26)</f>
        <v>20.600729189148481</v>
      </c>
      <c r="H5" s="132">
        <f>IF(SER_hh_emih!H5=0,0,SER_hh_emih!H5/SER_summary!H$26)</f>
        <v>51.399914823724167</v>
      </c>
      <c r="I5" s="132">
        <f>IF(SER_hh_emih!I5=0,0,SER_hh_emih!I5/SER_summary!I$26)</f>
        <v>28.835453040882324</v>
      </c>
      <c r="J5" s="132">
        <f>IF(SER_hh_emih!J5=0,0,SER_hh_emih!J5/SER_summary!J$26)</f>
        <v>48.35163761339367</v>
      </c>
      <c r="K5" s="132">
        <f>IF(SER_hh_emih!K5=0,0,SER_hh_emih!K5/SER_summary!K$26)</f>
        <v>24.825476076427581</v>
      </c>
      <c r="L5" s="132">
        <f>IF(SER_hh_emih!L5=0,0,SER_hh_emih!L5/SER_summary!L$26)</f>
        <v>40.294142071699881</v>
      </c>
      <c r="M5" s="132">
        <f>IF(SER_hh_emih!M5=0,0,SER_hh_emih!M5/SER_summary!M$26)</f>
        <v>38.569011487686595</v>
      </c>
      <c r="N5" s="132">
        <f>IF(SER_hh_emih!N5=0,0,SER_hh_emih!N5/SER_summary!N$26)</f>
        <v>34.530735619372074</v>
      </c>
      <c r="O5" s="132">
        <f>IF(SER_hh_emih!O5=0,0,SER_hh_emih!O5/SER_summary!O$26)</f>
        <v>33.181612705670844</v>
      </c>
      <c r="P5" s="132">
        <f>IF(SER_hh_emih!P5=0,0,SER_hh_emih!P5/SER_summary!P$26)</f>
        <v>29.065808598164487</v>
      </c>
      <c r="Q5" s="132">
        <f>IF(SER_hh_emih!Q5=0,0,SER_hh_emih!Q5/SER_summary!Q$26)</f>
        <v>26.018555730683548</v>
      </c>
      <c r="R5" s="132">
        <f>IF(SER_hh_emih!R5=0,0,SER_hh_emih!R5/SER_summary!R$26)</f>
        <v>32.849584176768879</v>
      </c>
      <c r="S5" s="132">
        <f>IF(SER_hh_emih!S5=0,0,SER_hh_emih!S5/SER_summary!S$26)</f>
        <v>33.373642764200184</v>
      </c>
      <c r="T5" s="132">
        <f>IF(SER_hh_emih!T5=0,0,SER_hh_emih!T5/SER_summary!T$26)</f>
        <v>25.834747658372876</v>
      </c>
      <c r="U5" s="132">
        <f>IF(SER_hh_emih!U5=0,0,SER_hh_emih!U5/SER_summary!U$26)</f>
        <v>32.267532001811517</v>
      </c>
      <c r="V5" s="132">
        <f>IF(SER_hh_emih!V5=0,0,SER_hh_emih!V5/SER_summary!V$26)</f>
        <v>25.573772753918316</v>
      </c>
      <c r="W5" s="132">
        <f>IF(SER_hh_emih!W5=0,0,SER_hh_emih!W5/SER_summary!W$26)</f>
        <v>29.590801843421712</v>
      </c>
      <c r="X5" s="132">
        <f>IF(SER_hh_emih!X5=0,0,SER_hh_emih!X5/SER_summary!X$26)</f>
        <v>30.533640394445442</v>
      </c>
      <c r="Y5" s="132">
        <f>IF(SER_hh_emih!Y5=0,0,SER_hh_emih!Y5/SER_summary!Y$26)</f>
        <v>18.131060830415379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0</v>
      </c>
      <c r="C6" s="132">
        <f>IF(SER_hh_emih!C6=0,0,SER_hh_emih!C6/SER_summary!C$26)</f>
        <v>0</v>
      </c>
      <c r="D6" s="132">
        <f>IF(SER_hh_emih!D6=0,0,SER_hh_emih!D6/SER_summary!D$26)</f>
        <v>0</v>
      </c>
      <c r="E6" s="132">
        <f>IF(SER_hh_emih!E6=0,0,SER_hh_emih!E6/SER_summary!E$26)</f>
        <v>0</v>
      </c>
      <c r="F6" s="132">
        <f>IF(SER_hh_emih!F6=0,0,SER_hh_emih!F6/SER_summary!F$26)</f>
        <v>0</v>
      </c>
      <c r="G6" s="132">
        <f>IF(SER_hh_emih!G6=0,0,SER_hh_emih!G6/SER_summary!G$26)</f>
        <v>0</v>
      </c>
      <c r="H6" s="132">
        <f>IF(SER_hh_emih!H6=0,0,SER_hh_emih!H6/SER_summary!H$26)</f>
        <v>0</v>
      </c>
      <c r="I6" s="132">
        <f>IF(SER_hh_emih!I6=0,0,SER_hh_emih!I6/SER_summary!I$26)</f>
        <v>0</v>
      </c>
      <c r="J6" s="132">
        <f>IF(SER_hh_emih!J6=0,0,SER_hh_emih!J6/SER_summary!J$26)</f>
        <v>0</v>
      </c>
      <c r="K6" s="132">
        <f>IF(SER_hh_emih!K6=0,0,SER_hh_emih!K6/SER_summary!K$26)</f>
        <v>0</v>
      </c>
      <c r="L6" s="132">
        <f>IF(SER_hh_emih!L6=0,0,SER_hh_emih!L6/SER_summary!L$26)</f>
        <v>0</v>
      </c>
      <c r="M6" s="132">
        <f>IF(SER_hh_emih!M6=0,0,SER_hh_emih!M6/SER_summary!M$26)</f>
        <v>0</v>
      </c>
      <c r="N6" s="132">
        <f>IF(SER_hh_emih!N6=0,0,SER_hh_emih!N6/SER_summary!N$26)</f>
        <v>0</v>
      </c>
      <c r="O6" s="132">
        <f>IF(SER_hh_emih!O6=0,0,SER_hh_emih!O6/SER_summary!O$26)</f>
        <v>0</v>
      </c>
      <c r="P6" s="132">
        <f>IF(SER_hh_emih!P6=0,0,SER_hh_emih!P6/SER_summary!P$26)</f>
        <v>0</v>
      </c>
      <c r="Q6" s="132">
        <f>IF(SER_hh_emih!Q6=0,0,SER_hh_emih!Q6/SER_summary!Q$26)</f>
        <v>0</v>
      </c>
      <c r="R6" s="132">
        <f>IF(SER_hh_emih!R6=0,0,SER_hh_emih!R6/SER_summary!R$26)</f>
        <v>0</v>
      </c>
      <c r="S6" s="132">
        <f>IF(SER_hh_emih!S6=0,0,SER_hh_emih!S6/SER_summary!S$26)</f>
        <v>0</v>
      </c>
      <c r="T6" s="132">
        <f>IF(SER_hh_emih!T6=0,0,SER_hh_emih!T6/SER_summary!T$26)</f>
        <v>0</v>
      </c>
      <c r="U6" s="132">
        <f>IF(SER_hh_emih!U6=0,0,SER_hh_emih!U6/SER_summary!U$26)</f>
        <v>0</v>
      </c>
      <c r="V6" s="132">
        <f>IF(SER_hh_emih!V6=0,0,SER_hh_emih!V6/SER_summary!V$26)</f>
        <v>0</v>
      </c>
      <c r="W6" s="132">
        <f>IF(SER_hh_emih!W6=0,0,SER_hh_emih!W6/SER_summary!W$26)</f>
        <v>0</v>
      </c>
      <c r="X6" s="132">
        <f>IF(SER_hh_emih!X6=0,0,SER_hh_emih!X6/SER_summary!X$26)</f>
        <v>0</v>
      </c>
      <c r="Y6" s="132">
        <f>IF(SER_hh_emih!Y6=0,0,SER_hh_emih!Y6/SER_summary!Y$26)</f>
        <v>0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65.246215603756212</v>
      </c>
      <c r="C7" s="132">
        <f>IF(SER_hh_emih!C7=0,0,SER_hh_emih!C7/SER_summary!C$26)</f>
        <v>23.414456471165074</v>
      </c>
      <c r="D7" s="132">
        <f>IF(SER_hh_emih!D7=0,0,SER_hh_emih!D7/SER_summary!D$26)</f>
        <v>59.286902953513824</v>
      </c>
      <c r="E7" s="132">
        <f>IF(SER_hh_emih!E7=0,0,SER_hh_emih!E7/SER_summary!E$26)</f>
        <v>46.341785522779794</v>
      </c>
      <c r="F7" s="132">
        <f>IF(SER_hh_emih!F7=0,0,SER_hh_emih!F7/SER_summary!F$26)</f>
        <v>49.863638043807413</v>
      </c>
      <c r="G7" s="132">
        <f>IF(SER_hh_emih!G7=0,0,SER_hh_emih!G7/SER_summary!G$26)</f>
        <v>34.083646949341208</v>
      </c>
      <c r="H7" s="132">
        <f>IF(SER_hh_emih!H7=0,0,SER_hh_emih!H7/SER_summary!H$26)</f>
        <v>36.683172692799516</v>
      </c>
      <c r="I7" s="132">
        <f>IF(SER_hh_emih!I7=0,0,SER_hh_emih!I7/SER_summary!I$26)</f>
        <v>34.230221011612045</v>
      </c>
      <c r="J7" s="132">
        <f>IF(SER_hh_emih!J7=0,0,SER_hh_emih!J7/SER_summary!J$26)</f>
        <v>35.228686056668678</v>
      </c>
      <c r="K7" s="132">
        <f>IF(SER_hh_emih!K7=0,0,SER_hh_emih!K7/SER_summary!K$26)</f>
        <v>27.729208303746578</v>
      </c>
      <c r="L7" s="132">
        <f>IF(SER_hh_emih!L7=0,0,SER_hh_emih!L7/SER_summary!L$26)</f>
        <v>34.964992932773825</v>
      </c>
      <c r="M7" s="132">
        <f>IF(SER_hh_emih!M7=0,0,SER_hh_emih!M7/SER_summary!M$26)</f>
        <v>25.454156951267745</v>
      </c>
      <c r="N7" s="132">
        <f>IF(SER_hh_emih!N7=0,0,SER_hh_emih!N7/SER_summary!N$26)</f>
        <v>37.149103393357365</v>
      </c>
      <c r="O7" s="132">
        <f>IF(SER_hh_emih!O7=0,0,SER_hh_emih!O7/SER_summary!O$26)</f>
        <v>27.559432786667173</v>
      </c>
      <c r="P7" s="132">
        <f>IF(SER_hh_emih!P7=0,0,SER_hh_emih!P7/SER_summary!P$26)</f>
        <v>17.449527942822542</v>
      </c>
      <c r="Q7" s="132">
        <f>IF(SER_hh_emih!Q7=0,0,SER_hh_emih!Q7/SER_summary!Q$26)</f>
        <v>29.916143728512317</v>
      </c>
      <c r="R7" s="132">
        <f>IF(SER_hh_emih!R7=0,0,SER_hh_emih!R7/SER_summary!R$26)</f>
        <v>27.421768675553952</v>
      </c>
      <c r="S7" s="132">
        <f>IF(SER_hh_emih!S7=0,0,SER_hh_emih!S7/SER_summary!S$26)</f>
        <v>28.34664510201894</v>
      </c>
      <c r="T7" s="132">
        <f>IF(SER_hh_emih!T7=0,0,SER_hh_emih!T7/SER_summary!T$26)</f>
        <v>20.682260638326149</v>
      </c>
      <c r="U7" s="132">
        <f>IF(SER_hh_emih!U7=0,0,SER_hh_emih!U7/SER_summary!U$26)</f>
        <v>19.932263336719913</v>
      </c>
      <c r="V7" s="132">
        <f>IF(SER_hh_emih!V7=0,0,SER_hh_emih!V7/SER_summary!V$26)</f>
        <v>22.547872963646761</v>
      </c>
      <c r="W7" s="132">
        <f>IF(SER_hh_emih!W7=0,0,SER_hh_emih!W7/SER_summary!W$26)</f>
        <v>24.990229197784892</v>
      </c>
      <c r="X7" s="132">
        <f>IF(SER_hh_emih!X7=0,0,SER_hh_emih!X7/SER_summary!X$26)</f>
        <v>18.175927282571045</v>
      </c>
      <c r="Y7" s="132">
        <f>IF(SER_hh_emih!Y7=0,0,SER_hh_emih!Y7/SER_summary!Y$26)</f>
        <v>20.070464911269209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0</v>
      </c>
      <c r="C8" s="132">
        <f>IF(SER_hh_emih!C8=0,0,SER_hh_emih!C8/SER_summary!C$26)</f>
        <v>0</v>
      </c>
      <c r="D8" s="132">
        <f>IF(SER_hh_emih!D8=0,0,SER_hh_emih!D8/SER_summary!D$26)</f>
        <v>0</v>
      </c>
      <c r="E8" s="132">
        <f>IF(SER_hh_emih!E8=0,0,SER_hh_emih!E8/SER_summary!E$26)</f>
        <v>0</v>
      </c>
      <c r="F8" s="132">
        <f>IF(SER_hh_emih!F8=0,0,SER_hh_emih!F8/SER_summary!F$26)</f>
        <v>0</v>
      </c>
      <c r="G8" s="132">
        <f>IF(SER_hh_emih!G8=0,0,SER_hh_emih!G8/SER_summary!G$26)</f>
        <v>3.8145398869609859</v>
      </c>
      <c r="H8" s="132">
        <f>IF(SER_hh_emih!H8=0,0,SER_hh_emih!H8/SER_summary!H$26)</f>
        <v>4.384255497148283</v>
      </c>
      <c r="I8" s="132">
        <f>IF(SER_hh_emih!I8=0,0,SER_hh_emih!I8/SER_summary!I$26)</f>
        <v>4.8429351895793094</v>
      </c>
      <c r="J8" s="132">
        <f>IF(SER_hh_emih!J8=0,0,SER_hh_emih!J8/SER_summary!J$26)</f>
        <v>5.3635861619827132</v>
      </c>
      <c r="K8" s="132">
        <f>IF(SER_hh_emih!K8=0,0,SER_hh_emih!K8/SER_summary!K$26)</f>
        <v>4.958235111375469</v>
      </c>
      <c r="L8" s="132">
        <f>IF(SER_hh_emih!L8=0,0,SER_hh_emih!L8/SER_summary!L$26)</f>
        <v>4.2623146074643357</v>
      </c>
      <c r="M8" s="132">
        <f>IF(SER_hh_emih!M8=0,0,SER_hh_emih!M8/SER_summary!M$26)</f>
        <v>3.8615778289672553</v>
      </c>
      <c r="N8" s="132">
        <f>IF(SER_hh_emih!N8=0,0,SER_hh_emih!N8/SER_summary!N$26)</f>
        <v>3.2827117510764952</v>
      </c>
      <c r="O8" s="132">
        <f>IF(SER_hh_emih!O8=0,0,SER_hh_emih!O8/SER_summary!O$26)</f>
        <v>3.5362077267940664</v>
      </c>
      <c r="P8" s="132">
        <f>IF(SER_hh_emih!P8=0,0,SER_hh_emih!P8/SER_summary!P$26)</f>
        <v>3.7968901586394193</v>
      </c>
      <c r="Q8" s="132">
        <f>IF(SER_hh_emih!Q8=0,0,SER_hh_emih!Q8/SER_summary!Q$26)</f>
        <v>3.5012569020130671</v>
      </c>
      <c r="R8" s="132">
        <f>IF(SER_hh_emih!R8=0,0,SER_hh_emih!R8/SER_summary!R$26)</f>
        <v>3.3959866363205244</v>
      </c>
      <c r="S8" s="132">
        <f>IF(SER_hh_emih!S8=0,0,SER_hh_emih!S8/SER_summary!S$26)</f>
        <v>3.3021196227108449</v>
      </c>
      <c r="T8" s="132">
        <f>IF(SER_hh_emih!T8=0,0,SER_hh_emih!T8/SER_summary!T$26)</f>
        <v>3.1794360253137337</v>
      </c>
      <c r="U8" s="132">
        <f>IF(SER_hh_emih!U8=0,0,SER_hh_emih!U8/SER_summary!U$26)</f>
        <v>3.1729107864418538</v>
      </c>
      <c r="V8" s="132">
        <f>IF(SER_hh_emih!V8=0,0,SER_hh_emih!V8/SER_summary!V$26)</f>
        <v>2.9798412039357927</v>
      </c>
      <c r="W8" s="132">
        <f>IF(SER_hh_emih!W8=0,0,SER_hh_emih!W8/SER_summary!W$26)</f>
        <v>2.8855977877618244</v>
      </c>
      <c r="X8" s="132">
        <f>IF(SER_hh_emih!X8=0,0,SER_hh_emih!X8/SER_summary!X$26)</f>
        <v>2.6262161065123317</v>
      </c>
      <c r="Y8" s="132">
        <f>IF(SER_hh_emih!Y8=0,0,SER_hh_emih!Y8/SER_summary!Y$26)</f>
        <v>2.4371780827089604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36.251631654734986</v>
      </c>
      <c r="C9" s="132">
        <f>IF(SER_hh_emih!C9=0,0,SER_hh_emih!C9/SER_summary!C$26)</f>
        <v>40.096376657896357</v>
      </c>
      <c r="D9" s="132">
        <f>IF(SER_hh_emih!D9=0,0,SER_hh_emih!D9/SER_summary!D$26)</f>
        <v>34.950867203007036</v>
      </c>
      <c r="E9" s="132">
        <f>IF(SER_hh_emih!E9=0,0,SER_hh_emih!E9/SER_summary!E$26)</f>
        <v>33.914451465489805</v>
      </c>
      <c r="F9" s="132">
        <f>IF(SER_hh_emih!F9=0,0,SER_hh_emih!F9/SER_summary!F$26)</f>
        <v>30.932328146491535</v>
      </c>
      <c r="G9" s="132">
        <f>IF(SER_hh_emih!G9=0,0,SER_hh_emih!G9/SER_summary!G$26)</f>
        <v>28.664966544550065</v>
      </c>
      <c r="H9" s="132">
        <f>IF(SER_hh_emih!H9=0,0,SER_hh_emih!H9/SER_summary!H$26)</f>
        <v>24.714625372965472</v>
      </c>
      <c r="I9" s="132">
        <f>IF(SER_hh_emih!I9=0,0,SER_hh_emih!I9/SER_summary!I$26)</f>
        <v>22.152128118325326</v>
      </c>
      <c r="J9" s="132">
        <f>IF(SER_hh_emih!J9=0,0,SER_hh_emih!J9/SER_summary!J$26)</f>
        <v>23.837536028047953</v>
      </c>
      <c r="K9" s="132">
        <f>IF(SER_hh_emih!K9=0,0,SER_hh_emih!K9/SER_summary!K$26)</f>
        <v>21.607349169152982</v>
      </c>
      <c r="L9" s="132">
        <f>IF(SER_hh_emih!L9=0,0,SER_hh_emih!L9/SER_summary!L$26)</f>
        <v>23.092635950594378</v>
      </c>
      <c r="M9" s="132">
        <f>IF(SER_hh_emih!M9=0,0,SER_hh_emih!M9/SER_summary!M$26)</f>
        <v>21.97560642202864</v>
      </c>
      <c r="N9" s="132">
        <f>IF(SER_hh_emih!N9=0,0,SER_hh_emih!N9/SER_summary!N$26)</f>
        <v>20.447557902966686</v>
      </c>
      <c r="O9" s="132">
        <f>IF(SER_hh_emih!O9=0,0,SER_hh_emih!O9/SER_summary!O$26)</f>
        <v>19.390031577122326</v>
      </c>
      <c r="P9" s="132">
        <f>IF(SER_hh_emih!P9=0,0,SER_hh_emih!P9/SER_summary!P$26)</f>
        <v>18.4453123793079</v>
      </c>
      <c r="Q9" s="132">
        <f>IF(SER_hh_emih!Q9=0,0,SER_hh_emih!Q9/SER_summary!Q$26)</f>
        <v>17.859486398186085</v>
      </c>
      <c r="R9" s="132">
        <f>IF(SER_hh_emih!R9=0,0,SER_hh_emih!R9/SER_summary!R$26)</f>
        <v>18.005256267511662</v>
      </c>
      <c r="S9" s="132">
        <f>IF(SER_hh_emih!S9=0,0,SER_hh_emih!S9/SER_summary!S$26)</f>
        <v>18.796650655105957</v>
      </c>
      <c r="T9" s="132">
        <f>IF(SER_hh_emih!T9=0,0,SER_hh_emih!T9/SER_summary!T$26)</f>
        <v>16.940161302587981</v>
      </c>
      <c r="U9" s="132">
        <f>IF(SER_hh_emih!U9=0,0,SER_hh_emih!U9/SER_summary!U$26)</f>
        <v>17.598188809435968</v>
      </c>
      <c r="V9" s="132">
        <f>IF(SER_hh_emih!V9=0,0,SER_hh_emih!V9/SER_summary!V$26)</f>
        <v>16.095858442567692</v>
      </c>
      <c r="W9" s="132">
        <f>IF(SER_hh_emih!W9=0,0,SER_hh_emih!W9/SER_summary!W$26)</f>
        <v>15.213301303076461</v>
      </c>
      <c r="X9" s="132">
        <f>IF(SER_hh_emih!X9=0,0,SER_hh_emih!X9/SER_summary!X$26)</f>
        <v>13.790245495455089</v>
      </c>
      <c r="Y9" s="132">
        <f>IF(SER_hh_emih!Y9=0,0,SER_hh_emih!Y9/SER_summary!Y$26)</f>
        <v>12.220040606731889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45.232725289103939</v>
      </c>
      <c r="C10" s="132">
        <f>IF(SER_hh_emih!C10=0,0,SER_hh_emih!C10/SER_summary!C$26)</f>
        <v>46.568154873204158</v>
      </c>
      <c r="D10" s="132">
        <f>IF(SER_hh_emih!D10=0,0,SER_hh_emih!D10/SER_summary!D$26)</f>
        <v>32.610863817978874</v>
      </c>
      <c r="E10" s="132">
        <f>IF(SER_hh_emih!E10=0,0,SER_hh_emih!E10/SER_summary!E$26)</f>
        <v>30.332947722064755</v>
      </c>
      <c r="F10" s="132">
        <f>IF(SER_hh_emih!F10=0,0,SER_hh_emih!F10/SER_summary!F$26)</f>
        <v>24.190185503593291</v>
      </c>
      <c r="G10" s="132">
        <f>IF(SER_hh_emih!G10=0,0,SER_hh_emih!G10/SER_summary!G$26)</f>
        <v>23.57493238608939</v>
      </c>
      <c r="H10" s="132">
        <f>IF(SER_hh_emih!H10=0,0,SER_hh_emih!H10/SER_summary!H$26)</f>
        <v>19.966326787202068</v>
      </c>
      <c r="I10" s="132">
        <f>IF(SER_hh_emih!I10=0,0,SER_hh_emih!I10/SER_summary!I$26)</f>
        <v>24.157279314928026</v>
      </c>
      <c r="J10" s="132">
        <f>IF(SER_hh_emih!J10=0,0,SER_hh_emih!J10/SER_summary!J$26)</f>
        <v>26.850054049023143</v>
      </c>
      <c r="K10" s="132">
        <f>IF(SER_hh_emih!K10=0,0,SER_hh_emih!K10/SER_summary!K$26)</f>
        <v>22.435150307627083</v>
      </c>
      <c r="L10" s="132">
        <f>IF(SER_hh_emih!L10=0,0,SER_hh_emih!L10/SER_summary!L$26)</f>
        <v>24.856494873012757</v>
      </c>
      <c r="M10" s="132">
        <f>IF(SER_hh_emih!M10=0,0,SER_hh_emih!M10/SER_summary!M$26)</f>
        <v>21.286139835076856</v>
      </c>
      <c r="N10" s="132">
        <f>IF(SER_hh_emih!N10=0,0,SER_hh_emih!N10/SER_summary!N$26)</f>
        <v>19.409002107346787</v>
      </c>
      <c r="O10" s="132">
        <f>IF(SER_hh_emih!O10=0,0,SER_hh_emih!O10/SER_summary!O$26)</f>
        <v>19.64363364845379</v>
      </c>
      <c r="P10" s="132">
        <f>IF(SER_hh_emih!P10=0,0,SER_hh_emih!P10/SER_summary!P$26)</f>
        <v>18.97647430116043</v>
      </c>
      <c r="Q10" s="132">
        <f>IF(SER_hh_emih!Q10=0,0,SER_hh_emih!Q10/SER_summary!Q$26)</f>
        <v>20.115424204665</v>
      </c>
      <c r="R10" s="132">
        <f>IF(SER_hh_emih!R10=0,0,SER_hh_emih!R10/SER_summary!R$26)</f>
        <v>18.598313375450406</v>
      </c>
      <c r="S10" s="132">
        <f>IF(SER_hh_emih!S10=0,0,SER_hh_emih!S10/SER_summary!S$26)</f>
        <v>19.322560654845041</v>
      </c>
      <c r="T10" s="132">
        <f>IF(SER_hh_emih!T10=0,0,SER_hh_emih!T10/SER_summary!T$26)</f>
        <v>20.313989453240179</v>
      </c>
      <c r="U10" s="132">
        <f>IF(SER_hh_emih!U10=0,0,SER_hh_emih!U10/SER_summary!U$26)</f>
        <v>21.878271528488465</v>
      </c>
      <c r="V10" s="132">
        <f>IF(SER_hh_emih!V10=0,0,SER_hh_emih!V10/SER_summary!V$26)</f>
        <v>19.455641512343096</v>
      </c>
      <c r="W10" s="132">
        <f>IF(SER_hh_emih!W10=0,0,SER_hh_emih!W10/SER_summary!W$26)</f>
        <v>20.622902585074968</v>
      </c>
      <c r="X10" s="132">
        <f>IF(SER_hh_emih!X10=0,0,SER_hh_emih!X10/SER_summary!X$26)</f>
        <v>19.530647602359675</v>
      </c>
      <c r="Y10" s="132">
        <f>IF(SER_hh_emih!Y10=0,0,SER_hh_emih!Y10/SER_summary!Y$26)</f>
        <v>16.89450180398627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0</v>
      </c>
      <c r="C16" s="130">
        <f>IF(SER_hh_emih!C16=0,0,SER_hh_emih!C16/SER_summary!C$26)</f>
        <v>0</v>
      </c>
      <c r="D16" s="130">
        <f>IF(SER_hh_emih!D16=0,0,SER_hh_emih!D16/SER_summary!D$26)</f>
        <v>0</v>
      </c>
      <c r="E16" s="130">
        <f>IF(SER_hh_emih!E16=0,0,SER_hh_emih!E16/SER_summary!E$26)</f>
        <v>0</v>
      </c>
      <c r="F16" s="130">
        <f>IF(SER_hh_emih!F16=0,0,SER_hh_emih!F16/SER_summary!F$26)</f>
        <v>0</v>
      </c>
      <c r="G16" s="130">
        <f>IF(SER_hh_emih!G16=0,0,SER_hh_emih!G16/SER_summary!G$26)</f>
        <v>4.4838548013345896E-3</v>
      </c>
      <c r="H16" s="130">
        <f>IF(SER_hh_emih!H16=0,0,SER_hh_emih!H16/SER_summary!H$26)</f>
        <v>4.6850012280471804E-3</v>
      </c>
      <c r="I16" s="130">
        <f>IF(SER_hh_emih!I16=0,0,SER_hh_emih!I16/SER_summary!I$26)</f>
        <v>5.5612147237121164E-3</v>
      </c>
      <c r="J16" s="130">
        <f>IF(SER_hh_emih!J16=0,0,SER_hh_emih!J16/SER_summary!J$26)</f>
        <v>5.0589266318839931E-3</v>
      </c>
      <c r="K16" s="130">
        <f>IF(SER_hh_emih!K16=0,0,SER_hh_emih!K16/SER_summary!K$26)</f>
        <v>6.1098829582369313E-3</v>
      </c>
      <c r="L16" s="130">
        <f>IF(SER_hh_emih!L16=0,0,SER_hh_emih!L16/SER_summary!L$26)</f>
        <v>5.8308945203703862E-3</v>
      </c>
      <c r="M16" s="130">
        <f>IF(SER_hh_emih!M16=0,0,SER_hh_emih!M16/SER_summary!M$26)</f>
        <v>5.6810064399942239E-3</v>
      </c>
      <c r="N16" s="130">
        <f>IF(SER_hh_emih!N16=0,0,SER_hh_emih!N16/SER_summary!N$26)</f>
        <v>5.7398675265655464E-3</v>
      </c>
      <c r="O16" s="130">
        <f>IF(SER_hh_emih!O16=0,0,SER_hh_emih!O16/SER_summary!O$26)</f>
        <v>6.941607896307574E-3</v>
      </c>
      <c r="P16" s="130">
        <f>IF(SER_hh_emih!P16=0,0,SER_hh_emih!P16/SER_summary!P$26)</f>
        <v>9.2934463201649713E-3</v>
      </c>
      <c r="Q16" s="130">
        <f>IF(SER_hh_emih!Q16=0,0,SER_hh_emih!Q16/SER_summary!Q$26)</f>
        <v>1.6338660198159598E-2</v>
      </c>
      <c r="R16" s="130">
        <f>IF(SER_hh_emih!R16=0,0,SER_hh_emih!R16/SER_summary!R$26)</f>
        <v>1.5946204232768563E-2</v>
      </c>
      <c r="S16" s="130">
        <f>IF(SER_hh_emih!S16=0,0,SER_hh_emih!S16/SER_summary!S$26)</f>
        <v>1.8903445739426913E-2</v>
      </c>
      <c r="T16" s="130">
        <f>IF(SER_hh_emih!T16=0,0,SER_hh_emih!T16/SER_summary!T$26)</f>
        <v>2.3346254866825764E-2</v>
      </c>
      <c r="U16" s="130">
        <f>IF(SER_hh_emih!U16=0,0,SER_hh_emih!U16/SER_summary!U$26)</f>
        <v>2.2951200560288515E-2</v>
      </c>
      <c r="V16" s="130">
        <f>IF(SER_hh_emih!V16=0,0,SER_hh_emih!V16/SER_summary!V$26)</f>
        <v>2.459601932490962E-2</v>
      </c>
      <c r="W16" s="130">
        <f>IF(SER_hh_emih!W16=0,0,SER_hh_emih!W16/SER_summary!W$26)</f>
        <v>2.5846544812718142E-2</v>
      </c>
      <c r="X16" s="130">
        <f>IF(SER_hh_emih!X16=0,0,SER_hh_emih!X16/SER_summary!X$26)</f>
        <v>2.6698703478989911E-2</v>
      </c>
      <c r="Y16" s="130">
        <f>IF(SER_hh_emih!Y16=0,0,SER_hh_emih!Y16/SER_summary!Y$26)</f>
        <v>2.7444616655076175E-2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0</v>
      </c>
      <c r="C17" s="132">
        <f>IF(SER_hh_emih!C17=0,0,SER_hh_emih!C17/SER_summary!C$26)</f>
        <v>0</v>
      </c>
      <c r="D17" s="132">
        <f>IF(SER_hh_emih!D17=0,0,SER_hh_emih!D17/SER_summary!D$26)</f>
        <v>0</v>
      </c>
      <c r="E17" s="132">
        <f>IF(SER_hh_emih!E17=0,0,SER_hh_emih!E17/SER_summary!E$26)</f>
        <v>0</v>
      </c>
      <c r="F17" s="132">
        <f>IF(SER_hh_emih!F17=0,0,SER_hh_emih!F17/SER_summary!F$26)</f>
        <v>0</v>
      </c>
      <c r="G17" s="132">
        <f>IF(SER_hh_emih!G17=0,0,SER_hh_emih!G17/SER_summary!G$26)</f>
        <v>4.4405755475644053</v>
      </c>
      <c r="H17" s="132">
        <f>IF(SER_hh_emih!H17=0,0,SER_hh_emih!H17/SER_summary!H$26)</f>
        <v>4.5553573761252037</v>
      </c>
      <c r="I17" s="132">
        <f>IF(SER_hh_emih!I17=0,0,SER_hh_emih!I17/SER_summary!I$26)</f>
        <v>4.4617453740609898</v>
      </c>
      <c r="J17" s="132">
        <f>IF(SER_hh_emih!J17=0,0,SER_hh_emih!J17/SER_summary!J$26)</f>
        <v>4.3928852844868969</v>
      </c>
      <c r="K17" s="132">
        <f>IF(SER_hh_emih!K17=0,0,SER_hh_emih!K17/SER_summary!K$26)</f>
        <v>4.3546173000254411</v>
      </c>
      <c r="L17" s="132">
        <f>IF(SER_hh_emih!L17=0,0,SER_hh_emih!L17/SER_summary!L$26)</f>
        <v>4.4628534260042541</v>
      </c>
      <c r="M17" s="132">
        <f>IF(SER_hh_emih!M17=0,0,SER_hh_emih!M17/SER_summary!M$26)</f>
        <v>4.3769517714579633</v>
      </c>
      <c r="N17" s="132">
        <f>IF(SER_hh_emih!N17=0,0,SER_hh_emih!N17/SER_summary!N$26)</f>
        <v>4.4067823782276685</v>
      </c>
      <c r="O17" s="132">
        <f>IF(SER_hh_emih!O17=0,0,SER_hh_emih!O17/SER_summary!O$26)</f>
        <v>4.5268367988219573</v>
      </c>
      <c r="P17" s="132">
        <f>IF(SER_hh_emih!P17=0,0,SER_hh_emih!P17/SER_summary!P$26)</f>
        <v>4.1835440397227091</v>
      </c>
      <c r="Q17" s="132">
        <f>IF(SER_hh_emih!Q17=0,0,SER_hh_emih!Q17/SER_summary!Q$26)</f>
        <v>4.7804047887597001</v>
      </c>
      <c r="R17" s="132">
        <f>IF(SER_hh_emih!R17=0,0,SER_hh_emih!R17/SER_summary!R$26)</f>
        <v>4.0485195487684713</v>
      </c>
      <c r="S17" s="132">
        <f>IF(SER_hh_emih!S17=0,0,SER_hh_emih!S17/SER_summary!S$26)</f>
        <v>4.07108074966425</v>
      </c>
      <c r="T17" s="132">
        <f>IF(SER_hh_emih!T17=0,0,SER_hh_emih!T17/SER_summary!T$26)</f>
        <v>4.4949444507701442</v>
      </c>
      <c r="U17" s="132">
        <f>IF(SER_hh_emih!U17=0,0,SER_hh_emih!U17/SER_summary!U$26)</f>
        <v>4.1584524870049178</v>
      </c>
      <c r="V17" s="132">
        <f>IF(SER_hh_emih!V17=0,0,SER_hh_emih!V17/SER_summary!V$26)</f>
        <v>3.9096461043576149</v>
      </c>
      <c r="W17" s="132">
        <f>IF(SER_hh_emih!W17=0,0,SER_hh_emih!W17/SER_summary!W$26)</f>
        <v>3.8849194806874645</v>
      </c>
      <c r="X17" s="132">
        <f>IF(SER_hh_emih!X17=0,0,SER_hh_emih!X17/SER_summary!X$26)</f>
        <v>3.9870055366623194</v>
      </c>
      <c r="Y17" s="132">
        <f>IF(SER_hh_emih!Y17=0,0,SER_hh_emih!Y17/SER_summary!Y$26)</f>
        <v>3.9491310139964404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1.0237286544885267</v>
      </c>
      <c r="C19" s="130">
        <f>IF(SER_hh_emih!C19=0,0,SER_hh_emih!C19/SER_summary!C$26)</f>
        <v>1.0109456762695777</v>
      </c>
      <c r="D19" s="130">
        <f>IF(SER_hh_emih!D19=0,0,SER_hh_emih!D19/SER_summary!D$26)</f>
        <v>1.0339050844073987</v>
      </c>
      <c r="E19" s="130">
        <f>IF(SER_hh_emih!E19=0,0,SER_hh_emih!E19/SER_summary!E$26)</f>
        <v>1.0148464209487582</v>
      </c>
      <c r="F19" s="130">
        <f>IF(SER_hh_emih!F19=0,0,SER_hh_emih!F19/SER_summary!F$26)</f>
        <v>1.0043179876627581</v>
      </c>
      <c r="G19" s="130">
        <f>IF(SER_hh_emih!G19=0,0,SER_hh_emih!G19/SER_summary!G$26)</f>
        <v>1.0270340474731703</v>
      </c>
      <c r="H19" s="130">
        <f>IF(SER_hh_emih!H19=0,0,SER_hh_emih!H19/SER_summary!H$26)</f>
        <v>1.0438398912513109</v>
      </c>
      <c r="I19" s="130">
        <f>IF(SER_hh_emih!I19=0,0,SER_hh_emih!I19/SER_summary!I$26)</f>
        <v>1.0576037071894238</v>
      </c>
      <c r="J19" s="130">
        <f>IF(SER_hh_emih!J19=0,0,SER_hh_emih!J19/SER_summary!J$26)</f>
        <v>1.0988695032650067</v>
      </c>
      <c r="K19" s="130">
        <f>IF(SER_hh_emih!K19=0,0,SER_hh_emih!K19/SER_summary!K$26)</f>
        <v>1.3497304076441907</v>
      </c>
      <c r="L19" s="130">
        <f>IF(SER_hh_emih!L19=0,0,SER_hh_emih!L19/SER_summary!L$26)</f>
        <v>1.2617579861200059</v>
      </c>
      <c r="M19" s="130">
        <f>IF(SER_hh_emih!M19=0,0,SER_hh_emih!M19/SER_summary!M$26)</f>
        <v>1.2530354010894358</v>
      </c>
      <c r="N19" s="130">
        <f>IF(SER_hh_emih!N19=0,0,SER_hh_emih!N19/SER_summary!N$26)</f>
        <v>1.2595941347200839</v>
      </c>
      <c r="O19" s="130">
        <f>IF(SER_hh_emih!O19=0,0,SER_hh_emih!O19/SER_summary!O$26)</f>
        <v>1.2585651952503192</v>
      </c>
      <c r="P19" s="130">
        <f>IF(SER_hh_emih!P19=0,0,SER_hh_emih!P19/SER_summary!P$26)</f>
        <v>1.2475040961658723</v>
      </c>
      <c r="Q19" s="130">
        <f>IF(SER_hh_emih!Q19=0,0,SER_hh_emih!Q19/SER_summary!Q$26)</f>
        <v>1.2309724987317239</v>
      </c>
      <c r="R19" s="130">
        <f>IF(SER_hh_emih!R19=0,0,SER_hh_emih!R19/SER_summary!R$26)</f>
        <v>1.2246541723310198</v>
      </c>
      <c r="S19" s="130">
        <f>IF(SER_hh_emih!S19=0,0,SER_hh_emih!S19/SER_summary!S$26)</f>
        <v>1.2891919955347491</v>
      </c>
      <c r="T19" s="130">
        <f>IF(SER_hh_emih!T19=0,0,SER_hh_emih!T19/SER_summary!T$26)</f>
        <v>1.149687528018478</v>
      </c>
      <c r="U19" s="130">
        <f>IF(SER_hh_emih!U19=0,0,SER_hh_emih!U19/SER_summary!U$26)</f>
        <v>1.1958446020128624</v>
      </c>
      <c r="V19" s="130">
        <f>IF(SER_hh_emih!V19=0,0,SER_hh_emih!V19/SER_summary!V$26)</f>
        <v>1.0878080497308042</v>
      </c>
      <c r="W19" s="130">
        <f>IF(SER_hh_emih!W19=0,0,SER_hh_emih!W19/SER_summary!W$26)</f>
        <v>1.053659311429384</v>
      </c>
      <c r="X19" s="130">
        <f>IF(SER_hh_emih!X19=0,0,SER_hh_emih!X19/SER_summary!X$26)</f>
        <v>0.92780785916094999</v>
      </c>
      <c r="Y19" s="130">
        <f>IF(SER_hh_emih!Y19=0,0,SER_hh_emih!Y19/SER_summary!Y$26)</f>
        <v>0.81587166838654857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0</v>
      </c>
      <c r="C20" s="132">
        <f>IF(SER_hh_emih!C20=0,0,SER_hh_emih!C20/SER_summary!C$26)</f>
        <v>0</v>
      </c>
      <c r="D20" s="132">
        <f>IF(SER_hh_emih!D20=0,0,SER_hh_emih!D20/SER_summary!D$26)</f>
        <v>0</v>
      </c>
      <c r="E20" s="132">
        <f>IF(SER_hh_emih!E20=0,0,SER_hh_emih!E20/SER_summary!E$26)</f>
        <v>0</v>
      </c>
      <c r="F20" s="132">
        <f>IF(SER_hh_emih!F20=0,0,SER_hh_emih!F20/SER_summary!F$26)</f>
        <v>0</v>
      </c>
      <c r="G20" s="132">
        <f>IF(SER_hh_emih!G20=0,0,SER_hh_emih!G20/SER_summary!G$26)</f>
        <v>0</v>
      </c>
      <c r="H20" s="132">
        <f>IF(SER_hh_emih!H20=0,0,SER_hh_emih!H20/SER_summary!H$26)</f>
        <v>0</v>
      </c>
      <c r="I20" s="132">
        <f>IF(SER_hh_emih!I20=0,0,SER_hh_emih!I20/SER_summary!I$26)</f>
        <v>0</v>
      </c>
      <c r="J20" s="132">
        <f>IF(SER_hh_emih!J20=0,0,SER_hh_emih!J20/SER_summary!J$26)</f>
        <v>0</v>
      </c>
      <c r="K20" s="132">
        <f>IF(SER_hh_emih!K20=0,0,SER_hh_emih!K20/SER_summary!K$26)</f>
        <v>0</v>
      </c>
      <c r="L20" s="132">
        <f>IF(SER_hh_emih!L20=0,0,SER_hh_emih!L20/SER_summary!L$26)</f>
        <v>0</v>
      </c>
      <c r="M20" s="132">
        <f>IF(SER_hh_emih!M20=0,0,SER_hh_emih!M20/SER_summary!M$26)</f>
        <v>0</v>
      </c>
      <c r="N20" s="132">
        <f>IF(SER_hh_emih!N20=0,0,SER_hh_emih!N20/SER_summary!N$26)</f>
        <v>0</v>
      </c>
      <c r="O20" s="132">
        <f>IF(SER_hh_emih!O20=0,0,SER_hh_emih!O20/SER_summary!O$26)</f>
        <v>0</v>
      </c>
      <c r="P20" s="132">
        <f>IF(SER_hh_emih!P20=0,0,SER_hh_emih!P20/SER_summary!P$26)</f>
        <v>0</v>
      </c>
      <c r="Q20" s="132">
        <f>IF(SER_hh_emih!Q20=0,0,SER_hh_emih!Q20/SER_summary!Q$26)</f>
        <v>0</v>
      </c>
      <c r="R20" s="132">
        <f>IF(SER_hh_emih!R20=0,0,SER_hh_emih!R20/SER_summary!R$26)</f>
        <v>0</v>
      </c>
      <c r="S20" s="132">
        <f>IF(SER_hh_emih!S20=0,0,SER_hh_emih!S20/SER_summary!S$26)</f>
        <v>0</v>
      </c>
      <c r="T20" s="132">
        <f>IF(SER_hh_emih!T20=0,0,SER_hh_emih!T20/SER_summary!T$26)</f>
        <v>0</v>
      </c>
      <c r="U20" s="132">
        <f>IF(SER_hh_emih!U20=0,0,SER_hh_emih!U20/SER_summary!U$26)</f>
        <v>0</v>
      </c>
      <c r="V20" s="132">
        <f>IF(SER_hh_emih!V20=0,0,SER_hh_emih!V20/SER_summary!V$26)</f>
        <v>0</v>
      </c>
      <c r="W20" s="132">
        <f>IF(SER_hh_emih!W20=0,0,SER_hh_emih!W20/SER_summary!W$26)</f>
        <v>0</v>
      </c>
      <c r="X20" s="132">
        <f>IF(SER_hh_emih!X20=0,0,SER_hh_emih!X20/SER_summary!X$26)</f>
        <v>0</v>
      </c>
      <c r="Y20" s="132">
        <f>IF(SER_hh_emih!Y20=0,0,SER_hh_emih!Y20/SER_summary!Y$26)</f>
        <v>0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0</v>
      </c>
      <c r="C21" s="132">
        <f>IF(SER_hh_emih!C21=0,0,SER_hh_emih!C21/SER_summary!C$26)</f>
        <v>0</v>
      </c>
      <c r="D21" s="132">
        <f>IF(SER_hh_emih!D21=0,0,SER_hh_emih!D21/SER_summary!D$26)</f>
        <v>0</v>
      </c>
      <c r="E21" s="132">
        <f>IF(SER_hh_emih!E21=0,0,SER_hh_emih!E21/SER_summary!E$26)</f>
        <v>0</v>
      </c>
      <c r="F21" s="132">
        <f>IF(SER_hh_emih!F21=0,0,SER_hh_emih!F21/SER_summary!F$26)</f>
        <v>0</v>
      </c>
      <c r="G21" s="132">
        <f>IF(SER_hh_emih!G21=0,0,SER_hh_emih!G21/SER_summary!G$26)</f>
        <v>0</v>
      </c>
      <c r="H21" s="132">
        <f>IF(SER_hh_emih!H21=0,0,SER_hh_emih!H21/SER_summary!H$26)</f>
        <v>0</v>
      </c>
      <c r="I21" s="132">
        <f>IF(SER_hh_emih!I21=0,0,SER_hh_emih!I21/SER_summary!I$26)</f>
        <v>0</v>
      </c>
      <c r="J21" s="132">
        <f>IF(SER_hh_emih!J21=0,0,SER_hh_emih!J21/SER_summary!J$26)</f>
        <v>0</v>
      </c>
      <c r="K21" s="132">
        <f>IF(SER_hh_emih!K21=0,0,SER_hh_emih!K21/SER_summary!K$26)</f>
        <v>0</v>
      </c>
      <c r="L21" s="132">
        <f>IF(SER_hh_emih!L21=0,0,SER_hh_emih!L21/SER_summary!L$26)</f>
        <v>0</v>
      </c>
      <c r="M21" s="132">
        <f>IF(SER_hh_emih!M21=0,0,SER_hh_emih!M21/SER_summary!M$26)</f>
        <v>0</v>
      </c>
      <c r="N21" s="132">
        <f>IF(SER_hh_emih!N21=0,0,SER_hh_emih!N21/SER_summary!N$26)</f>
        <v>0</v>
      </c>
      <c r="O21" s="132">
        <f>IF(SER_hh_emih!O21=0,0,SER_hh_emih!O21/SER_summary!O$26)</f>
        <v>0</v>
      </c>
      <c r="P21" s="132">
        <f>IF(SER_hh_emih!P21=0,0,SER_hh_emih!P21/SER_summary!P$26)</f>
        <v>0</v>
      </c>
      <c r="Q21" s="132">
        <f>IF(SER_hh_emih!Q21=0,0,SER_hh_emih!Q21/SER_summary!Q$26)</f>
        <v>0</v>
      </c>
      <c r="R21" s="132">
        <f>IF(SER_hh_emih!R21=0,0,SER_hh_emih!R21/SER_summary!R$26)</f>
        <v>0</v>
      </c>
      <c r="S21" s="132">
        <f>IF(SER_hh_emih!S21=0,0,SER_hh_emih!S21/SER_summary!S$26)</f>
        <v>0</v>
      </c>
      <c r="T21" s="132">
        <f>IF(SER_hh_emih!T21=0,0,SER_hh_emih!T21/SER_summary!T$26)</f>
        <v>0</v>
      </c>
      <c r="U21" s="132">
        <f>IF(SER_hh_emih!U21=0,0,SER_hh_emih!U21/SER_summary!U$26)</f>
        <v>0</v>
      </c>
      <c r="V21" s="132">
        <f>IF(SER_hh_emih!V21=0,0,SER_hh_emih!V21/SER_summary!V$26)</f>
        <v>0</v>
      </c>
      <c r="W21" s="132">
        <f>IF(SER_hh_emih!W21=0,0,SER_hh_emih!W21/SER_summary!W$26)</f>
        <v>0</v>
      </c>
      <c r="X21" s="132">
        <f>IF(SER_hh_emih!X21=0,0,SER_hh_emih!X21/SER_summary!X$26)</f>
        <v>0</v>
      </c>
      <c r="Y21" s="132">
        <f>IF(SER_hh_emih!Y21=0,0,SER_hh_emih!Y21/SER_summary!Y$26)</f>
        <v>0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0</v>
      </c>
      <c r="C22" s="132">
        <f>IF(SER_hh_emih!C22=0,0,SER_hh_emih!C22/SER_summary!C$26)</f>
        <v>0</v>
      </c>
      <c r="D22" s="132">
        <f>IF(SER_hh_emih!D22=0,0,SER_hh_emih!D22/SER_summary!D$26)</f>
        <v>0</v>
      </c>
      <c r="E22" s="132">
        <f>IF(SER_hh_emih!E22=0,0,SER_hh_emih!E22/SER_summary!E$26)</f>
        <v>0</v>
      </c>
      <c r="F22" s="132">
        <f>IF(SER_hh_emih!F22=0,0,SER_hh_emih!F22/SER_summary!F$26)</f>
        <v>0</v>
      </c>
      <c r="G22" s="132">
        <f>IF(SER_hh_emih!G22=0,0,SER_hh_emih!G22/SER_summary!G$26)</f>
        <v>0</v>
      </c>
      <c r="H22" s="132">
        <f>IF(SER_hh_emih!H22=0,0,SER_hh_emih!H22/SER_summary!H$26)</f>
        <v>0</v>
      </c>
      <c r="I22" s="132">
        <f>IF(SER_hh_emih!I22=0,0,SER_hh_emih!I22/SER_summary!I$26)</f>
        <v>0</v>
      </c>
      <c r="J22" s="132">
        <f>IF(SER_hh_emih!J22=0,0,SER_hh_emih!J22/SER_summary!J$26)</f>
        <v>0</v>
      </c>
      <c r="K22" s="132">
        <f>IF(SER_hh_emih!K22=0,0,SER_hh_emih!K22/SER_summary!K$26)</f>
        <v>0</v>
      </c>
      <c r="L22" s="132">
        <f>IF(SER_hh_emih!L22=0,0,SER_hh_emih!L22/SER_summary!L$26)</f>
        <v>0</v>
      </c>
      <c r="M22" s="132">
        <f>IF(SER_hh_emih!M22=0,0,SER_hh_emih!M22/SER_summary!M$26)</f>
        <v>0</v>
      </c>
      <c r="N22" s="132">
        <f>IF(SER_hh_emih!N22=0,0,SER_hh_emih!N22/SER_summary!N$26)</f>
        <v>0</v>
      </c>
      <c r="O22" s="132">
        <f>IF(SER_hh_emih!O22=0,0,SER_hh_emih!O22/SER_summary!O$26)</f>
        <v>0</v>
      </c>
      <c r="P22" s="132">
        <f>IF(SER_hh_emih!P22=0,0,SER_hh_emih!P22/SER_summary!P$26)</f>
        <v>0</v>
      </c>
      <c r="Q22" s="132">
        <f>IF(SER_hh_emih!Q22=0,0,SER_hh_emih!Q22/SER_summary!Q$26)</f>
        <v>0</v>
      </c>
      <c r="R22" s="132">
        <f>IF(SER_hh_emih!R22=0,0,SER_hh_emih!R22/SER_summary!R$26)</f>
        <v>0</v>
      </c>
      <c r="S22" s="132">
        <f>IF(SER_hh_emih!S22=0,0,SER_hh_emih!S22/SER_summary!S$26)</f>
        <v>0</v>
      </c>
      <c r="T22" s="132">
        <f>IF(SER_hh_emih!T22=0,0,SER_hh_emih!T22/SER_summary!T$26)</f>
        <v>0</v>
      </c>
      <c r="U22" s="132">
        <f>IF(SER_hh_emih!U22=0,0,SER_hh_emih!U22/SER_summary!U$26)</f>
        <v>0</v>
      </c>
      <c r="V22" s="132">
        <f>IF(SER_hh_emih!V22=0,0,SER_hh_emih!V22/SER_summary!V$26)</f>
        <v>0</v>
      </c>
      <c r="W22" s="132">
        <f>IF(SER_hh_emih!W22=0,0,SER_hh_emih!W22/SER_summary!W$26)</f>
        <v>0</v>
      </c>
      <c r="X22" s="132">
        <f>IF(SER_hh_emih!X22=0,0,SER_hh_emih!X22/SER_summary!X$26)</f>
        <v>0</v>
      </c>
      <c r="Y22" s="132">
        <f>IF(SER_hh_emih!Y22=0,0,SER_hh_emih!Y22/SER_summary!Y$26)</f>
        <v>0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3.12788352997595</v>
      </c>
      <c r="C23" s="132">
        <f>IF(SER_hh_emih!C23=0,0,SER_hh_emih!C23/SER_summary!C$26)</f>
        <v>3.060003660943146</v>
      </c>
      <c r="D23" s="132">
        <f>IF(SER_hh_emih!D23=0,0,SER_hh_emih!D23/SER_summary!D$26)</f>
        <v>3.0228646489533535</v>
      </c>
      <c r="E23" s="132">
        <f>IF(SER_hh_emih!E23=0,0,SER_hh_emih!E23/SER_summary!E$26)</f>
        <v>2.8816761224767187</v>
      </c>
      <c r="F23" s="132">
        <f>IF(SER_hh_emih!F23=0,0,SER_hh_emih!F23/SER_summary!F$26)</f>
        <v>2.7517693316716572</v>
      </c>
      <c r="G23" s="132">
        <f>IF(SER_hh_emih!G23=0,0,SER_hh_emih!G23/SER_summary!G$26)</f>
        <v>2.7351826584050256</v>
      </c>
      <c r="H23" s="132">
        <f>IF(SER_hh_emih!H23=0,0,SER_hh_emih!H23/SER_summary!H$26)</f>
        <v>2.6895778868576561</v>
      </c>
      <c r="I23" s="132">
        <f>IF(SER_hh_emih!I23=0,0,SER_hh_emih!I23/SER_summary!I$26)</f>
        <v>2.5826155534079893</v>
      </c>
      <c r="J23" s="132">
        <f>IF(SER_hh_emih!J23=0,0,SER_hh_emih!J23/SER_summary!J$26)</f>
        <v>2.5913187600785195</v>
      </c>
      <c r="K23" s="132">
        <f>IF(SER_hh_emih!K23=0,0,SER_hh_emih!K23/SER_summary!K$26)</f>
        <v>3.0624014257743961</v>
      </c>
      <c r="L23" s="132">
        <f>IF(SER_hh_emih!L23=0,0,SER_hh_emih!L23/SER_summary!L$26)</f>
        <v>2.8507938016239303</v>
      </c>
      <c r="M23" s="132">
        <f>IF(SER_hh_emih!M23=0,0,SER_hh_emih!M23/SER_summary!M$26)</f>
        <v>2.8192838445285662</v>
      </c>
      <c r="N23" s="132">
        <f>IF(SER_hh_emih!N23=0,0,SER_hh_emih!N23/SER_summary!N$26)</f>
        <v>2.8619915377785907</v>
      </c>
      <c r="O23" s="132">
        <f>IF(SER_hh_emih!O23=0,0,SER_hh_emih!O23/SER_summary!O$26)</f>
        <v>2.8604464115697104</v>
      </c>
      <c r="P23" s="132">
        <f>IF(SER_hh_emih!P23=0,0,SER_hh_emih!P23/SER_summary!P$26)</f>
        <v>2.8206709733174757</v>
      </c>
      <c r="Q23" s="132">
        <f>IF(SER_hh_emih!Q23=0,0,SER_hh_emih!Q23/SER_summary!Q$26)</f>
        <v>2.7446336423720883</v>
      </c>
      <c r="R23" s="132">
        <f>IF(SER_hh_emih!R23=0,0,SER_hh_emih!R23/SER_summary!R$26)</f>
        <v>2.7383309229429198</v>
      </c>
      <c r="S23" s="132">
        <f>IF(SER_hh_emih!S23=0,0,SER_hh_emih!S23/SER_summary!S$26)</f>
        <v>2.8451671192477623</v>
      </c>
      <c r="T23" s="132">
        <f>IF(SER_hh_emih!T23=0,0,SER_hh_emih!T23/SER_summary!T$26)</f>
        <v>2.5716977342534073</v>
      </c>
      <c r="U23" s="132">
        <f>IF(SER_hh_emih!U23=0,0,SER_hh_emih!U23/SER_summary!U$26)</f>
        <v>2.6611963369439038</v>
      </c>
      <c r="V23" s="132">
        <f>IF(SER_hh_emih!V23=0,0,SER_hh_emih!V23/SER_summary!V$26)</f>
        <v>2.4685077428884532</v>
      </c>
      <c r="W23" s="132">
        <f>IF(SER_hh_emih!W23=0,0,SER_hh_emih!W23/SER_summary!W$26)</f>
        <v>2.4831291192140461</v>
      </c>
      <c r="X23" s="132">
        <f>IF(SER_hh_emih!X23=0,0,SER_hh_emih!X23/SER_summary!X$26)</f>
        <v>2.3426869567254509</v>
      </c>
      <c r="Y23" s="132">
        <f>IF(SER_hh_emih!Y23=0,0,SER_hh_emih!Y23/SER_summary!Y$26)</f>
        <v>2.2373521581943394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0</v>
      </c>
      <c r="C24" s="132">
        <f>IF(SER_hh_emih!C24=0,0,SER_hh_emih!C24/SER_summary!C$26)</f>
        <v>0</v>
      </c>
      <c r="D24" s="132">
        <f>IF(SER_hh_emih!D24=0,0,SER_hh_emih!D24/SER_summary!D$26)</f>
        <v>0</v>
      </c>
      <c r="E24" s="132">
        <f>IF(SER_hh_emih!E24=0,0,SER_hh_emih!E24/SER_summary!E$26)</f>
        <v>0</v>
      </c>
      <c r="F24" s="132">
        <f>IF(SER_hh_emih!F24=0,0,SER_hh_emih!F24/SER_summary!F$26)</f>
        <v>0</v>
      </c>
      <c r="G24" s="132">
        <f>IF(SER_hh_emih!G24=0,0,SER_hh_emih!G24/SER_summary!G$26)</f>
        <v>0</v>
      </c>
      <c r="H24" s="132">
        <f>IF(SER_hh_emih!H24=0,0,SER_hh_emih!H24/SER_summary!H$26)</f>
        <v>0</v>
      </c>
      <c r="I24" s="132">
        <f>IF(SER_hh_emih!I24=0,0,SER_hh_emih!I24/SER_summary!I$26)</f>
        <v>0</v>
      </c>
      <c r="J24" s="132">
        <f>IF(SER_hh_emih!J24=0,0,SER_hh_emih!J24/SER_summary!J$26)</f>
        <v>0</v>
      </c>
      <c r="K24" s="132">
        <f>IF(SER_hh_emih!K24=0,0,SER_hh_emih!K24/SER_summary!K$26)</f>
        <v>0</v>
      </c>
      <c r="L24" s="132">
        <f>IF(SER_hh_emih!L24=0,0,SER_hh_emih!L24/SER_summary!L$26)</f>
        <v>0</v>
      </c>
      <c r="M24" s="132">
        <f>IF(SER_hh_emih!M24=0,0,SER_hh_emih!M24/SER_summary!M$26)</f>
        <v>0</v>
      </c>
      <c r="N24" s="132">
        <f>IF(SER_hh_emih!N24=0,0,SER_hh_emih!N24/SER_summary!N$26)</f>
        <v>0</v>
      </c>
      <c r="O24" s="132">
        <f>IF(SER_hh_emih!O24=0,0,SER_hh_emih!O24/SER_summary!O$26)</f>
        <v>0</v>
      </c>
      <c r="P24" s="132">
        <f>IF(SER_hh_emih!P24=0,0,SER_hh_emih!P24/SER_summary!P$26)</f>
        <v>0</v>
      </c>
      <c r="Q24" s="132">
        <f>IF(SER_hh_emih!Q24=0,0,SER_hh_emih!Q24/SER_summary!Q$26)</f>
        <v>0</v>
      </c>
      <c r="R24" s="132">
        <f>IF(SER_hh_emih!R24=0,0,SER_hh_emih!R24/SER_summary!R$26)</f>
        <v>0</v>
      </c>
      <c r="S24" s="132">
        <f>IF(SER_hh_emih!S24=0,0,SER_hh_emih!S24/SER_summary!S$26)</f>
        <v>0</v>
      </c>
      <c r="T24" s="132">
        <f>IF(SER_hh_emih!T24=0,0,SER_hh_emih!T24/SER_summary!T$26)</f>
        <v>0</v>
      </c>
      <c r="U24" s="132">
        <f>IF(SER_hh_emih!U24=0,0,SER_hh_emih!U24/SER_summary!U$26)</f>
        <v>0</v>
      </c>
      <c r="V24" s="132">
        <f>IF(SER_hh_emih!V24=0,0,SER_hh_emih!V24/SER_summary!V$26)</f>
        <v>0</v>
      </c>
      <c r="W24" s="132">
        <f>IF(SER_hh_emih!W24=0,0,SER_hh_emih!W24/SER_summary!W$26)</f>
        <v>0</v>
      </c>
      <c r="X24" s="132">
        <f>IF(SER_hh_emih!X24=0,0,SER_hh_emih!X24/SER_summary!X$26)</f>
        <v>0</v>
      </c>
      <c r="Y24" s="132">
        <f>IF(SER_hh_emih!Y24=0,0,SER_hh_emih!Y24/SER_summary!Y$26)</f>
        <v>0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1.2951333968216798</v>
      </c>
      <c r="C29" s="130">
        <f>IF(SER_hh_emih!C29=0,0,SER_hh_emih!C29/SER_summary!C$26)</f>
        <v>1.5132201032530967</v>
      </c>
      <c r="D29" s="130">
        <f>IF(SER_hh_emih!D29=0,0,SER_hh_emih!D29/SER_summary!D$26)</f>
        <v>1.5021912754188189</v>
      </c>
      <c r="E29" s="130">
        <f>IF(SER_hh_emih!E29=0,0,SER_hh_emih!E29/SER_summary!E$26)</f>
        <v>1.4472817282938655</v>
      </c>
      <c r="F29" s="130">
        <f>IF(SER_hh_emih!F29=0,0,SER_hh_emih!F29/SER_summary!F$26)</f>
        <v>1.457426379972987</v>
      </c>
      <c r="G29" s="130">
        <f>IF(SER_hh_emih!G29=0,0,SER_hh_emih!G29/SER_summary!G$26)</f>
        <v>1.4257343701930865</v>
      </c>
      <c r="H29" s="130">
        <f>IF(SER_hh_emih!H29=0,0,SER_hh_emih!H29/SER_summary!H$26)</f>
        <v>1.3777847745561858</v>
      </c>
      <c r="I29" s="130">
        <f>IF(SER_hh_emih!I29=0,0,SER_hh_emih!I29/SER_summary!I$26)</f>
        <v>1.3813688690548791</v>
      </c>
      <c r="J29" s="130">
        <f>IF(SER_hh_emih!J29=0,0,SER_hh_emih!J29/SER_summary!J$26)</f>
        <v>1.4131166077691486</v>
      </c>
      <c r="K29" s="130">
        <f>IF(SER_hh_emih!K29=0,0,SER_hh_emih!K29/SER_summary!K$26)</f>
        <v>1.5852244332167058</v>
      </c>
      <c r="L29" s="130">
        <f>IF(SER_hh_emih!L29=0,0,SER_hh_emih!L29/SER_summary!L$26)</f>
        <v>1.547828214761551</v>
      </c>
      <c r="M29" s="130">
        <f>IF(SER_hh_emih!M29=0,0,SER_hh_emih!M29/SER_summary!M$26)</f>
        <v>1.5436721133781861</v>
      </c>
      <c r="N29" s="130">
        <f>IF(SER_hh_emih!N29=0,0,SER_hh_emih!N29/SER_summary!N$26)</f>
        <v>1.5353814007844813</v>
      </c>
      <c r="O29" s="130">
        <f>IF(SER_hh_emih!O29=0,0,SER_hh_emih!O29/SER_summary!O$26)</f>
        <v>1.5322377451065901</v>
      </c>
      <c r="P29" s="130">
        <f>IF(SER_hh_emih!P29=0,0,SER_hh_emih!P29/SER_summary!P$26)</f>
        <v>1.5323655833642205</v>
      </c>
      <c r="Q29" s="130">
        <f>IF(SER_hh_emih!Q29=0,0,SER_hh_emih!Q29/SER_summary!Q$26)</f>
        <v>1.4999988082514939</v>
      </c>
      <c r="R29" s="130">
        <f>IF(SER_hh_emih!R29=0,0,SER_hh_emih!R29/SER_summary!R$26)</f>
        <v>1.6065255144923276</v>
      </c>
      <c r="S29" s="130">
        <f>IF(SER_hh_emih!S29=0,0,SER_hh_emih!S29/SER_summary!S$26)</f>
        <v>1.8184631348796021</v>
      </c>
      <c r="T29" s="130">
        <f>IF(SER_hh_emih!T29=0,0,SER_hh_emih!T29/SER_summary!T$26)</f>
        <v>1.6902263272587785</v>
      </c>
      <c r="U29" s="130">
        <f>IF(SER_hh_emih!U29=0,0,SER_hh_emih!U29/SER_summary!U$26)</f>
        <v>1.7998642156272768</v>
      </c>
      <c r="V29" s="130">
        <f>IF(SER_hh_emih!V29=0,0,SER_hh_emih!V29/SER_summary!V$26)</f>
        <v>1.6231457533660405</v>
      </c>
      <c r="W29" s="130">
        <f>IF(SER_hh_emih!W29=0,0,SER_hh_emih!W29/SER_summary!W$26)</f>
        <v>1.5747225103174101</v>
      </c>
      <c r="X29" s="130">
        <f>IF(SER_hh_emih!X29=0,0,SER_hh_emih!X29/SER_summary!X$26)</f>
        <v>1.4208938426258211</v>
      </c>
      <c r="Y29" s="130">
        <f>IF(SER_hh_emih!Y29=0,0,SER_hh_emih!Y29/SER_summary!Y$26)</f>
        <v>1.289732291715725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0</v>
      </c>
      <c r="C30" s="132">
        <f>IF(SER_hh_emih!C30=0,0,SER_hh_emih!C30/SER_summary!C$26)</f>
        <v>0</v>
      </c>
      <c r="D30" s="132">
        <f>IF(SER_hh_emih!D30=0,0,SER_hh_emih!D30/SER_summary!D$26)</f>
        <v>0</v>
      </c>
      <c r="E30" s="132">
        <f>IF(SER_hh_emih!E30=0,0,SER_hh_emih!E30/SER_summary!E$26)</f>
        <v>0</v>
      </c>
      <c r="F30" s="132">
        <f>IF(SER_hh_emih!F30=0,0,SER_hh_emih!F30/SER_summary!F$26)</f>
        <v>0</v>
      </c>
      <c r="G30" s="132">
        <f>IF(SER_hh_emih!G30=0,0,SER_hh_emih!G30/SER_summary!G$26)</f>
        <v>0</v>
      </c>
      <c r="H30" s="132">
        <f>IF(SER_hh_emih!H30=0,0,SER_hh_emih!H30/SER_summary!H$26)</f>
        <v>0</v>
      </c>
      <c r="I30" s="132">
        <f>IF(SER_hh_emih!I30=0,0,SER_hh_emih!I30/SER_summary!I$26)</f>
        <v>0</v>
      </c>
      <c r="J30" s="132">
        <f>IF(SER_hh_emih!J30=0,0,SER_hh_emih!J30/SER_summary!J$26)</f>
        <v>0</v>
      </c>
      <c r="K30" s="132">
        <f>IF(SER_hh_emih!K30=0,0,SER_hh_emih!K30/SER_summary!K$26)</f>
        <v>0</v>
      </c>
      <c r="L30" s="132">
        <f>IF(SER_hh_emih!L30=0,0,SER_hh_emih!L30/SER_summary!L$26)</f>
        <v>0</v>
      </c>
      <c r="M30" s="132">
        <f>IF(SER_hh_emih!M30=0,0,SER_hh_emih!M30/SER_summary!M$26)</f>
        <v>0</v>
      </c>
      <c r="N30" s="132">
        <f>IF(SER_hh_emih!N30=0,0,SER_hh_emih!N30/SER_summary!N$26)</f>
        <v>0</v>
      </c>
      <c r="O30" s="132">
        <f>IF(SER_hh_emih!O30=0,0,SER_hh_emih!O30/SER_summary!O$26)</f>
        <v>0</v>
      </c>
      <c r="P30" s="132">
        <f>IF(SER_hh_emih!P30=0,0,SER_hh_emih!P30/SER_summary!P$26)</f>
        <v>0</v>
      </c>
      <c r="Q30" s="132">
        <f>IF(SER_hh_emih!Q30=0,0,SER_hh_emih!Q30/SER_summary!Q$26)</f>
        <v>0</v>
      </c>
      <c r="R30" s="132">
        <f>IF(SER_hh_emih!R30=0,0,SER_hh_emih!R30/SER_summary!R$26)</f>
        <v>0</v>
      </c>
      <c r="S30" s="132">
        <f>IF(SER_hh_emih!S30=0,0,SER_hh_emih!S30/SER_summary!S$26)</f>
        <v>0</v>
      </c>
      <c r="T30" s="132">
        <f>IF(SER_hh_emih!T30=0,0,SER_hh_emih!T30/SER_summary!T$26)</f>
        <v>0</v>
      </c>
      <c r="U30" s="132">
        <f>IF(SER_hh_emih!U30=0,0,SER_hh_emih!U30/SER_summary!U$26)</f>
        <v>0</v>
      </c>
      <c r="V30" s="132">
        <f>IF(SER_hh_emih!V30=0,0,SER_hh_emih!V30/SER_summary!V$26)</f>
        <v>0</v>
      </c>
      <c r="W30" s="132">
        <f>IF(SER_hh_emih!W30=0,0,SER_hh_emih!W30/SER_summary!W$26)</f>
        <v>0</v>
      </c>
      <c r="X30" s="132">
        <f>IF(SER_hh_emih!X30=0,0,SER_hh_emih!X30/SER_summary!X$26)</f>
        <v>0</v>
      </c>
      <c r="Y30" s="132">
        <f>IF(SER_hh_emih!Y30=0,0,SER_hh_emih!Y30/SER_summary!Y$26)</f>
        <v>0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2.6289856512385099</v>
      </c>
      <c r="C31" s="132">
        <f>IF(SER_hh_emih!C31=0,0,SER_hh_emih!C31/SER_summary!C$26)</f>
        <v>3.0363175639313043</v>
      </c>
      <c r="D31" s="132">
        <f>IF(SER_hh_emih!D31=0,0,SER_hh_emih!D31/SER_summary!D$26)</f>
        <v>2.9843786581277048</v>
      </c>
      <c r="E31" s="132">
        <f>IF(SER_hh_emih!E31=0,0,SER_hh_emih!E31/SER_summary!E$26)</f>
        <v>2.8733003923820419</v>
      </c>
      <c r="F31" s="132">
        <f>IF(SER_hh_emih!F31=0,0,SER_hh_emih!F31/SER_summary!F$26)</f>
        <v>2.9263906203024908</v>
      </c>
      <c r="G31" s="132">
        <f>IF(SER_hh_emih!G31=0,0,SER_hh_emih!G31/SER_summary!G$26)</f>
        <v>2.8677665517123256</v>
      </c>
      <c r="H31" s="132">
        <f>IF(SER_hh_emih!H31=0,0,SER_hh_emih!H31/SER_summary!H$26)</f>
        <v>2.8136274134281725</v>
      </c>
      <c r="I31" s="132">
        <f>IF(SER_hh_emih!I31=0,0,SER_hh_emih!I31/SER_summary!I$26)</f>
        <v>2.8204850751417276</v>
      </c>
      <c r="J31" s="132">
        <f>IF(SER_hh_emih!J31=0,0,SER_hh_emih!J31/SER_summary!J$26)</f>
        <v>2.8672485760207898</v>
      </c>
      <c r="K31" s="132">
        <f>IF(SER_hh_emih!K31=0,0,SER_hh_emih!K31/SER_summary!K$26)</f>
        <v>3.1966988361121702</v>
      </c>
      <c r="L31" s="132">
        <f>IF(SER_hh_emih!L31=0,0,SER_hh_emih!L31/SER_summary!L$26)</f>
        <v>3.0901838455701967</v>
      </c>
      <c r="M31" s="132">
        <f>IF(SER_hh_emih!M31=0,0,SER_hh_emih!M31/SER_summary!M$26)</f>
        <v>3.1252478044263854</v>
      </c>
      <c r="N31" s="132">
        <f>IF(SER_hh_emih!N31=0,0,SER_hh_emih!N31/SER_summary!N$26)</f>
        <v>3.1503653080949738</v>
      </c>
      <c r="O31" s="132">
        <f>IF(SER_hh_emih!O31=0,0,SER_hh_emih!O31/SER_summary!O$26)</f>
        <v>3.1704607600635888</v>
      </c>
      <c r="P31" s="132">
        <f>IF(SER_hh_emih!P31=0,0,SER_hh_emih!P31/SER_summary!P$26)</f>
        <v>3.1810064888330611</v>
      </c>
      <c r="Q31" s="132">
        <f>IF(SER_hh_emih!Q31=0,0,SER_hh_emih!Q31/SER_summary!Q$26)</f>
        <v>3.0828410941675566</v>
      </c>
      <c r="R31" s="132">
        <f>IF(SER_hh_emih!R31=0,0,SER_hh_emih!R31/SER_summary!R$26)</f>
        <v>3.1705050174989404</v>
      </c>
      <c r="S31" s="132">
        <f>IF(SER_hh_emih!S31=0,0,SER_hh_emih!S31/SER_summary!S$26)</f>
        <v>3.4061388477678403</v>
      </c>
      <c r="T31" s="132">
        <f>IF(SER_hh_emih!T31=0,0,SER_hh_emih!T31/SER_summary!T$26)</f>
        <v>3.1256106680968405</v>
      </c>
      <c r="U31" s="132">
        <f>IF(SER_hh_emih!U31=0,0,SER_hh_emih!U31/SER_summary!U$26)</f>
        <v>3.2939778931081607</v>
      </c>
      <c r="V31" s="132">
        <f>IF(SER_hh_emih!V31=0,0,SER_hh_emih!V31/SER_summary!V$26)</f>
        <v>3.0504554982249279</v>
      </c>
      <c r="W31" s="132">
        <f>IF(SER_hh_emih!W31=0,0,SER_hh_emih!W31/SER_summary!W$26)</f>
        <v>3.1094945000693857</v>
      </c>
      <c r="X31" s="132">
        <f>IF(SER_hh_emih!X31=0,0,SER_hh_emih!X31/SER_summary!X$26)</f>
        <v>3.0308879429261788</v>
      </c>
      <c r="Y31" s="132">
        <f>IF(SER_hh_emih!Y31=0,0,SER_hh_emih!Y31/SER_summary!Y$26)</f>
        <v>2.9562212616743491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0</v>
      </c>
      <c r="C32" s="132">
        <f>IF(SER_hh_emih!C32=0,0,SER_hh_emih!C32/SER_summary!C$26)</f>
        <v>0</v>
      </c>
      <c r="D32" s="132">
        <f>IF(SER_hh_emih!D32=0,0,SER_hh_emih!D32/SER_summary!D$26)</f>
        <v>0</v>
      </c>
      <c r="E32" s="132">
        <f>IF(SER_hh_emih!E32=0,0,SER_hh_emih!E32/SER_summary!E$26)</f>
        <v>0</v>
      </c>
      <c r="F32" s="132">
        <f>IF(SER_hh_emih!F32=0,0,SER_hh_emih!F32/SER_summary!F$26)</f>
        <v>0</v>
      </c>
      <c r="G32" s="132">
        <f>IF(SER_hh_emih!G32=0,0,SER_hh_emih!G32/SER_summary!G$26)</f>
        <v>0</v>
      </c>
      <c r="H32" s="132">
        <f>IF(SER_hh_emih!H32=0,0,SER_hh_emih!H32/SER_summary!H$26)</f>
        <v>0</v>
      </c>
      <c r="I32" s="132">
        <f>IF(SER_hh_emih!I32=0,0,SER_hh_emih!I32/SER_summary!I$26)</f>
        <v>0</v>
      </c>
      <c r="J32" s="132">
        <f>IF(SER_hh_emih!J32=0,0,SER_hh_emih!J32/SER_summary!J$26)</f>
        <v>0</v>
      </c>
      <c r="K32" s="132">
        <f>IF(SER_hh_emih!K32=0,0,SER_hh_emih!K32/SER_summary!K$26)</f>
        <v>0</v>
      </c>
      <c r="L32" s="132">
        <f>IF(SER_hh_emih!L32=0,0,SER_hh_emih!L32/SER_summary!L$26)</f>
        <v>0</v>
      </c>
      <c r="M32" s="132">
        <f>IF(SER_hh_emih!M32=0,0,SER_hh_emih!M32/SER_summary!M$26)</f>
        <v>0</v>
      </c>
      <c r="N32" s="132">
        <f>IF(SER_hh_emih!N32=0,0,SER_hh_emih!N32/SER_summary!N$26)</f>
        <v>0</v>
      </c>
      <c r="O32" s="132">
        <f>IF(SER_hh_emih!O32=0,0,SER_hh_emih!O32/SER_summary!O$26)</f>
        <v>0</v>
      </c>
      <c r="P32" s="132">
        <f>IF(SER_hh_emih!P32=0,0,SER_hh_emih!P32/SER_summary!P$26)</f>
        <v>0</v>
      </c>
      <c r="Q32" s="132">
        <f>IF(SER_hh_emih!Q32=0,0,SER_hh_emih!Q32/SER_summary!Q$26)</f>
        <v>0</v>
      </c>
      <c r="R32" s="132">
        <f>IF(SER_hh_emih!R32=0,0,SER_hh_emih!R32/SER_summary!R$26)</f>
        <v>0</v>
      </c>
      <c r="S32" s="132">
        <f>IF(SER_hh_emih!S32=0,0,SER_hh_emih!S32/SER_summary!S$26)</f>
        <v>0</v>
      </c>
      <c r="T32" s="132">
        <f>IF(SER_hh_emih!T32=0,0,SER_hh_emih!T32/SER_summary!T$26)</f>
        <v>0</v>
      </c>
      <c r="U32" s="132">
        <f>IF(SER_hh_emih!U32=0,0,SER_hh_emih!U32/SER_summary!U$26)</f>
        <v>0</v>
      </c>
      <c r="V32" s="132">
        <f>IF(SER_hh_emih!V32=0,0,SER_hh_emih!V32/SER_summary!V$26)</f>
        <v>0</v>
      </c>
      <c r="W32" s="132">
        <f>IF(SER_hh_emih!W32=0,0,SER_hh_emih!W32/SER_summary!W$26)</f>
        <v>0</v>
      </c>
      <c r="X32" s="132">
        <f>IF(SER_hh_emih!X32=0,0,SER_hh_emih!X32/SER_summary!X$26)</f>
        <v>0</v>
      </c>
      <c r="Y32" s="132">
        <f>IF(SER_hh_emih!Y32=0,0,SER_hh_emih!Y32/SER_summary!Y$26)</f>
        <v>0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4077.0587469568773</v>
      </c>
      <c r="D3" s="124">
        <f t="shared" si="0"/>
        <v>3779.718705044339</v>
      </c>
      <c r="E3" s="124">
        <f t="shared" si="0"/>
        <v>5156.0430301856159</v>
      </c>
      <c r="F3" s="124">
        <f t="shared" si="0"/>
        <v>5937.0374657408602</v>
      </c>
      <c r="G3" s="124">
        <f t="shared" si="0"/>
        <v>9591.7589222840161</v>
      </c>
      <c r="H3" s="124">
        <f t="shared" si="0"/>
        <v>10357.939158209734</v>
      </c>
      <c r="I3" s="124">
        <f t="shared" si="0"/>
        <v>9425.0084868336489</v>
      </c>
      <c r="J3" s="124">
        <f t="shared" si="0"/>
        <v>6634.4027757849854</v>
      </c>
      <c r="K3" s="124">
        <f t="shared" si="0"/>
        <v>1059.5923534146066</v>
      </c>
      <c r="L3" s="124">
        <f t="shared" si="0"/>
        <v>4526.0416610564789</v>
      </c>
      <c r="M3" s="124">
        <f t="shared" si="0"/>
        <v>5040.567950343303</v>
      </c>
      <c r="N3" s="124">
        <f t="shared" si="0"/>
        <v>2866.1415966510017</v>
      </c>
      <c r="O3" s="124">
        <f t="shared" si="0"/>
        <v>2652.7775381908655</v>
      </c>
      <c r="P3" s="124">
        <f t="shared" si="0"/>
        <v>4811.3216261174675</v>
      </c>
      <c r="Q3" s="124">
        <f t="shared" si="0"/>
        <v>7345.1661178103022</v>
      </c>
      <c r="R3" s="124">
        <f t="shared" si="0"/>
        <v>5327.2155631152673</v>
      </c>
      <c r="S3" s="124">
        <f t="shared" si="0"/>
        <v>6865.6267859451309</v>
      </c>
      <c r="T3" s="124">
        <f t="shared" si="0"/>
        <v>6293.922213607445</v>
      </c>
      <c r="U3" s="124">
        <f t="shared" si="0"/>
        <v>6134.6865717415803</v>
      </c>
      <c r="V3" s="124">
        <f t="shared" si="0"/>
        <v>5766.0571434790427</v>
      </c>
      <c r="W3" s="124">
        <f t="shared" si="0"/>
        <v>5465.2692543616386</v>
      </c>
      <c r="X3" s="124">
        <f t="shared" si="0"/>
        <v>5236.5946422485595</v>
      </c>
      <c r="Y3" s="124">
        <f t="shared" si="0"/>
        <v>4976.3550619374173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4077.0587469568773</v>
      </c>
      <c r="D4" s="139">
        <f t="shared" si="1"/>
        <v>3779.718705044339</v>
      </c>
      <c r="E4" s="139">
        <f t="shared" si="1"/>
        <v>5156.0430301856159</v>
      </c>
      <c r="F4" s="139">
        <f t="shared" si="1"/>
        <v>5937.0374657408602</v>
      </c>
      <c r="G4" s="139">
        <f t="shared" si="1"/>
        <v>9591.7589222840161</v>
      </c>
      <c r="H4" s="139">
        <f t="shared" si="1"/>
        <v>10357.939158209734</v>
      </c>
      <c r="I4" s="139">
        <f t="shared" si="1"/>
        <v>9425.0084868336489</v>
      </c>
      <c r="J4" s="139">
        <f t="shared" si="1"/>
        <v>6634.4027757849854</v>
      </c>
      <c r="K4" s="139">
        <f t="shared" si="1"/>
        <v>1059.5923534146066</v>
      </c>
      <c r="L4" s="139">
        <f t="shared" si="1"/>
        <v>4526.0416610564789</v>
      </c>
      <c r="M4" s="139">
        <f t="shared" si="1"/>
        <v>5040.567950343303</v>
      </c>
      <c r="N4" s="139">
        <f t="shared" si="1"/>
        <v>2866.1415966510017</v>
      </c>
      <c r="O4" s="139">
        <f t="shared" si="1"/>
        <v>2652.7775381908655</v>
      </c>
      <c r="P4" s="139">
        <f t="shared" si="1"/>
        <v>4811.3216261174675</v>
      </c>
      <c r="Q4" s="139">
        <f t="shared" si="1"/>
        <v>7345.1661178103022</v>
      </c>
      <c r="R4" s="139">
        <f t="shared" ref="R4:W4" si="2">SUM(R5:R14)</f>
        <v>5327.2155631152673</v>
      </c>
      <c r="S4" s="139">
        <f t="shared" si="2"/>
        <v>6865.6267859451309</v>
      </c>
      <c r="T4" s="139">
        <f t="shared" si="2"/>
        <v>6293.922213607445</v>
      </c>
      <c r="U4" s="139">
        <f t="shared" si="2"/>
        <v>6134.6865717415803</v>
      </c>
      <c r="V4" s="139">
        <f t="shared" si="2"/>
        <v>5766.0571434790427</v>
      </c>
      <c r="W4" s="139">
        <f t="shared" si="2"/>
        <v>5465.2692543616386</v>
      </c>
      <c r="X4" s="139">
        <f t="shared" ref="X4:Y4" si="3">SUM(X5:X14)</f>
        <v>5236.5946422485595</v>
      </c>
      <c r="Y4" s="139">
        <f t="shared" si="3"/>
        <v>4976.3550619374173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0</v>
      </c>
      <c r="D5" s="140">
        <v>0</v>
      </c>
      <c r="E5" s="140">
        <v>840.60947192450669</v>
      </c>
      <c r="F5" s="140">
        <v>734.58079768596349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164.42751722402403</v>
      </c>
      <c r="O5" s="140">
        <v>217.52063237911383</v>
      </c>
      <c r="P5" s="140">
        <v>10.830105344989892</v>
      </c>
      <c r="Q5" s="140">
        <v>0</v>
      </c>
      <c r="R5" s="140">
        <v>15.657642645581012</v>
      </c>
      <c r="S5" s="140">
        <v>0</v>
      </c>
      <c r="T5" s="140">
        <v>0</v>
      </c>
      <c r="U5" s="140">
        <v>81.130857506445906</v>
      </c>
      <c r="V5" s="140">
        <v>50.248498589136545</v>
      </c>
      <c r="W5" s="140">
        <v>1.6272726985062835</v>
      </c>
      <c r="X5" s="140">
        <v>9.2973935501245002</v>
      </c>
      <c r="Y5" s="140">
        <v>0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25.855848357454434</v>
      </c>
      <c r="D7" s="140">
        <v>72.79810479107509</v>
      </c>
      <c r="E7" s="140">
        <v>39.919059044533469</v>
      </c>
      <c r="F7" s="140">
        <v>60.93542016262429</v>
      </c>
      <c r="G7" s="140">
        <v>41.591944923271839</v>
      </c>
      <c r="H7" s="140">
        <v>88.813478919963003</v>
      </c>
      <c r="I7" s="140">
        <v>48.202046097551225</v>
      </c>
      <c r="J7" s="140">
        <v>26.033378492773679</v>
      </c>
      <c r="K7" s="140">
        <v>0</v>
      </c>
      <c r="L7" s="140">
        <v>26.157326413034777</v>
      </c>
      <c r="M7" s="140">
        <v>26.073140468459048</v>
      </c>
      <c r="N7" s="140">
        <v>35.287229496106633</v>
      </c>
      <c r="O7" s="140">
        <v>14.220679213141302</v>
      </c>
      <c r="P7" s="140">
        <v>63.401551816727604</v>
      </c>
      <c r="Q7" s="140">
        <v>198.38428102942297</v>
      </c>
      <c r="R7" s="140">
        <v>60.995225616096107</v>
      </c>
      <c r="S7" s="140">
        <v>24.735296000234367</v>
      </c>
      <c r="T7" s="140">
        <v>0</v>
      </c>
      <c r="U7" s="140">
        <v>11.211046798944942</v>
      </c>
      <c r="V7" s="140">
        <v>40.049180955692918</v>
      </c>
      <c r="W7" s="140">
        <v>92.905316633200059</v>
      </c>
      <c r="X7" s="140">
        <v>63.370937980712668</v>
      </c>
      <c r="Y7" s="140">
        <v>76.549579586699821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0</v>
      </c>
      <c r="D8" s="140">
        <v>0</v>
      </c>
      <c r="E8" s="140">
        <v>0</v>
      </c>
      <c r="F8" s="140">
        <v>0</v>
      </c>
      <c r="G8" s="140">
        <v>1.0445541536555127</v>
      </c>
      <c r="H8" s="140">
        <v>1.677598111832407</v>
      </c>
      <c r="I8" s="140">
        <v>2.3511397005289254</v>
      </c>
      <c r="J8" s="140">
        <v>2.4336630148085492</v>
      </c>
      <c r="K8" s="140">
        <v>0.73457224770952378</v>
      </c>
      <c r="L8" s="140">
        <v>2.6193146977757826</v>
      </c>
      <c r="M8" s="140">
        <v>5.6776387511144764</v>
      </c>
      <c r="N8" s="140">
        <v>5.8962075287697102</v>
      </c>
      <c r="O8" s="140">
        <v>8.3582644607075007</v>
      </c>
      <c r="P8" s="140">
        <v>27.159125776511591</v>
      </c>
      <c r="Q8" s="140">
        <v>21.566152675999138</v>
      </c>
      <c r="R8" s="140">
        <v>10.238929763472283</v>
      </c>
      <c r="S8" s="140">
        <v>8.9358283113440908</v>
      </c>
      <c r="T8" s="140">
        <v>13.598237468451394</v>
      </c>
      <c r="U8" s="140">
        <v>17.601139778576695</v>
      </c>
      <c r="V8" s="140">
        <v>20.921310603983141</v>
      </c>
      <c r="W8" s="140">
        <v>22.549157947123884</v>
      </c>
      <c r="X8" s="140">
        <v>23.883192775054237</v>
      </c>
      <c r="Y8" s="140">
        <v>21.196866556374921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1829.8885649930974</v>
      </c>
      <c r="D9" s="140">
        <v>2077.8398726546889</v>
      </c>
      <c r="E9" s="140">
        <v>2326.5057206902702</v>
      </c>
      <c r="F9" s="140">
        <v>2937.4630358090408</v>
      </c>
      <c r="G9" s="140">
        <v>5867.9872607313355</v>
      </c>
      <c r="H9" s="140">
        <v>6067.1462598070921</v>
      </c>
      <c r="I9" s="140">
        <v>5340.8557847857173</v>
      </c>
      <c r="J9" s="140">
        <v>3285.3072429991948</v>
      </c>
      <c r="K9" s="140">
        <v>0</v>
      </c>
      <c r="L9" s="140">
        <v>1224.0476073252373</v>
      </c>
      <c r="M9" s="140">
        <v>1844.2097743810407</v>
      </c>
      <c r="N9" s="140">
        <v>848.3700742642983</v>
      </c>
      <c r="O9" s="140">
        <v>861.35923802532193</v>
      </c>
      <c r="P9" s="140">
        <v>2387.2376617034083</v>
      </c>
      <c r="Q9" s="140">
        <v>3850.9643251264911</v>
      </c>
      <c r="R9" s="140">
        <v>2285.9200032926169</v>
      </c>
      <c r="S9" s="140">
        <v>3323.4481799184173</v>
      </c>
      <c r="T9" s="140">
        <v>2661.5206035549922</v>
      </c>
      <c r="U9" s="140">
        <v>2845.2615500118322</v>
      </c>
      <c r="V9" s="140">
        <v>2241.9584045324855</v>
      </c>
      <c r="W9" s="140">
        <v>1879.0714972318451</v>
      </c>
      <c r="X9" s="140">
        <v>1589.8153477562241</v>
      </c>
      <c r="Y9" s="140">
        <v>1793.9893924447722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83.72089177429487</v>
      </c>
      <c r="D10" s="140">
        <v>104.88997421681808</v>
      </c>
      <c r="E10" s="140">
        <v>148.36532991852928</v>
      </c>
      <c r="F10" s="140">
        <v>151.52699131096193</v>
      </c>
      <c r="G10" s="140">
        <v>256.9168940176375</v>
      </c>
      <c r="H10" s="140">
        <v>218.28142411748561</v>
      </c>
      <c r="I10" s="140">
        <v>180.9746943425003</v>
      </c>
      <c r="J10" s="140">
        <v>83.526466282846741</v>
      </c>
      <c r="K10" s="140">
        <v>26.08739085667624</v>
      </c>
      <c r="L10" s="140">
        <v>139.92609103736828</v>
      </c>
      <c r="M10" s="140">
        <v>197.87345530352292</v>
      </c>
      <c r="N10" s="140">
        <v>117.67675724168225</v>
      </c>
      <c r="O10" s="140">
        <v>119.79677936693675</v>
      </c>
      <c r="P10" s="140">
        <v>269.7003408735701</v>
      </c>
      <c r="Q10" s="140">
        <v>253.29119768842318</v>
      </c>
      <c r="R10" s="140">
        <v>57.568764763575388</v>
      </c>
      <c r="S10" s="140">
        <v>65.897311385463709</v>
      </c>
      <c r="T10" s="140">
        <v>127.35426072794459</v>
      </c>
      <c r="U10" s="140">
        <v>152.07554636689102</v>
      </c>
      <c r="V10" s="140">
        <v>157.3070160942838</v>
      </c>
      <c r="W10" s="140">
        <v>147.45492444119637</v>
      </c>
      <c r="X10" s="140">
        <v>112.58851129524885</v>
      </c>
      <c r="Y10" s="140">
        <v>108.41000595566547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1280.5781123414222</v>
      </c>
      <c r="D12" s="140">
        <v>896.04584984522978</v>
      </c>
      <c r="E12" s="140">
        <v>1296.238892096475</v>
      </c>
      <c r="F12" s="140">
        <v>2018.6841160815586</v>
      </c>
      <c r="G12" s="140">
        <v>2202.1503399551007</v>
      </c>
      <c r="H12" s="140">
        <v>1495.0022249591691</v>
      </c>
      <c r="I12" s="140">
        <v>1053.0194728579531</v>
      </c>
      <c r="J12" s="140">
        <v>1285.782974913486</v>
      </c>
      <c r="K12" s="140">
        <v>610.52351345214686</v>
      </c>
      <c r="L12" s="140">
        <v>2270.1524114348754</v>
      </c>
      <c r="M12" s="140">
        <v>1930.599853674817</v>
      </c>
      <c r="N12" s="140">
        <v>964.94445565171031</v>
      </c>
      <c r="O12" s="140">
        <v>687.8812644558086</v>
      </c>
      <c r="P12" s="140">
        <v>1123.5862222186424</v>
      </c>
      <c r="Q12" s="140">
        <v>1541.0299581298077</v>
      </c>
      <c r="R12" s="140">
        <v>1286.0363336497885</v>
      </c>
      <c r="S12" s="140">
        <v>1372.6351582275302</v>
      </c>
      <c r="T12" s="140">
        <v>1403.4353530290709</v>
      </c>
      <c r="U12" s="140">
        <v>1247.0988989748207</v>
      </c>
      <c r="V12" s="140">
        <v>1630.05356605463</v>
      </c>
      <c r="W12" s="140">
        <v>1875.9905717704164</v>
      </c>
      <c r="X12" s="140">
        <v>1961.8059544705332</v>
      </c>
      <c r="Y12" s="140">
        <v>1869.0575277612679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9.8789240823848576</v>
      </c>
      <c r="D13" s="140">
        <v>20.527132944250507</v>
      </c>
      <c r="E13" s="140">
        <v>24.05179872060874</v>
      </c>
      <c r="F13" s="140">
        <v>33.847104690710694</v>
      </c>
      <c r="G13" s="140">
        <v>55.543797711889262</v>
      </c>
      <c r="H13" s="140">
        <v>81.319518137454182</v>
      </c>
      <c r="I13" s="140">
        <v>85.285410568368761</v>
      </c>
      <c r="J13" s="140">
        <v>71.325406214502337</v>
      </c>
      <c r="K13" s="140">
        <v>21.928643719921578</v>
      </c>
      <c r="L13" s="140">
        <v>61.142491788526151</v>
      </c>
      <c r="M13" s="140">
        <v>84.203167836111021</v>
      </c>
      <c r="N13" s="140">
        <v>52.060292618176071</v>
      </c>
      <c r="O13" s="140">
        <v>51.489568298133378</v>
      </c>
      <c r="P13" s="140">
        <v>154.12555140131755</v>
      </c>
      <c r="Q13" s="140">
        <v>174.42510590101685</v>
      </c>
      <c r="R13" s="140">
        <v>136.64244810493466</v>
      </c>
      <c r="S13" s="140">
        <v>168.0162313134781</v>
      </c>
      <c r="T13" s="140">
        <v>210.47416476543876</v>
      </c>
      <c r="U13" s="140">
        <v>225.71002568378998</v>
      </c>
      <c r="V13" s="140">
        <v>318.85122791018364</v>
      </c>
      <c r="W13" s="140">
        <v>437.52701052835505</v>
      </c>
      <c r="X13" s="140">
        <v>638.14089736698816</v>
      </c>
      <c r="Y13" s="140">
        <v>615.65583242015225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847.13640540822371</v>
      </c>
      <c r="D14" s="141">
        <v>607.61777059227654</v>
      </c>
      <c r="E14" s="141">
        <v>480.35275779069286</v>
      </c>
      <c r="F14" s="141">
        <v>0</v>
      </c>
      <c r="G14" s="141">
        <v>1166.5241307911251</v>
      </c>
      <c r="H14" s="141">
        <v>2405.6986541567367</v>
      </c>
      <c r="I14" s="141">
        <v>2714.3199384810296</v>
      </c>
      <c r="J14" s="141">
        <v>1879.9936438673733</v>
      </c>
      <c r="K14" s="141">
        <v>400.31823313815238</v>
      </c>
      <c r="L14" s="141">
        <v>801.99641835966145</v>
      </c>
      <c r="M14" s="141">
        <v>951.93091992823815</v>
      </c>
      <c r="N14" s="141">
        <v>677.47906262623474</v>
      </c>
      <c r="O14" s="141">
        <v>692.15111199170201</v>
      </c>
      <c r="P14" s="141">
        <v>775.28106698230056</v>
      </c>
      <c r="Q14" s="141">
        <v>1305.5050972591412</v>
      </c>
      <c r="R14" s="141">
        <v>1474.1562152792023</v>
      </c>
      <c r="S14" s="141">
        <v>1901.9587807886637</v>
      </c>
      <c r="T14" s="141">
        <v>1877.5395940615463</v>
      </c>
      <c r="U14" s="141">
        <v>1554.597506620278</v>
      </c>
      <c r="V14" s="141">
        <v>1306.6679387386478</v>
      </c>
      <c r="W14" s="141">
        <v>1008.1435031109951</v>
      </c>
      <c r="X14" s="141">
        <v>837.69240705367361</v>
      </c>
      <c r="Y14" s="141">
        <v>491.49585721248508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3220.0434174662687</v>
      </c>
      <c r="D15" s="143">
        <f t="shared" si="4"/>
        <v>3151.5738015078123</v>
      </c>
      <c r="E15" s="143">
        <f t="shared" si="4"/>
        <v>4651.6384736743148</v>
      </c>
      <c r="F15" s="143">
        <f t="shared" si="4"/>
        <v>5903.1903610501495</v>
      </c>
      <c r="G15" s="143">
        <f t="shared" si="4"/>
        <v>8369.6909937810015</v>
      </c>
      <c r="H15" s="143">
        <f t="shared" si="4"/>
        <v>7870.9209859155426</v>
      </c>
      <c r="I15" s="143">
        <f t="shared" si="4"/>
        <v>6625.4031377842512</v>
      </c>
      <c r="J15" s="143">
        <f t="shared" si="4"/>
        <v>4683.0837257031098</v>
      </c>
      <c r="K15" s="143">
        <f t="shared" si="4"/>
        <v>637.34547655653262</v>
      </c>
      <c r="L15" s="143">
        <f t="shared" si="4"/>
        <v>3662.9027509082916</v>
      </c>
      <c r="M15" s="143">
        <f t="shared" si="4"/>
        <v>4004.4338625789542</v>
      </c>
      <c r="N15" s="143">
        <f t="shared" si="4"/>
        <v>2136.602241406591</v>
      </c>
      <c r="O15" s="143">
        <f t="shared" si="4"/>
        <v>1909.13685790103</v>
      </c>
      <c r="P15" s="143">
        <f t="shared" si="4"/>
        <v>3881.91500773385</v>
      </c>
      <c r="Q15" s="143">
        <f t="shared" si="4"/>
        <v>5865.235914650144</v>
      </c>
      <c r="R15" s="143">
        <f t="shared" ref="R15:W15" si="5">SUM(R5:R12)</f>
        <v>3716.4168997311303</v>
      </c>
      <c r="S15" s="143">
        <f t="shared" si="5"/>
        <v>4795.6517738429893</v>
      </c>
      <c r="T15" s="143">
        <f t="shared" si="5"/>
        <v>4205.9084547804596</v>
      </c>
      <c r="U15" s="143">
        <f t="shared" si="5"/>
        <v>4354.3790394375119</v>
      </c>
      <c r="V15" s="143">
        <f t="shared" si="5"/>
        <v>4140.5379768302118</v>
      </c>
      <c r="W15" s="143">
        <f t="shared" si="5"/>
        <v>4019.5987407222883</v>
      </c>
      <c r="X15" s="143">
        <f t="shared" ref="X15:Y15" si="6">SUM(X5:X12)</f>
        <v>3760.7613378278975</v>
      </c>
      <c r="Y15" s="143">
        <f t="shared" si="6"/>
        <v>3869.2033723047803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2529.606598552361</v>
      </c>
      <c r="D16" s="139">
        <f t="shared" si="7"/>
        <v>3779.7187050443385</v>
      </c>
      <c r="E16" s="139">
        <f t="shared" si="7"/>
        <v>3284.9486737323018</v>
      </c>
      <c r="F16" s="139">
        <f t="shared" si="7"/>
        <v>3700.6814963748179</v>
      </c>
      <c r="G16" s="139">
        <f t="shared" si="7"/>
        <v>6436.2887973423285</v>
      </c>
      <c r="H16" s="139">
        <f t="shared" si="7"/>
        <v>7555.8861533075633</v>
      </c>
      <c r="I16" s="139">
        <f t="shared" si="7"/>
        <v>7852.3179891822338</v>
      </c>
      <c r="J16" s="139">
        <f t="shared" si="7"/>
        <v>6634.4027757849854</v>
      </c>
      <c r="K16" s="139">
        <f t="shared" si="7"/>
        <v>1059.5923534146068</v>
      </c>
      <c r="L16" s="139">
        <f t="shared" si="7"/>
        <v>4526.041661056478</v>
      </c>
      <c r="M16" s="139">
        <f t="shared" si="7"/>
        <v>5040.567950343303</v>
      </c>
      <c r="N16" s="139">
        <f t="shared" si="7"/>
        <v>2866.1415966510017</v>
      </c>
      <c r="O16" s="139">
        <f t="shared" si="7"/>
        <v>2652.7775381908655</v>
      </c>
      <c r="P16" s="139">
        <f t="shared" si="7"/>
        <v>4811.3216261174684</v>
      </c>
      <c r="Q16" s="139">
        <f t="shared" si="7"/>
        <v>7345.1661178103022</v>
      </c>
      <c r="R16" s="139">
        <f t="shared" ref="R16:W16" si="8">SUM(R17:R18)</f>
        <v>5327.2155631152673</v>
      </c>
      <c r="S16" s="139">
        <f t="shared" si="8"/>
        <v>6865.6267859451327</v>
      </c>
      <c r="T16" s="139">
        <f t="shared" si="8"/>
        <v>6293.9222136074441</v>
      </c>
      <c r="U16" s="139">
        <f t="shared" si="8"/>
        <v>6134.6865717415794</v>
      </c>
      <c r="V16" s="139">
        <f t="shared" si="8"/>
        <v>5766.0571434790436</v>
      </c>
      <c r="W16" s="139">
        <f t="shared" si="8"/>
        <v>5465.2692543616386</v>
      </c>
      <c r="X16" s="139">
        <f t="shared" ref="X16:Y16" si="9">SUM(X17:X18)</f>
        <v>5236.5946422485595</v>
      </c>
      <c r="Y16" s="139">
        <f t="shared" si="9"/>
        <v>4976.3550619374173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0</v>
      </c>
      <c r="D17" s="140">
        <v>0</v>
      </c>
      <c r="E17" s="140">
        <v>0</v>
      </c>
      <c r="F17" s="140">
        <v>0</v>
      </c>
      <c r="G17" s="140">
        <v>24.52535936722515</v>
      </c>
      <c r="H17" s="140">
        <v>6.4621833751467195</v>
      </c>
      <c r="I17" s="140">
        <v>13.938634624987015</v>
      </c>
      <c r="J17" s="140">
        <v>2.5261159368235115</v>
      </c>
      <c r="K17" s="140">
        <v>3.3027825718731036</v>
      </c>
      <c r="L17" s="140">
        <v>1.5574697703645006</v>
      </c>
      <c r="M17" s="140">
        <v>5.0033131698314941</v>
      </c>
      <c r="N17" s="140">
        <v>3.1834923819047827</v>
      </c>
      <c r="O17" s="140">
        <v>8.6151128354649753</v>
      </c>
      <c r="P17" s="140">
        <v>30.429167357999436</v>
      </c>
      <c r="Q17" s="140">
        <v>66.758106859820728</v>
      </c>
      <c r="R17" s="140">
        <v>28.147357034870915</v>
      </c>
      <c r="S17" s="140">
        <v>48.209445867502716</v>
      </c>
      <c r="T17" s="140">
        <v>40.272728910015424</v>
      </c>
      <c r="U17" s="140">
        <v>34.49572761514932</v>
      </c>
      <c r="V17" s="140">
        <v>53.533179666575727</v>
      </c>
      <c r="W17" s="140">
        <v>36.858533632970236</v>
      </c>
      <c r="X17" s="140">
        <v>28.441250968135293</v>
      </c>
      <c r="Y17" s="140">
        <v>41.20793851405714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2529.606598552361</v>
      </c>
      <c r="D18" s="140">
        <v>3779.7187050443385</v>
      </c>
      <c r="E18" s="140">
        <v>3284.9486737323018</v>
      </c>
      <c r="F18" s="140">
        <v>3700.6814963748179</v>
      </c>
      <c r="G18" s="140">
        <v>6411.7634379751034</v>
      </c>
      <c r="H18" s="140">
        <v>7549.4239699324162</v>
      </c>
      <c r="I18" s="140">
        <v>7838.3793545572471</v>
      </c>
      <c r="J18" s="140">
        <v>6631.8766598481616</v>
      </c>
      <c r="K18" s="140">
        <v>1056.2895708427336</v>
      </c>
      <c r="L18" s="140">
        <v>4524.4841912861139</v>
      </c>
      <c r="M18" s="140">
        <v>5035.5646371734711</v>
      </c>
      <c r="N18" s="140">
        <v>2862.958104269097</v>
      </c>
      <c r="O18" s="140">
        <v>2644.1624253554005</v>
      </c>
      <c r="P18" s="140">
        <v>4780.8924587594693</v>
      </c>
      <c r="Q18" s="140">
        <v>7278.4080109504812</v>
      </c>
      <c r="R18" s="140">
        <v>5299.0682060803965</v>
      </c>
      <c r="S18" s="140">
        <v>6817.4173400776299</v>
      </c>
      <c r="T18" s="140">
        <v>6253.6494846974283</v>
      </c>
      <c r="U18" s="140">
        <v>6100.1908441264304</v>
      </c>
      <c r="V18" s="140">
        <v>5712.5239638124676</v>
      </c>
      <c r="W18" s="140">
        <v>5428.4107207286679</v>
      </c>
      <c r="X18" s="140">
        <v>5208.1533912804243</v>
      </c>
      <c r="Y18" s="140">
        <v>4935.1471234233604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4077.0587469568768</v>
      </c>
      <c r="D19" s="139">
        <f t="shared" si="10"/>
        <v>3779.718705044339</v>
      </c>
      <c r="E19" s="139">
        <f t="shared" si="10"/>
        <v>5156.0430301856168</v>
      </c>
      <c r="F19" s="139">
        <f t="shared" si="10"/>
        <v>5937.0374657408602</v>
      </c>
      <c r="G19" s="139">
        <f t="shared" si="10"/>
        <v>9591.7589222840179</v>
      </c>
      <c r="H19" s="139">
        <f t="shared" si="10"/>
        <v>10357.939158209734</v>
      </c>
      <c r="I19" s="139">
        <f t="shared" si="10"/>
        <v>9425.0084868336489</v>
      </c>
      <c r="J19" s="139">
        <f t="shared" si="10"/>
        <v>6634.4027757849854</v>
      </c>
      <c r="K19" s="139">
        <f t="shared" si="10"/>
        <v>1059.5923534146066</v>
      </c>
      <c r="L19" s="139">
        <f t="shared" si="10"/>
        <v>4526.0416610564789</v>
      </c>
      <c r="M19" s="139">
        <f t="shared" si="10"/>
        <v>5040.5679503433039</v>
      </c>
      <c r="N19" s="139">
        <f t="shared" si="10"/>
        <v>2866.1415966510021</v>
      </c>
      <c r="O19" s="139">
        <f t="shared" si="10"/>
        <v>2652.777538190865</v>
      </c>
      <c r="P19" s="139">
        <f t="shared" si="10"/>
        <v>4811.3216261174684</v>
      </c>
      <c r="Q19" s="139">
        <f t="shared" si="10"/>
        <v>7345.1661178103022</v>
      </c>
      <c r="R19" s="139">
        <f t="shared" ref="R19:W19" si="11">SUM(R20:R26)</f>
        <v>5327.2155631152673</v>
      </c>
      <c r="S19" s="139">
        <f t="shared" si="11"/>
        <v>6865.6267859451327</v>
      </c>
      <c r="T19" s="139">
        <f t="shared" si="11"/>
        <v>6293.9222136074441</v>
      </c>
      <c r="U19" s="139">
        <f t="shared" si="11"/>
        <v>6134.6865717415803</v>
      </c>
      <c r="V19" s="139">
        <f t="shared" si="11"/>
        <v>5766.0571434790436</v>
      </c>
      <c r="W19" s="139">
        <f t="shared" si="11"/>
        <v>5465.2692543616386</v>
      </c>
      <c r="X19" s="139">
        <f t="shared" ref="X19:Y19" si="12">SUM(X20:X26)</f>
        <v>5236.5946422485595</v>
      </c>
      <c r="Y19" s="139">
        <f t="shared" si="12"/>
        <v>4976.3550619374173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0</v>
      </c>
      <c r="D22" s="140">
        <v>0</v>
      </c>
      <c r="E22" s="140">
        <v>0</v>
      </c>
      <c r="F22" s="140">
        <v>0</v>
      </c>
      <c r="G22" s="140">
        <v>0</v>
      </c>
      <c r="H22" s="140">
        <v>0</v>
      </c>
      <c r="I22" s="140">
        <v>0</v>
      </c>
      <c r="J22" s="140">
        <v>0</v>
      </c>
      <c r="K22" s="140">
        <v>0</v>
      </c>
      <c r="L22" s="140">
        <v>0</v>
      </c>
      <c r="M22" s="140">
        <v>0</v>
      </c>
      <c r="N22" s="140">
        <v>0</v>
      </c>
      <c r="O22" s="140">
        <v>0</v>
      </c>
      <c r="P22" s="140">
        <v>0</v>
      </c>
      <c r="Q22" s="140">
        <v>0</v>
      </c>
      <c r="R22" s="140">
        <v>0</v>
      </c>
      <c r="S22" s="140">
        <v>0</v>
      </c>
      <c r="T22" s="140">
        <v>0</v>
      </c>
      <c r="U22" s="140">
        <v>0</v>
      </c>
      <c r="V22" s="140">
        <v>0</v>
      </c>
      <c r="W22" s="140">
        <v>0</v>
      </c>
      <c r="X22" s="140">
        <v>0</v>
      </c>
      <c r="Y22" s="140">
        <v>0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1471.7099088746716</v>
      </c>
      <c r="D23" s="140">
        <v>1733.8785603731619</v>
      </c>
      <c r="E23" s="140">
        <v>2262.8610344774224</v>
      </c>
      <c r="F23" s="140">
        <v>2777.7847992532897</v>
      </c>
      <c r="G23" s="140">
        <v>4206.742530820462</v>
      </c>
      <c r="H23" s="140">
        <v>4797.2408919454274</v>
      </c>
      <c r="I23" s="140">
        <v>5274.8835665374718</v>
      </c>
      <c r="J23" s="140">
        <v>3391.8765196860641</v>
      </c>
      <c r="K23" s="140">
        <v>647.341334796399</v>
      </c>
      <c r="L23" s="140">
        <v>1720.3789705330578</v>
      </c>
      <c r="M23" s="140">
        <v>1944.0907127327564</v>
      </c>
      <c r="N23" s="140">
        <v>921.50066256829905</v>
      </c>
      <c r="O23" s="140">
        <v>1001.1745619363523</v>
      </c>
      <c r="P23" s="140">
        <v>2329.7123402769371</v>
      </c>
      <c r="Q23" s="140">
        <v>3876.6899361762116</v>
      </c>
      <c r="R23" s="140">
        <v>2295.8423097962523</v>
      </c>
      <c r="S23" s="140">
        <v>3492.8676826906253</v>
      </c>
      <c r="T23" s="140">
        <v>2496.160830507989</v>
      </c>
      <c r="U23" s="140">
        <v>2973.2044513665469</v>
      </c>
      <c r="V23" s="140">
        <v>2131.9692748699258</v>
      </c>
      <c r="W23" s="140">
        <v>1541.5642417031997</v>
      </c>
      <c r="X23" s="140">
        <v>747.76387750328593</v>
      </c>
      <c r="Y23" s="140">
        <v>433.89825248344511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941.71087126859618</v>
      </c>
      <c r="D25" s="140">
        <v>1043.632346580388</v>
      </c>
      <c r="E25" s="140">
        <v>1357.9491829580015</v>
      </c>
      <c r="F25" s="140">
        <v>1488.1773024682836</v>
      </c>
      <c r="G25" s="140">
        <v>1781.4988956666602</v>
      </c>
      <c r="H25" s="140">
        <v>1811.2751353107417</v>
      </c>
      <c r="I25" s="140">
        <v>1398.1635753203275</v>
      </c>
      <c r="J25" s="140">
        <v>1078.1818118775025</v>
      </c>
      <c r="K25" s="140">
        <v>280.52093704105164</v>
      </c>
      <c r="L25" s="140">
        <v>1068.817768918665</v>
      </c>
      <c r="M25" s="140">
        <v>1473.6246653861247</v>
      </c>
      <c r="N25" s="140">
        <v>944.34956423869926</v>
      </c>
      <c r="O25" s="140">
        <v>900.60772898545292</v>
      </c>
      <c r="P25" s="140">
        <v>1389.0094887555613</v>
      </c>
      <c r="Q25" s="140">
        <v>1619.8229745703713</v>
      </c>
      <c r="R25" s="140">
        <v>1351.423179711031</v>
      </c>
      <c r="S25" s="140">
        <v>1492.8946122413997</v>
      </c>
      <c r="T25" s="140">
        <v>1499.6411263817718</v>
      </c>
      <c r="U25" s="140">
        <v>1322.9956115766279</v>
      </c>
      <c r="V25" s="140">
        <v>1384.6536747507428</v>
      </c>
      <c r="W25" s="140">
        <v>1119.1022147842259</v>
      </c>
      <c r="X25" s="140">
        <v>793.7520116737478</v>
      </c>
      <c r="Y25" s="140">
        <v>395.70907138476269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1663.6379668136092</v>
      </c>
      <c r="D26" s="141">
        <v>1002.2077980907886</v>
      </c>
      <c r="E26" s="141">
        <v>1535.2328127501926</v>
      </c>
      <c r="F26" s="141">
        <v>1671.0753640192868</v>
      </c>
      <c r="G26" s="141">
        <v>3603.5174957968957</v>
      </c>
      <c r="H26" s="141">
        <v>3749.4231309535649</v>
      </c>
      <c r="I26" s="141">
        <v>2751.9613449758504</v>
      </c>
      <c r="J26" s="141">
        <v>2164.3444442214191</v>
      </c>
      <c r="K26" s="141">
        <v>131.73008157715586</v>
      </c>
      <c r="L26" s="141">
        <v>1736.8449216047559</v>
      </c>
      <c r="M26" s="141">
        <v>1622.8525722244226</v>
      </c>
      <c r="N26" s="141">
        <v>1000.2913698440037</v>
      </c>
      <c r="O26" s="141">
        <v>750.99524726905997</v>
      </c>
      <c r="P26" s="141">
        <v>1092.5997970849703</v>
      </c>
      <c r="Q26" s="141">
        <v>1848.6532070637193</v>
      </c>
      <c r="R26" s="141">
        <v>1679.950073607984</v>
      </c>
      <c r="S26" s="141">
        <v>1879.8644910131075</v>
      </c>
      <c r="T26" s="141">
        <v>2298.1202567176829</v>
      </c>
      <c r="U26" s="141">
        <v>1838.4865087984053</v>
      </c>
      <c r="V26" s="141">
        <v>2249.4341938583752</v>
      </c>
      <c r="W26" s="141">
        <v>2804.6027978742131</v>
      </c>
      <c r="X26" s="141">
        <v>3695.0787530715256</v>
      </c>
      <c r="Y26" s="141">
        <v>4146.7477380692098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0</v>
      </c>
      <c r="D27" s="150">
        <v>0</v>
      </c>
      <c r="E27" s="150">
        <v>1123.8870787135738</v>
      </c>
      <c r="F27" s="150">
        <v>427.20133096392942</v>
      </c>
      <c r="G27" s="150">
        <v>351.46074181942777</v>
      </c>
      <c r="H27" s="150">
        <v>472.60718068561539</v>
      </c>
      <c r="I27" s="150">
        <v>587.082816473565</v>
      </c>
      <c r="J27" s="150">
        <v>868.77685617381564</v>
      </c>
      <c r="K27" s="150">
        <v>335.92385651494095</v>
      </c>
      <c r="L27" s="150">
        <v>1109.5649624122634</v>
      </c>
      <c r="M27" s="150">
        <v>799.84241422899231</v>
      </c>
      <c r="N27" s="150">
        <v>527.93075043332988</v>
      </c>
      <c r="O27" s="150">
        <v>365.41167999550049</v>
      </c>
      <c r="P27" s="150">
        <v>1450.5000517017122</v>
      </c>
      <c r="Q27" s="150">
        <v>401.11284771216566</v>
      </c>
      <c r="R27" s="150">
        <v>460.46794361314602</v>
      </c>
      <c r="S27" s="150">
        <v>841.23937645523199</v>
      </c>
      <c r="T27" s="150">
        <v>980.49116113930359</v>
      </c>
      <c r="U27" s="150">
        <v>776.30778363000809</v>
      </c>
      <c r="V27" s="150">
        <v>1748.9903130210157</v>
      </c>
      <c r="W27" s="150">
        <v>0</v>
      </c>
      <c r="X27" s="150">
        <v>1634.3506865633408</v>
      </c>
      <c r="Y27" s="150">
        <v>1.6342149307160232E-12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4077.0587469568768</v>
      </c>
      <c r="D29" s="139">
        <f t="shared" si="13"/>
        <v>3779.7187050443385</v>
      </c>
      <c r="E29" s="139">
        <f t="shared" si="13"/>
        <v>5156.0430301856159</v>
      </c>
      <c r="F29" s="139">
        <f t="shared" si="13"/>
        <v>5937.0374657408602</v>
      </c>
      <c r="G29" s="139">
        <f t="shared" si="13"/>
        <v>9591.7589222840143</v>
      </c>
      <c r="H29" s="139">
        <f t="shared" si="13"/>
        <v>10357.939158209734</v>
      </c>
      <c r="I29" s="139">
        <f t="shared" si="13"/>
        <v>9425.0084868336489</v>
      </c>
      <c r="J29" s="139">
        <f t="shared" si="13"/>
        <v>6634.4027757849854</v>
      </c>
      <c r="K29" s="139">
        <f t="shared" si="13"/>
        <v>1059.5923534146066</v>
      </c>
      <c r="L29" s="139">
        <f t="shared" si="13"/>
        <v>4526.0416610564789</v>
      </c>
      <c r="M29" s="139">
        <f t="shared" si="13"/>
        <v>5040.5679503433039</v>
      </c>
      <c r="N29" s="139">
        <f t="shared" si="13"/>
        <v>2866.1415966510017</v>
      </c>
      <c r="O29" s="139">
        <f t="shared" si="13"/>
        <v>2652.7775381908655</v>
      </c>
      <c r="P29" s="139">
        <f t="shared" si="13"/>
        <v>4811.3216261174684</v>
      </c>
      <c r="Q29" s="139">
        <f t="shared" si="13"/>
        <v>7345.1661178103013</v>
      </c>
      <c r="R29" s="139">
        <f t="shared" ref="R29:W29" si="14">SUM(R30:R33)</f>
        <v>5327.2155631152673</v>
      </c>
      <c r="S29" s="139">
        <f t="shared" si="14"/>
        <v>6865.6267859451309</v>
      </c>
      <c r="T29" s="139">
        <f t="shared" si="14"/>
        <v>6293.9222136074441</v>
      </c>
      <c r="U29" s="139">
        <f t="shared" si="14"/>
        <v>6134.6865717415794</v>
      </c>
      <c r="V29" s="139">
        <f t="shared" si="14"/>
        <v>5766.0571434790436</v>
      </c>
      <c r="W29" s="139">
        <f t="shared" si="14"/>
        <v>5465.2692543616386</v>
      </c>
      <c r="X29" s="139">
        <f t="shared" ref="X29:Y29" si="15">SUM(X30:X33)</f>
        <v>5236.5946422485595</v>
      </c>
      <c r="Y29" s="139">
        <f t="shared" si="15"/>
        <v>4976.3550619374182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0</v>
      </c>
      <c r="D30" s="140">
        <v>0</v>
      </c>
      <c r="E30" s="140">
        <v>0</v>
      </c>
      <c r="F30" s="140">
        <v>0</v>
      </c>
      <c r="G30" s="140">
        <v>0</v>
      </c>
      <c r="H30" s="140">
        <v>0</v>
      </c>
      <c r="I30" s="140">
        <v>0</v>
      </c>
      <c r="J30" s="140">
        <v>0</v>
      </c>
      <c r="K30" s="140">
        <v>0</v>
      </c>
      <c r="L30" s="140">
        <v>0</v>
      </c>
      <c r="M30" s="140">
        <v>0</v>
      </c>
      <c r="N30" s="140">
        <v>0</v>
      </c>
      <c r="O30" s="140">
        <v>0</v>
      </c>
      <c r="P30" s="140">
        <v>0</v>
      </c>
      <c r="Q30" s="140">
        <v>0</v>
      </c>
      <c r="R30" s="140">
        <v>0</v>
      </c>
      <c r="S30" s="140">
        <v>0</v>
      </c>
      <c r="T30" s="140">
        <v>0</v>
      </c>
      <c r="U30" s="140">
        <v>0</v>
      </c>
      <c r="V30" s="140">
        <v>0</v>
      </c>
      <c r="W30" s="140">
        <v>0</v>
      </c>
      <c r="X30" s="140">
        <v>0</v>
      </c>
      <c r="Y30" s="140">
        <v>0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2208.1079776166498</v>
      </c>
      <c r="D31" s="140">
        <v>2029.133786964489</v>
      </c>
      <c r="E31" s="140">
        <v>2565.0177532591315</v>
      </c>
      <c r="F31" s="140">
        <v>2661.2805370582537</v>
      </c>
      <c r="G31" s="140">
        <v>4688.3607527072973</v>
      </c>
      <c r="H31" s="140">
        <v>4563.0418144406867</v>
      </c>
      <c r="I31" s="140">
        <v>4667.7890239507242</v>
      </c>
      <c r="J31" s="140">
        <v>3450.825322067155</v>
      </c>
      <c r="K31" s="140">
        <v>561.05629193986556</v>
      </c>
      <c r="L31" s="140">
        <v>2466.5887673949233</v>
      </c>
      <c r="M31" s="140">
        <v>2078.0272268173535</v>
      </c>
      <c r="N31" s="140">
        <v>1226.5047981020855</v>
      </c>
      <c r="O31" s="140">
        <v>1234.1294847215461</v>
      </c>
      <c r="P31" s="140">
        <v>2301.6070050825538</v>
      </c>
      <c r="Q31" s="140">
        <v>3814.1986706080165</v>
      </c>
      <c r="R31" s="140">
        <v>3437.9791405268643</v>
      </c>
      <c r="S31" s="140">
        <v>4839.6928555601617</v>
      </c>
      <c r="T31" s="140">
        <v>3463.8895011525083</v>
      </c>
      <c r="U31" s="140">
        <v>3420.7868145532279</v>
      </c>
      <c r="V31" s="140">
        <v>2189.3790203439416</v>
      </c>
      <c r="W31" s="140">
        <v>1398.9243645817576</v>
      </c>
      <c r="X31" s="140">
        <v>711.09414438397448</v>
      </c>
      <c r="Y31" s="140">
        <v>848.63640661122065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1868.950769340227</v>
      </c>
      <c r="D33" s="152">
        <v>1750.5849180798496</v>
      </c>
      <c r="E33" s="152">
        <v>2591.0252769264844</v>
      </c>
      <c r="F33" s="152">
        <v>3275.7569286826065</v>
      </c>
      <c r="G33" s="152">
        <v>4903.3981695767179</v>
      </c>
      <c r="H33" s="152">
        <v>5794.8973437690465</v>
      </c>
      <c r="I33" s="152">
        <v>4757.2194628829257</v>
      </c>
      <c r="J33" s="152">
        <v>3183.5774537178304</v>
      </c>
      <c r="K33" s="152">
        <v>498.53606147474096</v>
      </c>
      <c r="L33" s="152">
        <v>2059.4528936615557</v>
      </c>
      <c r="M33" s="152">
        <v>2962.5407235259499</v>
      </c>
      <c r="N33" s="152">
        <v>1639.6367985489162</v>
      </c>
      <c r="O33" s="152">
        <v>1418.6480534693194</v>
      </c>
      <c r="P33" s="152">
        <v>2509.7146210349147</v>
      </c>
      <c r="Q33" s="152">
        <v>3530.9674472022848</v>
      </c>
      <c r="R33" s="152">
        <v>1889.2364225884025</v>
      </c>
      <c r="S33" s="152">
        <v>2025.9339303849697</v>
      </c>
      <c r="T33" s="152">
        <v>2830.0327124549362</v>
      </c>
      <c r="U33" s="152">
        <v>2713.8997571883515</v>
      </c>
      <c r="V33" s="152">
        <v>3576.6781231351024</v>
      </c>
      <c r="W33" s="152">
        <v>4066.3448897798808</v>
      </c>
      <c r="X33" s="152">
        <v>4525.5004978645848</v>
      </c>
      <c r="Y33" s="152">
        <v>4127.7186553261972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57.484957837900929</v>
      </c>
      <c r="D3" s="125">
        <f t="shared" si="0"/>
        <v>51.319136143455012</v>
      </c>
      <c r="E3" s="125">
        <f t="shared" si="0"/>
        <v>70.237646737647822</v>
      </c>
      <c r="F3" s="125">
        <f t="shared" si="0"/>
        <v>75.397856899886946</v>
      </c>
      <c r="G3" s="125">
        <f t="shared" si="0"/>
        <v>108.56830166178793</v>
      </c>
      <c r="H3" s="125">
        <f t="shared" si="0"/>
        <v>103.47500117645841</v>
      </c>
      <c r="I3" s="125">
        <f t="shared" si="0"/>
        <v>87.171158870448423</v>
      </c>
      <c r="J3" s="125">
        <f t="shared" si="0"/>
        <v>61.668492761957751</v>
      </c>
      <c r="K3" s="125">
        <f t="shared" si="0"/>
        <v>8.0076128753162195</v>
      </c>
      <c r="L3" s="125">
        <f t="shared" si="0"/>
        <v>39.467368007374453</v>
      </c>
      <c r="M3" s="125">
        <f t="shared" si="0"/>
        <v>40.987643439416615</v>
      </c>
      <c r="N3" s="125">
        <f t="shared" si="0"/>
        <v>21.669198640805696</v>
      </c>
      <c r="O3" s="125">
        <f t="shared" si="0"/>
        <v>19.371357202289271</v>
      </c>
      <c r="P3" s="125">
        <f t="shared" si="0"/>
        <v>31.638903097901835</v>
      </c>
      <c r="Q3" s="125">
        <f t="shared" si="0"/>
        <v>47.212377553466766</v>
      </c>
      <c r="R3" s="125">
        <f t="shared" ref="R3:W3" si="1">SUM(R4,R16,R19,R29)</f>
        <v>32.733306353241055</v>
      </c>
      <c r="S3" s="125">
        <f t="shared" si="1"/>
        <v>42.138262841987057</v>
      </c>
      <c r="T3" s="125">
        <f t="shared" si="1"/>
        <v>35.172471879924586</v>
      </c>
      <c r="U3" s="125">
        <f t="shared" si="1"/>
        <v>33.333895464486176</v>
      </c>
      <c r="V3" s="125">
        <f t="shared" si="1"/>
        <v>26.760647094638319</v>
      </c>
      <c r="W3" s="125">
        <f t="shared" si="1"/>
        <v>22.449614402780316</v>
      </c>
      <c r="X3" s="125">
        <f t="shared" ref="X3:Y3" si="2">SUM(X4,X16,X19,X29)</f>
        <v>20.24929464392936</v>
      </c>
      <c r="Y3" s="125">
        <f t="shared" si="2"/>
        <v>18.78508025011287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47.22353407336611</v>
      </c>
      <c r="D4" s="130">
        <f t="shared" si="3"/>
        <v>40.704614297774818</v>
      </c>
      <c r="E4" s="130">
        <f t="shared" si="3"/>
        <v>57.72699876920754</v>
      </c>
      <c r="F4" s="130">
        <f t="shared" si="3"/>
        <v>61.457553440001064</v>
      </c>
      <c r="G4" s="130">
        <f t="shared" si="3"/>
        <v>85.850576451228079</v>
      </c>
      <c r="H4" s="130">
        <f t="shared" si="3"/>
        <v>78.667909529759626</v>
      </c>
      <c r="I4" s="130">
        <f t="shared" si="3"/>
        <v>64.127338129004329</v>
      </c>
      <c r="J4" s="130">
        <f t="shared" si="3"/>
        <v>44.909707878196087</v>
      </c>
      <c r="K4" s="130">
        <f t="shared" si="3"/>
        <v>5.2357180399189192</v>
      </c>
      <c r="L4" s="130">
        <f t="shared" si="3"/>
        <v>27.659155492370125</v>
      </c>
      <c r="M4" s="130">
        <f t="shared" si="3"/>
        <v>28.166919124592887</v>
      </c>
      <c r="N4" s="130">
        <f t="shared" si="3"/>
        <v>14.483509043207464</v>
      </c>
      <c r="O4" s="130">
        <f t="shared" si="3"/>
        <v>12.701325435631569</v>
      </c>
      <c r="P4" s="130">
        <f t="shared" si="3"/>
        <v>20.036423414981989</v>
      </c>
      <c r="Q4" s="130">
        <f t="shared" si="3"/>
        <v>28.940912115890622</v>
      </c>
      <c r="R4" s="130">
        <f t="shared" ref="R4:W4" si="4">SUM(R5:R15)</f>
        <v>19.927512730691099</v>
      </c>
      <c r="S4" s="130">
        <f t="shared" si="4"/>
        <v>25.308631218410376</v>
      </c>
      <c r="T4" s="130">
        <f t="shared" si="4"/>
        <v>20.545142271604643</v>
      </c>
      <c r="U4" s="130">
        <f t="shared" si="4"/>
        <v>19.195696141723989</v>
      </c>
      <c r="V4" s="130">
        <f t="shared" si="4"/>
        <v>14.978068119006386</v>
      </c>
      <c r="W4" s="130">
        <f t="shared" si="4"/>
        <v>11.587001516194052</v>
      </c>
      <c r="X4" s="130">
        <f t="shared" ref="X4:Y4" si="5">SUM(X5:X15)</f>
        <v>10.089883820285534</v>
      </c>
      <c r="Y4" s="130">
        <f t="shared" si="5"/>
        <v>8.6899330493921916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12.02488998694654</v>
      </c>
      <c r="F5" s="132">
        <v>11.187081643948463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0.87215767005767331</v>
      </c>
      <c r="O5" s="132">
        <v>1.1979078908154868</v>
      </c>
      <c r="P5" s="132">
        <v>5.0013932592989287E-2</v>
      </c>
      <c r="Q5" s="132">
        <v>0</v>
      </c>
      <c r="R5" s="132">
        <v>7.2983113394675572E-2</v>
      </c>
      <c r="S5" s="132">
        <v>0</v>
      </c>
      <c r="T5" s="132">
        <v>0</v>
      </c>
      <c r="U5" s="132">
        <v>0.29803271743986232</v>
      </c>
      <c r="V5" s="132">
        <v>0.13521865560769702</v>
      </c>
      <c r="W5" s="132">
        <v>4.203316647366907E-3</v>
      </c>
      <c r="X5" s="132">
        <v>2.4659605786083148E-2</v>
      </c>
      <c r="Y5" s="132">
        <v>0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0.1615534593749525</v>
      </c>
      <c r="D7" s="132">
        <v>1.1735370481977931</v>
      </c>
      <c r="E7" s="132">
        <v>0.49819220788508761</v>
      </c>
      <c r="F7" s="132">
        <v>0.80661898622574923</v>
      </c>
      <c r="G7" s="132">
        <v>0.36934157371170079</v>
      </c>
      <c r="H7" s="132">
        <v>0.82912779268401182</v>
      </c>
      <c r="I7" s="132">
        <v>0.41212653796050558</v>
      </c>
      <c r="J7" s="132">
        <v>0.22325496583964946</v>
      </c>
      <c r="K7" s="132">
        <v>0</v>
      </c>
      <c r="L7" s="132">
        <v>0.20796076212324482</v>
      </c>
      <c r="M7" s="132">
        <v>0.14532811978265328</v>
      </c>
      <c r="N7" s="132">
        <v>0.27089784269799444</v>
      </c>
      <c r="O7" s="132">
        <v>7.5667176304447345E-2</v>
      </c>
      <c r="P7" s="132">
        <v>0.1994949708013512</v>
      </c>
      <c r="Q7" s="132">
        <v>1.0477745340355744</v>
      </c>
      <c r="R7" s="132">
        <v>0.28470721743055249</v>
      </c>
      <c r="S7" s="132">
        <v>0.11392186350321956</v>
      </c>
      <c r="T7" s="132">
        <v>0</v>
      </c>
      <c r="U7" s="132">
        <v>3.2863234082489201E-2</v>
      </c>
      <c r="V7" s="132">
        <v>0.12320695067337029</v>
      </c>
      <c r="W7" s="132">
        <v>0.27581605508021712</v>
      </c>
      <c r="X7" s="132">
        <v>0.14086397996551969</v>
      </c>
      <c r="Y7" s="132">
        <v>0.19213015697489566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1.4794002132850989E-3</v>
      </c>
      <c r="H8" s="132">
        <v>2.6468718219510817E-3</v>
      </c>
      <c r="I8" s="132">
        <v>3.9670305721342947E-3</v>
      </c>
      <c r="J8" s="132">
        <v>4.3755533135172433E-3</v>
      </c>
      <c r="K8" s="132">
        <v>1.1665694872745535E-3</v>
      </c>
      <c r="L8" s="132">
        <v>3.4406443460272863E-3</v>
      </c>
      <c r="M8" s="132">
        <v>6.5684502030376631E-3</v>
      </c>
      <c r="N8" s="132">
        <v>5.5814962984238265E-3</v>
      </c>
      <c r="O8" s="132">
        <v>8.1270100630018161E-3</v>
      </c>
      <c r="P8" s="132">
        <v>2.708001492946439E-2</v>
      </c>
      <c r="Q8" s="132">
        <v>1.8715856085822932E-2</v>
      </c>
      <c r="R8" s="132">
        <v>8.0224155074859645E-3</v>
      </c>
      <c r="S8" s="132">
        <v>6.3631807660098306E-3</v>
      </c>
      <c r="T8" s="132">
        <v>8.843719605923922E-3</v>
      </c>
      <c r="U8" s="132">
        <v>1.0799510454718915E-2</v>
      </c>
      <c r="V8" s="132">
        <v>1.1310998616019559E-2</v>
      </c>
      <c r="W8" s="132">
        <v>1.0134683653142532E-2</v>
      </c>
      <c r="X8" s="132">
        <v>1.0052371013190906E-2</v>
      </c>
      <c r="Y8" s="132">
        <v>8.4751102609599543E-3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25.593469257498185</v>
      </c>
      <c r="D9" s="132">
        <v>25.166874609838327</v>
      </c>
      <c r="E9" s="132">
        <v>27.425233812753756</v>
      </c>
      <c r="F9" s="132">
        <v>31.368212695864848</v>
      </c>
      <c r="G9" s="132">
        <v>57.680228249404429</v>
      </c>
      <c r="H9" s="132">
        <v>51.034965403637969</v>
      </c>
      <c r="I9" s="132">
        <v>39.711853670093177</v>
      </c>
      <c r="J9" s="132">
        <v>25.736882204160878</v>
      </c>
      <c r="K9" s="132">
        <v>0</v>
      </c>
      <c r="L9" s="132">
        <v>8.7578176666243319</v>
      </c>
      <c r="M9" s="132">
        <v>12.089955692643363</v>
      </c>
      <c r="N9" s="132">
        <v>4.8985112582832455</v>
      </c>
      <c r="O9" s="132">
        <v>4.4054761278114052</v>
      </c>
      <c r="P9" s="132">
        <v>10.704336727158649</v>
      </c>
      <c r="Q9" s="132">
        <v>15.704027275469089</v>
      </c>
      <c r="R9" s="132">
        <v>8.9577145759659604</v>
      </c>
      <c r="S9" s="132">
        <v>13.069309066189463</v>
      </c>
      <c r="T9" s="132">
        <v>9.0265101479419609</v>
      </c>
      <c r="U9" s="132">
        <v>9.5187128202344873</v>
      </c>
      <c r="V9" s="132">
        <v>6.4445976811959982</v>
      </c>
      <c r="W9" s="132">
        <v>4.4023421092035493</v>
      </c>
      <c r="X9" s="132">
        <v>3.4891458763305221</v>
      </c>
      <c r="Y9" s="132">
        <v>3.5987672224652552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1.1950081843908475</v>
      </c>
      <c r="D10" s="132">
        <v>1.1801044415500799</v>
      </c>
      <c r="E10" s="132">
        <v>1.8488435765880722</v>
      </c>
      <c r="F10" s="132">
        <v>1.7230485088207219</v>
      </c>
      <c r="G10" s="132">
        <v>2.6119387776071887</v>
      </c>
      <c r="H10" s="132">
        <v>1.7185898275905356</v>
      </c>
      <c r="I10" s="132">
        <v>1.8077141440726838</v>
      </c>
      <c r="J10" s="132">
        <v>0.6357999534458677</v>
      </c>
      <c r="K10" s="132">
        <v>0.1669923064811849</v>
      </c>
      <c r="L10" s="132">
        <v>1.1275553406045311</v>
      </c>
      <c r="M10" s="132">
        <v>1.4392174085578349</v>
      </c>
      <c r="N10" s="132">
        <v>0.77390098736263435</v>
      </c>
      <c r="O10" s="132">
        <v>0.76590615638164838</v>
      </c>
      <c r="P10" s="132">
        <v>1.5339105502037691</v>
      </c>
      <c r="Q10" s="132">
        <v>1.494528592987493</v>
      </c>
      <c r="R10" s="132">
        <v>0.31135482475449772</v>
      </c>
      <c r="S10" s="132">
        <v>0.32958754481297314</v>
      </c>
      <c r="T10" s="132">
        <v>0.61946379930302675</v>
      </c>
      <c r="U10" s="132">
        <v>0.70560480212289556</v>
      </c>
      <c r="V10" s="132">
        <v>0.62205709308110646</v>
      </c>
      <c r="W10" s="132">
        <v>0.50423807073748561</v>
      </c>
      <c r="X10" s="132">
        <v>0.3694598656332781</v>
      </c>
      <c r="Y10" s="132">
        <v>0.30171394672492213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11.546797626707848</v>
      </c>
      <c r="D12" s="132">
        <v>7.33272373330131</v>
      </c>
      <c r="E12" s="132">
        <v>10.318596743629879</v>
      </c>
      <c r="F12" s="132">
        <v>15.818706368216986</v>
      </c>
      <c r="G12" s="132">
        <v>16.332116694381337</v>
      </c>
      <c r="H12" s="132">
        <v>8.6757683208072613</v>
      </c>
      <c r="I12" s="132">
        <v>5.4568585377078191</v>
      </c>
      <c r="J12" s="132">
        <v>6.6311703946709502</v>
      </c>
      <c r="K12" s="132">
        <v>2.8282808066641634</v>
      </c>
      <c r="L12" s="132">
        <v>12.663250270429513</v>
      </c>
      <c r="M12" s="132">
        <v>9.3916860880304291</v>
      </c>
      <c r="N12" s="132">
        <v>4.3090398564067307</v>
      </c>
      <c r="O12" s="132">
        <v>2.819614983900955</v>
      </c>
      <c r="P12" s="132">
        <v>4.1131398047085925</v>
      </c>
      <c r="Q12" s="132">
        <v>5.4350526538870989</v>
      </c>
      <c r="R12" s="132">
        <v>4.4694138997117179</v>
      </c>
      <c r="S12" s="132">
        <v>4.5867996243184237</v>
      </c>
      <c r="T12" s="132">
        <v>4.428744187246946</v>
      </c>
      <c r="U12" s="132">
        <v>3.5366349617612558</v>
      </c>
      <c r="V12" s="132">
        <v>3.9921696490271512</v>
      </c>
      <c r="W12" s="132">
        <v>3.9963685694705742</v>
      </c>
      <c r="X12" s="132">
        <v>3.9185797031121372</v>
      </c>
      <c r="Y12" s="132">
        <v>3.4466333267234748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3.8176567111020604E-2</v>
      </c>
      <c r="D13" s="132">
        <v>8.2324081334307408E-2</v>
      </c>
      <c r="E13" s="132">
        <v>8.8719146300758292E-2</v>
      </c>
      <c r="F13" s="132">
        <v>0.10724593009160513</v>
      </c>
      <c r="G13" s="132">
        <v>0.13908379193280296</v>
      </c>
      <c r="H13" s="132">
        <v>0.18235737119911027</v>
      </c>
      <c r="I13" s="132">
        <v>0.17146167706164156</v>
      </c>
      <c r="J13" s="132">
        <v>0.13121982020511647</v>
      </c>
      <c r="K13" s="132">
        <v>3.7110176675074602E-2</v>
      </c>
      <c r="L13" s="132">
        <v>9.8647257821437517E-2</v>
      </c>
      <c r="M13" s="132">
        <v>0.12207890527553177</v>
      </c>
      <c r="N13" s="132">
        <v>6.6751725648680246E-2</v>
      </c>
      <c r="O13" s="132">
        <v>5.6625180159219607E-2</v>
      </c>
      <c r="P13" s="132">
        <v>0.14490143748483983</v>
      </c>
      <c r="Q13" s="132">
        <v>0.14932764738352111</v>
      </c>
      <c r="R13" s="132">
        <v>0.10886906512971532</v>
      </c>
      <c r="S13" s="132">
        <v>0.12666127412798209</v>
      </c>
      <c r="T13" s="132">
        <v>0.14701903153188547</v>
      </c>
      <c r="U13" s="132">
        <v>0.14530596455683156</v>
      </c>
      <c r="V13" s="132">
        <v>0.17463085518794516</v>
      </c>
      <c r="W13" s="132">
        <v>0.17997305101256028</v>
      </c>
      <c r="X13" s="132">
        <v>0.28974194978610096</v>
      </c>
      <c r="Y13" s="132">
        <v>0.27156182904892151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8.3748345523399266</v>
      </c>
      <c r="D14" s="65">
        <v>5.4698583727017152</v>
      </c>
      <c r="E14" s="65">
        <v>5.1286257414591541</v>
      </c>
      <c r="F14" s="65">
        <v>0</v>
      </c>
      <c r="G14" s="65">
        <v>8.0743317823455136</v>
      </c>
      <c r="H14" s="65">
        <v>15.679108268759537</v>
      </c>
      <c r="I14" s="65">
        <v>16.145876097749685</v>
      </c>
      <c r="J14" s="65">
        <v>11.269713481116108</v>
      </c>
      <c r="K14" s="65">
        <v>2.1917604757869973</v>
      </c>
      <c r="L14" s="65">
        <v>4.6658292733225579</v>
      </c>
      <c r="M14" s="65">
        <v>4.8140632082103041</v>
      </c>
      <c r="N14" s="65">
        <v>3.2121560980915702</v>
      </c>
      <c r="O14" s="65">
        <v>3.3057234004186511</v>
      </c>
      <c r="P14" s="65">
        <v>3.1225633026681141</v>
      </c>
      <c r="Q14" s="65">
        <v>4.8758106252592963</v>
      </c>
      <c r="R14" s="65">
        <v>5.5905112672956569</v>
      </c>
      <c r="S14" s="65">
        <v>6.9043322249547998</v>
      </c>
      <c r="T14" s="65">
        <v>6.1898985612149628</v>
      </c>
      <c r="U14" s="65">
        <v>4.8168729371295012</v>
      </c>
      <c r="V14" s="65">
        <v>3.3788260785206305</v>
      </c>
      <c r="W14" s="65">
        <v>2.1416702364632365</v>
      </c>
      <c r="X14" s="65">
        <v>1.7880941097377776</v>
      </c>
      <c r="Y14" s="65">
        <v>0.81125936187036729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0.31369442594332425</v>
      </c>
      <c r="D15" s="134">
        <v>0.29919201085128322</v>
      </c>
      <c r="E15" s="134">
        <v>0.39389755364428836</v>
      </c>
      <c r="F15" s="134">
        <v>0.44663930683268488</v>
      </c>
      <c r="G15" s="134">
        <v>0.64205618163182809</v>
      </c>
      <c r="H15" s="134">
        <v>0.5453456732592542</v>
      </c>
      <c r="I15" s="134">
        <v>0.41748043378668293</v>
      </c>
      <c r="J15" s="134">
        <v>0.277291505443998</v>
      </c>
      <c r="K15" s="134">
        <v>1.0407704824223709E-2</v>
      </c>
      <c r="L15" s="134">
        <v>0.13465427709848204</v>
      </c>
      <c r="M15" s="134">
        <v>0.15802125188973021</v>
      </c>
      <c r="N15" s="134">
        <v>7.4512108360510129E-2</v>
      </c>
      <c r="O15" s="134">
        <v>6.6277509776753701E-2</v>
      </c>
      <c r="P15" s="134">
        <v>0.14098267443421997</v>
      </c>
      <c r="Q15" s="134">
        <v>0.21567493078272787</v>
      </c>
      <c r="R15" s="134">
        <v>0.12393635150083919</v>
      </c>
      <c r="S15" s="134">
        <v>0.17165643973750419</v>
      </c>
      <c r="T15" s="134">
        <v>0.12466282475993606</v>
      </c>
      <c r="U15" s="134">
        <v>0.13086919394194704</v>
      </c>
      <c r="V15" s="134">
        <v>9.6050157096468219E-2</v>
      </c>
      <c r="W15" s="134">
        <v>7.2255423925921006E-2</v>
      </c>
      <c r="X15" s="134">
        <v>5.9286358920923356E-2</v>
      </c>
      <c r="Y15" s="134">
        <v>5.9392095323395837E-2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2.3318083650865113</v>
      </c>
      <c r="D16" s="130">
        <f t="shared" si="6"/>
        <v>3.3417526205138222</v>
      </c>
      <c r="E16" s="130">
        <f t="shared" si="6"/>
        <v>2.9214914762327013</v>
      </c>
      <c r="F16" s="130">
        <f t="shared" si="6"/>
        <v>3.0055969214341283</v>
      </c>
      <c r="G16" s="130">
        <f t="shared" si="6"/>
        <v>5.0812842070941961</v>
      </c>
      <c r="H16" s="130">
        <f t="shared" si="6"/>
        <v>5.8936624288663815</v>
      </c>
      <c r="I16" s="130">
        <f t="shared" si="6"/>
        <v>5.8114673713585638</v>
      </c>
      <c r="J16" s="130">
        <f t="shared" si="6"/>
        <v>4.6373698681126667</v>
      </c>
      <c r="K16" s="130">
        <f t="shared" si="6"/>
        <v>0.70872021254592599</v>
      </c>
      <c r="L16" s="130">
        <f t="shared" si="6"/>
        <v>2.9601895581851863</v>
      </c>
      <c r="M16" s="130">
        <f t="shared" si="6"/>
        <v>3.1050651557108129</v>
      </c>
      <c r="N16" s="130">
        <f t="shared" si="6"/>
        <v>1.6879515156686442</v>
      </c>
      <c r="O16" s="130">
        <f t="shared" si="6"/>
        <v>1.5390845348286717</v>
      </c>
      <c r="P16" s="130">
        <f t="shared" si="6"/>
        <v>2.5121810855801709</v>
      </c>
      <c r="Q16" s="130">
        <f t="shared" si="6"/>
        <v>4.3335489542863925</v>
      </c>
      <c r="R16" s="130">
        <f t="shared" ref="R16:W16" si="7">SUM(R17:R18)</f>
        <v>2.5442413664473778</v>
      </c>
      <c r="S16" s="130">
        <f t="shared" si="7"/>
        <v>3.2411847107562495</v>
      </c>
      <c r="T16" s="130">
        <f t="shared" si="7"/>
        <v>3.0410515815856232</v>
      </c>
      <c r="U16" s="130">
        <f t="shared" si="7"/>
        <v>2.8285280555004859</v>
      </c>
      <c r="V16" s="130">
        <f t="shared" si="7"/>
        <v>2.3550311733152647</v>
      </c>
      <c r="W16" s="130">
        <f t="shared" si="7"/>
        <v>2.1466028484006308</v>
      </c>
      <c r="X16" s="130">
        <f t="shared" ref="X16:Y16" si="8">SUM(X17:X18)</f>
        <v>2.2030021771801267</v>
      </c>
      <c r="Y16" s="130">
        <f t="shared" si="8"/>
        <v>2.1820596025451295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4.2288156613111312E-2</v>
      </c>
      <c r="H17" s="132">
        <v>1.1209255622029717E-2</v>
      </c>
      <c r="I17" s="132">
        <v>2.3359050083354618E-2</v>
      </c>
      <c r="J17" s="132">
        <v>4.0568895699596768E-3</v>
      </c>
      <c r="K17" s="132">
        <v>5.1665239158832296E-3</v>
      </c>
      <c r="L17" s="132">
        <v>2.4258678962659182E-3</v>
      </c>
      <c r="M17" s="132">
        <v>7.4727206754517383E-3</v>
      </c>
      <c r="N17" s="132">
        <v>4.650608609103375E-3</v>
      </c>
      <c r="O17" s="132">
        <v>1.2770921131042239E-2</v>
      </c>
      <c r="P17" s="132">
        <v>4.2373099242353357E-2</v>
      </c>
      <c r="Q17" s="132">
        <v>0.10923442350765479</v>
      </c>
      <c r="R17" s="132">
        <v>3.7842491544131364E-2</v>
      </c>
      <c r="S17" s="132">
        <v>6.3599309681702382E-2</v>
      </c>
      <c r="T17" s="132">
        <v>5.661717192879006E-2</v>
      </c>
      <c r="U17" s="132">
        <v>4.2960073804741886E-2</v>
      </c>
      <c r="V17" s="132">
        <v>6.0654682944917153E-2</v>
      </c>
      <c r="W17" s="132">
        <v>3.8006825093770805E-2</v>
      </c>
      <c r="X17" s="132">
        <v>3.1142878387456222E-2</v>
      </c>
      <c r="Y17" s="132">
        <v>4.6980959811366865E-2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2.3318083650865113</v>
      </c>
      <c r="D18" s="132">
        <v>3.3417526205138222</v>
      </c>
      <c r="E18" s="132">
        <v>2.9214914762327013</v>
      </c>
      <c r="F18" s="132">
        <v>3.0055969214341283</v>
      </c>
      <c r="G18" s="132">
        <v>5.0389960504810851</v>
      </c>
      <c r="H18" s="132">
        <v>5.8824531732443521</v>
      </c>
      <c r="I18" s="132">
        <v>5.7881083212752094</v>
      </c>
      <c r="J18" s="132">
        <v>4.6333129785427074</v>
      </c>
      <c r="K18" s="132">
        <v>0.70355368863004275</v>
      </c>
      <c r="L18" s="132">
        <v>2.9577636902889202</v>
      </c>
      <c r="M18" s="132">
        <v>3.0975924350353612</v>
      </c>
      <c r="N18" s="132">
        <v>1.6833009070595408</v>
      </c>
      <c r="O18" s="132">
        <v>1.5263136136976294</v>
      </c>
      <c r="P18" s="132">
        <v>2.4698079863378175</v>
      </c>
      <c r="Q18" s="132">
        <v>4.224314530778738</v>
      </c>
      <c r="R18" s="132">
        <v>2.5063988749032462</v>
      </c>
      <c r="S18" s="132">
        <v>3.177585401074547</v>
      </c>
      <c r="T18" s="132">
        <v>2.9844344096568332</v>
      </c>
      <c r="U18" s="132">
        <v>2.7855679816957442</v>
      </c>
      <c r="V18" s="132">
        <v>2.2943764903703476</v>
      </c>
      <c r="W18" s="132">
        <v>2.1085960233068599</v>
      </c>
      <c r="X18" s="132">
        <v>2.1718592987926706</v>
      </c>
      <c r="Y18" s="132">
        <v>2.1350786427337627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3.8669808486339776</v>
      </c>
      <c r="D19" s="130">
        <f t="shared" si="9"/>
        <v>3.5393485766845858</v>
      </c>
      <c r="E19" s="130">
        <f t="shared" si="9"/>
        <v>4.5323997764969297</v>
      </c>
      <c r="F19" s="130">
        <f t="shared" si="9"/>
        <v>5.1990948834728554</v>
      </c>
      <c r="G19" s="130">
        <f t="shared" si="9"/>
        <v>8.3807816362329692</v>
      </c>
      <c r="H19" s="130">
        <f t="shared" si="9"/>
        <v>9.0361404502054672</v>
      </c>
      <c r="I19" s="130">
        <f t="shared" si="9"/>
        <v>8.2012867252044526</v>
      </c>
      <c r="J19" s="130">
        <f t="shared" si="9"/>
        <v>5.6486117061547239</v>
      </c>
      <c r="K19" s="130">
        <f t="shared" si="9"/>
        <v>0.95595096753495035</v>
      </c>
      <c r="L19" s="130">
        <f t="shared" si="9"/>
        <v>4.0213944187629105</v>
      </c>
      <c r="M19" s="130">
        <f t="shared" si="9"/>
        <v>4.4730106057460794</v>
      </c>
      <c r="N19" s="130">
        <f t="shared" si="9"/>
        <v>2.4875309190647066</v>
      </c>
      <c r="O19" s="130">
        <f t="shared" si="9"/>
        <v>2.2814414635340716</v>
      </c>
      <c r="P19" s="130">
        <f t="shared" si="9"/>
        <v>3.9180258797020575</v>
      </c>
      <c r="Q19" s="130">
        <f t="shared" si="9"/>
        <v>6.0206987055426904</v>
      </c>
      <c r="R19" s="130">
        <f t="shared" ref="R19:W19" si="10">SUM(R20:R27)</f>
        <v>4.3123796040373161</v>
      </c>
      <c r="S19" s="130">
        <f t="shared" si="10"/>
        <v>5.554030918307018</v>
      </c>
      <c r="T19" s="130">
        <f t="shared" si="10"/>
        <v>4.9068435633639922</v>
      </c>
      <c r="U19" s="130">
        <f t="shared" si="10"/>
        <v>4.747301490341056</v>
      </c>
      <c r="V19" s="130">
        <f t="shared" si="10"/>
        <v>4.0811543183662966</v>
      </c>
      <c r="W19" s="130">
        <f t="shared" si="10"/>
        <v>3.7813852503039183</v>
      </c>
      <c r="X19" s="130">
        <f t="shared" ref="X19:Y19" si="11">SUM(X20:X27)</f>
        <v>3.47139622061324</v>
      </c>
      <c r="Y19" s="130">
        <f t="shared" si="11"/>
        <v>3.4816461091280733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0</v>
      </c>
      <c r="Y22" s="132">
        <v>0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1.5753975928229806</v>
      </c>
      <c r="D23" s="132">
        <v>1.8332712341661572</v>
      </c>
      <c r="E23" s="132">
        <v>2.2641376150108496</v>
      </c>
      <c r="F23" s="132">
        <v>2.69123386742424</v>
      </c>
      <c r="G23" s="132">
        <v>4.0558099197858972</v>
      </c>
      <c r="H23" s="132">
        <v>4.5600682327167839</v>
      </c>
      <c r="I23" s="132">
        <v>4.8172470307206092</v>
      </c>
      <c r="J23" s="132">
        <v>3.0666102170223253</v>
      </c>
      <c r="K23" s="132">
        <v>0.60575204229821356</v>
      </c>
      <c r="L23" s="132">
        <v>1.7232828116026173</v>
      </c>
      <c r="M23" s="132">
        <v>1.8739683141487162</v>
      </c>
      <c r="N23" s="132">
        <v>0.85805162426704695</v>
      </c>
      <c r="O23" s="132">
        <v>0.90441290779263006</v>
      </c>
      <c r="P23" s="132">
        <v>1.9755670292216707</v>
      </c>
      <c r="Q23" s="132">
        <v>3.3086032451613185</v>
      </c>
      <c r="R23" s="132">
        <v>1.9346156693814451</v>
      </c>
      <c r="S23" s="132">
        <v>2.9413562362344785</v>
      </c>
      <c r="T23" s="132">
        <v>1.9782050144882517</v>
      </c>
      <c r="U23" s="132">
        <v>2.3905072574868971</v>
      </c>
      <c r="V23" s="132">
        <v>1.5575372196288257</v>
      </c>
      <c r="W23" s="132">
        <v>1.1908046584808663</v>
      </c>
      <c r="X23" s="132">
        <v>0.5554451183455007</v>
      </c>
      <c r="Y23" s="132">
        <v>0.31370449942235146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0.72880041643884219</v>
      </c>
      <c r="D25" s="132">
        <v>0.78705188304178297</v>
      </c>
      <c r="E25" s="132">
        <v>0.99531305359412747</v>
      </c>
      <c r="F25" s="132">
        <v>1.0862281045174109</v>
      </c>
      <c r="G25" s="132">
        <v>1.2658083449837061</v>
      </c>
      <c r="H25" s="132">
        <v>1.3002476354475381</v>
      </c>
      <c r="I25" s="132">
        <v>0.99614474627814453</v>
      </c>
      <c r="J25" s="132">
        <v>0.76754176265674068</v>
      </c>
      <c r="K25" s="132">
        <v>0.18990925827959526</v>
      </c>
      <c r="L25" s="132">
        <v>0.81343134625149616</v>
      </c>
      <c r="M25" s="132">
        <v>1.1342640331643647</v>
      </c>
      <c r="N25" s="132">
        <v>0.72280132354120807</v>
      </c>
      <c r="O25" s="132">
        <v>0.69574114109114127</v>
      </c>
      <c r="P25" s="132">
        <v>1.0250429320226797</v>
      </c>
      <c r="Q25" s="132">
        <v>1.2304336191749683</v>
      </c>
      <c r="R25" s="132">
        <v>1.053291880029755</v>
      </c>
      <c r="S25" s="132">
        <v>1.1151544054894704</v>
      </c>
      <c r="T25" s="132">
        <v>1.1478222979506862</v>
      </c>
      <c r="U25" s="132">
        <v>0.95680578897896329</v>
      </c>
      <c r="V25" s="132">
        <v>0.93083255675040222</v>
      </c>
      <c r="W25" s="132">
        <v>0.82151327650732908</v>
      </c>
      <c r="X25" s="132">
        <v>0.54698406053178295</v>
      </c>
      <c r="Y25" s="132">
        <v>0.27125566557357511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1.5627828393721548</v>
      </c>
      <c r="D26" s="65">
        <v>0.91902545947664582</v>
      </c>
      <c r="E26" s="65">
        <v>0.93588729442246799</v>
      </c>
      <c r="F26" s="65">
        <v>1.2978458984870893</v>
      </c>
      <c r="G26" s="65">
        <v>2.9550194833053016</v>
      </c>
      <c r="H26" s="65">
        <v>3.0408512779458405</v>
      </c>
      <c r="I26" s="65">
        <v>2.2170196567577372</v>
      </c>
      <c r="J26" s="65">
        <v>1.5562551171430155</v>
      </c>
      <c r="K26" s="65">
        <v>4.8462442979437532E-2</v>
      </c>
      <c r="L26" s="65">
        <v>1.1146776906771545</v>
      </c>
      <c r="M26" s="65">
        <v>1.1708088743850102</v>
      </c>
      <c r="N26" s="65">
        <v>0.70610081199408414</v>
      </c>
      <c r="O26" s="65">
        <v>0.53790260686095959</v>
      </c>
      <c r="P26" s="65">
        <v>0.38334679684469158</v>
      </c>
      <c r="Q26" s="65">
        <v>1.3260316360726665</v>
      </c>
      <c r="R26" s="65">
        <v>1.1394276223069588</v>
      </c>
      <c r="S26" s="65">
        <v>1.160061807904593</v>
      </c>
      <c r="T26" s="65">
        <v>1.39696431145047</v>
      </c>
      <c r="U26" s="65">
        <v>1.0978736090729071</v>
      </c>
      <c r="V26" s="65">
        <v>0.97258574029147038</v>
      </c>
      <c r="W26" s="65">
        <v>1.7690673153157233</v>
      </c>
      <c r="X26" s="65">
        <v>1.7753081167163169</v>
      </c>
      <c r="Y26" s="65">
        <v>2.896685944132146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0.33706181346948472</v>
      </c>
      <c r="F27" s="147">
        <v>0.12378701304411521</v>
      </c>
      <c r="G27" s="147">
        <v>0.10414388815806419</v>
      </c>
      <c r="H27" s="147">
        <v>0.134973304095306</v>
      </c>
      <c r="I27" s="147">
        <v>0.17087529144796101</v>
      </c>
      <c r="J27" s="147">
        <v>0.25820460933264244</v>
      </c>
      <c r="K27" s="147">
        <v>0.11182722397770398</v>
      </c>
      <c r="L27" s="147">
        <v>0.3700025702316424</v>
      </c>
      <c r="M27" s="147">
        <v>0.29396938404798822</v>
      </c>
      <c r="N27" s="147">
        <v>0.20057715926236708</v>
      </c>
      <c r="O27" s="147">
        <v>0.14338480778934062</v>
      </c>
      <c r="P27" s="147">
        <v>0.53406912161301534</v>
      </c>
      <c r="Q27" s="147">
        <v>0.15563020513373654</v>
      </c>
      <c r="R27" s="147">
        <v>0.18504443231915804</v>
      </c>
      <c r="S27" s="147">
        <v>0.33745846867847651</v>
      </c>
      <c r="T27" s="147">
        <v>0.38385193947458407</v>
      </c>
      <c r="U27" s="147">
        <v>0.30211483480228785</v>
      </c>
      <c r="V27" s="147">
        <v>0.6201988016955986</v>
      </c>
      <c r="W27" s="147">
        <v>0</v>
      </c>
      <c r="X27" s="147">
        <v>0.59365892501963968</v>
      </c>
      <c r="Y27" s="147">
        <v>6.7765835039729121E-16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4.0626345508143302</v>
      </c>
      <c r="D29" s="130">
        <f t="shared" si="12"/>
        <v>3.7334206484817822</v>
      </c>
      <c r="E29" s="130">
        <f t="shared" si="12"/>
        <v>5.0567567157106463</v>
      </c>
      <c r="F29" s="130">
        <f t="shared" si="12"/>
        <v>5.7356116549788965</v>
      </c>
      <c r="G29" s="130">
        <f t="shared" si="12"/>
        <v>9.2556593672326848</v>
      </c>
      <c r="H29" s="130">
        <f t="shared" si="12"/>
        <v>9.8772887676269399</v>
      </c>
      <c r="I29" s="130">
        <f t="shared" si="12"/>
        <v>9.0310666448810792</v>
      </c>
      <c r="J29" s="130">
        <f t="shared" si="12"/>
        <v>6.472803309494271</v>
      </c>
      <c r="K29" s="130">
        <f t="shared" si="12"/>
        <v>1.1072236553164241</v>
      </c>
      <c r="L29" s="130">
        <f t="shared" si="12"/>
        <v>4.8266285380562319</v>
      </c>
      <c r="M29" s="130">
        <f t="shared" si="12"/>
        <v>5.2426485533668306</v>
      </c>
      <c r="N29" s="130">
        <f t="shared" si="12"/>
        <v>3.0102071628648805</v>
      </c>
      <c r="O29" s="130">
        <f t="shared" si="12"/>
        <v>2.8495057682949616</v>
      </c>
      <c r="P29" s="130">
        <f t="shared" si="12"/>
        <v>5.1722727176376191</v>
      </c>
      <c r="Q29" s="130">
        <f t="shared" si="12"/>
        <v>7.9172177777470587</v>
      </c>
      <c r="R29" s="130">
        <f t="shared" ref="R29:W29" si="13">SUM(R30:R33)</f>
        <v>5.9491726520652666</v>
      </c>
      <c r="S29" s="130">
        <f t="shared" si="13"/>
        <v>8.0344159945134095</v>
      </c>
      <c r="T29" s="130">
        <f t="shared" si="13"/>
        <v>6.6794344633703311</v>
      </c>
      <c r="U29" s="130">
        <f t="shared" si="13"/>
        <v>6.5623697769206508</v>
      </c>
      <c r="V29" s="130">
        <f t="shared" si="13"/>
        <v>5.3463934839503757</v>
      </c>
      <c r="W29" s="130">
        <f t="shared" si="13"/>
        <v>4.9346247878817131</v>
      </c>
      <c r="X29" s="130">
        <f t="shared" ref="X29:Y29" si="14">SUM(X30:X33)</f>
        <v>4.4850124258504618</v>
      </c>
      <c r="Y29" s="130">
        <f t="shared" si="14"/>
        <v>4.431441489047474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0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0</v>
      </c>
      <c r="L30" s="132">
        <v>0</v>
      </c>
      <c r="M30" s="132">
        <v>0</v>
      </c>
      <c r="N30" s="132">
        <v>0</v>
      </c>
      <c r="O30" s="132">
        <v>0</v>
      </c>
      <c r="P30" s="132">
        <v>0</v>
      </c>
      <c r="Q30" s="132">
        <v>0</v>
      </c>
      <c r="R30" s="132">
        <v>0</v>
      </c>
      <c r="S30" s="132">
        <v>0</v>
      </c>
      <c r="T30" s="132">
        <v>0</v>
      </c>
      <c r="U30" s="132">
        <v>0</v>
      </c>
      <c r="V30" s="132">
        <v>0</v>
      </c>
      <c r="W30" s="132">
        <v>0</v>
      </c>
      <c r="X30" s="132">
        <v>0</v>
      </c>
      <c r="Y30" s="132">
        <v>0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2.5442275828443823</v>
      </c>
      <c r="D31" s="132">
        <v>2.300991290091797</v>
      </c>
      <c r="E31" s="132">
        <v>2.8365706909501589</v>
      </c>
      <c r="F31" s="132">
        <v>3.0045714712847253</v>
      </c>
      <c r="G31" s="132">
        <v>5.1805630008335797</v>
      </c>
      <c r="H31" s="132">
        <v>4.9623415224030101</v>
      </c>
      <c r="I31" s="132">
        <v>5.090824491727739</v>
      </c>
      <c r="J31" s="132">
        <v>3.8267085855240728</v>
      </c>
      <c r="K31" s="132">
        <v>0.69477113201234741</v>
      </c>
      <c r="L31" s="132">
        <v>2.9572626902345522</v>
      </c>
      <c r="M31" s="132">
        <v>2.5227108193353955</v>
      </c>
      <c r="N31" s="132">
        <v>1.5015646740091209</v>
      </c>
      <c r="O31" s="132">
        <v>1.5231117489700401</v>
      </c>
      <c r="P31" s="132">
        <v>2.8453735465155594</v>
      </c>
      <c r="Q31" s="132">
        <v>4.5620952794470666</v>
      </c>
      <c r="R31" s="132">
        <v>4.2076416102660383</v>
      </c>
      <c r="S31" s="132">
        <v>6.3109422509893962</v>
      </c>
      <c r="T31" s="132">
        <v>4.1206615643242808</v>
      </c>
      <c r="U31" s="132">
        <v>4.2585943255971532</v>
      </c>
      <c r="V31" s="132">
        <v>2.5188609941007045</v>
      </c>
      <c r="W31" s="132">
        <v>1.6421901580339808</v>
      </c>
      <c r="X31" s="132">
        <v>0.81864089848686694</v>
      </c>
      <c r="Y31" s="132">
        <v>0.95917923936297222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1.5184069679699483</v>
      </c>
      <c r="D33" s="68">
        <v>1.4324293583899852</v>
      </c>
      <c r="E33" s="68">
        <v>2.2201860247604879</v>
      </c>
      <c r="F33" s="68">
        <v>2.7310401836941711</v>
      </c>
      <c r="G33" s="68">
        <v>4.0750963663991042</v>
      </c>
      <c r="H33" s="68">
        <v>4.9149472452239307</v>
      </c>
      <c r="I33" s="68">
        <v>3.9402421531533398</v>
      </c>
      <c r="J33" s="68">
        <v>2.6460947239701977</v>
      </c>
      <c r="K33" s="68">
        <v>0.41245252330407672</v>
      </c>
      <c r="L33" s="68">
        <v>1.8693658478216792</v>
      </c>
      <c r="M33" s="68">
        <v>2.719937734031435</v>
      </c>
      <c r="N33" s="68">
        <v>1.5086424888557597</v>
      </c>
      <c r="O33" s="68">
        <v>1.3263940193249217</v>
      </c>
      <c r="P33" s="68">
        <v>2.3268991711220597</v>
      </c>
      <c r="Q33" s="68">
        <v>3.3551224982999921</v>
      </c>
      <c r="R33" s="68">
        <v>1.7415310417992287</v>
      </c>
      <c r="S33" s="68">
        <v>1.7234737435240133</v>
      </c>
      <c r="T33" s="68">
        <v>2.5587728990460499</v>
      </c>
      <c r="U33" s="68">
        <v>2.303775451323498</v>
      </c>
      <c r="V33" s="68">
        <v>2.8275324898496716</v>
      </c>
      <c r="W33" s="68">
        <v>3.2924346298477327</v>
      </c>
      <c r="X33" s="68">
        <v>3.6663715273635944</v>
      </c>
      <c r="Y33" s="68">
        <v>3.4722622496845017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39.702384525066293</v>
      </c>
      <c r="D3" s="125">
        <f t="shared" si="0"/>
        <v>37.034581433279385</v>
      </c>
      <c r="E3" s="125">
        <f t="shared" si="0"/>
        <v>48.744767875071595</v>
      </c>
      <c r="F3" s="125">
        <f t="shared" si="0"/>
        <v>52.766590520081294</v>
      </c>
      <c r="G3" s="125">
        <f t="shared" si="0"/>
        <v>77.240552012313756</v>
      </c>
      <c r="H3" s="125">
        <f t="shared" si="0"/>
        <v>76.93483264124356</v>
      </c>
      <c r="I3" s="125">
        <f t="shared" si="0"/>
        <v>67.644245726729494</v>
      </c>
      <c r="J3" s="125">
        <f t="shared" si="0"/>
        <v>50.49293012652376</v>
      </c>
      <c r="K3" s="125">
        <f t="shared" si="0"/>
        <v>7.576693279352523</v>
      </c>
      <c r="L3" s="125">
        <f t="shared" si="0"/>
        <v>34.954190530768194</v>
      </c>
      <c r="M3" s="125">
        <f t="shared" si="0"/>
        <v>36.401827891711932</v>
      </c>
      <c r="N3" s="125">
        <f t="shared" si="0"/>
        <v>19.864504064196119</v>
      </c>
      <c r="O3" s="125">
        <f t="shared" si="0"/>
        <v>18.150453681421894</v>
      </c>
      <c r="P3" s="125">
        <f t="shared" si="0"/>
        <v>30.442179827474206</v>
      </c>
      <c r="Q3" s="125">
        <f t="shared" si="0"/>
        <v>47.954785717438639</v>
      </c>
      <c r="R3" s="125">
        <f t="shared" ref="R3:W3" si="1">SUM(R4,R16,R19,R29)</f>
        <v>32.743149217412736</v>
      </c>
      <c r="S3" s="125">
        <f t="shared" si="1"/>
        <v>42.335292202277834</v>
      </c>
      <c r="T3" s="125">
        <f t="shared" si="1"/>
        <v>37.399245131576052</v>
      </c>
      <c r="U3" s="125">
        <f t="shared" si="1"/>
        <v>35.45846042154087</v>
      </c>
      <c r="V3" s="125">
        <f t="shared" si="1"/>
        <v>29.53394489107788</v>
      </c>
      <c r="W3" s="125">
        <f t="shared" si="1"/>
        <v>25.845013292492176</v>
      </c>
      <c r="X3" s="125">
        <f t="shared" ref="X3:Y3" si="2">SUM(X4,X16,X19,X29)</f>
        <v>25.129233160909713</v>
      </c>
      <c r="Y3" s="125">
        <f t="shared" si="2"/>
        <v>23.782084232555835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29.328905774845754</v>
      </c>
      <c r="D4" s="130">
        <f t="shared" si="3"/>
        <v>24.483987727704736</v>
      </c>
      <c r="E4" s="130">
        <f t="shared" si="3"/>
        <v>35.215871708327029</v>
      </c>
      <c r="F4" s="130">
        <f t="shared" si="3"/>
        <v>37.893165306301832</v>
      </c>
      <c r="G4" s="130">
        <f t="shared" si="3"/>
        <v>52.319179530402124</v>
      </c>
      <c r="H4" s="130">
        <f t="shared" si="3"/>
        <v>48.274607475102322</v>
      </c>
      <c r="I4" s="130">
        <f t="shared" si="3"/>
        <v>39.877524339944209</v>
      </c>
      <c r="J4" s="130">
        <f t="shared" si="3"/>
        <v>28.838475409013931</v>
      </c>
      <c r="K4" s="130">
        <f t="shared" si="3"/>
        <v>4.0383269195183944</v>
      </c>
      <c r="L4" s="130">
        <f t="shared" si="3"/>
        <v>19.620422398953171</v>
      </c>
      <c r="M4" s="130">
        <f t="shared" si="3"/>
        <v>19.483433930222393</v>
      </c>
      <c r="N4" s="130">
        <f t="shared" si="3"/>
        <v>10.225020532736197</v>
      </c>
      <c r="O4" s="130">
        <f t="shared" si="3"/>
        <v>9.040641236409849</v>
      </c>
      <c r="P4" s="130">
        <f t="shared" si="3"/>
        <v>14.588420771898949</v>
      </c>
      <c r="Q4" s="130">
        <f t="shared" si="3"/>
        <v>21.497913819658631</v>
      </c>
      <c r="R4" s="130">
        <f t="shared" ref="R4:W4" si="4">SUM(R5:R15)</f>
        <v>15.387153575095502</v>
      </c>
      <c r="S4" s="130">
        <f t="shared" si="4"/>
        <v>19.730143844651835</v>
      </c>
      <c r="T4" s="130">
        <f t="shared" si="4"/>
        <v>16.446527079313377</v>
      </c>
      <c r="U4" s="130">
        <f t="shared" si="4"/>
        <v>15.448447895243364</v>
      </c>
      <c r="V4" s="130">
        <f t="shared" si="4"/>
        <v>12.46056609817632</v>
      </c>
      <c r="W4" s="130">
        <f t="shared" si="4"/>
        <v>9.8945158753986266</v>
      </c>
      <c r="X4" s="130">
        <f t="shared" ref="X4:Y4" si="5">SUM(X5:X15)</f>
        <v>9.1618151759712276</v>
      </c>
      <c r="Y4" s="130">
        <f t="shared" si="5"/>
        <v>7.935417124167774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7.1549136769833881</v>
      </c>
      <c r="F5" s="132">
        <v>6.7221662569233658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0.56314031378291285</v>
      </c>
      <c r="O5" s="132">
        <v>0.77844944523758508</v>
      </c>
      <c r="P5" s="132">
        <v>3.2703026204737119E-2</v>
      </c>
      <c r="Q5" s="132">
        <v>0</v>
      </c>
      <c r="R5" s="132">
        <v>4.8686283864529785E-2</v>
      </c>
      <c r="S5" s="132">
        <v>0</v>
      </c>
      <c r="T5" s="132">
        <v>0</v>
      </c>
      <c r="U5" s="132">
        <v>0.20754412609523118</v>
      </c>
      <c r="V5" s="132">
        <v>9.5271264198783692E-2</v>
      </c>
      <c r="W5" s="132">
        <v>2.9882601209869652E-3</v>
      </c>
      <c r="X5" s="132">
        <v>1.767644811650056E-2</v>
      </c>
      <c r="Y5" s="132">
        <v>0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7.901909242034065E-2</v>
      </c>
      <c r="D7" s="132">
        <v>0.57937241004037909</v>
      </c>
      <c r="E7" s="132">
        <v>0.2483580051502092</v>
      </c>
      <c r="F7" s="132">
        <v>0.40598179336057172</v>
      </c>
      <c r="G7" s="132">
        <v>0.18774441621070156</v>
      </c>
      <c r="H7" s="132">
        <v>0.42576760866969021</v>
      </c>
      <c r="I7" s="132">
        <v>0.21386944023375765</v>
      </c>
      <c r="J7" s="132">
        <v>0.11717414355385403</v>
      </c>
      <c r="K7" s="132">
        <v>0</v>
      </c>
      <c r="L7" s="132">
        <v>0.11203074896894452</v>
      </c>
      <c r="M7" s="132">
        <v>8.0207168427871858E-2</v>
      </c>
      <c r="N7" s="132">
        <v>0.15510264807721108</v>
      </c>
      <c r="O7" s="132">
        <v>4.5509255783884879E-2</v>
      </c>
      <c r="P7" s="132">
        <v>0.12662618480106219</v>
      </c>
      <c r="Q7" s="132">
        <v>0.69291348177781398</v>
      </c>
      <c r="R7" s="132">
        <v>0.1911660135003502</v>
      </c>
      <c r="S7" s="132">
        <v>7.7035685377448967E-2</v>
      </c>
      <c r="T7" s="132">
        <v>0</v>
      </c>
      <c r="U7" s="132">
        <v>2.2289864888598465E-2</v>
      </c>
      <c r="V7" s="132">
        <v>8.3730635888508431E-2</v>
      </c>
      <c r="W7" s="132">
        <v>0.18795113831428398</v>
      </c>
      <c r="X7" s="132">
        <v>9.6144321216011713E-2</v>
      </c>
      <c r="Y7" s="132">
        <v>0.13127019286059871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3.1161471632815203E-3</v>
      </c>
      <c r="H8" s="132">
        <v>5.8565168774189803E-3</v>
      </c>
      <c r="I8" s="132">
        <v>9.2047114153984734E-3</v>
      </c>
      <c r="J8" s="132">
        <v>1.0634466629750367E-2</v>
      </c>
      <c r="K8" s="132">
        <v>2.9675938229041859E-3</v>
      </c>
      <c r="L8" s="132">
        <v>9.1550790610646551E-3</v>
      </c>
      <c r="M8" s="132">
        <v>1.8429412961850394E-2</v>
      </c>
      <c r="N8" s="132">
        <v>1.6671125865412164E-2</v>
      </c>
      <c r="O8" s="132">
        <v>2.6066233760421945E-2</v>
      </c>
      <c r="P8" s="132">
        <v>9.3286107652700637E-2</v>
      </c>
      <c r="Q8" s="132">
        <v>6.7950774598302136E-2</v>
      </c>
      <c r="R8" s="132">
        <v>3.0425230839429284E-2</v>
      </c>
      <c r="S8" s="132">
        <v>2.4804910201429258E-2</v>
      </c>
      <c r="T8" s="132">
        <v>3.5067278292597058E-2</v>
      </c>
      <c r="U8" s="132">
        <v>4.3320210013208883E-2</v>
      </c>
      <c r="V8" s="132">
        <v>4.58509008324181E-2</v>
      </c>
      <c r="W8" s="132">
        <v>4.1501338319825012E-2</v>
      </c>
      <c r="X8" s="132">
        <v>4.1506083410502437E-2</v>
      </c>
      <c r="Y8" s="132">
        <v>3.5237881300036189E-2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13.380603427742889</v>
      </c>
      <c r="D9" s="132">
        <v>13.267000033990355</v>
      </c>
      <c r="E9" s="132">
        <v>14.584266669333408</v>
      </c>
      <c r="F9" s="132">
        <v>16.825513128837109</v>
      </c>
      <c r="G9" s="132">
        <v>31.218670433971678</v>
      </c>
      <c r="H9" s="132">
        <v>27.88030006204168</v>
      </c>
      <c r="I9" s="132">
        <v>21.906393572166238</v>
      </c>
      <c r="J9" s="132">
        <v>14.348449402963579</v>
      </c>
      <c r="K9" s="132">
        <v>0</v>
      </c>
      <c r="L9" s="132">
        <v>5.0057311408768435</v>
      </c>
      <c r="M9" s="132">
        <v>7.0766558909316064</v>
      </c>
      <c r="N9" s="132">
        <v>2.974026634556262</v>
      </c>
      <c r="O9" s="132">
        <v>2.8111258237318024</v>
      </c>
      <c r="P9" s="132">
        <v>7.2208057867419706</v>
      </c>
      <c r="Q9" s="132">
        <v>11.076170452593361</v>
      </c>
      <c r="R9" s="132">
        <v>6.4575289585589815</v>
      </c>
      <c r="S9" s="132">
        <v>9.5771272250147064</v>
      </c>
      <c r="T9" s="132">
        <v>6.7017154415349971</v>
      </c>
      <c r="U9" s="132">
        <v>7.1469651180455367</v>
      </c>
      <c r="V9" s="132">
        <v>4.8878173764515713</v>
      </c>
      <c r="W9" s="132">
        <v>3.3637925391842933</v>
      </c>
      <c r="X9" s="132">
        <v>2.6784881859283649</v>
      </c>
      <c r="Y9" s="132">
        <v>2.7714138488285993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0.63161616994044689</v>
      </c>
      <c r="D10" s="132">
        <v>0.62405391053276038</v>
      </c>
      <c r="E10" s="132">
        <v>0.97818976012283898</v>
      </c>
      <c r="F10" s="132">
        <v>0.91210215812243811</v>
      </c>
      <c r="G10" s="132">
        <v>1.3833546721122867</v>
      </c>
      <c r="H10" s="132">
        <v>0.91068592882511334</v>
      </c>
      <c r="I10" s="132">
        <v>0.95841348521260783</v>
      </c>
      <c r="J10" s="132">
        <v>0.33726448611765419</v>
      </c>
      <c r="K10" s="132">
        <v>8.8628369904367316E-2</v>
      </c>
      <c r="L10" s="132">
        <v>0.59874058408697384</v>
      </c>
      <c r="M10" s="132">
        <v>0.76459839612848635</v>
      </c>
      <c r="N10" s="132">
        <v>0.41131165475664538</v>
      </c>
      <c r="O10" s="132">
        <v>0.40719932148437876</v>
      </c>
      <c r="P10" s="132">
        <v>0.81575038756647456</v>
      </c>
      <c r="Q10" s="132">
        <v>0.79508122992113217</v>
      </c>
      <c r="R10" s="132">
        <v>0.16572479239787449</v>
      </c>
      <c r="S10" s="132">
        <v>0.17553160878164467</v>
      </c>
      <c r="T10" s="132">
        <v>0.33010733650483665</v>
      </c>
      <c r="U10" s="132">
        <v>0.3762148387523403</v>
      </c>
      <c r="V10" s="132">
        <v>0.33181941218488548</v>
      </c>
      <c r="W10" s="132">
        <v>0.2690701286343723</v>
      </c>
      <c r="X10" s="132">
        <v>0.19904602864989984</v>
      </c>
      <c r="Y10" s="132">
        <v>0.16400706628971057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8.9692838171505436</v>
      </c>
      <c r="D12" s="132">
        <v>5.7104467106140042</v>
      </c>
      <c r="E12" s="132">
        <v>8.056769495053052</v>
      </c>
      <c r="F12" s="132">
        <v>12.383627909484957</v>
      </c>
      <c r="G12" s="132">
        <v>12.819774298986875</v>
      </c>
      <c r="H12" s="132">
        <v>6.8285442399107001</v>
      </c>
      <c r="I12" s="132">
        <v>4.3069712622675427</v>
      </c>
      <c r="J12" s="132">
        <v>5.2490225810455513</v>
      </c>
      <c r="K12" s="132">
        <v>2.2456337723284245</v>
      </c>
      <c r="L12" s="132">
        <v>10.087035361822604</v>
      </c>
      <c r="M12" s="132">
        <v>7.5144232427373518</v>
      </c>
      <c r="N12" s="132">
        <v>3.4684475734460993</v>
      </c>
      <c r="O12" s="132">
        <v>2.287331599846655</v>
      </c>
      <c r="P12" s="132">
        <v>3.3668605810293553</v>
      </c>
      <c r="Q12" s="132">
        <v>4.4865714359616931</v>
      </c>
      <c r="R12" s="132">
        <v>3.7131679213503439</v>
      </c>
      <c r="S12" s="132">
        <v>3.8343728958384165</v>
      </c>
      <c r="T12" s="132">
        <v>3.7243192747456297</v>
      </c>
      <c r="U12" s="132">
        <v>2.9909803784858702</v>
      </c>
      <c r="V12" s="132">
        <v>3.3942906158880675</v>
      </c>
      <c r="W12" s="132">
        <v>3.4145134069458147</v>
      </c>
      <c r="X12" s="132">
        <v>3.3658711346929997</v>
      </c>
      <c r="Y12" s="132">
        <v>2.9755543171791135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5.8406551049857605E-2</v>
      </c>
      <c r="D13" s="132">
        <v>0.13429365657653547</v>
      </c>
      <c r="E13" s="132">
        <v>0.15387108883626446</v>
      </c>
      <c r="F13" s="132">
        <v>0.19713475274070921</v>
      </c>
      <c r="G13" s="132">
        <v>0.27031892066899671</v>
      </c>
      <c r="H13" s="132">
        <v>0.37392217261095351</v>
      </c>
      <c r="I13" s="132">
        <v>0.37021114837595692</v>
      </c>
      <c r="J13" s="132">
        <v>0.29792900178429998</v>
      </c>
      <c r="K13" s="132">
        <v>8.8515269051447243E-2</v>
      </c>
      <c r="L13" s="132">
        <v>0.24697296859607473</v>
      </c>
      <c r="M13" s="132">
        <v>0.32331002548855736</v>
      </c>
      <c r="N13" s="132">
        <v>0.18873092965900137</v>
      </c>
      <c r="O13" s="132">
        <v>0.17232464800757102</v>
      </c>
      <c r="P13" s="132">
        <v>0.47444849447755211</v>
      </c>
      <c r="Q13" s="132">
        <v>0.51577041537571799</v>
      </c>
      <c r="R13" s="132">
        <v>0.3937336271643182</v>
      </c>
      <c r="S13" s="132">
        <v>0.47142100847111384</v>
      </c>
      <c r="T13" s="132">
        <v>0.55684336599827322</v>
      </c>
      <c r="U13" s="132">
        <v>0.55677292051296035</v>
      </c>
      <c r="V13" s="132">
        <v>0.67623337647754989</v>
      </c>
      <c r="W13" s="132">
        <v>0.70423702537257216</v>
      </c>
      <c r="X13" s="132">
        <v>1.1436358535619837</v>
      </c>
      <c r="Y13" s="132">
        <v>1.0798131115672465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5.8962822905983545</v>
      </c>
      <c r="D14" s="65">
        <v>3.8696289950994176</v>
      </c>
      <c r="E14" s="65">
        <v>3.645605459203582</v>
      </c>
      <c r="F14" s="65">
        <v>0</v>
      </c>
      <c r="G14" s="65">
        <v>5.7941444596564677</v>
      </c>
      <c r="H14" s="65">
        <v>11.304185272907512</v>
      </c>
      <c r="I14" s="65">
        <v>11.694980286486024</v>
      </c>
      <c r="J14" s="65">
        <v>8.2007098214752414</v>
      </c>
      <c r="K14" s="65">
        <v>1.6021742095870279</v>
      </c>
      <c r="L14" s="65">
        <v>3.4261022384421849</v>
      </c>
      <c r="M14" s="65">
        <v>3.5477885416569355</v>
      </c>
      <c r="N14" s="65">
        <v>2.3730775442321428</v>
      </c>
      <c r="O14" s="65">
        <v>2.4463573987807963</v>
      </c>
      <c r="P14" s="65">
        <v>2.3169575289908768</v>
      </c>
      <c r="Q14" s="65">
        <v>3.6477810986478785</v>
      </c>
      <c r="R14" s="65">
        <v>4.2627843959188354</v>
      </c>
      <c r="S14" s="65">
        <v>5.3981940712295735</v>
      </c>
      <c r="T14" s="65">
        <v>4.9738115574771067</v>
      </c>
      <c r="U14" s="65">
        <v>3.9734912445076702</v>
      </c>
      <c r="V14" s="65">
        <v>2.8495023591580693</v>
      </c>
      <c r="W14" s="65">
        <v>1.8382066145805578</v>
      </c>
      <c r="X14" s="65">
        <v>1.5601607614740414</v>
      </c>
      <c r="Y14" s="65">
        <v>0.71872861081907302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0.31369442594332425</v>
      </c>
      <c r="D15" s="134">
        <v>0.29919201085128322</v>
      </c>
      <c r="E15" s="134">
        <v>0.39389755364428836</v>
      </c>
      <c r="F15" s="134">
        <v>0.44663930683268488</v>
      </c>
      <c r="G15" s="134">
        <v>0.64205618163182809</v>
      </c>
      <c r="H15" s="134">
        <v>0.5453456732592542</v>
      </c>
      <c r="I15" s="134">
        <v>0.41748043378668293</v>
      </c>
      <c r="J15" s="134">
        <v>0.277291505443998</v>
      </c>
      <c r="K15" s="134">
        <v>1.0407704824223709E-2</v>
      </c>
      <c r="L15" s="134">
        <v>0.13465427709848204</v>
      </c>
      <c r="M15" s="134">
        <v>0.15802125188973021</v>
      </c>
      <c r="N15" s="134">
        <v>7.4512108360510129E-2</v>
      </c>
      <c r="O15" s="134">
        <v>6.6277509776753701E-2</v>
      </c>
      <c r="P15" s="134">
        <v>0.14098267443421997</v>
      </c>
      <c r="Q15" s="134">
        <v>0.21567493078272787</v>
      </c>
      <c r="R15" s="134">
        <v>0.12393635150083919</v>
      </c>
      <c r="S15" s="134">
        <v>0.17165643973750419</v>
      </c>
      <c r="T15" s="134">
        <v>0.12466282475993606</v>
      </c>
      <c r="U15" s="134">
        <v>0.13086919394194704</v>
      </c>
      <c r="V15" s="134">
        <v>9.6050157096468219E-2</v>
      </c>
      <c r="W15" s="134">
        <v>7.2255423925921006E-2</v>
      </c>
      <c r="X15" s="134">
        <v>5.9286358920923356E-2</v>
      </c>
      <c r="Y15" s="134">
        <v>5.9392095323395837E-2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5.2760734332518044</v>
      </c>
      <c r="D16" s="130">
        <f t="shared" si="6"/>
        <v>7.8696798084014565</v>
      </c>
      <c r="E16" s="130">
        <f t="shared" si="6"/>
        <v>7.1537329088328221</v>
      </c>
      <c r="F16" s="130">
        <f t="shared" si="6"/>
        <v>7.6436127977674477</v>
      </c>
      <c r="G16" s="130">
        <f t="shared" si="6"/>
        <v>13.349588648178841</v>
      </c>
      <c r="H16" s="130">
        <f t="shared" si="6"/>
        <v>16.107872137241753</v>
      </c>
      <c r="I16" s="130">
        <f t="shared" si="6"/>
        <v>16.434533988149042</v>
      </c>
      <c r="J16" s="130">
        <f t="shared" si="6"/>
        <v>13.60139288168755</v>
      </c>
      <c r="K16" s="130">
        <f t="shared" si="6"/>
        <v>2.1433284685595715</v>
      </c>
      <c r="L16" s="130">
        <f t="shared" si="6"/>
        <v>9.2954428133850797</v>
      </c>
      <c r="M16" s="130">
        <f t="shared" si="6"/>
        <v>10.113344801724281</v>
      </c>
      <c r="N16" s="130">
        <f t="shared" si="6"/>
        <v>5.730970543127019</v>
      </c>
      <c r="O16" s="130">
        <f t="shared" si="6"/>
        <v>5.4496568080185188</v>
      </c>
      <c r="P16" s="130">
        <f t="shared" si="6"/>
        <v>9.2484333891181318</v>
      </c>
      <c r="Q16" s="130">
        <f t="shared" si="6"/>
        <v>16.39587800498219</v>
      </c>
      <c r="R16" s="130">
        <f t="shared" ref="R16:W16" si="7">SUM(R17:R18)</f>
        <v>9.9826783782581252</v>
      </c>
      <c r="S16" s="130">
        <f t="shared" si="7"/>
        <v>12.872039767368921</v>
      </c>
      <c r="T16" s="130">
        <f t="shared" si="7"/>
        <v>12.202353436471615</v>
      </c>
      <c r="U16" s="130">
        <f t="shared" si="7"/>
        <v>11.451968143750085</v>
      </c>
      <c r="V16" s="130">
        <f t="shared" si="7"/>
        <v>9.5342901775901883</v>
      </c>
      <c r="W16" s="130">
        <f t="shared" si="7"/>
        <v>8.7904478837249389</v>
      </c>
      <c r="X16" s="130">
        <f t="shared" ref="X16:Y16" si="8">SUM(X17:X18)</f>
        <v>9.0864067087496831</v>
      </c>
      <c r="Y16" s="130">
        <f t="shared" si="8"/>
        <v>8.9967497688277156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5.2151086067779504E-2</v>
      </c>
      <c r="H17" s="132">
        <v>1.4010863439674651E-2</v>
      </c>
      <c r="I17" s="132">
        <v>2.9583203943551885E-2</v>
      </c>
      <c r="J17" s="132">
        <v>5.2046615931075008E-3</v>
      </c>
      <c r="K17" s="132">
        <v>6.7135494422596838E-3</v>
      </c>
      <c r="L17" s="132">
        <v>3.1924963394948901E-3</v>
      </c>
      <c r="M17" s="132">
        <v>9.9787515833129562E-3</v>
      </c>
      <c r="N17" s="132">
        <v>6.3128709256127635E-3</v>
      </c>
      <c r="O17" s="132">
        <v>1.7646661595268686E-2</v>
      </c>
      <c r="P17" s="132">
        <v>5.957286314063618E-2</v>
      </c>
      <c r="Q17" s="132">
        <v>0.1555654287349543</v>
      </c>
      <c r="R17" s="132">
        <v>5.4770225072359832E-2</v>
      </c>
      <c r="S17" s="132">
        <v>9.3889984087319689E-2</v>
      </c>
      <c r="T17" s="132">
        <v>8.5329716689151472E-2</v>
      </c>
      <c r="U17" s="132">
        <v>6.5959053521097863E-2</v>
      </c>
      <c r="V17" s="132">
        <v>9.467459274770422E-2</v>
      </c>
      <c r="W17" s="132">
        <v>6.006675886716846E-2</v>
      </c>
      <c r="X17" s="132">
        <v>4.9454973082693643E-2</v>
      </c>
      <c r="Y17" s="132">
        <v>7.4663798859879532E-2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5.2760734332518044</v>
      </c>
      <c r="D18" s="132">
        <v>7.8696798084014565</v>
      </c>
      <c r="E18" s="132">
        <v>7.1537329088328221</v>
      </c>
      <c r="F18" s="132">
        <v>7.6436127977674477</v>
      </c>
      <c r="G18" s="132">
        <v>13.297437562111062</v>
      </c>
      <c r="H18" s="132">
        <v>16.093861273802077</v>
      </c>
      <c r="I18" s="132">
        <v>16.404950784205489</v>
      </c>
      <c r="J18" s="132">
        <v>13.596188220094442</v>
      </c>
      <c r="K18" s="132">
        <v>2.1366149191173118</v>
      </c>
      <c r="L18" s="132">
        <v>9.2922503170455855</v>
      </c>
      <c r="M18" s="132">
        <v>10.103366050140968</v>
      </c>
      <c r="N18" s="132">
        <v>5.7246576722014062</v>
      </c>
      <c r="O18" s="132">
        <v>5.4320101464232504</v>
      </c>
      <c r="P18" s="132">
        <v>9.1888605259774963</v>
      </c>
      <c r="Q18" s="132">
        <v>16.240312576247238</v>
      </c>
      <c r="R18" s="132">
        <v>9.9279081531857649</v>
      </c>
      <c r="S18" s="132">
        <v>12.778149783281602</v>
      </c>
      <c r="T18" s="132">
        <v>12.117023719782463</v>
      </c>
      <c r="U18" s="132">
        <v>11.386009090228987</v>
      </c>
      <c r="V18" s="132">
        <v>9.4396155848424836</v>
      </c>
      <c r="W18" s="132">
        <v>8.7303811248577698</v>
      </c>
      <c r="X18" s="132">
        <v>9.0369517356669888</v>
      </c>
      <c r="Y18" s="132">
        <v>8.9220859699678368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2.44282575127139</v>
      </c>
      <c r="D19" s="130">
        <f t="shared" si="9"/>
        <v>2.2316280362969003</v>
      </c>
      <c r="E19" s="130">
        <f t="shared" si="9"/>
        <v>3.0017556109729444</v>
      </c>
      <c r="F19" s="130">
        <f t="shared" si="9"/>
        <v>3.3591374906819245</v>
      </c>
      <c r="G19" s="130">
        <f t="shared" si="9"/>
        <v>5.3790482047452457</v>
      </c>
      <c r="H19" s="130">
        <f t="shared" si="9"/>
        <v>5.829082015081009</v>
      </c>
      <c r="I19" s="130">
        <f t="shared" si="9"/>
        <v>5.2800048890725639</v>
      </c>
      <c r="J19" s="130">
        <f t="shared" si="9"/>
        <v>3.7425850507253378</v>
      </c>
      <c r="K19" s="130">
        <f t="shared" si="9"/>
        <v>0.66419977985155831</v>
      </c>
      <c r="L19" s="130">
        <f t="shared" si="9"/>
        <v>2.8339770379511404</v>
      </c>
      <c r="M19" s="130">
        <f t="shared" si="9"/>
        <v>3.1856143693624479</v>
      </c>
      <c r="N19" s="130">
        <f t="shared" si="9"/>
        <v>1.8351573893501649</v>
      </c>
      <c r="O19" s="130">
        <f t="shared" si="9"/>
        <v>1.7110341177817638</v>
      </c>
      <c r="P19" s="130">
        <f t="shared" si="9"/>
        <v>3.0681704414032889</v>
      </c>
      <c r="Q19" s="130">
        <f t="shared" si="9"/>
        <v>4.6547353102266467</v>
      </c>
      <c r="R19" s="130">
        <f t="shared" ref="R19:W19" si="10">SUM(R20:R27)</f>
        <v>3.4376150088110546</v>
      </c>
      <c r="S19" s="130">
        <f t="shared" si="10"/>
        <v>4.4902307569604076</v>
      </c>
      <c r="T19" s="130">
        <f t="shared" si="10"/>
        <v>4.0729271845887833</v>
      </c>
      <c r="U19" s="130">
        <f t="shared" si="10"/>
        <v>3.9517006365232121</v>
      </c>
      <c r="V19" s="130">
        <f t="shared" si="10"/>
        <v>3.5154837427700829</v>
      </c>
      <c r="W19" s="130">
        <f t="shared" si="10"/>
        <v>3.2470021458753902</v>
      </c>
      <c r="X19" s="130">
        <f t="shared" ref="X19:Y19" si="11">SUM(X20:X27)</f>
        <v>3.1263561773467248</v>
      </c>
      <c r="Y19" s="130">
        <f t="shared" si="11"/>
        <v>3.1553066928623306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0</v>
      </c>
      <c r="Y22" s="132">
        <v>0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0.87283182476510079</v>
      </c>
      <c r="D23" s="132">
        <v>1.0269172412076868</v>
      </c>
      <c r="E23" s="132">
        <v>1.2827455166429442</v>
      </c>
      <c r="F23" s="132">
        <v>1.5420558803485351</v>
      </c>
      <c r="G23" s="132">
        <v>2.3511051118051238</v>
      </c>
      <c r="H23" s="132">
        <v>2.6749830856527215</v>
      </c>
      <c r="I23" s="132">
        <v>2.860513155184087</v>
      </c>
      <c r="J23" s="132">
        <v>1.8445014218538438</v>
      </c>
      <c r="K23" s="132">
        <v>0.3693851950684261</v>
      </c>
      <c r="L23" s="132">
        <v>1.0663640438936883</v>
      </c>
      <c r="M23" s="132">
        <v>1.1856345690920411</v>
      </c>
      <c r="N23" s="132">
        <v>0.56010081373764142</v>
      </c>
      <c r="O23" s="132">
        <v>0.61494735473060458</v>
      </c>
      <c r="P23" s="132">
        <v>1.4057076851513808</v>
      </c>
      <c r="Q23" s="132">
        <v>2.4457785411411135</v>
      </c>
      <c r="R23" s="132">
        <v>1.4628260222239302</v>
      </c>
      <c r="S23" s="132">
        <v>2.2664252085914098</v>
      </c>
      <c r="T23" s="132">
        <v>1.548258964067122</v>
      </c>
      <c r="U23" s="132">
        <v>1.8949814035496488</v>
      </c>
      <c r="V23" s="132">
        <v>1.2474063782924187</v>
      </c>
      <c r="W23" s="132">
        <v>0.96013705536101523</v>
      </c>
      <c r="X23" s="132">
        <v>0.44930900586495753</v>
      </c>
      <c r="Y23" s="132">
        <v>0.2542436137055889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0.56432040002665274</v>
      </c>
      <c r="D25" s="132">
        <v>0.61112523013506637</v>
      </c>
      <c r="E25" s="132">
        <v>0.77504233683019941</v>
      </c>
      <c r="F25" s="132">
        <v>0.84825520886754668</v>
      </c>
      <c r="G25" s="132">
        <v>0.99137845608525177</v>
      </c>
      <c r="H25" s="132">
        <v>1.0213780776946961</v>
      </c>
      <c r="I25" s="132">
        <v>0.78487547495220722</v>
      </c>
      <c r="J25" s="132">
        <v>0.60666953903569787</v>
      </c>
      <c r="K25" s="132">
        <v>0.15060631063911675</v>
      </c>
      <c r="L25" s="132">
        <v>0.6473583573770556</v>
      </c>
      <c r="M25" s="132">
        <v>0.90707515063275801</v>
      </c>
      <c r="N25" s="132">
        <v>0.58180858290963222</v>
      </c>
      <c r="O25" s="132">
        <v>0.56479371908617793</v>
      </c>
      <c r="P25" s="132">
        <v>0.8403030467324295</v>
      </c>
      <c r="Q25" s="132">
        <v>1.0179481481077024</v>
      </c>
      <c r="R25" s="132">
        <v>0.87747876433349425</v>
      </c>
      <c r="S25" s="132">
        <v>0.93527907295281965</v>
      </c>
      <c r="T25" s="132">
        <v>0.9689017153669518</v>
      </c>
      <c r="U25" s="132">
        <v>0.81262694874212293</v>
      </c>
      <c r="V25" s="132">
        <v>0.79514835003805706</v>
      </c>
      <c r="W25" s="132">
        <v>0.70548836485534716</v>
      </c>
      <c r="X25" s="132">
        <v>0.47223204286664122</v>
      </c>
      <c r="Y25" s="132">
        <v>0.23537676996734716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1.0056735264796366</v>
      </c>
      <c r="D26" s="65">
        <v>0.59358556495414716</v>
      </c>
      <c r="E26" s="65">
        <v>0.60690594403031572</v>
      </c>
      <c r="F26" s="65">
        <v>0.84503938842172754</v>
      </c>
      <c r="G26" s="65">
        <v>1.9324207486968059</v>
      </c>
      <c r="H26" s="65">
        <v>1.9977475476382853</v>
      </c>
      <c r="I26" s="65">
        <v>1.463740967488308</v>
      </c>
      <c r="J26" s="65">
        <v>1.0332094805031542</v>
      </c>
      <c r="K26" s="65">
        <v>3.2381050166311584E-2</v>
      </c>
      <c r="L26" s="65">
        <v>0.75025206644875397</v>
      </c>
      <c r="M26" s="65">
        <v>0.79893526558966044</v>
      </c>
      <c r="N26" s="65">
        <v>0.49267083344052409</v>
      </c>
      <c r="O26" s="65">
        <v>0.38790823617564069</v>
      </c>
      <c r="P26" s="65">
        <v>0.28809058790646297</v>
      </c>
      <c r="Q26" s="65">
        <v>1.0353784158440948</v>
      </c>
      <c r="R26" s="65">
        <v>0.91226578993447205</v>
      </c>
      <c r="S26" s="65">
        <v>0.95106800673770187</v>
      </c>
      <c r="T26" s="65">
        <v>1.1719145656801251</v>
      </c>
      <c r="U26" s="65">
        <v>0.94197744942915274</v>
      </c>
      <c r="V26" s="65">
        <v>0.85273021274400862</v>
      </c>
      <c r="W26" s="65">
        <v>1.5813767256590274</v>
      </c>
      <c r="X26" s="65">
        <v>1.6111562035954867</v>
      </c>
      <c r="Y26" s="65">
        <v>2.6656863091893936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0.33706181346948472</v>
      </c>
      <c r="F27" s="147">
        <v>0.12378701304411521</v>
      </c>
      <c r="G27" s="147">
        <v>0.10414388815806419</v>
      </c>
      <c r="H27" s="147">
        <v>0.134973304095306</v>
      </c>
      <c r="I27" s="147">
        <v>0.17087529144796101</v>
      </c>
      <c r="J27" s="147">
        <v>0.25820460933264244</v>
      </c>
      <c r="K27" s="147">
        <v>0.11182722397770398</v>
      </c>
      <c r="L27" s="147">
        <v>0.3700025702316424</v>
      </c>
      <c r="M27" s="147">
        <v>0.29396938404798822</v>
      </c>
      <c r="N27" s="147">
        <v>0.20057715926236708</v>
      </c>
      <c r="O27" s="147">
        <v>0.14338480778934062</v>
      </c>
      <c r="P27" s="147">
        <v>0.53406912161301534</v>
      </c>
      <c r="Q27" s="147">
        <v>0.15563020513373654</v>
      </c>
      <c r="R27" s="147">
        <v>0.18504443231915804</v>
      </c>
      <c r="S27" s="147">
        <v>0.33745846867847651</v>
      </c>
      <c r="T27" s="147">
        <v>0.38385193947458407</v>
      </c>
      <c r="U27" s="147">
        <v>0.30211483480228785</v>
      </c>
      <c r="V27" s="147">
        <v>0.6201988016955986</v>
      </c>
      <c r="W27" s="147">
        <v>0</v>
      </c>
      <c r="X27" s="147">
        <v>0.59365892501963968</v>
      </c>
      <c r="Y27" s="147">
        <v>6.7765835039729121E-16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2.6545795656973405</v>
      </c>
      <c r="D29" s="130">
        <f t="shared" si="12"/>
        <v>2.4492858608762904</v>
      </c>
      <c r="E29" s="130">
        <f t="shared" si="12"/>
        <v>3.3734076469388024</v>
      </c>
      <c r="F29" s="130">
        <f t="shared" si="12"/>
        <v>3.8706749253300909</v>
      </c>
      <c r="G29" s="130">
        <f t="shared" si="12"/>
        <v>6.1927356289875526</v>
      </c>
      <c r="H29" s="130">
        <f t="shared" si="12"/>
        <v>6.7232710138184704</v>
      </c>
      <c r="I29" s="130">
        <f t="shared" si="12"/>
        <v>6.0521825095636732</v>
      </c>
      <c r="J29" s="130">
        <f t="shared" si="12"/>
        <v>4.3104767850969381</v>
      </c>
      <c r="K29" s="130">
        <f t="shared" si="12"/>
        <v>0.73083811142299893</v>
      </c>
      <c r="L29" s="130">
        <f t="shared" si="12"/>
        <v>3.2043482804788024</v>
      </c>
      <c r="M29" s="130">
        <f t="shared" si="12"/>
        <v>3.6194347904028037</v>
      </c>
      <c r="N29" s="130">
        <f t="shared" si="12"/>
        <v>2.0733555989827366</v>
      </c>
      <c r="O29" s="130">
        <f t="shared" si="12"/>
        <v>1.9491215192117619</v>
      </c>
      <c r="P29" s="130">
        <f t="shared" si="12"/>
        <v>3.5371552250538354</v>
      </c>
      <c r="Q29" s="130">
        <f t="shared" si="12"/>
        <v>5.4062585825711711</v>
      </c>
      <c r="R29" s="130">
        <f t="shared" ref="R29:W29" si="13">SUM(R30:R33)</f>
        <v>3.9357022552480534</v>
      </c>
      <c r="S29" s="130">
        <f t="shared" si="13"/>
        <v>5.2428778332966752</v>
      </c>
      <c r="T29" s="130">
        <f t="shared" si="13"/>
        <v>4.6774374312022786</v>
      </c>
      <c r="U29" s="130">
        <f t="shared" si="13"/>
        <v>4.6063437460242067</v>
      </c>
      <c r="V29" s="130">
        <f t="shared" si="13"/>
        <v>4.023604872541287</v>
      </c>
      <c r="W29" s="130">
        <f t="shared" si="13"/>
        <v>3.9130473874932221</v>
      </c>
      <c r="X29" s="130">
        <f t="shared" ref="X29:Y29" si="14">SUM(X30:X33)</f>
        <v>3.7546550988420746</v>
      </c>
      <c r="Y29" s="130">
        <f t="shared" si="14"/>
        <v>3.6946106466980138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0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0</v>
      </c>
      <c r="L30" s="132">
        <v>0</v>
      </c>
      <c r="M30" s="132">
        <v>0</v>
      </c>
      <c r="N30" s="132">
        <v>0</v>
      </c>
      <c r="O30" s="132">
        <v>0</v>
      </c>
      <c r="P30" s="132">
        <v>0</v>
      </c>
      <c r="Q30" s="132">
        <v>0</v>
      </c>
      <c r="R30" s="132">
        <v>0</v>
      </c>
      <c r="S30" s="132">
        <v>0</v>
      </c>
      <c r="T30" s="132">
        <v>0</v>
      </c>
      <c r="U30" s="132">
        <v>0</v>
      </c>
      <c r="V30" s="132">
        <v>0</v>
      </c>
      <c r="W30" s="132">
        <v>0</v>
      </c>
      <c r="X30" s="132">
        <v>0</v>
      </c>
      <c r="Y30" s="132">
        <v>0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1.4875789363745373</v>
      </c>
      <c r="D31" s="132">
        <v>1.3467704780451306</v>
      </c>
      <c r="E31" s="132">
        <v>1.6619820901053051</v>
      </c>
      <c r="F31" s="132">
        <v>1.7622556587723539</v>
      </c>
      <c r="G31" s="132">
        <v>3.0417011684857536</v>
      </c>
      <c r="H31" s="132">
        <v>2.9166143425731872</v>
      </c>
      <c r="I31" s="132">
        <v>2.9952482507458695</v>
      </c>
      <c r="J31" s="132">
        <v>2.2538345584744275</v>
      </c>
      <c r="K31" s="132">
        <v>0.40962832883105121</v>
      </c>
      <c r="L31" s="132">
        <v>1.7453773567354955</v>
      </c>
      <c r="M31" s="132">
        <v>1.4900788897049113</v>
      </c>
      <c r="N31" s="132">
        <v>0.88731348068713123</v>
      </c>
      <c r="O31" s="132">
        <v>0.90028303700843082</v>
      </c>
      <c r="P31" s="132">
        <v>1.6830819356051858</v>
      </c>
      <c r="Q31" s="132">
        <v>2.7066055925623327</v>
      </c>
      <c r="R31" s="132">
        <v>2.5158331152499906</v>
      </c>
      <c r="S31" s="132">
        <v>3.8147343117300534</v>
      </c>
      <c r="T31" s="132">
        <v>2.5203738609775961</v>
      </c>
      <c r="U31" s="132">
        <v>2.6326194979159236</v>
      </c>
      <c r="V31" s="132">
        <v>1.5688349770068035</v>
      </c>
      <c r="W31" s="132">
        <v>1.0264799241435691</v>
      </c>
      <c r="X31" s="132">
        <v>0.51204425471260284</v>
      </c>
      <c r="Y31" s="132">
        <v>0.59998794435538405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1.1670006293228035</v>
      </c>
      <c r="D33" s="68">
        <v>1.1025153828311598</v>
      </c>
      <c r="E33" s="68">
        <v>1.7114255568334973</v>
      </c>
      <c r="F33" s="68">
        <v>2.1084192665577373</v>
      </c>
      <c r="G33" s="68">
        <v>3.1510344605017986</v>
      </c>
      <c r="H33" s="68">
        <v>3.8066566712452832</v>
      </c>
      <c r="I33" s="68">
        <v>3.0569342588178041</v>
      </c>
      <c r="J33" s="68">
        <v>2.0566422266225111</v>
      </c>
      <c r="K33" s="68">
        <v>0.32120978259194766</v>
      </c>
      <c r="L33" s="68">
        <v>1.4589709237433068</v>
      </c>
      <c r="M33" s="68">
        <v>2.1293559006978922</v>
      </c>
      <c r="N33" s="68">
        <v>1.1860421182956051</v>
      </c>
      <c r="O33" s="68">
        <v>1.0488384822033312</v>
      </c>
      <c r="P33" s="68">
        <v>1.8540732894486498</v>
      </c>
      <c r="Q33" s="68">
        <v>2.6996529900088388</v>
      </c>
      <c r="R33" s="68">
        <v>1.4198691399980627</v>
      </c>
      <c r="S33" s="68">
        <v>1.4281435215666221</v>
      </c>
      <c r="T33" s="68">
        <v>2.157063570224683</v>
      </c>
      <c r="U33" s="68">
        <v>1.9737242481082828</v>
      </c>
      <c r="V33" s="68">
        <v>2.4547698955344832</v>
      </c>
      <c r="W33" s="68">
        <v>2.8865674633496528</v>
      </c>
      <c r="X33" s="68">
        <v>3.2426108441294716</v>
      </c>
      <c r="Y33" s="68">
        <v>3.0946227023426296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0.69065693040988463</v>
      </c>
      <c r="D3" s="126">
        <f>IF(SER_hh_tes_in!D3=0,"",SER_hh_tes_in!D3/SER_hh_fec_in!D3)</f>
        <v>0.7216524715021454</v>
      </c>
      <c r="E3" s="126">
        <f>IF(SER_hh_tes_in!E3=0,"",SER_hh_tes_in!E3/SER_hh_fec_in!E3)</f>
        <v>0.69399773681403953</v>
      </c>
      <c r="F3" s="126">
        <f>IF(SER_hh_tes_in!F3=0,"",SER_hh_tes_in!F3/SER_hh_fec_in!F3)</f>
        <v>0.69984204710413211</v>
      </c>
      <c r="G3" s="126">
        <f>IF(SER_hh_tes_in!G3=0,"",SER_hh_tes_in!G3/SER_hh_fec_in!G3)</f>
        <v>0.71144662696238536</v>
      </c>
      <c r="H3" s="126">
        <f>IF(SER_hh_tes_in!H3=0,"",SER_hh_tes_in!H3/SER_hh_fec_in!H3)</f>
        <v>0.74351129999065901</v>
      </c>
      <c r="I3" s="126">
        <f>IF(SER_hh_tes_in!I3=0,"",SER_hh_tes_in!I3/SER_hh_fec_in!I3)</f>
        <v>0.77599342033826424</v>
      </c>
      <c r="J3" s="126">
        <f>IF(SER_hh_tes_in!J3=0,"",SER_hh_tes_in!J3/SER_hh_fec_in!J3)</f>
        <v>0.81878002631632329</v>
      </c>
      <c r="K3" s="126">
        <f>IF(SER_hh_tes_in!K3=0,"",SER_hh_tes_in!K3/SER_hh_fec_in!K3)</f>
        <v>0.94618626016599494</v>
      </c>
      <c r="L3" s="126">
        <f>IF(SER_hh_tes_in!L3=0,"",SER_hh_tes_in!L3/SER_hh_fec_in!L3)</f>
        <v>0.88564787305393722</v>
      </c>
      <c r="M3" s="126">
        <f>IF(SER_hh_tes_in!M3=0,"",SER_hh_tes_in!M3/SER_hh_fec_in!M3)</f>
        <v>0.88811712109082519</v>
      </c>
      <c r="N3" s="126">
        <f>IF(SER_hh_tes_in!N3=0,"",SER_hh_tes_in!N3/SER_hh_fec_in!N3)</f>
        <v>0.91671613673746466</v>
      </c>
      <c r="O3" s="126">
        <f>IF(SER_hh_tes_in!O3=0,"",SER_hh_tes_in!O3/SER_hh_fec_in!O3)</f>
        <v>0.93697377483065081</v>
      </c>
      <c r="P3" s="126">
        <f>IF(SER_hh_tes_in!P3=0,"",SER_hh_tes_in!P3/SER_hh_fec_in!P3)</f>
        <v>0.96217557648175889</v>
      </c>
      <c r="Q3" s="126">
        <f>IF(SER_hh_tes_in!Q3=0,"",SER_hh_tes_in!Q3/SER_hh_fec_in!Q3)</f>
        <v>1.0157248628949287</v>
      </c>
      <c r="R3" s="126">
        <f>IF(SER_hh_tes_in!R3=0,"",SER_hh_tes_in!R3/SER_hh_fec_in!R3)</f>
        <v>1.0003006987459642</v>
      </c>
      <c r="S3" s="126">
        <f>IF(SER_hh_tes_in!S3=0,"",SER_hh_tes_in!S3/SER_hh_fec_in!S3)</f>
        <v>1.0046757826972985</v>
      </c>
      <c r="T3" s="126">
        <f>IF(SER_hh_tes_in!T3=0,"",SER_hh_tes_in!T3/SER_hh_fec_in!T3)</f>
        <v>1.0633101153439954</v>
      </c>
      <c r="U3" s="126">
        <f>IF(SER_hh_tes_in!U3=0,"",SER_hh_tes_in!U3/SER_hh_fec_in!U3)</f>
        <v>1.063735873874033</v>
      </c>
      <c r="V3" s="126">
        <f>IF(SER_hh_tes_in!V3=0,"",SER_hh_tes_in!V3/SER_hh_fec_in!V3)</f>
        <v>1.1036334355679767</v>
      </c>
      <c r="W3" s="126">
        <f>IF(SER_hh_tes_in!W3=0,"",SER_hh_tes_in!W3/SER_hh_fec_in!W3)</f>
        <v>1.1512453099992377</v>
      </c>
      <c r="X3" s="126">
        <f>IF(SER_hh_tes_in!X3=0,"",SER_hh_tes_in!X3/SER_hh_fec_in!X3)</f>
        <v>1.2409930124871453</v>
      </c>
      <c r="Y3" s="126">
        <f>IF(SER_hh_tes_in!Y3=0,"",SER_hh_tes_in!Y3/SER_hh_fec_in!Y3)</f>
        <v>1.2660091900545882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0.62106545709350336</v>
      </c>
      <c r="D4" s="135">
        <f>IF(SER_hh_tes_in!D4=0,"",SER_hh_tes_in!D4/SER_hh_fec_in!D4)</f>
        <v>0.60150398548410255</v>
      </c>
      <c r="E4" s="135">
        <f>IF(SER_hh_tes_in!E4=0,"",SER_hh_tes_in!E4/SER_hh_fec_in!E4)</f>
        <v>0.61004161759941888</v>
      </c>
      <c r="F4" s="135">
        <f>IF(SER_hh_tes_in!F4=0,"",SER_hh_tes_in!F4/SER_hh_fec_in!F4)</f>
        <v>0.61657458172811341</v>
      </c>
      <c r="G4" s="135">
        <f>IF(SER_hh_tes_in!G4=0,"",SER_hh_tes_in!G4/SER_hh_fec_in!G4)</f>
        <v>0.60942141209878509</v>
      </c>
      <c r="H4" s="135">
        <f>IF(SER_hh_tes_in!H4=0,"",SER_hh_tes_in!H4/SER_hh_fec_in!H4)</f>
        <v>0.61365056938293638</v>
      </c>
      <c r="I4" s="135">
        <f>IF(SER_hh_tes_in!I4=0,"",SER_hh_tes_in!I4/SER_hh_fec_in!I4)</f>
        <v>0.62184905070787422</v>
      </c>
      <c r="J4" s="135">
        <f>IF(SER_hh_tes_in!J4=0,"",SER_hh_tes_in!J4/SER_hh_fec_in!J4)</f>
        <v>0.64214346455402282</v>
      </c>
      <c r="K4" s="135">
        <f>IF(SER_hh_tes_in!K4=0,"",SER_hh_tes_in!K4/SER_hh_fec_in!K4)</f>
        <v>0.77130336063340266</v>
      </c>
      <c r="L4" s="135">
        <f>IF(SER_hh_tes_in!L4=0,"",SER_hh_tes_in!L4/SER_hh_fec_in!L4)</f>
        <v>0.70936447804292257</v>
      </c>
      <c r="M4" s="135">
        <f>IF(SER_hh_tes_in!M4=0,"",SER_hh_tes_in!M4/SER_hh_fec_in!M4)</f>
        <v>0.69171334798952733</v>
      </c>
      <c r="N4" s="135">
        <f>IF(SER_hh_tes_in!N4=0,"",SER_hh_tes_in!N4/SER_hh_fec_in!N4)</f>
        <v>0.70597674239251917</v>
      </c>
      <c r="O4" s="135">
        <f>IF(SER_hh_tes_in!O4=0,"",SER_hh_tes_in!O4/SER_hh_fec_in!O4)</f>
        <v>0.71178722899641267</v>
      </c>
      <c r="P4" s="135">
        <f>IF(SER_hh_tes_in!P4=0,"",SER_hh_tes_in!P4/SER_hh_fec_in!P4)</f>
        <v>0.72809505318152923</v>
      </c>
      <c r="Q4" s="135">
        <f>IF(SER_hh_tes_in!Q4=0,"",SER_hh_tes_in!Q4/SER_hh_fec_in!Q4)</f>
        <v>0.7428208804744183</v>
      </c>
      <c r="R4" s="135">
        <f>IF(SER_hh_tes_in!R4=0,"",SER_hh_tes_in!R4/SER_hh_fec_in!R4)</f>
        <v>0.77215625367019225</v>
      </c>
      <c r="S4" s="135">
        <f>IF(SER_hh_tes_in!S4=0,"",SER_hh_tes_in!S4/SER_hh_fec_in!S4)</f>
        <v>0.77958162471858394</v>
      </c>
      <c r="T4" s="135">
        <f>IF(SER_hh_tes_in!T4=0,"",SER_hh_tes_in!T4/SER_hh_fec_in!T4)</f>
        <v>0.8005068478909515</v>
      </c>
      <c r="U4" s="135">
        <f>IF(SER_hh_tes_in!U4=0,"",SER_hh_tes_in!U4/SER_hh_fec_in!U4)</f>
        <v>0.80478706170308856</v>
      </c>
      <c r="V4" s="135">
        <f>IF(SER_hh_tes_in!V4=0,"",SER_hh_tes_in!V4/SER_hh_fec_in!V4)</f>
        <v>0.83192077904656569</v>
      </c>
      <c r="W4" s="135">
        <f>IF(SER_hh_tes_in!W4=0,"",SER_hh_tes_in!W4/SER_hh_fec_in!W4)</f>
        <v>0.85393238807900396</v>
      </c>
      <c r="X4" s="135">
        <f>IF(SER_hh_tes_in!X4=0,"",SER_hh_tes_in!X4/SER_hh_fec_in!X4)</f>
        <v>0.90801988795466204</v>
      </c>
      <c r="Y4" s="135">
        <f>IF(SER_hh_tes_in!Y4=0,"",SER_hh_tes_in!Y4/SER_hh_fec_in!Y4)</f>
        <v>0.91317356291056906</v>
      </c>
      <c r="DA4" s="162" t="s">
        <v>663</v>
      </c>
    </row>
    <row r="5" spans="1:105" ht="12" customHeight="1" x14ac:dyDescent="0.25">
      <c r="A5" s="131" t="s">
        <v>29</v>
      </c>
      <c r="B5" s="136"/>
      <c r="C5" s="136" t="str">
        <f>IF(SER_hh_tes_in!C5=0,"",SER_hh_tes_in!C5/SER_hh_fec_in!C5)</f>
        <v/>
      </c>
      <c r="D5" s="136" t="str">
        <f>IF(SER_hh_tes_in!D5=0,"",SER_hh_tes_in!D5/SER_hh_fec_in!D5)</f>
        <v/>
      </c>
      <c r="E5" s="136">
        <f>IF(SER_hh_tes_in!E5=0,"",SER_hh_tes_in!E5/SER_hh_fec_in!E5)</f>
        <v>0.59500865993371332</v>
      </c>
      <c r="F5" s="136">
        <f>IF(SER_hh_tes_in!F5=0,"",SER_hh_tes_in!F5/SER_hh_fec_in!F5)</f>
        <v>0.60088649308818198</v>
      </c>
      <c r="G5" s="136" t="str">
        <f>IF(SER_hh_tes_in!G5=0,"",SER_hh_tes_in!G5/SER_hh_fec_in!G5)</f>
        <v/>
      </c>
      <c r="H5" s="136" t="str">
        <f>IF(SER_hh_tes_in!H5=0,"",SER_hh_tes_in!H5/SER_hh_fec_in!H5)</f>
        <v/>
      </c>
      <c r="I5" s="136" t="str">
        <f>IF(SER_hh_tes_in!I5=0,"",SER_hh_tes_in!I5/SER_hh_fec_in!I5)</f>
        <v/>
      </c>
      <c r="J5" s="136" t="str">
        <f>IF(SER_hh_tes_in!J5=0,"",SER_hh_tes_in!J5/SER_hh_fec_in!J5)</f>
        <v/>
      </c>
      <c r="K5" s="136" t="str">
        <f>IF(SER_hh_tes_in!K5=0,"",SER_hh_tes_in!K5/SER_hh_fec_in!K5)</f>
        <v/>
      </c>
      <c r="L5" s="136" t="str">
        <f>IF(SER_hh_tes_in!L5=0,"",SER_hh_tes_in!L5/SER_hh_fec_in!L5)</f>
        <v/>
      </c>
      <c r="M5" s="136" t="str">
        <f>IF(SER_hh_tes_in!M5=0,"",SER_hh_tes_in!M5/SER_hh_fec_in!M5)</f>
        <v/>
      </c>
      <c r="N5" s="136">
        <f>IF(SER_hh_tes_in!N5=0,"",SER_hh_tes_in!N5/SER_hh_fec_in!N5)</f>
        <v>0.64568636281748681</v>
      </c>
      <c r="O5" s="136">
        <f>IF(SER_hh_tes_in!O5=0,"",SER_hh_tes_in!O5/SER_hh_fec_in!O5)</f>
        <v>0.64984081932013027</v>
      </c>
      <c r="P5" s="136">
        <f>IF(SER_hh_tes_in!P5=0,"",SER_hh_tes_in!P5/SER_hh_fec_in!P5)</f>
        <v>0.65387831968488863</v>
      </c>
      <c r="Q5" s="136" t="str">
        <f>IF(SER_hh_tes_in!Q5=0,"",SER_hh_tes_in!Q5/SER_hh_fec_in!Q5)</f>
        <v/>
      </c>
      <c r="R5" s="136">
        <f>IF(SER_hh_tes_in!R5=0,"",SER_hh_tes_in!R5/SER_hh_fec_in!R5)</f>
        <v>0.66708970883779339</v>
      </c>
      <c r="S5" s="136" t="str">
        <f>IF(SER_hh_tes_in!S5=0,"",SER_hh_tes_in!S5/SER_hh_fec_in!S5)</f>
        <v/>
      </c>
      <c r="T5" s="136" t="str">
        <f>IF(SER_hh_tes_in!T5=0,"",SER_hh_tes_in!T5/SER_hh_fec_in!T5)</f>
        <v/>
      </c>
      <c r="U5" s="136">
        <f>IF(SER_hh_tes_in!U5=0,"",SER_hh_tes_in!U5/SER_hh_fec_in!U5)</f>
        <v>0.69638034333297616</v>
      </c>
      <c r="V5" s="136">
        <f>IF(SER_hh_tes_in!V5=0,"",SER_hh_tes_in!V5/SER_hh_fec_in!V5)</f>
        <v>0.70457189335759518</v>
      </c>
      <c r="W5" s="136">
        <f>IF(SER_hh_tes_in!W5=0,"",SER_hh_tes_in!W5/SER_hh_fec_in!W5)</f>
        <v>0.71092909996654852</v>
      </c>
      <c r="X5" s="136">
        <f>IF(SER_hh_tes_in!X5=0,"",SER_hh_tes_in!X5/SER_hh_fec_in!X5)</f>
        <v>0.71681795199160925</v>
      </c>
      <c r="Y5" s="136" t="str">
        <f>IF(SER_hh_tes_in!Y5=0,"",SER_hh_tes_in!Y5/SER_hh_fec_in!Y5)</f>
        <v/>
      </c>
      <c r="DA5" s="163" t="s">
        <v>664</v>
      </c>
    </row>
    <row r="6" spans="1:105" ht="12" customHeight="1" x14ac:dyDescent="0.25">
      <c r="A6" s="131" t="s">
        <v>52</v>
      </c>
      <c r="B6" s="136"/>
      <c r="C6" s="136" t="str">
        <f>IF(SER_hh_tes_in!C6=0,"",SER_hh_tes_in!C6/SER_hh_fec_in!C6)</f>
        <v/>
      </c>
      <c r="D6" s="136" t="str">
        <f>IF(SER_hh_tes_in!D6=0,"",SER_hh_tes_in!D6/SER_hh_fec_in!D6)</f>
        <v/>
      </c>
      <c r="E6" s="136" t="str">
        <f>IF(SER_hh_tes_in!E6=0,"",SER_hh_tes_in!E6/SER_hh_fec_in!E6)</f>
        <v/>
      </c>
      <c r="F6" s="136" t="str">
        <f>IF(SER_hh_tes_in!F6=0,"",SER_hh_tes_in!F6/SER_hh_fec_in!F6)</f>
        <v/>
      </c>
      <c r="G6" s="136" t="str">
        <f>IF(SER_hh_tes_in!G6=0,"",SER_hh_tes_in!G6/SER_hh_fec_in!G6)</f>
        <v/>
      </c>
      <c r="H6" s="136" t="str">
        <f>IF(SER_hh_tes_in!H6=0,"",SER_hh_tes_in!H6/SER_hh_fec_in!H6)</f>
        <v/>
      </c>
      <c r="I6" s="136" t="str">
        <f>IF(SER_hh_tes_in!I6=0,"",SER_hh_tes_in!I6/SER_hh_fec_in!I6)</f>
        <v/>
      </c>
      <c r="J6" s="136" t="str">
        <f>IF(SER_hh_tes_in!J6=0,"",SER_hh_tes_in!J6/SER_hh_fec_in!J6)</f>
        <v/>
      </c>
      <c r="K6" s="136" t="str">
        <f>IF(SER_hh_tes_in!K6=0,"",SER_hh_tes_in!K6/SER_hh_fec_in!K6)</f>
        <v/>
      </c>
      <c r="L6" s="136" t="str">
        <f>IF(SER_hh_tes_in!L6=0,"",SER_hh_tes_in!L6/SER_hh_fec_in!L6)</f>
        <v/>
      </c>
      <c r="M6" s="136" t="str">
        <f>IF(SER_hh_tes_in!M6=0,"",SER_hh_tes_in!M6/SER_hh_fec_in!M6)</f>
        <v/>
      </c>
      <c r="N6" s="136" t="str">
        <f>IF(SER_hh_tes_in!N6=0,"",SER_hh_tes_in!N6/SER_hh_fec_in!N6)</f>
        <v/>
      </c>
      <c r="O6" s="136" t="str">
        <f>IF(SER_hh_tes_in!O6=0,"",SER_hh_tes_in!O6/SER_hh_fec_in!O6)</f>
        <v/>
      </c>
      <c r="P6" s="136" t="str">
        <f>IF(SER_hh_tes_in!P6=0,"",SER_hh_tes_in!P6/SER_hh_fec_in!P6)</f>
        <v/>
      </c>
      <c r="Q6" s="136" t="str">
        <f>IF(SER_hh_tes_in!Q6=0,"",SER_hh_tes_in!Q6/SER_hh_fec_in!Q6)</f>
        <v/>
      </c>
      <c r="R6" s="136" t="str">
        <f>IF(SER_hh_tes_in!R6=0,"",SER_hh_tes_in!R6/SER_hh_fec_in!R6)</f>
        <v/>
      </c>
      <c r="S6" s="136" t="str">
        <f>IF(SER_hh_tes_in!S6=0,"",SER_hh_tes_in!S6/SER_hh_fec_in!S6)</f>
        <v/>
      </c>
      <c r="T6" s="136" t="str">
        <f>IF(SER_hh_tes_in!T6=0,"",SER_hh_tes_in!T6/SER_hh_fec_in!T6)</f>
        <v/>
      </c>
      <c r="U6" s="136" t="str">
        <f>IF(SER_hh_tes_in!U6=0,"",SER_hh_tes_in!U6/SER_hh_fec_in!U6)</f>
        <v/>
      </c>
      <c r="V6" s="136" t="str">
        <f>IF(SER_hh_tes_in!V6=0,"",SER_hh_tes_in!V6/SER_hh_fec_in!V6)</f>
        <v/>
      </c>
      <c r="W6" s="136" t="str">
        <f>IF(SER_hh_tes_in!W6=0,"",SER_hh_tes_in!W6/SER_hh_fec_in!W6)</f>
        <v/>
      </c>
      <c r="X6" s="136" t="str">
        <f>IF(SER_hh_tes_in!X6=0,"",SER_hh_tes_in!X6/SER_hh_fec_in!X6)</f>
        <v/>
      </c>
      <c r="Y6" s="136" t="str">
        <f>IF(SER_hh_tes_in!Y6=0,"",SER_hh_tes_in!Y6/SER_hh_fec_in!Y6)</f>
        <v/>
      </c>
      <c r="DA6" s="163" t="s">
        <v>665</v>
      </c>
    </row>
    <row r="7" spans="1:105" ht="12" customHeight="1" x14ac:dyDescent="0.25">
      <c r="A7" s="131" t="s">
        <v>161</v>
      </c>
      <c r="B7" s="136"/>
      <c r="C7" s="136">
        <f>IF(SER_hh_tes_in!C7=0,"",SER_hh_tes_in!C7/SER_hh_fec_in!C7)</f>
        <v>0.48912039844930671</v>
      </c>
      <c r="D7" s="136">
        <f>IF(SER_hh_tes_in!D7=0,"",SER_hh_tes_in!D7/SER_hh_fec_in!D7)</f>
        <v>0.49369758792883811</v>
      </c>
      <c r="E7" s="136">
        <f>IF(SER_hh_tes_in!E7=0,"",SER_hh_tes_in!E7/SER_hh_fec_in!E7)</f>
        <v>0.49851844573108045</v>
      </c>
      <c r="F7" s="136">
        <f>IF(SER_hh_tes_in!F7=0,"",SER_hh_tes_in!F7/SER_hh_fec_in!F7)</f>
        <v>0.50331296472477183</v>
      </c>
      <c r="G7" s="136">
        <f>IF(SER_hh_tes_in!G7=0,"",SER_hh_tes_in!G7/SER_hh_fec_in!G7)</f>
        <v>0.50832191546692862</v>
      </c>
      <c r="H7" s="136">
        <f>IF(SER_hh_tes_in!H7=0,"",SER_hh_tes_in!H7/SER_hh_fec_in!H7)</f>
        <v>0.51351264838369026</v>
      </c>
      <c r="I7" s="136">
        <f>IF(SER_hh_tes_in!I7=0,"",SER_hh_tes_in!I7/SER_hh_fec_in!I7)</f>
        <v>0.51894120017637135</v>
      </c>
      <c r="J7" s="136">
        <f>IF(SER_hh_tes_in!J7=0,"",SER_hh_tes_in!J7/SER_hh_fec_in!J7)</f>
        <v>0.52484451180366187</v>
      </c>
      <c r="K7" s="136" t="str">
        <f>IF(SER_hh_tes_in!K7=0,"",SER_hh_tes_in!K7/SER_hh_fec_in!K7)</f>
        <v/>
      </c>
      <c r="L7" s="136">
        <f>IF(SER_hh_tes_in!L7=0,"",SER_hh_tes_in!L7/SER_hh_fec_in!L7)</f>
        <v>0.53871099444495774</v>
      </c>
      <c r="M7" s="136">
        <f>IF(SER_hh_tes_in!M7=0,"",SER_hh_tes_in!M7/SER_hh_fec_in!M7)</f>
        <v>0.55190398491239256</v>
      </c>
      <c r="N7" s="136">
        <f>IF(SER_hh_tes_in!N7=0,"",SER_hh_tes_in!N7/SER_hh_fec_in!N7)</f>
        <v>0.57255032573339637</v>
      </c>
      <c r="O7" s="136">
        <f>IF(SER_hh_tes_in!O7=0,"",SER_hh_tes_in!O7/SER_hh_fec_in!O7)</f>
        <v>0.60143985815960821</v>
      </c>
      <c r="P7" s="136">
        <f>IF(SER_hh_tes_in!P7=0,"",SER_hh_tes_in!P7/SER_hh_fec_in!P7)</f>
        <v>0.63473371931341205</v>
      </c>
      <c r="Q7" s="136">
        <f>IF(SER_hh_tes_in!Q7=0,"",SER_hh_tes_in!Q7/SER_hh_fec_in!Q7)</f>
        <v>0.66131926217848691</v>
      </c>
      <c r="R7" s="136">
        <f>IF(SER_hh_tes_in!R7=0,"",SER_hh_tes_in!R7/SER_hh_fec_in!R7)</f>
        <v>0.67144772523015006</v>
      </c>
      <c r="S7" s="136">
        <f>IF(SER_hh_tes_in!S7=0,"",SER_hh_tes_in!S7/SER_hh_fec_in!S7)</f>
        <v>0.67621510927331219</v>
      </c>
      <c r="T7" s="136" t="str">
        <f>IF(SER_hh_tes_in!T7=0,"",SER_hh_tes_in!T7/SER_hh_fec_in!T7)</f>
        <v/>
      </c>
      <c r="U7" s="136">
        <f>IF(SER_hh_tes_in!U7=0,"",SER_hh_tes_in!U7/SER_hh_fec_in!U7)</f>
        <v>0.67826145268141347</v>
      </c>
      <c r="V7" s="136">
        <f>IF(SER_hh_tes_in!V7=0,"",SER_hh_tes_in!V7/SER_hh_fec_in!V7)</f>
        <v>0.6795934436400739</v>
      </c>
      <c r="W7" s="136">
        <f>IF(SER_hh_tes_in!W7=0,"",SER_hh_tes_in!W7/SER_hh_fec_in!W7)</f>
        <v>0.68143654023193501</v>
      </c>
      <c r="X7" s="136">
        <f>IF(SER_hh_tes_in!X7=0,"",SER_hh_tes_in!X7/SER_hh_fec_in!X7)</f>
        <v>0.68253304527918113</v>
      </c>
      <c r="Y7" s="136">
        <f>IF(SER_hh_tes_in!Y7=0,"",SER_hh_tes_in!Y7/SER_hh_fec_in!Y7)</f>
        <v>0.68323575500826184</v>
      </c>
      <c r="DA7" s="163" t="s">
        <v>666</v>
      </c>
    </row>
    <row r="8" spans="1:105" ht="12" customHeight="1" x14ac:dyDescent="0.25">
      <c r="A8" s="131" t="s">
        <v>73</v>
      </c>
      <c r="B8" s="136"/>
      <c r="C8" s="136" t="str">
        <f>IF(SER_hh_tes_in!C8=0,"",SER_hh_tes_in!C8/SER_hh_fec_in!C8)</f>
        <v/>
      </c>
      <c r="D8" s="136" t="str">
        <f>IF(SER_hh_tes_in!D8=0,"",SER_hh_tes_in!D8/SER_hh_fec_in!D8)</f>
        <v/>
      </c>
      <c r="E8" s="136" t="str">
        <f>IF(SER_hh_tes_in!E8=0,"",SER_hh_tes_in!E8/SER_hh_fec_in!E8)</f>
        <v/>
      </c>
      <c r="F8" s="136" t="str">
        <f>IF(SER_hh_tes_in!F8=0,"",SER_hh_tes_in!F8/SER_hh_fec_in!F8)</f>
        <v/>
      </c>
      <c r="G8" s="136">
        <f>IF(SER_hh_tes_in!G8=0,"",SER_hh_tes_in!G8/SER_hh_fec_in!G8)</f>
        <v>2.1063584656121717</v>
      </c>
      <c r="H8" s="136">
        <f>IF(SER_hh_tes_in!H8=0,"",SER_hh_tes_in!H8/SER_hh_fec_in!H8)</f>
        <v>2.2126182419751559</v>
      </c>
      <c r="I8" s="136">
        <f>IF(SER_hh_tes_in!I8=0,"",SER_hh_tes_in!I8/SER_hh_fec_in!I8)</f>
        <v>2.3203026162831573</v>
      </c>
      <c r="J8" s="136">
        <f>IF(SER_hh_tes_in!J8=0,"",SER_hh_tes_in!J8/SER_hh_fec_in!J8)</f>
        <v>2.4304278494099667</v>
      </c>
      <c r="K8" s="136">
        <f>IF(SER_hh_tes_in!K8=0,"",SER_hh_tes_in!K8/SER_hh_fec_in!K8)</f>
        <v>2.5438637434597662</v>
      </c>
      <c r="L8" s="136">
        <f>IF(SER_hh_tes_in!L8=0,"",SER_hh_tes_in!L8/SER_hh_fec_in!L8)</f>
        <v>2.6608617864370365</v>
      </c>
      <c r="M8" s="136">
        <f>IF(SER_hh_tes_in!M8=0,"",SER_hh_tes_in!M8/SER_hh_fec_in!M8)</f>
        <v>2.8057475343769034</v>
      </c>
      <c r="N8" s="136">
        <f>IF(SER_hh_tes_in!N8=0,"",SER_hh_tes_in!N8/SER_hh_fec_in!N8)</f>
        <v>2.9868560282159407</v>
      </c>
      <c r="O8" s="136">
        <f>IF(SER_hh_tes_in!O8=0,"",SER_hh_tes_in!O8/SER_hh_fec_in!O8)</f>
        <v>3.2073583714493452</v>
      </c>
      <c r="P8" s="136">
        <f>IF(SER_hh_tes_in!P8=0,"",SER_hh_tes_in!P8/SER_hh_fec_in!P8)</f>
        <v>3.4448322091285393</v>
      </c>
      <c r="Q8" s="136">
        <f>IF(SER_hh_tes_in!Q8=0,"",SER_hh_tes_in!Q8/SER_hh_fec_in!Q8)</f>
        <v>3.6306527623801377</v>
      </c>
      <c r="R8" s="136">
        <f>IF(SER_hh_tes_in!R8=0,"",SER_hh_tes_in!R8/SER_hh_fec_in!R8)</f>
        <v>3.7925274265635527</v>
      </c>
      <c r="S8" s="136">
        <f>IF(SER_hh_tes_in!S8=0,"",SER_hh_tes_in!S8/SER_hh_fec_in!S8)</f>
        <v>3.8981935471532596</v>
      </c>
      <c r="T8" s="136">
        <f>IF(SER_hh_tes_in!T8=0,"",SER_hh_tes_in!T8/SER_hh_fec_in!T8)</f>
        <v>3.965218240196966</v>
      </c>
      <c r="U8" s="136">
        <f>IF(SER_hh_tes_in!U8=0,"",SER_hh_tes_in!U8/SER_hh_fec_in!U8)</f>
        <v>4.0113123826163655</v>
      </c>
      <c r="V8" s="136">
        <f>IF(SER_hh_tes_in!V8=0,"",SER_hh_tes_in!V8/SER_hh_fec_in!V8)</f>
        <v>4.0536563029439607</v>
      </c>
      <c r="W8" s="136">
        <f>IF(SER_hh_tes_in!W8=0,"",SER_hh_tes_in!W8/SER_hh_fec_in!W8)</f>
        <v>4.0949811301664463</v>
      </c>
      <c r="X8" s="136">
        <f>IF(SER_hh_tes_in!X8=0,"",SER_hh_tes_in!X8/SER_hh_fec_in!X8)</f>
        <v>4.1289844312388979</v>
      </c>
      <c r="Y8" s="136">
        <f>IF(SER_hh_tes_in!Y8=0,"",SER_hh_tes_in!Y8/SER_hh_fec_in!Y8)</f>
        <v>4.1578080066234895</v>
      </c>
      <c r="DA8" s="163" t="s">
        <v>667</v>
      </c>
    </row>
    <row r="9" spans="1:105" ht="12" customHeight="1" x14ac:dyDescent="0.25">
      <c r="A9" s="131" t="s">
        <v>78</v>
      </c>
      <c r="B9" s="136"/>
      <c r="C9" s="136">
        <f>IF(SER_hh_tes_in!C9=0,"",SER_hh_tes_in!C9/SER_hh_fec_in!C9)</f>
        <v>0.52281319476931554</v>
      </c>
      <c r="D9" s="136">
        <f>IF(SER_hh_tes_in!D9=0,"",SER_hh_tes_in!D9/SER_hh_fec_in!D9)</f>
        <v>0.52716120851986803</v>
      </c>
      <c r="E9" s="136">
        <f>IF(SER_hh_tes_in!E9=0,"",SER_hh_tes_in!E9/SER_hh_fec_in!E9)</f>
        <v>0.53178276505891375</v>
      </c>
      <c r="F9" s="136">
        <f>IF(SER_hh_tes_in!F9=0,"",SER_hh_tes_in!F9/SER_hh_fec_in!F9)</f>
        <v>0.53638737061532205</v>
      </c>
      <c r="G9" s="136">
        <f>IF(SER_hh_tes_in!G9=0,"",SER_hh_tes_in!G9/SER_hh_fec_in!G9)</f>
        <v>0.54123694342860063</v>
      </c>
      <c r="H9" s="136">
        <f>IF(SER_hh_tes_in!H9=0,"",SER_hh_tes_in!H9/SER_hh_fec_in!H9)</f>
        <v>0.5462980104235412</v>
      </c>
      <c r="I9" s="136">
        <f>IF(SER_hh_tes_in!I9=0,"",SER_hh_tes_in!I9/SER_hh_fec_in!I9)</f>
        <v>0.5516336193760667</v>
      </c>
      <c r="J9" s="136">
        <f>IF(SER_hh_tes_in!J9=0,"",SER_hh_tes_in!J9/SER_hh_fec_in!J9)</f>
        <v>0.55750534540830543</v>
      </c>
      <c r="K9" s="136" t="str">
        <f>IF(SER_hh_tes_in!K9=0,"",SER_hh_tes_in!K9/SER_hh_fec_in!K9)</f>
        <v/>
      </c>
      <c r="L9" s="136">
        <f>IF(SER_hh_tes_in!L9=0,"",SER_hh_tes_in!L9/SER_hh_fec_in!L9)</f>
        <v>0.57157288852375521</v>
      </c>
      <c r="M9" s="136">
        <f>IF(SER_hh_tes_in!M9=0,"",SER_hh_tes_in!M9/SER_hh_fec_in!M9)</f>
        <v>0.58533348432680299</v>
      </c>
      <c r="N9" s="136">
        <f>IF(SER_hh_tes_in!N9=0,"",SER_hh_tes_in!N9/SER_hh_fec_in!N9)</f>
        <v>0.60712867190562569</v>
      </c>
      <c r="O9" s="136">
        <f>IF(SER_hh_tes_in!O9=0,"",SER_hh_tes_in!O9/SER_hh_fec_in!O9)</f>
        <v>0.63809807207566016</v>
      </c>
      <c r="P9" s="136">
        <f>IF(SER_hh_tes_in!P9=0,"",SER_hh_tes_in!P9/SER_hh_fec_in!P9)</f>
        <v>0.67456825871533055</v>
      </c>
      <c r="Q9" s="136">
        <f>IF(SER_hh_tes_in!Q9=0,"",SER_hh_tes_in!Q9/SER_hh_fec_in!Q9)</f>
        <v>0.70530764232020915</v>
      </c>
      <c r="R9" s="136">
        <f>IF(SER_hh_tes_in!R9=0,"",SER_hh_tes_in!R9/SER_hh_fec_in!R9)</f>
        <v>0.72089023419934428</v>
      </c>
      <c r="S9" s="136">
        <f>IF(SER_hh_tes_in!S9=0,"",SER_hh_tes_in!S9/SER_hh_fec_in!S9)</f>
        <v>0.73279522096473382</v>
      </c>
      <c r="T9" s="136">
        <f>IF(SER_hh_tes_in!T9=0,"",SER_hh_tes_in!T9/SER_hh_fec_in!T9)</f>
        <v>0.74244811468615968</v>
      </c>
      <c r="U9" s="136">
        <f>IF(SER_hh_tes_in!U9=0,"",SER_hh_tes_in!U9/SER_hh_fec_in!U9)</f>
        <v>0.75083314866405182</v>
      </c>
      <c r="V9" s="136">
        <f>IF(SER_hh_tes_in!V9=0,"",SER_hh_tes_in!V9/SER_hh_fec_in!V9)</f>
        <v>0.75843638629502208</v>
      </c>
      <c r="W9" s="136">
        <f>IF(SER_hh_tes_in!W9=0,"",SER_hh_tes_in!W9/SER_hh_fec_in!W9)</f>
        <v>0.76409158028676116</v>
      </c>
      <c r="X9" s="136">
        <f>IF(SER_hh_tes_in!X9=0,"",SER_hh_tes_in!X9/SER_hh_fec_in!X9)</f>
        <v>0.76766299858614317</v>
      </c>
      <c r="Y9" s="136">
        <f>IF(SER_hh_tes_in!Y9=0,"",SER_hh_tes_in!Y9/SER_hh_fec_in!Y9)</f>
        <v>0.77010089219666289</v>
      </c>
      <c r="DA9" s="163" t="s">
        <v>668</v>
      </c>
    </row>
    <row r="10" spans="1:105" ht="12" customHeight="1" x14ac:dyDescent="0.25">
      <c r="A10" s="131" t="s">
        <v>128</v>
      </c>
      <c r="B10" s="136"/>
      <c r="C10" s="136">
        <f>IF(SER_hh_tes_in!C10=0,"",SER_hh_tes_in!C10/SER_hh_fec_in!C10)</f>
        <v>0.52854547624911175</v>
      </c>
      <c r="D10" s="136">
        <f>IF(SER_hh_tes_in!D10=0,"",SER_hh_tes_in!D10/SER_hh_fec_in!D10)</f>
        <v>0.5288124411370394</v>
      </c>
      <c r="E10" s="136">
        <f>IF(SER_hh_tes_in!E10=0,"",SER_hh_tes_in!E10/SER_hh_fec_in!E10)</f>
        <v>0.52908194749932735</v>
      </c>
      <c r="F10" s="136">
        <f>IF(SER_hh_tes_in!F10=0,"",SER_hh_tes_in!F10/SER_hh_fec_in!F10)</f>
        <v>0.52935373174530842</v>
      </c>
      <c r="G10" s="136">
        <f>IF(SER_hh_tes_in!G10=0,"",SER_hh_tes_in!G10/SER_hh_fec_in!G10)</f>
        <v>0.52962752571849536</v>
      </c>
      <c r="H10" s="136">
        <f>IF(SER_hh_tes_in!H10=0,"",SER_hh_tes_in!H10/SER_hh_fec_in!H10)</f>
        <v>0.52990301362477854</v>
      </c>
      <c r="I10" s="136">
        <f>IF(SER_hh_tes_in!I10=0,"",SER_hh_tes_in!I10/SER_hh_fec_in!I10)</f>
        <v>0.53017977889654233</v>
      </c>
      <c r="J10" s="136">
        <f>IF(SER_hh_tes_in!J10=0,"",SER_hh_tes_in!J10/SER_hh_fec_in!J10)</f>
        <v>0.53045692169332481</v>
      </c>
      <c r="K10" s="136">
        <f>IF(SER_hh_tes_in!K10=0,"",SER_hh_tes_in!K10/SER_hh_fec_in!K10)</f>
        <v>0.53073325215945266</v>
      </c>
      <c r="L10" s="136">
        <f>IF(SER_hh_tes_in!L10=0,"",SER_hh_tes_in!L10/SER_hh_fec_in!L10)</f>
        <v>0.53100771423419724</v>
      </c>
      <c r="M10" s="136">
        <f>IF(SER_hh_tes_in!M10=0,"",SER_hh_tes_in!M10/SER_hh_fec_in!M10)</f>
        <v>0.53125983022582446</v>
      </c>
      <c r="N10" s="136">
        <f>IF(SER_hh_tes_in!N10=0,"",SER_hh_tes_in!N10/SER_hh_fec_in!N10)</f>
        <v>0.53147839513469064</v>
      </c>
      <c r="O10" s="136">
        <f>IF(SER_hh_tes_in!O10=0,"",SER_hh_tes_in!O10/SER_hh_fec_in!O10)</f>
        <v>0.53165693746098153</v>
      </c>
      <c r="P10" s="136">
        <f>IF(SER_hh_tes_in!P10=0,"",SER_hh_tes_in!P10/SER_hh_fec_in!P10)</f>
        <v>0.53181092434503952</v>
      </c>
      <c r="Q10" s="136">
        <f>IF(SER_hh_tes_in!Q10=0,"",SER_hh_tes_in!Q10/SER_hh_fec_in!Q10)</f>
        <v>0.53199465948777991</v>
      </c>
      <c r="R10" s="136">
        <f>IF(SER_hh_tes_in!R10=0,"",SER_hh_tes_in!R10/SER_hh_fec_in!R10)</f>
        <v>0.53226987096971423</v>
      </c>
      <c r="S10" s="136">
        <f>IF(SER_hh_tes_in!S10=0,"",SER_hh_tes_in!S10/SER_hh_fec_in!S10)</f>
        <v>0.53257961820508526</v>
      </c>
      <c r="T10" s="136">
        <f>IF(SER_hh_tes_in!T10=0,"",SER_hh_tes_in!T10/SER_hh_fec_in!T10)</f>
        <v>0.53289205418661778</v>
      </c>
      <c r="U10" s="136">
        <f>IF(SER_hh_tes_in!U10=0,"",SER_hh_tes_in!U10/SER_hh_fec_in!U10)</f>
        <v>0.5331806666004163</v>
      </c>
      <c r="V10" s="136">
        <f>IF(SER_hh_tes_in!V10=0,"",SER_hh_tes_in!V10/SER_hh_fec_in!V10)</f>
        <v>0.53342276115099529</v>
      </c>
      <c r="W10" s="136">
        <f>IF(SER_hh_tes_in!W10=0,"",SER_hh_tes_in!W10/SER_hh_fec_in!W10)</f>
        <v>0.53361724203179906</v>
      </c>
      <c r="X10" s="136">
        <f>IF(SER_hh_tes_in!X10=0,"",SER_hh_tes_in!X10/SER_hh_fec_in!X10)</f>
        <v>0.53874871715422212</v>
      </c>
      <c r="Y10" s="136">
        <f>IF(SER_hh_tes_in!Y10=0,"",SER_hh_tes_in!Y10/SER_hh_fec_in!Y10)</f>
        <v>0.54358463726981332</v>
      </c>
      <c r="DA10" s="163" t="s">
        <v>669</v>
      </c>
    </row>
    <row r="11" spans="1:105" ht="12" customHeight="1" x14ac:dyDescent="0.25">
      <c r="A11" s="131" t="s">
        <v>25</v>
      </c>
      <c r="B11" s="136"/>
      <c r="C11" s="136" t="str">
        <f>IF(SER_hh_tes_in!C11=0,"",SER_hh_tes_in!C11/SER_hh_fec_in!C11)</f>
        <v/>
      </c>
      <c r="D11" s="136" t="str">
        <f>IF(SER_hh_tes_in!D11=0,"",SER_hh_tes_in!D11/SER_hh_fec_in!D11)</f>
        <v/>
      </c>
      <c r="E11" s="136" t="str">
        <f>IF(SER_hh_tes_in!E11=0,"",SER_hh_tes_in!E11/SER_hh_fec_in!E11)</f>
        <v/>
      </c>
      <c r="F11" s="136" t="str">
        <f>IF(SER_hh_tes_in!F11=0,"",SER_hh_tes_in!F11/SER_hh_fec_in!F11)</f>
        <v/>
      </c>
      <c r="G11" s="136" t="str">
        <f>IF(SER_hh_tes_in!G11=0,"",SER_hh_tes_in!G11/SER_hh_fec_in!G11)</f>
        <v/>
      </c>
      <c r="H11" s="136" t="str">
        <f>IF(SER_hh_tes_in!H11=0,"",SER_hh_tes_in!H11/SER_hh_fec_in!H11)</f>
        <v/>
      </c>
      <c r="I11" s="136" t="str">
        <f>IF(SER_hh_tes_in!I11=0,"",SER_hh_tes_in!I11/SER_hh_fec_in!I11)</f>
        <v/>
      </c>
      <c r="J11" s="136" t="str">
        <f>IF(SER_hh_tes_in!J11=0,"",SER_hh_tes_in!J11/SER_hh_fec_in!J11)</f>
        <v/>
      </c>
      <c r="K11" s="136" t="str">
        <f>IF(SER_hh_tes_in!K11=0,"",SER_hh_tes_in!K11/SER_hh_fec_in!K11)</f>
        <v/>
      </c>
      <c r="L11" s="136" t="str">
        <f>IF(SER_hh_tes_in!L11=0,"",SER_hh_tes_in!L11/SER_hh_fec_in!L11)</f>
        <v/>
      </c>
      <c r="M11" s="136" t="str">
        <f>IF(SER_hh_tes_in!M11=0,"",SER_hh_tes_in!M11/SER_hh_fec_in!M11)</f>
        <v/>
      </c>
      <c r="N11" s="136" t="str">
        <f>IF(SER_hh_tes_in!N11=0,"",SER_hh_tes_in!N11/SER_hh_fec_in!N11)</f>
        <v/>
      </c>
      <c r="O11" s="136" t="str">
        <f>IF(SER_hh_tes_in!O11=0,"",SER_hh_tes_in!O11/SER_hh_fec_in!O11)</f>
        <v/>
      </c>
      <c r="P11" s="136" t="str">
        <f>IF(SER_hh_tes_in!P11=0,"",SER_hh_tes_in!P11/SER_hh_fec_in!P11)</f>
        <v/>
      </c>
      <c r="Q11" s="136" t="str">
        <f>IF(SER_hh_tes_in!Q11=0,"",SER_hh_tes_in!Q11/SER_hh_fec_in!Q11)</f>
        <v/>
      </c>
      <c r="R11" s="136" t="str">
        <f>IF(SER_hh_tes_in!R11=0,"",SER_hh_tes_in!R11/SER_hh_fec_in!R11)</f>
        <v/>
      </c>
      <c r="S11" s="136" t="str">
        <f>IF(SER_hh_tes_in!S11=0,"",SER_hh_tes_in!S11/SER_hh_fec_in!S11)</f>
        <v/>
      </c>
      <c r="T11" s="136" t="str">
        <f>IF(SER_hh_tes_in!T11=0,"",SER_hh_tes_in!T11/SER_hh_fec_in!T11)</f>
        <v/>
      </c>
      <c r="U11" s="136" t="str">
        <f>IF(SER_hh_tes_in!U11=0,"",SER_hh_tes_in!U11/SER_hh_fec_in!U11)</f>
        <v/>
      </c>
      <c r="V11" s="136" t="str">
        <f>IF(SER_hh_tes_in!V11=0,"",SER_hh_tes_in!V11/SER_hh_fec_in!V11)</f>
        <v/>
      </c>
      <c r="W11" s="136" t="str">
        <f>IF(SER_hh_tes_in!W11=0,"",SER_hh_tes_in!W11/SER_hh_fec_in!W11)</f>
        <v/>
      </c>
      <c r="X11" s="136" t="str">
        <f>IF(SER_hh_tes_in!X11=0,"",SER_hh_tes_in!X11/SER_hh_fec_in!X11)</f>
        <v/>
      </c>
      <c r="Y11" s="136" t="str">
        <f>IF(SER_hh_tes_in!Y11=0,"",SER_hh_tes_in!Y11/SER_hh_fec_in!Y11)</f>
        <v/>
      </c>
      <c r="DA11" s="163" t="s">
        <v>670</v>
      </c>
    </row>
    <row r="12" spans="1:105" ht="12" customHeight="1" x14ac:dyDescent="0.25">
      <c r="A12" s="131" t="s">
        <v>162</v>
      </c>
      <c r="B12" s="136"/>
      <c r="C12" s="136">
        <f>IF(SER_hh_tes_in!C12=0,"",SER_hh_tes_in!C12/SER_hh_fec_in!C12)</f>
        <v>0.77677673993389373</v>
      </c>
      <c r="D12" s="136">
        <f>IF(SER_hh_tes_in!D12=0,"",SER_hh_tes_in!D12/SER_hh_fec_in!D12)</f>
        <v>0.77876201508590992</v>
      </c>
      <c r="E12" s="136">
        <f>IF(SER_hh_tes_in!E12=0,"",SER_hh_tes_in!E12/SER_hh_fec_in!E12)</f>
        <v>0.78080088748761778</v>
      </c>
      <c r="F12" s="136">
        <f>IF(SER_hh_tes_in!F12=0,"",SER_hh_tes_in!F12/SER_hh_fec_in!F12)</f>
        <v>0.78284706860519238</v>
      </c>
      <c r="G12" s="136">
        <f>IF(SER_hh_tes_in!G12=0,"",SER_hh_tes_in!G12/SER_hh_fec_in!G12)</f>
        <v>0.78494260963719431</v>
      </c>
      <c r="H12" s="136">
        <f>IF(SER_hh_tes_in!H12=0,"",SER_hh_tes_in!H12/SER_hh_fec_in!H12)</f>
        <v>0.78708236405226173</v>
      </c>
      <c r="I12" s="136">
        <f>IF(SER_hh_tes_in!I12=0,"",SER_hh_tes_in!I12/SER_hh_fec_in!I12)</f>
        <v>0.78927669326694838</v>
      </c>
      <c r="J12" s="136">
        <f>IF(SER_hh_tes_in!J12=0,"",SER_hh_tes_in!J12/SER_hh_fec_in!J12)</f>
        <v>0.79156804434762484</v>
      </c>
      <c r="K12" s="136">
        <f>IF(SER_hh_tes_in!K12=0,"",SER_hh_tes_in!K12/SER_hh_fec_in!K12)</f>
        <v>0.79399250846561231</v>
      </c>
      <c r="L12" s="136">
        <f>IF(SER_hh_tes_in!L12=0,"",SER_hh_tes_in!L12/SER_hh_fec_in!L12)</f>
        <v>0.79655974148890218</v>
      </c>
      <c r="M12" s="136">
        <f>IF(SER_hh_tes_in!M12=0,"",SER_hh_tes_in!M12/SER_hh_fec_in!M12)</f>
        <v>0.80011439610554891</v>
      </c>
      <c r="N12" s="136">
        <f>IF(SER_hh_tes_in!N12=0,"",SER_hh_tes_in!N12/SER_hh_fec_in!N12)</f>
        <v>0.80492353030552066</v>
      </c>
      <c r="O12" s="136">
        <f>IF(SER_hh_tes_in!O12=0,"",SER_hh_tes_in!O12/SER_hh_fec_in!O12)</f>
        <v>0.81122125286840308</v>
      </c>
      <c r="P12" s="136">
        <f>IF(SER_hh_tes_in!P12=0,"",SER_hh_tes_in!P12/SER_hh_fec_in!P12)</f>
        <v>0.81856215467684312</v>
      </c>
      <c r="Q12" s="136">
        <f>IF(SER_hh_tes_in!Q12=0,"",SER_hh_tes_in!Q12/SER_hh_fec_in!Q12)</f>
        <v>0.82548812710267661</v>
      </c>
      <c r="R12" s="136">
        <f>IF(SER_hh_tes_in!R12=0,"",SER_hh_tes_in!R12/SER_hh_fec_in!R12)</f>
        <v>0.83079526861225528</v>
      </c>
      <c r="S12" s="136">
        <f>IF(SER_hh_tes_in!S12=0,"",SER_hh_tes_in!S12/SER_hh_fec_in!S12)</f>
        <v>0.83595823011522674</v>
      </c>
      <c r="T12" s="136">
        <f>IF(SER_hh_tes_in!T12=0,"",SER_hh_tes_in!T12/SER_hh_fec_in!T12)</f>
        <v>0.84094251491657956</v>
      </c>
      <c r="U12" s="136">
        <f>IF(SER_hh_tes_in!U12=0,"",SER_hh_tes_in!U12/SER_hh_fec_in!U12)</f>
        <v>0.84571362632131875</v>
      </c>
      <c r="V12" s="136">
        <f>IF(SER_hh_tes_in!V12=0,"",SER_hh_tes_in!V12/SER_hh_fec_in!V12)</f>
        <v>0.85023706763444273</v>
      </c>
      <c r="W12" s="136">
        <f>IF(SER_hh_tes_in!W12=0,"",SER_hh_tes_in!W12/SER_hh_fec_in!W12)</f>
        <v>0.8544040289552568</v>
      </c>
      <c r="X12" s="136">
        <f>IF(SER_hh_tes_in!X12=0,"",SER_hh_tes_in!X12/SER_hh_fec_in!X12)</f>
        <v>0.85895181155045131</v>
      </c>
      <c r="Y12" s="136">
        <f>IF(SER_hh_tes_in!Y12=0,"",SER_hh_tes_in!Y12/SER_hh_fec_in!Y12)</f>
        <v>0.86332198267455673</v>
      </c>
      <c r="DA12" s="163" t="s">
        <v>671</v>
      </c>
    </row>
    <row r="13" spans="1:105" ht="12" customHeight="1" x14ac:dyDescent="0.25">
      <c r="A13" s="131" t="s">
        <v>77</v>
      </c>
      <c r="B13" s="136"/>
      <c r="C13" s="136">
        <f>IF(SER_hh_tes_in!C13=0,"",SER_hh_tes_in!C13/SER_hh_fec_in!C13)</f>
        <v>1.5299057895909431</v>
      </c>
      <c r="D13" s="136">
        <f>IF(SER_hh_tes_in!D13=0,"",SER_hh_tes_in!D13/SER_hh_fec_in!D13)</f>
        <v>1.6312803544224972</v>
      </c>
      <c r="E13" s="136">
        <f>IF(SER_hh_tes_in!E13=0,"",SER_hh_tes_in!E13/SER_hh_fec_in!E13)</f>
        <v>1.7343616936375921</v>
      </c>
      <c r="F13" s="136">
        <f>IF(SER_hh_tes_in!F13=0,"",SER_hh_tes_in!F13/SER_hh_fec_in!F13)</f>
        <v>1.8381560267352308</v>
      </c>
      <c r="G13" s="136">
        <f>IF(SER_hh_tes_in!G13=0,"",SER_hh_tes_in!G13/SER_hh_fec_in!G13)</f>
        <v>1.9435688149744923</v>
      </c>
      <c r="H13" s="136">
        <f>IF(SER_hh_tes_in!H13=0,"",SER_hh_tes_in!H13/SER_hh_fec_in!H13)</f>
        <v>2.0504911326160742</v>
      </c>
      <c r="I13" s="136">
        <f>IF(SER_hh_tes_in!I13=0,"",SER_hh_tes_in!I13/SER_hh_fec_in!I13)</f>
        <v>2.1591480657386994</v>
      </c>
      <c r="J13" s="136">
        <f>IF(SER_hh_tes_in!J13=0,"",SER_hh_tes_in!J13/SER_hh_fec_in!J13)</f>
        <v>2.2704573235856582</v>
      </c>
      <c r="K13" s="136">
        <f>IF(SER_hh_tes_in!K13=0,"",SER_hh_tes_in!K13/SER_hh_fec_in!K13)</f>
        <v>2.3852020384181936</v>
      </c>
      <c r="L13" s="136">
        <f>IF(SER_hh_tes_in!L13=0,"",SER_hh_tes_in!L13/SER_hh_fec_in!L13)</f>
        <v>2.5035968971699467</v>
      </c>
      <c r="M13" s="136">
        <f>IF(SER_hh_tes_in!M13=0,"",SER_hh_tes_in!M13/SER_hh_fec_in!M13)</f>
        <v>2.6483693047447261</v>
      </c>
      <c r="N13" s="136">
        <f>IF(SER_hh_tes_in!N13=0,"",SER_hh_tes_in!N13/SER_hh_fec_in!N13)</f>
        <v>2.8273565638184035</v>
      </c>
      <c r="O13" s="136">
        <f>IF(SER_hh_tes_in!O13=0,"",SER_hh_tes_in!O13/SER_hh_fec_in!O13)</f>
        <v>3.043251209497714</v>
      </c>
      <c r="P13" s="136">
        <f>IF(SER_hh_tes_in!P13=0,"",SER_hh_tes_in!P13/SER_hh_fec_in!P13)</f>
        <v>3.2742842494381108</v>
      </c>
      <c r="Q13" s="136">
        <f>IF(SER_hh_tes_in!Q13=0,"",SER_hh_tes_in!Q13/SER_hh_fec_in!Q13)</f>
        <v>3.4539512569367332</v>
      </c>
      <c r="R13" s="136">
        <f>IF(SER_hh_tes_in!R13=0,"",SER_hh_tes_in!R13/SER_hh_fec_in!R13)</f>
        <v>3.6165794819234685</v>
      </c>
      <c r="S13" s="136">
        <f>IF(SER_hh_tes_in!S13=0,"",SER_hh_tes_in!S13/SER_hh_fec_in!S13)</f>
        <v>3.7219032550926094</v>
      </c>
      <c r="T13" s="136">
        <f>IF(SER_hh_tes_in!T13=0,"",SER_hh_tes_in!T13/SER_hh_fec_in!T13)</f>
        <v>3.7875597478514549</v>
      </c>
      <c r="U13" s="136">
        <f>IF(SER_hh_tes_in!U13=0,"",SER_hh_tes_in!U13/SER_hh_fec_in!U13)</f>
        <v>3.831727914343098</v>
      </c>
      <c r="V13" s="136">
        <f>IF(SER_hh_tes_in!V13=0,"",SER_hh_tes_in!V13/SER_hh_fec_in!V13)</f>
        <v>3.8723590727982105</v>
      </c>
      <c r="W13" s="136">
        <f>IF(SER_hh_tes_in!W13=0,"",SER_hh_tes_in!W13/SER_hh_fec_in!W13)</f>
        <v>3.9130137618405079</v>
      </c>
      <c r="X13" s="136">
        <f>IF(SER_hh_tes_in!X13=0,"",SER_hh_tes_in!X13/SER_hh_fec_in!X13)</f>
        <v>3.9470841360951052</v>
      </c>
      <c r="Y13" s="136">
        <f>IF(SER_hh_tes_in!Y13=0,"",SER_hh_tes_in!Y13/SER_hh_fec_in!Y13)</f>
        <v>3.9763066678002068</v>
      </c>
      <c r="DA13" s="163" t="s">
        <v>672</v>
      </c>
    </row>
    <row r="14" spans="1:105" ht="12" customHeight="1" x14ac:dyDescent="0.25">
      <c r="A14" s="60" t="s">
        <v>76</v>
      </c>
      <c r="B14" s="137"/>
      <c r="C14" s="137">
        <f>IF(SER_hh_tes_in!C14=0,"",SER_hh_tes_in!C14/SER_hh_fec_in!C14)</f>
        <v>0.70404761476164746</v>
      </c>
      <c r="D14" s="137">
        <f>IF(SER_hh_tes_in!D14=0,"",SER_hh_tes_in!D14/SER_hh_fec_in!D14)</f>
        <v>0.70744592116159311</v>
      </c>
      <c r="E14" s="137">
        <f>IF(SER_hh_tes_in!E14=0,"",SER_hh_tes_in!E14/SER_hh_fec_in!E14)</f>
        <v>0.71083476217283204</v>
      </c>
      <c r="F14" s="137" t="str">
        <f>IF(SER_hh_tes_in!F14=0,"",SER_hh_tes_in!F14/SER_hh_fec_in!F14)</f>
        <v/>
      </c>
      <c r="G14" s="137">
        <f>IF(SER_hh_tes_in!G14=0,"",SER_hh_tes_in!G14/SER_hh_fec_in!G14)</f>
        <v>0.71760049200917597</v>
      </c>
      <c r="H14" s="137">
        <f>IF(SER_hh_tes_in!H14=0,"",SER_hh_tes_in!H14/SER_hh_fec_in!H14)</f>
        <v>0.72097118529572157</v>
      </c>
      <c r="I14" s="137">
        <f>IF(SER_hh_tes_in!I14=0,"",SER_hh_tes_in!I14/SER_hh_fec_in!I14)</f>
        <v>0.7243323444130727</v>
      </c>
      <c r="J14" s="137">
        <f>IF(SER_hh_tes_in!J14=0,"",SER_hh_tes_in!J14/SER_hh_fec_in!J14)</f>
        <v>0.72767686908958362</v>
      </c>
      <c r="K14" s="137">
        <f>IF(SER_hh_tes_in!K14=0,"",SER_hh_tes_in!K14/SER_hh_fec_in!K14)</f>
        <v>0.73099876892876892</v>
      </c>
      <c r="L14" s="137">
        <f>IF(SER_hh_tes_in!L14=0,"",SER_hh_tes_in!L14/SER_hh_fec_in!L14)</f>
        <v>0.73429652860025074</v>
      </c>
      <c r="M14" s="137">
        <f>IF(SER_hh_tes_in!M14=0,"",SER_hh_tes_in!M14/SER_hh_fec_in!M14)</f>
        <v>0.73696343155740907</v>
      </c>
      <c r="N14" s="137">
        <f>IF(SER_hh_tes_in!N14=0,"",SER_hh_tes_in!N14/SER_hh_fec_in!N14)</f>
        <v>0.73878026838174304</v>
      </c>
      <c r="O14" s="137">
        <f>IF(SER_hh_tes_in!O14=0,"",SER_hh_tes_in!O14/SER_hh_fec_in!O14)</f>
        <v>0.74003693063702158</v>
      </c>
      <c r="P14" s="137">
        <f>IF(SER_hh_tes_in!P14=0,"",SER_hh_tes_in!P14/SER_hh_fec_in!P14)</f>
        <v>0.74200498257669356</v>
      </c>
      <c r="Q14" s="137">
        <f>IF(SER_hh_tes_in!Q14=0,"",SER_hh_tes_in!Q14/SER_hh_fec_in!Q14)</f>
        <v>0.74813838744073224</v>
      </c>
      <c r="R14" s="137">
        <f>IF(SER_hh_tes_in!R14=0,"",SER_hh_tes_in!R14/SER_hh_fec_in!R14)</f>
        <v>0.76250349782067539</v>
      </c>
      <c r="S14" s="137">
        <f>IF(SER_hh_tes_in!S14=0,"",SER_hh_tes_in!S14/SER_hh_fec_in!S14)</f>
        <v>0.78185607171661176</v>
      </c>
      <c r="T14" s="137">
        <f>IF(SER_hh_tes_in!T14=0,"",SER_hh_tes_in!T14/SER_hh_fec_in!T14)</f>
        <v>0.80353684447146079</v>
      </c>
      <c r="U14" s="137">
        <f>IF(SER_hh_tes_in!U14=0,"",SER_hh_tes_in!U14/SER_hh_fec_in!U14)</f>
        <v>0.82491095288794891</v>
      </c>
      <c r="V14" s="137">
        <f>IF(SER_hh_tes_in!V14=0,"",SER_hh_tes_in!V14/SER_hh_fec_in!V14)</f>
        <v>0.84334093940866062</v>
      </c>
      <c r="W14" s="137">
        <f>IF(SER_hh_tes_in!W14=0,"",SER_hh_tes_in!W14/SER_hh_fec_in!W14)</f>
        <v>0.85830515981591082</v>
      </c>
      <c r="X14" s="137">
        <f>IF(SER_hh_tes_in!X14=0,"",SER_hh_tes_in!X14/SER_hh_fec_in!X14)</f>
        <v>0.8725272081472476</v>
      </c>
      <c r="Y14" s="137">
        <f>IF(SER_hh_tes_in!Y14=0,"",SER_hh_tes_in!Y14/SER_hh_fec_in!Y14)</f>
        <v>0.8859418388245609</v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2.2626531031661599</v>
      </c>
      <c r="D16" s="135">
        <f>IF(SER_hh_tes_in!D16=0,"",SER_hh_tes_in!D16/SER_hh_fec_in!D16)</f>
        <v>2.3549558276972125</v>
      </c>
      <c r="E16" s="135">
        <f>IF(SER_hh_tes_in!E16=0,"",SER_hh_tes_in!E16/SER_hh_fec_in!E16)</f>
        <v>2.4486578061345732</v>
      </c>
      <c r="F16" s="135">
        <f>IF(SER_hh_tes_in!F16=0,"",SER_hh_tes_in!F16/SER_hh_fec_in!F16)</f>
        <v>2.5431263730867406</v>
      </c>
      <c r="G16" s="135">
        <f>IF(SER_hh_tes_in!G16=0,"",SER_hh_tes_in!G16/SER_hh_fec_in!G16)</f>
        <v>2.6272076317913715</v>
      </c>
      <c r="H16" s="135">
        <f>IF(SER_hh_tes_in!H16=0,"",SER_hh_tes_in!H16/SER_hh_fec_in!H16)</f>
        <v>2.7330836015221229</v>
      </c>
      <c r="I16" s="135">
        <f>IF(SER_hh_tes_in!I16=0,"",SER_hh_tes_in!I16/SER_hh_fec_in!I16)</f>
        <v>2.8279491112942603</v>
      </c>
      <c r="J16" s="135">
        <f>IF(SER_hh_tes_in!J16=0,"",SER_hh_tes_in!J16/SER_hh_fec_in!J16)</f>
        <v>2.9329972093045695</v>
      </c>
      <c r="K16" s="135">
        <f>IF(SER_hh_tes_in!K16=0,"",SER_hh_tes_in!K16/SER_hh_fec_in!K16)</f>
        <v>3.0242237072089728</v>
      </c>
      <c r="L16" s="135">
        <f>IF(SER_hh_tes_in!L16=0,"",SER_hh_tes_in!L16/SER_hh_fec_in!L16)</f>
        <v>3.1401512067638904</v>
      </c>
      <c r="M16" s="135">
        <f>IF(SER_hh_tes_in!M16=0,"",SER_hh_tes_in!M16/SER_hh_fec_in!M16)</f>
        <v>3.257047531876712</v>
      </c>
      <c r="N16" s="135">
        <f>IF(SER_hh_tes_in!N16=0,"",SER_hh_tes_in!N16/SER_hh_fec_in!N16)</f>
        <v>3.3952222501229978</v>
      </c>
      <c r="O16" s="135">
        <f>IF(SER_hh_tes_in!O16=0,"",SER_hh_tes_in!O16/SER_hh_fec_in!O16)</f>
        <v>3.5408430691723929</v>
      </c>
      <c r="P16" s="135">
        <f>IF(SER_hh_tes_in!P16=0,"",SER_hh_tes_in!P16/SER_hh_fec_in!P16)</f>
        <v>3.6814358018232869</v>
      </c>
      <c r="Q16" s="135">
        <f>IF(SER_hh_tes_in!Q16=0,"",SER_hh_tes_in!Q16/SER_hh_fec_in!Q16)</f>
        <v>3.7834758942240003</v>
      </c>
      <c r="R16" s="135">
        <f>IF(SER_hh_tes_in!R16=0,"",SER_hh_tes_in!R16/SER_hh_fec_in!R16)</f>
        <v>3.9236365346096562</v>
      </c>
      <c r="S16" s="135">
        <f>IF(SER_hh_tes_in!S16=0,"",SER_hh_tes_in!S16/SER_hh_fec_in!S16)</f>
        <v>3.9713996319467868</v>
      </c>
      <c r="T16" s="135">
        <f>IF(SER_hh_tes_in!T16=0,"",SER_hh_tes_in!T16/SER_hh_fec_in!T16)</f>
        <v>4.0125440523140457</v>
      </c>
      <c r="U16" s="135">
        <f>IF(SER_hh_tes_in!U16=0,"",SER_hh_tes_in!U16/SER_hh_fec_in!U16)</f>
        <v>4.0487376893717073</v>
      </c>
      <c r="V16" s="135">
        <f>IF(SER_hh_tes_in!V16=0,"",SER_hh_tes_in!V16/SER_hh_fec_in!V16)</f>
        <v>4.0484772709689505</v>
      </c>
      <c r="W16" s="135">
        <f>IF(SER_hh_tes_in!W16=0,"",SER_hh_tes_in!W16/SER_hh_fec_in!W16)</f>
        <v>4.095050880173031</v>
      </c>
      <c r="X16" s="135">
        <f>IF(SER_hh_tes_in!X16=0,"",SER_hh_tes_in!X16/SER_hh_fec_in!X16)</f>
        <v>4.1245563907614518</v>
      </c>
      <c r="Y16" s="135">
        <f>IF(SER_hh_tes_in!Y16=0,"",SER_hh_tes_in!Y16/SER_hh_fec_in!Y16)</f>
        <v>4.1230540899680328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 t="str">
        <f>IF(SER_hh_tes_in!C17=0,"",SER_hh_tes_in!C17/SER_hh_fec_in!C17)</f>
        <v/>
      </c>
      <c r="D17" s="136" t="str">
        <f>IF(SER_hh_tes_in!D17=0,"",SER_hh_tes_in!D17/SER_hh_fec_in!D17)</f>
        <v/>
      </c>
      <c r="E17" s="136" t="str">
        <f>IF(SER_hh_tes_in!E17=0,"",SER_hh_tes_in!E17/SER_hh_fec_in!E17)</f>
        <v/>
      </c>
      <c r="F17" s="136" t="str">
        <f>IF(SER_hh_tes_in!F17=0,"",SER_hh_tes_in!F17/SER_hh_fec_in!F17)</f>
        <v/>
      </c>
      <c r="G17" s="136">
        <f>IF(SER_hh_tes_in!G17=0,"",SER_hh_tes_in!G17/SER_hh_fec_in!G17)</f>
        <v>1.2332314823959534</v>
      </c>
      <c r="H17" s="136">
        <f>IF(SER_hh_tes_in!H17=0,"",SER_hh_tes_in!H17/SER_hh_fec_in!H17)</f>
        <v>1.249937008496701</v>
      </c>
      <c r="I17" s="136">
        <f>IF(SER_hh_tes_in!I17=0,"",SER_hh_tes_in!I17/SER_hh_fec_in!I17)</f>
        <v>1.2664557778671199</v>
      </c>
      <c r="J17" s="136">
        <f>IF(SER_hh_tes_in!J17=0,"",SER_hh_tes_in!J17/SER_hh_fec_in!J17)</f>
        <v>1.2829192176308688</v>
      </c>
      <c r="K17" s="136">
        <f>IF(SER_hh_tes_in!K17=0,"",SER_hh_tes_in!K17/SER_hh_fec_in!K17)</f>
        <v>1.2994325685051991</v>
      </c>
      <c r="L17" s="136">
        <f>IF(SER_hh_tes_in!L17=0,"",SER_hh_tes_in!L17/SER_hh_fec_in!L17)</f>
        <v>1.3160223375761826</v>
      </c>
      <c r="M17" s="136">
        <f>IF(SER_hh_tes_in!M17=0,"",SER_hh_tes_in!M17/SER_hh_fec_in!M17)</f>
        <v>1.3353572302111671</v>
      </c>
      <c r="N17" s="136">
        <f>IF(SER_hh_tes_in!N17=0,"",SER_hh_tes_in!N17/SER_hh_fec_in!N17)</f>
        <v>1.3574289853709853</v>
      </c>
      <c r="O17" s="136">
        <f>IF(SER_hh_tes_in!O17=0,"",SER_hh_tes_in!O17/SER_hh_fec_in!O17)</f>
        <v>1.3817845568222169</v>
      </c>
      <c r="P17" s="136">
        <f>IF(SER_hh_tes_in!P17=0,"",SER_hh_tes_in!P17/SER_hh_fec_in!P17)</f>
        <v>1.4059123407496961</v>
      </c>
      <c r="Q17" s="136">
        <f>IF(SER_hh_tes_in!Q17=0,"",SER_hh_tes_in!Q17/SER_hh_fec_in!Q17)</f>
        <v>1.4241429005578337</v>
      </c>
      <c r="R17" s="136">
        <f>IF(SER_hh_tes_in!R17=0,"",SER_hh_tes_in!R17/SER_hh_fec_in!R17)</f>
        <v>1.4473207983276575</v>
      </c>
      <c r="S17" s="136">
        <f>IF(SER_hh_tes_in!S17=0,"",SER_hh_tes_in!S17/SER_hh_fec_in!S17)</f>
        <v>1.4762736350003494</v>
      </c>
      <c r="T17" s="136">
        <f>IF(SER_hh_tes_in!T17=0,"",SER_hh_tes_in!T17/SER_hh_fec_in!T17)</f>
        <v>1.5071349165315862</v>
      </c>
      <c r="U17" s="136">
        <f>IF(SER_hh_tes_in!U17=0,"",SER_hh_tes_in!U17/SER_hh_fec_in!U17)</f>
        <v>1.5353570811095156</v>
      </c>
      <c r="V17" s="136">
        <f>IF(SER_hh_tes_in!V17=0,"",SER_hh_tes_in!V17/SER_hh_fec_in!V17)</f>
        <v>1.5608785365127018</v>
      </c>
      <c r="W17" s="136">
        <f>IF(SER_hh_tes_in!W17=0,"",SER_hh_tes_in!W17/SER_hh_fec_in!W17)</f>
        <v>1.580420325006658</v>
      </c>
      <c r="X17" s="136">
        <f>IF(SER_hh_tes_in!X17=0,"",SER_hh_tes_in!X17/SER_hh_fec_in!X17)</f>
        <v>1.5880026395573377</v>
      </c>
      <c r="Y17" s="136">
        <f>IF(SER_hh_tes_in!Y17=0,"",SER_hh_tes_in!Y17/SER_hh_fec_in!Y17)</f>
        <v>1.5892352808384922</v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2.2626531031661599</v>
      </c>
      <c r="D18" s="136">
        <f>IF(SER_hh_tes_in!D18=0,"",SER_hh_tes_in!D18/SER_hh_fec_in!D18)</f>
        <v>2.3549558276972125</v>
      </c>
      <c r="E18" s="136">
        <f>IF(SER_hh_tes_in!E18=0,"",SER_hh_tes_in!E18/SER_hh_fec_in!E18)</f>
        <v>2.4486578061345732</v>
      </c>
      <c r="F18" s="136">
        <f>IF(SER_hh_tes_in!F18=0,"",SER_hh_tes_in!F18/SER_hh_fec_in!F18)</f>
        <v>2.5431263730867406</v>
      </c>
      <c r="G18" s="136">
        <f>IF(SER_hh_tes_in!G18=0,"",SER_hh_tes_in!G18/SER_hh_fec_in!G18)</f>
        <v>2.6389061290971885</v>
      </c>
      <c r="H18" s="136">
        <f>IF(SER_hh_tes_in!H18=0,"",SER_hh_tes_in!H18/SER_hh_fec_in!H18)</f>
        <v>2.73590979814393</v>
      </c>
      <c r="I18" s="136">
        <f>IF(SER_hh_tes_in!I18=0,"",SER_hh_tes_in!I18/SER_hh_fec_in!I18)</f>
        <v>2.8342508249035716</v>
      </c>
      <c r="J18" s="136">
        <f>IF(SER_hh_tes_in!J18=0,"",SER_hh_tes_in!J18/SER_hh_fec_in!J18)</f>
        <v>2.9344420036072725</v>
      </c>
      <c r="K18" s="136">
        <f>IF(SER_hh_tes_in!K18=0,"",SER_hh_tes_in!K18/SER_hh_fec_in!K18)</f>
        <v>3.0368896555396088</v>
      </c>
      <c r="L18" s="136">
        <f>IF(SER_hh_tes_in!L18=0,"",SER_hh_tes_in!L18/SER_hh_fec_in!L18)</f>
        <v>3.1416473018295457</v>
      </c>
      <c r="M18" s="136">
        <f>IF(SER_hh_tes_in!M18=0,"",SER_hh_tes_in!M18/SER_hh_fec_in!M18)</f>
        <v>3.2616834725791262</v>
      </c>
      <c r="N18" s="136">
        <f>IF(SER_hh_tes_in!N18=0,"",SER_hh_tes_in!N18/SER_hh_fec_in!N18)</f>
        <v>3.4008522470301958</v>
      </c>
      <c r="O18" s="136">
        <f>IF(SER_hh_tes_in!O18=0,"",SER_hh_tes_in!O18/SER_hh_fec_in!O18)</f>
        <v>3.5589082726345644</v>
      </c>
      <c r="P18" s="136">
        <f>IF(SER_hh_tes_in!P18=0,"",SER_hh_tes_in!P18/SER_hh_fec_in!P18)</f>
        <v>3.7204756713102047</v>
      </c>
      <c r="Q18" s="136">
        <f>IF(SER_hh_tes_in!Q18=0,"",SER_hh_tes_in!Q18/SER_hh_fec_in!Q18)</f>
        <v>3.8444846987407901</v>
      </c>
      <c r="R18" s="136">
        <f>IF(SER_hh_tes_in!R18=0,"",SER_hh_tes_in!R18/SER_hh_fec_in!R18)</f>
        <v>3.9610248203486802</v>
      </c>
      <c r="S18" s="136">
        <f>IF(SER_hh_tes_in!S18=0,"",SER_hh_tes_in!S18/SER_hh_fec_in!S18)</f>
        <v>4.0213395299967338</v>
      </c>
      <c r="T18" s="136">
        <f>IF(SER_hh_tes_in!T18=0,"",SER_hh_tes_in!T18/SER_hh_fec_in!T18)</f>
        <v>4.0600737213640912</v>
      </c>
      <c r="U18" s="136">
        <f>IF(SER_hh_tes_in!U18=0,"",SER_hh_tes_in!U18/SER_hh_fec_in!U18)</f>
        <v>4.087499987452337</v>
      </c>
      <c r="V18" s="136">
        <f>IF(SER_hh_tes_in!V18=0,"",SER_hh_tes_in!V18/SER_hh_fec_in!V18)</f>
        <v>4.1142400231440588</v>
      </c>
      <c r="W18" s="136">
        <f>IF(SER_hh_tes_in!W18=0,"",SER_hh_tes_in!W18/SER_hh_fec_in!W18)</f>
        <v>4.140376358656944</v>
      </c>
      <c r="X18" s="136">
        <f>IF(SER_hh_tes_in!X18=0,"",SER_hh_tes_in!X18/SER_hh_fec_in!X18)</f>
        <v>4.1609287216214241</v>
      </c>
      <c r="Y18" s="136">
        <f>IF(SER_hh_tes_in!Y18=0,"",SER_hh_tes_in!Y18/SER_hh_fec_in!Y18)</f>
        <v>4.1788090571427219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0.63171395124295104</v>
      </c>
      <c r="D19" s="135">
        <f>IF(SER_hh_tes_in!D19=0,"",SER_hh_tes_in!D19/SER_hh_fec_in!D19)</f>
        <v>0.63051942693571406</v>
      </c>
      <c r="E19" s="135">
        <f>IF(SER_hh_tes_in!E19=0,"",SER_hh_tes_in!E19/SER_hh_fec_in!E19)</f>
        <v>0.66228835914668305</v>
      </c>
      <c r="F19" s="135">
        <f>IF(SER_hh_tes_in!F19=0,"",SER_hh_tes_in!F19/SER_hh_fec_in!F19)</f>
        <v>0.64610043978233977</v>
      </c>
      <c r="G19" s="135">
        <f>IF(SER_hh_tes_in!G19=0,"",SER_hh_tes_in!G19/SER_hh_fec_in!G19)</f>
        <v>0.64183132769976858</v>
      </c>
      <c r="H19" s="135">
        <f>IF(SER_hh_tes_in!H19=0,"",SER_hh_tes_in!H19/SER_hh_fec_in!H19)</f>
        <v>0.64508537103896668</v>
      </c>
      <c r="I19" s="135">
        <f>IF(SER_hh_tes_in!I19=0,"",SER_hh_tes_in!I19/SER_hh_fec_in!I19)</f>
        <v>0.64380201131682013</v>
      </c>
      <c r="J19" s="135">
        <f>IF(SER_hh_tes_in!J19=0,"",SER_hh_tes_in!J19/SER_hh_fec_in!J19)</f>
        <v>0.66256723694557007</v>
      </c>
      <c r="K19" s="135">
        <f>IF(SER_hh_tes_in!K19=0,"",SER_hh_tes_in!K19/SER_hh_fec_in!K19)</f>
        <v>0.69480528019579058</v>
      </c>
      <c r="L19" s="135">
        <f>IF(SER_hh_tes_in!L19=0,"",SER_hh_tes_in!L19/SER_hh_fec_in!L19)</f>
        <v>0.70472496423838682</v>
      </c>
      <c r="M19" s="135">
        <f>IF(SER_hh_tes_in!M19=0,"",SER_hh_tes_in!M19/SER_hh_fec_in!M19)</f>
        <v>0.71218574024174508</v>
      </c>
      <c r="N19" s="135">
        <f>IF(SER_hh_tes_in!N19=0,"",SER_hh_tes_in!N19/SER_hh_fec_in!N19)</f>
        <v>0.73774254433796971</v>
      </c>
      <c r="O19" s="135">
        <f>IF(SER_hh_tes_in!O19=0,"",SER_hh_tes_in!O19/SER_hh_fec_in!O19)</f>
        <v>0.74997940781320016</v>
      </c>
      <c r="P19" s="135">
        <f>IF(SER_hh_tes_in!P19=0,"",SER_hh_tes_in!P19/SER_hh_fec_in!P19)</f>
        <v>0.78309090741294562</v>
      </c>
      <c r="Q19" s="135">
        <f>IF(SER_hh_tes_in!Q19=0,"",SER_hh_tes_in!Q19/SER_hh_fec_in!Q19)</f>
        <v>0.77312211387383833</v>
      </c>
      <c r="R19" s="135">
        <f>IF(SER_hh_tes_in!R19=0,"",SER_hh_tes_in!R19/SER_hh_fec_in!R19)</f>
        <v>0.79715037275306344</v>
      </c>
      <c r="S19" s="135">
        <f>IF(SER_hh_tes_in!S19=0,"",SER_hh_tes_in!S19/SER_hh_fec_in!S19)</f>
        <v>0.80846340666917316</v>
      </c>
      <c r="T19" s="135">
        <f>IF(SER_hh_tes_in!T19=0,"",SER_hh_tes_in!T19/SER_hh_fec_in!T19)</f>
        <v>0.83005034336095695</v>
      </c>
      <c r="U19" s="135">
        <f>IF(SER_hh_tes_in!U19=0,"",SER_hh_tes_in!U19/SER_hh_fec_in!U19)</f>
        <v>0.83240987423348034</v>
      </c>
      <c r="V19" s="135">
        <f>IF(SER_hh_tes_in!V19=0,"",SER_hh_tes_in!V19/SER_hh_fec_in!V19)</f>
        <v>0.86139446551909504</v>
      </c>
      <c r="W19" s="135">
        <f>IF(SER_hh_tes_in!W19=0,"",SER_hh_tes_in!W19/SER_hh_fec_in!W19)</f>
        <v>0.85868059743831215</v>
      </c>
      <c r="X19" s="135">
        <f>IF(SER_hh_tes_in!X19=0,"",SER_hh_tes_in!X19/SER_hh_fec_in!X19)</f>
        <v>0.9006048225732175</v>
      </c>
      <c r="Y19" s="135">
        <f>IF(SER_hh_tes_in!Y19=0,"",SER_hh_tes_in!Y19/SER_hh_fec_in!Y19)</f>
        <v>0.90626864246479388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 t="str">
        <f>IF(SER_hh_tes_in!C20=0,"",SER_hh_tes_in!C20/SER_hh_fec_in!C20)</f>
        <v/>
      </c>
      <c r="D20" s="136" t="str">
        <f>IF(SER_hh_tes_in!D20=0,"",SER_hh_tes_in!D20/SER_hh_fec_in!D20)</f>
        <v/>
      </c>
      <c r="E20" s="136" t="str">
        <f>IF(SER_hh_tes_in!E20=0,"",SER_hh_tes_in!E20/SER_hh_fec_in!E20)</f>
        <v/>
      </c>
      <c r="F20" s="136" t="str">
        <f>IF(SER_hh_tes_in!F20=0,"",SER_hh_tes_in!F20/SER_hh_fec_in!F20)</f>
        <v/>
      </c>
      <c r="G20" s="136" t="str">
        <f>IF(SER_hh_tes_in!G20=0,"",SER_hh_tes_in!G20/SER_hh_fec_in!G20)</f>
        <v/>
      </c>
      <c r="H20" s="136" t="str">
        <f>IF(SER_hh_tes_in!H20=0,"",SER_hh_tes_in!H20/SER_hh_fec_in!H20)</f>
        <v/>
      </c>
      <c r="I20" s="136" t="str">
        <f>IF(SER_hh_tes_in!I20=0,"",SER_hh_tes_in!I20/SER_hh_fec_in!I20)</f>
        <v/>
      </c>
      <c r="J20" s="136" t="str">
        <f>IF(SER_hh_tes_in!J20=0,"",SER_hh_tes_in!J20/SER_hh_fec_in!J20)</f>
        <v/>
      </c>
      <c r="K20" s="136" t="str">
        <f>IF(SER_hh_tes_in!K20=0,"",SER_hh_tes_in!K20/SER_hh_fec_in!K20)</f>
        <v/>
      </c>
      <c r="L20" s="136" t="str">
        <f>IF(SER_hh_tes_in!L20=0,"",SER_hh_tes_in!L20/SER_hh_fec_in!L20)</f>
        <v/>
      </c>
      <c r="M20" s="136" t="str">
        <f>IF(SER_hh_tes_in!M20=0,"",SER_hh_tes_in!M20/SER_hh_fec_in!M20)</f>
        <v/>
      </c>
      <c r="N20" s="136" t="str">
        <f>IF(SER_hh_tes_in!N20=0,"",SER_hh_tes_in!N20/SER_hh_fec_in!N20)</f>
        <v/>
      </c>
      <c r="O20" s="136" t="str">
        <f>IF(SER_hh_tes_in!O20=0,"",SER_hh_tes_in!O20/SER_hh_fec_in!O20)</f>
        <v/>
      </c>
      <c r="P20" s="136" t="str">
        <f>IF(SER_hh_tes_in!P20=0,"",SER_hh_tes_in!P20/SER_hh_fec_in!P20)</f>
        <v/>
      </c>
      <c r="Q20" s="136" t="str">
        <f>IF(SER_hh_tes_in!Q20=0,"",SER_hh_tes_in!Q20/SER_hh_fec_in!Q20)</f>
        <v/>
      </c>
      <c r="R20" s="136" t="str">
        <f>IF(SER_hh_tes_in!R20=0,"",SER_hh_tes_in!R20/SER_hh_fec_in!R20)</f>
        <v/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 t="str">
        <f>IF(SER_hh_tes_in!U20=0,"",SER_hh_tes_in!U20/SER_hh_fec_in!U20)</f>
        <v/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 t="str">
        <f>IF(SER_hh_tes_in!C21=0,"",SER_hh_tes_in!C21/SER_hh_fec_in!C21)</f>
        <v/>
      </c>
      <c r="D21" s="136" t="str">
        <f>IF(SER_hh_tes_in!D21=0,"",SER_hh_tes_in!D21/SER_hh_fec_in!D21)</f>
        <v/>
      </c>
      <c r="E21" s="136" t="str">
        <f>IF(SER_hh_tes_in!E21=0,"",SER_hh_tes_in!E21/SER_hh_fec_in!E21)</f>
        <v/>
      </c>
      <c r="F21" s="136" t="str">
        <f>IF(SER_hh_tes_in!F21=0,"",SER_hh_tes_in!F21/SER_hh_fec_in!F21)</f>
        <v/>
      </c>
      <c r="G21" s="136" t="str">
        <f>IF(SER_hh_tes_in!G21=0,"",SER_hh_tes_in!G21/SER_hh_fec_in!G21)</f>
        <v/>
      </c>
      <c r="H21" s="136" t="str">
        <f>IF(SER_hh_tes_in!H21=0,"",SER_hh_tes_in!H21/SER_hh_fec_in!H21)</f>
        <v/>
      </c>
      <c r="I21" s="136" t="str">
        <f>IF(SER_hh_tes_in!I21=0,"",SER_hh_tes_in!I21/SER_hh_fec_in!I21)</f>
        <v/>
      </c>
      <c r="J21" s="136" t="str">
        <f>IF(SER_hh_tes_in!J21=0,"",SER_hh_tes_in!J21/SER_hh_fec_in!J21)</f>
        <v/>
      </c>
      <c r="K21" s="136" t="str">
        <f>IF(SER_hh_tes_in!K21=0,"",SER_hh_tes_in!K21/SER_hh_fec_in!K21)</f>
        <v/>
      </c>
      <c r="L21" s="136" t="str">
        <f>IF(SER_hh_tes_in!L21=0,"",SER_hh_tes_in!L21/SER_hh_fec_in!L21)</f>
        <v/>
      </c>
      <c r="M21" s="136" t="str">
        <f>IF(SER_hh_tes_in!M21=0,"",SER_hh_tes_in!M21/SER_hh_fec_in!M21)</f>
        <v/>
      </c>
      <c r="N21" s="136" t="str">
        <f>IF(SER_hh_tes_in!N21=0,"",SER_hh_tes_in!N21/SER_hh_fec_in!N21)</f>
        <v/>
      </c>
      <c r="O21" s="136" t="str">
        <f>IF(SER_hh_tes_in!O21=0,"",SER_hh_tes_in!O21/SER_hh_fec_in!O21)</f>
        <v/>
      </c>
      <c r="P21" s="136" t="str">
        <f>IF(SER_hh_tes_in!P21=0,"",SER_hh_tes_in!P21/SER_hh_fec_in!P21)</f>
        <v/>
      </c>
      <c r="Q21" s="136" t="str">
        <f>IF(SER_hh_tes_in!Q21=0,"",SER_hh_tes_in!Q21/SER_hh_fec_in!Q21)</f>
        <v/>
      </c>
      <c r="R21" s="136" t="str">
        <f>IF(SER_hh_tes_in!R21=0,"",SER_hh_tes_in!R21/SER_hh_fec_in!R21)</f>
        <v/>
      </c>
      <c r="S21" s="136" t="str">
        <f>IF(SER_hh_tes_in!S21=0,"",SER_hh_tes_in!S21/SER_hh_fec_in!S21)</f>
        <v/>
      </c>
      <c r="T21" s="136" t="str">
        <f>IF(SER_hh_tes_in!T21=0,"",SER_hh_tes_in!T21/SER_hh_fec_in!T21)</f>
        <v/>
      </c>
      <c r="U21" s="136" t="str">
        <f>IF(SER_hh_tes_in!U21=0,"",SER_hh_tes_in!U21/SER_hh_fec_in!U21)</f>
        <v/>
      </c>
      <c r="V21" s="136" t="str">
        <f>IF(SER_hh_tes_in!V21=0,"",SER_hh_tes_in!V21/SER_hh_fec_in!V21)</f>
        <v/>
      </c>
      <c r="W21" s="136" t="str">
        <f>IF(SER_hh_tes_in!W21=0,"",SER_hh_tes_in!W21/SER_hh_fec_in!W21)</f>
        <v/>
      </c>
      <c r="X21" s="136" t="str">
        <f>IF(SER_hh_tes_in!X21=0,"",SER_hh_tes_in!X21/SER_hh_fec_in!X21)</f>
        <v/>
      </c>
      <c r="Y21" s="136" t="str">
        <f>IF(SER_hh_tes_in!Y21=0,"",SER_hh_tes_in!Y21/SER_hh_fec_in!Y21)</f>
        <v/>
      </c>
      <c r="DA21" s="163" t="s">
        <v>680</v>
      </c>
    </row>
    <row r="22" spans="1:105" ht="12" customHeight="1" x14ac:dyDescent="0.25">
      <c r="A22" s="131" t="s">
        <v>161</v>
      </c>
      <c r="B22" s="136"/>
      <c r="C22" s="136" t="str">
        <f>IF(SER_hh_tes_in!C22=0,"",SER_hh_tes_in!C22/SER_hh_fec_in!C22)</f>
        <v/>
      </c>
      <c r="D22" s="136" t="str">
        <f>IF(SER_hh_tes_in!D22=0,"",SER_hh_tes_in!D22/SER_hh_fec_in!D22)</f>
        <v/>
      </c>
      <c r="E22" s="136" t="str">
        <f>IF(SER_hh_tes_in!E22=0,"",SER_hh_tes_in!E22/SER_hh_fec_in!E22)</f>
        <v/>
      </c>
      <c r="F22" s="136" t="str">
        <f>IF(SER_hh_tes_in!F22=0,"",SER_hh_tes_in!F22/SER_hh_fec_in!F22)</f>
        <v/>
      </c>
      <c r="G22" s="136" t="str">
        <f>IF(SER_hh_tes_in!G22=0,"",SER_hh_tes_in!G22/SER_hh_fec_in!G22)</f>
        <v/>
      </c>
      <c r="H22" s="136" t="str">
        <f>IF(SER_hh_tes_in!H22=0,"",SER_hh_tes_in!H22/SER_hh_fec_in!H22)</f>
        <v/>
      </c>
      <c r="I22" s="136" t="str">
        <f>IF(SER_hh_tes_in!I22=0,"",SER_hh_tes_in!I22/SER_hh_fec_in!I22)</f>
        <v/>
      </c>
      <c r="J22" s="136" t="str">
        <f>IF(SER_hh_tes_in!J22=0,"",SER_hh_tes_in!J22/SER_hh_fec_in!J22)</f>
        <v/>
      </c>
      <c r="K22" s="136" t="str">
        <f>IF(SER_hh_tes_in!K22=0,"",SER_hh_tes_in!K22/SER_hh_fec_in!K22)</f>
        <v/>
      </c>
      <c r="L22" s="136" t="str">
        <f>IF(SER_hh_tes_in!L22=0,"",SER_hh_tes_in!L22/SER_hh_fec_in!L22)</f>
        <v/>
      </c>
      <c r="M22" s="136" t="str">
        <f>IF(SER_hh_tes_in!M22=0,"",SER_hh_tes_in!M22/SER_hh_fec_in!M22)</f>
        <v/>
      </c>
      <c r="N22" s="136" t="str">
        <f>IF(SER_hh_tes_in!N22=0,"",SER_hh_tes_in!N22/SER_hh_fec_in!N22)</f>
        <v/>
      </c>
      <c r="O22" s="136" t="str">
        <f>IF(SER_hh_tes_in!O22=0,"",SER_hh_tes_in!O22/SER_hh_fec_in!O22)</f>
        <v/>
      </c>
      <c r="P22" s="136" t="str">
        <f>IF(SER_hh_tes_in!P22=0,"",SER_hh_tes_in!P22/SER_hh_fec_in!P22)</f>
        <v/>
      </c>
      <c r="Q22" s="136" t="str">
        <f>IF(SER_hh_tes_in!Q22=0,"",SER_hh_tes_in!Q22/SER_hh_fec_in!Q22)</f>
        <v/>
      </c>
      <c r="R22" s="136" t="str">
        <f>IF(SER_hh_tes_in!R22=0,"",SER_hh_tes_in!R22/SER_hh_fec_in!R22)</f>
        <v/>
      </c>
      <c r="S22" s="136" t="str">
        <f>IF(SER_hh_tes_in!S22=0,"",SER_hh_tes_in!S22/SER_hh_fec_in!S22)</f>
        <v/>
      </c>
      <c r="T22" s="136" t="str">
        <f>IF(SER_hh_tes_in!T22=0,"",SER_hh_tes_in!T22/SER_hh_fec_in!T22)</f>
        <v/>
      </c>
      <c r="U22" s="136" t="str">
        <f>IF(SER_hh_tes_in!U22=0,"",SER_hh_tes_in!U22/SER_hh_fec_in!U22)</f>
        <v/>
      </c>
      <c r="V22" s="136" t="str">
        <f>IF(SER_hh_tes_in!V22=0,"",SER_hh_tes_in!V22/SER_hh_fec_in!V22)</f>
        <v/>
      </c>
      <c r="W22" s="136" t="str">
        <f>IF(SER_hh_tes_in!W22=0,"",SER_hh_tes_in!W22/SER_hh_fec_in!W22)</f>
        <v/>
      </c>
      <c r="X22" s="136" t="str">
        <f>IF(SER_hh_tes_in!X22=0,"",SER_hh_tes_in!X22/SER_hh_fec_in!X22)</f>
        <v/>
      </c>
      <c r="Y22" s="136" t="str">
        <f>IF(SER_hh_tes_in!Y22=0,"",SER_hh_tes_in!Y22/SER_hh_fec_in!Y22)</f>
        <v/>
      </c>
      <c r="DA22" s="163" t="s">
        <v>681</v>
      </c>
    </row>
    <row r="23" spans="1:105" ht="12" customHeight="1" x14ac:dyDescent="0.25">
      <c r="A23" s="131" t="s">
        <v>149</v>
      </c>
      <c r="B23" s="136"/>
      <c r="C23" s="136">
        <f>IF(SER_hh_tes_in!C23=0,"",SER_hh_tes_in!C23/SER_hh_fec_in!C23)</f>
        <v>0.55403907479702263</v>
      </c>
      <c r="D23" s="136">
        <f>IF(SER_hh_tes_in!D23=0,"",SER_hh_tes_in!D23/SER_hh_fec_in!D23)</f>
        <v>0.56015565076750273</v>
      </c>
      <c r="E23" s="136">
        <f>IF(SER_hh_tes_in!E23=0,"",SER_hh_tes_in!E23/SER_hh_fec_in!E23)</f>
        <v>0.56654927162490398</v>
      </c>
      <c r="F23" s="136">
        <f>IF(SER_hh_tes_in!F23=0,"",SER_hh_tes_in!F23/SER_hh_fec_in!F23)</f>
        <v>0.57299215018590166</v>
      </c>
      <c r="G23" s="136">
        <f>IF(SER_hh_tes_in!G23=0,"",SER_hh_tes_in!G23/SER_hh_fec_in!G23)</f>
        <v>0.5796881901036518</v>
      </c>
      <c r="H23" s="136">
        <f>IF(SER_hh_tes_in!H23=0,"",SER_hh_tes_in!H23/SER_hh_fec_in!H23)</f>
        <v>0.58661032009580871</v>
      </c>
      <c r="I23" s="136">
        <f>IF(SER_hh_tes_in!I23=0,"",SER_hh_tes_in!I23/SER_hh_fec_in!I23)</f>
        <v>0.5938066154677113</v>
      </c>
      <c r="J23" s="136">
        <f>IF(SER_hh_tes_in!J23=0,"",SER_hh_tes_in!J23/SER_hh_fec_in!J23)</f>
        <v>0.60147892667130431</v>
      </c>
      <c r="K23" s="136">
        <f>IF(SER_hh_tes_in!K23=0,"",SER_hh_tes_in!K23/SER_hh_fec_in!K23)</f>
        <v>0.60979603744625377</v>
      </c>
      <c r="L23" s="136">
        <f>IF(SER_hh_tes_in!L23=0,"",SER_hh_tes_in!L23/SER_hh_fec_in!L23)</f>
        <v>0.61879805027591028</v>
      </c>
      <c r="M23" s="136">
        <f>IF(SER_hh_tes_in!M23=0,"",SER_hh_tes_in!M23/SER_hh_fec_in!M23)</f>
        <v>0.63268656152846259</v>
      </c>
      <c r="N23" s="136">
        <f>IF(SER_hh_tes_in!N23=0,"",SER_hh_tes_in!N23/SER_hh_fec_in!N23)</f>
        <v>0.65275887591971293</v>
      </c>
      <c r="O23" s="136">
        <f>IF(SER_hh_tes_in!O23=0,"",SER_hh_tes_in!O23/SER_hh_fec_in!O23)</f>
        <v>0.67994093121855781</v>
      </c>
      <c r="P23" s="136">
        <f>IF(SER_hh_tes_in!P23=0,"",SER_hh_tes_in!P23/SER_hh_fec_in!P23)</f>
        <v>0.71154643925455585</v>
      </c>
      <c r="Q23" s="136">
        <f>IF(SER_hh_tes_in!Q23=0,"",SER_hh_tes_in!Q23/SER_hh_fec_in!Q23)</f>
        <v>0.73921783904369709</v>
      </c>
      <c r="R23" s="136">
        <f>IF(SER_hh_tes_in!R23=0,"",SER_hh_tes_in!R23/SER_hh_fec_in!R23)</f>
        <v>0.75613262384649227</v>
      </c>
      <c r="S23" s="136">
        <f>IF(SER_hh_tes_in!S23=0,"",SER_hh_tes_in!S23/SER_hh_fec_in!S23)</f>
        <v>0.77053747542422313</v>
      </c>
      <c r="T23" s="136">
        <f>IF(SER_hh_tes_in!T23=0,"",SER_hh_tes_in!T23/SER_hh_fec_in!T23)</f>
        <v>0.78265849733863213</v>
      </c>
      <c r="U23" s="136">
        <f>IF(SER_hh_tes_in!U23=0,"",SER_hh_tes_in!U23/SER_hh_fec_in!U23)</f>
        <v>0.79271100207485379</v>
      </c>
      <c r="V23" s="136">
        <f>IF(SER_hh_tes_in!V23=0,"",SER_hh_tes_in!V23/SER_hh_fec_in!V23)</f>
        <v>0.80088383286897391</v>
      </c>
      <c r="W23" s="136">
        <f>IF(SER_hh_tes_in!W23=0,"",SER_hh_tes_in!W23/SER_hh_fec_in!W23)</f>
        <v>0.80629265977669384</v>
      </c>
      <c r="X23" s="136">
        <f>IF(SER_hh_tes_in!X23=0,"",SER_hh_tes_in!X23/SER_hh_fec_in!X23)</f>
        <v>0.80891701272541594</v>
      </c>
      <c r="Y23" s="136">
        <f>IF(SER_hh_tes_in!Y23=0,"",SER_hh_tes_in!Y23/SER_hh_fec_in!Y23)</f>
        <v>0.81045574473349113</v>
      </c>
      <c r="DA23" s="163" t="s">
        <v>682</v>
      </c>
    </row>
    <row r="24" spans="1:105" ht="12" customHeight="1" x14ac:dyDescent="0.25">
      <c r="A24" s="131" t="s">
        <v>128</v>
      </c>
      <c r="B24" s="136"/>
      <c r="C24" s="136" t="str">
        <f>IF(SER_hh_tes_in!C24=0,"",SER_hh_tes_in!C24/SER_hh_fec_in!C24)</f>
        <v/>
      </c>
      <c r="D24" s="136" t="str">
        <f>IF(SER_hh_tes_in!D24=0,"",SER_hh_tes_in!D24/SER_hh_fec_in!D24)</f>
        <v/>
      </c>
      <c r="E24" s="136" t="str">
        <f>IF(SER_hh_tes_in!E24=0,"",SER_hh_tes_in!E24/SER_hh_fec_in!E24)</f>
        <v/>
      </c>
      <c r="F24" s="136" t="str">
        <f>IF(SER_hh_tes_in!F24=0,"",SER_hh_tes_in!F24/SER_hh_fec_in!F24)</f>
        <v/>
      </c>
      <c r="G24" s="136" t="str">
        <f>IF(SER_hh_tes_in!G24=0,"",SER_hh_tes_in!G24/SER_hh_fec_in!G24)</f>
        <v/>
      </c>
      <c r="H24" s="136" t="str">
        <f>IF(SER_hh_tes_in!H24=0,"",SER_hh_tes_in!H24/SER_hh_fec_in!H24)</f>
        <v/>
      </c>
      <c r="I24" s="136" t="str">
        <f>IF(SER_hh_tes_in!I24=0,"",SER_hh_tes_in!I24/SER_hh_fec_in!I24)</f>
        <v/>
      </c>
      <c r="J24" s="136" t="str">
        <f>IF(SER_hh_tes_in!J24=0,"",SER_hh_tes_in!J24/SER_hh_fec_in!J24)</f>
        <v/>
      </c>
      <c r="K24" s="136" t="str">
        <f>IF(SER_hh_tes_in!K24=0,"",SER_hh_tes_in!K24/SER_hh_fec_in!K24)</f>
        <v/>
      </c>
      <c r="L24" s="136" t="str">
        <f>IF(SER_hh_tes_in!L24=0,"",SER_hh_tes_in!L24/SER_hh_fec_in!L24)</f>
        <v/>
      </c>
      <c r="M24" s="136" t="str">
        <f>IF(SER_hh_tes_in!M24=0,"",SER_hh_tes_in!M24/SER_hh_fec_in!M24)</f>
        <v/>
      </c>
      <c r="N24" s="136" t="str">
        <f>IF(SER_hh_tes_in!N24=0,"",SER_hh_tes_in!N24/SER_hh_fec_in!N24)</f>
        <v/>
      </c>
      <c r="O24" s="136" t="str">
        <f>IF(SER_hh_tes_in!O24=0,"",SER_hh_tes_in!O24/SER_hh_fec_in!O24)</f>
        <v/>
      </c>
      <c r="P24" s="136" t="str">
        <f>IF(SER_hh_tes_in!P24=0,"",SER_hh_tes_in!P24/SER_hh_fec_in!P24)</f>
        <v/>
      </c>
      <c r="Q24" s="136" t="str">
        <f>IF(SER_hh_tes_in!Q24=0,"",SER_hh_tes_in!Q24/SER_hh_fec_in!Q24)</f>
        <v/>
      </c>
      <c r="R24" s="136" t="str">
        <f>IF(SER_hh_tes_in!R24=0,"",SER_hh_tes_in!R24/SER_hh_fec_in!R24)</f>
        <v/>
      </c>
      <c r="S24" s="136" t="str">
        <f>IF(SER_hh_tes_in!S24=0,"",SER_hh_tes_in!S24/SER_hh_fec_in!S24)</f>
        <v/>
      </c>
      <c r="T24" s="136" t="str">
        <f>IF(SER_hh_tes_in!T24=0,"",SER_hh_tes_in!T24/SER_hh_fec_in!T24)</f>
        <v/>
      </c>
      <c r="U24" s="136" t="str">
        <f>IF(SER_hh_tes_in!U24=0,"",SER_hh_tes_in!U24/SER_hh_fec_in!U24)</f>
        <v/>
      </c>
      <c r="V24" s="136" t="str">
        <f>IF(SER_hh_tes_in!V24=0,"",SER_hh_tes_in!V24/SER_hh_fec_in!V24)</f>
        <v/>
      </c>
      <c r="W24" s="136" t="str">
        <f>IF(SER_hh_tes_in!W24=0,"",SER_hh_tes_in!W24/SER_hh_fec_in!W24)</f>
        <v/>
      </c>
      <c r="X24" s="136" t="str">
        <f>IF(SER_hh_tes_in!X24=0,"",SER_hh_tes_in!X24/SER_hh_fec_in!X24)</f>
        <v/>
      </c>
      <c r="Y24" s="136" t="str">
        <f>IF(SER_hh_tes_in!Y24=0,"",SER_hh_tes_in!Y24/SER_hh_fec_in!Y24)</f>
        <v/>
      </c>
      <c r="DA24" s="163" t="s">
        <v>683</v>
      </c>
    </row>
    <row r="25" spans="1:105" ht="12" customHeight="1" x14ac:dyDescent="0.25">
      <c r="A25" s="131" t="s">
        <v>162</v>
      </c>
      <c r="B25" s="136"/>
      <c r="C25" s="136">
        <f>IF(SER_hh_tes_in!C25=0,"",SER_hh_tes_in!C25/SER_hh_fec_in!C25)</f>
        <v>0.77431404716274344</v>
      </c>
      <c r="D25" s="136">
        <f>IF(SER_hh_tes_in!D25=0,"",SER_hh_tes_in!D25/SER_hh_fec_in!D25)</f>
        <v>0.77647388095077208</v>
      </c>
      <c r="E25" s="136">
        <f>IF(SER_hh_tes_in!E25=0,"",SER_hh_tes_in!E25/SER_hh_fec_in!E25)</f>
        <v>0.7786920246162562</v>
      </c>
      <c r="F25" s="136">
        <f>IF(SER_hh_tes_in!F25=0,"",SER_hh_tes_in!F25/SER_hh_fec_in!F25)</f>
        <v>0.78091811962866609</v>
      </c>
      <c r="G25" s="136">
        <f>IF(SER_hh_tes_in!G25=0,"",SER_hh_tes_in!G25/SER_hh_fec_in!G25)</f>
        <v>0.78319791460848132</v>
      </c>
      <c r="H25" s="136">
        <f>IF(SER_hh_tes_in!H25=0,"",SER_hh_tes_in!H25/SER_hh_fec_in!H25)</f>
        <v>0.78552581050696813</v>
      </c>
      <c r="I25" s="136">
        <f>IF(SER_hh_tes_in!I25=0,"",SER_hh_tes_in!I25/SER_hh_fec_in!I25)</f>
        <v>0.78791307978554903</v>
      </c>
      <c r="J25" s="136">
        <f>IF(SER_hh_tes_in!J25=0,"",SER_hh_tes_in!J25/SER_hh_fec_in!J25)</f>
        <v>0.7904059017398537</v>
      </c>
      <c r="K25" s="136">
        <f>IF(SER_hh_tes_in!K25=0,"",SER_hh_tes_in!K25/SER_hh_fec_in!K25)</f>
        <v>0.79304354091776574</v>
      </c>
      <c r="L25" s="136">
        <f>IF(SER_hh_tes_in!L25=0,"",SER_hh_tes_in!L25/SER_hh_fec_in!L25)</f>
        <v>0.79583650219560853</v>
      </c>
      <c r="M25" s="136">
        <f>IF(SER_hh_tes_in!M25=0,"",SER_hh_tes_in!M25/SER_hh_fec_in!M25)</f>
        <v>0.79970370576082161</v>
      </c>
      <c r="N25" s="136">
        <f>IF(SER_hh_tes_in!N25=0,"",SER_hh_tes_in!N25/SER_hh_fec_in!N25)</f>
        <v>0.80493569112351293</v>
      </c>
      <c r="O25" s="136">
        <f>IF(SER_hh_tes_in!O25=0,"",SER_hh_tes_in!O25/SER_hh_fec_in!O25)</f>
        <v>0.81178715146901259</v>
      </c>
      <c r="P25" s="136">
        <f>IF(SER_hh_tes_in!P25=0,"",SER_hh_tes_in!P25/SER_hh_fec_in!P25)</f>
        <v>0.81977351433884849</v>
      </c>
      <c r="Q25" s="136">
        <f>IF(SER_hh_tes_in!Q25=0,"",SER_hh_tes_in!Q25/SER_hh_fec_in!Q25)</f>
        <v>0.82730846446658224</v>
      </c>
      <c r="R25" s="136">
        <f>IF(SER_hh_tes_in!R25=0,"",SER_hh_tes_in!R25/SER_hh_fec_in!R25)</f>
        <v>0.8330822452639679</v>
      </c>
      <c r="S25" s="136">
        <f>IF(SER_hh_tes_in!S25=0,"",SER_hh_tes_in!S25/SER_hh_fec_in!S25)</f>
        <v>0.83869916878667683</v>
      </c>
      <c r="T25" s="136">
        <f>IF(SER_hh_tes_in!T25=0,"",SER_hh_tes_in!T25/SER_hh_fec_in!T25)</f>
        <v>0.84412170516012974</v>
      </c>
      <c r="U25" s="136">
        <f>IF(SER_hh_tes_in!U25=0,"",SER_hh_tes_in!U25/SER_hh_fec_in!U25)</f>
        <v>0.8493123245097649</v>
      </c>
      <c r="V25" s="136">
        <f>IF(SER_hh_tes_in!V25=0,"",SER_hh_tes_in!V25/SER_hh_fec_in!V25)</f>
        <v>0.85423349696101336</v>
      </c>
      <c r="W25" s="136">
        <f>IF(SER_hh_tes_in!W25=0,"",SER_hh_tes_in!W25/SER_hh_fec_in!W25)</f>
        <v>0.85876684532079284</v>
      </c>
      <c r="X25" s="136">
        <f>IF(SER_hh_tes_in!X25=0,"",SER_hh_tes_in!X25/SER_hh_fec_in!X25)</f>
        <v>0.86333785011492448</v>
      </c>
      <c r="Y25" s="136">
        <f>IF(SER_hh_tes_in!Y25=0,"",SER_hh_tes_in!Y25/SER_hh_fec_in!Y25)</f>
        <v>0.86773033650610998</v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0.64351456974256527</v>
      </c>
      <c r="D26" s="137">
        <f>IF(SER_hh_tes_in!D26=0,"",SER_hh_tes_in!D26/SER_hh_fec_in!D26)</f>
        <v>0.64588587708133161</v>
      </c>
      <c r="E26" s="137">
        <f>IF(SER_hh_tes_in!E26=0,"",SER_hh_tes_in!E26/SER_hh_fec_in!E26)</f>
        <v>0.64848187131852753</v>
      </c>
      <c r="F26" s="137">
        <f>IF(SER_hh_tes_in!F26=0,"",SER_hh_tes_in!F26/SER_hh_fec_in!F26)</f>
        <v>0.65110918746732382</v>
      </c>
      <c r="G26" s="137">
        <f>IF(SER_hh_tes_in!G26=0,"",SER_hh_tes_in!G26/SER_hh_fec_in!G26)</f>
        <v>0.65394518026504511</v>
      </c>
      <c r="H26" s="137">
        <f>IF(SER_hh_tes_in!H26=0,"",SER_hh_tes_in!H26/SER_hh_fec_in!H26)</f>
        <v>0.65696983016801991</v>
      </c>
      <c r="I26" s="137">
        <f>IF(SER_hh_tes_in!I26=0,"",SER_hh_tes_in!I26/SER_hh_fec_in!I26)</f>
        <v>0.66022913375019165</v>
      </c>
      <c r="J26" s="137">
        <f>IF(SER_hh_tes_in!J26=0,"",SER_hh_tes_in!J26/SER_hh_fec_in!J26)</f>
        <v>0.66390752333712977</v>
      </c>
      <c r="K26" s="137">
        <f>IF(SER_hh_tes_in!K26=0,"",SER_hh_tes_in!K26/SER_hh_fec_in!K26)</f>
        <v>0.66816792913330358</v>
      </c>
      <c r="L26" s="137">
        <f>IF(SER_hh_tes_in!L26=0,"",SER_hh_tes_in!L26/SER_hh_fec_in!L26)</f>
        <v>0.67306636951977039</v>
      </c>
      <c r="M26" s="137">
        <f>IF(SER_hh_tes_in!M26=0,"",SER_hh_tes_in!M26/SER_hh_fec_in!M26)</f>
        <v>0.68237889468451152</v>
      </c>
      <c r="N26" s="137">
        <f>IF(SER_hh_tes_in!N26=0,"",SER_hh_tes_in!N26/SER_hh_fec_in!N26)</f>
        <v>0.69773440997636438</v>
      </c>
      <c r="O26" s="137">
        <f>IF(SER_hh_tes_in!O26=0,"",SER_hh_tes_in!O26/SER_hh_fec_in!O26)</f>
        <v>0.72114957471457208</v>
      </c>
      <c r="P26" s="137">
        <f>IF(SER_hh_tes_in!P26=0,"",SER_hh_tes_in!P26/SER_hh_fec_in!P26)</f>
        <v>0.75151426926668563</v>
      </c>
      <c r="Q26" s="137">
        <f>IF(SER_hh_tes_in!Q26=0,"",SER_hh_tes_in!Q26/SER_hh_fec_in!Q26)</f>
        <v>0.78080973913306861</v>
      </c>
      <c r="R26" s="137">
        <f>IF(SER_hh_tes_in!R26=0,"",SER_hh_tes_in!R26/SER_hh_fec_in!R26)</f>
        <v>0.80063513651480533</v>
      </c>
      <c r="S26" s="137">
        <f>IF(SER_hh_tes_in!S26=0,"",SER_hh_tes_in!S26/SER_hh_fec_in!S26)</f>
        <v>0.81984252930074963</v>
      </c>
      <c r="T26" s="137">
        <f>IF(SER_hh_tes_in!T26=0,"",SER_hh_tes_in!T26/SER_hh_fec_in!T26)</f>
        <v>0.83890086244459927</v>
      </c>
      <c r="U26" s="137">
        <f>IF(SER_hh_tes_in!U26=0,"",SER_hh_tes_in!U26/SER_hh_fec_in!U26)</f>
        <v>0.85800172410064579</v>
      </c>
      <c r="V26" s="137">
        <f>IF(SER_hh_tes_in!V26=0,"",SER_hh_tes_in!V26/SER_hh_fec_in!V26)</f>
        <v>0.87676610649098896</v>
      </c>
      <c r="W26" s="137">
        <f>IF(SER_hh_tes_in!W26=0,"",SER_hh_tes_in!W26/SER_hh_fec_in!W26)</f>
        <v>0.89390421267084519</v>
      </c>
      <c r="X26" s="137">
        <f>IF(SER_hh_tes_in!X26=0,"",SER_hh_tes_in!X26/SER_hh_fec_in!X26)</f>
        <v>0.90753609946624236</v>
      </c>
      <c r="Y26" s="137">
        <f>IF(SER_hh_tes_in!Y26=0,"",SER_hh_tes_in!Y26/SER_hh_fec_in!Y26)</f>
        <v>0.92025382129854594</v>
      </c>
      <c r="DA26" s="164" t="s">
        <v>685</v>
      </c>
    </row>
    <row r="27" spans="1:105" ht="12" customHeight="1" x14ac:dyDescent="0.25">
      <c r="A27" s="144" t="s">
        <v>26</v>
      </c>
      <c r="B27" s="148"/>
      <c r="C27" s="148" t="str">
        <f>IF(SER_hh_tes_in!C27=0,"",SER_hh_tes_in!C27/SER_hh_fec_in!C27)</f>
        <v/>
      </c>
      <c r="D27" s="148" t="str">
        <f>IF(SER_hh_tes_in!D27=0,"",SER_hh_tes_in!D27/SER_hh_fec_in!D27)</f>
        <v/>
      </c>
      <c r="E27" s="148">
        <f>IF(SER_hh_tes_in!E27=0,"",SER_hh_tes_in!E27/SER_hh_fec_in!E27)</f>
        <v>1</v>
      </c>
      <c r="F27" s="148">
        <f>IF(SER_hh_tes_in!F27=0,"",SER_hh_tes_in!F27/SER_hh_fec_in!F27)</f>
        <v>1</v>
      </c>
      <c r="G27" s="148">
        <f>IF(SER_hh_tes_in!G27=0,"",SER_hh_tes_in!G27/SER_hh_fec_in!G27)</f>
        <v>1</v>
      </c>
      <c r="H27" s="148">
        <f>IF(SER_hh_tes_in!H27=0,"",SER_hh_tes_in!H27/SER_hh_fec_in!H27)</f>
        <v>1</v>
      </c>
      <c r="I27" s="148">
        <f>IF(SER_hh_tes_in!I27=0,"",SER_hh_tes_in!I27/SER_hh_fec_in!I27)</f>
        <v>1</v>
      </c>
      <c r="J27" s="148">
        <f>IF(SER_hh_tes_in!J27=0,"",SER_hh_tes_in!J27/SER_hh_fec_in!J27)</f>
        <v>1</v>
      </c>
      <c r="K27" s="148">
        <f>IF(SER_hh_tes_in!K27=0,"",SER_hh_tes_in!K27/SER_hh_fec_in!K27)</f>
        <v>1</v>
      </c>
      <c r="L27" s="148">
        <f>IF(SER_hh_tes_in!L27=0,"",SER_hh_tes_in!L27/SER_hh_fec_in!L27)</f>
        <v>1</v>
      </c>
      <c r="M27" s="148">
        <f>IF(SER_hh_tes_in!M27=0,"",SER_hh_tes_in!M27/SER_hh_fec_in!M27)</f>
        <v>1</v>
      </c>
      <c r="N27" s="148">
        <f>IF(SER_hh_tes_in!N27=0,"",SER_hh_tes_in!N27/SER_hh_fec_in!N27)</f>
        <v>1</v>
      </c>
      <c r="O27" s="148">
        <f>IF(SER_hh_tes_in!O27=0,"",SER_hh_tes_in!O27/SER_hh_fec_in!O27)</f>
        <v>1</v>
      </c>
      <c r="P27" s="148">
        <f>IF(SER_hh_tes_in!P27=0,"",SER_hh_tes_in!P27/SER_hh_fec_in!P27)</f>
        <v>1</v>
      </c>
      <c r="Q27" s="148">
        <f>IF(SER_hh_tes_in!Q27=0,"",SER_hh_tes_in!Q27/SER_hh_fec_in!Q27)</f>
        <v>1</v>
      </c>
      <c r="R27" s="148">
        <f>IF(SER_hh_tes_in!R27=0,"",SER_hh_tes_in!R27/SER_hh_fec_in!R27)</f>
        <v>1</v>
      </c>
      <c r="S27" s="148">
        <f>IF(SER_hh_tes_in!S27=0,"",SER_hh_tes_in!S27/SER_hh_fec_in!S27)</f>
        <v>1</v>
      </c>
      <c r="T27" s="148">
        <f>IF(SER_hh_tes_in!T27=0,"",SER_hh_tes_in!T27/SER_hh_fec_in!T27)</f>
        <v>1</v>
      </c>
      <c r="U27" s="148">
        <f>IF(SER_hh_tes_in!U27=0,"",SER_hh_tes_in!U27/SER_hh_fec_in!U27)</f>
        <v>1</v>
      </c>
      <c r="V27" s="148">
        <f>IF(SER_hh_tes_in!V27=0,"",SER_hh_tes_in!V27/SER_hh_fec_in!V27)</f>
        <v>1</v>
      </c>
      <c r="W27" s="148" t="str">
        <f>IF(SER_hh_tes_in!W27=0,"",SER_hh_tes_in!W27/SER_hh_fec_in!W27)</f>
        <v/>
      </c>
      <c r="X27" s="148">
        <f>IF(SER_hh_tes_in!X27=0,"",SER_hh_tes_in!X27/SER_hh_fec_in!X27)</f>
        <v>1</v>
      </c>
      <c r="Y27" s="148">
        <f>IF(SER_hh_tes_in!Y27=0,"",SER_hh_tes_in!Y27/SER_hh_fec_in!Y27)</f>
        <v>1</v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0.65341332883737879</v>
      </c>
      <c r="D29" s="135">
        <f>IF(SER_hh_tes_in!D29=0,"",SER_hh_tes_in!D29/SER_hh_fec_in!D29)</f>
        <v>0.65604336920146067</v>
      </c>
      <c r="E29" s="135">
        <f>IF(SER_hh_tes_in!E29=0,"",SER_hh_tes_in!E29/SER_hh_fec_in!E29)</f>
        <v>0.66710894681923094</v>
      </c>
      <c r="F29" s="135">
        <f>IF(SER_hh_tes_in!F29=0,"",SER_hh_tes_in!F29/SER_hh_fec_in!F29)</f>
        <v>0.6748495466861123</v>
      </c>
      <c r="G29" s="135">
        <f>IF(SER_hh_tes_in!G29=0,"",SER_hh_tes_in!G29/SER_hh_fec_in!G29)</f>
        <v>0.66907557671270435</v>
      </c>
      <c r="H29" s="135">
        <f>IF(SER_hh_tes_in!H29=0,"",SER_hh_tes_in!H29/SER_hh_fec_in!H29)</f>
        <v>0.6806798071809097</v>
      </c>
      <c r="I29" s="135">
        <f>IF(SER_hh_tes_in!I29=0,"",SER_hh_tes_in!I29/SER_hh_fec_in!I29)</f>
        <v>0.67015146134417303</v>
      </c>
      <c r="J29" s="135">
        <f>IF(SER_hh_tes_in!J29=0,"",SER_hh_tes_in!J29/SER_hh_fec_in!J29)</f>
        <v>0.6659366242095377</v>
      </c>
      <c r="K29" s="135">
        <f>IF(SER_hh_tes_in!K29=0,"",SER_hh_tes_in!K29/SER_hh_fec_in!K29)</f>
        <v>0.66006367179189185</v>
      </c>
      <c r="L29" s="135">
        <f>IF(SER_hh_tes_in!L29=0,"",SER_hh_tes_in!L29/SER_hh_fec_in!L29)</f>
        <v>0.66388955669856664</v>
      </c>
      <c r="M29" s="135">
        <f>IF(SER_hh_tes_in!M29=0,"",SER_hh_tes_in!M29/SER_hh_fec_in!M29)</f>
        <v>0.69038287681488808</v>
      </c>
      <c r="N29" s="135">
        <f>IF(SER_hh_tes_in!N29=0,"",SER_hh_tes_in!N29/SER_hh_fec_in!N29)</f>
        <v>0.68877505327888411</v>
      </c>
      <c r="O29" s="135">
        <f>IF(SER_hh_tes_in!O29=0,"",SER_hh_tes_in!O29/SER_hh_fec_in!O29)</f>
        <v>0.68402090667745652</v>
      </c>
      <c r="P29" s="135">
        <f>IF(SER_hh_tes_in!P29=0,"",SER_hh_tes_in!P29/SER_hh_fec_in!P29)</f>
        <v>0.68386866241449729</v>
      </c>
      <c r="Q29" s="135">
        <f>IF(SER_hh_tes_in!Q29=0,"",SER_hh_tes_in!Q29/SER_hh_fec_in!Q29)</f>
        <v>0.68284828513452722</v>
      </c>
      <c r="R29" s="135">
        <f>IF(SER_hh_tes_in!R29=0,"",SER_hh_tes_in!R29/SER_hh_fec_in!R29)</f>
        <v>0.66155455311618283</v>
      </c>
      <c r="S29" s="135">
        <f>IF(SER_hh_tes_in!S29=0,"",SER_hh_tes_in!S29/SER_hh_fec_in!S29)</f>
        <v>0.65255244897413367</v>
      </c>
      <c r="T29" s="135">
        <f>IF(SER_hh_tes_in!T29=0,"",SER_hh_tes_in!T29/SER_hh_fec_in!T29)</f>
        <v>0.70027447036917578</v>
      </c>
      <c r="U29" s="135">
        <f>IF(SER_hh_tes_in!U29=0,"",SER_hh_tes_in!U29/SER_hh_fec_in!U29)</f>
        <v>0.70193297583204817</v>
      </c>
      <c r="V29" s="135">
        <f>IF(SER_hh_tes_in!V29=0,"",SER_hh_tes_in!V29/SER_hh_fec_in!V29)</f>
        <v>0.75258300471522743</v>
      </c>
      <c r="W29" s="135">
        <f>IF(SER_hh_tes_in!W29=0,"",SER_hh_tes_in!W29/SER_hh_fec_in!W29)</f>
        <v>0.79297769449518296</v>
      </c>
      <c r="X29" s="135">
        <f>IF(SER_hh_tes_in!X29=0,"",SER_hh_tes_in!X29/SER_hh_fec_in!X29)</f>
        <v>0.83715600813081481</v>
      </c>
      <c r="Y29" s="135">
        <f>IF(SER_hh_tes_in!Y29=0,"",SER_hh_tes_in!Y29/SER_hh_fec_in!Y29)</f>
        <v>0.833726600211111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 t="str">
        <f>IF(SER_hh_tes_in!C30=0,"",SER_hh_tes_in!C30/SER_hh_fec_in!C30)</f>
        <v/>
      </c>
      <c r="D30" s="136" t="str">
        <f>IF(SER_hh_tes_in!D30=0,"",SER_hh_tes_in!D30/SER_hh_fec_in!D30)</f>
        <v/>
      </c>
      <c r="E30" s="136" t="str">
        <f>IF(SER_hh_tes_in!E30=0,"",SER_hh_tes_in!E30/SER_hh_fec_in!E30)</f>
        <v/>
      </c>
      <c r="F30" s="136" t="str">
        <f>IF(SER_hh_tes_in!F30=0,"",SER_hh_tes_in!F30/SER_hh_fec_in!F30)</f>
        <v/>
      </c>
      <c r="G30" s="136" t="str">
        <f>IF(SER_hh_tes_in!G30=0,"",SER_hh_tes_in!G30/SER_hh_fec_in!G30)</f>
        <v/>
      </c>
      <c r="H30" s="136" t="str">
        <f>IF(SER_hh_tes_in!H30=0,"",SER_hh_tes_in!H30/SER_hh_fec_in!H30)</f>
        <v/>
      </c>
      <c r="I30" s="136" t="str">
        <f>IF(SER_hh_tes_in!I30=0,"",SER_hh_tes_in!I30/SER_hh_fec_in!I30)</f>
        <v/>
      </c>
      <c r="J30" s="136" t="str">
        <f>IF(SER_hh_tes_in!J30=0,"",SER_hh_tes_in!J30/SER_hh_fec_in!J30)</f>
        <v/>
      </c>
      <c r="K30" s="136" t="str">
        <f>IF(SER_hh_tes_in!K30=0,"",SER_hh_tes_in!K30/SER_hh_fec_in!K30)</f>
        <v/>
      </c>
      <c r="L30" s="136" t="str">
        <f>IF(SER_hh_tes_in!L30=0,"",SER_hh_tes_in!L30/SER_hh_fec_in!L30)</f>
        <v/>
      </c>
      <c r="M30" s="136" t="str">
        <f>IF(SER_hh_tes_in!M30=0,"",SER_hh_tes_in!M30/SER_hh_fec_in!M30)</f>
        <v/>
      </c>
      <c r="N30" s="136" t="str">
        <f>IF(SER_hh_tes_in!N30=0,"",SER_hh_tes_in!N30/SER_hh_fec_in!N30)</f>
        <v/>
      </c>
      <c r="O30" s="136" t="str">
        <f>IF(SER_hh_tes_in!O30=0,"",SER_hh_tes_in!O30/SER_hh_fec_in!O30)</f>
        <v/>
      </c>
      <c r="P30" s="136" t="str">
        <f>IF(SER_hh_tes_in!P30=0,"",SER_hh_tes_in!P30/SER_hh_fec_in!P30)</f>
        <v/>
      </c>
      <c r="Q30" s="136" t="str">
        <f>IF(SER_hh_tes_in!Q30=0,"",SER_hh_tes_in!Q30/SER_hh_fec_in!Q30)</f>
        <v/>
      </c>
      <c r="R30" s="136" t="str">
        <f>IF(SER_hh_tes_in!R30=0,"",SER_hh_tes_in!R30/SER_hh_fec_in!R30)</f>
        <v/>
      </c>
      <c r="S30" s="136" t="str">
        <f>IF(SER_hh_tes_in!S30=0,"",SER_hh_tes_in!S30/SER_hh_fec_in!S30)</f>
        <v/>
      </c>
      <c r="T30" s="136" t="str">
        <f>IF(SER_hh_tes_in!T30=0,"",SER_hh_tes_in!T30/SER_hh_fec_in!T30)</f>
        <v/>
      </c>
      <c r="U30" s="136" t="str">
        <f>IF(SER_hh_tes_in!U30=0,"",SER_hh_tes_in!U30/SER_hh_fec_in!U30)</f>
        <v/>
      </c>
      <c r="V30" s="136" t="str">
        <f>IF(SER_hh_tes_in!V30=0,"",SER_hh_tes_in!V30/SER_hh_fec_in!V30)</f>
        <v/>
      </c>
      <c r="W30" s="136" t="str">
        <f>IF(SER_hh_tes_in!W30=0,"",SER_hh_tes_in!W30/SER_hh_fec_in!W30)</f>
        <v/>
      </c>
      <c r="X30" s="136" t="str">
        <f>IF(SER_hh_tes_in!X30=0,"",SER_hh_tes_in!X30/SER_hh_fec_in!X30)</f>
        <v/>
      </c>
      <c r="Y30" s="136" t="str">
        <f>IF(SER_hh_tes_in!Y30=0,"",SER_hh_tes_in!Y30/SER_hh_fec_in!Y30)</f>
        <v/>
      </c>
      <c r="DA30" s="163" t="s">
        <v>688</v>
      </c>
    </row>
    <row r="31" spans="1:105" ht="12" customHeight="1" x14ac:dyDescent="0.25">
      <c r="A31" s="131" t="s">
        <v>149</v>
      </c>
      <c r="B31" s="136"/>
      <c r="C31" s="136">
        <f>IF(SER_hh_tes_in!C31=0,"",SER_hh_tes_in!C31/SER_hh_fec_in!C31)</f>
        <v>0.58468784255198647</v>
      </c>
      <c r="D31" s="136">
        <f>IF(SER_hh_tes_in!D31=0,"",SER_hh_tes_in!D31/SER_hh_fec_in!D31)</f>
        <v>0.58530011992848607</v>
      </c>
      <c r="E31" s="136">
        <f>IF(SER_hh_tes_in!E31=0,"",SER_hh_tes_in!E31/SER_hh_fec_in!E31)</f>
        <v>0.58591245245807544</v>
      </c>
      <c r="F31" s="136">
        <f>IF(SER_hh_tes_in!F31=0,"",SER_hh_tes_in!F31/SER_hh_fec_in!F31)</f>
        <v>0.5865247925085405</v>
      </c>
      <c r="G31" s="136">
        <f>IF(SER_hh_tes_in!G31=0,"",SER_hh_tes_in!G31/SER_hh_fec_in!G31)</f>
        <v>0.58713718335175691</v>
      </c>
      <c r="H31" s="136">
        <f>IF(SER_hh_tes_in!H31=0,"",SER_hh_tes_in!H31/SER_hh_fec_in!H31)</f>
        <v>0.58774961969179806</v>
      </c>
      <c r="I31" s="136">
        <f>IF(SER_hh_tes_in!I31=0,"",SER_hh_tes_in!I31/SER_hh_fec_in!I31)</f>
        <v>0.58836211219085521</v>
      </c>
      <c r="J31" s="136">
        <f>IF(SER_hh_tes_in!J31=0,"",SER_hh_tes_in!J31/SER_hh_fec_in!J31)</f>
        <v>0.58897470452816358</v>
      </c>
      <c r="K31" s="136">
        <f>IF(SER_hh_tes_in!K31=0,"",SER_hh_tes_in!K31/SER_hh_fec_in!K31)</f>
        <v>0.58958743384256118</v>
      </c>
      <c r="L31" s="136">
        <f>IF(SER_hh_tes_in!L31=0,"",SER_hh_tes_in!L31/SER_hh_fec_in!L31)</f>
        <v>0.59020031007020979</v>
      </c>
      <c r="M31" s="136">
        <f>IF(SER_hh_tes_in!M31=0,"",SER_hh_tes_in!M31/SER_hh_fec_in!M31)</f>
        <v>0.59066575458596182</v>
      </c>
      <c r="N31" s="136">
        <f>IF(SER_hh_tes_in!N31=0,"",SER_hh_tes_in!N31/SER_hh_fec_in!N31)</f>
        <v>0.59092591617651591</v>
      </c>
      <c r="O31" s="136">
        <f>IF(SER_hh_tes_in!O31=0,"",SER_hh_tes_in!O31/SER_hh_fec_in!O31)</f>
        <v>0.59108140792507247</v>
      </c>
      <c r="P31" s="136">
        <f>IF(SER_hh_tes_in!P31=0,"",SER_hh_tes_in!P31/SER_hh_fec_in!P31)</f>
        <v>0.59151528194471537</v>
      </c>
      <c r="Q31" s="136">
        <f>IF(SER_hh_tes_in!Q31=0,"",SER_hh_tes_in!Q31/SER_hh_fec_in!Q31)</f>
        <v>0.59328125055958447</v>
      </c>
      <c r="R31" s="136">
        <f>IF(SER_hh_tes_in!R31=0,"",SER_hh_tes_in!R31/SER_hh_fec_in!R31)</f>
        <v>0.59792001037153941</v>
      </c>
      <c r="S31" s="136">
        <f>IF(SER_hh_tes_in!S31=0,"",SER_hh_tes_in!S31/SER_hh_fec_in!S31)</f>
        <v>0.60446351115508934</v>
      </c>
      <c r="T31" s="136">
        <f>IF(SER_hh_tes_in!T31=0,"",SER_hh_tes_in!T31/SER_hh_fec_in!T31)</f>
        <v>0.61164301450970893</v>
      </c>
      <c r="U31" s="136">
        <f>IF(SER_hh_tes_in!U31=0,"",SER_hh_tes_in!U31/SER_hh_fec_in!U31)</f>
        <v>0.61818978203489006</v>
      </c>
      <c r="V31" s="136">
        <f>IF(SER_hh_tes_in!V31=0,"",SER_hh_tes_in!V31/SER_hh_fec_in!V31)</f>
        <v>0.62283507533011617</v>
      </c>
      <c r="W31" s="136">
        <f>IF(SER_hh_tes_in!W31=0,"",SER_hh_tes_in!W31/SER_hh_fec_in!W31)</f>
        <v>0.62506763855683078</v>
      </c>
      <c r="X31" s="136">
        <f>IF(SER_hh_tes_in!X31=0,"",SER_hh_tes_in!X31/SER_hh_fec_in!X31)</f>
        <v>0.62548091068872647</v>
      </c>
      <c r="Y31" s="136">
        <f>IF(SER_hh_tes_in!Y31=0,"",SER_hh_tes_in!Y31/SER_hh_fec_in!Y31)</f>
        <v>0.62552223790191608</v>
      </c>
      <c r="DA31" s="163" t="s">
        <v>689</v>
      </c>
    </row>
    <row r="32" spans="1:105" ht="12" customHeight="1" x14ac:dyDescent="0.25">
      <c r="A32" s="131" t="s">
        <v>128</v>
      </c>
      <c r="B32" s="136"/>
      <c r="C32" s="136" t="str">
        <f>IF(SER_hh_tes_in!C32=0,"",SER_hh_tes_in!C32/SER_hh_fec_in!C32)</f>
        <v/>
      </c>
      <c r="D32" s="136" t="str">
        <f>IF(SER_hh_tes_in!D32=0,"",SER_hh_tes_in!D32/SER_hh_fec_in!D32)</f>
        <v/>
      </c>
      <c r="E32" s="136" t="str">
        <f>IF(SER_hh_tes_in!E32=0,"",SER_hh_tes_in!E32/SER_hh_fec_in!E32)</f>
        <v/>
      </c>
      <c r="F32" s="136" t="str">
        <f>IF(SER_hh_tes_in!F32=0,"",SER_hh_tes_in!F32/SER_hh_fec_in!F32)</f>
        <v/>
      </c>
      <c r="G32" s="136" t="str">
        <f>IF(SER_hh_tes_in!G32=0,"",SER_hh_tes_in!G32/SER_hh_fec_in!G32)</f>
        <v/>
      </c>
      <c r="H32" s="136" t="str">
        <f>IF(SER_hh_tes_in!H32=0,"",SER_hh_tes_in!H32/SER_hh_fec_in!H32)</f>
        <v/>
      </c>
      <c r="I32" s="136" t="str">
        <f>IF(SER_hh_tes_in!I32=0,"",SER_hh_tes_in!I32/SER_hh_fec_in!I32)</f>
        <v/>
      </c>
      <c r="J32" s="136" t="str">
        <f>IF(SER_hh_tes_in!J32=0,"",SER_hh_tes_in!J32/SER_hh_fec_in!J32)</f>
        <v/>
      </c>
      <c r="K32" s="136" t="str">
        <f>IF(SER_hh_tes_in!K32=0,"",SER_hh_tes_in!K32/SER_hh_fec_in!K32)</f>
        <v/>
      </c>
      <c r="L32" s="136" t="str">
        <f>IF(SER_hh_tes_in!L32=0,"",SER_hh_tes_in!L32/SER_hh_fec_in!L32)</f>
        <v/>
      </c>
      <c r="M32" s="136" t="str">
        <f>IF(SER_hh_tes_in!M32=0,"",SER_hh_tes_in!M32/SER_hh_fec_in!M32)</f>
        <v/>
      </c>
      <c r="N32" s="136" t="str">
        <f>IF(SER_hh_tes_in!N32=0,"",SER_hh_tes_in!N32/SER_hh_fec_in!N32)</f>
        <v/>
      </c>
      <c r="O32" s="136" t="str">
        <f>IF(SER_hh_tes_in!O32=0,"",SER_hh_tes_in!O32/SER_hh_fec_in!O32)</f>
        <v/>
      </c>
      <c r="P32" s="136" t="str">
        <f>IF(SER_hh_tes_in!P32=0,"",SER_hh_tes_in!P32/SER_hh_fec_in!P32)</f>
        <v/>
      </c>
      <c r="Q32" s="136" t="str">
        <f>IF(SER_hh_tes_in!Q32=0,"",SER_hh_tes_in!Q32/SER_hh_fec_in!Q32)</f>
        <v/>
      </c>
      <c r="R32" s="136" t="str">
        <f>IF(SER_hh_tes_in!R32=0,"",SER_hh_tes_in!R32/SER_hh_fec_in!R32)</f>
        <v/>
      </c>
      <c r="S32" s="136" t="str">
        <f>IF(SER_hh_tes_in!S32=0,"",SER_hh_tes_in!S32/SER_hh_fec_in!S32)</f>
        <v/>
      </c>
      <c r="T32" s="136" t="str">
        <f>IF(SER_hh_tes_in!T32=0,"",SER_hh_tes_in!T32/SER_hh_fec_in!T32)</f>
        <v/>
      </c>
      <c r="U32" s="136" t="str">
        <f>IF(SER_hh_tes_in!U32=0,"",SER_hh_tes_in!U32/SER_hh_fec_in!U32)</f>
        <v/>
      </c>
      <c r="V32" s="136" t="str">
        <f>IF(SER_hh_tes_in!V32=0,"",SER_hh_tes_in!V32/SER_hh_fec_in!V32)</f>
        <v/>
      </c>
      <c r="W32" s="136" t="str">
        <f>IF(SER_hh_tes_in!W32=0,"",SER_hh_tes_in!W32/SER_hh_fec_in!W32)</f>
        <v/>
      </c>
      <c r="X32" s="136" t="str">
        <f>IF(SER_hh_tes_in!X32=0,"",SER_hh_tes_in!X32/SER_hh_fec_in!X32)</f>
        <v/>
      </c>
      <c r="Y32" s="136" t="str">
        <f>IF(SER_hh_tes_in!Y32=0,"",SER_hh_tes_in!Y32/SER_hh_fec_in!Y32)</f>
        <v/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0.76856906872802244</v>
      </c>
      <c r="D33" s="149">
        <f>IF(SER_hh_tes_in!D33=0,"",SER_hh_tes_in!D33/SER_hh_fec_in!D33)</f>
        <v>0.76968220203917037</v>
      </c>
      <c r="E33" s="149">
        <f>IF(SER_hh_tes_in!E33=0,"",SER_hh_tes_in!E33/SER_hh_fec_in!E33)</f>
        <v>0.77084781984344064</v>
      </c>
      <c r="F33" s="149">
        <f>IF(SER_hh_tes_in!F33=0,"",SER_hh_tes_in!F33/SER_hh_fec_in!F33)</f>
        <v>0.77202059462404582</v>
      </c>
      <c r="G33" s="149">
        <f>IF(SER_hh_tes_in!G33=0,"",SER_hh_tes_in!G33/SER_hh_fec_in!G33)</f>
        <v>0.77324170453572894</v>
      </c>
      <c r="H33" s="149">
        <f>IF(SER_hh_tes_in!H33=0,"",SER_hh_tes_in!H33/SER_hh_fec_in!H33)</f>
        <v>0.77450610989657687</v>
      </c>
      <c r="I33" s="149">
        <f>IF(SER_hh_tes_in!I33=0,"",SER_hh_tes_in!I33/SER_hh_fec_in!I33)</f>
        <v>0.77582395700512152</v>
      </c>
      <c r="J33" s="149">
        <f>IF(SER_hh_tes_in!J33=0,"",SER_hh_tes_in!J33/SER_hh_fec_in!J33)</f>
        <v>0.77723681166512715</v>
      </c>
      <c r="K33" s="149">
        <f>IF(SER_hh_tes_in!K33=0,"",SER_hh_tes_in!K33/SER_hh_fec_in!K33)</f>
        <v>0.7787800157428999</v>
      </c>
      <c r="L33" s="149">
        <f>IF(SER_hh_tes_in!L33=0,"",SER_hh_tes_in!L33/SER_hh_fec_in!L33)</f>
        <v>0.78046302463661976</v>
      </c>
      <c r="M33" s="149">
        <f>IF(SER_hh_tes_in!M33=0,"",SER_hh_tes_in!M33/SER_hh_fec_in!M33)</f>
        <v>0.78286935544726799</v>
      </c>
      <c r="N33" s="149">
        <f>IF(SER_hh_tes_in!N33=0,"",SER_hh_tes_in!N33/SER_hh_fec_in!N33)</f>
        <v>0.78616512994749799</v>
      </c>
      <c r="O33" s="149">
        <f>IF(SER_hh_tes_in!O33=0,"",SER_hh_tes_in!O33/SER_hh_fec_in!O33)</f>
        <v>0.79074427879066089</v>
      </c>
      <c r="P33" s="149">
        <f>IF(SER_hh_tes_in!P33=0,"",SER_hh_tes_in!P33/SER_hh_fec_in!P33)</f>
        <v>0.79680001284911395</v>
      </c>
      <c r="Q33" s="149">
        <f>IF(SER_hh_tes_in!Q33=0,"",SER_hh_tes_in!Q33/SER_hh_fec_in!Q33)</f>
        <v>0.80463619178635859</v>
      </c>
      <c r="R33" s="149">
        <f>IF(SER_hh_tes_in!R33=0,"",SER_hh_tes_in!R33/SER_hh_fec_in!R33)</f>
        <v>0.81529935781744822</v>
      </c>
      <c r="S33" s="149">
        <f>IF(SER_hh_tes_in!S33=0,"",SER_hh_tes_in!S33/SER_hh_fec_in!S33)</f>
        <v>0.82864245941250891</v>
      </c>
      <c r="T33" s="149">
        <f>IF(SER_hh_tes_in!T33=0,"",SER_hh_tes_in!T33/SER_hh_fec_in!T33)</f>
        <v>0.84300704100347068</v>
      </c>
      <c r="U33" s="149">
        <f>IF(SER_hh_tes_in!U33=0,"",SER_hh_tes_in!U33/SER_hh_fec_in!U33)</f>
        <v>0.85673464702230251</v>
      </c>
      <c r="V33" s="149">
        <f>IF(SER_hh_tes_in!V33=0,"",SER_hh_tes_in!V33/SER_hh_fec_in!V33)</f>
        <v>0.86816682190095484</v>
      </c>
      <c r="W33" s="149">
        <f>IF(SER_hh_tes_in!W33=0,"",SER_hh_tes_in!W33/SER_hh_fec_in!W33)</f>
        <v>0.87672734249036544</v>
      </c>
      <c r="X33" s="149">
        <f>IF(SER_hh_tes_in!X33=0,"",SER_hh_tes_in!X33/SER_hh_fec_in!X33)</f>
        <v>0.88441960121296281</v>
      </c>
      <c r="Y33" s="149">
        <f>IF(SER_hh_tes_in!Y33=0,"",SER_hh_tes_in!Y33/SER_hh_fec_in!Y33)</f>
        <v>0.89124106412867132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73.310183093199072</v>
      </c>
      <c r="D3" s="125">
        <f t="shared" si="0"/>
        <v>75.122414962118754</v>
      </c>
      <c r="E3" s="125">
        <f t="shared" si="0"/>
        <v>129.97419834250303</v>
      </c>
      <c r="F3" s="125">
        <f t="shared" si="0"/>
        <v>136.97406450942105</v>
      </c>
      <c r="G3" s="125">
        <f t="shared" si="0"/>
        <v>161.29997816425927</v>
      </c>
      <c r="H3" s="125">
        <f t="shared" si="0"/>
        <v>146.20283704264307</v>
      </c>
      <c r="I3" s="125">
        <f t="shared" si="0"/>
        <v>119.64402972218447</v>
      </c>
      <c r="J3" s="125">
        <f t="shared" si="0"/>
        <v>78.01845897510124</v>
      </c>
      <c r="K3" s="125">
        <f t="shared" si="0"/>
        <v>3.4753331849605686</v>
      </c>
      <c r="L3" s="125">
        <f t="shared" si="0"/>
        <v>34.352378471854301</v>
      </c>
      <c r="M3" s="125">
        <f t="shared" si="0"/>
        <v>41.642837127265487</v>
      </c>
      <c r="N3" s="125">
        <f t="shared" si="0"/>
        <v>22.846751036990629</v>
      </c>
      <c r="O3" s="125">
        <f t="shared" si="0"/>
        <v>22.59275018725959</v>
      </c>
      <c r="P3" s="125">
        <f t="shared" si="0"/>
        <v>40.270491476512362</v>
      </c>
      <c r="Q3" s="125">
        <f t="shared" si="0"/>
        <v>61.307981839207187</v>
      </c>
      <c r="R3" s="125">
        <f t="shared" ref="R3:W3" si="1">SUM(R4,R16,R19,R29)</f>
        <v>36.794746911010414</v>
      </c>
      <c r="S3" s="125">
        <f t="shared" si="1"/>
        <v>52.831613145413797</v>
      </c>
      <c r="T3" s="125">
        <f t="shared" si="1"/>
        <v>36.452209176136414</v>
      </c>
      <c r="U3" s="125">
        <f t="shared" si="1"/>
        <v>40.47915601721165</v>
      </c>
      <c r="V3" s="125">
        <f t="shared" si="1"/>
        <v>26.81072173665104</v>
      </c>
      <c r="W3" s="125">
        <f t="shared" si="1"/>
        <v>18.870270079801688</v>
      </c>
      <c r="X3" s="125">
        <f t="shared" ref="X3:Y3" si="2">SUM(X4,X16,X19,X29)</f>
        <v>12.667113937805583</v>
      </c>
      <c r="Y3" s="125">
        <f t="shared" si="2"/>
        <v>12.595435322782482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63.634028902642491</v>
      </c>
      <c r="D4" s="130">
        <f t="shared" si="3"/>
        <v>65.420596215887088</v>
      </c>
      <c r="E4" s="130">
        <f t="shared" si="3"/>
        <v>118.15189250049028</v>
      </c>
      <c r="F4" s="130">
        <f t="shared" si="3"/>
        <v>123.79827989318893</v>
      </c>
      <c r="G4" s="130">
        <f t="shared" si="3"/>
        <v>139.79377671094707</v>
      </c>
      <c r="H4" s="130">
        <f t="shared" si="3"/>
        <v>124.15959137854078</v>
      </c>
      <c r="I4" s="130">
        <f t="shared" si="3"/>
        <v>96.672078500135711</v>
      </c>
      <c r="J4" s="130">
        <f t="shared" si="3"/>
        <v>62.053824417090084</v>
      </c>
      <c r="K4" s="130">
        <f t="shared" si="3"/>
        <v>0.45568650081819506</v>
      </c>
      <c r="L4" s="130">
        <f t="shared" si="3"/>
        <v>23.533888999041888</v>
      </c>
      <c r="M4" s="130">
        <f t="shared" si="3"/>
        <v>31.483676815424332</v>
      </c>
      <c r="N4" s="130">
        <f t="shared" si="3"/>
        <v>17.394219837561192</v>
      </c>
      <c r="O4" s="130">
        <f t="shared" si="3"/>
        <v>16.970970641058337</v>
      </c>
      <c r="P4" s="130">
        <f t="shared" si="3"/>
        <v>29.046766955010419</v>
      </c>
      <c r="Q4" s="130">
        <f t="shared" si="3"/>
        <v>42.892542110197148</v>
      </c>
      <c r="R4" s="130">
        <f t="shared" ref="R4:W4" si="4">SUM(R5:R15)</f>
        <v>22.537740095243393</v>
      </c>
      <c r="S4" s="130">
        <f t="shared" si="4"/>
        <v>31.309369889546637</v>
      </c>
      <c r="T4" s="130">
        <f t="shared" si="4"/>
        <v>22.254552274026956</v>
      </c>
      <c r="U4" s="130">
        <f t="shared" si="4"/>
        <v>25.020478002001408</v>
      </c>
      <c r="V4" s="130">
        <f t="shared" si="4"/>
        <v>17.265629227956385</v>
      </c>
      <c r="W4" s="130">
        <f t="shared" si="4"/>
        <v>12.253892725345633</v>
      </c>
      <c r="X4" s="130">
        <f t="shared" ref="X4:Y4" si="5">SUM(X5:X15)</f>
        <v>9.4416845588494578</v>
      </c>
      <c r="Y4" s="130">
        <f t="shared" si="5"/>
        <v>9.5767940284553923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49.398961842085257</v>
      </c>
      <c r="F5" s="132">
        <v>45.736802844116085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3.5799479647717956</v>
      </c>
      <c r="O5" s="132">
        <v>4.9249134961352912</v>
      </c>
      <c r="P5" s="132">
        <v>0.20480508229912009</v>
      </c>
      <c r="Q5" s="132">
        <v>0</v>
      </c>
      <c r="R5" s="132">
        <v>0.29710593687509546</v>
      </c>
      <c r="S5" s="132">
        <v>0</v>
      </c>
      <c r="T5" s="132">
        <v>0</v>
      </c>
      <c r="U5" s="132">
        <v>1.2104896203892963</v>
      </c>
      <c r="V5" s="132">
        <v>0.54837173906525871</v>
      </c>
      <c r="W5" s="132">
        <v>1.7007650915381374E-2</v>
      </c>
      <c r="X5" s="132">
        <v>9.9849196359064113E-2</v>
      </c>
      <c r="Y5" s="132">
        <v>0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0.50120648956988889</v>
      </c>
      <c r="D7" s="132">
        <v>3.6408034008253396</v>
      </c>
      <c r="E7" s="132">
        <v>1.5456008717562044</v>
      </c>
      <c r="F7" s="132">
        <v>2.5158517412709394</v>
      </c>
      <c r="G7" s="132">
        <v>1.1539910315859372</v>
      </c>
      <c r="H7" s="132">
        <v>2.6160374615235611</v>
      </c>
      <c r="I7" s="132">
        <v>1.2969208692125618</v>
      </c>
      <c r="J7" s="132">
        <v>0.70176974772018008</v>
      </c>
      <c r="K7" s="132">
        <v>0</v>
      </c>
      <c r="L7" s="132">
        <v>0.65540226894365106</v>
      </c>
      <c r="M7" s="132">
        <v>0.45557531252407391</v>
      </c>
      <c r="N7" s="132">
        <v>0.85837006186185827</v>
      </c>
      <c r="O7" s="132">
        <v>0.23872260424071887</v>
      </c>
      <c r="P7" s="132">
        <v>0.62938697176477665</v>
      </c>
      <c r="Q7" s="132">
        <v>3.3097340948558887</v>
      </c>
      <c r="R7" s="132">
        <v>0.89823058692381541</v>
      </c>
      <c r="S7" s="132">
        <v>0.36019174216069111</v>
      </c>
      <c r="T7" s="132">
        <v>0</v>
      </c>
      <c r="U7" s="132">
        <v>0.10230578371567613</v>
      </c>
      <c r="V7" s="132">
        <v>0.38798833306463598</v>
      </c>
      <c r="W7" s="132">
        <v>0.86678192684822453</v>
      </c>
      <c r="X7" s="132">
        <v>0.44165840711058552</v>
      </c>
      <c r="Y7" s="132">
        <v>0.60275271136059805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3.4289730761964407E-3</v>
      </c>
      <c r="H8" s="132">
        <v>6.119989245103867E-3</v>
      </c>
      <c r="I8" s="132">
        <v>9.1759623282765823E-3</v>
      </c>
      <c r="J8" s="132">
        <v>1.0127635894799852E-2</v>
      </c>
      <c r="K8" s="132">
        <v>2.6979057036715234E-3</v>
      </c>
      <c r="L8" s="132">
        <v>7.948495025564618E-3</v>
      </c>
      <c r="M8" s="132">
        <v>1.515159804264723E-2</v>
      </c>
      <c r="N8" s="132">
        <v>1.2872185715592149E-2</v>
      </c>
      <c r="O8" s="132">
        <v>1.8722428281983037E-2</v>
      </c>
      <c r="P8" s="132">
        <v>6.2496200722184349E-2</v>
      </c>
      <c r="Q8" s="132">
        <v>4.3190929293042239E-2</v>
      </c>
      <c r="R8" s="132">
        <v>1.8507085128674081E-2</v>
      </c>
      <c r="S8" s="132">
        <v>1.4700668396406066E-2</v>
      </c>
      <c r="T8" s="132">
        <v>2.039808758950017E-2</v>
      </c>
      <c r="U8" s="132">
        <v>2.4946894305664755E-2</v>
      </c>
      <c r="V8" s="132">
        <v>2.609696584793748E-2</v>
      </c>
      <c r="W8" s="132">
        <v>2.3355922353167812E-2</v>
      </c>
      <c r="X8" s="132">
        <v>2.3073260807835037E-2</v>
      </c>
      <c r="Y8" s="132">
        <v>1.9383288177121261E-2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60.113807505971607</v>
      </c>
      <c r="D9" s="132">
        <v>59.05876911326903</v>
      </c>
      <c r="E9" s="132">
        <v>63.565583929622015</v>
      </c>
      <c r="F9" s="132">
        <v>72.562313790476821</v>
      </c>
      <c r="G9" s="132">
        <v>133.69198403512581</v>
      </c>
      <c r="H9" s="132">
        <v>118.00096884339597</v>
      </c>
      <c r="I9" s="132">
        <v>91.855725998794099</v>
      </c>
      <c r="J9" s="132">
        <v>59.570471059252483</v>
      </c>
      <c r="K9" s="132">
        <v>0</v>
      </c>
      <c r="L9" s="132">
        <v>20.232102814794498</v>
      </c>
      <c r="M9" s="132">
        <v>27.888184175261316</v>
      </c>
      <c r="N9" s="132">
        <v>11.297068613007422</v>
      </c>
      <c r="O9" s="132">
        <v>10.149022852381195</v>
      </c>
      <c r="P9" s="132">
        <v>24.703840763783081</v>
      </c>
      <c r="Q9" s="132">
        <v>36.240475913072224</v>
      </c>
      <c r="R9" s="132">
        <v>20.664746928287514</v>
      </c>
      <c r="S9" s="132">
        <v>30.19363834176794</v>
      </c>
      <c r="T9" s="132">
        <v>20.81969497335691</v>
      </c>
      <c r="U9" s="132">
        <v>21.988248786648022</v>
      </c>
      <c r="V9" s="132">
        <v>14.869106725172125</v>
      </c>
      <c r="W9" s="132">
        <v>10.145433640916535</v>
      </c>
      <c r="X9" s="132">
        <v>8.0086551417088412</v>
      </c>
      <c r="Y9" s="132">
        <v>8.2306825525030067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3.0190149071009986</v>
      </c>
      <c r="D10" s="132">
        <v>2.7210237017927188</v>
      </c>
      <c r="E10" s="132">
        <v>3.6417458570267884</v>
      </c>
      <c r="F10" s="132">
        <v>2.9833115173250944</v>
      </c>
      <c r="G10" s="132">
        <v>4.9443726711591411</v>
      </c>
      <c r="H10" s="132">
        <v>3.5364650843761467</v>
      </c>
      <c r="I10" s="132">
        <v>3.5102556698007721</v>
      </c>
      <c r="J10" s="132">
        <v>1.7714559742226172</v>
      </c>
      <c r="K10" s="132">
        <v>0.45298859511452355</v>
      </c>
      <c r="L10" s="132">
        <v>2.6384354202781743</v>
      </c>
      <c r="M10" s="132">
        <v>3.1247657295962941</v>
      </c>
      <c r="N10" s="132">
        <v>1.6459610122045241</v>
      </c>
      <c r="O10" s="132">
        <v>1.6395892600191491</v>
      </c>
      <c r="P10" s="132">
        <v>3.4462379364412561</v>
      </c>
      <c r="Q10" s="132">
        <v>3.2991411729759963</v>
      </c>
      <c r="R10" s="132">
        <v>0.65914955802829434</v>
      </c>
      <c r="S10" s="132">
        <v>0.740839137221597</v>
      </c>
      <c r="T10" s="132">
        <v>1.414459213080548</v>
      </c>
      <c r="U10" s="132">
        <v>1.6944869169427479</v>
      </c>
      <c r="V10" s="132">
        <v>1.4340654648064282</v>
      </c>
      <c r="W10" s="132">
        <v>1.2013135843123246</v>
      </c>
      <c r="X10" s="132">
        <v>0.86844855286313272</v>
      </c>
      <c r="Y10" s="132">
        <v>0.72397547641466597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</v>
      </c>
      <c r="D16" s="130">
        <f t="shared" si="6"/>
        <v>0</v>
      </c>
      <c r="E16" s="130">
        <f t="shared" si="6"/>
        <v>0</v>
      </c>
      <c r="F16" s="130">
        <f t="shared" si="6"/>
        <v>0</v>
      </c>
      <c r="G16" s="130">
        <f t="shared" si="6"/>
        <v>9.801603999119668E-2</v>
      </c>
      <c r="H16" s="130">
        <f t="shared" si="6"/>
        <v>2.5917584404172092E-2</v>
      </c>
      <c r="I16" s="130">
        <f t="shared" si="6"/>
        <v>5.4030781888799596E-2</v>
      </c>
      <c r="J16" s="130">
        <f t="shared" si="6"/>
        <v>9.3900582363000938E-3</v>
      </c>
      <c r="K16" s="130">
        <f t="shared" si="6"/>
        <v>1.1948533278872043E-2</v>
      </c>
      <c r="L16" s="130">
        <f t="shared" si="6"/>
        <v>5.6041825213380067E-3</v>
      </c>
      <c r="M16" s="130">
        <f t="shared" si="6"/>
        <v>1.7237499936752561E-2</v>
      </c>
      <c r="N16" s="130">
        <f t="shared" si="6"/>
        <v>1.0725349351896077E-2</v>
      </c>
      <c r="O16" s="130">
        <f t="shared" si="6"/>
        <v>2.9420740606599466E-2</v>
      </c>
      <c r="P16" s="130">
        <f t="shared" si="6"/>
        <v>9.7790112832981738E-2</v>
      </c>
      <c r="Q16" s="130">
        <f t="shared" si="6"/>
        <v>0.25208231140755227</v>
      </c>
      <c r="R16" s="130">
        <f t="shared" ref="R16:W16" si="7">SUM(R17:R18)</f>
        <v>8.7299668265106198E-2</v>
      </c>
      <c r="S16" s="130">
        <f t="shared" si="7"/>
        <v>0.1469316048453746</v>
      </c>
      <c r="T16" s="130">
        <f t="shared" si="7"/>
        <v>0.13058781638663192</v>
      </c>
      <c r="U16" s="130">
        <f t="shared" si="7"/>
        <v>9.9237870555711885E-2</v>
      </c>
      <c r="V16" s="130">
        <f t="shared" si="7"/>
        <v>0.13994371700206401</v>
      </c>
      <c r="W16" s="130">
        <f t="shared" si="7"/>
        <v>8.7588768052497656E-2</v>
      </c>
      <c r="X16" s="130">
        <f t="shared" ref="X16:Y16" si="8">SUM(X17:X18)</f>
        <v>7.1482414884761869E-2</v>
      </c>
      <c r="Y16" s="130">
        <f t="shared" si="8"/>
        <v>0.1074493965059435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9.801603999119668E-2</v>
      </c>
      <c r="H17" s="132">
        <v>2.5917584404172092E-2</v>
      </c>
      <c r="I17" s="132">
        <v>5.4030781888799596E-2</v>
      </c>
      <c r="J17" s="132">
        <v>9.3900582363000938E-3</v>
      </c>
      <c r="K17" s="132">
        <v>1.1948533278872043E-2</v>
      </c>
      <c r="L17" s="132">
        <v>5.6041825213380067E-3</v>
      </c>
      <c r="M17" s="132">
        <v>1.7237499936752561E-2</v>
      </c>
      <c r="N17" s="132">
        <v>1.0725349351896077E-2</v>
      </c>
      <c r="O17" s="132">
        <v>2.9420740606599466E-2</v>
      </c>
      <c r="P17" s="132">
        <v>9.7790112832981738E-2</v>
      </c>
      <c r="Q17" s="132">
        <v>0.25208231140755227</v>
      </c>
      <c r="R17" s="132">
        <v>8.7299668265106198E-2</v>
      </c>
      <c r="S17" s="132">
        <v>0.1469316048453746</v>
      </c>
      <c r="T17" s="132">
        <v>0.13058781638663192</v>
      </c>
      <c r="U17" s="132">
        <v>9.9237870555711885E-2</v>
      </c>
      <c r="V17" s="132">
        <v>0.13994371700206401</v>
      </c>
      <c r="W17" s="132">
        <v>8.7588768052497656E-2</v>
      </c>
      <c r="X17" s="132">
        <v>7.1482414884761869E-2</v>
      </c>
      <c r="Y17" s="132">
        <v>0.1074493965059435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3.7002856739551349</v>
      </c>
      <c r="D19" s="130">
        <f t="shared" si="9"/>
        <v>4.3021131633997669</v>
      </c>
      <c r="E19" s="130">
        <f t="shared" si="9"/>
        <v>5.2477667310992118</v>
      </c>
      <c r="F19" s="130">
        <f t="shared" si="9"/>
        <v>6.2254792220705486</v>
      </c>
      <c r="G19" s="130">
        <f t="shared" si="9"/>
        <v>9.4006090388714743</v>
      </c>
      <c r="H19" s="130">
        <f t="shared" si="9"/>
        <v>10.543604080002288</v>
      </c>
      <c r="I19" s="130">
        <f t="shared" si="9"/>
        <v>11.142560279315676</v>
      </c>
      <c r="J19" s="130">
        <f t="shared" si="9"/>
        <v>7.0979621282022514</v>
      </c>
      <c r="K19" s="130">
        <f t="shared" si="9"/>
        <v>1.400912596938513</v>
      </c>
      <c r="L19" s="130">
        <f t="shared" si="9"/>
        <v>3.9810871098839762</v>
      </c>
      <c r="M19" s="130">
        <f t="shared" si="9"/>
        <v>4.3227266345884194</v>
      </c>
      <c r="N19" s="130">
        <f t="shared" si="9"/>
        <v>1.9788600172054132</v>
      </c>
      <c r="O19" s="130">
        <f t="shared" si="9"/>
        <v>2.0835221898559952</v>
      </c>
      <c r="P19" s="130">
        <f t="shared" si="9"/>
        <v>4.5592823312674939</v>
      </c>
      <c r="Q19" s="130">
        <f t="shared" si="9"/>
        <v>7.6353252645888388</v>
      </c>
      <c r="R19" s="130">
        <f t="shared" ref="R19:W19" si="10">SUM(R20:R27)</f>
        <v>4.4630070396003907</v>
      </c>
      <c r="S19" s="130">
        <f t="shared" si="10"/>
        <v>6.7953283514368241</v>
      </c>
      <c r="T19" s="130">
        <f t="shared" si="10"/>
        <v>4.5627406740135097</v>
      </c>
      <c r="U19" s="130">
        <f t="shared" si="10"/>
        <v>5.5220773329953978</v>
      </c>
      <c r="V19" s="130">
        <f t="shared" si="10"/>
        <v>3.5935815224994698</v>
      </c>
      <c r="W19" s="130">
        <f t="shared" si="10"/>
        <v>2.7442732396137162</v>
      </c>
      <c r="X19" s="130">
        <f t="shared" ref="X19:Y19" si="11">SUM(X20:X27)</f>
        <v>1.2749161429882796</v>
      </c>
      <c r="Y19" s="130">
        <f t="shared" si="11"/>
        <v>0.71746850808219109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0</v>
      </c>
      <c r="Y22" s="132">
        <v>0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3.7002856739551349</v>
      </c>
      <c r="D23" s="132">
        <v>4.3021131633997669</v>
      </c>
      <c r="E23" s="132">
        <v>5.2477667310992118</v>
      </c>
      <c r="F23" s="132">
        <v>6.2254792220705486</v>
      </c>
      <c r="G23" s="132">
        <v>9.4006090388714743</v>
      </c>
      <c r="H23" s="132">
        <v>10.543604080002288</v>
      </c>
      <c r="I23" s="132">
        <v>11.142560279315676</v>
      </c>
      <c r="J23" s="132">
        <v>7.0979621282022514</v>
      </c>
      <c r="K23" s="132">
        <v>1.400912596938513</v>
      </c>
      <c r="L23" s="132">
        <v>3.9810871098839762</v>
      </c>
      <c r="M23" s="132">
        <v>4.3227266345884194</v>
      </c>
      <c r="N23" s="132">
        <v>1.9788600172054132</v>
      </c>
      <c r="O23" s="132">
        <v>2.0835221898559952</v>
      </c>
      <c r="P23" s="132">
        <v>4.5592823312674939</v>
      </c>
      <c r="Q23" s="132">
        <v>7.6353252645888388</v>
      </c>
      <c r="R23" s="132">
        <v>4.4630070396003907</v>
      </c>
      <c r="S23" s="132">
        <v>6.7953283514368241</v>
      </c>
      <c r="T23" s="132">
        <v>4.5627406740135097</v>
      </c>
      <c r="U23" s="132">
        <v>5.5220773329953978</v>
      </c>
      <c r="V23" s="132">
        <v>3.5935815224994698</v>
      </c>
      <c r="W23" s="132">
        <v>2.7442732396137162</v>
      </c>
      <c r="X23" s="132">
        <v>1.2749161429882796</v>
      </c>
      <c r="Y23" s="132">
        <v>0.71746850808219109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5.9758685166014551</v>
      </c>
      <c r="D29" s="130">
        <f t="shared" si="12"/>
        <v>5.3997055828319027</v>
      </c>
      <c r="E29" s="130">
        <f t="shared" si="12"/>
        <v>6.5745391109135474</v>
      </c>
      <c r="F29" s="130">
        <f t="shared" si="12"/>
        <v>6.9503053941615685</v>
      </c>
      <c r="G29" s="130">
        <f t="shared" si="12"/>
        <v>12.007576374449554</v>
      </c>
      <c r="H29" s="130">
        <f t="shared" si="12"/>
        <v>11.473723999695837</v>
      </c>
      <c r="I29" s="130">
        <f t="shared" si="12"/>
        <v>11.775360160844292</v>
      </c>
      <c r="J29" s="130">
        <f t="shared" si="12"/>
        <v>8.8572823715726035</v>
      </c>
      <c r="K29" s="130">
        <f t="shared" si="12"/>
        <v>1.6067855539249882</v>
      </c>
      <c r="L29" s="130">
        <f t="shared" si="12"/>
        <v>6.8317981804070964</v>
      </c>
      <c r="M29" s="130">
        <f t="shared" si="12"/>
        <v>5.8191961773159848</v>
      </c>
      <c r="N29" s="130">
        <f t="shared" si="12"/>
        <v>3.4629458328721263</v>
      </c>
      <c r="O29" s="130">
        <f t="shared" si="12"/>
        <v>3.5088366157386601</v>
      </c>
      <c r="P29" s="130">
        <f t="shared" si="12"/>
        <v>6.5666520774014616</v>
      </c>
      <c r="Q29" s="130">
        <f t="shared" si="12"/>
        <v>10.528032153013649</v>
      </c>
      <c r="R29" s="130">
        <f t="shared" ref="R29:W29" si="13">SUM(R30:R33)</f>
        <v>9.7067001079015238</v>
      </c>
      <c r="S29" s="130">
        <f t="shared" si="13"/>
        <v>14.579983299584962</v>
      </c>
      <c r="T29" s="130">
        <f t="shared" si="13"/>
        <v>9.5043284117093183</v>
      </c>
      <c r="U29" s="130">
        <f t="shared" si="13"/>
        <v>9.8373628116591316</v>
      </c>
      <c r="V29" s="130">
        <f t="shared" si="13"/>
        <v>5.8115672691931186</v>
      </c>
      <c r="W29" s="130">
        <f t="shared" si="13"/>
        <v>3.7845153467898407</v>
      </c>
      <c r="X29" s="130">
        <f t="shared" ref="X29:Y29" si="14">SUM(X30:X33)</f>
        <v>1.8790308210830826</v>
      </c>
      <c r="Y29" s="130">
        <f t="shared" si="14"/>
        <v>2.1937233897389539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0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0</v>
      </c>
      <c r="L30" s="132">
        <v>0</v>
      </c>
      <c r="M30" s="132">
        <v>0</v>
      </c>
      <c r="N30" s="132">
        <v>0</v>
      </c>
      <c r="O30" s="132">
        <v>0</v>
      </c>
      <c r="P30" s="132">
        <v>0</v>
      </c>
      <c r="Q30" s="132">
        <v>0</v>
      </c>
      <c r="R30" s="132">
        <v>0</v>
      </c>
      <c r="S30" s="132">
        <v>0</v>
      </c>
      <c r="T30" s="132">
        <v>0</v>
      </c>
      <c r="U30" s="132">
        <v>0</v>
      </c>
      <c r="V30" s="132">
        <v>0</v>
      </c>
      <c r="W30" s="132">
        <v>0</v>
      </c>
      <c r="X30" s="132">
        <v>0</v>
      </c>
      <c r="Y30" s="132">
        <v>0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5.9758685166014551</v>
      </c>
      <c r="D31" s="132">
        <v>5.3997055828319027</v>
      </c>
      <c r="E31" s="132">
        <v>6.5745391109135474</v>
      </c>
      <c r="F31" s="132">
        <v>6.9503053941615685</v>
      </c>
      <c r="G31" s="132">
        <v>12.007576374449554</v>
      </c>
      <c r="H31" s="132">
        <v>11.473723999695837</v>
      </c>
      <c r="I31" s="132">
        <v>11.775360160844292</v>
      </c>
      <c r="J31" s="132">
        <v>8.8572823715726035</v>
      </c>
      <c r="K31" s="132">
        <v>1.6067855539249882</v>
      </c>
      <c r="L31" s="132">
        <v>6.8317981804070964</v>
      </c>
      <c r="M31" s="132">
        <v>5.8191961773159848</v>
      </c>
      <c r="N31" s="132">
        <v>3.4629458328721263</v>
      </c>
      <c r="O31" s="132">
        <v>3.5088366157386601</v>
      </c>
      <c r="P31" s="132">
        <v>6.5666520774014616</v>
      </c>
      <c r="Q31" s="132">
        <v>10.528032153013649</v>
      </c>
      <c r="R31" s="132">
        <v>9.7067001079015238</v>
      </c>
      <c r="S31" s="132">
        <v>14.579983299584962</v>
      </c>
      <c r="T31" s="132">
        <v>9.5043284117093183</v>
      </c>
      <c r="U31" s="132">
        <v>9.8373628116591316</v>
      </c>
      <c r="V31" s="132">
        <v>5.8115672691931186</v>
      </c>
      <c r="W31" s="132">
        <v>3.7845153467898407</v>
      </c>
      <c r="X31" s="132">
        <v>1.8790308210830826</v>
      </c>
      <c r="Y31" s="132">
        <v>2.1937233897389539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163978.5200921607</v>
      </c>
      <c r="D3" s="125">
        <f>IF(SER_hh_fec_in!D3=0,0,11630*1000*SER_hh_fec_in!D3/SER_hh_num_in!D3)</f>
        <v>157906.34169464745</v>
      </c>
      <c r="E3" s="125">
        <f>IF(SER_hh_fec_in!E3=0,0,11630*1000*SER_hh_fec_in!E3/SER_hh_num_in!E3)</f>
        <v>158428.43567762803</v>
      </c>
      <c r="F3" s="125">
        <f>IF(SER_hh_fec_in!F3=0,0,11630*1000*SER_hh_fec_in!F3/SER_hh_num_in!F3)</f>
        <v>147696.06572396171</v>
      </c>
      <c r="G3" s="125">
        <f>IF(SER_hh_fec_in!G3=0,0,11630*1000*SER_hh_fec_in!G3/SER_hh_num_in!G3)</f>
        <v>131638.97868545764</v>
      </c>
      <c r="H3" s="125">
        <f>IF(SER_hh_fec_in!H3=0,0,11630*1000*SER_hh_fec_in!H3/SER_hh_num_in!H3)</f>
        <v>116182.7893851241</v>
      </c>
      <c r="I3" s="125">
        <f>IF(SER_hh_fec_in!I3=0,0,11630*1000*SER_hh_fec_in!I3/SER_hh_num_in!I3)</f>
        <v>107564.95117002314</v>
      </c>
      <c r="J3" s="125">
        <f>IF(SER_hh_fec_in!J3=0,0,11630*1000*SER_hh_fec_in!J3/SER_hh_num_in!J3)</f>
        <v>108103.86331069696</v>
      </c>
      <c r="K3" s="125">
        <f>IF(SER_hh_fec_in!K3=0,0,11630*1000*SER_hh_fec_in!K3/SER_hh_num_in!K3)</f>
        <v>87890.911481018862</v>
      </c>
      <c r="L3" s="125">
        <f>IF(SER_hh_fec_in!L3=0,0,11630*1000*SER_hh_fec_in!L3/SER_hh_num_in!L3)</f>
        <v>101414.33161678472</v>
      </c>
      <c r="M3" s="125">
        <f>IF(SER_hh_fec_in!M3=0,0,11630*1000*SER_hh_fec_in!M3/SER_hh_num_in!M3)</f>
        <v>94569.956777975603</v>
      </c>
      <c r="N3" s="125">
        <f>IF(SER_hh_fec_in!N3=0,0,11630*1000*SER_hh_fec_in!N3/SER_hh_num_in!N3)</f>
        <v>87927.540107243622</v>
      </c>
      <c r="O3" s="125">
        <f>IF(SER_hh_fec_in!O3=0,0,11630*1000*SER_hh_fec_in!O3/SER_hh_num_in!O3)</f>
        <v>84925.660376431784</v>
      </c>
      <c r="P3" s="125">
        <f>IF(SER_hh_fec_in!P3=0,0,11630*1000*SER_hh_fec_in!P3/SER_hh_num_in!P3)</f>
        <v>76478.039013477231</v>
      </c>
      <c r="Q3" s="125">
        <f>IF(SER_hh_fec_in!Q3=0,0,11630*1000*SER_hh_fec_in!Q3/SER_hh_num_in!Q3)</f>
        <v>74753.918718792294</v>
      </c>
      <c r="R3" s="125">
        <f>IF(SER_hh_fec_in!R3=0,0,11630*1000*SER_hh_fec_in!R3/SER_hh_num_in!R3)</f>
        <v>71461.037830722446</v>
      </c>
      <c r="S3" s="125">
        <f>IF(SER_hh_fec_in!S3=0,0,11630*1000*SER_hh_fec_in!S3/SER_hh_num_in!S3)</f>
        <v>71379.935456955674</v>
      </c>
      <c r="T3" s="125">
        <f>IF(SER_hh_fec_in!T3=0,0,11630*1000*SER_hh_fec_in!T3/SER_hh_num_in!T3)</f>
        <v>64992.199471284395</v>
      </c>
      <c r="U3" s="125">
        <f>IF(SER_hh_fec_in!U3=0,0,11630*1000*SER_hh_fec_in!U3/SER_hh_num_in!U3)</f>
        <v>63193.644812715742</v>
      </c>
      <c r="V3" s="125">
        <f>IF(SER_hh_fec_in!V3=0,0,11630*1000*SER_hh_fec_in!V3/SER_hh_num_in!V3)</f>
        <v>53975.588164716013</v>
      </c>
      <c r="W3" s="125">
        <f>IF(SER_hh_fec_in!W3=0,0,11630*1000*SER_hh_fec_in!W3/SER_hh_num_in!W3)</f>
        <v>47772.397543994586</v>
      </c>
      <c r="X3" s="125">
        <f>IF(SER_hh_fec_in!X3=0,0,11630*1000*SER_hh_fec_in!X3/SER_hh_num_in!X3)</f>
        <v>44971.84005974092</v>
      </c>
      <c r="Y3" s="125">
        <f>IF(SER_hh_fec_in!Y3=0,0,11630*1000*SER_hh_fec_in!Y3/SER_hh_num_in!Y3)</f>
        <v>43901.707291713377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134707.33078918199</v>
      </c>
      <c r="D4" s="130">
        <f>IF(SER_hh_fec_in!D4=0,0,11630*1000*SER_hh_fec_in!D4/SER_hh_num_in!D4)</f>
        <v>125246.00406144981</v>
      </c>
      <c r="E4" s="130">
        <f>IF(SER_hh_fec_in!E4=0,0,11630*1000*SER_hh_fec_in!E4/SER_hh_num_in!E4)</f>
        <v>130209.34692659357</v>
      </c>
      <c r="F4" s="130">
        <f>IF(SER_hh_fec_in!F4=0,0,11630*1000*SER_hh_fec_in!F4/SER_hh_num_in!F4)</f>
        <v>120388.55247783438</v>
      </c>
      <c r="G4" s="130">
        <f>IF(SER_hh_fec_in!G4=0,0,11630*1000*SER_hh_fec_in!G4/SER_hh_num_in!G4)</f>
        <v>104093.75508887693</v>
      </c>
      <c r="H4" s="130">
        <f>IF(SER_hh_fec_in!H4=0,0,11630*1000*SER_hh_fec_in!H4/SER_hh_num_in!H4)</f>
        <v>88329.133223952726</v>
      </c>
      <c r="I4" s="130">
        <f>IF(SER_hh_fec_in!I4=0,0,11630*1000*SER_hh_fec_in!I4/SER_hh_num_in!I4)</f>
        <v>79130.002215082757</v>
      </c>
      <c r="J4" s="130">
        <f>IF(SER_hh_fec_in!J4=0,0,11630*1000*SER_hh_fec_in!J4/SER_hh_num_in!J4)</f>
        <v>78725.986388672594</v>
      </c>
      <c r="K4" s="130">
        <f>IF(SER_hh_fec_in!K4=0,0,11630*1000*SER_hh_fec_in!K4/SER_hh_num_in!K4)</f>
        <v>57466.817883340183</v>
      </c>
      <c r="L4" s="130">
        <f>IF(SER_hh_fec_in!L4=0,0,11630*1000*SER_hh_fec_in!L4/SER_hh_num_in!L4)</f>
        <v>71072.253078019217</v>
      </c>
      <c r="M4" s="130">
        <f>IF(SER_hh_fec_in!M4=0,0,11630*1000*SER_hh_fec_in!M4/SER_hh_num_in!M4)</f>
        <v>64988.960102542493</v>
      </c>
      <c r="N4" s="130">
        <f>IF(SER_hh_fec_in!N4=0,0,11630*1000*SER_hh_fec_in!N4/SER_hh_num_in!N4)</f>
        <v>58770.023912748598</v>
      </c>
      <c r="O4" s="130">
        <f>IF(SER_hh_fec_in!O4=0,0,11630*1000*SER_hh_fec_in!O4/SER_hh_num_in!O4)</f>
        <v>55683.679724284157</v>
      </c>
      <c r="P4" s="130">
        <f>IF(SER_hh_fec_in!P4=0,0,11630*1000*SER_hh_fec_in!P4/SER_hh_num_in!P4)</f>
        <v>48432.348203726448</v>
      </c>
      <c r="Q4" s="130">
        <f>IF(SER_hh_fec_in!Q4=0,0,11630*1000*SER_hh_fec_in!Q4/SER_hh_num_in!Q4)</f>
        <v>45823.716238584951</v>
      </c>
      <c r="R4" s="130">
        <f>IF(SER_hh_fec_in!R4=0,0,11630*1000*SER_hh_fec_in!R4/SER_hh_num_in!R4)</f>
        <v>43504.335484860654</v>
      </c>
      <c r="S4" s="130">
        <f>IF(SER_hh_fec_in!S4=0,0,11630*1000*SER_hh_fec_in!S4/SER_hh_num_in!S4)</f>
        <v>42871.450815337834</v>
      </c>
      <c r="T4" s="130">
        <f>IF(SER_hh_fec_in!T4=0,0,11630*1000*SER_hh_fec_in!T4/SER_hh_num_in!T4)</f>
        <v>37963.609417061787</v>
      </c>
      <c r="U4" s="130">
        <f>IF(SER_hh_fec_in!U4=0,0,11630*1000*SER_hh_fec_in!U4/SER_hh_num_in!U4)</f>
        <v>36390.766425883201</v>
      </c>
      <c r="V4" s="130">
        <f>IF(SER_hh_fec_in!V4=0,0,11630*1000*SER_hh_fec_in!V4/SER_hh_num_in!V4)</f>
        <v>30210.406849860141</v>
      </c>
      <c r="W4" s="130">
        <f>IF(SER_hh_fec_in!W4=0,0,11630*1000*SER_hh_fec_in!W4/SER_hh_num_in!W4)</f>
        <v>24656.942112374818</v>
      </c>
      <c r="X4" s="130">
        <f>IF(SER_hh_fec_in!X4=0,0,11630*1000*SER_hh_fec_in!X4/SER_hh_num_in!X4)</f>
        <v>22408.713457250426</v>
      </c>
      <c r="Y4" s="130">
        <f>IF(SER_hh_fec_in!Y4=0,0,11630*1000*SER_hh_fec_in!Y4/SER_hh_num_in!Y4)</f>
        <v>20308.824452145203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0</v>
      </c>
      <c r="D5" s="132">
        <f>IF(SER_hh_fec_in!D5=0,0,11630*1000*SER_hh_fec_in!D5/SER_hh_num_in!D5)</f>
        <v>0</v>
      </c>
      <c r="E5" s="132">
        <f>IF(SER_hh_fec_in!E5=0,0,11630*1000*SER_hh_fec_in!E5/SER_hh_num_in!E5)</f>
        <v>166366.7555732085</v>
      </c>
      <c r="F5" s="132">
        <f>IF(SER_hh_fec_in!F5=0,0,11630*1000*SER_hh_fec_in!F5/SER_hh_num_in!F5)</f>
        <v>177115.65552621675</v>
      </c>
      <c r="G5" s="132">
        <f>IF(SER_hh_fec_in!G5=0,0,11630*1000*SER_hh_fec_in!G5/SER_hh_num_in!G5)</f>
        <v>0</v>
      </c>
      <c r="H5" s="132">
        <f>IF(SER_hh_fec_in!H5=0,0,11630*1000*SER_hh_fec_in!H5/SER_hh_num_in!H5)</f>
        <v>0</v>
      </c>
      <c r="I5" s="132">
        <f>IF(SER_hh_fec_in!I5=0,0,11630*1000*SER_hh_fec_in!I5/SER_hh_num_in!I5)</f>
        <v>0</v>
      </c>
      <c r="J5" s="132">
        <f>IF(SER_hh_fec_in!J5=0,0,11630*1000*SER_hh_fec_in!J5/SER_hh_num_in!J5)</f>
        <v>0</v>
      </c>
      <c r="K5" s="132">
        <f>IF(SER_hh_fec_in!K5=0,0,11630*1000*SER_hh_fec_in!K5/SER_hh_num_in!K5)</f>
        <v>0</v>
      </c>
      <c r="L5" s="132">
        <f>IF(SER_hh_fec_in!L5=0,0,11630*1000*SER_hh_fec_in!L5/SER_hh_num_in!L5)</f>
        <v>0</v>
      </c>
      <c r="M5" s="132">
        <f>IF(SER_hh_fec_in!M5=0,0,11630*1000*SER_hh_fec_in!M5/SER_hh_num_in!M5)</f>
        <v>0</v>
      </c>
      <c r="N5" s="132">
        <f>IF(SER_hh_fec_in!N5=0,0,11630*1000*SER_hh_fec_in!N5/SER_hh_num_in!N5)</f>
        <v>61687.933224407694</v>
      </c>
      <c r="O5" s="132">
        <f>IF(SER_hh_fec_in!O5=0,0,11630*1000*SER_hh_fec_in!O5/SER_hh_num_in!O5)</f>
        <v>64047.573868316038</v>
      </c>
      <c r="P5" s="132">
        <f>IF(SER_hh_fec_in!P5=0,0,11630*1000*SER_hh_fec_in!P5/SER_hh_num_in!P5)</f>
        <v>53707.883490306733</v>
      </c>
      <c r="Q5" s="132">
        <f>IF(SER_hh_fec_in!Q5=0,0,11630*1000*SER_hh_fec_in!Q5/SER_hh_num_in!Q5)</f>
        <v>0</v>
      </c>
      <c r="R5" s="132">
        <f>IF(SER_hh_fec_in!R5=0,0,11630*1000*SER_hh_fec_in!R5/SER_hh_num_in!R5)</f>
        <v>54209.540222175674</v>
      </c>
      <c r="S5" s="132">
        <f>IF(SER_hh_fec_in!S5=0,0,11630*1000*SER_hh_fec_in!S5/SER_hh_num_in!S5)</f>
        <v>0</v>
      </c>
      <c r="T5" s="132">
        <f>IF(SER_hh_fec_in!T5=0,0,11630*1000*SER_hh_fec_in!T5/SER_hh_num_in!T5)</f>
        <v>0</v>
      </c>
      <c r="U5" s="132">
        <f>IF(SER_hh_fec_in!U5=0,0,11630*1000*SER_hh_fec_in!U5/SER_hh_num_in!U5)</f>
        <v>42722.591753084984</v>
      </c>
      <c r="V5" s="132">
        <f>IF(SER_hh_fec_in!V5=0,0,11630*1000*SER_hh_fec_in!V5/SER_hh_num_in!V5)</f>
        <v>31296.317479573459</v>
      </c>
      <c r="W5" s="132">
        <f>IF(SER_hh_fec_in!W5=0,0,11630*1000*SER_hh_fec_in!W5/SER_hh_num_in!W5)</f>
        <v>30040.799340976817</v>
      </c>
      <c r="X5" s="132">
        <f>IF(SER_hh_fec_in!X5=0,0,11630*1000*SER_hh_fec_in!X5/SER_hh_num_in!X5)</f>
        <v>30846.410205826625</v>
      </c>
      <c r="Y5" s="132">
        <f>IF(SER_hh_fec_in!Y5=0,0,11630*1000*SER_hh_fec_in!Y5/SER_hh_num_in!Y5)</f>
        <v>0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0</v>
      </c>
      <c r="D6" s="132">
        <f>IF(SER_hh_fec_in!D6=0,0,11630*1000*SER_hh_fec_in!D6/SER_hh_num_in!D6)</f>
        <v>0</v>
      </c>
      <c r="E6" s="132">
        <f>IF(SER_hh_fec_in!E6=0,0,11630*1000*SER_hh_fec_in!E6/SER_hh_num_in!E6)</f>
        <v>0</v>
      </c>
      <c r="F6" s="132">
        <f>IF(SER_hh_fec_in!F6=0,0,11630*1000*SER_hh_fec_in!F6/SER_hh_num_in!F6)</f>
        <v>0</v>
      </c>
      <c r="G6" s="132">
        <f>IF(SER_hh_fec_in!G6=0,0,11630*1000*SER_hh_fec_in!G6/SER_hh_num_in!G6)</f>
        <v>0</v>
      </c>
      <c r="H6" s="132">
        <f>IF(SER_hh_fec_in!H6=0,0,11630*1000*SER_hh_fec_in!H6/SER_hh_num_in!H6)</f>
        <v>0</v>
      </c>
      <c r="I6" s="132">
        <f>IF(SER_hh_fec_in!I6=0,0,11630*1000*SER_hh_fec_in!I6/SER_hh_num_in!I6)</f>
        <v>0</v>
      </c>
      <c r="J6" s="132">
        <f>IF(SER_hh_fec_in!J6=0,0,11630*1000*SER_hh_fec_in!J6/SER_hh_num_in!J6)</f>
        <v>0</v>
      </c>
      <c r="K6" s="132">
        <f>IF(SER_hh_fec_in!K6=0,0,11630*1000*SER_hh_fec_in!K6/SER_hh_num_in!K6)</f>
        <v>0</v>
      </c>
      <c r="L6" s="132">
        <f>IF(SER_hh_fec_in!L6=0,0,11630*1000*SER_hh_fec_in!L6/SER_hh_num_in!L6)</f>
        <v>0</v>
      </c>
      <c r="M6" s="132">
        <f>IF(SER_hh_fec_in!M6=0,0,11630*1000*SER_hh_fec_in!M6/SER_hh_num_in!M6)</f>
        <v>0</v>
      </c>
      <c r="N6" s="132">
        <f>IF(SER_hh_fec_in!N6=0,0,11630*1000*SER_hh_fec_in!N6/SER_hh_num_in!N6)</f>
        <v>0</v>
      </c>
      <c r="O6" s="132">
        <f>IF(SER_hh_fec_in!O6=0,0,11630*1000*SER_hh_fec_in!O6/SER_hh_num_in!O6)</f>
        <v>0</v>
      </c>
      <c r="P6" s="132">
        <f>IF(SER_hh_fec_in!P6=0,0,11630*1000*SER_hh_fec_in!P6/SER_hh_num_in!P6)</f>
        <v>0</v>
      </c>
      <c r="Q6" s="132">
        <f>IF(SER_hh_fec_in!Q6=0,0,11630*1000*SER_hh_fec_in!Q6/SER_hh_num_in!Q6)</f>
        <v>0</v>
      </c>
      <c r="R6" s="132">
        <f>IF(SER_hh_fec_in!R6=0,0,11630*1000*SER_hh_fec_in!R6/SER_hh_num_in!R6)</f>
        <v>0</v>
      </c>
      <c r="S6" s="132">
        <f>IF(SER_hh_fec_in!S6=0,0,11630*1000*SER_hh_fec_in!S6/SER_hh_num_in!S6)</f>
        <v>0</v>
      </c>
      <c r="T6" s="132">
        <f>IF(SER_hh_fec_in!T6=0,0,11630*1000*SER_hh_fec_in!T6/SER_hh_num_in!T6)</f>
        <v>0</v>
      </c>
      <c r="U6" s="132">
        <f>IF(SER_hh_fec_in!U6=0,0,11630*1000*SER_hh_fec_in!U6/SER_hh_num_in!U6)</f>
        <v>0</v>
      </c>
      <c r="V6" s="132">
        <f>IF(SER_hh_fec_in!V6=0,0,11630*1000*SER_hh_fec_in!V6/SER_hh_num_in!V6)</f>
        <v>0</v>
      </c>
      <c r="W6" s="132">
        <f>IF(SER_hh_fec_in!W6=0,0,11630*1000*SER_hh_fec_in!W6/SER_hh_num_in!W6)</f>
        <v>0</v>
      </c>
      <c r="X6" s="132">
        <f>IF(SER_hh_fec_in!X6=0,0,11630*1000*SER_hh_fec_in!X6/SER_hh_num_in!X6)</f>
        <v>0</v>
      </c>
      <c r="Y6" s="132">
        <f>IF(SER_hh_fec_in!Y6=0,0,11630*1000*SER_hh_fec_in!Y6/SER_hh_num_in!Y6)</f>
        <v>0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72666.992262468397</v>
      </c>
      <c r="D7" s="132">
        <f>IF(SER_hh_fec_in!D7=0,0,11630*1000*SER_hh_fec_in!D7/SER_hh_num_in!D7)</f>
        <v>187480.64815299396</v>
      </c>
      <c r="E7" s="132">
        <f>IF(SER_hh_fec_in!E7=0,0,11630*1000*SER_hh_fec_in!E7/SER_hh_num_in!E7)</f>
        <v>145143.08494195328</v>
      </c>
      <c r="F7" s="132">
        <f>IF(SER_hh_fec_in!F7=0,0,11630*1000*SER_hh_fec_in!F7/SER_hh_num_in!F7)</f>
        <v>153949.52204759617</v>
      </c>
      <c r="G7" s="132">
        <f>IF(SER_hh_fec_in!G7=0,0,11630*1000*SER_hh_fec_in!G7/SER_hh_num_in!G7)</f>
        <v>103275.82685039722</v>
      </c>
      <c r="H7" s="132">
        <f>IF(SER_hh_fec_in!H7=0,0,11630*1000*SER_hh_fec_in!H7/SER_hh_num_in!H7)</f>
        <v>108573.11689822357</v>
      </c>
      <c r="I7" s="132">
        <f>IF(SER_hh_fec_in!I7=0,0,11630*1000*SER_hh_fec_in!I7/SER_hh_num_in!I7)</f>
        <v>99436.269298206753</v>
      </c>
      <c r="J7" s="132">
        <f>IF(SER_hh_fec_in!J7=0,0,11630*1000*SER_hh_fec_in!J7/SER_hh_num_in!J7)</f>
        <v>99735.624150197982</v>
      </c>
      <c r="K7" s="132">
        <f>IF(SER_hh_fec_in!K7=0,0,11630*1000*SER_hh_fec_in!K7/SER_hh_num_in!K7)</f>
        <v>0</v>
      </c>
      <c r="L7" s="132">
        <f>IF(SER_hh_fec_in!L7=0,0,11630*1000*SER_hh_fec_in!L7/SER_hh_num_in!L7)</f>
        <v>92462.953793630193</v>
      </c>
      <c r="M7" s="132">
        <f>IF(SER_hh_fec_in!M7=0,0,11630*1000*SER_hh_fec_in!M7/SER_hh_num_in!M7)</f>
        <v>64824.029737302619</v>
      </c>
      <c r="N7" s="132">
        <f>IF(SER_hh_fec_in!N7=0,0,11630*1000*SER_hh_fec_in!N7/SER_hh_num_in!N7)</f>
        <v>89282.778942033008</v>
      </c>
      <c r="O7" s="132">
        <f>IF(SER_hh_fec_in!O7=0,0,11630*1000*SER_hh_fec_in!O7/SER_hh_num_in!O7)</f>
        <v>61882.364915981496</v>
      </c>
      <c r="P7" s="132">
        <f>IF(SER_hh_fec_in!P7=0,0,11630*1000*SER_hh_fec_in!P7/SER_hh_num_in!P7)</f>
        <v>36594.159668621578</v>
      </c>
      <c r="Q7" s="132">
        <f>IF(SER_hh_fec_in!Q7=0,0,11630*1000*SER_hh_fec_in!Q7/SER_hh_num_in!Q7)</f>
        <v>61424.311279110094</v>
      </c>
      <c r="R7" s="132">
        <f>IF(SER_hh_fec_in!R7=0,0,11630*1000*SER_hh_fec_in!R7/SER_hh_num_in!R7)</f>
        <v>54285.313403997694</v>
      </c>
      <c r="S7" s="132">
        <f>IF(SER_hh_fec_in!S7=0,0,11630*1000*SER_hh_fec_in!S7/SER_hh_num_in!S7)</f>
        <v>53563.590770447627</v>
      </c>
      <c r="T7" s="132">
        <f>IF(SER_hh_fec_in!T7=0,0,11630*1000*SER_hh_fec_in!T7/SER_hh_num_in!T7)</f>
        <v>0</v>
      </c>
      <c r="U7" s="132">
        <f>IF(SER_hh_fec_in!U7=0,0,11630*1000*SER_hh_fec_in!U7/SER_hh_num_in!U7)</f>
        <v>34091.322535137195</v>
      </c>
      <c r="V7" s="132">
        <f>IF(SER_hh_fec_in!V7=0,0,11630*1000*SER_hh_fec_in!V7/SER_hh_num_in!V7)</f>
        <v>35778.430473185814</v>
      </c>
      <c r="W7" s="132">
        <f>IF(SER_hh_fec_in!W7=0,0,11630*1000*SER_hh_fec_in!W7/SER_hh_num_in!W7)</f>
        <v>34526.987656125457</v>
      </c>
      <c r="X7" s="132">
        <f>IF(SER_hh_fec_in!X7=0,0,11630*1000*SER_hh_fec_in!X7/SER_hh_num_in!X7)</f>
        <v>25851.725399703013</v>
      </c>
      <c r="Y7" s="132">
        <f>IF(SER_hh_fec_in!Y7=0,0,11630*1000*SER_hh_fec_in!Y7/SER_hh_num_in!Y7)</f>
        <v>29189.888927963064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0</v>
      </c>
      <c r="D8" s="132">
        <f>IF(SER_hh_fec_in!D8=0,0,11630*1000*SER_hh_fec_in!D8/SER_hh_num_in!D8)</f>
        <v>0</v>
      </c>
      <c r="E8" s="132">
        <f>IF(SER_hh_fec_in!E8=0,0,11630*1000*SER_hh_fec_in!E8/SER_hh_num_in!E8)</f>
        <v>0</v>
      </c>
      <c r="F8" s="132">
        <f>IF(SER_hh_fec_in!F8=0,0,11630*1000*SER_hh_fec_in!F8/SER_hh_num_in!F8)</f>
        <v>0</v>
      </c>
      <c r="G8" s="132">
        <f>IF(SER_hh_fec_in!G8=0,0,11630*1000*SER_hh_fec_in!G8/SER_hh_num_in!G8)</f>
        <v>16471.548574378594</v>
      </c>
      <c r="H8" s="132">
        <f>IF(SER_hh_fec_in!H8=0,0,11630*1000*SER_hh_fec_in!H8/SER_hh_num_in!H8)</f>
        <v>18349.519513745334</v>
      </c>
      <c r="I8" s="132">
        <f>IF(SER_hh_fec_in!I8=0,0,11630*1000*SER_hh_fec_in!I8/SER_hh_num_in!I8)</f>
        <v>19623.064313678475</v>
      </c>
      <c r="J8" s="132">
        <f>IF(SER_hh_fec_in!J8=0,0,11630*1000*SER_hh_fec_in!J8/SER_hh_num_in!J8)</f>
        <v>20909.914284171657</v>
      </c>
      <c r="K8" s="132">
        <f>IF(SER_hh_fec_in!K8=0,0,11630*1000*SER_hh_fec_in!K8/SER_hh_num_in!K8)</f>
        <v>18469.528598864268</v>
      </c>
      <c r="L8" s="132">
        <f>IF(SER_hh_fec_in!L8=0,0,11630*1000*SER_hh_fec_in!L8/SER_hh_num_in!L8)</f>
        <v>15276.779753985355</v>
      </c>
      <c r="M8" s="132">
        <f>IF(SER_hh_fec_in!M8=0,0,11630*1000*SER_hh_fec_in!M8/SER_hh_num_in!M8)</f>
        <v>13454.726376582703</v>
      </c>
      <c r="N8" s="132">
        <f>IF(SER_hh_fec_in!N8=0,0,11630*1000*SER_hh_fec_in!N8/SER_hh_num_in!N8)</f>
        <v>11009.246474778283</v>
      </c>
      <c r="O8" s="132">
        <f>IF(SER_hh_fec_in!O8=0,0,11630*1000*SER_hh_fec_in!O8/SER_hh_num_in!O8)</f>
        <v>11308.224031081993</v>
      </c>
      <c r="P8" s="132">
        <f>IF(SER_hh_fec_in!P8=0,0,11630*1000*SER_hh_fec_in!P8/SER_hh_num_in!P8)</f>
        <v>11596.123388553446</v>
      </c>
      <c r="Q8" s="132">
        <f>IF(SER_hh_fec_in!Q8=0,0,11630*1000*SER_hh_fec_in!Q8/SER_hh_num_in!Q8)</f>
        <v>10092.917802643558</v>
      </c>
      <c r="R8" s="132">
        <f>IF(SER_hh_fec_in!R8=0,0,11630*1000*SER_hh_fec_in!R8/SER_hh_num_in!R8)</f>
        <v>9112.3481171748081</v>
      </c>
      <c r="S8" s="132">
        <f>IF(SER_hh_fec_in!S8=0,0,11630*1000*SER_hh_fec_in!S8/SER_hh_num_in!S8)</f>
        <v>8281.693619241325</v>
      </c>
      <c r="T8" s="132">
        <f>IF(SER_hh_fec_in!T8=0,0,11630*1000*SER_hh_fec_in!T8/SER_hh_num_in!T8)</f>
        <v>7563.6610447139328</v>
      </c>
      <c r="U8" s="132">
        <f>IF(SER_hh_fec_in!U8=0,0,11630*1000*SER_hh_fec_in!U8/SER_hh_num_in!U8)</f>
        <v>7135.8053039981833</v>
      </c>
      <c r="V8" s="132">
        <f>IF(SER_hh_fec_in!V8=0,0,11630*1000*SER_hh_fec_in!V8/SER_hh_num_in!V8)</f>
        <v>6287.6994847188334</v>
      </c>
      <c r="W8" s="132">
        <f>IF(SER_hh_fec_in!W8=0,0,11630*1000*SER_hh_fec_in!W8/SER_hh_num_in!W8)</f>
        <v>5227.0852491448068</v>
      </c>
      <c r="X8" s="132">
        <f>IF(SER_hh_fec_in!X8=0,0,11630*1000*SER_hh_fec_in!X8/SER_hh_num_in!X8)</f>
        <v>4895.0354328471794</v>
      </c>
      <c r="Y8" s="132">
        <f>IF(SER_hh_fec_in!Y8=0,0,11630*1000*SER_hh_fec_in!Y8/SER_hh_num_in!Y8)</f>
        <v>4650.0048520294549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162661.29706418855</v>
      </c>
      <c r="D9" s="132">
        <f>IF(SER_hh_fec_in!D9=0,0,11630*1000*SER_hh_fec_in!D9/SER_hh_num_in!D9)</f>
        <v>140862.99698276186</v>
      </c>
      <c r="E9" s="132">
        <f>IF(SER_hh_fec_in!E9=0,0,11630*1000*SER_hh_fec_in!E9/SER_hh_num_in!E9)</f>
        <v>137096.36146851711</v>
      </c>
      <c r="F9" s="132">
        <f>IF(SER_hh_fec_in!F9=0,0,11630*1000*SER_hh_fec_in!F9/SER_hh_num_in!F9)</f>
        <v>124192.98871362003</v>
      </c>
      <c r="G9" s="132">
        <f>IF(SER_hh_fec_in!G9=0,0,11630*1000*SER_hh_fec_in!G9/SER_hh_num_in!G9)</f>
        <v>114318.76463497436</v>
      </c>
      <c r="H9" s="132">
        <f>IF(SER_hh_fec_in!H9=0,0,11630*1000*SER_hh_fec_in!H9/SER_hh_num_in!H9)</f>
        <v>97827.97747539077</v>
      </c>
      <c r="I9" s="132">
        <f>IF(SER_hh_fec_in!I9=0,0,11630*1000*SER_hh_fec_in!I9/SER_hh_num_in!I9)</f>
        <v>86474.691845983572</v>
      </c>
      <c r="J9" s="132">
        <f>IF(SER_hh_fec_in!J9=0,0,11630*1000*SER_hh_fec_in!J9/SER_hh_num_in!J9)</f>
        <v>91108.659828460484</v>
      </c>
      <c r="K9" s="132">
        <f>IF(SER_hh_fec_in!K9=0,0,11630*1000*SER_hh_fec_in!K9/SER_hh_num_in!K9)</f>
        <v>0</v>
      </c>
      <c r="L9" s="132">
        <f>IF(SER_hh_fec_in!L9=0,0,11630*1000*SER_hh_fec_in!L9/SER_hh_num_in!L9)</f>
        <v>83210.34153680419</v>
      </c>
      <c r="M9" s="132">
        <f>IF(SER_hh_fec_in!M9=0,0,11630*1000*SER_hh_fec_in!M9/SER_hh_num_in!M9)</f>
        <v>76241.96913967283</v>
      </c>
      <c r="N9" s="132">
        <f>IF(SER_hh_fec_in!N9=0,0,11630*1000*SER_hh_fec_in!N9/SER_hh_num_in!N9)</f>
        <v>67151.927751857496</v>
      </c>
      <c r="O9" s="132">
        <f>IF(SER_hh_fec_in!O9=0,0,11630*1000*SER_hh_fec_in!O9/SER_hh_num_in!O9)</f>
        <v>59482.368220610449</v>
      </c>
      <c r="P9" s="132">
        <f>IF(SER_hh_fec_in!P9=0,0,11630*1000*SER_hh_fec_in!P9/SER_hh_num_in!P9)</f>
        <v>52148.739999361649</v>
      </c>
      <c r="Q9" s="132">
        <f>IF(SER_hh_fec_in!Q9=0,0,11630*1000*SER_hh_fec_in!Q9/SER_hh_num_in!Q9)</f>
        <v>47426.520163285721</v>
      </c>
      <c r="R9" s="132">
        <f>IF(SER_hh_fec_in!R9=0,0,11630*1000*SER_hh_fec_in!R9/SER_hh_num_in!R9)</f>
        <v>45573.869762908071</v>
      </c>
      <c r="S9" s="132">
        <f>IF(SER_hh_fec_in!S9=0,0,11630*1000*SER_hh_fec_in!S9/SER_hh_num_in!S9)</f>
        <v>45734.446939237248</v>
      </c>
      <c r="T9" s="132">
        <f>IF(SER_hh_fec_in!T9=0,0,11630*1000*SER_hh_fec_in!T9/SER_hh_num_in!T9)</f>
        <v>39442.983413446244</v>
      </c>
      <c r="U9" s="132">
        <f>IF(SER_hh_fec_in!U9=0,0,11630*1000*SER_hh_fec_in!U9/SER_hh_num_in!U9)</f>
        <v>38907.716620592131</v>
      </c>
      <c r="V9" s="132">
        <f>IF(SER_hh_fec_in!V9=0,0,11630*1000*SER_hh_fec_in!V9/SER_hh_num_in!V9)</f>
        <v>33430.89277695091</v>
      </c>
      <c r="W9" s="132">
        <f>IF(SER_hh_fec_in!W9=0,0,11630*1000*SER_hh_fec_in!W9/SER_hh_num_in!W9)</f>
        <v>27247.094538691825</v>
      </c>
      <c r="X9" s="132">
        <f>IF(SER_hh_fec_in!X9=0,0,11630*1000*SER_hh_fec_in!X9/SER_hh_num_in!X9)</f>
        <v>25524.201033154299</v>
      </c>
      <c r="Y9" s="132">
        <f>IF(SER_hh_fec_in!Y9=0,0,11630*1000*SER_hh_fec_in!Y9/SER_hh_num_in!Y9)</f>
        <v>23329.938835499204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166003.31040349349</v>
      </c>
      <c r="D10" s="132">
        <f>IF(SER_hh_fec_in!D10=0,0,11630*1000*SER_hh_fec_in!D10/SER_hh_num_in!D10)</f>
        <v>130847.72646485045</v>
      </c>
      <c r="E10" s="132">
        <f>IF(SER_hh_fec_in!E10=0,0,11630*1000*SER_hh_fec_in!E10/SER_hh_num_in!E10)</f>
        <v>144926.3841325095</v>
      </c>
      <c r="F10" s="132">
        <f>IF(SER_hh_fec_in!F10=0,0,11630*1000*SER_hh_fec_in!F10/SER_hh_num_in!F10)</f>
        <v>132247.42327563991</v>
      </c>
      <c r="G10" s="132">
        <f>IF(SER_hh_fec_in!G10=0,0,11630*1000*SER_hh_fec_in!G10/SER_hh_num_in!G10)</f>
        <v>118236.08602977356</v>
      </c>
      <c r="H10" s="132">
        <f>IF(SER_hh_fec_in!H10=0,0,11630*1000*SER_hh_fec_in!H10/SER_hh_num_in!H10)</f>
        <v>91566.196141913664</v>
      </c>
      <c r="I10" s="132">
        <f>IF(SER_hh_fec_in!I10=0,0,11630*1000*SER_hh_fec_in!I10/SER_hh_num_in!I10)</f>
        <v>116169.36595443157</v>
      </c>
      <c r="J10" s="132">
        <f>IF(SER_hh_fec_in!J10=0,0,11630*1000*SER_hh_fec_in!J10/SER_hh_num_in!J10)</f>
        <v>88527.071569577092</v>
      </c>
      <c r="K10" s="132">
        <f>IF(SER_hh_fec_in!K10=0,0,11630*1000*SER_hh_fec_in!K10/SER_hh_num_in!K10)</f>
        <v>74446.713933415711</v>
      </c>
      <c r="L10" s="132">
        <f>IF(SER_hh_fec_in!L10=0,0,11630*1000*SER_hh_fec_in!L10/SER_hh_num_in!L10)</f>
        <v>93717.108181980511</v>
      </c>
      <c r="M10" s="132">
        <f>IF(SER_hh_fec_in!M10=0,0,11630*1000*SER_hh_fec_in!M10/SER_hh_num_in!M10)</f>
        <v>84589.913466930884</v>
      </c>
      <c r="N10" s="132">
        <f>IF(SER_hh_fec_in!N10=0,0,11630*1000*SER_hh_fec_in!N10/SER_hh_num_in!N10)</f>
        <v>76484.674578026053</v>
      </c>
      <c r="O10" s="132">
        <f>IF(SER_hh_fec_in!O10=0,0,11630*1000*SER_hh_fec_in!O10/SER_hh_num_in!O10)</f>
        <v>74354.992227587281</v>
      </c>
      <c r="P10" s="132">
        <f>IF(SER_hh_fec_in!P10=0,0,11630*1000*SER_hh_fec_in!P10/SER_hh_num_in!P10)</f>
        <v>66145.187807651178</v>
      </c>
      <c r="Q10" s="132">
        <f>IF(SER_hh_fec_in!Q10=0,0,11630*1000*SER_hh_fec_in!Q10/SER_hh_num_in!Q10)</f>
        <v>68622.074888783114</v>
      </c>
      <c r="R10" s="132">
        <f>IF(SER_hh_fec_in!R10=0,0,11630*1000*SER_hh_fec_in!R10/SER_hh_num_in!R10)</f>
        <v>62899.675314657863</v>
      </c>
      <c r="S10" s="132">
        <f>IF(SER_hh_fec_in!S10=0,0,11630*1000*SER_hh_fec_in!S10/SER_hh_num_in!S10)</f>
        <v>58167.823020172902</v>
      </c>
      <c r="T10" s="132">
        <f>IF(SER_hh_fec_in!T10=0,0,11630*1000*SER_hh_fec_in!T10/SER_hh_num_in!T10)</f>
        <v>56569.477493055638</v>
      </c>
      <c r="U10" s="132">
        <f>IF(SER_hh_fec_in!U10=0,0,11630*1000*SER_hh_fec_in!U10/SER_hh_num_in!U10)</f>
        <v>53961.232063512594</v>
      </c>
      <c r="V10" s="132">
        <f>IF(SER_hh_fec_in!V10=0,0,11630*1000*SER_hh_fec_in!V10/SER_hh_num_in!V10)</f>
        <v>45989.836767338922</v>
      </c>
      <c r="W10" s="132">
        <f>IF(SER_hh_fec_in!W10=0,0,11630*1000*SER_hh_fec_in!W10/SER_hh_num_in!W10)</f>
        <v>39770.043522795881</v>
      </c>
      <c r="X10" s="132">
        <f>IF(SER_hh_fec_in!X10=0,0,11630*1000*SER_hh_fec_in!X10/SER_hh_num_in!X10)</f>
        <v>38163.913776665657</v>
      </c>
      <c r="Y10" s="132">
        <f>IF(SER_hh_fec_in!Y10=0,0,11630*1000*SER_hh_fec_in!Y10/SER_hh_num_in!Y10)</f>
        <v>32367.244789616845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0</v>
      </c>
      <c r="D11" s="132">
        <f>IF(SER_hh_fec_in!D11=0,0,11630*1000*SER_hh_fec_in!D11/SER_hh_num_in!D11)</f>
        <v>0</v>
      </c>
      <c r="E11" s="132">
        <f>IF(SER_hh_fec_in!E11=0,0,11630*1000*SER_hh_fec_in!E11/SER_hh_num_in!E11)</f>
        <v>0</v>
      </c>
      <c r="F11" s="132">
        <f>IF(SER_hh_fec_in!F11=0,0,11630*1000*SER_hh_fec_in!F11/SER_hh_num_in!F11)</f>
        <v>0</v>
      </c>
      <c r="G11" s="132">
        <f>IF(SER_hh_fec_in!G11=0,0,11630*1000*SER_hh_fec_in!G11/SER_hh_num_in!G11)</f>
        <v>0</v>
      </c>
      <c r="H11" s="132">
        <f>IF(SER_hh_fec_in!H11=0,0,11630*1000*SER_hh_fec_in!H11/SER_hh_num_in!H11)</f>
        <v>0</v>
      </c>
      <c r="I11" s="132">
        <f>IF(SER_hh_fec_in!I11=0,0,11630*1000*SER_hh_fec_in!I11/SER_hh_num_in!I11)</f>
        <v>0</v>
      </c>
      <c r="J11" s="132">
        <f>IF(SER_hh_fec_in!J11=0,0,11630*1000*SER_hh_fec_in!J11/SER_hh_num_in!J11)</f>
        <v>0</v>
      </c>
      <c r="K11" s="132">
        <f>IF(SER_hh_fec_in!K11=0,0,11630*1000*SER_hh_fec_in!K11/SER_hh_num_in!K11)</f>
        <v>0</v>
      </c>
      <c r="L11" s="132">
        <f>IF(SER_hh_fec_in!L11=0,0,11630*1000*SER_hh_fec_in!L11/SER_hh_num_in!L11)</f>
        <v>0</v>
      </c>
      <c r="M11" s="132">
        <f>IF(SER_hh_fec_in!M11=0,0,11630*1000*SER_hh_fec_in!M11/SER_hh_num_in!M11)</f>
        <v>0</v>
      </c>
      <c r="N11" s="132">
        <f>IF(SER_hh_fec_in!N11=0,0,11630*1000*SER_hh_fec_in!N11/SER_hh_num_in!N11)</f>
        <v>0</v>
      </c>
      <c r="O11" s="132">
        <f>IF(SER_hh_fec_in!O11=0,0,11630*1000*SER_hh_fec_in!O11/SER_hh_num_in!O11)</f>
        <v>0</v>
      </c>
      <c r="P11" s="132">
        <f>IF(SER_hh_fec_in!P11=0,0,11630*1000*SER_hh_fec_in!P11/SER_hh_num_in!P11)</f>
        <v>0</v>
      </c>
      <c r="Q11" s="132">
        <f>IF(SER_hh_fec_in!Q11=0,0,11630*1000*SER_hh_fec_in!Q11/SER_hh_num_in!Q11)</f>
        <v>0</v>
      </c>
      <c r="R11" s="132">
        <f>IF(SER_hh_fec_in!R11=0,0,11630*1000*SER_hh_fec_in!R11/SER_hh_num_in!R11)</f>
        <v>0</v>
      </c>
      <c r="S11" s="132">
        <f>IF(SER_hh_fec_in!S11=0,0,11630*1000*SER_hh_fec_in!S11/SER_hh_num_in!S11)</f>
        <v>0</v>
      </c>
      <c r="T11" s="132">
        <f>IF(SER_hh_fec_in!T11=0,0,11630*1000*SER_hh_fec_in!T11/SER_hh_num_in!T11)</f>
        <v>0</v>
      </c>
      <c r="U11" s="132">
        <f>IF(SER_hh_fec_in!U11=0,0,11630*1000*SER_hh_fec_in!U11/SER_hh_num_in!U11)</f>
        <v>0</v>
      </c>
      <c r="V11" s="132">
        <f>IF(SER_hh_fec_in!V11=0,0,11630*1000*SER_hh_fec_in!V11/SER_hh_num_in!V11)</f>
        <v>0</v>
      </c>
      <c r="W11" s="132">
        <f>IF(SER_hh_fec_in!W11=0,0,11630*1000*SER_hh_fec_in!W11/SER_hh_num_in!W11)</f>
        <v>0</v>
      </c>
      <c r="X11" s="132">
        <f>IF(SER_hh_fec_in!X11=0,0,11630*1000*SER_hh_fec_in!X11/SER_hh_num_in!X11)</f>
        <v>0</v>
      </c>
      <c r="Y11" s="132">
        <f>IF(SER_hh_fec_in!Y11=0,0,11630*1000*SER_hh_fec_in!Y11/SER_hh_num_in!Y11)</f>
        <v>0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104866.11875091041</v>
      </c>
      <c r="D12" s="132">
        <f>IF(SER_hh_fec_in!D12=0,0,11630*1000*SER_hh_fec_in!D12/SER_hh_num_in!D12)</f>
        <v>95173.22917462785</v>
      </c>
      <c r="E12" s="132">
        <f>IF(SER_hh_fec_in!E12=0,0,11630*1000*SER_hh_fec_in!E12/SER_hh_num_in!E12)</f>
        <v>92579.601538050352</v>
      </c>
      <c r="F12" s="132">
        <f>IF(SER_hh_fec_in!F12=0,0,11630*1000*SER_hh_fec_in!F12/SER_hh_num_in!F12)</f>
        <v>91134.394726138897</v>
      </c>
      <c r="G12" s="132">
        <f>IF(SER_hh_fec_in!G12=0,0,11630*1000*SER_hh_fec_in!G12/SER_hh_num_in!G12)</f>
        <v>86253.201568212491</v>
      </c>
      <c r="H12" s="132">
        <f>IF(SER_hh_fec_in!H12=0,0,11630*1000*SER_hh_fec_in!H12/SER_hh_num_in!H12)</f>
        <v>67490.993582798284</v>
      </c>
      <c r="I12" s="132">
        <f>IF(SER_hh_fec_in!I12=0,0,11630*1000*SER_hh_fec_in!I12/SER_hh_num_in!I12)</f>
        <v>60267.892882644541</v>
      </c>
      <c r="J12" s="132">
        <f>IF(SER_hh_fec_in!J12=0,0,11630*1000*SER_hh_fec_in!J12/SER_hh_num_in!J12)</f>
        <v>59979.415807097786</v>
      </c>
      <c r="K12" s="132">
        <f>IF(SER_hh_fec_in!K12=0,0,11630*1000*SER_hh_fec_in!K12/SER_hh_num_in!K12)</f>
        <v>53876.558489147174</v>
      </c>
      <c r="L12" s="132">
        <f>IF(SER_hh_fec_in!L12=0,0,11630*1000*SER_hh_fec_in!L12/SER_hh_num_in!L12)</f>
        <v>64873.882433298517</v>
      </c>
      <c r="M12" s="132">
        <f>IF(SER_hh_fec_in!M12=0,0,11630*1000*SER_hh_fec_in!M12/SER_hh_num_in!M12)</f>
        <v>56575.840403120324</v>
      </c>
      <c r="N12" s="132">
        <f>IF(SER_hh_fec_in!N12=0,0,11630*1000*SER_hh_fec_in!N12/SER_hh_num_in!N12)</f>
        <v>51934.733897366015</v>
      </c>
      <c r="O12" s="132">
        <f>IF(SER_hh_fec_in!O12=0,0,11630*1000*SER_hh_fec_in!O12/SER_hh_num_in!O12)</f>
        <v>47671.195535046827</v>
      </c>
      <c r="P12" s="132">
        <f>IF(SER_hh_fec_in!P12=0,0,11630*1000*SER_hh_fec_in!P12/SER_hh_num_in!P12)</f>
        <v>42574.227934465001</v>
      </c>
      <c r="Q12" s="132">
        <f>IF(SER_hh_fec_in!Q12=0,0,11630*1000*SER_hh_fec_in!Q12/SER_hh_num_in!Q12)</f>
        <v>41017.80243222406</v>
      </c>
      <c r="R12" s="132">
        <f>IF(SER_hh_fec_in!R12=0,0,11630*1000*SER_hh_fec_in!R12/SER_hh_num_in!R12)</f>
        <v>40418.20770812079</v>
      </c>
      <c r="S12" s="132">
        <f>IF(SER_hh_fec_in!S12=0,0,11630*1000*SER_hh_fec_in!S12/SER_hh_num_in!S12)</f>
        <v>38862.824772539308</v>
      </c>
      <c r="T12" s="132">
        <f>IF(SER_hh_fec_in!T12=0,0,11630*1000*SER_hh_fec_in!T12/SER_hh_num_in!T12)</f>
        <v>36700.154935184299</v>
      </c>
      <c r="U12" s="132">
        <f>IF(SER_hh_fec_in!U12=0,0,11630*1000*SER_hh_fec_in!U12/SER_hh_num_in!U12)</f>
        <v>32981.397577285366</v>
      </c>
      <c r="V12" s="132">
        <f>IF(SER_hh_fec_in!V12=0,0,11630*1000*SER_hh_fec_in!V12/SER_hh_num_in!V12)</f>
        <v>28483.071958525896</v>
      </c>
      <c r="W12" s="132">
        <f>IF(SER_hh_fec_in!W12=0,0,11630*1000*SER_hh_fec_in!W12/SER_hh_num_in!W12)</f>
        <v>24775.053330401664</v>
      </c>
      <c r="X12" s="132">
        <f>IF(SER_hh_fec_in!X12=0,0,11630*1000*SER_hh_fec_in!X12/SER_hh_num_in!X12)</f>
        <v>23230.168021125086</v>
      </c>
      <c r="Y12" s="132">
        <f>IF(SER_hh_fec_in!Y12=0,0,11630*1000*SER_hh_fec_in!Y12/SER_hh_num_in!Y12)</f>
        <v>21446.287765046218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44943.505162961606</v>
      </c>
      <c r="D13" s="132">
        <f>IF(SER_hh_fec_in!D13=0,0,11630*1000*SER_hh_fec_in!D13/SER_hh_num_in!D13)</f>
        <v>46642.123306662936</v>
      </c>
      <c r="E13" s="132">
        <f>IF(SER_hh_fec_in!E13=0,0,11630*1000*SER_hh_fec_in!E13/SER_hh_num_in!E13)</f>
        <v>42899.2310913412</v>
      </c>
      <c r="F13" s="132">
        <f>IF(SER_hh_fec_in!F13=0,0,11630*1000*SER_hh_fec_in!F13/SER_hh_num_in!F13)</f>
        <v>36850.128788347436</v>
      </c>
      <c r="G13" s="132">
        <f>IF(SER_hh_fec_in!G13=0,0,11630*1000*SER_hh_fec_in!G13/SER_hh_num_in!G13)</f>
        <v>29121.964410299221</v>
      </c>
      <c r="H13" s="132">
        <f>IF(SER_hh_fec_in!H13=0,0,11630*1000*SER_hh_fec_in!H13/SER_hh_num_in!H13)</f>
        <v>26080.039277419746</v>
      </c>
      <c r="I13" s="132">
        <f>IF(SER_hh_fec_in!I13=0,0,11630*1000*SER_hh_fec_in!I13/SER_hh_num_in!I13)</f>
        <v>23381.482142579691</v>
      </c>
      <c r="J13" s="132">
        <f>IF(SER_hh_fec_in!J13=0,0,11630*1000*SER_hh_fec_in!J13/SER_hh_num_in!J13)</f>
        <v>21396.113811058967</v>
      </c>
      <c r="K13" s="132">
        <f>IF(SER_hh_fec_in!K13=0,0,11630*1000*SER_hh_fec_in!K13/SER_hh_num_in!K13)</f>
        <v>19681.625559862081</v>
      </c>
      <c r="L13" s="132">
        <f>IF(SER_hh_fec_in!L13=0,0,11630*1000*SER_hh_fec_in!L13/SER_hh_num_in!L13)</f>
        <v>18763.834690142801</v>
      </c>
      <c r="M13" s="132">
        <f>IF(SER_hh_fec_in!M13=0,0,11630*1000*SER_hh_fec_in!M13/SER_hh_num_in!M13)</f>
        <v>16861.333187818076</v>
      </c>
      <c r="N13" s="132">
        <f>IF(SER_hh_fec_in!N13=0,0,11630*1000*SER_hh_fec_in!N13/SER_hh_num_in!N13)</f>
        <v>14911.990122451019</v>
      </c>
      <c r="O13" s="132">
        <f>IF(SER_hh_fec_in!O13=0,0,11630*1000*SER_hh_fec_in!O13/SER_hh_num_in!O13)</f>
        <v>12789.985758641486</v>
      </c>
      <c r="P13" s="132">
        <f>IF(SER_hh_fec_in!P13=0,0,11630*1000*SER_hh_fec_in!P13/SER_hh_num_in!P13)</f>
        <v>10933.967162658801</v>
      </c>
      <c r="Q13" s="132">
        <f>IF(SER_hh_fec_in!Q13=0,0,11630*1000*SER_hh_fec_in!Q13/SER_hh_num_in!Q13)</f>
        <v>9956.5973034632189</v>
      </c>
      <c r="R13" s="132">
        <f>IF(SER_hh_fec_in!R13=0,0,11630*1000*SER_hh_fec_in!R13/SER_hh_num_in!R13)</f>
        <v>9266.1339504562347</v>
      </c>
      <c r="S13" s="132">
        <f>IF(SER_hh_fec_in!S13=0,0,11630*1000*SER_hh_fec_in!S13/SER_hh_num_in!S13)</f>
        <v>8767.430423790629</v>
      </c>
      <c r="T13" s="132">
        <f>IF(SER_hh_fec_in!T13=0,0,11630*1000*SER_hh_fec_in!T13/SER_hh_num_in!T13)</f>
        <v>8123.7112337342496</v>
      </c>
      <c r="U13" s="132">
        <f>IF(SER_hh_fec_in!U13=0,0,11630*1000*SER_hh_fec_in!U13/SER_hh_num_in!U13)</f>
        <v>7487.077114436378</v>
      </c>
      <c r="V13" s="132">
        <f>IF(SER_hh_fec_in!V13=0,0,11630*1000*SER_hh_fec_in!V13/SER_hh_num_in!V13)</f>
        <v>6369.6064749291072</v>
      </c>
      <c r="W13" s="132">
        <f>IF(SER_hh_fec_in!W13=0,0,11630*1000*SER_hh_fec_in!W13/SER_hh_num_in!W13)</f>
        <v>4783.9025543782473</v>
      </c>
      <c r="X13" s="132">
        <f>IF(SER_hh_fec_in!X13=0,0,11630*1000*SER_hh_fec_in!X13/SER_hh_num_in!X13)</f>
        <v>5280.4935241040903</v>
      </c>
      <c r="Y13" s="132">
        <f>IF(SER_hh_fec_in!Y13=0,0,11630*1000*SER_hh_fec_in!Y13/SER_hh_num_in!Y13)</f>
        <v>5129.9182197686232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114974.78472404678</v>
      </c>
      <c r="D14" s="65">
        <f>IF(SER_hh_fec_in!D14=0,0,11630*1000*SER_hh_fec_in!D14/SER_hh_num_in!D14)</f>
        <v>104694.85250984784</v>
      </c>
      <c r="E14" s="65">
        <f>IF(SER_hh_fec_in!E14=0,0,11630*1000*SER_hh_fec_in!E14/SER_hh_num_in!E14)</f>
        <v>124171.07304119997</v>
      </c>
      <c r="F14" s="65">
        <f>IF(SER_hh_fec_in!F14=0,0,11630*1000*SER_hh_fec_in!F14/SER_hh_num_in!F14)</f>
        <v>0</v>
      </c>
      <c r="G14" s="65">
        <f>IF(SER_hh_fec_in!G14=0,0,11630*1000*SER_hh_fec_in!G14/SER_hh_num_in!G14)</f>
        <v>80499.388010939161</v>
      </c>
      <c r="H14" s="65">
        <f>IF(SER_hh_fec_in!H14=0,0,11630*1000*SER_hh_fec_in!H14/SER_hh_num_in!H14)</f>
        <v>75798.366869682344</v>
      </c>
      <c r="I14" s="65">
        <f>IF(SER_hh_fec_in!I14=0,0,11630*1000*SER_hh_fec_in!I14/SER_hh_num_in!I14)</f>
        <v>69179.957879951005</v>
      </c>
      <c r="J14" s="65">
        <f>IF(SER_hh_fec_in!J14=0,0,11630*1000*SER_hh_fec_in!J14/SER_hh_num_in!J14)</f>
        <v>69716.601549652158</v>
      </c>
      <c r="K14" s="65">
        <f>IF(SER_hh_fec_in!K14=0,0,11630*1000*SER_hh_fec_in!K14/SER_hh_num_in!K14)</f>
        <v>63674.777273025073</v>
      </c>
      <c r="L14" s="65">
        <f>IF(SER_hh_fec_in!L14=0,0,11630*1000*SER_hh_fec_in!L14/SER_hh_num_in!L14)</f>
        <v>67660.644370117894</v>
      </c>
      <c r="M14" s="65">
        <f>IF(SER_hh_fec_in!M14=0,0,11630*1000*SER_hh_fec_in!M14/SER_hh_num_in!M14)</f>
        <v>58814.724828674007</v>
      </c>
      <c r="N14" s="65">
        <f>IF(SER_hh_fec_in!N14=0,0,11630*1000*SER_hh_fec_in!N14/SER_hh_num_in!N14)</f>
        <v>55141.74161484756</v>
      </c>
      <c r="O14" s="65">
        <f>IF(SER_hh_fec_in!O14=0,0,11630*1000*SER_hh_fec_in!O14/SER_hh_num_in!O14)</f>
        <v>55545.042810434476</v>
      </c>
      <c r="P14" s="65">
        <f>IF(SER_hh_fec_in!P14=0,0,11630*1000*SER_hh_fec_in!P14/SER_hh_num_in!P14)</f>
        <v>46841.607201094259</v>
      </c>
      <c r="Q14" s="65">
        <f>IF(SER_hh_fec_in!Q14=0,0,11630*1000*SER_hh_fec_in!Q14/SER_hh_num_in!Q14)</f>
        <v>43435.814759220055</v>
      </c>
      <c r="R14" s="65">
        <f>IF(SER_hh_fec_in!R14=0,0,11630*1000*SER_hh_fec_in!R14/SER_hh_num_in!R14)</f>
        <v>44104.990614128554</v>
      </c>
      <c r="S14" s="65">
        <f>IF(SER_hh_fec_in!S14=0,0,11630*1000*SER_hh_fec_in!S14/SER_hh_num_in!S14)</f>
        <v>42218.256561232265</v>
      </c>
      <c r="T14" s="65">
        <f>IF(SER_hh_fec_in!T14=0,0,11630*1000*SER_hh_fec_in!T14/SER_hh_num_in!T14)</f>
        <v>38341.945221619761</v>
      </c>
      <c r="U14" s="65">
        <f>IF(SER_hh_fec_in!U14=0,0,11630*1000*SER_hh_fec_in!U14/SER_hh_num_in!U14)</f>
        <v>36035.200121094407</v>
      </c>
      <c r="V14" s="65">
        <f>IF(SER_hh_fec_in!V14=0,0,11630*1000*SER_hh_fec_in!V14/SER_hh_num_in!V14)</f>
        <v>30073.246712648273</v>
      </c>
      <c r="W14" s="65">
        <f>IF(SER_hh_fec_in!W14=0,0,11630*1000*SER_hh_fec_in!W14/SER_hh_num_in!W14)</f>
        <v>24706.427976975367</v>
      </c>
      <c r="X14" s="65">
        <f>IF(SER_hh_fec_in!X14=0,0,11630*1000*SER_hh_fec_in!X14/SER_hh_num_in!X14)</f>
        <v>24824.785710297023</v>
      </c>
      <c r="Y14" s="65">
        <f>IF(SER_hh_fec_in!Y14=0,0,11630*1000*SER_hh_fec_in!Y14/SER_hh_num_in!Y14)</f>
        <v>19196.39044785158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1132.9866404694458</v>
      </c>
      <c r="D15" s="134">
        <f>IF(SER_hh_fec_in!D15=0,0,11630*1000*SER_hh_fec_in!D15/SER_hh_num_in!D15)</f>
        <v>1104.0842783169705</v>
      </c>
      <c r="E15" s="134">
        <f>IF(SER_hh_fec_in!E15=0,0,11630*1000*SER_hh_fec_in!E15/SER_hh_num_in!E15)</f>
        <v>984.82041861360165</v>
      </c>
      <c r="F15" s="134">
        <f>IF(SER_hh_fec_in!F15=0,0,11630*1000*SER_hh_fec_in!F15/SER_hh_num_in!F15)</f>
        <v>879.93353098307728</v>
      </c>
      <c r="G15" s="134">
        <f>IF(SER_hh_fec_in!G15=0,0,11630*1000*SER_hh_fec_in!G15/SER_hh_num_in!G15)</f>
        <v>892.16117989618851</v>
      </c>
      <c r="H15" s="134">
        <f>IF(SER_hh_fec_in!H15=0,0,11630*1000*SER_hh_fec_in!H15/SER_hh_num_in!H15)</f>
        <v>805.79771939705029</v>
      </c>
      <c r="I15" s="134">
        <f>IF(SER_hh_fec_in!I15=0,0,11630*1000*SER_hh_fec_in!I15/SER_hh_num_in!I15)</f>
        <v>732.83049257028165</v>
      </c>
      <c r="J15" s="134">
        <f>IF(SER_hh_fec_in!J15=0,0,11630*1000*SER_hh_fec_in!J15/SER_hh_num_in!J15)</f>
        <v>688.62749359227303</v>
      </c>
      <c r="K15" s="134">
        <f>IF(SER_hh_fec_in!K15=0,0,11630*1000*SER_hh_fec_in!K15/SER_hh_num_in!K15)</f>
        <v>189.91522111318434</v>
      </c>
      <c r="L15" s="134">
        <f>IF(SER_hh_fec_in!L15=0,0,11630*1000*SER_hh_fec_in!L15/SER_hh_num_in!L15)</f>
        <v>427.53776148357127</v>
      </c>
      <c r="M15" s="134">
        <f>IF(SER_hh_fec_in!M15=0,0,11630*1000*SER_hh_fec_in!M15/SER_hh_num_in!M15)</f>
        <v>458.93807278264853</v>
      </c>
      <c r="N15" s="134">
        <f>IF(SER_hh_fec_in!N15=0,0,11630*1000*SER_hh_fec_in!N15/SER_hh_num_in!N15)</f>
        <v>405.58593613673236</v>
      </c>
      <c r="O15" s="134">
        <f>IF(SER_hh_fec_in!O15=0,0,11630*1000*SER_hh_fec_in!O15/SER_hh_num_in!O15)</f>
        <v>403.74655987266283</v>
      </c>
      <c r="P15" s="134">
        <f>IF(SER_hh_fec_in!P15=0,0,11630*1000*SER_hh_fec_in!P15/SER_hh_num_in!P15)</f>
        <v>422.37619844931794</v>
      </c>
      <c r="Q15" s="134">
        <f>IF(SER_hh_fec_in!Q15=0,0,11630*1000*SER_hh_fec_in!Q15/SER_hh_num_in!Q15)</f>
        <v>427.65533756927204</v>
      </c>
      <c r="R15" s="134">
        <f>IF(SER_hh_fec_in!R15=0,0,11630*1000*SER_hh_fec_in!R15/SER_hh_num_in!R15)</f>
        <v>387.84124785866692</v>
      </c>
      <c r="S15" s="134">
        <f>IF(SER_hh_fec_in!S15=0,0,11630*1000*SER_hh_fec_in!S15/SER_hh_num_in!S15)</f>
        <v>416.28635445050043</v>
      </c>
      <c r="T15" s="134">
        <f>IF(SER_hh_fec_in!T15=0,0,11630*1000*SER_hh_fec_in!T15/SER_hh_num_in!T15)</f>
        <v>344.71236536548315</v>
      </c>
      <c r="U15" s="134">
        <f>IF(SER_hh_fec_in!U15=0,0,11630*1000*SER_hh_fec_in!U15/SER_hh_num_in!U15)</f>
        <v>349.53519474534613</v>
      </c>
      <c r="V15" s="134">
        <f>IF(SER_hh_fec_in!V15=0,0,11630*1000*SER_hh_fec_in!V15/SER_hh_num_in!V15)</f>
        <v>269.78700190236947</v>
      </c>
      <c r="W15" s="134">
        <f>IF(SER_hh_fec_in!W15=0,0,11630*1000*SER_hh_fec_in!W15/SER_hh_num_in!W15)</f>
        <v>209.05832508730981</v>
      </c>
      <c r="X15" s="134">
        <f>IF(SER_hh_fec_in!X15=0,0,11630*1000*SER_hh_fec_in!X15/SER_hh_num_in!X15)</f>
        <v>183.34063034390087</v>
      </c>
      <c r="Y15" s="134">
        <f>IF(SER_hh_fec_in!Y15=0,0,11630*1000*SER_hh_fec_in!Y15/SER_hh_num_in!Y15)</f>
        <v>178.51996965454009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10720.6121700804</v>
      </c>
      <c r="D16" s="130">
        <f>IF(SER_hh_fec_in!D16=0,0,11630*1000*SER_hh_fec_in!D16/SER_hh_num_in!D16)</f>
        <v>10282.400889967776</v>
      </c>
      <c r="E16" s="130">
        <f>IF(SER_hh_fec_in!E16=0,0,11630*1000*SER_hh_fec_in!E16/SER_hh_num_in!E16)</f>
        <v>10343.219710030446</v>
      </c>
      <c r="F16" s="130">
        <f>IF(SER_hh_fec_in!F16=0,0,11630*1000*SER_hh_fec_in!F16/SER_hh_num_in!F16)</f>
        <v>9445.5824502921605</v>
      </c>
      <c r="G16" s="130">
        <f>IF(SER_hh_fec_in!G16=0,0,11630*1000*SER_hh_fec_in!G16/SER_hh_num_in!G16)</f>
        <v>9181.585411908045</v>
      </c>
      <c r="H16" s="130">
        <f>IF(SER_hh_fec_in!H16=0,0,11630*1000*SER_hh_fec_in!H16/SER_hh_num_in!H16)</f>
        <v>9071.5096359295239</v>
      </c>
      <c r="I16" s="130">
        <f>IF(SER_hh_fec_in!I16=0,0,11630*1000*SER_hh_fec_in!I16/SER_hh_num_in!I16)</f>
        <v>8607.3138685942176</v>
      </c>
      <c r="J16" s="130">
        <f>IF(SER_hh_fec_in!J16=0,0,11630*1000*SER_hh_fec_in!J16/SER_hh_num_in!J16)</f>
        <v>8129.2338419668804</v>
      </c>
      <c r="K16" s="130">
        <f>IF(SER_hh_fec_in!K16=0,0,11630*1000*SER_hh_fec_in!K16/SER_hh_num_in!K16)</f>
        <v>7778.8557508436006</v>
      </c>
      <c r="L16" s="130">
        <f>IF(SER_hh_fec_in!L16=0,0,11630*1000*SER_hh_fec_in!L16/SER_hh_num_in!L16)</f>
        <v>7606.4267940604177</v>
      </c>
      <c r="M16" s="130">
        <f>IF(SER_hh_fec_in!M16=0,0,11630*1000*SER_hh_fec_in!M16/SER_hh_num_in!M16)</f>
        <v>7164.2537342358901</v>
      </c>
      <c r="N16" s="130">
        <f>IF(SER_hh_fec_in!N16=0,0,11630*1000*SER_hh_fec_in!N16/SER_hh_num_in!N16)</f>
        <v>6849.2345773022535</v>
      </c>
      <c r="O16" s="130">
        <f>IF(SER_hh_fec_in!O16=0,0,11630*1000*SER_hh_fec_in!O16/SER_hh_num_in!O16)</f>
        <v>6747.4761386378987</v>
      </c>
      <c r="P16" s="130">
        <f>IF(SER_hh_fec_in!P16=0,0,11630*1000*SER_hh_fec_in!P16/SER_hh_num_in!P16)</f>
        <v>6072.4824270112231</v>
      </c>
      <c r="Q16" s="130">
        <f>IF(SER_hh_fec_in!Q16=0,0,11630*1000*SER_hh_fec_in!Q16/SER_hh_num_in!Q16)</f>
        <v>6861.5431604936184</v>
      </c>
      <c r="R16" s="130">
        <f>IF(SER_hh_fec_in!R16=0,0,11630*1000*SER_hh_fec_in!R16/SER_hh_num_in!R16)</f>
        <v>5554.4076903243495</v>
      </c>
      <c r="S16" s="130">
        <f>IF(SER_hh_fec_in!S16=0,0,11630*1000*SER_hh_fec_in!S16/SER_hh_num_in!S16)</f>
        <v>5490.391389066167</v>
      </c>
      <c r="T16" s="130">
        <f>IF(SER_hh_fec_in!T16=0,0,11630*1000*SER_hh_fec_in!T16/SER_hh_num_in!T16)</f>
        <v>5619.2988558670941</v>
      </c>
      <c r="U16" s="130">
        <f>IF(SER_hh_fec_in!U16=0,0,11630*1000*SER_hh_fec_in!U16/SER_hh_num_in!U16)</f>
        <v>5362.2594896697137</v>
      </c>
      <c r="V16" s="130">
        <f>IF(SER_hh_fec_in!V16=0,0,11630*1000*SER_hh_fec_in!V16/SER_hh_num_in!V16)</f>
        <v>4750.0418161188954</v>
      </c>
      <c r="W16" s="130">
        <f>IF(SER_hh_fec_in!W16=0,0,11630*1000*SER_hh_fec_in!W16/SER_hh_num_in!W16)</f>
        <v>4567.9343441268984</v>
      </c>
      <c r="X16" s="130">
        <f>IF(SER_hh_fec_in!X16=0,0,11630*1000*SER_hh_fec_in!X16/SER_hh_num_in!X16)</f>
        <v>4892.6672906657177</v>
      </c>
      <c r="Y16" s="130">
        <f>IF(SER_hh_fec_in!Y16=0,0,11630*1000*SER_hh_fec_in!Y16/SER_hh_num_in!Y16)</f>
        <v>5099.5865169877625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0</v>
      </c>
      <c r="D17" s="132">
        <f>IF(SER_hh_fec_in!D17=0,0,11630*1000*SER_hh_fec_in!D17/SER_hh_num_in!D17)</f>
        <v>0</v>
      </c>
      <c r="E17" s="132">
        <f>IF(SER_hh_fec_in!E17=0,0,11630*1000*SER_hh_fec_in!E17/SER_hh_num_in!E17)</f>
        <v>0</v>
      </c>
      <c r="F17" s="132">
        <f>IF(SER_hh_fec_in!F17=0,0,11630*1000*SER_hh_fec_in!F17/SER_hh_num_in!F17)</f>
        <v>0</v>
      </c>
      <c r="G17" s="132">
        <f>IF(SER_hh_fec_in!G17=0,0,11630*1000*SER_hh_fec_in!G17/SER_hh_num_in!G17)</f>
        <v>20053.172475332787</v>
      </c>
      <c r="H17" s="132">
        <f>IF(SER_hh_fec_in!H17=0,0,11630*1000*SER_hh_fec_in!H17/SER_hh_num_in!H17)</f>
        <v>20173.312225335263</v>
      </c>
      <c r="I17" s="132">
        <f>IF(SER_hh_fec_in!I17=0,0,11630*1000*SER_hh_fec_in!I17/SER_hh_num_in!I17)</f>
        <v>19490.126528061373</v>
      </c>
      <c r="J17" s="132">
        <f>IF(SER_hh_fec_in!J17=0,0,11630*1000*SER_hh_fec_in!J17/SER_hh_num_in!J17)</f>
        <v>18677.537721392164</v>
      </c>
      <c r="K17" s="132">
        <f>IF(SER_hh_fec_in!K17=0,0,11630*1000*SER_hh_fec_in!K17/SER_hh_num_in!K17)</f>
        <v>18192.742584215914</v>
      </c>
      <c r="L17" s="132">
        <f>IF(SER_hh_fec_in!L17=0,0,11630*1000*SER_hh_fec_in!L17/SER_hh_num_in!L17)</f>
        <v>18114.536904924884</v>
      </c>
      <c r="M17" s="132">
        <f>IF(SER_hh_fec_in!M17=0,0,11630*1000*SER_hh_fec_in!M17/SER_hh_num_in!M17)</f>
        <v>17370.03831371816</v>
      </c>
      <c r="N17" s="132">
        <f>IF(SER_hh_fec_in!N17=0,0,11630*1000*SER_hh_fec_in!N17/SER_hh_num_in!N17)</f>
        <v>16989.699247061042</v>
      </c>
      <c r="O17" s="132">
        <f>IF(SER_hh_fec_in!O17=0,0,11630*1000*SER_hh_fec_in!O17/SER_hh_num_in!O17)</f>
        <v>17240.147121764887</v>
      </c>
      <c r="P17" s="132">
        <f>IF(SER_hh_fec_in!P17=0,0,11630*1000*SER_hh_fec_in!P17/SER_hh_num_in!P17)</f>
        <v>16194.959868299486</v>
      </c>
      <c r="Q17" s="132">
        <f>IF(SER_hh_fec_in!Q17=0,0,11630*1000*SER_hh_fec_in!Q17/SER_hh_num_in!Q17)</f>
        <v>19029.843792029857</v>
      </c>
      <c r="R17" s="132">
        <f>IF(SER_hh_fec_in!R17=0,0,11630*1000*SER_hh_fec_in!R17/SER_hh_num_in!R17)</f>
        <v>15635.861516696255</v>
      </c>
      <c r="S17" s="132">
        <f>IF(SER_hh_fec_in!S17=0,0,11630*1000*SER_hh_fec_in!S17/SER_hh_num_in!S17)</f>
        <v>15342.635831804753</v>
      </c>
      <c r="T17" s="132">
        <f>IF(SER_hh_fec_in!T17=0,0,11630*1000*SER_hh_fec_in!T17/SER_hh_num_in!T17)</f>
        <v>16349.96503472792</v>
      </c>
      <c r="U17" s="132">
        <f>IF(SER_hh_fec_in!U17=0,0,11630*1000*SER_hh_fec_in!U17/SER_hh_num_in!U17)</f>
        <v>14483.696761616646</v>
      </c>
      <c r="V17" s="132">
        <f>IF(SER_hh_fec_in!V17=0,0,11630*1000*SER_hh_fec_in!V17/SER_hh_num_in!V17)</f>
        <v>13177.135508164531</v>
      </c>
      <c r="W17" s="132">
        <f>IF(SER_hh_fec_in!W17=0,0,11630*1000*SER_hh_fec_in!W17/SER_hh_num_in!W17)</f>
        <v>11992.321242133323</v>
      </c>
      <c r="X17" s="132">
        <f>IF(SER_hh_fec_in!X17=0,0,11630*1000*SER_hh_fec_in!X17/SER_hh_num_in!X17)</f>
        <v>12734.730833461028</v>
      </c>
      <c r="Y17" s="132">
        <f>IF(SER_hh_fec_in!Y17=0,0,11630*1000*SER_hh_fec_in!Y17/SER_hh_num_in!Y17)</f>
        <v>13259.303481532053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10720.6121700804</v>
      </c>
      <c r="D18" s="132">
        <f>IF(SER_hh_fec_in!D18=0,0,11630*1000*SER_hh_fec_in!D18/SER_hh_num_in!D18)</f>
        <v>10282.400889967776</v>
      </c>
      <c r="E18" s="132">
        <f>IF(SER_hh_fec_in!E18=0,0,11630*1000*SER_hh_fec_in!E18/SER_hh_num_in!E18)</f>
        <v>10343.219710030446</v>
      </c>
      <c r="F18" s="132">
        <f>IF(SER_hh_fec_in!F18=0,0,11630*1000*SER_hh_fec_in!F18/SER_hh_num_in!F18)</f>
        <v>9445.5824502921605</v>
      </c>
      <c r="G18" s="132">
        <f>IF(SER_hh_fec_in!G18=0,0,11630*1000*SER_hh_fec_in!G18/SER_hh_num_in!G18)</f>
        <v>9140.0009738354565</v>
      </c>
      <c r="H18" s="132">
        <f>IF(SER_hh_fec_in!H18=0,0,11630*1000*SER_hh_fec_in!H18/SER_hh_num_in!H18)</f>
        <v>9062.0066745892746</v>
      </c>
      <c r="I18" s="132">
        <f>IF(SER_hh_fec_in!I18=0,0,11630*1000*SER_hh_fec_in!I18/SER_hh_num_in!I18)</f>
        <v>8587.9614562534825</v>
      </c>
      <c r="J18" s="132">
        <f>IF(SER_hh_fec_in!J18=0,0,11630*1000*SER_hh_fec_in!J18/SER_hh_num_in!J18)</f>
        <v>8125.215938754417</v>
      </c>
      <c r="K18" s="132">
        <f>IF(SER_hh_fec_in!K18=0,0,11630*1000*SER_hh_fec_in!K18/SER_hh_num_in!K18)</f>
        <v>7746.2938427379668</v>
      </c>
      <c r="L18" s="132">
        <f>IF(SER_hh_fec_in!L18=0,0,11630*1000*SER_hh_fec_in!L18/SER_hh_num_in!L18)</f>
        <v>7602.8095720414185</v>
      </c>
      <c r="M18" s="132">
        <f>IF(SER_hh_fec_in!M18=0,0,11630*1000*SER_hh_fec_in!M18/SER_hh_num_in!M18)</f>
        <v>7154.1133150229125</v>
      </c>
      <c r="N18" s="132">
        <f>IF(SER_hh_fec_in!N18=0,0,11630*1000*SER_hh_fec_in!N18/SER_hh_num_in!N18)</f>
        <v>6837.9587951044587</v>
      </c>
      <c r="O18" s="132">
        <f>IF(SER_hh_fec_in!O18=0,0,11630*1000*SER_hh_fec_in!O18/SER_hh_num_in!O18)</f>
        <v>6713.2893036695814</v>
      </c>
      <c r="P18" s="132">
        <f>IF(SER_hh_fec_in!P18=0,0,11630*1000*SER_hh_fec_in!P18/SER_hh_num_in!P18)</f>
        <v>6008.0554266560503</v>
      </c>
      <c r="Q18" s="132">
        <f>IF(SER_hh_fec_in!Q18=0,0,11630*1000*SER_hh_fec_in!Q18/SER_hh_num_in!Q18)</f>
        <v>6749.9345899600148</v>
      </c>
      <c r="R18" s="132">
        <f>IF(SER_hh_fec_in!R18=0,0,11630*1000*SER_hh_fec_in!R18/SER_hh_num_in!R18)</f>
        <v>5500.8574680502052</v>
      </c>
      <c r="S18" s="132">
        <f>IF(SER_hh_fec_in!S18=0,0,11630*1000*SER_hh_fec_in!S18/SER_hh_num_in!S18)</f>
        <v>5420.7211281092223</v>
      </c>
      <c r="T18" s="132">
        <f>IF(SER_hh_fec_in!T18=0,0,11630*1000*SER_hh_fec_in!T18/SER_hh_num_in!T18)</f>
        <v>5550.1946933932295</v>
      </c>
      <c r="U18" s="132">
        <f>IF(SER_hh_fec_in!U18=0,0,11630*1000*SER_hh_fec_in!U18/SER_hh_num_in!U18)</f>
        <v>5310.6790352820108</v>
      </c>
      <c r="V18" s="132">
        <f>IF(SER_hh_fec_in!V18=0,0,11630*1000*SER_hh_fec_in!V18/SER_hh_num_in!V18)</f>
        <v>4671.0698724489621</v>
      </c>
      <c r="W18" s="132">
        <f>IF(SER_hh_fec_in!W18=0,0,11630*1000*SER_hh_fec_in!W18/SER_hh_num_in!W18)</f>
        <v>4517.5232701933437</v>
      </c>
      <c r="X18" s="132">
        <f>IF(SER_hh_fec_in!X18=0,0,11630*1000*SER_hh_fec_in!X18/SER_hh_num_in!X18)</f>
        <v>4849.8424964301803</v>
      </c>
      <c r="Y18" s="132">
        <f>IF(SER_hh_fec_in!Y18=0,0,11630*1000*SER_hh_fec_in!Y18/SER_hh_num_in!Y18)</f>
        <v>5031.4537731084256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11030.743008837209</v>
      </c>
      <c r="D19" s="130">
        <f>IF(SER_hh_fec_in!D19=0,0,11630*1000*SER_hh_fec_in!D19/SER_hh_num_in!D19)</f>
        <v>10890.393481373863</v>
      </c>
      <c r="E19" s="130">
        <f>IF(SER_hh_fec_in!E19=0,0,11630*1000*SER_hh_fec_in!E19/SER_hh_num_in!E19)</f>
        <v>10223.306728059188</v>
      </c>
      <c r="F19" s="130">
        <f>IF(SER_hh_fec_in!F19=0,0,11630*1000*SER_hh_fec_in!F19/SER_hh_num_in!F19)</f>
        <v>10184.452067836843</v>
      </c>
      <c r="G19" s="130">
        <f>IF(SER_hh_fec_in!G19=0,0,11630*1000*SER_hh_fec_in!G19/SER_hh_num_in!G19)</f>
        <v>10161.691011952576</v>
      </c>
      <c r="H19" s="130">
        <f>IF(SER_hh_fec_in!H19=0,0,11630*1000*SER_hh_fec_in!H19/SER_hh_num_in!H19)</f>
        <v>10145.870894848294</v>
      </c>
      <c r="I19" s="130">
        <f>IF(SER_hh_fec_in!I19=0,0,11630*1000*SER_hh_fec_in!I19/SER_hh_num_in!I19)</f>
        <v>10119.987132889173</v>
      </c>
      <c r="J19" s="130">
        <f>IF(SER_hh_fec_in!J19=0,0,11630*1000*SER_hh_fec_in!J19/SER_hh_num_in!J19)</f>
        <v>9901.924312216117</v>
      </c>
      <c r="K19" s="130">
        <f>IF(SER_hh_fec_in!K19=0,0,11630*1000*SER_hh_fec_in!K19/SER_hh_num_in!K19)</f>
        <v>10492.440528287992</v>
      </c>
      <c r="L19" s="130">
        <f>IF(SER_hh_fec_in!L19=0,0,11630*1000*SER_hh_fec_in!L19/SER_hh_num_in!L19)</f>
        <v>10333.271452763378</v>
      </c>
      <c r="M19" s="130">
        <f>IF(SER_hh_fec_in!M19=0,0,11630*1000*SER_hh_fec_in!M19/SER_hh_num_in!M19)</f>
        <v>10320.486472419014</v>
      </c>
      <c r="N19" s="130">
        <f>IF(SER_hh_fec_in!N19=0,0,11630*1000*SER_hh_fec_in!N19/SER_hh_num_in!N19)</f>
        <v>10093.703891854586</v>
      </c>
      <c r="O19" s="130">
        <f>IF(SER_hh_fec_in!O19=0,0,11630*1000*SER_hh_fec_in!O19/SER_hh_num_in!O19)</f>
        <v>10002.031394986961</v>
      </c>
      <c r="P19" s="130">
        <f>IF(SER_hh_fec_in!P19=0,0,11630*1000*SER_hh_fec_in!P19/SER_hh_num_in!P19)</f>
        <v>9470.7119003609951</v>
      </c>
      <c r="Q19" s="130">
        <f>IF(SER_hh_fec_in!Q19=0,0,11630*1000*SER_hh_fec_in!Q19/SER_hh_num_in!Q19)</f>
        <v>9532.8988919226304</v>
      </c>
      <c r="R19" s="130">
        <f>IF(SER_hh_fec_in!R19=0,0,11630*1000*SER_hh_fec_in!R19/SER_hh_num_in!R19)</f>
        <v>9414.4819560531087</v>
      </c>
      <c r="S19" s="130">
        <f>IF(SER_hh_fec_in!S19=0,0,11630*1000*SER_hh_fec_in!S19/SER_hh_num_in!S19)</f>
        <v>9408.2276234621459</v>
      </c>
      <c r="T19" s="130">
        <f>IF(SER_hh_fec_in!T19=0,0,11630*1000*SER_hh_fec_in!T19/SER_hh_num_in!T19)</f>
        <v>9066.9361179179177</v>
      </c>
      <c r="U19" s="130">
        <f>IF(SER_hh_fec_in!U19=0,0,11630*1000*SER_hh_fec_in!U19/SER_hh_num_in!U19)</f>
        <v>8999.8267534950137</v>
      </c>
      <c r="V19" s="130">
        <f>IF(SER_hh_fec_in!V19=0,0,11630*1000*SER_hh_fec_in!V19/SER_hh_num_in!V19)</f>
        <v>8231.5911101016191</v>
      </c>
      <c r="W19" s="130">
        <f>IF(SER_hh_fec_in!W19=0,0,11630*1000*SER_hh_fec_in!W19/SER_hh_num_in!W19)</f>
        <v>8046.7234850209197</v>
      </c>
      <c r="X19" s="130">
        <f>IF(SER_hh_fec_in!X19=0,0,11630*1000*SER_hh_fec_in!X19/SER_hh_num_in!X19)</f>
        <v>7709.6549960178636</v>
      </c>
      <c r="Y19" s="130">
        <f>IF(SER_hh_fec_in!Y19=0,0,11630*1000*SER_hh_fec_in!Y19/SER_hh_num_in!Y19)</f>
        <v>8136.7876176815926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0</v>
      </c>
      <c r="D20" s="132">
        <f>IF(SER_hh_fec_in!D20=0,0,11630*1000*SER_hh_fec_in!D20/SER_hh_num_in!D20)</f>
        <v>0</v>
      </c>
      <c r="E20" s="132">
        <f>IF(SER_hh_fec_in!E20=0,0,11630*1000*SER_hh_fec_in!E20/SER_hh_num_in!E20)</f>
        <v>0</v>
      </c>
      <c r="F20" s="132">
        <f>IF(SER_hh_fec_in!F20=0,0,11630*1000*SER_hh_fec_in!F20/SER_hh_num_in!F20)</f>
        <v>0</v>
      </c>
      <c r="G20" s="132">
        <f>IF(SER_hh_fec_in!G20=0,0,11630*1000*SER_hh_fec_in!G20/SER_hh_num_in!G20)</f>
        <v>0</v>
      </c>
      <c r="H20" s="132">
        <f>IF(SER_hh_fec_in!H20=0,0,11630*1000*SER_hh_fec_in!H20/SER_hh_num_in!H20)</f>
        <v>0</v>
      </c>
      <c r="I20" s="132">
        <f>IF(SER_hh_fec_in!I20=0,0,11630*1000*SER_hh_fec_in!I20/SER_hh_num_in!I20)</f>
        <v>0</v>
      </c>
      <c r="J20" s="132">
        <f>IF(SER_hh_fec_in!J20=0,0,11630*1000*SER_hh_fec_in!J20/SER_hh_num_in!J20)</f>
        <v>0</v>
      </c>
      <c r="K20" s="132">
        <f>IF(SER_hh_fec_in!K20=0,0,11630*1000*SER_hh_fec_in!K20/SER_hh_num_in!K20)</f>
        <v>0</v>
      </c>
      <c r="L20" s="132">
        <f>IF(SER_hh_fec_in!L20=0,0,11630*1000*SER_hh_fec_in!L20/SER_hh_num_in!L20)</f>
        <v>0</v>
      </c>
      <c r="M20" s="132">
        <f>IF(SER_hh_fec_in!M20=0,0,11630*1000*SER_hh_fec_in!M20/SER_hh_num_in!M20)</f>
        <v>0</v>
      </c>
      <c r="N20" s="132">
        <f>IF(SER_hh_fec_in!N20=0,0,11630*1000*SER_hh_fec_in!N20/SER_hh_num_in!N20)</f>
        <v>0</v>
      </c>
      <c r="O20" s="132">
        <f>IF(SER_hh_fec_in!O20=0,0,11630*1000*SER_hh_fec_in!O20/SER_hh_num_in!O20)</f>
        <v>0</v>
      </c>
      <c r="P20" s="132">
        <f>IF(SER_hh_fec_in!P20=0,0,11630*1000*SER_hh_fec_in!P20/SER_hh_num_in!P20)</f>
        <v>0</v>
      </c>
      <c r="Q20" s="132">
        <f>IF(SER_hh_fec_in!Q20=0,0,11630*1000*SER_hh_fec_in!Q20/SER_hh_num_in!Q20)</f>
        <v>0</v>
      </c>
      <c r="R20" s="132">
        <f>IF(SER_hh_fec_in!R20=0,0,11630*1000*SER_hh_fec_in!R20/SER_hh_num_in!R20)</f>
        <v>0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0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0</v>
      </c>
      <c r="D21" s="132">
        <f>IF(SER_hh_fec_in!D21=0,0,11630*1000*SER_hh_fec_in!D21/SER_hh_num_in!D21)</f>
        <v>0</v>
      </c>
      <c r="E21" s="132">
        <f>IF(SER_hh_fec_in!E21=0,0,11630*1000*SER_hh_fec_in!E21/SER_hh_num_in!E21)</f>
        <v>0</v>
      </c>
      <c r="F21" s="132">
        <f>IF(SER_hh_fec_in!F21=0,0,11630*1000*SER_hh_fec_in!F21/SER_hh_num_in!F21)</f>
        <v>0</v>
      </c>
      <c r="G21" s="132">
        <f>IF(SER_hh_fec_in!G21=0,0,11630*1000*SER_hh_fec_in!G21/SER_hh_num_in!G21)</f>
        <v>0</v>
      </c>
      <c r="H21" s="132">
        <f>IF(SER_hh_fec_in!H21=0,0,11630*1000*SER_hh_fec_in!H21/SER_hh_num_in!H21)</f>
        <v>0</v>
      </c>
      <c r="I21" s="132">
        <f>IF(SER_hh_fec_in!I21=0,0,11630*1000*SER_hh_fec_in!I21/SER_hh_num_in!I21)</f>
        <v>0</v>
      </c>
      <c r="J21" s="132">
        <f>IF(SER_hh_fec_in!J21=0,0,11630*1000*SER_hh_fec_in!J21/SER_hh_num_in!J21)</f>
        <v>0</v>
      </c>
      <c r="K21" s="132">
        <f>IF(SER_hh_fec_in!K21=0,0,11630*1000*SER_hh_fec_in!K21/SER_hh_num_in!K21)</f>
        <v>0</v>
      </c>
      <c r="L21" s="132">
        <f>IF(SER_hh_fec_in!L21=0,0,11630*1000*SER_hh_fec_in!L21/SER_hh_num_in!L21)</f>
        <v>0</v>
      </c>
      <c r="M21" s="132">
        <f>IF(SER_hh_fec_in!M21=0,0,11630*1000*SER_hh_fec_in!M21/SER_hh_num_in!M21)</f>
        <v>0</v>
      </c>
      <c r="N21" s="132">
        <f>IF(SER_hh_fec_in!N21=0,0,11630*1000*SER_hh_fec_in!N21/SER_hh_num_in!N21)</f>
        <v>0</v>
      </c>
      <c r="O21" s="132">
        <f>IF(SER_hh_fec_in!O21=0,0,11630*1000*SER_hh_fec_in!O21/SER_hh_num_in!O21)</f>
        <v>0</v>
      </c>
      <c r="P21" s="132">
        <f>IF(SER_hh_fec_in!P21=0,0,11630*1000*SER_hh_fec_in!P21/SER_hh_num_in!P21)</f>
        <v>0</v>
      </c>
      <c r="Q21" s="132">
        <f>IF(SER_hh_fec_in!Q21=0,0,11630*1000*SER_hh_fec_in!Q21/SER_hh_num_in!Q21)</f>
        <v>0</v>
      </c>
      <c r="R21" s="132">
        <f>IF(SER_hh_fec_in!R21=0,0,11630*1000*SER_hh_fec_in!R21/SER_hh_num_in!R21)</f>
        <v>0</v>
      </c>
      <c r="S21" s="132">
        <f>IF(SER_hh_fec_in!S21=0,0,11630*1000*SER_hh_fec_in!S21/SER_hh_num_in!S21)</f>
        <v>0</v>
      </c>
      <c r="T21" s="132">
        <f>IF(SER_hh_fec_in!T21=0,0,11630*1000*SER_hh_fec_in!T21/SER_hh_num_in!T21)</f>
        <v>0</v>
      </c>
      <c r="U21" s="132">
        <f>IF(SER_hh_fec_in!U21=0,0,11630*1000*SER_hh_fec_in!U21/SER_hh_num_in!U21)</f>
        <v>0</v>
      </c>
      <c r="V21" s="132">
        <f>IF(SER_hh_fec_in!V21=0,0,11630*1000*SER_hh_fec_in!V21/SER_hh_num_in!V21)</f>
        <v>0</v>
      </c>
      <c r="W21" s="132">
        <f>IF(SER_hh_fec_in!W21=0,0,11630*1000*SER_hh_fec_in!W21/SER_hh_num_in!W21)</f>
        <v>0</v>
      </c>
      <c r="X21" s="132">
        <f>IF(SER_hh_fec_in!X21=0,0,11630*1000*SER_hh_fec_in!X21/SER_hh_num_in!X21)</f>
        <v>0</v>
      </c>
      <c r="Y21" s="132">
        <f>IF(SER_hh_fec_in!Y21=0,0,11630*1000*SER_hh_fec_in!Y21/SER_hh_num_in!Y21)</f>
        <v>0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0</v>
      </c>
      <c r="D22" s="132">
        <f>IF(SER_hh_fec_in!D22=0,0,11630*1000*SER_hh_fec_in!D22/SER_hh_num_in!D22)</f>
        <v>0</v>
      </c>
      <c r="E22" s="132">
        <f>IF(SER_hh_fec_in!E22=0,0,11630*1000*SER_hh_fec_in!E22/SER_hh_num_in!E22)</f>
        <v>0</v>
      </c>
      <c r="F22" s="132">
        <f>IF(SER_hh_fec_in!F22=0,0,11630*1000*SER_hh_fec_in!F22/SER_hh_num_in!F22)</f>
        <v>0</v>
      </c>
      <c r="G22" s="132">
        <f>IF(SER_hh_fec_in!G22=0,0,11630*1000*SER_hh_fec_in!G22/SER_hh_num_in!G22)</f>
        <v>0</v>
      </c>
      <c r="H22" s="132">
        <f>IF(SER_hh_fec_in!H22=0,0,11630*1000*SER_hh_fec_in!H22/SER_hh_num_in!H22)</f>
        <v>0</v>
      </c>
      <c r="I22" s="132">
        <f>IF(SER_hh_fec_in!I22=0,0,11630*1000*SER_hh_fec_in!I22/SER_hh_num_in!I22)</f>
        <v>0</v>
      </c>
      <c r="J22" s="132">
        <f>IF(SER_hh_fec_in!J22=0,0,11630*1000*SER_hh_fec_in!J22/SER_hh_num_in!J22)</f>
        <v>0</v>
      </c>
      <c r="K22" s="132">
        <f>IF(SER_hh_fec_in!K22=0,0,11630*1000*SER_hh_fec_in!K22/SER_hh_num_in!K22)</f>
        <v>0</v>
      </c>
      <c r="L22" s="132">
        <f>IF(SER_hh_fec_in!L22=0,0,11630*1000*SER_hh_fec_in!L22/SER_hh_num_in!L22)</f>
        <v>0</v>
      </c>
      <c r="M22" s="132">
        <f>IF(SER_hh_fec_in!M22=0,0,11630*1000*SER_hh_fec_in!M22/SER_hh_num_in!M22)</f>
        <v>0</v>
      </c>
      <c r="N22" s="132">
        <f>IF(SER_hh_fec_in!N22=0,0,11630*1000*SER_hh_fec_in!N22/SER_hh_num_in!N22)</f>
        <v>0</v>
      </c>
      <c r="O22" s="132">
        <f>IF(SER_hh_fec_in!O22=0,0,11630*1000*SER_hh_fec_in!O22/SER_hh_num_in!O22)</f>
        <v>0</v>
      </c>
      <c r="P22" s="132">
        <f>IF(SER_hh_fec_in!P22=0,0,11630*1000*SER_hh_fec_in!P22/SER_hh_num_in!P22)</f>
        <v>0</v>
      </c>
      <c r="Q22" s="132">
        <f>IF(SER_hh_fec_in!Q22=0,0,11630*1000*SER_hh_fec_in!Q22/SER_hh_num_in!Q22)</f>
        <v>0</v>
      </c>
      <c r="R22" s="132">
        <f>IF(SER_hh_fec_in!R22=0,0,11630*1000*SER_hh_fec_in!R22/SER_hh_num_in!R22)</f>
        <v>0</v>
      </c>
      <c r="S22" s="132">
        <f>IF(SER_hh_fec_in!S22=0,0,11630*1000*SER_hh_fec_in!S22/SER_hh_num_in!S22)</f>
        <v>0</v>
      </c>
      <c r="T22" s="132">
        <f>IF(SER_hh_fec_in!T22=0,0,11630*1000*SER_hh_fec_in!T22/SER_hh_num_in!T22)</f>
        <v>0</v>
      </c>
      <c r="U22" s="132">
        <f>IF(SER_hh_fec_in!U22=0,0,11630*1000*SER_hh_fec_in!U22/SER_hh_num_in!U22)</f>
        <v>0</v>
      </c>
      <c r="V22" s="132">
        <f>IF(SER_hh_fec_in!V22=0,0,11630*1000*SER_hh_fec_in!V22/SER_hh_num_in!V22)</f>
        <v>0</v>
      </c>
      <c r="W22" s="132">
        <f>IF(SER_hh_fec_in!W22=0,0,11630*1000*SER_hh_fec_in!W22/SER_hh_num_in!W22)</f>
        <v>0</v>
      </c>
      <c r="X22" s="132">
        <f>IF(SER_hh_fec_in!X22=0,0,11630*1000*SER_hh_fec_in!X22/SER_hh_num_in!X22)</f>
        <v>0</v>
      </c>
      <c r="Y22" s="132">
        <f>IF(SER_hh_fec_in!Y22=0,0,11630*1000*SER_hh_fec_in!Y22/SER_hh_num_in!Y22)</f>
        <v>0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12449.378708431001</v>
      </c>
      <c r="D23" s="132">
        <f>IF(SER_hh_fec_in!D23=0,0,11630*1000*SER_hh_fec_in!D23/SER_hh_num_in!D23)</f>
        <v>12296.67690727069</v>
      </c>
      <c r="E23" s="132">
        <f>IF(SER_hh_fec_in!E23=0,0,11630*1000*SER_hh_fec_in!E23/SER_hh_num_in!E23)</f>
        <v>11636.561000157566</v>
      </c>
      <c r="F23" s="132">
        <f>IF(SER_hh_fec_in!F23=0,0,11630*1000*SER_hh_fec_in!F23/SER_hh_num_in!F23)</f>
        <v>11267.629474593412</v>
      </c>
      <c r="G23" s="132">
        <f>IF(SER_hh_fec_in!G23=0,0,11630*1000*SER_hh_fec_in!G23/SER_hh_num_in!G23)</f>
        <v>11212.730282761177</v>
      </c>
      <c r="H23" s="132">
        <f>IF(SER_hh_fec_in!H23=0,0,11630*1000*SER_hh_fec_in!H23/SER_hh_num_in!H23)</f>
        <v>11055.019904366207</v>
      </c>
      <c r="I23" s="132">
        <f>IF(SER_hh_fec_in!I23=0,0,11630*1000*SER_hh_fec_in!I23/SER_hh_num_in!I23)</f>
        <v>10621.008456506317</v>
      </c>
      <c r="J23" s="132">
        <f>IF(SER_hh_fec_in!J23=0,0,11630*1000*SER_hh_fec_in!J23/SER_hh_num_in!J23)</f>
        <v>10514.733250746578</v>
      </c>
      <c r="K23" s="132">
        <f>IF(SER_hh_fec_in!K23=0,0,11630*1000*SER_hh_fec_in!K23/SER_hh_num_in!K23)</f>
        <v>10882.815407027849</v>
      </c>
      <c r="L23" s="132">
        <f>IF(SER_hh_fec_in!L23=0,0,11630*1000*SER_hh_fec_in!L23/SER_hh_num_in!L23)</f>
        <v>11649.630367620986</v>
      </c>
      <c r="M23" s="132">
        <f>IF(SER_hh_fec_in!M23=0,0,11630*1000*SER_hh_fec_in!M23/SER_hh_num_in!M23)</f>
        <v>11210.51160360412</v>
      </c>
      <c r="N23" s="132">
        <f>IF(SER_hh_fec_in!N23=0,0,11630*1000*SER_hh_fec_in!N23/SER_hh_num_in!N23)</f>
        <v>10829.227580165882</v>
      </c>
      <c r="O23" s="132">
        <f>IF(SER_hh_fec_in!O23=0,0,11630*1000*SER_hh_fec_in!O23/SER_hh_num_in!O23)</f>
        <v>10505.982190842928</v>
      </c>
      <c r="P23" s="132">
        <f>IF(SER_hh_fec_in!P23=0,0,11630*1000*SER_hh_fec_in!P23/SER_hh_num_in!P23)</f>
        <v>9862.0950546696477</v>
      </c>
      <c r="Q23" s="132">
        <f>IF(SER_hh_fec_in!Q23=0,0,11630*1000*SER_hh_fec_in!Q23/SER_hh_num_in!Q23)</f>
        <v>9925.750156634942</v>
      </c>
      <c r="R23" s="132">
        <f>IF(SER_hh_fec_in!R23=0,0,11630*1000*SER_hh_fec_in!R23/SER_hh_num_in!R23)</f>
        <v>9800.1418211092059</v>
      </c>
      <c r="S23" s="132">
        <f>IF(SER_hh_fec_in!S23=0,0,11630*1000*SER_hh_fec_in!S23/SER_hh_num_in!S23)</f>
        <v>9793.6641565121936</v>
      </c>
      <c r="T23" s="132">
        <f>IF(SER_hh_fec_in!T23=0,0,11630*1000*SER_hh_fec_in!T23/SER_hh_num_in!T23)</f>
        <v>9216.7636144728513</v>
      </c>
      <c r="U23" s="132">
        <f>IF(SER_hh_fec_in!U23=0,0,11630*1000*SER_hh_fec_in!U23/SER_hh_num_in!U23)</f>
        <v>9350.7190169160476</v>
      </c>
      <c r="V23" s="132">
        <f>IF(SER_hh_fec_in!V23=0,0,11630*1000*SER_hh_fec_in!V23/SER_hh_num_in!V23)</f>
        <v>8496.4441457011217</v>
      </c>
      <c r="W23" s="132">
        <f>IF(SER_hh_fec_in!W23=0,0,11630*1000*SER_hh_fec_in!W23/SER_hh_num_in!W23)</f>
        <v>8983.769734326037</v>
      </c>
      <c r="X23" s="132">
        <f>IF(SER_hh_fec_in!X23=0,0,11630*1000*SER_hh_fec_in!X23/SER_hh_num_in!X23)</f>
        <v>8638.85903117831</v>
      </c>
      <c r="Y23" s="132">
        <f>IF(SER_hh_fec_in!Y23=0,0,11630*1000*SER_hh_fec_in!Y23/SER_hh_num_in!Y23)</f>
        <v>8408.3844712445516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0</v>
      </c>
      <c r="D24" s="132">
        <f>IF(SER_hh_fec_in!D24=0,0,11630*1000*SER_hh_fec_in!D24/SER_hh_num_in!D24)</f>
        <v>0</v>
      </c>
      <c r="E24" s="132">
        <f>IF(SER_hh_fec_in!E24=0,0,11630*1000*SER_hh_fec_in!E24/SER_hh_num_in!E24)</f>
        <v>0</v>
      </c>
      <c r="F24" s="132">
        <f>IF(SER_hh_fec_in!F24=0,0,11630*1000*SER_hh_fec_in!F24/SER_hh_num_in!F24)</f>
        <v>0</v>
      </c>
      <c r="G24" s="132">
        <f>IF(SER_hh_fec_in!G24=0,0,11630*1000*SER_hh_fec_in!G24/SER_hh_num_in!G24)</f>
        <v>0</v>
      </c>
      <c r="H24" s="132">
        <f>IF(SER_hh_fec_in!H24=0,0,11630*1000*SER_hh_fec_in!H24/SER_hh_num_in!H24)</f>
        <v>0</v>
      </c>
      <c r="I24" s="132">
        <f>IF(SER_hh_fec_in!I24=0,0,11630*1000*SER_hh_fec_in!I24/SER_hh_num_in!I24)</f>
        <v>0</v>
      </c>
      <c r="J24" s="132">
        <f>IF(SER_hh_fec_in!J24=0,0,11630*1000*SER_hh_fec_in!J24/SER_hh_num_in!J24)</f>
        <v>0</v>
      </c>
      <c r="K24" s="132">
        <f>IF(SER_hh_fec_in!K24=0,0,11630*1000*SER_hh_fec_in!K24/SER_hh_num_in!K24)</f>
        <v>0</v>
      </c>
      <c r="L24" s="132">
        <f>IF(SER_hh_fec_in!L24=0,0,11630*1000*SER_hh_fec_in!L24/SER_hh_num_in!L24)</f>
        <v>0</v>
      </c>
      <c r="M24" s="132">
        <f>IF(SER_hh_fec_in!M24=0,0,11630*1000*SER_hh_fec_in!M24/SER_hh_num_in!M24)</f>
        <v>0</v>
      </c>
      <c r="N24" s="132">
        <f>IF(SER_hh_fec_in!N24=0,0,11630*1000*SER_hh_fec_in!N24/SER_hh_num_in!N24)</f>
        <v>0</v>
      </c>
      <c r="O24" s="132">
        <f>IF(SER_hh_fec_in!O24=0,0,11630*1000*SER_hh_fec_in!O24/SER_hh_num_in!O24)</f>
        <v>0</v>
      </c>
      <c r="P24" s="132">
        <f>IF(SER_hh_fec_in!P24=0,0,11630*1000*SER_hh_fec_in!P24/SER_hh_num_in!P24)</f>
        <v>0</v>
      </c>
      <c r="Q24" s="132">
        <f>IF(SER_hh_fec_in!Q24=0,0,11630*1000*SER_hh_fec_in!Q24/SER_hh_num_in!Q24)</f>
        <v>0</v>
      </c>
      <c r="R24" s="132">
        <f>IF(SER_hh_fec_in!R24=0,0,11630*1000*SER_hh_fec_in!R24/SER_hh_num_in!R24)</f>
        <v>0</v>
      </c>
      <c r="S24" s="132">
        <f>IF(SER_hh_fec_in!S24=0,0,11630*1000*SER_hh_fec_in!S24/SER_hh_num_in!S24)</f>
        <v>0</v>
      </c>
      <c r="T24" s="132">
        <f>IF(SER_hh_fec_in!T24=0,0,11630*1000*SER_hh_fec_in!T24/SER_hh_num_in!T24)</f>
        <v>0</v>
      </c>
      <c r="U24" s="132">
        <f>IF(SER_hh_fec_in!U24=0,0,11630*1000*SER_hh_fec_in!U24/SER_hh_num_in!U24)</f>
        <v>0</v>
      </c>
      <c r="V24" s="132">
        <f>IF(SER_hh_fec_in!V24=0,0,11630*1000*SER_hh_fec_in!V24/SER_hh_num_in!V24)</f>
        <v>0</v>
      </c>
      <c r="W24" s="132">
        <f>IF(SER_hh_fec_in!W24=0,0,11630*1000*SER_hh_fec_in!W24/SER_hh_num_in!W24)</f>
        <v>0</v>
      </c>
      <c r="X24" s="132">
        <f>IF(SER_hh_fec_in!X24=0,0,11630*1000*SER_hh_fec_in!X24/SER_hh_num_in!X24)</f>
        <v>0</v>
      </c>
      <c r="Y24" s="132">
        <f>IF(SER_hh_fec_in!Y24=0,0,11630*1000*SER_hh_fec_in!Y24/SER_hh_num_in!Y24)</f>
        <v>0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9000.585107152503</v>
      </c>
      <c r="D25" s="132">
        <f>IF(SER_hh_fec_in!D25=0,0,11630*1000*SER_hh_fec_in!D25/SER_hh_num_in!D25)</f>
        <v>8770.7260413769418</v>
      </c>
      <c r="E25" s="132">
        <f>IF(SER_hh_fec_in!E25=0,0,11630*1000*SER_hh_fec_in!E25/SER_hh_num_in!E25)</f>
        <v>8524.244469947671</v>
      </c>
      <c r="F25" s="132">
        <f>IF(SER_hh_fec_in!F25=0,0,11630*1000*SER_hh_fec_in!F25/SER_hh_num_in!F25)</f>
        <v>8488.7955451173275</v>
      </c>
      <c r="G25" s="132">
        <f>IF(SER_hh_fec_in!G25=0,0,11630*1000*SER_hh_fec_in!G25/SER_hh_num_in!G25)</f>
        <v>8263.4634733531948</v>
      </c>
      <c r="H25" s="132">
        <f>IF(SER_hh_fec_in!H25=0,0,11630*1000*SER_hh_fec_in!H25/SER_hh_num_in!H25)</f>
        <v>8348.7481859902873</v>
      </c>
      <c r="I25" s="132">
        <f>IF(SER_hh_fec_in!I25=0,0,11630*1000*SER_hh_fec_in!I25/SER_hh_num_in!I25)</f>
        <v>8285.9857056143028</v>
      </c>
      <c r="J25" s="132">
        <f>IF(SER_hh_fec_in!J25=0,0,11630*1000*SER_hh_fec_in!J25/SER_hh_num_in!J25)</f>
        <v>8279.225823846562</v>
      </c>
      <c r="K25" s="132">
        <f>IF(SER_hh_fec_in!K25=0,0,11630*1000*SER_hh_fec_in!K25/SER_hh_num_in!K25)</f>
        <v>7873.3683734575516</v>
      </c>
      <c r="L25" s="132">
        <f>IF(SER_hh_fec_in!L25=0,0,11630*1000*SER_hh_fec_in!L25/SER_hh_num_in!L25)</f>
        <v>8851.094014348113</v>
      </c>
      <c r="M25" s="132">
        <f>IF(SER_hh_fec_in!M25=0,0,11630*1000*SER_hh_fec_in!M25/SER_hh_num_in!M25)</f>
        <v>8951.7303934683241</v>
      </c>
      <c r="N25" s="132">
        <f>IF(SER_hh_fec_in!N25=0,0,11630*1000*SER_hh_fec_in!N25/SER_hh_num_in!N25)</f>
        <v>8901.5547961426855</v>
      </c>
      <c r="O25" s="132">
        <f>IF(SER_hh_fec_in!O25=0,0,11630*1000*SER_hh_fec_in!O25/SER_hh_num_in!O25)</f>
        <v>8984.4548414048422</v>
      </c>
      <c r="P25" s="132">
        <f>IF(SER_hh_fec_in!P25=0,0,11630*1000*SER_hh_fec_in!P25/SER_hh_num_in!P25)</f>
        <v>8582.5542560578397</v>
      </c>
      <c r="Q25" s="132">
        <f>IF(SER_hh_fec_in!Q25=0,0,11630*1000*SER_hh_fec_in!Q25/SER_hh_num_in!Q25)</f>
        <v>8834.2635063565103</v>
      </c>
      <c r="R25" s="132">
        <f>IF(SER_hh_fec_in!R25=0,0,11630*1000*SER_hh_fec_in!R25/SER_hh_num_in!R25)</f>
        <v>9064.3587801752601</v>
      </c>
      <c r="S25" s="132">
        <f>IF(SER_hh_fec_in!S25=0,0,11630*1000*SER_hh_fec_in!S25/SER_hh_num_in!S25)</f>
        <v>8687.3149849276997</v>
      </c>
      <c r="T25" s="132">
        <f>IF(SER_hh_fec_in!T25=0,0,11630*1000*SER_hh_fec_in!T25/SER_hh_num_in!T25)</f>
        <v>8901.578577919121</v>
      </c>
      <c r="U25" s="132">
        <f>IF(SER_hh_fec_in!U25=0,0,11630*1000*SER_hh_fec_in!U25/SER_hh_num_in!U25)</f>
        <v>8410.9510481024226</v>
      </c>
      <c r="V25" s="132">
        <f>IF(SER_hh_fec_in!V25=0,0,11630*1000*SER_hh_fec_in!V25/SER_hh_num_in!V25)</f>
        <v>7818.2601414436258</v>
      </c>
      <c r="W25" s="132">
        <f>IF(SER_hh_fec_in!W25=0,0,11630*1000*SER_hh_fec_in!W25/SER_hh_num_in!W25)</f>
        <v>8537.3786947802455</v>
      </c>
      <c r="X25" s="132">
        <f>IF(SER_hh_fec_in!X25=0,0,11630*1000*SER_hh_fec_in!X25/SER_hh_num_in!X25)</f>
        <v>8014.3729155036681</v>
      </c>
      <c r="Y25" s="132">
        <f>IF(SER_hh_fec_in!Y25=0,0,11630*1000*SER_hh_fec_in!Y25/SER_hh_num_in!Y25)</f>
        <v>7972.2796841148047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10924.951692891047</v>
      </c>
      <c r="D26" s="65">
        <f>IF(SER_hh_fec_in!D26=0,0,11630*1000*SER_hh_fec_in!D26/SER_hh_num_in!D26)</f>
        <v>10664.720544057427</v>
      </c>
      <c r="E26" s="65">
        <f>IF(SER_hh_fec_in!E26=0,0,11630*1000*SER_hh_fec_in!E26/SER_hh_num_in!E26)</f>
        <v>7089.7189948899086</v>
      </c>
      <c r="F26" s="65">
        <f>IF(SER_hh_fec_in!F26=0,0,11630*1000*SER_hh_fec_in!F26/SER_hh_num_in!F26)</f>
        <v>9032.4758083326287</v>
      </c>
      <c r="G26" s="65">
        <f>IF(SER_hh_fec_in!G26=0,0,11630*1000*SER_hh_fec_in!G26/SER_hh_num_in!G26)</f>
        <v>9537.0361406392003</v>
      </c>
      <c r="H26" s="65">
        <f>IF(SER_hh_fec_in!H26=0,0,11630*1000*SER_hh_fec_in!H26/SER_hh_num_in!H26)</f>
        <v>9432.1443932405564</v>
      </c>
      <c r="I26" s="65">
        <f>IF(SER_hh_fec_in!I26=0,0,11630*1000*SER_hh_fec_in!I26/SER_hh_num_in!I26)</f>
        <v>9369.2953409993297</v>
      </c>
      <c r="J26" s="65">
        <f>IF(SER_hh_fec_in!J26=0,0,11630*1000*SER_hh_fec_in!J26/SER_hh_num_in!J26)</f>
        <v>8362.4614652702021</v>
      </c>
      <c r="K26" s="65">
        <f>IF(SER_hh_fec_in!K26=0,0,11630*1000*SER_hh_fec_in!K26/SER_hh_num_in!K26)</f>
        <v>4278.5839430361293</v>
      </c>
      <c r="L26" s="65">
        <f>IF(SER_hh_fec_in!L26=0,0,11630*1000*SER_hh_fec_in!L26/SER_hh_num_in!L26)</f>
        <v>7463.9372699996211</v>
      </c>
      <c r="M26" s="65">
        <f>IF(SER_hh_fec_in!M26=0,0,11630*1000*SER_hh_fec_in!M26/SER_hh_num_in!M26)</f>
        <v>8390.4770169194744</v>
      </c>
      <c r="N26" s="65">
        <f>IF(SER_hh_fec_in!N26=0,0,11630*1000*SER_hh_fec_in!N26/SER_hh_num_in!N26)</f>
        <v>8209.560425150783</v>
      </c>
      <c r="O26" s="65">
        <f>IF(SER_hh_fec_in!O26=0,0,11630*1000*SER_hh_fec_in!O26/SER_hh_num_in!O26)</f>
        <v>8330.0225141793544</v>
      </c>
      <c r="P26" s="65">
        <f>IF(SER_hh_fec_in!P26=0,0,11630*1000*SER_hh_fec_in!P26/SER_hh_num_in!P26)</f>
        <v>4080.4723368963287</v>
      </c>
      <c r="Q26" s="65">
        <f>IF(SER_hh_fec_in!Q26=0,0,11630*1000*SER_hh_fec_in!Q26/SER_hh_num_in!Q26)</f>
        <v>8342.1530163680691</v>
      </c>
      <c r="R26" s="65">
        <f>IF(SER_hh_fec_in!R26=0,0,11630*1000*SER_hh_fec_in!R26/SER_hh_num_in!R26)</f>
        <v>7888.0577795802856</v>
      </c>
      <c r="S26" s="65">
        <f>IF(SER_hh_fec_in!S26=0,0,11630*1000*SER_hh_fec_in!S26/SER_hh_num_in!S26)</f>
        <v>7176.8571034923316</v>
      </c>
      <c r="T26" s="65">
        <f>IF(SER_hh_fec_in!T26=0,0,11630*1000*SER_hh_fec_in!T26/SER_hh_num_in!T26)</f>
        <v>7069.5582159714731</v>
      </c>
      <c r="U26" s="65">
        <f>IF(SER_hh_fec_in!U26=0,0,11630*1000*SER_hh_fec_in!U26/SER_hh_num_in!U26)</f>
        <v>6944.9898122249324</v>
      </c>
      <c r="V26" s="65">
        <f>IF(SER_hh_fec_in!V26=0,0,11630*1000*SER_hh_fec_in!V26/SER_hh_num_in!V26)</f>
        <v>5028.4521283052718</v>
      </c>
      <c r="W26" s="65">
        <f>IF(SER_hh_fec_in!W26=0,0,11630*1000*SER_hh_fec_in!W26/SER_hh_num_in!W26)</f>
        <v>7335.8883092880023</v>
      </c>
      <c r="X26" s="65">
        <f>IF(SER_hh_fec_in!X26=0,0,11630*1000*SER_hh_fec_in!X26/SER_hh_num_in!X26)</f>
        <v>5587.6571995246741</v>
      </c>
      <c r="Y26" s="65">
        <f>IF(SER_hh_fec_in!Y26=0,0,11630*1000*SER_hh_fec_in!Y26/SER_hh_num_in!Y26)</f>
        <v>8124.067259018444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0</v>
      </c>
      <c r="D27" s="145">
        <f>IF(SER_hh_fec_in!D27=0,0,11630*1000*SER_hh_fec_in!D27/SER_hh_num_in!D19)</f>
        <v>0</v>
      </c>
      <c r="E27" s="145">
        <f>IF(SER_hh_fec_in!E27=0,0,11630*1000*SER_hh_fec_in!E27/SER_hh_num_in!E19)</f>
        <v>760.27854455454121</v>
      </c>
      <c r="F27" s="145">
        <f>IF(SER_hh_fec_in!F27=0,0,11630*1000*SER_hh_fec_in!F27/SER_hh_num_in!F19)</f>
        <v>242.48507273373124</v>
      </c>
      <c r="G27" s="145">
        <f>IF(SER_hh_fec_in!G27=0,0,11630*1000*SER_hh_fec_in!G27/SER_hh_num_in!G19)</f>
        <v>126.27438086088529</v>
      </c>
      <c r="H27" s="145">
        <f>IF(SER_hh_fec_in!H27=0,0,11630*1000*SER_hh_fec_in!H27/SER_hh_num_in!H19)</f>
        <v>151.54940598238872</v>
      </c>
      <c r="I27" s="145">
        <f>IF(SER_hh_fec_in!I27=0,0,11630*1000*SER_hh_fec_in!I27/SER_hh_num_in!I19)</f>
        <v>210.8517612812694</v>
      </c>
      <c r="J27" s="145">
        <f>IF(SER_hh_fec_in!J27=0,0,11630*1000*SER_hh_fec_in!J27/SER_hh_num_in!J19)</f>
        <v>452.62847433668583</v>
      </c>
      <c r="K27" s="145">
        <f>IF(SER_hh_fec_in!K27=0,0,11630*1000*SER_hh_fec_in!K27/SER_hh_num_in!K19)</f>
        <v>1227.4065688277069</v>
      </c>
      <c r="L27" s="145">
        <f>IF(SER_hh_fec_in!L27=0,0,11630*1000*SER_hh_fec_in!L27/SER_hh_num_in!L19)</f>
        <v>950.74906818015336</v>
      </c>
      <c r="M27" s="145">
        <f>IF(SER_hh_fec_in!M27=0,0,11630*1000*SER_hh_fec_in!M27/SER_hh_num_in!M19)</f>
        <v>678.26958591943003</v>
      </c>
      <c r="N27" s="145">
        <f>IF(SER_hh_fec_in!N27=0,0,11630*1000*SER_hh_fec_in!N27/SER_hh_num_in!N19)</f>
        <v>813.88594511416716</v>
      </c>
      <c r="O27" s="145">
        <f>IF(SER_hh_fec_in!O27=0,0,11630*1000*SER_hh_fec_in!O27/SER_hh_num_in!O19)</f>
        <v>628.61106541458196</v>
      </c>
      <c r="P27" s="145">
        <f>IF(SER_hh_fec_in!P27=0,0,11630*1000*SER_hh_fec_in!P27/SER_hh_num_in!P19)</f>
        <v>1290.9600245061067</v>
      </c>
      <c r="Q27" s="145">
        <f>IF(SER_hh_fec_in!Q27=0,0,11630*1000*SER_hh_fec_in!Q27/SER_hh_num_in!Q19)</f>
        <v>246.41774694742185</v>
      </c>
      <c r="R27" s="145">
        <f>IF(SER_hh_fec_in!R27=0,0,11630*1000*SER_hh_fec_in!R27/SER_hh_num_in!R19)</f>
        <v>403.97590868527107</v>
      </c>
      <c r="S27" s="145">
        <f>IF(SER_hh_fec_in!S27=0,0,11630*1000*SER_hh_fec_in!S27/SER_hh_num_in!S19)</f>
        <v>571.63637248167277</v>
      </c>
      <c r="T27" s="145">
        <f>IF(SER_hh_fec_in!T27=0,0,11630*1000*SER_hh_fec_in!T27/SER_hh_num_in!T19)</f>
        <v>709.28713520447195</v>
      </c>
      <c r="U27" s="145">
        <f>IF(SER_hh_fec_in!U27=0,0,11630*1000*SER_hh_fec_in!U27/SER_hh_num_in!U19)</f>
        <v>572.7424682029241</v>
      </c>
      <c r="V27" s="145">
        <f>IF(SER_hh_fec_in!V27=0,0,11630*1000*SER_hh_fec_in!V27/SER_hh_num_in!V19)</f>
        <v>1250.9262194664593</v>
      </c>
      <c r="W27" s="145">
        <f>IF(SER_hh_fec_in!W27=0,0,11630*1000*SER_hh_fec_in!W27/SER_hh_num_in!W19)</f>
        <v>0</v>
      </c>
      <c r="X27" s="145">
        <f>IF(SER_hh_fec_in!X27=0,0,11630*1000*SER_hh_fec_in!X27/SER_hh_num_in!X19)</f>
        <v>1318.4624301975316</v>
      </c>
      <c r="Y27" s="145">
        <f>IF(SER_hh_fec_in!Y27=0,0,11630*1000*SER_hh_fec_in!Y27/SER_hh_num_in!Y19)</f>
        <v>1.5837227281873583E-12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0</v>
      </c>
      <c r="D28" s="146">
        <f>IF(SER_hh_fec_in!D27=0,0,11630*1000*SER_hh_fec_in!D27/SER_hh_num_in!D27)</f>
        <v>0</v>
      </c>
      <c r="E28" s="146">
        <f>IF(SER_hh_fec_in!E27=0,0,11630*1000*SER_hh_fec_in!E27/SER_hh_num_in!E27)</f>
        <v>3487.9205970915327</v>
      </c>
      <c r="F28" s="146">
        <f>IF(SER_hh_fec_in!F27=0,0,11630*1000*SER_hh_fec_in!F27/SER_hh_num_in!F27)</f>
        <v>3369.9402538252289</v>
      </c>
      <c r="G28" s="146">
        <f>IF(SER_hh_fec_in!G27=0,0,11630*1000*SER_hh_fec_in!G27/SER_hh_num_in!G27)</f>
        <v>3446.1698709455554</v>
      </c>
      <c r="H28" s="146">
        <f>IF(SER_hh_fec_in!H27=0,0,11630*1000*SER_hh_fec_in!H27/SER_hh_num_in!H27)</f>
        <v>3321.4466279398757</v>
      </c>
      <c r="I28" s="146">
        <f>IF(SER_hh_fec_in!I27=0,0,11630*1000*SER_hh_fec_in!I27/SER_hh_num_in!I27)</f>
        <v>3385.00733418974</v>
      </c>
      <c r="J28" s="146">
        <f>IF(SER_hh_fec_in!J27=0,0,11630*1000*SER_hh_fec_in!J27/SER_hh_num_in!J27)</f>
        <v>3456.4912557222165</v>
      </c>
      <c r="K28" s="146">
        <f>IF(SER_hh_fec_in!K27=0,0,11630*1000*SER_hh_fec_in!K27/SER_hh_num_in!K27)</f>
        <v>3871.5637179012092</v>
      </c>
      <c r="L28" s="146">
        <f>IF(SER_hh_fec_in!L27=0,0,11630*1000*SER_hh_fec_in!L27/SER_hh_num_in!L27)</f>
        <v>3878.2135679904022</v>
      </c>
      <c r="M28" s="146">
        <f>IF(SER_hh_fec_in!M27=0,0,11630*1000*SER_hh_fec_in!M27/SER_hh_num_in!M27)</f>
        <v>4274.4219056871534</v>
      </c>
      <c r="N28" s="146">
        <f>IF(SER_hh_fec_in!N27=0,0,11630*1000*SER_hh_fec_in!N27/SER_hh_num_in!N27)</f>
        <v>4418.5953561269534</v>
      </c>
      <c r="O28" s="146">
        <f>IF(SER_hh_fec_in!O27=0,0,11630*1000*SER_hh_fec_in!O27/SER_hh_num_in!O27)</f>
        <v>4563.524938804816</v>
      </c>
      <c r="P28" s="146">
        <f>IF(SER_hh_fec_in!P27=0,0,11630*1000*SER_hh_fec_in!P27/SER_hh_num_in!P27)</f>
        <v>4282.1259310349024</v>
      </c>
      <c r="Q28" s="146">
        <f>IF(SER_hh_fec_in!Q27=0,0,11630*1000*SER_hh_fec_in!Q27/SER_hh_num_in!Q27)</f>
        <v>4512.3941953716176</v>
      </c>
      <c r="R28" s="146">
        <f>IF(SER_hh_fec_in!R27=0,0,11630*1000*SER_hh_fec_in!R27/SER_hh_num_in!R27)</f>
        <v>4673.6516140194744</v>
      </c>
      <c r="S28" s="146">
        <f>IF(SER_hh_fec_in!S27=0,0,11630*1000*SER_hh_fec_in!S27/SER_hh_num_in!S27)</f>
        <v>4665.3094238980129</v>
      </c>
      <c r="T28" s="146">
        <f>IF(SER_hh_fec_in!T27=0,0,11630*1000*SER_hh_fec_in!T27/SER_hh_num_in!T27)</f>
        <v>4553.022233165404</v>
      </c>
      <c r="U28" s="146">
        <f>IF(SER_hh_fec_in!U27=0,0,11630*1000*SER_hh_fec_in!U27/SER_hh_num_in!U27)</f>
        <v>4526.0341359983113</v>
      </c>
      <c r="V28" s="146">
        <f>IF(SER_hh_fec_in!V27=0,0,11630*1000*SER_hh_fec_in!V27/SER_hh_num_in!V27)</f>
        <v>4124.0434609732129</v>
      </c>
      <c r="W28" s="146">
        <f>IF(SER_hh_fec_in!W27=0,0,11630*1000*SER_hh_fec_in!W27/SER_hh_num_in!W27)</f>
        <v>0</v>
      </c>
      <c r="X28" s="146">
        <f>IF(SER_hh_fec_in!X27=0,0,11630*1000*SER_hh_fec_in!X27/SER_hh_num_in!X27)</f>
        <v>4224.4625677592167</v>
      </c>
      <c r="Y28" s="146">
        <f>IF(SER_hh_fec_in!Y27=0,0,11630*1000*SER_hh_fec_in!Y27/SER_hh_num_in!Y27)</f>
        <v>4822.6010342883128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11588.854308571583</v>
      </c>
      <c r="D29" s="130">
        <f>IF(SER_hh_fec_in!D29=0,0,11630*1000*SER_hh_fec_in!D29/SER_hh_num_in!D29)</f>
        <v>11487.543261855986</v>
      </c>
      <c r="E29" s="130">
        <f>IF(SER_hh_fec_in!E29=0,0,11630*1000*SER_hh_fec_in!E29/SER_hh_num_in!E29)</f>
        <v>11406.04922406896</v>
      </c>
      <c r="F29" s="130">
        <f>IF(SER_hh_fec_in!F29=0,0,11630*1000*SER_hh_fec_in!F29/SER_hh_num_in!F29)</f>
        <v>11235.429106237025</v>
      </c>
      <c r="G29" s="130">
        <f>IF(SER_hh_fec_in!G29=0,0,11630*1000*SER_hh_fec_in!G29/SER_hh_num_in!G29)</f>
        <v>11222.479559075888</v>
      </c>
      <c r="H29" s="130">
        <f>IF(SER_hh_fec_in!H29=0,0,11630*1000*SER_hh_fec_in!H29/SER_hh_num_in!H29)</f>
        <v>11090.320826653313</v>
      </c>
      <c r="I29" s="130">
        <f>IF(SER_hh_fec_in!I29=0,0,11630*1000*SER_hh_fec_in!I29/SER_hh_num_in!I29)</f>
        <v>11143.895013642839</v>
      </c>
      <c r="J29" s="130">
        <f>IF(SER_hh_fec_in!J29=0,0,11630*1000*SER_hh_fec_in!J29/SER_hh_num_in!J29)</f>
        <v>11346.71876784137</v>
      </c>
      <c r="K29" s="130">
        <f>IF(SER_hh_fec_in!K29=0,0,11630*1000*SER_hh_fec_in!K29/SER_hh_num_in!K29)</f>
        <v>12152.797318547071</v>
      </c>
      <c r="L29" s="130">
        <f>IF(SER_hh_fec_in!L29=0,0,11630*1000*SER_hh_fec_in!L29/SER_hh_num_in!L29)</f>
        <v>12402.380291941705</v>
      </c>
      <c r="M29" s="130">
        <f>IF(SER_hh_fec_in!M29=0,0,11630*1000*SER_hh_fec_in!M29/SER_hh_num_in!M29)</f>
        <v>12096.256468778194</v>
      </c>
      <c r="N29" s="130">
        <f>IF(SER_hh_fec_in!N29=0,0,11630*1000*SER_hh_fec_in!N29/SER_hh_num_in!N29)</f>
        <v>12214.577725338189</v>
      </c>
      <c r="O29" s="130">
        <f>IF(SER_hh_fec_in!O29=0,0,11630*1000*SER_hh_fec_in!O29/SER_hh_num_in!O29)</f>
        <v>12492.473118522772</v>
      </c>
      <c r="P29" s="130">
        <f>IF(SER_hh_fec_in!P29=0,0,11630*1000*SER_hh_fec_in!P29/SER_hh_num_in!P29)</f>
        <v>12502.496482378554</v>
      </c>
      <c r="Q29" s="130">
        <f>IF(SER_hh_fec_in!Q29=0,0,11630*1000*SER_hh_fec_in!Q29/SER_hh_num_in!Q29)</f>
        <v>12535.760427791092</v>
      </c>
      <c r="R29" s="130">
        <f>IF(SER_hh_fec_in!R29=0,0,11630*1000*SER_hh_fec_in!R29/SER_hh_num_in!R29)</f>
        <v>12987.812699484333</v>
      </c>
      <c r="S29" s="130">
        <f>IF(SER_hh_fec_in!S29=0,0,11630*1000*SER_hh_fec_in!S29/SER_hh_num_in!S29)</f>
        <v>13609.865629089514</v>
      </c>
      <c r="T29" s="130">
        <f>IF(SER_hh_fec_in!T29=0,0,11630*1000*SER_hh_fec_in!T29/SER_hh_num_in!T29)</f>
        <v>12342.355080437606</v>
      </c>
      <c r="U29" s="130">
        <f>IF(SER_hh_fec_in!U29=0,0,11630*1000*SER_hh_fec_in!U29/SER_hh_num_in!U29)</f>
        <v>12440.79214366783</v>
      </c>
      <c r="V29" s="130">
        <f>IF(SER_hh_fec_in!V29=0,0,11630*1000*SER_hh_fec_in!V29/SER_hh_num_in!V29)</f>
        <v>10783.548388635363</v>
      </c>
      <c r="W29" s="130">
        <f>IF(SER_hh_fec_in!W29=0,0,11630*1000*SER_hh_fec_in!W29/SER_hh_num_in!W29)</f>
        <v>10500.797602471943</v>
      </c>
      <c r="X29" s="130">
        <f>IF(SER_hh_fec_in!X29=0,0,11630*1000*SER_hh_fec_in!X29/SER_hh_num_in!X29)</f>
        <v>9960.8043158069249</v>
      </c>
      <c r="Y29" s="130">
        <f>IF(SER_hh_fec_in!Y29=0,0,11630*1000*SER_hh_fec_in!Y29/SER_hh_num_in!Y29)</f>
        <v>10356.508704898808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0</v>
      </c>
      <c r="D30" s="132">
        <f>IF(SER_hh_fec_in!D30=0,0,11630*1000*SER_hh_fec_in!D30/SER_hh_num_in!D30)</f>
        <v>0</v>
      </c>
      <c r="E30" s="132">
        <f>IF(SER_hh_fec_in!E30=0,0,11630*1000*SER_hh_fec_in!E30/SER_hh_num_in!E30)</f>
        <v>0</v>
      </c>
      <c r="F30" s="132">
        <f>IF(SER_hh_fec_in!F30=0,0,11630*1000*SER_hh_fec_in!F30/SER_hh_num_in!F30)</f>
        <v>0</v>
      </c>
      <c r="G30" s="132">
        <f>IF(SER_hh_fec_in!G30=0,0,11630*1000*SER_hh_fec_in!G30/SER_hh_num_in!G30)</f>
        <v>0</v>
      </c>
      <c r="H30" s="132">
        <f>IF(SER_hh_fec_in!H30=0,0,11630*1000*SER_hh_fec_in!H30/SER_hh_num_in!H30)</f>
        <v>0</v>
      </c>
      <c r="I30" s="132">
        <f>IF(SER_hh_fec_in!I30=0,0,11630*1000*SER_hh_fec_in!I30/SER_hh_num_in!I30)</f>
        <v>0</v>
      </c>
      <c r="J30" s="132">
        <f>IF(SER_hh_fec_in!J30=0,0,11630*1000*SER_hh_fec_in!J30/SER_hh_num_in!J30)</f>
        <v>0</v>
      </c>
      <c r="K30" s="132">
        <f>IF(SER_hh_fec_in!K30=0,0,11630*1000*SER_hh_fec_in!K30/SER_hh_num_in!K30)</f>
        <v>0</v>
      </c>
      <c r="L30" s="132">
        <f>IF(SER_hh_fec_in!L30=0,0,11630*1000*SER_hh_fec_in!L30/SER_hh_num_in!L30)</f>
        <v>0</v>
      </c>
      <c r="M30" s="132">
        <f>IF(SER_hh_fec_in!M30=0,0,11630*1000*SER_hh_fec_in!M30/SER_hh_num_in!M30)</f>
        <v>0</v>
      </c>
      <c r="N30" s="132">
        <f>IF(SER_hh_fec_in!N30=0,0,11630*1000*SER_hh_fec_in!N30/SER_hh_num_in!N30)</f>
        <v>0</v>
      </c>
      <c r="O30" s="132">
        <f>IF(SER_hh_fec_in!O30=0,0,11630*1000*SER_hh_fec_in!O30/SER_hh_num_in!O30)</f>
        <v>0</v>
      </c>
      <c r="P30" s="132">
        <f>IF(SER_hh_fec_in!P30=0,0,11630*1000*SER_hh_fec_in!P30/SER_hh_num_in!P30)</f>
        <v>0</v>
      </c>
      <c r="Q30" s="132">
        <f>IF(SER_hh_fec_in!Q30=0,0,11630*1000*SER_hh_fec_in!Q30/SER_hh_num_in!Q30)</f>
        <v>0</v>
      </c>
      <c r="R30" s="132">
        <f>IF(SER_hh_fec_in!R30=0,0,11630*1000*SER_hh_fec_in!R30/SER_hh_num_in!R30)</f>
        <v>0</v>
      </c>
      <c r="S30" s="132">
        <f>IF(SER_hh_fec_in!S30=0,0,11630*1000*SER_hh_fec_in!S30/SER_hh_num_in!S30)</f>
        <v>0</v>
      </c>
      <c r="T30" s="132">
        <f>IF(SER_hh_fec_in!T30=0,0,11630*1000*SER_hh_fec_in!T30/SER_hh_num_in!T30)</f>
        <v>0</v>
      </c>
      <c r="U30" s="132">
        <f>IF(SER_hh_fec_in!U30=0,0,11630*1000*SER_hh_fec_in!U30/SER_hh_num_in!U30)</f>
        <v>0</v>
      </c>
      <c r="V30" s="132">
        <f>IF(SER_hh_fec_in!V30=0,0,11630*1000*SER_hh_fec_in!V30/SER_hh_num_in!V30)</f>
        <v>0</v>
      </c>
      <c r="W30" s="132">
        <f>IF(SER_hh_fec_in!W30=0,0,11630*1000*SER_hh_fec_in!W30/SER_hh_num_in!W30)</f>
        <v>0</v>
      </c>
      <c r="X30" s="132">
        <f>IF(SER_hh_fec_in!X30=0,0,11630*1000*SER_hh_fec_in!X30/SER_hh_num_in!X30)</f>
        <v>0</v>
      </c>
      <c r="Y30" s="132">
        <f>IF(SER_hh_fec_in!Y30=0,0,11630*1000*SER_hh_fec_in!Y30/SER_hh_num_in!Y30)</f>
        <v>0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13400.326020477421</v>
      </c>
      <c r="D31" s="132">
        <f>IF(SER_hh_fec_in!D31=0,0,11630*1000*SER_hh_fec_in!D31/SER_hh_num_in!D31)</f>
        <v>13188.153918525197</v>
      </c>
      <c r="E31" s="132">
        <f>IF(SER_hh_fec_in!E31=0,0,11630*1000*SER_hh_fec_in!E31/SER_hh_num_in!E31)</f>
        <v>12861.243199519327</v>
      </c>
      <c r="F31" s="132">
        <f>IF(SER_hh_fec_in!F31=0,0,11630*1000*SER_hh_fec_in!F31/SER_hh_num_in!F31)</f>
        <v>13130.207704320828</v>
      </c>
      <c r="G31" s="132">
        <f>IF(SER_hh_fec_in!G31=0,0,11630*1000*SER_hh_fec_in!G31/SER_hh_num_in!G31)</f>
        <v>12850.9623891257</v>
      </c>
      <c r="H31" s="132">
        <f>IF(SER_hh_fec_in!H31=0,0,11630*1000*SER_hh_fec_in!H31/SER_hh_num_in!H31)</f>
        <v>12647.710508131962</v>
      </c>
      <c r="I31" s="132">
        <f>IF(SER_hh_fec_in!I31=0,0,11630*1000*SER_hh_fec_in!I31/SER_hh_num_in!I31)</f>
        <v>12684.011324205603</v>
      </c>
      <c r="J31" s="132">
        <f>IF(SER_hh_fec_in!J31=0,0,11630*1000*SER_hh_fec_in!J31/SER_hh_num_in!J31)</f>
        <v>12896.804878835557</v>
      </c>
      <c r="K31" s="132">
        <f>IF(SER_hh_fec_in!K31=0,0,11630*1000*SER_hh_fec_in!K31/SER_hh_num_in!K31)</f>
        <v>14401.742537038763</v>
      </c>
      <c r="L31" s="132">
        <f>IF(SER_hh_fec_in!L31=0,0,11630*1000*SER_hh_fec_in!L31/SER_hh_num_in!L31)</f>
        <v>13943.534302133314</v>
      </c>
      <c r="M31" s="132">
        <f>IF(SER_hh_fec_in!M31=0,0,11630*1000*SER_hh_fec_in!M31/SER_hh_num_in!M31)</f>
        <v>14118.740337105983</v>
      </c>
      <c r="N31" s="132">
        <f>IF(SER_hh_fec_in!N31=0,0,11630*1000*SER_hh_fec_in!N31/SER_hh_num_in!N31)</f>
        <v>14238.180874423748</v>
      </c>
      <c r="O31" s="132">
        <f>IF(SER_hh_fec_in!O31=0,0,11630*1000*SER_hh_fec_in!O31/SER_hh_num_in!O31)</f>
        <v>14353.266703224655</v>
      </c>
      <c r="P31" s="132">
        <f>IF(SER_hh_fec_in!P31=0,0,11630*1000*SER_hh_fec_in!P31/SER_hh_num_in!P31)</f>
        <v>14377.647562290516</v>
      </c>
      <c r="Q31" s="132">
        <f>IF(SER_hh_fec_in!Q31=0,0,11630*1000*SER_hh_fec_in!Q31/SER_hh_num_in!Q31)</f>
        <v>13910.436419797612</v>
      </c>
      <c r="R31" s="132">
        <f>IF(SER_hh_fec_in!R31=0,0,11630*1000*SER_hh_fec_in!R31/SER_hh_num_in!R31)</f>
        <v>14233.615134702313</v>
      </c>
      <c r="S31" s="132">
        <f>IF(SER_hh_fec_in!S31=0,0,11630*1000*SER_hh_fec_in!S31/SER_hh_num_in!S31)</f>
        <v>15165.478589139013</v>
      </c>
      <c r="T31" s="132">
        <f>IF(SER_hh_fec_in!T31=0,0,11630*1000*SER_hh_fec_in!T31/SER_hh_num_in!T31)</f>
        <v>13835.110495628196</v>
      </c>
      <c r="U31" s="132">
        <f>IF(SER_hh_fec_in!U31=0,0,11630*1000*SER_hh_fec_in!U31/SER_hh_num_in!U31)</f>
        <v>14478.380177328714</v>
      </c>
      <c r="V31" s="132">
        <f>IF(SER_hh_fec_in!V31=0,0,11630*1000*SER_hh_fec_in!V31/SER_hh_num_in!V31)</f>
        <v>13380.211050341199</v>
      </c>
      <c r="W31" s="132">
        <f>IF(SER_hh_fec_in!W31=0,0,11630*1000*SER_hh_fec_in!W31/SER_hh_num_in!W31)</f>
        <v>13652.397528757896</v>
      </c>
      <c r="X31" s="132">
        <f>IF(SER_hh_fec_in!X31=0,0,11630*1000*SER_hh_fec_in!X31/SER_hh_num_in!X31)</f>
        <v>13388.935522243948</v>
      </c>
      <c r="Y31" s="132">
        <f>IF(SER_hh_fec_in!Y31=0,0,11630*1000*SER_hh_fec_in!Y31/SER_hh_num_in!Y31)</f>
        <v>13144.916323277464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0</v>
      </c>
      <c r="D32" s="132">
        <f>IF(SER_hh_fec_in!D32=0,0,11630*1000*SER_hh_fec_in!D32/SER_hh_num_in!D32)</f>
        <v>0</v>
      </c>
      <c r="E32" s="132">
        <f>IF(SER_hh_fec_in!E32=0,0,11630*1000*SER_hh_fec_in!E32/SER_hh_num_in!E32)</f>
        <v>0</v>
      </c>
      <c r="F32" s="132">
        <f>IF(SER_hh_fec_in!F32=0,0,11630*1000*SER_hh_fec_in!F32/SER_hh_num_in!F32)</f>
        <v>0</v>
      </c>
      <c r="G32" s="132">
        <f>IF(SER_hh_fec_in!G32=0,0,11630*1000*SER_hh_fec_in!G32/SER_hh_num_in!G32)</f>
        <v>0</v>
      </c>
      <c r="H32" s="132">
        <f>IF(SER_hh_fec_in!H32=0,0,11630*1000*SER_hh_fec_in!H32/SER_hh_num_in!H32)</f>
        <v>0</v>
      </c>
      <c r="I32" s="132">
        <f>IF(SER_hh_fec_in!I32=0,0,11630*1000*SER_hh_fec_in!I32/SER_hh_num_in!I32)</f>
        <v>0</v>
      </c>
      <c r="J32" s="132">
        <f>IF(SER_hh_fec_in!J32=0,0,11630*1000*SER_hh_fec_in!J32/SER_hh_num_in!J32)</f>
        <v>0</v>
      </c>
      <c r="K32" s="132">
        <f>IF(SER_hh_fec_in!K32=0,0,11630*1000*SER_hh_fec_in!K32/SER_hh_num_in!K32)</f>
        <v>0</v>
      </c>
      <c r="L32" s="132">
        <f>IF(SER_hh_fec_in!L32=0,0,11630*1000*SER_hh_fec_in!L32/SER_hh_num_in!L32)</f>
        <v>0</v>
      </c>
      <c r="M32" s="132">
        <f>IF(SER_hh_fec_in!M32=0,0,11630*1000*SER_hh_fec_in!M32/SER_hh_num_in!M32)</f>
        <v>0</v>
      </c>
      <c r="N32" s="132">
        <f>IF(SER_hh_fec_in!N32=0,0,11630*1000*SER_hh_fec_in!N32/SER_hh_num_in!N32)</f>
        <v>0</v>
      </c>
      <c r="O32" s="132">
        <f>IF(SER_hh_fec_in!O32=0,0,11630*1000*SER_hh_fec_in!O32/SER_hh_num_in!O32)</f>
        <v>0</v>
      </c>
      <c r="P32" s="132">
        <f>IF(SER_hh_fec_in!P32=0,0,11630*1000*SER_hh_fec_in!P32/SER_hh_num_in!P32)</f>
        <v>0</v>
      </c>
      <c r="Q32" s="132">
        <f>IF(SER_hh_fec_in!Q32=0,0,11630*1000*SER_hh_fec_in!Q32/SER_hh_num_in!Q32)</f>
        <v>0</v>
      </c>
      <c r="R32" s="132">
        <f>IF(SER_hh_fec_in!R32=0,0,11630*1000*SER_hh_fec_in!R32/SER_hh_num_in!R32)</f>
        <v>0</v>
      </c>
      <c r="S32" s="132">
        <f>IF(SER_hh_fec_in!S32=0,0,11630*1000*SER_hh_fec_in!S32/SER_hh_num_in!S32)</f>
        <v>0</v>
      </c>
      <c r="T32" s="132">
        <f>IF(SER_hh_fec_in!T32=0,0,11630*1000*SER_hh_fec_in!T32/SER_hh_num_in!T32)</f>
        <v>0</v>
      </c>
      <c r="U32" s="132">
        <f>IF(SER_hh_fec_in!U32=0,0,11630*1000*SER_hh_fec_in!U32/SER_hh_num_in!U32)</f>
        <v>0</v>
      </c>
      <c r="V32" s="132">
        <f>IF(SER_hh_fec_in!V32=0,0,11630*1000*SER_hh_fec_in!V32/SER_hh_num_in!V32)</f>
        <v>0</v>
      </c>
      <c r="W32" s="132">
        <f>IF(SER_hh_fec_in!W32=0,0,11630*1000*SER_hh_fec_in!W32/SER_hh_num_in!W32)</f>
        <v>0</v>
      </c>
      <c r="X32" s="132">
        <f>IF(SER_hh_fec_in!X32=0,0,11630*1000*SER_hh_fec_in!X32/SER_hh_num_in!X32)</f>
        <v>0</v>
      </c>
      <c r="Y32" s="132">
        <f>IF(SER_hh_fec_in!Y32=0,0,11630*1000*SER_hh_fec_in!Y32/SER_hh_num_in!Y32)</f>
        <v>0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9448.6560733349161</v>
      </c>
      <c r="D33" s="68">
        <f>IF(SER_hh_fec_in!D33=0,0,11630*1000*SER_hh_fec_in!D33/SER_hh_num_in!D33)</f>
        <v>9516.3355207860022</v>
      </c>
      <c r="E33" s="68">
        <f>IF(SER_hh_fec_in!E33=0,0,11630*1000*SER_hh_fec_in!E33/SER_hh_num_in!E33)</f>
        <v>9965.4618184942901</v>
      </c>
      <c r="F33" s="68">
        <f>IF(SER_hh_fec_in!F33=0,0,11630*1000*SER_hh_fec_in!F33/SER_hh_num_in!F33)</f>
        <v>9696.0788080014117</v>
      </c>
      <c r="G33" s="68">
        <f>IF(SER_hh_fec_in!G33=0,0,11630*1000*SER_hh_fec_in!G33/SER_hh_num_in!G33)</f>
        <v>9665.4134749397235</v>
      </c>
      <c r="H33" s="68">
        <f>IF(SER_hh_fec_in!H33=0,0,11630*1000*SER_hh_fec_in!H33/SER_hh_num_in!H33)</f>
        <v>9863.9946613405336</v>
      </c>
      <c r="I33" s="68">
        <f>IF(SER_hh_fec_in!I33=0,0,11630*1000*SER_hh_fec_in!I33/SER_hh_num_in!I33)</f>
        <v>9632.7311780993368</v>
      </c>
      <c r="J33" s="68">
        <f>IF(SER_hh_fec_in!J33=0,0,11630*1000*SER_hh_fec_in!J33/SER_hh_num_in!J33)</f>
        <v>9666.5094809724069</v>
      </c>
      <c r="K33" s="68">
        <f>IF(SER_hh_fec_in!K33=0,0,11630*1000*SER_hh_fec_in!K33/SER_hh_num_in!K33)</f>
        <v>9621.8171897870816</v>
      </c>
      <c r="L33" s="68">
        <f>IF(SER_hh_fec_in!L33=0,0,11630*1000*SER_hh_fec_in!L33/SER_hh_num_in!L33)</f>
        <v>10556.553576475702</v>
      </c>
      <c r="M33" s="68">
        <f>IF(SER_hh_fec_in!M33=0,0,11630*1000*SER_hh_fec_in!M33/SER_hh_num_in!M33)</f>
        <v>10677.617220780967</v>
      </c>
      <c r="N33" s="68">
        <f>IF(SER_hh_fec_in!N33=0,0,11630*1000*SER_hh_fec_in!N33/SER_hh_num_in!N33)</f>
        <v>10700.852872368027</v>
      </c>
      <c r="O33" s="68">
        <f>IF(SER_hh_fec_in!O33=0,0,11630*1000*SER_hh_fec_in!O33/SER_hh_num_in!O33)</f>
        <v>10873.706418603599</v>
      </c>
      <c r="P33" s="68">
        <f>IF(SER_hh_fec_in!P33=0,0,11630*1000*SER_hh_fec_in!P33/SER_hh_num_in!P33)</f>
        <v>10782.834483782957</v>
      </c>
      <c r="Q33" s="68">
        <f>IF(SER_hh_fec_in!Q33=0,0,11630*1000*SER_hh_fec_in!Q33/SER_hh_num_in!Q33)</f>
        <v>11050.816876305655</v>
      </c>
      <c r="R33" s="68">
        <f>IF(SER_hh_fec_in!R33=0,0,11630*1000*SER_hh_fec_in!R33/SER_hh_num_in!R33)</f>
        <v>10720.736575878338</v>
      </c>
      <c r="S33" s="68">
        <f>IF(SER_hh_fec_in!S33=0,0,11630*1000*SER_hh_fec_in!S33/SER_hh_num_in!S33)</f>
        <v>9893.7084455540444</v>
      </c>
      <c r="T33" s="68">
        <f>IF(SER_hh_fec_in!T33=0,0,11630*1000*SER_hh_fec_in!T33/SER_hh_num_in!T33)</f>
        <v>10515.259659345516</v>
      </c>
      <c r="U33" s="68">
        <f>IF(SER_hh_fec_in!U33=0,0,11630*1000*SER_hh_fec_in!U33/SER_hh_num_in!U33)</f>
        <v>9872.4753660946608</v>
      </c>
      <c r="V33" s="68">
        <f>IF(SER_hh_fec_in!V33=0,0,11630*1000*SER_hh_fec_in!V33/SER_hh_num_in!V33)</f>
        <v>9194.0626818628425</v>
      </c>
      <c r="W33" s="68">
        <f>IF(SER_hh_fec_in!W33=0,0,11630*1000*SER_hh_fec_in!W33/SER_hh_num_in!W33)</f>
        <v>9416.5683883252459</v>
      </c>
      <c r="X33" s="68">
        <f>IF(SER_hh_fec_in!X33=0,0,11630*1000*SER_hh_fec_in!X33/SER_hh_num_in!X33)</f>
        <v>9422.1403540578067</v>
      </c>
      <c r="Y33" s="68">
        <f>IF(SER_hh_fec_in!Y33=0,0,11630*1000*SER_hh_fec_in!Y33/SER_hh_num_in!Y33)</f>
        <v>9783.2273310884102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113252.90134000729</v>
      </c>
      <c r="D3" s="125">
        <f>IF(SER_hh_tes_in!D3=0,0,11630*1000*SER_hh_tes_in!D3/SER_hh_num_in!D3)</f>
        <v>113953.50174980459</v>
      </c>
      <c r="E3" s="125">
        <f>IF(SER_hh_tes_in!E3=0,0,11630*1000*SER_hh_tes_in!E3/SER_hh_num_in!E3)</f>
        <v>109948.9758072625</v>
      </c>
      <c r="F3" s="125">
        <f>IF(SER_hh_tes_in!F3=0,0,11630*1000*SER_hh_tes_in!F3/SER_hh_num_in!F3)</f>
        <v>103363.9169854838</v>
      </c>
      <c r="G3" s="125">
        <f>IF(SER_hh_tes_in!G3=0,0,11630*1000*SER_hh_tes_in!G3/SER_hh_num_in!G3)</f>
        <v>93654.10736254217</v>
      </c>
      <c r="H3" s="125">
        <f>IF(SER_hh_tes_in!H3=0,0,11630*1000*SER_hh_tes_in!H3/SER_hh_num_in!H3)</f>
        <v>86383.216772274565</v>
      </c>
      <c r="I3" s="125">
        <f>IF(SER_hh_tes_in!I3=0,0,11630*1000*SER_hh_tes_in!I3/SER_hh_num_in!I3)</f>
        <v>83469.694366944634</v>
      </c>
      <c r="J3" s="125">
        <f>IF(SER_hh_tes_in!J3=0,0,11630*1000*SER_hh_tes_in!J3/SER_hh_num_in!J3)</f>
        <v>88513.284046428686</v>
      </c>
      <c r="K3" s="125">
        <f>IF(SER_hh_tes_in!K3=0,0,11630*1000*SER_hh_tes_in!K3/SER_hh_num_in!K3)</f>
        <v>83161.172836805737</v>
      </c>
      <c r="L3" s="125">
        <f>IF(SER_hh_tes_in!L3=0,0,11630*1000*SER_hh_tes_in!L3/SER_hh_num_in!L3)</f>
        <v>89817.387093592042</v>
      </c>
      <c r="M3" s="125">
        <f>IF(SER_hh_tes_in!M3=0,0,11630*1000*SER_hh_tes_in!M3/SER_hh_num_in!M3)</f>
        <v>83989.197755339454</v>
      </c>
      <c r="N3" s="125">
        <f>IF(SER_hh_tes_in!N3=0,0,11630*1000*SER_hh_tes_in!N3/SER_hh_num_in!N3)</f>
        <v>80604.594879940865</v>
      </c>
      <c r="O3" s="125">
        <f>IF(SER_hh_tes_in!O3=0,0,11630*1000*SER_hh_tes_in!O3/SER_hh_num_in!O3)</f>
        <v>79573.116582891118</v>
      </c>
      <c r="P3" s="125">
        <f>IF(SER_hh_tes_in!P3=0,0,11630*1000*SER_hh_tes_in!P3/SER_hh_num_in!P3)</f>
        <v>73585.301275986887</v>
      </c>
      <c r="Q3" s="125">
        <f>IF(SER_hh_tes_in!Q3=0,0,11630*1000*SER_hh_tes_in!Q3/SER_hh_num_in!Q3)</f>
        <v>75929.413841503949</v>
      </c>
      <c r="R3" s="125">
        <f>IF(SER_hh_tes_in!R3=0,0,11630*1000*SER_hh_tes_in!R3/SER_hh_num_in!R3)</f>
        <v>71482.526075183428</v>
      </c>
      <c r="S3" s="125">
        <f>IF(SER_hh_tes_in!S3=0,0,11630*1000*SER_hh_tes_in!S3/SER_hh_num_in!S3)</f>
        <v>71713.692524099592</v>
      </c>
      <c r="T3" s="125">
        <f>IF(SER_hh_tes_in!T3=0,0,11630*1000*SER_hh_tes_in!T3/SER_hh_num_in!T3)</f>
        <v>69106.863116271386</v>
      </c>
      <c r="U3" s="125">
        <f>IF(SER_hh_tes_in!U3=0,0,11630*1000*SER_hh_tes_in!U3/SER_hh_num_in!U3)</f>
        <v>67221.346988139427</v>
      </c>
      <c r="V3" s="125">
        <f>IF(SER_hh_tes_in!V3=0,0,11630*1000*SER_hh_tes_in!V3/SER_hh_num_in!V3)</f>
        <v>59569.263803027752</v>
      </c>
      <c r="W3" s="125">
        <f>IF(SER_hh_tes_in!W3=0,0,11630*1000*SER_hh_tes_in!W3/SER_hh_num_in!W3)</f>
        <v>54997.748619942868</v>
      </c>
      <c r="X3" s="125">
        <f>IF(SER_hh_tes_in!X3=0,0,11630*1000*SER_hh_tes_in!X3/SER_hh_num_in!X3)</f>
        <v>55809.739272827974</v>
      </c>
      <c r="Y3" s="125">
        <f>IF(SER_hh_tes_in!Y3=0,0,11630*1000*SER_hh_tes_in!Y3/SER_hh_num_in!Y3)</f>
        <v>55579.964890395662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83662.06997042906</v>
      </c>
      <c r="D4" s="130">
        <f>IF(SER_hh_tes_in!D4=0,0,11630*1000*SER_hh_tes_in!D4/SER_hh_num_in!D4)</f>
        <v>75335.97060892015</v>
      </c>
      <c r="E4" s="130">
        <f>IF(SER_hh_tes_in!E4=0,0,11630*1000*SER_hh_tes_in!E4/SER_hh_num_in!E4)</f>
        <v>79433.120625663068</v>
      </c>
      <c r="F4" s="130">
        <f>IF(SER_hh_tes_in!F4=0,0,11630*1000*SER_hh_tes_in!F4/SER_hh_num_in!F4)</f>
        <v>74228.521388873763</v>
      </c>
      <c r="G4" s="130">
        <f>IF(SER_hh_tes_in!G4=0,0,11630*1000*SER_hh_tes_in!G4/SER_hh_num_in!G4)</f>
        <v>63436.963216928481</v>
      </c>
      <c r="H4" s="130">
        <f>IF(SER_hh_tes_in!H4=0,0,11630*1000*SER_hh_tes_in!H4/SER_hh_num_in!H4)</f>
        <v>54203.22289597983</v>
      </c>
      <c r="I4" s="130">
        <f>IF(SER_hh_tes_in!I4=0,0,11630*1000*SER_hh_tes_in!I4/SER_hh_num_in!I4)</f>
        <v>49206.916759961197</v>
      </c>
      <c r="J4" s="130">
        <f>IF(SER_hh_tes_in!J4=0,0,11630*1000*SER_hh_tes_in!J4/SER_hh_num_in!J4)</f>
        <v>50553.377650055074</v>
      </c>
      <c r="K4" s="130">
        <f>IF(SER_hh_tes_in!K4=0,0,11630*1000*SER_hh_tes_in!K4/SER_hh_num_in!K4)</f>
        <v>44324.349758328011</v>
      </c>
      <c r="L4" s="130">
        <f>IF(SER_hh_tes_in!L4=0,0,11630*1000*SER_hh_tes_in!L4/SER_hh_num_in!L4)</f>
        <v>50416.131708023604</v>
      </c>
      <c r="M4" s="130">
        <f>IF(SER_hh_tes_in!M4=0,0,11630*1000*SER_hh_tes_in!M4/SER_hh_num_in!M4)</f>
        <v>44953.731174887485</v>
      </c>
      <c r="N4" s="130">
        <f>IF(SER_hh_tes_in!N4=0,0,11630*1000*SER_hh_tes_in!N4/SER_hh_num_in!N4)</f>
        <v>41490.270032252709</v>
      </c>
      <c r="O4" s="130">
        <f>IF(SER_hh_tes_in!O4=0,0,11630*1000*SER_hh_tes_in!O4/SER_hh_num_in!O4)</f>
        <v>39634.932091271949</v>
      </c>
      <c r="P4" s="130">
        <f>IF(SER_hh_tes_in!P4=0,0,11630*1000*SER_hh_tes_in!P4/SER_hh_num_in!P4)</f>
        <v>35263.353141098545</v>
      </c>
      <c r="Q4" s="130">
        <f>IF(SER_hh_tes_in!Q4=0,0,11630*1000*SER_hh_tes_in!Q4/SER_hh_num_in!Q4)</f>
        <v>34038.81324295557</v>
      </c>
      <c r="R4" s="130">
        <f>IF(SER_hh_tes_in!R4=0,0,11630*1000*SER_hh_tes_in!R4/SER_hh_num_in!R4)</f>
        <v>33592.14470640121</v>
      </c>
      <c r="S4" s="130">
        <f>IF(SER_hh_tes_in!S4=0,0,11630*1000*SER_hh_tes_in!S4/SER_hh_num_in!S4)</f>
        <v>33421.79528066393</v>
      </c>
      <c r="T4" s="130">
        <f>IF(SER_hh_tes_in!T4=0,0,11630*1000*SER_hh_tes_in!T4/SER_hh_num_in!T4)</f>
        <v>30390.129309015378</v>
      </c>
      <c r="U4" s="130">
        <f>IF(SER_hh_tes_in!U4=0,0,11630*1000*SER_hh_tes_in!U4/SER_hh_num_in!U4)</f>
        <v>29286.817985009948</v>
      </c>
      <c r="V4" s="130">
        <f>IF(SER_hh_tes_in!V4=0,0,11630*1000*SER_hh_tes_in!V4/SER_hh_num_in!V4)</f>
        <v>25132.665201849351</v>
      </c>
      <c r="W4" s="130">
        <f>IF(SER_hh_tes_in!W4=0,0,11630*1000*SER_hh_tes_in!W4/SER_hh_num_in!W4)</f>
        <v>21055.361460745993</v>
      </c>
      <c r="X4" s="130">
        <f>IF(SER_hh_tes_in!X4=0,0,11630*1000*SER_hh_tes_in!X4/SER_hh_num_in!X4)</f>
        <v>20347.557482660657</v>
      </c>
      <c r="Y4" s="130">
        <f>IF(SER_hh_tes_in!Y4=0,0,11630*1000*SER_hh_tes_in!Y4/SER_hh_num_in!Y4)</f>
        <v>18545.481583490724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0</v>
      </c>
      <c r="D5" s="132">
        <f>IF(SER_hh_tes_in!D5=0,0,11630*1000*SER_hh_tes_in!D5/SER_hh_num_in!D5)</f>
        <v>0</v>
      </c>
      <c r="E5" s="132">
        <f>IF(SER_hh_tes_in!E5=0,0,11630*1000*SER_hh_tes_in!E5/SER_hh_num_in!E5)</f>
        <v>98989.660291134409</v>
      </c>
      <c r="F5" s="132">
        <f>IF(SER_hh_tes_in!F5=0,0,11630*1000*SER_hh_tes_in!F5/SER_hh_num_in!F5)</f>
        <v>106426.40512016288</v>
      </c>
      <c r="G5" s="132">
        <f>IF(SER_hh_tes_in!G5=0,0,11630*1000*SER_hh_tes_in!G5/SER_hh_num_in!G5)</f>
        <v>0</v>
      </c>
      <c r="H5" s="132">
        <f>IF(SER_hh_tes_in!H5=0,0,11630*1000*SER_hh_tes_in!H5/SER_hh_num_in!H5)</f>
        <v>0</v>
      </c>
      <c r="I5" s="132">
        <f>IF(SER_hh_tes_in!I5=0,0,11630*1000*SER_hh_tes_in!I5/SER_hh_num_in!I5)</f>
        <v>0</v>
      </c>
      <c r="J5" s="132">
        <f>IF(SER_hh_tes_in!J5=0,0,11630*1000*SER_hh_tes_in!J5/SER_hh_num_in!J5)</f>
        <v>0</v>
      </c>
      <c r="K5" s="132">
        <f>IF(SER_hh_tes_in!K5=0,0,11630*1000*SER_hh_tes_in!K5/SER_hh_num_in!K5)</f>
        <v>0</v>
      </c>
      <c r="L5" s="132">
        <f>IF(SER_hh_tes_in!L5=0,0,11630*1000*SER_hh_tes_in!L5/SER_hh_num_in!L5)</f>
        <v>0</v>
      </c>
      <c r="M5" s="132">
        <f>IF(SER_hh_tes_in!M5=0,0,11630*1000*SER_hh_tes_in!M5/SER_hh_num_in!M5)</f>
        <v>0</v>
      </c>
      <c r="N5" s="132">
        <f>IF(SER_hh_tes_in!N5=0,0,11630*1000*SER_hh_tes_in!N5/SER_hh_num_in!N5)</f>
        <v>39831.057233395812</v>
      </c>
      <c r="O5" s="132">
        <f>IF(SER_hh_tes_in!O5=0,0,11630*1000*SER_hh_tes_in!O5/SER_hh_num_in!O5)</f>
        <v>41620.727878053061</v>
      </c>
      <c r="P5" s="132">
        <f>IF(SER_hh_tes_in!P5=0,0,11630*1000*SER_hh_tes_in!P5/SER_hh_num_in!P5)</f>
        <v>35118.420610473542</v>
      </c>
      <c r="Q5" s="132">
        <f>IF(SER_hh_tes_in!Q5=0,0,11630*1000*SER_hh_tes_in!Q5/SER_hh_num_in!Q5)</f>
        <v>0</v>
      </c>
      <c r="R5" s="132">
        <f>IF(SER_hh_tes_in!R5=0,0,11630*1000*SER_hh_tes_in!R5/SER_hh_num_in!R5)</f>
        <v>36162.62640304181</v>
      </c>
      <c r="S5" s="132">
        <f>IF(SER_hh_tes_in!S5=0,0,11630*1000*SER_hh_tes_in!S5/SER_hh_num_in!S5)</f>
        <v>0</v>
      </c>
      <c r="T5" s="132">
        <f>IF(SER_hh_tes_in!T5=0,0,11630*1000*SER_hh_tes_in!T5/SER_hh_num_in!T5)</f>
        <v>0</v>
      </c>
      <c r="U5" s="132">
        <f>IF(SER_hh_tes_in!U5=0,0,11630*1000*SER_hh_tes_in!U5/SER_hh_num_in!U5)</f>
        <v>29751.173113087894</v>
      </c>
      <c r="V5" s="132">
        <f>IF(SER_hh_tes_in!V5=0,0,11630*1000*SER_hh_tes_in!V5/SER_hh_num_in!V5)</f>
        <v>22050.505661703472</v>
      </c>
      <c r="W5" s="132">
        <f>IF(SER_hh_tes_in!W5=0,0,11630*1000*SER_hh_tes_in!W5/SER_hh_num_in!W5)</f>
        <v>21356.878437756332</v>
      </c>
      <c r="X5" s="132">
        <f>IF(SER_hh_tes_in!X5=0,0,11630*1000*SER_hh_tes_in!X5/SER_hh_num_in!X5)</f>
        <v>22111.260590033715</v>
      </c>
      <c r="Y5" s="132">
        <f>IF(SER_hh_tes_in!Y5=0,0,11630*1000*SER_hh_tes_in!Y5/SER_hh_num_in!Y5)</f>
        <v>0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0</v>
      </c>
      <c r="D6" s="132">
        <f>IF(SER_hh_tes_in!D6=0,0,11630*1000*SER_hh_tes_in!D6/SER_hh_num_in!D6)</f>
        <v>0</v>
      </c>
      <c r="E6" s="132">
        <f>IF(SER_hh_tes_in!E6=0,0,11630*1000*SER_hh_tes_in!E6/SER_hh_num_in!E6)</f>
        <v>0</v>
      </c>
      <c r="F6" s="132">
        <f>IF(SER_hh_tes_in!F6=0,0,11630*1000*SER_hh_tes_in!F6/SER_hh_num_in!F6)</f>
        <v>0</v>
      </c>
      <c r="G6" s="132">
        <f>IF(SER_hh_tes_in!G6=0,0,11630*1000*SER_hh_tes_in!G6/SER_hh_num_in!G6)</f>
        <v>0</v>
      </c>
      <c r="H6" s="132">
        <f>IF(SER_hh_tes_in!H6=0,0,11630*1000*SER_hh_tes_in!H6/SER_hh_num_in!H6)</f>
        <v>0</v>
      </c>
      <c r="I6" s="132">
        <f>IF(SER_hh_tes_in!I6=0,0,11630*1000*SER_hh_tes_in!I6/SER_hh_num_in!I6)</f>
        <v>0</v>
      </c>
      <c r="J6" s="132">
        <f>IF(SER_hh_tes_in!J6=0,0,11630*1000*SER_hh_tes_in!J6/SER_hh_num_in!J6)</f>
        <v>0</v>
      </c>
      <c r="K6" s="132">
        <f>IF(SER_hh_tes_in!K6=0,0,11630*1000*SER_hh_tes_in!K6/SER_hh_num_in!K6)</f>
        <v>0</v>
      </c>
      <c r="L6" s="132">
        <f>IF(SER_hh_tes_in!L6=0,0,11630*1000*SER_hh_tes_in!L6/SER_hh_num_in!L6)</f>
        <v>0</v>
      </c>
      <c r="M6" s="132">
        <f>IF(SER_hh_tes_in!M6=0,0,11630*1000*SER_hh_tes_in!M6/SER_hh_num_in!M6)</f>
        <v>0</v>
      </c>
      <c r="N6" s="132">
        <f>IF(SER_hh_tes_in!N6=0,0,11630*1000*SER_hh_tes_in!N6/SER_hh_num_in!N6)</f>
        <v>0</v>
      </c>
      <c r="O6" s="132">
        <f>IF(SER_hh_tes_in!O6=0,0,11630*1000*SER_hh_tes_in!O6/SER_hh_num_in!O6)</f>
        <v>0</v>
      </c>
      <c r="P6" s="132">
        <f>IF(SER_hh_tes_in!P6=0,0,11630*1000*SER_hh_tes_in!P6/SER_hh_num_in!P6)</f>
        <v>0</v>
      </c>
      <c r="Q6" s="132">
        <f>IF(SER_hh_tes_in!Q6=0,0,11630*1000*SER_hh_tes_in!Q6/SER_hh_num_in!Q6)</f>
        <v>0</v>
      </c>
      <c r="R6" s="132">
        <f>IF(SER_hh_tes_in!R6=0,0,11630*1000*SER_hh_tes_in!R6/SER_hh_num_in!R6)</f>
        <v>0</v>
      </c>
      <c r="S6" s="132">
        <f>IF(SER_hh_tes_in!S6=0,0,11630*1000*SER_hh_tes_in!S6/SER_hh_num_in!S6)</f>
        <v>0</v>
      </c>
      <c r="T6" s="132">
        <f>IF(SER_hh_tes_in!T6=0,0,11630*1000*SER_hh_tes_in!T6/SER_hh_num_in!T6)</f>
        <v>0</v>
      </c>
      <c r="U6" s="132">
        <f>IF(SER_hh_tes_in!U6=0,0,11630*1000*SER_hh_tes_in!U6/SER_hh_num_in!U6)</f>
        <v>0</v>
      </c>
      <c r="V6" s="132">
        <f>IF(SER_hh_tes_in!V6=0,0,11630*1000*SER_hh_tes_in!V6/SER_hh_num_in!V6)</f>
        <v>0</v>
      </c>
      <c r="W6" s="132">
        <f>IF(SER_hh_tes_in!W6=0,0,11630*1000*SER_hh_tes_in!W6/SER_hh_num_in!W6)</f>
        <v>0</v>
      </c>
      <c r="X6" s="132">
        <f>IF(SER_hh_tes_in!X6=0,0,11630*1000*SER_hh_tes_in!X6/SER_hh_num_in!X6)</f>
        <v>0</v>
      </c>
      <c r="Y6" s="132">
        <f>IF(SER_hh_tes_in!Y6=0,0,11630*1000*SER_hh_tes_in!Y6/SER_hh_num_in!Y6)</f>
        <v>0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35542.908209531226</v>
      </c>
      <c r="D7" s="132">
        <f>IF(SER_hh_tes_in!D7=0,0,11630*1000*SER_hh_tes_in!D7/SER_hh_num_in!D7)</f>
        <v>92558.743776468313</v>
      </c>
      <c r="E7" s="132">
        <f>IF(SER_hh_tes_in!E7=0,0,11630*1000*SER_hh_tes_in!E7/SER_hh_num_in!E7)</f>
        <v>72356.50511387673</v>
      </c>
      <c r="F7" s="132">
        <f>IF(SER_hh_tes_in!F7=0,0,11630*1000*SER_hh_tes_in!F7/SER_hh_num_in!F7)</f>
        <v>77484.79035973725</v>
      </c>
      <c r="G7" s="132">
        <f>IF(SER_hh_tes_in!G7=0,0,11630*1000*SER_hh_tes_in!G7/SER_hh_num_in!G7)</f>
        <v>52497.366126024775</v>
      </c>
      <c r="H7" s="132">
        <f>IF(SER_hh_tes_in!H7=0,0,11630*1000*SER_hh_tes_in!H7/SER_hh_num_in!H7)</f>
        <v>55753.668801678774</v>
      </c>
      <c r="I7" s="132">
        <f>IF(SER_hh_tes_in!I7=0,0,11630*1000*SER_hh_tes_in!I7/SER_hh_num_in!I7)</f>
        <v>51601.576930672287</v>
      </c>
      <c r="J7" s="132">
        <f>IF(SER_hh_tes_in!J7=0,0,11630*1000*SER_hh_tes_in!J7/SER_hh_num_in!J7)</f>
        <v>52345.694966544172</v>
      </c>
      <c r="K7" s="132">
        <f>IF(SER_hh_tes_in!K7=0,0,11630*1000*SER_hh_tes_in!K7/SER_hh_num_in!K7)</f>
        <v>0</v>
      </c>
      <c r="L7" s="132">
        <f>IF(SER_hh_tes_in!L7=0,0,11630*1000*SER_hh_tes_in!L7/SER_hh_num_in!L7)</f>
        <v>49810.809787484701</v>
      </c>
      <c r="M7" s="132">
        <f>IF(SER_hh_tes_in!M7=0,0,11630*1000*SER_hh_tes_in!M7/SER_hh_num_in!M7)</f>
        <v>35776.64033009675</v>
      </c>
      <c r="N7" s="132">
        <f>IF(SER_hh_tes_in!N7=0,0,11630*1000*SER_hh_tes_in!N7/SER_hh_num_in!N7)</f>
        <v>51118.884165643824</v>
      </c>
      <c r="O7" s="132">
        <f>IF(SER_hh_tes_in!O7=0,0,11630*1000*SER_hh_tes_in!O7/SER_hh_num_in!O7)</f>
        <v>37218.520777649021</v>
      </c>
      <c r="P7" s="132">
        <f>IF(SER_hh_tes_in!P7=0,0,11630*1000*SER_hh_tes_in!P7/SER_hh_num_in!P7)</f>
        <v>23227.547071613033</v>
      </c>
      <c r="Q7" s="132">
        <f>IF(SER_hh_tes_in!Q7=0,0,11630*1000*SER_hh_tes_in!Q7/SER_hh_num_in!Q7)</f>
        <v>40621.080214922797</v>
      </c>
      <c r="R7" s="132">
        <f>IF(SER_hh_tes_in!R7=0,0,11630*1000*SER_hh_tes_in!R7/SER_hh_num_in!R7)</f>
        <v>36449.750198520022</v>
      </c>
      <c r="S7" s="132">
        <f>IF(SER_hh_tes_in!S7=0,0,11630*1000*SER_hh_tes_in!S7/SER_hh_num_in!S7)</f>
        <v>36220.509385909216</v>
      </c>
      <c r="T7" s="132">
        <f>IF(SER_hh_tes_in!T7=0,0,11630*1000*SER_hh_tes_in!T7/SER_hh_num_in!T7)</f>
        <v>0</v>
      </c>
      <c r="U7" s="132">
        <f>IF(SER_hh_tes_in!U7=0,0,11630*1000*SER_hh_tes_in!U7/SER_hh_num_in!U7)</f>
        <v>23122.829946512764</v>
      </c>
      <c r="V7" s="132">
        <f>IF(SER_hh_tes_in!V7=0,0,11630*1000*SER_hh_tes_in!V7/SER_hh_num_in!V7)</f>
        <v>24314.786773309304</v>
      </c>
      <c r="W7" s="132">
        <f>IF(SER_hh_tes_in!W7=0,0,11630*1000*SER_hh_tes_in!W7/SER_hh_num_in!W7)</f>
        <v>23527.951013020855</v>
      </c>
      <c r="X7" s="132">
        <f>IF(SER_hh_tes_in!X7=0,0,11630*1000*SER_hh_tes_in!X7/SER_hh_num_in!X7)</f>
        <v>17644.656862780452</v>
      </c>
      <c r="Y7" s="132">
        <f>IF(SER_hh_tes_in!Y7=0,0,11630*1000*SER_hh_tes_in!Y7/SER_hh_num_in!Y7)</f>
        <v>19943.575800304148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0</v>
      </c>
      <c r="D8" s="132">
        <f>IF(SER_hh_tes_in!D8=0,0,11630*1000*SER_hh_tes_in!D8/SER_hh_num_in!D8)</f>
        <v>0</v>
      </c>
      <c r="E8" s="132">
        <f>IF(SER_hh_tes_in!E8=0,0,11630*1000*SER_hh_tes_in!E8/SER_hh_num_in!E8)</f>
        <v>0</v>
      </c>
      <c r="F8" s="132">
        <f>IF(SER_hh_tes_in!F8=0,0,11630*1000*SER_hh_tes_in!F8/SER_hh_num_in!F8)</f>
        <v>0</v>
      </c>
      <c r="G8" s="132">
        <f>IF(SER_hh_tes_in!G8=0,0,11630*1000*SER_hh_tes_in!G8/SER_hh_num_in!G8)</f>
        <v>34694.98578138445</v>
      </c>
      <c r="H8" s="132">
        <f>IF(SER_hh_tes_in!H8=0,0,11630*1000*SER_hh_tes_in!H8/SER_hh_num_in!H8)</f>
        <v>40600.481607592017</v>
      </c>
      <c r="I8" s="132">
        <f>IF(SER_hh_tes_in!I8=0,0,11630*1000*SER_hh_tes_in!I8/SER_hh_num_in!I8)</f>
        <v>45531.447466520818</v>
      </c>
      <c r="J8" s="132">
        <f>IF(SER_hh_tes_in!J8=0,0,11630*1000*SER_hh_tes_in!J8/SER_hh_num_in!J8)</f>
        <v>50820.038005026057</v>
      </c>
      <c r="K8" s="132">
        <f>IF(SER_hh_tes_in!K8=0,0,11630*1000*SER_hh_tes_in!K8/SER_hh_num_in!K8)</f>
        <v>46983.964161444077</v>
      </c>
      <c r="L8" s="132">
        <f>IF(SER_hh_tes_in!L8=0,0,11630*1000*SER_hh_tes_in!L8/SER_hh_num_in!L8)</f>
        <v>40649.39946719462</v>
      </c>
      <c r="M8" s="132">
        <f>IF(SER_hh_tes_in!M8=0,0,11630*1000*SER_hh_tes_in!M8/SER_hh_num_in!M8)</f>
        <v>37750.565356812804</v>
      </c>
      <c r="N8" s="132">
        <f>IF(SER_hh_tes_in!N8=0,0,11630*1000*SER_hh_tes_in!N8/SER_hh_num_in!N8)</f>
        <v>32883.034199306603</v>
      </c>
      <c r="O8" s="132">
        <f>IF(SER_hh_tes_in!O8=0,0,11630*1000*SER_hh_tes_in!O8/SER_hh_num_in!O8)</f>
        <v>36269.527012315484</v>
      </c>
      <c r="P8" s="132">
        <f>IF(SER_hh_tes_in!P8=0,0,11630*1000*SER_hh_tes_in!P8/SER_hh_num_in!P8)</f>
        <v>39946.69934991769</v>
      </c>
      <c r="Q8" s="132">
        <f>IF(SER_hh_tes_in!Q8=0,0,11630*1000*SER_hh_tes_in!Q8/SER_hh_num_in!Q8)</f>
        <v>36643.8799006435</v>
      </c>
      <c r="R8" s="132">
        <f>IF(SER_hh_tes_in!R8=0,0,11630*1000*SER_hh_tes_in!R8/SER_hh_num_in!R8)</f>
        <v>34558.830154780211</v>
      </c>
      <c r="S8" s="132">
        <f>IF(SER_hh_tes_in!S8=0,0,11630*1000*SER_hh_tes_in!S8/SER_hh_num_in!S8)</f>
        <v>32283.644626026853</v>
      </c>
      <c r="T8" s="132">
        <f>IF(SER_hh_tes_in!T8=0,0,11630*1000*SER_hh_tes_in!T8/SER_hh_num_in!T8)</f>
        <v>29991.566737166922</v>
      </c>
      <c r="U8" s="132">
        <f>IF(SER_hh_tes_in!U8=0,0,11630*1000*SER_hh_tes_in!U8/SER_hh_num_in!U8)</f>
        <v>28623.944175867451</v>
      </c>
      <c r="V8" s="132">
        <f>IF(SER_hh_tes_in!V8=0,0,11630*1000*SER_hh_tes_in!V8/SER_hh_num_in!V8)</f>
        <v>25488.172647247997</v>
      </c>
      <c r="W8" s="132">
        <f>IF(SER_hh_tes_in!W8=0,0,11630*1000*SER_hh_tes_in!W8/SER_hh_num_in!W8)</f>
        <v>21404.81546101936</v>
      </c>
      <c r="X8" s="132">
        <f>IF(SER_hh_tes_in!X8=0,0,11630*1000*SER_hh_tes_in!X8/SER_hh_num_in!X8)</f>
        <v>20211.525092588763</v>
      </c>
      <c r="Y8" s="132">
        <f>IF(SER_hh_tes_in!Y8=0,0,11630*1000*SER_hh_tes_in!Y8/SER_hh_num_in!Y8)</f>
        <v>19333.827404606141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85041.472383449101</v>
      </c>
      <c r="D9" s="132">
        <f>IF(SER_hh_tes_in!D9=0,0,11630*1000*SER_hh_tes_in!D9/SER_hh_num_in!D9)</f>
        <v>74257.507725163276</v>
      </c>
      <c r="E9" s="132">
        <f>IF(SER_hh_tes_in!E9=0,0,11630*1000*SER_hh_tes_in!E9/SER_hh_num_in!E9)</f>
        <v>72905.482181244341</v>
      </c>
      <c r="F9" s="132">
        <f>IF(SER_hh_tes_in!F9=0,0,11630*1000*SER_hh_tes_in!F9/SER_hh_num_in!F9)</f>
        <v>66615.550664957002</v>
      </c>
      <c r="G9" s="132">
        <f>IF(SER_hh_tes_in!G9=0,0,11630*1000*SER_hh_tes_in!G9/SER_hh_num_in!G9)</f>
        <v>61873.538747567138</v>
      </c>
      <c r="H9" s="132">
        <f>IF(SER_hh_tes_in!H9=0,0,11630*1000*SER_hh_tes_in!H9/SER_hh_num_in!H9)</f>
        <v>53443.229458564987</v>
      </c>
      <c r="I9" s="132">
        <f>IF(SER_hh_tes_in!I9=0,0,11630*1000*SER_hh_tes_in!I9/SER_hh_num_in!I9)</f>
        <v>47702.347247429956</v>
      </c>
      <c r="J9" s="132">
        <f>IF(SER_hh_tes_in!J9=0,0,11630*1000*SER_hh_tes_in!J9/SER_hh_num_in!J9)</f>
        <v>50793.564867353663</v>
      </c>
      <c r="K9" s="132">
        <f>IF(SER_hh_tes_in!K9=0,0,11630*1000*SER_hh_tes_in!K9/SER_hh_num_in!K9)</f>
        <v>0</v>
      </c>
      <c r="L9" s="132">
        <f>IF(SER_hh_tes_in!L9=0,0,11630*1000*SER_hh_tes_in!L9/SER_hh_num_in!L9)</f>
        <v>47560.775267239376</v>
      </c>
      <c r="M9" s="132">
        <f>IF(SER_hh_tes_in!M9=0,0,11630*1000*SER_hh_tes_in!M9/SER_hh_num_in!M9)</f>
        <v>44626.977448461294</v>
      </c>
      <c r="N9" s="132">
        <f>IF(SER_hh_tes_in!N9=0,0,11630*1000*SER_hh_tes_in!N9/SER_hh_num_in!N9)</f>
        <v>40769.86071188777</v>
      </c>
      <c r="O9" s="132">
        <f>IF(SER_hh_tes_in!O9=0,0,11630*1000*SER_hh_tes_in!O9/SER_hh_num_in!O9)</f>
        <v>37955.58448406605</v>
      </c>
      <c r="P9" s="132">
        <f>IF(SER_hh_tes_in!P9=0,0,11630*1000*SER_hh_tes_in!P9/SER_hh_num_in!P9)</f>
        <v>35177.884735567888</v>
      </c>
      <c r="Q9" s="132">
        <f>IF(SER_hh_tes_in!Q9=0,0,11630*1000*SER_hh_tes_in!Q9/SER_hh_num_in!Q9)</f>
        <v>33450.28711981891</v>
      </c>
      <c r="R9" s="132">
        <f>IF(SER_hh_tes_in!R9=0,0,11630*1000*SER_hh_tes_in!R9/SER_hh_num_in!R9)</f>
        <v>32853.75764675322</v>
      </c>
      <c r="S9" s="132">
        <f>IF(SER_hh_tes_in!S9=0,0,11630*1000*SER_hh_tes_in!S9/SER_hh_num_in!S9)</f>
        <v>33513.98415053825</v>
      </c>
      <c r="T9" s="132">
        <f>IF(SER_hh_tes_in!T9=0,0,11630*1000*SER_hh_tes_in!T9/SER_hh_num_in!T9)</f>
        <v>29284.368672910634</v>
      </c>
      <c r="U9" s="132">
        <f>IF(SER_hh_tes_in!U9=0,0,11630*1000*SER_hh_tes_in!U9/SER_hh_num_in!U9)</f>
        <v>29213.20337756785</v>
      </c>
      <c r="V9" s="132">
        <f>IF(SER_hh_tes_in!V9=0,0,11630*1000*SER_hh_tes_in!V9/SER_hh_num_in!V9)</f>
        <v>25355.205508367006</v>
      </c>
      <c r="W9" s="132">
        <f>IF(SER_hh_tes_in!W9=0,0,11630*1000*SER_hh_tes_in!W9/SER_hh_num_in!W9)</f>
        <v>20819.275524291817</v>
      </c>
      <c r="X9" s="132">
        <f>IF(SER_hh_tes_in!X9=0,0,11630*1000*SER_hh_tes_in!X9/SER_hh_num_in!X9)</f>
        <v>19593.984701626759</v>
      </c>
      <c r="Y9" s="132">
        <f>IF(SER_hh_tes_in!Y9=0,0,11630*1000*SER_hh_tes_in!Y9/SER_hh_num_in!Y9)</f>
        <v>17966.406712111511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87740.298756143602</v>
      </c>
      <c r="D10" s="132">
        <f>IF(SER_hh_tes_in!D10=0,0,11630*1000*SER_hh_tes_in!D10/SER_hh_num_in!D10)</f>
        <v>69193.905649109161</v>
      </c>
      <c r="E10" s="132">
        <f>IF(SER_hh_tes_in!E10=0,0,11630*1000*SER_hh_tes_in!E10/SER_hh_num_in!E10)</f>
        <v>76677.933560863734</v>
      </c>
      <c r="F10" s="132">
        <f>IF(SER_hh_tes_in!F10=0,0,11630*1000*SER_hh_tes_in!F10/SER_hh_num_in!F10)</f>
        <v>70005.66702466135</v>
      </c>
      <c r="G10" s="132">
        <f>IF(SER_hh_tes_in!G10=0,0,11630*1000*SER_hh_tes_in!G10/SER_hh_num_in!G10)</f>
        <v>62621.085694588131</v>
      </c>
      <c r="H10" s="132">
        <f>IF(SER_hh_tes_in!H10=0,0,11630*1000*SER_hh_tes_in!H10/SER_hh_num_in!H10)</f>
        <v>48521.203281757611</v>
      </c>
      <c r="I10" s="132">
        <f>IF(SER_hh_tes_in!I10=0,0,11630*1000*SER_hh_tes_in!I10/SER_hh_num_in!I10)</f>
        <v>61590.648756272043</v>
      </c>
      <c r="J10" s="132">
        <f>IF(SER_hh_tes_in!J10=0,0,11630*1000*SER_hh_tes_in!J10/SER_hh_num_in!J10)</f>
        <v>46959.797871322517</v>
      </c>
      <c r="K10" s="132">
        <f>IF(SER_hh_tes_in!K10=0,0,11630*1000*SER_hh_tes_in!K10/SER_hh_num_in!K10)</f>
        <v>39511.34659846616</v>
      </c>
      <c r="L10" s="132">
        <f>IF(SER_hh_tes_in!L10=0,0,11630*1000*SER_hh_tes_in!L10/SER_hh_num_in!L10)</f>
        <v>49764.507400352457</v>
      </c>
      <c r="M10" s="132">
        <f>IF(SER_hh_tes_in!M10=0,0,11630*1000*SER_hh_tes_in!M10/SER_hh_num_in!M10)</f>
        <v>44939.223067258885</v>
      </c>
      <c r="N10" s="132">
        <f>IF(SER_hh_tes_in!N10=0,0,11630*1000*SER_hh_tes_in!N10/SER_hh_num_in!N10)</f>
        <v>40649.952097128356</v>
      </c>
      <c r="O10" s="132">
        <f>IF(SER_hh_tes_in!O10=0,0,11630*1000*SER_hh_tes_in!O10/SER_hh_num_in!O10)</f>
        <v>39531.347452654139</v>
      </c>
      <c r="P10" s="132">
        <f>IF(SER_hh_tes_in!P10=0,0,11630*1000*SER_hh_tes_in!P10/SER_hh_num_in!P10)</f>
        <v>35176.733468963204</v>
      </c>
      <c r="Q10" s="132">
        <f>IF(SER_hh_tes_in!Q10=0,0,11630*1000*SER_hh_tes_in!Q10/SER_hh_num_in!Q10)</f>
        <v>36506.577363803102</v>
      </c>
      <c r="R10" s="132">
        <f>IF(SER_hh_tes_in!R10=0,0,11630*1000*SER_hh_tes_in!R10/SER_hh_num_in!R10)</f>
        <v>33479.60206376986</v>
      </c>
      <c r="S10" s="132">
        <f>IF(SER_hh_tes_in!S10=0,0,11630*1000*SER_hh_tes_in!S10/SER_hh_num_in!S10)</f>
        <v>30978.996975904654</v>
      </c>
      <c r="T10" s="132">
        <f>IF(SER_hh_tes_in!T10=0,0,11630*1000*SER_hh_tes_in!T10/SER_hh_num_in!T10)</f>
        <v>30145.42506553806</v>
      </c>
      <c r="U10" s="132">
        <f>IF(SER_hh_tes_in!U10=0,0,11630*1000*SER_hh_tes_in!U10/SER_hh_num_in!U10)</f>
        <v>28771.085682203404</v>
      </c>
      <c r="V10" s="132">
        <f>IF(SER_hh_tes_in!V10=0,0,11630*1000*SER_hh_tes_in!V10/SER_hh_num_in!V10)</f>
        <v>24532.025713317489</v>
      </c>
      <c r="W10" s="132">
        <f>IF(SER_hh_tes_in!W10=0,0,11630*1000*SER_hh_tes_in!W10/SER_hh_num_in!W10)</f>
        <v>21221.980940118956</v>
      </c>
      <c r="X10" s="132">
        <f>IF(SER_hh_tes_in!X10=0,0,11630*1000*SER_hh_tes_in!X10/SER_hh_num_in!X10)</f>
        <v>20560.759588762965</v>
      </c>
      <c r="Y10" s="132">
        <f>IF(SER_hh_tes_in!Y10=0,0,11630*1000*SER_hh_tes_in!Y10/SER_hh_num_in!Y10)</f>
        <v>17594.337018387127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0</v>
      </c>
      <c r="D11" s="132">
        <f>IF(SER_hh_tes_in!D11=0,0,11630*1000*SER_hh_tes_in!D11/SER_hh_num_in!D11)</f>
        <v>0</v>
      </c>
      <c r="E11" s="132">
        <f>IF(SER_hh_tes_in!E11=0,0,11630*1000*SER_hh_tes_in!E11/SER_hh_num_in!E11)</f>
        <v>0</v>
      </c>
      <c r="F11" s="132">
        <f>IF(SER_hh_tes_in!F11=0,0,11630*1000*SER_hh_tes_in!F11/SER_hh_num_in!F11)</f>
        <v>0</v>
      </c>
      <c r="G11" s="132">
        <f>IF(SER_hh_tes_in!G11=0,0,11630*1000*SER_hh_tes_in!G11/SER_hh_num_in!G11)</f>
        <v>0</v>
      </c>
      <c r="H11" s="132">
        <f>IF(SER_hh_tes_in!H11=0,0,11630*1000*SER_hh_tes_in!H11/SER_hh_num_in!H11)</f>
        <v>0</v>
      </c>
      <c r="I11" s="132">
        <f>IF(SER_hh_tes_in!I11=0,0,11630*1000*SER_hh_tes_in!I11/SER_hh_num_in!I11)</f>
        <v>0</v>
      </c>
      <c r="J11" s="132">
        <f>IF(SER_hh_tes_in!J11=0,0,11630*1000*SER_hh_tes_in!J11/SER_hh_num_in!J11)</f>
        <v>0</v>
      </c>
      <c r="K11" s="132">
        <f>IF(SER_hh_tes_in!K11=0,0,11630*1000*SER_hh_tes_in!K11/SER_hh_num_in!K11)</f>
        <v>0</v>
      </c>
      <c r="L11" s="132">
        <f>IF(SER_hh_tes_in!L11=0,0,11630*1000*SER_hh_tes_in!L11/SER_hh_num_in!L11)</f>
        <v>0</v>
      </c>
      <c r="M11" s="132">
        <f>IF(SER_hh_tes_in!M11=0,0,11630*1000*SER_hh_tes_in!M11/SER_hh_num_in!M11)</f>
        <v>0</v>
      </c>
      <c r="N11" s="132">
        <f>IF(SER_hh_tes_in!N11=0,0,11630*1000*SER_hh_tes_in!N11/SER_hh_num_in!N11)</f>
        <v>0</v>
      </c>
      <c r="O11" s="132">
        <f>IF(SER_hh_tes_in!O11=0,0,11630*1000*SER_hh_tes_in!O11/SER_hh_num_in!O11)</f>
        <v>0</v>
      </c>
      <c r="P11" s="132">
        <f>IF(SER_hh_tes_in!P11=0,0,11630*1000*SER_hh_tes_in!P11/SER_hh_num_in!P11)</f>
        <v>0</v>
      </c>
      <c r="Q11" s="132">
        <f>IF(SER_hh_tes_in!Q11=0,0,11630*1000*SER_hh_tes_in!Q11/SER_hh_num_in!Q11)</f>
        <v>0</v>
      </c>
      <c r="R11" s="132">
        <f>IF(SER_hh_tes_in!R11=0,0,11630*1000*SER_hh_tes_in!R11/SER_hh_num_in!R11)</f>
        <v>0</v>
      </c>
      <c r="S11" s="132">
        <f>IF(SER_hh_tes_in!S11=0,0,11630*1000*SER_hh_tes_in!S11/SER_hh_num_in!S11)</f>
        <v>0</v>
      </c>
      <c r="T11" s="132">
        <f>IF(SER_hh_tes_in!T11=0,0,11630*1000*SER_hh_tes_in!T11/SER_hh_num_in!T11)</f>
        <v>0</v>
      </c>
      <c r="U11" s="132">
        <f>IF(SER_hh_tes_in!U11=0,0,11630*1000*SER_hh_tes_in!U11/SER_hh_num_in!U11)</f>
        <v>0</v>
      </c>
      <c r="V11" s="132">
        <f>IF(SER_hh_tes_in!V11=0,0,11630*1000*SER_hh_tes_in!V11/SER_hh_num_in!V11)</f>
        <v>0</v>
      </c>
      <c r="W11" s="132">
        <f>IF(SER_hh_tes_in!W11=0,0,11630*1000*SER_hh_tes_in!W11/SER_hh_num_in!W11)</f>
        <v>0</v>
      </c>
      <c r="X11" s="132">
        <f>IF(SER_hh_tes_in!X11=0,0,11630*1000*SER_hh_tes_in!X11/SER_hh_num_in!X11)</f>
        <v>0</v>
      </c>
      <c r="Y11" s="132">
        <f>IF(SER_hh_tes_in!Y11=0,0,11630*1000*SER_hh_tes_in!Y11/SER_hh_num_in!Y11)</f>
        <v>0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81457.561852852756</v>
      </c>
      <c r="D12" s="132">
        <f>IF(SER_hh_tes_in!D12=0,0,11630*1000*SER_hh_tes_in!D12/SER_hh_num_in!D12)</f>
        <v>74117.295734266299</v>
      </c>
      <c r="E12" s="132">
        <f>IF(SER_hh_tes_in!E12=0,0,11630*1000*SER_hh_tes_in!E12/SER_hh_num_in!E12)</f>
        <v>72286.235044159737</v>
      </c>
      <c r="F12" s="132">
        <f>IF(SER_hh_tes_in!F12=0,0,11630*1000*SER_hh_tes_in!F12/SER_hh_num_in!F12)</f>
        <v>71344.293760466331</v>
      </c>
      <c r="G12" s="132">
        <f>IF(SER_hh_tes_in!G12=0,0,11630*1000*SER_hh_tes_in!G12/SER_hh_num_in!G12)</f>
        <v>67703.813128515656</v>
      </c>
      <c r="H12" s="132">
        <f>IF(SER_hh_tes_in!H12=0,0,11630*1000*SER_hh_tes_in!H12/SER_hh_num_in!H12)</f>
        <v>53120.970781384902</v>
      </c>
      <c r="I12" s="132">
        <f>IF(SER_hh_tes_in!I12=0,0,11630*1000*SER_hh_tes_in!I12/SER_hh_num_in!I12)</f>
        <v>47568.043204580332</v>
      </c>
      <c r="J12" s="132">
        <f>IF(SER_hh_tes_in!J12=0,0,11630*1000*SER_hh_tes_in!J12/SER_hh_num_in!J12)</f>
        <v>47477.788871537407</v>
      </c>
      <c r="K12" s="132">
        <f>IF(SER_hh_tes_in!K12=0,0,11630*1000*SER_hh_tes_in!K12/SER_hh_num_in!K12)</f>
        <v>42777.583822292239</v>
      </c>
      <c r="L12" s="132">
        <f>IF(SER_hh_tes_in!L12=0,0,11630*1000*SER_hh_tes_in!L12/SER_hh_num_in!L12)</f>
        <v>51675.923020449707</v>
      </c>
      <c r="M12" s="132">
        <f>IF(SER_hh_tes_in!M12=0,0,11630*1000*SER_hh_tes_in!M12/SER_hh_num_in!M12)</f>
        <v>45267.144378306526</v>
      </c>
      <c r="N12" s="132">
        <f>IF(SER_hh_tes_in!N12=0,0,11630*1000*SER_hh_tes_in!N12/SER_hh_num_in!N12)</f>
        <v>41803.48935414564</v>
      </c>
      <c r="O12" s="132">
        <f>IF(SER_hh_tes_in!O12=0,0,11630*1000*SER_hh_tes_in!O12/SER_hh_num_in!O12)</f>
        <v>38671.886967675309</v>
      </c>
      <c r="P12" s="132">
        <f>IF(SER_hh_tes_in!P12=0,0,11630*1000*SER_hh_tes_in!P12/SER_hh_num_in!P12)</f>
        <v>34849.651751738718</v>
      </c>
      <c r="Q12" s="132">
        <f>IF(SER_hh_tes_in!Q12=0,0,11630*1000*SER_hh_tes_in!Q12/SER_hh_num_in!Q12)</f>
        <v>33859.708907644243</v>
      </c>
      <c r="R12" s="132">
        <f>IF(SER_hh_tes_in!R12=0,0,11630*1000*SER_hh_tes_in!R12/SER_hh_num_in!R12)</f>
        <v>33579.255729694138</v>
      </c>
      <c r="S12" s="132">
        <f>IF(SER_hh_tes_in!S12=0,0,11630*1000*SER_hh_tes_in!S12/SER_hh_num_in!S12)</f>
        <v>32487.698214130145</v>
      </c>
      <c r="T12" s="132">
        <f>IF(SER_hh_tes_in!T12=0,0,11630*1000*SER_hh_tes_in!T12/SER_hh_num_in!T12)</f>
        <v>30862.720589022007</v>
      </c>
      <c r="U12" s="132">
        <f>IF(SER_hh_tes_in!U12=0,0,11630*1000*SER_hh_tes_in!U12/SER_hh_num_in!U12)</f>
        <v>27892.817346231168</v>
      </c>
      <c r="V12" s="132">
        <f>IF(SER_hh_tes_in!V12=0,0,11630*1000*SER_hh_tes_in!V12/SER_hh_num_in!V12)</f>
        <v>24217.363579237881</v>
      </c>
      <c r="W12" s="132">
        <f>IF(SER_hh_tes_in!W12=0,0,11630*1000*SER_hh_tes_in!W12/SER_hh_num_in!W12)</f>
        <v>21167.905383076537</v>
      </c>
      <c r="X12" s="132">
        <f>IF(SER_hh_tes_in!X12=0,0,11630*1000*SER_hh_tes_in!X12/SER_hh_num_in!X12)</f>
        <v>19953.594904366753</v>
      </c>
      <c r="Y12" s="132">
        <f>IF(SER_hh_tes_in!Y12=0,0,11630*1000*SER_hh_tes_in!Y12/SER_hh_num_in!Y12)</f>
        <v>18515.051674328788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68759.328753325404</v>
      </c>
      <c r="D13" s="132">
        <f>IF(SER_hh_tes_in!D13=0,0,11630*1000*SER_hh_tes_in!D13/SER_hh_num_in!D13)</f>
        <v>76086.379438710923</v>
      </c>
      <c r="E13" s="132">
        <f>IF(SER_hh_tes_in!E13=0,0,11630*1000*SER_hh_tes_in!E13/SER_hh_num_in!E13)</f>
        <v>74402.783091328965</v>
      </c>
      <c r="F13" s="132">
        <f>IF(SER_hh_tes_in!F13=0,0,11630*1000*SER_hh_tes_in!F13/SER_hh_num_in!F13)</f>
        <v>67736.286318270271</v>
      </c>
      <c r="G13" s="132">
        <f>IF(SER_hh_tes_in!G13=0,0,11630*1000*SER_hh_tes_in!G13/SER_hh_num_in!G13)</f>
        <v>56600.541858654593</v>
      </c>
      <c r="H13" s="132">
        <f>IF(SER_hh_tes_in!H13=0,0,11630*1000*SER_hh_tes_in!H13/SER_hh_num_in!H13)</f>
        <v>53476.889276628113</v>
      </c>
      <c r="I13" s="132">
        <f>IF(SER_hh_tes_in!I13=0,0,11630*1000*SER_hh_tes_in!I13/SER_hh_num_in!I13)</f>
        <v>50484.081942254888</v>
      </c>
      <c r="J13" s="132">
        <f>IF(SER_hh_tes_in!J13=0,0,11630*1000*SER_hh_tes_in!J13/SER_hh_num_in!J13)</f>
        <v>48578.963298591072</v>
      </c>
      <c r="K13" s="132">
        <f>IF(SER_hh_tes_in!K13=0,0,11630*1000*SER_hh_tes_in!K13/SER_hh_num_in!K13)</f>
        <v>46944.653404766657</v>
      </c>
      <c r="L13" s="132">
        <f>IF(SER_hh_tes_in!L13=0,0,11630*1000*SER_hh_tes_in!L13/SER_hh_num_in!L13)</f>
        <v>46977.078309251323</v>
      </c>
      <c r="M13" s="132">
        <f>IF(SER_hh_tes_in!M13=0,0,11630*1000*SER_hh_tes_in!M13/SER_hh_num_in!M13)</f>
        <v>44655.037251690941</v>
      </c>
      <c r="N13" s="132">
        <f>IF(SER_hh_tes_in!N13=0,0,11630*1000*SER_hh_tes_in!N13/SER_hh_num_in!N13)</f>
        <v>42161.513152307089</v>
      </c>
      <c r="O13" s="132">
        <f>IF(SER_hh_tes_in!O13=0,0,11630*1000*SER_hh_tes_in!O13/SER_hh_num_in!O13)</f>
        <v>38923.139629444238</v>
      </c>
      <c r="P13" s="132">
        <f>IF(SER_hh_tes_in!P13=0,0,11630*1000*SER_hh_tes_in!P13/SER_hh_num_in!P13)</f>
        <v>35800.916464567221</v>
      </c>
      <c r="Q13" s="132">
        <f>IF(SER_hh_tes_in!Q13=0,0,11630*1000*SER_hh_tes_in!Q13/SER_hh_num_in!Q13)</f>
        <v>34389.601771109665</v>
      </c>
      <c r="R13" s="132">
        <f>IF(SER_hh_tes_in!R13=0,0,11630*1000*SER_hh_tes_in!R13/SER_hh_num_in!R13)</f>
        <v>33511.70992197447</v>
      </c>
      <c r="S13" s="132">
        <f>IF(SER_hh_tes_in!S13=0,0,11630*1000*SER_hh_tes_in!S13/SER_hh_num_in!S13)</f>
        <v>32631.527833104316</v>
      </c>
      <c r="T13" s="132">
        <f>IF(SER_hh_tes_in!T13=0,0,11630*1000*SER_hh_tes_in!T13/SER_hh_num_in!T13)</f>
        <v>30769.041672060521</v>
      </c>
      <c r="U13" s="132">
        <f>IF(SER_hh_tes_in!U13=0,0,11630*1000*SER_hh_tes_in!U13/SER_hh_num_in!U13)</f>
        <v>28688.442376225245</v>
      </c>
      <c r="V13" s="132">
        <f>IF(SER_hh_tes_in!V13=0,0,11630*1000*SER_hh_tes_in!V13/SER_hh_num_in!V13)</f>
        <v>24665.403423345957</v>
      </c>
      <c r="W13" s="132">
        <f>IF(SER_hh_tes_in!W13=0,0,11630*1000*SER_hh_tes_in!W13/SER_hh_num_in!W13)</f>
        <v>18719.476530586042</v>
      </c>
      <c r="X13" s="132">
        <f>IF(SER_hh_tes_in!X13=0,0,11630*1000*SER_hh_tes_in!X13/SER_hh_num_in!X13)</f>
        <v>20842.552219744193</v>
      </c>
      <c r="Y13" s="132">
        <f>IF(SER_hh_tes_in!Y13=0,0,11630*1000*SER_hh_tes_in!Y13/SER_hh_num_in!Y13)</f>
        <v>20398.12802253574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80947.722942699038</v>
      </c>
      <c r="D14" s="65">
        <f>IF(SER_hh_tes_in!D14=0,0,11630*1000*SER_hh_tes_in!D14/SER_hh_num_in!D14)</f>
        <v>74065.946374706429</v>
      </c>
      <c r="E14" s="65">
        <f>IF(SER_hh_tes_in!E14=0,0,11630*1000*SER_hh_tes_in!E14/SER_hh_num_in!E14)</f>
        <v>88265.115173986735</v>
      </c>
      <c r="F14" s="65">
        <f>IF(SER_hh_tes_in!F14=0,0,11630*1000*SER_hh_tes_in!F14/SER_hh_num_in!F14)</f>
        <v>0</v>
      </c>
      <c r="G14" s="65">
        <f>IF(SER_hh_tes_in!G14=0,0,11630*1000*SER_hh_tes_in!G14/SER_hh_num_in!G14)</f>
        <v>57766.400443087507</v>
      </c>
      <c r="H14" s="65">
        <f>IF(SER_hh_tes_in!H14=0,0,11630*1000*SER_hh_tes_in!H14/SER_hh_num_in!H14)</f>
        <v>54648.43840551484</v>
      </c>
      <c r="I14" s="65">
        <f>IF(SER_hh_tes_in!I14=0,0,11630*1000*SER_hh_tes_in!I14/SER_hh_num_in!I14)</f>
        <v>50109.281077582535</v>
      </c>
      <c r="J14" s="65">
        <f>IF(SER_hh_tes_in!J14=0,0,11630*1000*SER_hh_tes_in!J14/SER_hh_num_in!J14)</f>
        <v>50731.158339216898</v>
      </c>
      <c r="K14" s="65">
        <f>IF(SER_hh_tes_in!K14=0,0,11630*1000*SER_hh_tes_in!K14/SER_hh_num_in!K14)</f>
        <v>46546.183798394886</v>
      </c>
      <c r="L14" s="65">
        <f>IF(SER_hh_tes_in!L14=0,0,11630*1000*SER_hh_tes_in!L14/SER_hh_num_in!L14)</f>
        <v>49682.976283833676</v>
      </c>
      <c r="M14" s="65">
        <f>IF(SER_hh_tes_in!M14=0,0,11630*1000*SER_hh_tes_in!M14/SER_hh_num_in!M14)</f>
        <v>43344.301435844347</v>
      </c>
      <c r="N14" s="65">
        <f>IF(SER_hh_tes_in!N14=0,0,11630*1000*SER_hh_tes_in!N14/SER_hh_num_in!N14)</f>
        <v>40737.630669253806</v>
      </c>
      <c r="O14" s="65">
        <f>IF(SER_hh_tes_in!O14=0,0,11630*1000*SER_hh_tes_in!O14/SER_hh_num_in!O14)</f>
        <v>41105.382993535888</v>
      </c>
      <c r="P14" s="65">
        <f>IF(SER_hh_tes_in!P14=0,0,11630*1000*SER_hh_tes_in!P14/SER_hh_num_in!P14)</f>
        <v>34756.705935112266</v>
      </c>
      <c r="Q14" s="65">
        <f>IF(SER_hh_tes_in!Q14=0,0,11630*1000*SER_hh_tes_in!Q14/SER_hh_num_in!Q14)</f>
        <v>32496.000411137247</v>
      </c>
      <c r="R14" s="65">
        <f>IF(SER_hh_tes_in!R14=0,0,11630*1000*SER_hh_tes_in!R14/SER_hh_num_in!R14)</f>
        <v>33630.209614621082</v>
      </c>
      <c r="S14" s="65">
        <f>IF(SER_hh_tes_in!S14=0,0,11630*1000*SER_hh_tes_in!S14/SER_hh_num_in!S14)</f>
        <v>33008.600229689131</v>
      </c>
      <c r="T14" s="65">
        <f>IF(SER_hh_tes_in!T14=0,0,11630*1000*SER_hh_tes_in!T14/SER_hh_num_in!T14)</f>
        <v>30809.165674277952</v>
      </c>
      <c r="U14" s="65">
        <f>IF(SER_hh_tes_in!U14=0,0,11630*1000*SER_hh_tes_in!U14/SER_hh_num_in!U14)</f>
        <v>29725.831269399918</v>
      </c>
      <c r="V14" s="65">
        <f>IF(SER_hh_tes_in!V14=0,0,11630*1000*SER_hh_tes_in!V14/SER_hh_num_in!V14)</f>
        <v>25362.000133713209</v>
      </c>
      <c r="W14" s="65">
        <f>IF(SER_hh_tes_in!W14=0,0,11630*1000*SER_hh_tes_in!W14/SER_hh_num_in!W14)</f>
        <v>21205.654613258132</v>
      </c>
      <c r="X14" s="65">
        <f>IF(SER_hh_tes_in!X14=0,0,11630*1000*SER_hh_tes_in!X14/SER_hh_num_in!X14)</f>
        <v>21660.300968659147</v>
      </c>
      <c r="Y14" s="65">
        <f>IF(SER_hh_tes_in!Y14=0,0,11630*1000*SER_hh_tes_in!Y14/SER_hh_num_in!Y14)</f>
        <v>17006.88545216386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1132.9866404694458</v>
      </c>
      <c r="D15" s="134">
        <f>IF(SER_hh_tes_in!D15=0,0,11630*1000*SER_hh_tes_in!D15/SER_hh_num_in!D15)</f>
        <v>1104.0842783169705</v>
      </c>
      <c r="E15" s="134">
        <f>IF(SER_hh_tes_in!E15=0,0,11630*1000*SER_hh_tes_in!E15/SER_hh_num_in!E15)</f>
        <v>984.82041861360165</v>
      </c>
      <c r="F15" s="134">
        <f>IF(SER_hh_tes_in!F15=0,0,11630*1000*SER_hh_tes_in!F15/SER_hh_num_in!F15)</f>
        <v>879.93353098307728</v>
      </c>
      <c r="G15" s="134">
        <f>IF(SER_hh_tes_in!G15=0,0,11630*1000*SER_hh_tes_in!G15/SER_hh_num_in!G15)</f>
        <v>892.16117989618851</v>
      </c>
      <c r="H15" s="134">
        <f>IF(SER_hh_tes_in!H15=0,0,11630*1000*SER_hh_tes_in!H15/SER_hh_num_in!H15)</f>
        <v>805.79771939705029</v>
      </c>
      <c r="I15" s="134">
        <f>IF(SER_hh_tes_in!I15=0,0,11630*1000*SER_hh_tes_in!I15/SER_hh_num_in!I15)</f>
        <v>732.83049257028165</v>
      </c>
      <c r="J15" s="134">
        <f>IF(SER_hh_tes_in!J15=0,0,11630*1000*SER_hh_tes_in!J15/SER_hh_num_in!J15)</f>
        <v>688.62749359227303</v>
      </c>
      <c r="K15" s="134">
        <f>IF(SER_hh_tes_in!K15=0,0,11630*1000*SER_hh_tes_in!K15/SER_hh_num_in!K15)</f>
        <v>189.91522111318434</v>
      </c>
      <c r="L15" s="134">
        <f>IF(SER_hh_tes_in!L15=0,0,11630*1000*SER_hh_tes_in!L15/SER_hh_num_in!L15)</f>
        <v>427.53776148357127</v>
      </c>
      <c r="M15" s="134">
        <f>IF(SER_hh_tes_in!M15=0,0,11630*1000*SER_hh_tes_in!M15/SER_hh_num_in!M15)</f>
        <v>458.93807278264853</v>
      </c>
      <c r="N15" s="134">
        <f>IF(SER_hh_tes_in!N15=0,0,11630*1000*SER_hh_tes_in!N15/SER_hh_num_in!N15)</f>
        <v>405.58593613673236</v>
      </c>
      <c r="O15" s="134">
        <f>IF(SER_hh_tes_in!O15=0,0,11630*1000*SER_hh_tes_in!O15/SER_hh_num_in!O15)</f>
        <v>403.74655987266283</v>
      </c>
      <c r="P15" s="134">
        <f>IF(SER_hh_tes_in!P15=0,0,11630*1000*SER_hh_tes_in!P15/SER_hh_num_in!P15)</f>
        <v>422.37619844931794</v>
      </c>
      <c r="Q15" s="134">
        <f>IF(SER_hh_tes_in!Q15=0,0,11630*1000*SER_hh_tes_in!Q15/SER_hh_num_in!Q15)</f>
        <v>427.65533756927204</v>
      </c>
      <c r="R15" s="134">
        <f>IF(SER_hh_tes_in!R15=0,0,11630*1000*SER_hh_tes_in!R15/SER_hh_num_in!R15)</f>
        <v>387.84124785866692</v>
      </c>
      <c r="S15" s="134">
        <f>IF(SER_hh_tes_in!S15=0,0,11630*1000*SER_hh_tes_in!S15/SER_hh_num_in!S15)</f>
        <v>416.28635445050043</v>
      </c>
      <c r="T15" s="134">
        <f>IF(SER_hh_tes_in!T15=0,0,11630*1000*SER_hh_tes_in!T15/SER_hh_num_in!T15)</f>
        <v>344.71236536548315</v>
      </c>
      <c r="U15" s="134">
        <f>IF(SER_hh_tes_in!U15=0,0,11630*1000*SER_hh_tes_in!U15/SER_hh_num_in!U15)</f>
        <v>349.53519474534613</v>
      </c>
      <c r="V15" s="134">
        <f>IF(SER_hh_tes_in!V15=0,0,11630*1000*SER_hh_tes_in!V15/SER_hh_num_in!V15)</f>
        <v>269.78700190236947</v>
      </c>
      <c r="W15" s="134">
        <f>IF(SER_hh_tes_in!W15=0,0,11630*1000*SER_hh_tes_in!W15/SER_hh_num_in!W15)</f>
        <v>209.05832508730981</v>
      </c>
      <c r="X15" s="134">
        <f>IF(SER_hh_tes_in!X15=0,0,11630*1000*SER_hh_tes_in!X15/SER_hh_num_in!X15)</f>
        <v>183.34063034390087</v>
      </c>
      <c r="Y15" s="134">
        <f>IF(SER_hh_tes_in!Y15=0,0,11630*1000*SER_hh_tes_in!Y15/SER_hh_num_in!Y15)</f>
        <v>178.51996965454009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24257.026394473316</v>
      </c>
      <c r="D16" s="130">
        <f>IF(SER_hh_tes_in!D16=0,0,11630*1000*SER_hh_tes_in!D16/SER_hh_num_in!D16)</f>
        <v>24214.599898548615</v>
      </c>
      <c r="E16" s="130">
        <f>IF(SER_hh_tes_in!E16=0,0,11630*1000*SER_hh_tes_in!E16/SER_hh_num_in!E16)</f>
        <v>25327.005683531028</v>
      </c>
      <c r="F16" s="130">
        <f>IF(SER_hh_tes_in!F16=0,0,11630*1000*SER_hh_tes_in!F16/SER_hh_num_in!F16)</f>
        <v>24021.309838503272</v>
      </c>
      <c r="G16" s="130">
        <f>IF(SER_hh_tes_in!G16=0,0,11630*1000*SER_hh_tes_in!G16/SER_hh_num_in!G16)</f>
        <v>24121.931266109139</v>
      </c>
      <c r="H16" s="130">
        <f>IF(SER_hh_tes_in!H16=0,0,11630*1000*SER_hh_tes_in!H16/SER_hh_num_in!H16)</f>
        <v>24793.194227008906</v>
      </c>
      <c r="I16" s="130">
        <f>IF(SER_hh_tes_in!I16=0,0,11630*1000*SER_hh_tes_in!I16/SER_hh_num_in!I16)</f>
        <v>24341.045605321779</v>
      </c>
      <c r="J16" s="130">
        <f>IF(SER_hh_tes_in!J16=0,0,11630*1000*SER_hh_tes_in!J16/SER_hh_num_in!J16)</f>
        <v>23843.020172273125</v>
      </c>
      <c r="K16" s="130">
        <f>IF(SER_hh_tes_in!K16=0,0,11630*1000*SER_hh_tes_in!K16/SER_hh_num_in!K16)</f>
        <v>23524.999976660074</v>
      </c>
      <c r="L16" s="130">
        <f>IF(SER_hh_tes_in!L16=0,0,11630*1000*SER_hh_tes_in!L16/SER_hh_num_in!L16)</f>
        <v>23885.33027653001</v>
      </c>
      <c r="M16" s="130">
        <f>IF(SER_hh_tes_in!M16=0,0,11630*1000*SER_hh_tes_in!M16/SER_hh_num_in!M16)</f>
        <v>23334.314942831523</v>
      </c>
      <c r="N16" s="130">
        <f>IF(SER_hh_tes_in!N16=0,0,11630*1000*SER_hh_tes_in!N16/SER_hh_num_in!N16)</f>
        <v>23254.673633168401</v>
      </c>
      <c r="O16" s="130">
        <f>IF(SER_hh_tes_in!O16=0,0,11630*1000*SER_hh_tes_in!O16/SER_hh_num_in!O16)</f>
        <v>23891.754119902107</v>
      </c>
      <c r="P16" s="130">
        <f>IF(SER_hh_tes_in!P16=0,0,11630*1000*SER_hh_tes_in!P16/SER_hh_num_in!P16)</f>
        <v>22355.454212741879</v>
      </c>
      <c r="Q16" s="130">
        <f>IF(SER_hh_tes_in!Q16=0,0,11630*1000*SER_hh_tes_in!Q16/SER_hh_num_in!Q16)</f>
        <v>25960.483144905167</v>
      </c>
      <c r="R16" s="130">
        <f>IF(SER_hh_tes_in!R16=0,0,11630*1000*SER_hh_tes_in!R16/SER_hh_num_in!R16)</f>
        <v>21793.476941873458</v>
      </c>
      <c r="S16" s="130">
        <f>IF(SER_hh_tes_in!S16=0,0,11630*1000*SER_hh_tes_in!S16/SER_hh_num_in!S16)</f>
        <v>21804.538341781183</v>
      </c>
      <c r="T16" s="130">
        <f>IF(SER_hh_tes_in!T16=0,0,11630*1000*SER_hh_tes_in!T16/SER_hh_num_in!T16)</f>
        <v>22547.684202284632</v>
      </c>
      <c r="U16" s="130">
        <f>IF(SER_hh_tes_in!U16=0,0,11630*1000*SER_hh_tes_in!U16/SER_hh_num_in!U16)</f>
        <v>21710.38209601687</v>
      </c>
      <c r="V16" s="130">
        <f>IF(SER_hh_tes_in!V16=0,0,11630*1000*SER_hh_tes_in!V16/SER_hh_num_in!V16)</f>
        <v>19230.436328709424</v>
      </c>
      <c r="W16" s="130">
        <f>IF(SER_hh_tes_in!W16=0,0,11630*1000*SER_hh_tes_in!W16/SER_hh_num_in!W16)</f>
        <v>18705.923556489477</v>
      </c>
      <c r="X16" s="130">
        <f>IF(SER_hh_tes_in!X16=0,0,11630*1000*SER_hh_tes_in!X16/SER_hh_num_in!X16)</f>
        <v>20180.082141584804</v>
      </c>
      <c r="Y16" s="130">
        <f>IF(SER_hh_tes_in!Y16=0,0,11630*1000*SER_hh_tes_in!Y16/SER_hh_num_in!Y16)</f>
        <v>21025.871046012227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0</v>
      </c>
      <c r="D17" s="132">
        <f>IF(SER_hh_tes_in!D17=0,0,11630*1000*SER_hh_tes_in!D17/SER_hh_num_in!D17)</f>
        <v>0</v>
      </c>
      <c r="E17" s="132">
        <f>IF(SER_hh_tes_in!E17=0,0,11630*1000*SER_hh_tes_in!E17/SER_hh_num_in!E17)</f>
        <v>0</v>
      </c>
      <c r="F17" s="132">
        <f>IF(SER_hh_tes_in!F17=0,0,11630*1000*SER_hh_tes_in!F17/SER_hh_num_in!F17)</f>
        <v>0</v>
      </c>
      <c r="G17" s="132">
        <f>IF(SER_hh_tes_in!G17=0,0,11630*1000*SER_hh_tes_in!G17/SER_hh_num_in!G17)</f>
        <v>24730.203618496384</v>
      </c>
      <c r="H17" s="132">
        <f>IF(SER_hh_tes_in!H17=0,0,11630*1000*SER_hh_tes_in!H17/SER_hh_num_in!H17)</f>
        <v>25215.369534405487</v>
      </c>
      <c r="I17" s="132">
        <f>IF(SER_hh_tes_in!I17=0,0,11630*1000*SER_hh_tes_in!I17/SER_hh_num_in!I17)</f>
        <v>24683.383352824552</v>
      </c>
      <c r="J17" s="132">
        <f>IF(SER_hh_tes_in!J17=0,0,11630*1000*SER_hh_tes_in!J17/SER_hh_num_in!J17)</f>
        <v>23961.772080799477</v>
      </c>
      <c r="K17" s="132">
        <f>IF(SER_hh_tes_in!K17=0,0,11630*1000*SER_hh_tes_in!K17/SER_hh_num_in!K17)</f>
        <v>23640.242224361595</v>
      </c>
      <c r="L17" s="132">
        <f>IF(SER_hh_tes_in!L17=0,0,11630*1000*SER_hh_tes_in!L17/SER_hh_num_in!L17)</f>
        <v>23839.135201729274</v>
      </c>
      <c r="M17" s="132">
        <f>IF(SER_hh_tes_in!M17=0,0,11630*1000*SER_hh_tes_in!M17/SER_hh_num_in!M17)</f>
        <v>23195.206251268537</v>
      </c>
      <c r="N17" s="132">
        <f>IF(SER_hh_tes_in!N17=0,0,11630*1000*SER_hh_tes_in!N17/SER_hh_num_in!N17)</f>
        <v>23062.310210696265</v>
      </c>
      <c r="O17" s="132">
        <f>IF(SER_hh_tes_in!O17=0,0,11630*1000*SER_hh_tes_in!O17/SER_hh_num_in!O17)</f>
        <v>23822.169050197714</v>
      </c>
      <c r="P17" s="132">
        <f>IF(SER_hh_tes_in!P17=0,0,11630*1000*SER_hh_tes_in!P17/SER_hh_num_in!P17)</f>
        <v>22768.693936788321</v>
      </c>
      <c r="Q17" s="132">
        <f>IF(SER_hh_tes_in!Q17=0,0,11630*1000*SER_hh_tes_in!Q17/SER_hh_num_in!Q17)</f>
        <v>27101.216935143882</v>
      </c>
      <c r="R17" s="132">
        <f>IF(SER_hh_tes_in!R17=0,0,11630*1000*SER_hh_tes_in!R17/SER_hh_num_in!R17)</f>
        <v>22630.107572885521</v>
      </c>
      <c r="S17" s="132">
        <f>IF(SER_hh_tes_in!S17=0,0,11630*1000*SER_hh_tes_in!S17/SER_hh_num_in!S17)</f>
        <v>22649.928769905011</v>
      </c>
      <c r="T17" s="132">
        <f>IF(SER_hh_tes_in!T17=0,0,11630*1000*SER_hh_tes_in!T17/SER_hh_num_in!T17)</f>
        <v>24641.603187909015</v>
      </c>
      <c r="U17" s="132">
        <f>IF(SER_hh_tes_in!U17=0,0,11630*1000*SER_hh_tes_in!U17/SER_hh_num_in!U17)</f>
        <v>22237.64638359108</v>
      </c>
      <c r="V17" s="132">
        <f>IF(SER_hh_tes_in!V17=0,0,11630*1000*SER_hh_tes_in!V17/SER_hh_num_in!V17)</f>
        <v>20567.907987413411</v>
      </c>
      <c r="W17" s="132">
        <f>IF(SER_hh_tes_in!W17=0,0,11630*1000*SER_hh_tes_in!W17/SER_hh_num_in!W17)</f>
        <v>18952.908235076593</v>
      </c>
      <c r="X17" s="132">
        <f>IF(SER_hh_tes_in!X17=0,0,11630*1000*SER_hh_tes_in!X17/SER_hh_num_in!X17)</f>
        <v>20222.786177588328</v>
      </c>
      <c r="Y17" s="132">
        <f>IF(SER_hh_tes_in!Y17=0,0,11630*1000*SER_hh_tes_in!Y17/SER_hh_num_in!Y17)</f>
        <v>21072.15289219539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24257.026394473316</v>
      </c>
      <c r="D18" s="132">
        <f>IF(SER_hh_tes_in!D18=0,0,11630*1000*SER_hh_tes_in!D18/SER_hh_num_in!D18)</f>
        <v>24214.599898548615</v>
      </c>
      <c r="E18" s="132">
        <f>IF(SER_hh_tes_in!E18=0,0,11630*1000*SER_hh_tes_in!E18/SER_hh_num_in!E18)</f>
        <v>25327.005683531028</v>
      </c>
      <c r="F18" s="132">
        <f>IF(SER_hh_tes_in!F18=0,0,11630*1000*SER_hh_tes_in!F18/SER_hh_num_in!F18)</f>
        <v>24021.309838503272</v>
      </c>
      <c r="G18" s="132">
        <f>IF(SER_hh_tes_in!G18=0,0,11630*1000*SER_hh_tes_in!G18/SER_hh_num_in!G18)</f>
        <v>24119.604589808656</v>
      </c>
      <c r="H18" s="132">
        <f>IF(SER_hh_tes_in!H18=0,0,11630*1000*SER_hh_tes_in!H18/SER_hh_num_in!H18)</f>
        <v>24792.832851854491</v>
      </c>
      <c r="I18" s="132">
        <f>IF(SER_hh_tes_in!I18=0,0,11630*1000*SER_hh_tes_in!I18/SER_hh_num_in!I18)</f>
        <v>24340.43684162651</v>
      </c>
      <c r="J18" s="132">
        <f>IF(SER_hh_tes_in!J18=0,0,11630*1000*SER_hh_tes_in!J18/SER_hh_num_in!J18)</f>
        <v>23842.974939060259</v>
      </c>
      <c r="K18" s="132">
        <f>IF(SER_hh_tes_in!K18=0,0,11630*1000*SER_hh_tes_in!K18/SER_hh_num_in!K18)</f>
        <v>23524.6396397811</v>
      </c>
      <c r="L18" s="132">
        <f>IF(SER_hh_tes_in!L18=0,0,11630*1000*SER_hh_tes_in!L18/SER_hh_num_in!L18)</f>
        <v>23885.346178327763</v>
      </c>
      <c r="M18" s="132">
        <f>IF(SER_hh_tes_in!M18=0,0,11630*1000*SER_hh_tes_in!M18/SER_hh_num_in!M18)</f>
        <v>23334.453160568497</v>
      </c>
      <c r="N18" s="132">
        <f>IF(SER_hh_tes_in!N18=0,0,11630*1000*SER_hh_tes_in!N18/SER_hh_num_in!N18)</f>
        <v>23254.88753343089</v>
      </c>
      <c r="O18" s="132">
        <f>IF(SER_hh_tes_in!O18=0,0,11630*1000*SER_hh_tes_in!O18/SER_hh_num_in!O18)</f>
        <v>23891.980839418811</v>
      </c>
      <c r="P18" s="132">
        <f>IF(SER_hh_tes_in!P18=0,0,11630*1000*SER_hh_tes_in!P18/SER_hh_num_in!P18)</f>
        <v>22352.824046757087</v>
      </c>
      <c r="Q18" s="132">
        <f>IF(SER_hh_tes_in!Q18=0,0,11630*1000*SER_hh_tes_in!Q18/SER_hh_num_in!Q18)</f>
        <v>25950.020248602465</v>
      </c>
      <c r="R18" s="132">
        <f>IF(SER_hh_tes_in!R18=0,0,11630*1000*SER_hh_tes_in!R18/SER_hh_num_in!R18)</f>
        <v>21789.03296414726</v>
      </c>
      <c r="S18" s="132">
        <f>IF(SER_hh_tes_in!S18=0,0,11630*1000*SER_hh_tes_in!S18/SER_hh_num_in!S18)</f>
        <v>21798.560153554103</v>
      </c>
      <c r="T18" s="132">
        <f>IF(SER_hh_tes_in!T18=0,0,11630*1000*SER_hh_tes_in!T18/SER_hh_num_in!T18)</f>
        <v>22534.199623100278</v>
      </c>
      <c r="U18" s="132">
        <f>IF(SER_hh_tes_in!U18=0,0,11630*1000*SER_hh_tes_in!U18/SER_hh_num_in!U18)</f>
        <v>21707.400490078606</v>
      </c>
      <c r="V18" s="132">
        <f>IF(SER_hh_tes_in!V18=0,0,11630*1000*SER_hh_tes_in!V18/SER_hh_num_in!V18)</f>
        <v>19217.902620131936</v>
      </c>
      <c r="W18" s="132">
        <f>IF(SER_hh_tes_in!W18=0,0,11630*1000*SER_hh_tes_in!W18/SER_hh_num_in!W18)</f>
        <v>18704.24654759113</v>
      </c>
      <c r="X18" s="132">
        <f>IF(SER_hh_tes_in!X18=0,0,11630*1000*SER_hh_tes_in!X18/SER_hh_num_in!X18)</f>
        <v>20179.848938736483</v>
      </c>
      <c r="Y18" s="132">
        <f>IF(SER_hh_tes_in!Y18=0,0,11630*1000*SER_hh_tes_in!Y18/SER_hh_num_in!Y18)</f>
        <v>21025.484597660408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6968.2742512581117</v>
      </c>
      <c r="D19" s="130">
        <f>IF(SER_hh_tes_in!D19=0,0,11630*1000*SER_hh_tes_in!D19/SER_hh_num_in!D19)</f>
        <v>6866.6046569802847</v>
      </c>
      <c r="E19" s="130">
        <f>IF(SER_hh_tes_in!E19=0,0,11630*1000*SER_hh_tes_in!E19/SER_hh_num_in!E19)</f>
        <v>6770.7770379795638</v>
      </c>
      <c r="F19" s="130">
        <f>IF(SER_hh_tes_in!F19=0,0,11630*1000*SER_hh_tes_in!F19/SER_hh_num_in!F19)</f>
        <v>6580.1789599715439</v>
      </c>
      <c r="G19" s="130">
        <f>IF(SER_hh_tes_in!G19=0,0,11630*1000*SER_hh_tes_in!G19/SER_hh_num_in!G19)</f>
        <v>6522.0916338763273</v>
      </c>
      <c r="H19" s="130">
        <f>IF(SER_hh_tes_in!H19=0,0,11630*1000*SER_hh_tes_in!H19/SER_hh_num_in!H19)</f>
        <v>6544.9528907166641</v>
      </c>
      <c r="I19" s="130">
        <f>IF(SER_hh_tes_in!I19=0,0,11630*1000*SER_hh_tes_in!I19/SER_hh_num_in!I19)</f>
        <v>6515.2680706543897</v>
      </c>
      <c r="J19" s="130">
        <f>IF(SER_hh_tes_in!J19=0,0,11630*1000*SER_hh_tes_in!J19/SER_hh_num_in!J19)</f>
        <v>6560.6906319891968</v>
      </c>
      <c r="K19" s="130">
        <f>IF(SER_hh_tes_in!K19=0,0,11630*1000*SER_hh_tes_in!K19/SER_hh_num_in!K19)</f>
        <v>7290.203081194808</v>
      </c>
      <c r="L19" s="130">
        <f>IF(SER_hh_tes_in!L19=0,0,11630*1000*SER_hh_tes_in!L19/SER_hh_num_in!L19)</f>
        <v>7282.1143550142142</v>
      </c>
      <c r="M19" s="130">
        <f>IF(SER_hh_tes_in!M19=0,0,11630*1000*SER_hh_tes_in!M19/SER_hh_num_in!M19)</f>
        <v>7350.103298014651</v>
      </c>
      <c r="N19" s="130">
        <f>IF(SER_hh_tes_in!N19=0,0,11630*1000*SER_hh_tes_in!N19/SER_hh_num_in!N19)</f>
        <v>7446.5547909708703</v>
      </c>
      <c r="O19" s="130">
        <f>IF(SER_hh_tes_in!O19=0,0,11630*1000*SER_hh_tes_in!O19/SER_hh_num_in!O19)</f>
        <v>7501.3175825413582</v>
      </c>
      <c r="P19" s="130">
        <f>IF(SER_hh_tes_in!P19=0,0,11630*1000*SER_hh_tes_in!P19/SER_hh_num_in!P19)</f>
        <v>7416.4283759002747</v>
      </c>
      <c r="Q19" s="130">
        <f>IF(SER_hh_tes_in!Q19=0,0,11630*1000*SER_hh_tes_in!Q19/SER_hh_num_in!Q19)</f>
        <v>7370.0949426687957</v>
      </c>
      <c r="R19" s="130">
        <f>IF(SER_hh_tes_in!R19=0,0,11630*1000*SER_hh_tes_in!R19/SER_hh_num_in!R19)</f>
        <v>7504.7578005447267</v>
      </c>
      <c r="S19" s="130">
        <f>IF(SER_hh_tes_in!S19=0,0,11630*1000*SER_hh_tes_in!S19/SER_hh_num_in!S19)</f>
        <v>7606.2077551832235</v>
      </c>
      <c r="T19" s="130">
        <f>IF(SER_hh_tes_in!T19=0,0,11630*1000*SER_hh_tes_in!T19/SER_hh_num_in!T19)</f>
        <v>7526.0134379096298</v>
      </c>
      <c r="U19" s="130">
        <f>IF(SER_hh_tes_in!U19=0,0,11630*1000*SER_hh_tes_in!U19/SER_hh_num_in!U19)</f>
        <v>7491.5446559998954</v>
      </c>
      <c r="V19" s="130">
        <f>IF(SER_hh_tes_in!V19=0,0,11630*1000*SER_hh_tes_in!V19/SER_hh_num_in!V19)</f>
        <v>7090.6470246577192</v>
      </c>
      <c r="W19" s="130">
        <f>IF(SER_hh_tes_in!W19=0,0,11630*1000*SER_hh_tes_in!W19/SER_hh_num_in!W19)</f>
        <v>6909.565329538661</v>
      </c>
      <c r="X19" s="130">
        <f>IF(SER_hh_tes_in!X19=0,0,11630*1000*SER_hh_tes_in!X19/SER_hh_num_in!X19)</f>
        <v>6943.3524697893872</v>
      </c>
      <c r="Y19" s="130">
        <f>IF(SER_hh_tes_in!Y19=0,0,11630*1000*SER_hh_tes_in!Y19/SER_hh_num_in!Y19)</f>
        <v>7374.1154683006416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0</v>
      </c>
      <c r="D20" s="132">
        <f>IF(SER_hh_tes_in!D20=0,0,11630*1000*SER_hh_tes_in!D20/SER_hh_num_in!D20)</f>
        <v>0</v>
      </c>
      <c r="E20" s="132">
        <f>IF(SER_hh_tes_in!E20=0,0,11630*1000*SER_hh_tes_in!E20/SER_hh_num_in!E20)</f>
        <v>0</v>
      </c>
      <c r="F20" s="132">
        <f>IF(SER_hh_tes_in!F20=0,0,11630*1000*SER_hh_tes_in!F20/SER_hh_num_in!F20)</f>
        <v>0</v>
      </c>
      <c r="G20" s="132">
        <f>IF(SER_hh_tes_in!G20=0,0,11630*1000*SER_hh_tes_in!G20/SER_hh_num_in!G20)</f>
        <v>0</v>
      </c>
      <c r="H20" s="132">
        <f>IF(SER_hh_tes_in!H20=0,0,11630*1000*SER_hh_tes_in!H20/SER_hh_num_in!H20)</f>
        <v>0</v>
      </c>
      <c r="I20" s="132">
        <f>IF(SER_hh_tes_in!I20=0,0,11630*1000*SER_hh_tes_in!I20/SER_hh_num_in!I20)</f>
        <v>0</v>
      </c>
      <c r="J20" s="132">
        <f>IF(SER_hh_tes_in!J20=0,0,11630*1000*SER_hh_tes_in!J20/SER_hh_num_in!J20)</f>
        <v>0</v>
      </c>
      <c r="K20" s="132">
        <f>IF(SER_hh_tes_in!K20=0,0,11630*1000*SER_hh_tes_in!K20/SER_hh_num_in!K20)</f>
        <v>0</v>
      </c>
      <c r="L20" s="132">
        <f>IF(SER_hh_tes_in!L20=0,0,11630*1000*SER_hh_tes_in!L20/SER_hh_num_in!L20)</f>
        <v>0</v>
      </c>
      <c r="M20" s="132">
        <f>IF(SER_hh_tes_in!M20=0,0,11630*1000*SER_hh_tes_in!M20/SER_hh_num_in!M20)</f>
        <v>0</v>
      </c>
      <c r="N20" s="132">
        <f>IF(SER_hh_tes_in!N20=0,0,11630*1000*SER_hh_tes_in!N20/SER_hh_num_in!N20)</f>
        <v>0</v>
      </c>
      <c r="O20" s="132">
        <f>IF(SER_hh_tes_in!O20=0,0,11630*1000*SER_hh_tes_in!O20/SER_hh_num_in!O20)</f>
        <v>0</v>
      </c>
      <c r="P20" s="132">
        <f>IF(SER_hh_tes_in!P20=0,0,11630*1000*SER_hh_tes_in!P20/SER_hh_num_in!P20)</f>
        <v>0</v>
      </c>
      <c r="Q20" s="132">
        <f>IF(SER_hh_tes_in!Q20=0,0,11630*1000*SER_hh_tes_in!Q20/SER_hh_num_in!Q20)</f>
        <v>0</v>
      </c>
      <c r="R20" s="132">
        <f>IF(SER_hh_tes_in!R20=0,0,11630*1000*SER_hh_tes_in!R20/SER_hh_num_in!R20)</f>
        <v>0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0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0</v>
      </c>
      <c r="D21" s="132">
        <f>IF(SER_hh_tes_in!D21=0,0,11630*1000*SER_hh_tes_in!D21/SER_hh_num_in!D21)</f>
        <v>0</v>
      </c>
      <c r="E21" s="132">
        <f>IF(SER_hh_tes_in!E21=0,0,11630*1000*SER_hh_tes_in!E21/SER_hh_num_in!E21)</f>
        <v>0</v>
      </c>
      <c r="F21" s="132">
        <f>IF(SER_hh_tes_in!F21=0,0,11630*1000*SER_hh_tes_in!F21/SER_hh_num_in!F21)</f>
        <v>0</v>
      </c>
      <c r="G21" s="132">
        <f>IF(SER_hh_tes_in!G21=0,0,11630*1000*SER_hh_tes_in!G21/SER_hh_num_in!G21)</f>
        <v>0</v>
      </c>
      <c r="H21" s="132">
        <f>IF(SER_hh_tes_in!H21=0,0,11630*1000*SER_hh_tes_in!H21/SER_hh_num_in!H21)</f>
        <v>0</v>
      </c>
      <c r="I21" s="132">
        <f>IF(SER_hh_tes_in!I21=0,0,11630*1000*SER_hh_tes_in!I21/SER_hh_num_in!I21)</f>
        <v>0</v>
      </c>
      <c r="J21" s="132">
        <f>IF(SER_hh_tes_in!J21=0,0,11630*1000*SER_hh_tes_in!J21/SER_hh_num_in!J21)</f>
        <v>0</v>
      </c>
      <c r="K21" s="132">
        <f>IF(SER_hh_tes_in!K21=0,0,11630*1000*SER_hh_tes_in!K21/SER_hh_num_in!K21)</f>
        <v>0</v>
      </c>
      <c r="L21" s="132">
        <f>IF(SER_hh_tes_in!L21=0,0,11630*1000*SER_hh_tes_in!L21/SER_hh_num_in!L21)</f>
        <v>0</v>
      </c>
      <c r="M21" s="132">
        <f>IF(SER_hh_tes_in!M21=0,0,11630*1000*SER_hh_tes_in!M21/SER_hh_num_in!M21)</f>
        <v>0</v>
      </c>
      <c r="N21" s="132">
        <f>IF(SER_hh_tes_in!N21=0,0,11630*1000*SER_hh_tes_in!N21/SER_hh_num_in!N21)</f>
        <v>0</v>
      </c>
      <c r="O21" s="132">
        <f>IF(SER_hh_tes_in!O21=0,0,11630*1000*SER_hh_tes_in!O21/SER_hh_num_in!O21)</f>
        <v>0</v>
      </c>
      <c r="P21" s="132">
        <f>IF(SER_hh_tes_in!P21=0,0,11630*1000*SER_hh_tes_in!P21/SER_hh_num_in!P21)</f>
        <v>0</v>
      </c>
      <c r="Q21" s="132">
        <f>IF(SER_hh_tes_in!Q21=0,0,11630*1000*SER_hh_tes_in!Q21/SER_hh_num_in!Q21)</f>
        <v>0</v>
      </c>
      <c r="R21" s="132">
        <f>IF(SER_hh_tes_in!R21=0,0,11630*1000*SER_hh_tes_in!R21/SER_hh_num_in!R21)</f>
        <v>0</v>
      </c>
      <c r="S21" s="132">
        <f>IF(SER_hh_tes_in!S21=0,0,11630*1000*SER_hh_tes_in!S21/SER_hh_num_in!S21)</f>
        <v>0</v>
      </c>
      <c r="T21" s="132">
        <f>IF(SER_hh_tes_in!T21=0,0,11630*1000*SER_hh_tes_in!T21/SER_hh_num_in!T21)</f>
        <v>0</v>
      </c>
      <c r="U21" s="132">
        <f>IF(SER_hh_tes_in!U21=0,0,11630*1000*SER_hh_tes_in!U21/SER_hh_num_in!U21)</f>
        <v>0</v>
      </c>
      <c r="V21" s="132">
        <f>IF(SER_hh_tes_in!V21=0,0,11630*1000*SER_hh_tes_in!V21/SER_hh_num_in!V21)</f>
        <v>0</v>
      </c>
      <c r="W21" s="132">
        <f>IF(SER_hh_tes_in!W21=0,0,11630*1000*SER_hh_tes_in!W21/SER_hh_num_in!W21)</f>
        <v>0</v>
      </c>
      <c r="X21" s="132">
        <f>IF(SER_hh_tes_in!X21=0,0,11630*1000*SER_hh_tes_in!X21/SER_hh_num_in!X21)</f>
        <v>0</v>
      </c>
      <c r="Y21" s="132">
        <f>IF(SER_hh_tes_in!Y21=0,0,11630*1000*SER_hh_tes_in!Y21/SER_hh_num_in!Y21)</f>
        <v>0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0</v>
      </c>
      <c r="D22" s="132">
        <f>IF(SER_hh_tes_in!D22=0,0,11630*1000*SER_hh_tes_in!D22/SER_hh_num_in!D22)</f>
        <v>0</v>
      </c>
      <c r="E22" s="132">
        <f>IF(SER_hh_tes_in!E22=0,0,11630*1000*SER_hh_tes_in!E22/SER_hh_num_in!E22)</f>
        <v>0</v>
      </c>
      <c r="F22" s="132">
        <f>IF(SER_hh_tes_in!F22=0,0,11630*1000*SER_hh_tes_in!F22/SER_hh_num_in!F22)</f>
        <v>0</v>
      </c>
      <c r="G22" s="132">
        <f>IF(SER_hh_tes_in!G22=0,0,11630*1000*SER_hh_tes_in!G22/SER_hh_num_in!G22)</f>
        <v>0</v>
      </c>
      <c r="H22" s="132">
        <f>IF(SER_hh_tes_in!H22=0,0,11630*1000*SER_hh_tes_in!H22/SER_hh_num_in!H22)</f>
        <v>0</v>
      </c>
      <c r="I22" s="132">
        <f>IF(SER_hh_tes_in!I22=0,0,11630*1000*SER_hh_tes_in!I22/SER_hh_num_in!I22)</f>
        <v>0</v>
      </c>
      <c r="J22" s="132">
        <f>IF(SER_hh_tes_in!J22=0,0,11630*1000*SER_hh_tes_in!J22/SER_hh_num_in!J22)</f>
        <v>0</v>
      </c>
      <c r="K22" s="132">
        <f>IF(SER_hh_tes_in!K22=0,0,11630*1000*SER_hh_tes_in!K22/SER_hh_num_in!K22)</f>
        <v>0</v>
      </c>
      <c r="L22" s="132">
        <f>IF(SER_hh_tes_in!L22=0,0,11630*1000*SER_hh_tes_in!L22/SER_hh_num_in!L22)</f>
        <v>0</v>
      </c>
      <c r="M22" s="132">
        <f>IF(SER_hh_tes_in!M22=0,0,11630*1000*SER_hh_tes_in!M22/SER_hh_num_in!M22)</f>
        <v>0</v>
      </c>
      <c r="N22" s="132">
        <f>IF(SER_hh_tes_in!N22=0,0,11630*1000*SER_hh_tes_in!N22/SER_hh_num_in!N22)</f>
        <v>0</v>
      </c>
      <c r="O22" s="132">
        <f>IF(SER_hh_tes_in!O22=0,0,11630*1000*SER_hh_tes_in!O22/SER_hh_num_in!O22)</f>
        <v>0</v>
      </c>
      <c r="P22" s="132">
        <f>IF(SER_hh_tes_in!P22=0,0,11630*1000*SER_hh_tes_in!P22/SER_hh_num_in!P22)</f>
        <v>0</v>
      </c>
      <c r="Q22" s="132">
        <f>IF(SER_hh_tes_in!Q22=0,0,11630*1000*SER_hh_tes_in!Q22/SER_hh_num_in!Q22)</f>
        <v>0</v>
      </c>
      <c r="R22" s="132">
        <f>IF(SER_hh_tes_in!R22=0,0,11630*1000*SER_hh_tes_in!R22/SER_hh_num_in!R22)</f>
        <v>0</v>
      </c>
      <c r="S22" s="132">
        <f>IF(SER_hh_tes_in!S22=0,0,11630*1000*SER_hh_tes_in!S22/SER_hh_num_in!S22)</f>
        <v>0</v>
      </c>
      <c r="T22" s="132">
        <f>IF(SER_hh_tes_in!T22=0,0,11630*1000*SER_hh_tes_in!T22/SER_hh_num_in!T22)</f>
        <v>0</v>
      </c>
      <c r="U22" s="132">
        <f>IF(SER_hh_tes_in!U22=0,0,11630*1000*SER_hh_tes_in!U22/SER_hh_num_in!U22)</f>
        <v>0</v>
      </c>
      <c r="V22" s="132">
        <f>IF(SER_hh_tes_in!V22=0,0,11630*1000*SER_hh_tes_in!V22/SER_hh_num_in!V22)</f>
        <v>0</v>
      </c>
      <c r="W22" s="132">
        <f>IF(SER_hh_tes_in!W22=0,0,11630*1000*SER_hh_tes_in!W22/SER_hh_num_in!W22)</f>
        <v>0</v>
      </c>
      <c r="X22" s="132">
        <f>IF(SER_hh_tes_in!X22=0,0,11630*1000*SER_hh_tes_in!X22/SER_hh_num_in!X22)</f>
        <v>0</v>
      </c>
      <c r="Y22" s="132">
        <f>IF(SER_hh_tes_in!Y22=0,0,11630*1000*SER_hh_tes_in!Y22/SER_hh_num_in!Y22)</f>
        <v>0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6897.4422614168652</v>
      </c>
      <c r="D23" s="132">
        <f>IF(SER_hh_tes_in!D23=0,0,11630*1000*SER_hh_tes_in!D23/SER_hh_num_in!D23)</f>
        <v>6888.0530552699365</v>
      </c>
      <c r="E23" s="132">
        <f>IF(SER_hh_tes_in!E23=0,0,11630*1000*SER_hh_tes_in!E23/SER_hh_num_in!E23)</f>
        <v>6592.6851588580348</v>
      </c>
      <c r="F23" s="132">
        <f>IF(SER_hh_tes_in!F23=0,0,11630*1000*SER_hh_tes_in!F23/SER_hh_num_in!F23)</f>
        <v>6456.2632401453211</v>
      </c>
      <c r="G23" s="132">
        <f>IF(SER_hh_tes_in!G23=0,0,11630*1000*SER_hh_tes_in!G23/SER_hh_num_in!G23)</f>
        <v>6499.8873237342332</v>
      </c>
      <c r="H23" s="132">
        <f>IF(SER_hh_tes_in!H23=0,0,11630*1000*SER_hh_tes_in!H23/SER_hh_num_in!H23)</f>
        <v>6484.9887647657979</v>
      </c>
      <c r="I23" s="132">
        <f>IF(SER_hh_tes_in!I23=0,0,11630*1000*SER_hh_tes_in!I23/SER_hh_num_in!I23)</f>
        <v>6306.8250844119557</v>
      </c>
      <c r="J23" s="132">
        <f>IF(SER_hh_tes_in!J23=0,0,11630*1000*SER_hh_tes_in!J23/SER_hh_num_in!J23)</f>
        <v>6324.3904698941278</v>
      </c>
      <c r="K23" s="132">
        <f>IF(SER_hh_tes_in!K23=0,0,11630*1000*SER_hh_tes_in!K23/SER_hh_num_in!K23)</f>
        <v>6636.297711464621</v>
      </c>
      <c r="L23" s="132">
        <f>IF(SER_hh_tes_in!L23=0,0,11630*1000*SER_hh_tes_in!L23/SER_hh_num_in!L23)</f>
        <v>7208.768557918901</v>
      </c>
      <c r="M23" s="132">
        <f>IF(SER_hh_tes_in!M23=0,0,11630*1000*SER_hh_tes_in!M23/SER_hh_num_in!M23)</f>
        <v>7092.7400394592223</v>
      </c>
      <c r="N23" s="132">
        <f>IF(SER_hh_tes_in!N23=0,0,11630*1000*SER_hh_tes_in!N23/SER_hh_num_in!N23)</f>
        <v>7068.8744223078329</v>
      </c>
      <c r="O23" s="132">
        <f>IF(SER_hh_tes_in!O23=0,0,11630*1000*SER_hh_tes_in!O23/SER_hh_num_in!O23)</f>
        <v>7143.4473142073248</v>
      </c>
      <c r="P23" s="132">
        <f>IF(SER_hh_tes_in!P23=0,0,11630*1000*SER_hh_tes_in!P23/SER_hh_num_in!P23)</f>
        <v>7017.3386197401514</v>
      </c>
      <c r="Q23" s="132">
        <f>IF(SER_hh_tes_in!Q23=0,0,11630*1000*SER_hh_tes_in!Q23/SER_hh_num_in!Q23)</f>
        <v>7337.2915816753202</v>
      </c>
      <c r="R23" s="132">
        <f>IF(SER_hh_tes_in!R23=0,0,11630*1000*SER_hh_tes_in!R23/SER_hh_num_in!R23)</f>
        <v>7410.2069492630453</v>
      </c>
      <c r="S23" s="132">
        <f>IF(SER_hh_tes_in!S23=0,0,11630*1000*SER_hh_tes_in!S23/SER_hh_num_in!S23)</f>
        <v>7546.3852543116091</v>
      </c>
      <c r="T23" s="132">
        <f>IF(SER_hh_tes_in!T23=0,0,11630*1000*SER_hh_tes_in!T23/SER_hh_num_in!T23)</f>
        <v>7213.5783608287011</v>
      </c>
      <c r="U23" s="132">
        <f>IF(SER_hh_tes_in!U23=0,0,11630*1000*SER_hh_tes_in!U23/SER_hh_num_in!U23)</f>
        <v>7412.4178420199114</v>
      </c>
      <c r="V23" s="132">
        <f>IF(SER_hh_tes_in!V23=0,0,11630*1000*SER_hh_tes_in!V23/SER_hh_num_in!V23)</f>
        <v>6804.6647531662675</v>
      </c>
      <c r="W23" s="132">
        <f>IF(SER_hh_tes_in!W23=0,0,11630*1000*SER_hh_tes_in!W23/SER_hh_num_in!W23)</f>
        <v>7243.5475939111038</v>
      </c>
      <c r="X23" s="132">
        <f>IF(SER_hh_tes_in!X23=0,0,11630*1000*SER_hh_tes_in!X23/SER_hh_num_in!X23)</f>
        <v>6988.1200408567393</v>
      </c>
      <c r="Y23" s="132">
        <f>IF(SER_hh_tes_in!Y23=0,0,11630*1000*SER_hh_tes_in!Y23/SER_hh_num_in!Y23)</f>
        <v>6814.6234986480249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0</v>
      </c>
      <c r="D24" s="132">
        <f>IF(SER_hh_tes_in!D24=0,0,11630*1000*SER_hh_tes_in!D24/SER_hh_num_in!D24)</f>
        <v>0</v>
      </c>
      <c r="E24" s="132">
        <f>IF(SER_hh_tes_in!E24=0,0,11630*1000*SER_hh_tes_in!E24/SER_hh_num_in!E24)</f>
        <v>0</v>
      </c>
      <c r="F24" s="132">
        <f>IF(SER_hh_tes_in!F24=0,0,11630*1000*SER_hh_tes_in!F24/SER_hh_num_in!F24)</f>
        <v>0</v>
      </c>
      <c r="G24" s="132">
        <f>IF(SER_hh_tes_in!G24=0,0,11630*1000*SER_hh_tes_in!G24/SER_hh_num_in!G24)</f>
        <v>0</v>
      </c>
      <c r="H24" s="132">
        <f>IF(SER_hh_tes_in!H24=0,0,11630*1000*SER_hh_tes_in!H24/SER_hh_num_in!H24)</f>
        <v>0</v>
      </c>
      <c r="I24" s="132">
        <f>IF(SER_hh_tes_in!I24=0,0,11630*1000*SER_hh_tes_in!I24/SER_hh_num_in!I24)</f>
        <v>0</v>
      </c>
      <c r="J24" s="132">
        <f>IF(SER_hh_tes_in!J24=0,0,11630*1000*SER_hh_tes_in!J24/SER_hh_num_in!J24)</f>
        <v>0</v>
      </c>
      <c r="K24" s="132">
        <f>IF(SER_hh_tes_in!K24=0,0,11630*1000*SER_hh_tes_in!K24/SER_hh_num_in!K24)</f>
        <v>0</v>
      </c>
      <c r="L24" s="132">
        <f>IF(SER_hh_tes_in!L24=0,0,11630*1000*SER_hh_tes_in!L24/SER_hh_num_in!L24)</f>
        <v>0</v>
      </c>
      <c r="M24" s="132">
        <f>IF(SER_hh_tes_in!M24=0,0,11630*1000*SER_hh_tes_in!M24/SER_hh_num_in!M24)</f>
        <v>0</v>
      </c>
      <c r="N24" s="132">
        <f>IF(SER_hh_tes_in!N24=0,0,11630*1000*SER_hh_tes_in!N24/SER_hh_num_in!N24)</f>
        <v>0</v>
      </c>
      <c r="O24" s="132">
        <f>IF(SER_hh_tes_in!O24=0,0,11630*1000*SER_hh_tes_in!O24/SER_hh_num_in!O24)</f>
        <v>0</v>
      </c>
      <c r="P24" s="132">
        <f>IF(SER_hh_tes_in!P24=0,0,11630*1000*SER_hh_tes_in!P24/SER_hh_num_in!P24)</f>
        <v>0</v>
      </c>
      <c r="Q24" s="132">
        <f>IF(SER_hh_tes_in!Q24=0,0,11630*1000*SER_hh_tes_in!Q24/SER_hh_num_in!Q24)</f>
        <v>0</v>
      </c>
      <c r="R24" s="132">
        <f>IF(SER_hh_tes_in!R24=0,0,11630*1000*SER_hh_tes_in!R24/SER_hh_num_in!R24)</f>
        <v>0</v>
      </c>
      <c r="S24" s="132">
        <f>IF(SER_hh_tes_in!S24=0,0,11630*1000*SER_hh_tes_in!S24/SER_hh_num_in!S24)</f>
        <v>0</v>
      </c>
      <c r="T24" s="132">
        <f>IF(SER_hh_tes_in!T24=0,0,11630*1000*SER_hh_tes_in!T24/SER_hh_num_in!T24)</f>
        <v>0</v>
      </c>
      <c r="U24" s="132">
        <f>IF(SER_hh_tes_in!U24=0,0,11630*1000*SER_hh_tes_in!U24/SER_hh_num_in!U24)</f>
        <v>0</v>
      </c>
      <c r="V24" s="132">
        <f>IF(SER_hh_tes_in!V24=0,0,11630*1000*SER_hh_tes_in!V24/SER_hh_num_in!V24)</f>
        <v>0</v>
      </c>
      <c r="W24" s="132">
        <f>IF(SER_hh_tes_in!W24=0,0,11630*1000*SER_hh_tes_in!W24/SER_hh_num_in!W24)</f>
        <v>0</v>
      </c>
      <c r="X24" s="132">
        <f>IF(SER_hh_tes_in!X24=0,0,11630*1000*SER_hh_tes_in!X24/SER_hh_num_in!X24)</f>
        <v>0</v>
      </c>
      <c r="Y24" s="132">
        <f>IF(SER_hh_tes_in!Y24=0,0,11630*1000*SER_hh_tes_in!Y24/SER_hh_num_in!Y24)</f>
        <v>0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6969.2794811519698</v>
      </c>
      <c r="D25" s="132">
        <f>IF(SER_hh_tes_in!D25=0,0,11630*1000*SER_hh_tes_in!D25/SER_hh_num_in!D25)</f>
        <v>6810.2396881039567</v>
      </c>
      <c r="E25" s="132">
        <f>IF(SER_hh_tes_in!E25=0,0,11630*1000*SER_hh_tes_in!E25/SER_hh_num_in!E25)</f>
        <v>6637.7611846274767</v>
      </c>
      <c r="F25" s="132">
        <f>IF(SER_hh_tes_in!F25=0,0,11630*1000*SER_hh_tes_in!F25/SER_hh_num_in!F25)</f>
        <v>6629.0542550052205</v>
      </c>
      <c r="G25" s="132">
        <f>IF(SER_hh_tes_in!G25=0,0,11630*1000*SER_hh_tes_in!G25/SER_hh_num_in!G25)</f>
        <v>6471.927359773581</v>
      </c>
      <c r="H25" s="132">
        <f>IF(SER_hh_tes_in!H25=0,0,11630*1000*SER_hh_tes_in!H25/SER_hh_num_in!H25)</f>
        <v>6558.1571855186003</v>
      </c>
      <c r="I25" s="132">
        <f>IF(SER_hh_tes_in!I25=0,0,11630*1000*SER_hh_tes_in!I25/SER_hh_num_in!I25)</f>
        <v>6528.6365163696018</v>
      </c>
      <c r="J25" s="132">
        <f>IF(SER_hh_tes_in!J25=0,0,11630*1000*SER_hh_tes_in!J25/SER_hh_num_in!J25)</f>
        <v>6543.9489530053243</v>
      </c>
      <c r="K25" s="132">
        <f>IF(SER_hh_tes_in!K25=0,0,11630*1000*SER_hh_tes_in!K25/SER_hh_num_in!K25)</f>
        <v>6243.9239338367261</v>
      </c>
      <c r="L25" s="132">
        <f>IF(SER_hh_tes_in!L25=0,0,11630*1000*SER_hh_tes_in!L25/SER_hh_num_in!L25)</f>
        <v>7044.0237009832899</v>
      </c>
      <c r="M25" s="132">
        <f>IF(SER_hh_tes_in!M25=0,0,11630*1000*SER_hh_tes_in!M25/SER_hh_num_in!M25)</f>
        <v>7158.7319686283972</v>
      </c>
      <c r="N25" s="132">
        <f>IF(SER_hh_tes_in!N25=0,0,11630*1000*SER_hh_tes_in!N25/SER_hh_num_in!N25)</f>
        <v>7165.1791619069354</v>
      </c>
      <c r="O25" s="132">
        <f>IF(SER_hh_tes_in!O25=0,0,11630*1000*SER_hh_tes_in!O25/SER_hh_num_in!O25)</f>
        <v>7293.4650032060163</v>
      </c>
      <c r="P25" s="132">
        <f>IF(SER_hh_tes_in!P25=0,0,11630*1000*SER_hh_tes_in!P25/SER_hh_num_in!P25)</f>
        <v>7035.750664492376</v>
      </c>
      <c r="Q25" s="132">
        <f>IF(SER_hh_tes_in!Q25=0,0,11630*1000*SER_hh_tes_in!Q25/SER_hh_num_in!Q25)</f>
        <v>7308.6609761369691</v>
      </c>
      <c r="R25" s="132">
        <f>IF(SER_hh_tes_in!R25=0,0,11630*1000*SER_hh_tes_in!R25/SER_hh_num_in!R25)</f>
        <v>7551.3563644665664</v>
      </c>
      <c r="S25" s="132">
        <f>IF(SER_hh_tes_in!S25=0,0,11630*1000*SER_hh_tes_in!S25/SER_hh_num_in!S25)</f>
        <v>7286.0438568469053</v>
      </c>
      <c r="T25" s="132">
        <f>IF(SER_hh_tes_in!T25=0,0,11630*1000*SER_hh_tes_in!T25/SER_hh_num_in!T25)</f>
        <v>7514.0156878099724</v>
      </c>
      <c r="U25" s="132">
        <f>IF(SER_hh_tes_in!U25=0,0,11630*1000*SER_hh_tes_in!U25/SER_hh_num_in!U25)</f>
        <v>7143.5243860017117</v>
      </c>
      <c r="V25" s="132">
        <f>IF(SER_hh_tes_in!V25=0,0,11630*1000*SER_hh_tes_in!V25/SER_hh_num_in!V25)</f>
        <v>6678.6197007762948</v>
      </c>
      <c r="W25" s="132">
        <f>IF(SER_hh_tes_in!W25=0,0,11630*1000*SER_hh_tes_in!W25/SER_hh_num_in!W25)</f>
        <v>7331.6177690253799</v>
      </c>
      <c r="X25" s="132">
        <f>IF(SER_hh_tes_in!X25=0,0,11630*1000*SER_hh_tes_in!X25/SER_hh_num_in!X25)</f>
        <v>6919.1114828902164</v>
      </c>
      <c r="Y25" s="132">
        <f>IF(SER_hh_tes_in!Y25=0,0,11630*1000*SER_hh_tes_in!Y25/SER_hh_num_in!Y25)</f>
        <v>6917.7889330177632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7030.3655881090926</v>
      </c>
      <c r="D26" s="65">
        <f>IF(SER_hh_tes_in!D26=0,0,11630*1000*SER_hh_tes_in!D26/SER_hh_num_in!D26)</f>
        <v>6888.1923824258274</v>
      </c>
      <c r="E26" s="65">
        <f>IF(SER_hh_tes_in!E26=0,0,11630*1000*SER_hh_tes_in!E26/SER_hh_num_in!E26)</f>
        <v>4597.5542409287182</v>
      </c>
      <c r="F26" s="65">
        <f>IF(SER_hh_tes_in!F26=0,0,11630*1000*SER_hh_tes_in!F26/SER_hh_num_in!F26)</f>
        <v>5881.1279843817165</v>
      </c>
      <c r="G26" s="65">
        <f>IF(SER_hh_tes_in!G26=0,0,11630*1000*SER_hh_tes_in!G26/SER_hh_num_in!G26)</f>
        <v>6236.6988181845509</v>
      </c>
      <c r="H26" s="65">
        <f>IF(SER_hh_tes_in!H26=0,0,11630*1000*SER_hh_tes_in!H26/SER_hh_num_in!H26)</f>
        <v>6196.6343001474906</v>
      </c>
      <c r="I26" s="65">
        <f>IF(SER_hh_tes_in!I26=0,0,11630*1000*SER_hh_tes_in!I26/SER_hh_num_in!I26)</f>
        <v>6185.8817468376938</v>
      </c>
      <c r="J26" s="65">
        <f>IF(SER_hh_tes_in!J26=0,0,11630*1000*SER_hh_tes_in!J26/SER_hh_num_in!J26)</f>
        <v>5551.9010804097261</v>
      </c>
      <c r="K26" s="65">
        <f>IF(SER_hh_tes_in!K26=0,0,11630*1000*SER_hh_tes_in!K26/SER_hh_num_in!K26)</f>
        <v>2858.8125728414552</v>
      </c>
      <c r="L26" s="65">
        <f>IF(SER_hh_tes_in!L26=0,0,11630*1000*SER_hh_tes_in!L26/SER_hh_num_in!L26)</f>
        <v>5023.7251606419513</v>
      </c>
      <c r="M26" s="65">
        <f>IF(SER_hh_tes_in!M26=0,0,11630*1000*SER_hh_tes_in!M26/SER_hh_num_in!M26)</f>
        <v>5725.484432681309</v>
      </c>
      <c r="N26" s="65">
        <f>IF(SER_hh_tes_in!N26=0,0,11630*1000*SER_hh_tes_in!N26/SER_hh_num_in!N26)</f>
        <v>5728.0927994078929</v>
      </c>
      <c r="O26" s="65">
        <f>IF(SER_hh_tes_in!O26=0,0,11630*1000*SER_hh_tes_in!O26/SER_hh_num_in!O26)</f>
        <v>6007.192193463251</v>
      </c>
      <c r="P26" s="65">
        <f>IF(SER_hh_tes_in!P26=0,0,11630*1000*SER_hh_tes_in!P26/SER_hh_num_in!P26)</f>
        <v>3066.5331865255694</v>
      </c>
      <c r="Q26" s="65">
        <f>IF(SER_hh_tes_in!Q26=0,0,11630*1000*SER_hh_tes_in!Q26/SER_hh_num_in!Q26)</f>
        <v>6513.634320518494</v>
      </c>
      <c r="R26" s="65">
        <f>IF(SER_hh_tes_in!R26=0,0,11630*1000*SER_hh_tes_in!R26/SER_hh_num_in!R26)</f>
        <v>6315.4562171909347</v>
      </c>
      <c r="S26" s="65">
        <f>IF(SER_hh_tes_in!S26=0,0,11630*1000*SER_hh_tes_in!S26/SER_hh_num_in!S26)</f>
        <v>5883.8926801572052</v>
      </c>
      <c r="T26" s="65">
        <f>IF(SER_hh_tes_in!T26=0,0,11630*1000*SER_hh_tes_in!T26/SER_hh_num_in!T26)</f>
        <v>5930.6584844807712</v>
      </c>
      <c r="U26" s="65">
        <f>IF(SER_hh_tes_in!U26=0,0,11630*1000*SER_hh_tes_in!U26/SER_hh_num_in!U26)</f>
        <v>5958.8132327504127</v>
      </c>
      <c r="V26" s="65">
        <f>IF(SER_hh_tes_in!V26=0,0,11630*1000*SER_hh_tes_in!V26/SER_hh_num_in!V26)</f>
        <v>4408.7763942105403</v>
      </c>
      <c r="W26" s="65">
        <f>IF(SER_hh_tes_in!W26=0,0,11630*1000*SER_hh_tes_in!W26/SER_hh_num_in!W26)</f>
        <v>6557.5814633553491</v>
      </c>
      <c r="X26" s="65">
        <f>IF(SER_hh_tes_in!X26=0,0,11630*1000*SER_hh_tes_in!X26/SER_hh_num_in!X26)</f>
        <v>5071.0006200110893</v>
      </c>
      <c r="Y26" s="65">
        <f>IF(SER_hh_tes_in!Y26=0,0,11630*1000*SER_hh_tes_in!Y26/SER_hh_num_in!Y26)</f>
        <v>7476.2039395981265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0</v>
      </c>
      <c r="D27" s="145">
        <f>IF(SER_hh_tes_in!D27=0,0,11630*1000*SER_hh_tes_in!D27/SER_hh_num_in!D19)</f>
        <v>0</v>
      </c>
      <c r="E27" s="145">
        <f>IF(SER_hh_tes_in!E27=0,0,11630*1000*SER_hh_tes_in!E27/SER_hh_num_in!E19)</f>
        <v>760.27854455454121</v>
      </c>
      <c r="F27" s="145">
        <f>IF(SER_hh_tes_in!F27=0,0,11630*1000*SER_hh_tes_in!F27/SER_hh_num_in!F19)</f>
        <v>242.48507273373124</v>
      </c>
      <c r="G27" s="145">
        <f>IF(SER_hh_tes_in!G27=0,0,11630*1000*SER_hh_tes_in!G27/SER_hh_num_in!G19)</f>
        <v>126.27438086088529</v>
      </c>
      <c r="H27" s="145">
        <f>IF(SER_hh_tes_in!H27=0,0,11630*1000*SER_hh_tes_in!H27/SER_hh_num_in!H19)</f>
        <v>151.54940598238872</v>
      </c>
      <c r="I27" s="145">
        <f>IF(SER_hh_tes_in!I27=0,0,11630*1000*SER_hh_tes_in!I27/SER_hh_num_in!I19)</f>
        <v>210.8517612812694</v>
      </c>
      <c r="J27" s="145">
        <f>IF(SER_hh_tes_in!J27=0,0,11630*1000*SER_hh_tes_in!J27/SER_hh_num_in!J19)</f>
        <v>452.62847433668583</v>
      </c>
      <c r="K27" s="145">
        <f>IF(SER_hh_tes_in!K27=0,0,11630*1000*SER_hh_tes_in!K27/SER_hh_num_in!K19)</f>
        <v>1227.4065688277069</v>
      </c>
      <c r="L27" s="145">
        <f>IF(SER_hh_tes_in!L27=0,0,11630*1000*SER_hh_tes_in!L27/SER_hh_num_in!L19)</f>
        <v>950.74906818015336</v>
      </c>
      <c r="M27" s="145">
        <f>IF(SER_hh_tes_in!M27=0,0,11630*1000*SER_hh_tes_in!M27/SER_hh_num_in!M19)</f>
        <v>678.26958591943003</v>
      </c>
      <c r="N27" s="145">
        <f>IF(SER_hh_tes_in!N27=0,0,11630*1000*SER_hh_tes_in!N27/SER_hh_num_in!N19)</f>
        <v>813.88594511416716</v>
      </c>
      <c r="O27" s="145">
        <f>IF(SER_hh_tes_in!O27=0,0,11630*1000*SER_hh_tes_in!O27/SER_hh_num_in!O19)</f>
        <v>628.61106541458196</v>
      </c>
      <c r="P27" s="145">
        <f>IF(SER_hh_tes_in!P27=0,0,11630*1000*SER_hh_tes_in!P27/SER_hh_num_in!P19)</f>
        <v>1290.9600245061067</v>
      </c>
      <c r="Q27" s="145">
        <f>IF(SER_hh_tes_in!Q27=0,0,11630*1000*SER_hh_tes_in!Q27/SER_hh_num_in!Q19)</f>
        <v>246.41774694742185</v>
      </c>
      <c r="R27" s="145">
        <f>IF(SER_hh_tes_in!R27=0,0,11630*1000*SER_hh_tes_in!R27/SER_hh_num_in!R19)</f>
        <v>403.97590868527107</v>
      </c>
      <c r="S27" s="145">
        <f>IF(SER_hh_tes_in!S27=0,0,11630*1000*SER_hh_tes_in!S27/SER_hh_num_in!S19)</f>
        <v>571.63637248167277</v>
      </c>
      <c r="T27" s="145">
        <f>IF(SER_hh_tes_in!T27=0,0,11630*1000*SER_hh_tes_in!T27/SER_hh_num_in!T19)</f>
        <v>709.28713520447195</v>
      </c>
      <c r="U27" s="145">
        <f>IF(SER_hh_tes_in!U27=0,0,11630*1000*SER_hh_tes_in!U27/SER_hh_num_in!U19)</f>
        <v>572.7424682029241</v>
      </c>
      <c r="V27" s="145">
        <f>IF(SER_hh_tes_in!V27=0,0,11630*1000*SER_hh_tes_in!V27/SER_hh_num_in!V19)</f>
        <v>1250.9262194664593</v>
      </c>
      <c r="W27" s="145">
        <f>IF(SER_hh_tes_in!W27=0,0,11630*1000*SER_hh_tes_in!W27/SER_hh_num_in!W19)</f>
        <v>0</v>
      </c>
      <c r="X27" s="145">
        <f>IF(SER_hh_tes_in!X27=0,0,11630*1000*SER_hh_tes_in!X27/SER_hh_num_in!X19)</f>
        <v>1318.4624301975316</v>
      </c>
      <c r="Y27" s="145">
        <f>IF(SER_hh_tes_in!Y27=0,0,11630*1000*SER_hh_tes_in!Y27/SER_hh_num_in!Y19)</f>
        <v>1.5837227281873583E-12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0</v>
      </c>
      <c r="D28" s="146">
        <f>IF(SER_hh_tes_in!D27=0,0,11630*1000*SER_hh_tes_in!D27/SER_hh_num_in!D27)</f>
        <v>0</v>
      </c>
      <c r="E28" s="146">
        <f>IF(SER_hh_tes_in!E27=0,0,11630*1000*SER_hh_tes_in!E27/SER_hh_num_in!E27)</f>
        <v>3487.9205970915327</v>
      </c>
      <c r="F28" s="146">
        <f>IF(SER_hh_tes_in!F27=0,0,11630*1000*SER_hh_tes_in!F27/SER_hh_num_in!F27)</f>
        <v>3369.9402538252289</v>
      </c>
      <c r="G28" s="146">
        <f>IF(SER_hh_tes_in!G27=0,0,11630*1000*SER_hh_tes_in!G27/SER_hh_num_in!G27)</f>
        <v>3446.1698709455554</v>
      </c>
      <c r="H28" s="146">
        <f>IF(SER_hh_tes_in!H27=0,0,11630*1000*SER_hh_tes_in!H27/SER_hh_num_in!H27)</f>
        <v>3321.4466279398757</v>
      </c>
      <c r="I28" s="146">
        <f>IF(SER_hh_tes_in!I27=0,0,11630*1000*SER_hh_tes_in!I27/SER_hh_num_in!I27)</f>
        <v>3385.00733418974</v>
      </c>
      <c r="J28" s="146">
        <f>IF(SER_hh_tes_in!J27=0,0,11630*1000*SER_hh_tes_in!J27/SER_hh_num_in!J27)</f>
        <v>3456.4912557222165</v>
      </c>
      <c r="K28" s="146">
        <f>IF(SER_hh_tes_in!K27=0,0,11630*1000*SER_hh_tes_in!K27/SER_hh_num_in!K27)</f>
        <v>3871.5637179012092</v>
      </c>
      <c r="L28" s="146">
        <f>IF(SER_hh_tes_in!L27=0,0,11630*1000*SER_hh_tes_in!L27/SER_hh_num_in!L27)</f>
        <v>3878.2135679904022</v>
      </c>
      <c r="M28" s="146">
        <f>IF(SER_hh_tes_in!M27=0,0,11630*1000*SER_hh_tes_in!M27/SER_hh_num_in!M27)</f>
        <v>4274.4219056871534</v>
      </c>
      <c r="N28" s="146">
        <f>IF(SER_hh_tes_in!N27=0,0,11630*1000*SER_hh_tes_in!N27/SER_hh_num_in!N27)</f>
        <v>4418.5953561269534</v>
      </c>
      <c r="O28" s="146">
        <f>IF(SER_hh_tes_in!O27=0,0,11630*1000*SER_hh_tes_in!O27/SER_hh_num_in!O27)</f>
        <v>4563.524938804816</v>
      </c>
      <c r="P28" s="146">
        <f>IF(SER_hh_tes_in!P27=0,0,11630*1000*SER_hh_tes_in!P27/SER_hh_num_in!P27)</f>
        <v>4282.1259310349024</v>
      </c>
      <c r="Q28" s="146">
        <f>IF(SER_hh_tes_in!Q27=0,0,11630*1000*SER_hh_tes_in!Q27/SER_hh_num_in!Q27)</f>
        <v>4512.3941953716176</v>
      </c>
      <c r="R28" s="146">
        <f>IF(SER_hh_tes_in!R27=0,0,11630*1000*SER_hh_tes_in!R27/SER_hh_num_in!R27)</f>
        <v>4673.6516140194744</v>
      </c>
      <c r="S28" s="146">
        <f>IF(SER_hh_tes_in!S27=0,0,11630*1000*SER_hh_tes_in!S27/SER_hh_num_in!S27)</f>
        <v>4665.3094238980129</v>
      </c>
      <c r="T28" s="146">
        <f>IF(SER_hh_tes_in!T27=0,0,11630*1000*SER_hh_tes_in!T27/SER_hh_num_in!T27)</f>
        <v>4553.022233165404</v>
      </c>
      <c r="U28" s="146">
        <f>IF(SER_hh_tes_in!U27=0,0,11630*1000*SER_hh_tes_in!U27/SER_hh_num_in!U27)</f>
        <v>4526.0341359983113</v>
      </c>
      <c r="V28" s="146">
        <f>IF(SER_hh_tes_in!V27=0,0,11630*1000*SER_hh_tes_in!V27/SER_hh_num_in!V27)</f>
        <v>4124.0434609732129</v>
      </c>
      <c r="W28" s="146">
        <f>IF(SER_hh_tes_in!W27=0,0,11630*1000*SER_hh_tes_in!W27/SER_hh_num_in!W27)</f>
        <v>0</v>
      </c>
      <c r="X28" s="146">
        <f>IF(SER_hh_tes_in!X27=0,0,11630*1000*SER_hh_tes_in!X27/SER_hh_num_in!X27)</f>
        <v>4224.4625677592167</v>
      </c>
      <c r="Y28" s="146">
        <f>IF(SER_hh_tes_in!Y27=0,0,11630*1000*SER_hh_tes_in!Y27/SER_hh_num_in!Y27)</f>
        <v>4822.6010342883128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7572.3118711751576</v>
      </c>
      <c r="D29" s="130">
        <f>IF(SER_hh_tes_in!D29=0,0,11630*1000*SER_hh_tes_in!D29/SER_hh_num_in!D29)</f>
        <v>7536.3265853555376</v>
      </c>
      <c r="E29" s="130">
        <f>IF(SER_hh_tes_in!E29=0,0,11630*1000*SER_hh_tes_in!E29/SER_hh_num_in!E29)</f>
        <v>7609.0774852369505</v>
      </c>
      <c r="F29" s="130">
        <f>IF(SER_hh_tes_in!F29=0,0,11630*1000*SER_hh_tes_in!F29/SER_hh_num_in!F29)</f>
        <v>7582.2242391680093</v>
      </c>
      <c r="G29" s="130">
        <f>IF(SER_hh_tes_in!G29=0,0,11630*1000*SER_hh_tes_in!G29/SER_hh_num_in!G29)</f>
        <v>7508.686983135236</v>
      </c>
      <c r="H29" s="130">
        <f>IF(SER_hh_tes_in!H29=0,0,11630*1000*SER_hh_tes_in!H29/SER_hh_num_in!H29)</f>
        <v>7548.9574418608036</v>
      </c>
      <c r="I29" s="130">
        <f>IF(SER_hh_tes_in!I29=0,0,11630*1000*SER_hh_tes_in!I29/SER_hh_num_in!I29)</f>
        <v>7468.097528458793</v>
      </c>
      <c r="J29" s="130">
        <f>IF(SER_hh_tes_in!J29=0,0,11630*1000*SER_hh_tes_in!J29/SER_hh_num_in!J29)</f>
        <v>7556.1955921112867</v>
      </c>
      <c r="K29" s="130">
        <f>IF(SER_hh_tes_in!K29=0,0,11630*1000*SER_hh_tes_in!K29/SER_hh_num_in!K29)</f>
        <v>8021.6200206228377</v>
      </c>
      <c r="L29" s="130">
        <f>IF(SER_hh_tes_in!L29=0,0,11630*1000*SER_hh_tes_in!L29/SER_hh_num_in!L29)</f>
        <v>8233.8107540242181</v>
      </c>
      <c r="M29" s="130">
        <f>IF(SER_hh_tes_in!M29=0,0,11630*1000*SER_hh_tes_in!M29/SER_hh_num_in!M29)</f>
        <v>8351.0483396057898</v>
      </c>
      <c r="N29" s="130">
        <f>IF(SER_hh_tes_in!N29=0,0,11630*1000*SER_hh_tes_in!N29/SER_hh_num_in!N29)</f>
        <v>8413.0964235488827</v>
      </c>
      <c r="O29" s="130">
        <f>IF(SER_hh_tes_in!O29=0,0,11630*1000*SER_hh_tes_in!O29/SER_hh_num_in!O29)</f>
        <v>8545.1127891756987</v>
      </c>
      <c r="P29" s="130">
        <f>IF(SER_hh_tes_in!P29=0,0,11630*1000*SER_hh_tes_in!P29/SER_hh_num_in!P29)</f>
        <v>8550.0655462461782</v>
      </c>
      <c r="Q29" s="130">
        <f>IF(SER_hh_tes_in!Q29=0,0,11630*1000*SER_hh_tes_in!Q29/SER_hh_num_in!Q29)</f>
        <v>8560.0225109744133</v>
      </c>
      <c r="R29" s="130">
        <f>IF(SER_hh_tes_in!R29=0,0,11630*1000*SER_hh_tes_in!R29/SER_hh_num_in!R29)</f>
        <v>8592.1466263640414</v>
      </c>
      <c r="S29" s="130">
        <f>IF(SER_hh_tes_in!S29=0,0,11630*1000*SER_hh_tes_in!S29/SER_hh_num_in!S29)</f>
        <v>8881.1511464712512</v>
      </c>
      <c r="T29" s="130">
        <f>IF(SER_hh_tes_in!T29=0,0,11630*1000*SER_hh_tes_in!T29/SER_hh_num_in!T29)</f>
        <v>8643.0361670617513</v>
      </c>
      <c r="U29" s="130">
        <f>IF(SER_hh_tes_in!U29=0,0,11630*1000*SER_hh_tes_in!U29/SER_hh_num_in!U29)</f>
        <v>8732.6022511127248</v>
      </c>
      <c r="V29" s="130">
        <f>IF(SER_hh_tes_in!V29=0,0,11630*1000*SER_hh_tes_in!V29/SER_hh_num_in!V29)</f>
        <v>8115.5152478112523</v>
      </c>
      <c r="W29" s="130">
        <f>IF(SER_hh_tes_in!W29=0,0,11630*1000*SER_hh_tes_in!W29/SER_hh_num_in!W29)</f>
        <v>8326.8982731687483</v>
      </c>
      <c r="X29" s="130">
        <f>IF(SER_hh_tes_in!X29=0,0,11630*1000*SER_hh_tes_in!X29/SER_hh_num_in!X29)</f>
        <v>8338.7471787931172</v>
      </c>
      <c r="Y29" s="130">
        <f>IF(SER_hh_tes_in!Y29=0,0,11630*1000*SER_hh_tes_in!Y29/SER_hh_num_in!Y29)</f>
        <v>8634.496792592061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0</v>
      </c>
      <c r="D30" s="132">
        <f>IF(SER_hh_tes_in!D30=0,0,11630*1000*SER_hh_tes_in!D30/SER_hh_num_in!D30)</f>
        <v>0</v>
      </c>
      <c r="E30" s="132">
        <f>IF(SER_hh_tes_in!E30=0,0,11630*1000*SER_hh_tes_in!E30/SER_hh_num_in!E30)</f>
        <v>0</v>
      </c>
      <c r="F30" s="132">
        <f>IF(SER_hh_tes_in!F30=0,0,11630*1000*SER_hh_tes_in!F30/SER_hh_num_in!F30)</f>
        <v>0</v>
      </c>
      <c r="G30" s="132">
        <f>IF(SER_hh_tes_in!G30=0,0,11630*1000*SER_hh_tes_in!G30/SER_hh_num_in!G30)</f>
        <v>0</v>
      </c>
      <c r="H30" s="132">
        <f>IF(SER_hh_tes_in!H30=0,0,11630*1000*SER_hh_tes_in!H30/SER_hh_num_in!H30)</f>
        <v>0</v>
      </c>
      <c r="I30" s="132">
        <f>IF(SER_hh_tes_in!I30=0,0,11630*1000*SER_hh_tes_in!I30/SER_hh_num_in!I30)</f>
        <v>0</v>
      </c>
      <c r="J30" s="132">
        <f>IF(SER_hh_tes_in!J30=0,0,11630*1000*SER_hh_tes_in!J30/SER_hh_num_in!J30)</f>
        <v>0</v>
      </c>
      <c r="K30" s="132">
        <f>IF(SER_hh_tes_in!K30=0,0,11630*1000*SER_hh_tes_in!K30/SER_hh_num_in!K30)</f>
        <v>0</v>
      </c>
      <c r="L30" s="132">
        <f>IF(SER_hh_tes_in!L30=0,0,11630*1000*SER_hh_tes_in!L30/SER_hh_num_in!L30)</f>
        <v>0</v>
      </c>
      <c r="M30" s="132">
        <f>IF(SER_hh_tes_in!M30=0,0,11630*1000*SER_hh_tes_in!M30/SER_hh_num_in!M30)</f>
        <v>0</v>
      </c>
      <c r="N30" s="132">
        <f>IF(SER_hh_tes_in!N30=0,0,11630*1000*SER_hh_tes_in!N30/SER_hh_num_in!N30)</f>
        <v>0</v>
      </c>
      <c r="O30" s="132">
        <f>IF(SER_hh_tes_in!O30=0,0,11630*1000*SER_hh_tes_in!O30/SER_hh_num_in!O30)</f>
        <v>0</v>
      </c>
      <c r="P30" s="132">
        <f>IF(SER_hh_tes_in!P30=0,0,11630*1000*SER_hh_tes_in!P30/SER_hh_num_in!P30)</f>
        <v>0</v>
      </c>
      <c r="Q30" s="132">
        <f>IF(SER_hh_tes_in!Q30=0,0,11630*1000*SER_hh_tes_in!Q30/SER_hh_num_in!Q30)</f>
        <v>0</v>
      </c>
      <c r="R30" s="132">
        <f>IF(SER_hh_tes_in!R30=0,0,11630*1000*SER_hh_tes_in!R30/SER_hh_num_in!R30)</f>
        <v>0</v>
      </c>
      <c r="S30" s="132">
        <f>IF(SER_hh_tes_in!S30=0,0,11630*1000*SER_hh_tes_in!S30/SER_hh_num_in!S30)</f>
        <v>0</v>
      </c>
      <c r="T30" s="132">
        <f>IF(SER_hh_tes_in!T30=0,0,11630*1000*SER_hh_tes_in!T30/SER_hh_num_in!T30)</f>
        <v>0</v>
      </c>
      <c r="U30" s="132">
        <f>IF(SER_hh_tes_in!U30=0,0,11630*1000*SER_hh_tes_in!U30/SER_hh_num_in!U30)</f>
        <v>0</v>
      </c>
      <c r="V30" s="132">
        <f>IF(SER_hh_tes_in!V30=0,0,11630*1000*SER_hh_tes_in!V30/SER_hh_num_in!V30)</f>
        <v>0</v>
      </c>
      <c r="W30" s="132">
        <f>IF(SER_hh_tes_in!W30=0,0,11630*1000*SER_hh_tes_in!W30/SER_hh_num_in!W30)</f>
        <v>0</v>
      </c>
      <c r="X30" s="132">
        <f>IF(SER_hh_tes_in!X30=0,0,11630*1000*SER_hh_tes_in!X30/SER_hh_num_in!X30)</f>
        <v>0</v>
      </c>
      <c r="Y30" s="132">
        <f>IF(SER_hh_tes_in!Y30=0,0,11630*1000*SER_hh_tes_in!Y30/SER_hh_num_in!Y30)</f>
        <v>0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7835.0077104061893</v>
      </c>
      <c r="D31" s="132">
        <f>IF(SER_hh_tes_in!D31=0,0,11630*1000*SER_hh_tes_in!D31/SER_hh_num_in!D31)</f>
        <v>7719.0280701481315</v>
      </c>
      <c r="E31" s="132">
        <f>IF(SER_hh_tes_in!E31=0,0,11630*1000*SER_hh_tes_in!E31/SER_hh_num_in!E31)</f>
        <v>7535.5625446901131</v>
      </c>
      <c r="F31" s="132">
        <f>IF(SER_hh_tes_in!F31=0,0,11630*1000*SER_hh_tes_in!F31/SER_hh_num_in!F31)</f>
        <v>7701.1923493708146</v>
      </c>
      <c r="G31" s="132">
        <f>IF(SER_hh_tes_in!G31=0,0,11630*1000*SER_hh_tes_in!G31/SER_hh_num_in!G31)</f>
        <v>7545.2778605106278</v>
      </c>
      <c r="H31" s="132">
        <f>IF(SER_hh_tes_in!H31=0,0,11630*1000*SER_hh_tes_in!H31/SER_hh_num_in!H31)</f>
        <v>7433.6870411265181</v>
      </c>
      <c r="I31" s="132">
        <f>IF(SER_hh_tes_in!I31=0,0,11630*1000*SER_hh_tes_in!I31/SER_hh_num_in!I31)</f>
        <v>7462.7916937623359</v>
      </c>
      <c r="J31" s="132">
        <f>IF(SER_hh_tes_in!J31=0,0,11630*1000*SER_hh_tes_in!J31/SER_hh_num_in!J31)</f>
        <v>7595.8918428695506</v>
      </c>
      <c r="K31" s="132">
        <f>IF(SER_hh_tes_in!K31=0,0,11630*1000*SER_hh_tes_in!K31/SER_hh_num_in!K31)</f>
        <v>8491.0864252739393</v>
      </c>
      <c r="L31" s="132">
        <f>IF(SER_hh_tes_in!L31=0,0,11630*1000*SER_hh_tes_in!L31/SER_hh_num_in!L31)</f>
        <v>8229.478268593688</v>
      </c>
      <c r="M31" s="132">
        <f>IF(SER_hh_tes_in!M31=0,0,11630*1000*SER_hh_tes_in!M31/SER_hh_num_in!M31)</f>
        <v>8339.4564150199622</v>
      </c>
      <c r="N31" s="132">
        <f>IF(SER_hh_tes_in!N31=0,0,11630*1000*SER_hh_tes_in!N31/SER_hh_num_in!N31)</f>
        <v>8413.7100779058001</v>
      </c>
      <c r="O31" s="132">
        <f>IF(SER_hh_tes_in!O31=0,0,11630*1000*SER_hh_tes_in!O31/SER_hh_num_in!O31)</f>
        <v>8483.9490912660913</v>
      </c>
      <c r="P31" s="132">
        <f>IF(SER_hh_tes_in!P31=0,0,11630*1000*SER_hh_tes_in!P31/SER_hh_num_in!P31)</f>
        <v>8504.5982515100241</v>
      </c>
      <c r="Q31" s="132">
        <f>IF(SER_hh_tes_in!Q31=0,0,11630*1000*SER_hh_tes_in!Q31/SER_hh_num_in!Q31)</f>
        <v>8252.8011149671147</v>
      </c>
      <c r="R31" s="132">
        <f>IF(SER_hh_tes_in!R31=0,0,11630*1000*SER_hh_tes_in!R31/SER_hh_num_in!R31)</f>
        <v>8510.5633089657076</v>
      </c>
      <c r="S31" s="132">
        <f>IF(SER_hh_tes_in!S31=0,0,11630*1000*SER_hh_tes_in!S31/SER_hh_num_in!S31)</f>
        <v>9166.9784363382969</v>
      </c>
      <c r="T31" s="132">
        <f>IF(SER_hh_tes_in!T31=0,0,11630*1000*SER_hh_tes_in!T31/SER_hh_num_in!T31)</f>
        <v>8462.1486896209444</v>
      </c>
      <c r="U31" s="132">
        <f>IF(SER_hh_tes_in!U31=0,0,11630*1000*SER_hh_tes_in!U31/SER_hh_num_in!U31)</f>
        <v>8950.3866860411108</v>
      </c>
      <c r="V31" s="132">
        <f>IF(SER_hh_tes_in!V31=0,0,11630*1000*SER_hh_tes_in!V31/SER_hh_num_in!V31)</f>
        <v>8333.6647574721137</v>
      </c>
      <c r="W31" s="132">
        <f>IF(SER_hh_tes_in!W31=0,0,11630*1000*SER_hh_tes_in!W31/SER_hh_num_in!W31)</f>
        <v>8533.671883939809</v>
      </c>
      <c r="X31" s="132">
        <f>IF(SER_hh_tes_in!X31=0,0,11630*1000*SER_hh_tes_in!X31/SER_hh_num_in!X31)</f>
        <v>8374.5235836057855</v>
      </c>
      <c r="Y31" s="132">
        <f>IF(SER_hh_tes_in!Y31=0,0,11630*1000*SER_hh_tes_in!Y31/SER_hh_num_in!Y31)</f>
        <v>8222.4374755699464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0</v>
      </c>
      <c r="D32" s="132">
        <f>IF(SER_hh_tes_in!D32=0,0,11630*1000*SER_hh_tes_in!D32/SER_hh_num_in!D32)</f>
        <v>0</v>
      </c>
      <c r="E32" s="132">
        <f>IF(SER_hh_tes_in!E32=0,0,11630*1000*SER_hh_tes_in!E32/SER_hh_num_in!E32)</f>
        <v>0</v>
      </c>
      <c r="F32" s="132">
        <f>IF(SER_hh_tes_in!F32=0,0,11630*1000*SER_hh_tes_in!F32/SER_hh_num_in!F32)</f>
        <v>0</v>
      </c>
      <c r="G32" s="132">
        <f>IF(SER_hh_tes_in!G32=0,0,11630*1000*SER_hh_tes_in!G32/SER_hh_num_in!G32)</f>
        <v>0</v>
      </c>
      <c r="H32" s="132">
        <f>IF(SER_hh_tes_in!H32=0,0,11630*1000*SER_hh_tes_in!H32/SER_hh_num_in!H32)</f>
        <v>0</v>
      </c>
      <c r="I32" s="132">
        <f>IF(SER_hh_tes_in!I32=0,0,11630*1000*SER_hh_tes_in!I32/SER_hh_num_in!I32)</f>
        <v>0</v>
      </c>
      <c r="J32" s="132">
        <f>IF(SER_hh_tes_in!J32=0,0,11630*1000*SER_hh_tes_in!J32/SER_hh_num_in!J32)</f>
        <v>0</v>
      </c>
      <c r="K32" s="132">
        <f>IF(SER_hh_tes_in!K32=0,0,11630*1000*SER_hh_tes_in!K32/SER_hh_num_in!K32)</f>
        <v>0</v>
      </c>
      <c r="L32" s="132">
        <f>IF(SER_hh_tes_in!L32=0,0,11630*1000*SER_hh_tes_in!L32/SER_hh_num_in!L32)</f>
        <v>0</v>
      </c>
      <c r="M32" s="132">
        <f>IF(SER_hh_tes_in!M32=0,0,11630*1000*SER_hh_tes_in!M32/SER_hh_num_in!M32)</f>
        <v>0</v>
      </c>
      <c r="N32" s="132">
        <f>IF(SER_hh_tes_in!N32=0,0,11630*1000*SER_hh_tes_in!N32/SER_hh_num_in!N32)</f>
        <v>0</v>
      </c>
      <c r="O32" s="132">
        <f>IF(SER_hh_tes_in!O32=0,0,11630*1000*SER_hh_tes_in!O32/SER_hh_num_in!O32)</f>
        <v>0</v>
      </c>
      <c r="P32" s="132">
        <f>IF(SER_hh_tes_in!P32=0,0,11630*1000*SER_hh_tes_in!P32/SER_hh_num_in!P32)</f>
        <v>0</v>
      </c>
      <c r="Q32" s="132">
        <f>IF(SER_hh_tes_in!Q32=0,0,11630*1000*SER_hh_tes_in!Q32/SER_hh_num_in!Q32)</f>
        <v>0</v>
      </c>
      <c r="R32" s="132">
        <f>IF(SER_hh_tes_in!R32=0,0,11630*1000*SER_hh_tes_in!R32/SER_hh_num_in!R32)</f>
        <v>0</v>
      </c>
      <c r="S32" s="132">
        <f>IF(SER_hh_tes_in!S32=0,0,11630*1000*SER_hh_tes_in!S32/SER_hh_num_in!S32)</f>
        <v>0</v>
      </c>
      <c r="T32" s="132">
        <f>IF(SER_hh_tes_in!T32=0,0,11630*1000*SER_hh_tes_in!T32/SER_hh_num_in!T32)</f>
        <v>0</v>
      </c>
      <c r="U32" s="132">
        <f>IF(SER_hh_tes_in!U32=0,0,11630*1000*SER_hh_tes_in!U32/SER_hh_num_in!U32)</f>
        <v>0</v>
      </c>
      <c r="V32" s="132">
        <f>IF(SER_hh_tes_in!V32=0,0,11630*1000*SER_hh_tes_in!V32/SER_hh_num_in!V32)</f>
        <v>0</v>
      </c>
      <c r="W32" s="132">
        <f>IF(SER_hh_tes_in!W32=0,0,11630*1000*SER_hh_tes_in!W32/SER_hh_num_in!W32)</f>
        <v>0</v>
      </c>
      <c r="X32" s="132">
        <f>IF(SER_hh_tes_in!X32=0,0,11630*1000*SER_hh_tes_in!X32/SER_hh_num_in!X32)</f>
        <v>0</v>
      </c>
      <c r="Y32" s="132">
        <f>IF(SER_hh_tes_in!Y32=0,0,11630*1000*SER_hh_tes_in!Y32/SER_hh_num_in!Y32)</f>
        <v>0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7261.9447990143899</v>
      </c>
      <c r="D33" s="68">
        <f>IF(SER_hh_tes_in!D33=0,0,11630*1000*SER_hh_tes_in!D33/SER_hh_num_in!D33)</f>
        <v>7324.5540789821462</v>
      </c>
      <c r="E33" s="68">
        <f>IF(SER_hh_tes_in!E33=0,0,11630*1000*SER_hh_tes_in!E33/SER_hh_num_in!E33)</f>
        <v>7681.8545165193727</v>
      </c>
      <c r="F33" s="68">
        <f>IF(SER_hh_tes_in!F33=0,0,11630*1000*SER_hh_tes_in!F33/SER_hh_num_in!F33)</f>
        <v>7485.5725268748592</v>
      </c>
      <c r="G33" s="68">
        <f>IF(SER_hh_tes_in!G33=0,0,11630*1000*SER_hh_tes_in!G33/SER_hh_num_in!G33)</f>
        <v>7473.7007904049942</v>
      </c>
      <c r="H33" s="68">
        <f>IF(SER_hh_tes_in!H33=0,0,11630*1000*SER_hh_tes_in!H33/SER_hh_num_in!H33)</f>
        <v>7639.7241331954592</v>
      </c>
      <c r="I33" s="68">
        <f>IF(SER_hh_tes_in!I33=0,0,11630*1000*SER_hh_tes_in!I33/SER_hh_num_in!I33)</f>
        <v>7473.3036193596336</v>
      </c>
      <c r="J33" s="68">
        <f>IF(SER_hh_tes_in!J33=0,0,11630*1000*SER_hh_tes_in!J33/SER_hh_num_in!J33)</f>
        <v>7513.1670089217159</v>
      </c>
      <c r="K33" s="68">
        <f>IF(SER_hh_tes_in!K33=0,0,11630*1000*SER_hh_tes_in!K33/SER_hh_num_in!K33)</f>
        <v>7493.2789425376886</v>
      </c>
      <c r="L33" s="68">
        <f>IF(SER_hh_tes_in!L33=0,0,11630*1000*SER_hh_tes_in!L33/SER_hh_num_in!L33)</f>
        <v>8238.9997340347527</v>
      </c>
      <c r="M33" s="68">
        <f>IF(SER_hh_tes_in!M33=0,0,11630*1000*SER_hh_tes_in!M33/SER_hh_num_in!M33)</f>
        <v>8359.1793113454441</v>
      </c>
      <c r="N33" s="68">
        <f>IF(SER_hh_tes_in!N33=0,0,11630*1000*SER_hh_tes_in!N33/SER_hh_num_in!N33)</f>
        <v>8412.6373889542665</v>
      </c>
      <c r="O33" s="68">
        <f>IF(SER_hh_tes_in!O33=0,0,11630*1000*SER_hh_tes_in!O33/SER_hh_num_in!O33)</f>
        <v>8598.3211397600826</v>
      </c>
      <c r="P33" s="68">
        <f>IF(SER_hh_tes_in!P33=0,0,11630*1000*SER_hh_tes_in!P33/SER_hh_num_in!P33)</f>
        <v>8591.762655228129</v>
      </c>
      <c r="Q33" s="68">
        <f>IF(SER_hh_tes_in!Q33=0,0,11630*1000*SER_hh_tes_in!Q33/SER_hh_num_in!Q33)</f>
        <v>8891.8872074790052</v>
      </c>
      <c r="R33" s="68">
        <f>IF(SER_hh_tes_in!R33=0,0,11630*1000*SER_hh_tes_in!R33/SER_hh_num_in!R33)</f>
        <v>8740.6096456436371</v>
      </c>
      <c r="S33" s="68">
        <f>IF(SER_hh_tes_in!S33=0,0,11630*1000*SER_hh_tes_in!S33/SER_hh_num_in!S33)</f>
        <v>8198.3468990342153</v>
      </c>
      <c r="T33" s="68">
        <f>IF(SER_hh_tes_in!T33=0,0,11630*1000*SER_hh_tes_in!T33/SER_hh_num_in!T33)</f>
        <v>8864.4379308080279</v>
      </c>
      <c r="U33" s="68">
        <f>IF(SER_hh_tes_in!U33=0,0,11630*1000*SER_hh_tes_in!U33/SER_hh_num_in!U33)</f>
        <v>8458.0916980074871</v>
      </c>
      <c r="V33" s="68">
        <f>IF(SER_hh_tes_in!V33=0,0,11630*1000*SER_hh_tes_in!V33/SER_hh_num_in!V33)</f>
        <v>7981.9801788710347</v>
      </c>
      <c r="W33" s="68">
        <f>IF(SER_hh_tes_in!W33=0,0,11630*1000*SER_hh_tes_in!W33/SER_hh_num_in!W33)</f>
        <v>8255.7629784751771</v>
      </c>
      <c r="X33" s="68">
        <f>IF(SER_hh_tes_in!X33=0,0,11630*1000*SER_hh_tes_in!X33/SER_hh_num_in!X33)</f>
        <v>8333.1256145083717</v>
      </c>
      <c r="Y33" s="68">
        <f>IF(SER_hh_tes_in!Y33=0,0,11630*1000*SER_hh_tes_in!Y33/SER_hh_num_in!Y33)</f>
        <v>8719.213937171935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17981.144654321673</v>
      </c>
      <c r="D3" s="125">
        <f>IF(SER_hh_emi_in!D3=0,0,1000000*SER_hh_emi_in!D3/SER_hh_num_in!D3)</f>
        <v>19875.133792856555</v>
      </c>
      <c r="E3" s="125">
        <f>IF(SER_hh_emi_in!E3=0,0,1000000*SER_hh_emi_in!E3/SER_hh_num_in!E3)</f>
        <v>25208.129098531594</v>
      </c>
      <c r="F3" s="125">
        <f>IF(SER_hh_emi_in!F3=0,0,1000000*SER_hh_emi_in!F3/SER_hh_num_in!F3)</f>
        <v>23071.113379327242</v>
      </c>
      <c r="G3" s="125">
        <f>IF(SER_hh_emi_in!G3=0,0,1000000*SER_hh_emi_in!G3/SER_hh_num_in!G3)</f>
        <v>16816.517123832182</v>
      </c>
      <c r="H3" s="125">
        <f>IF(SER_hh_emi_in!H3=0,0,1000000*SER_hh_emi_in!H3/SER_hh_num_in!H3)</f>
        <v>14115.050765360236</v>
      </c>
      <c r="I3" s="125">
        <f>IF(SER_hh_emi_in!I3=0,0,1000000*SER_hh_emi_in!I3/SER_hh_num_in!I3)</f>
        <v>12694.31533025379</v>
      </c>
      <c r="J3" s="125">
        <f>IF(SER_hh_emi_in!J3=0,0,1000000*SER_hh_emi_in!J3/SER_hh_num_in!J3)</f>
        <v>11759.680805009621</v>
      </c>
      <c r="K3" s="125">
        <f>IF(SER_hh_emi_in!K3=0,0,1000000*SER_hh_emi_in!K3/SER_hh_num_in!K3)</f>
        <v>3279.8775621219588</v>
      </c>
      <c r="L3" s="125">
        <f>IF(SER_hh_emi_in!L3=0,0,1000000*SER_hh_emi_in!L3/SER_hh_num_in!L3)</f>
        <v>7589.9386361007755</v>
      </c>
      <c r="M3" s="125">
        <f>IF(SER_hh_emi_in!M3=0,0,1000000*SER_hh_emi_in!M3/SER_hh_num_in!M3)</f>
        <v>8261.5367033052862</v>
      </c>
      <c r="N3" s="125">
        <f>IF(SER_hh_emi_in!N3=0,0,1000000*SER_hh_emi_in!N3/SER_hh_num_in!N3)</f>
        <v>7971.2569203441844</v>
      </c>
      <c r="O3" s="125">
        <f>IF(SER_hh_emi_in!O3=0,0,1000000*SER_hh_emi_in!O3/SER_hh_num_in!O3)</f>
        <v>8516.6395832299368</v>
      </c>
      <c r="P3" s="125">
        <f>IF(SER_hh_emi_in!P3=0,0,1000000*SER_hh_emi_in!P3/SER_hh_num_in!P3)</f>
        <v>8369.9437713560092</v>
      </c>
      <c r="Q3" s="125">
        <f>IF(SER_hh_emi_in!Q3=0,0,1000000*SER_hh_emi_in!Q3/SER_hh_num_in!Q3)</f>
        <v>8346.7114093648252</v>
      </c>
      <c r="R3" s="125">
        <f>IF(SER_hh_emi_in!R3=0,0,1000000*SER_hh_emi_in!R3/SER_hh_num_in!R3)</f>
        <v>6906.9378693385288</v>
      </c>
      <c r="S3" s="125">
        <f>IF(SER_hh_emi_in!S3=0,0,1000000*SER_hh_emi_in!S3/SER_hh_num_in!S3)</f>
        <v>7695.0895806872695</v>
      </c>
      <c r="T3" s="125">
        <f>IF(SER_hh_emi_in!T3=0,0,1000000*SER_hh_emi_in!T3/SER_hh_num_in!T3)</f>
        <v>5791.6523177434292</v>
      </c>
      <c r="U3" s="125">
        <f>IF(SER_hh_emi_in!U3=0,0,1000000*SER_hh_emi_in!U3/SER_hh_num_in!U3)</f>
        <v>6598.4065434853992</v>
      </c>
      <c r="V3" s="125">
        <f>IF(SER_hh_emi_in!V3=0,0,1000000*SER_hh_emi_in!V3/SER_hh_num_in!V3)</f>
        <v>4649.7495722830045</v>
      </c>
      <c r="W3" s="125">
        <f>IF(SER_hh_emi_in!W3=0,0,1000000*SER_hh_emi_in!W3/SER_hh_num_in!W3)</f>
        <v>3452.7612824824673</v>
      </c>
      <c r="X3" s="125">
        <f>IF(SER_hh_emi_in!X3=0,0,1000000*SER_hh_emi_in!X3/SER_hh_num_in!X3)</f>
        <v>2418.9601837056471</v>
      </c>
      <c r="Y3" s="125">
        <f>IF(SER_hh_emi_in!Y3=0,0,1000000*SER_hh_emi_in!Y3/SER_hh_num_in!Y3)</f>
        <v>2531.0563989135389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15607.8273216296</v>
      </c>
      <c r="D4" s="130">
        <f>IF(SER_hh_emi_in!D4=0,0,1000000*SER_hh_emi_in!D4/SER_hh_num_in!D4)</f>
        <v>17308.324063528333</v>
      </c>
      <c r="E4" s="130">
        <f>IF(SER_hh_emi_in!E4=0,0,1000000*SER_hh_emi_in!E4/SER_hh_num_in!E4)</f>
        <v>22915.226232360757</v>
      </c>
      <c r="F4" s="130">
        <f>IF(SER_hh_emi_in!F4=0,0,1000000*SER_hh_emi_in!F4/SER_hh_num_in!F4)</f>
        <v>20851.860984128154</v>
      </c>
      <c r="G4" s="130">
        <f>IF(SER_hh_emi_in!G4=0,0,1000000*SER_hh_emi_in!G4/SER_hh_num_in!G4)</f>
        <v>14574.363038480014</v>
      </c>
      <c r="H4" s="130">
        <f>IF(SER_hh_emi_in!H4=0,0,1000000*SER_hh_emi_in!H4/SER_hh_num_in!H4)</f>
        <v>11986.901012073577</v>
      </c>
      <c r="I4" s="130">
        <f>IF(SER_hh_emi_in!I4=0,0,1000000*SER_hh_emi_in!I4/SER_hh_num_in!I4)</f>
        <v>10256.975220253928</v>
      </c>
      <c r="J4" s="130">
        <f>IF(SER_hh_emi_in!J4=0,0,1000000*SER_hh_emi_in!J4/SER_hh_num_in!J4)</f>
        <v>9353.3399334121441</v>
      </c>
      <c r="K4" s="130">
        <f>IF(SER_hh_emi_in!K4=0,0,1000000*SER_hh_emi_in!K4/SER_hh_num_in!K4)</f>
        <v>430.05831379371051</v>
      </c>
      <c r="L4" s="130">
        <f>IF(SER_hh_emi_in!L4=0,0,1000000*SER_hh_emi_in!L4/SER_hh_num_in!L4)</f>
        <v>5199.6624780401498</v>
      </c>
      <c r="M4" s="130">
        <f>IF(SER_hh_emi_in!M4=0,0,1000000*SER_hh_emi_in!M4/SER_hh_num_in!M4)</f>
        <v>6246.0574136849082</v>
      </c>
      <c r="N4" s="130">
        <f>IF(SER_hh_emi_in!N4=0,0,1000000*SER_hh_emi_in!N4/SER_hh_num_in!N4)</f>
        <v>6068.862703045028</v>
      </c>
      <c r="O4" s="130">
        <f>IF(SER_hh_emi_in!O4=0,0,1000000*SER_hh_emi_in!O4/SER_hh_num_in!O4)</f>
        <v>6397.4345367203905</v>
      </c>
      <c r="P4" s="130">
        <f>IF(SER_hh_emi_in!P4=0,0,1000000*SER_hh_emi_in!P4/SER_hh_num_in!P4)</f>
        <v>6037.1700776216712</v>
      </c>
      <c r="Q4" s="130">
        <f>IF(SER_hh_emi_in!Q4=0,0,1000000*SER_hh_emi_in!Q4/SER_hh_num_in!Q4)</f>
        <v>5839.5605248726524</v>
      </c>
      <c r="R4" s="130">
        <f>IF(SER_hh_emi_in!R4=0,0,1000000*SER_hh_emi_in!R4/SER_hh_num_in!R4)</f>
        <v>4230.6792034643513</v>
      </c>
      <c r="S4" s="130">
        <f>IF(SER_hh_emi_in!S4=0,0,1000000*SER_hh_emi_in!S4/SER_hh_num_in!S4)</f>
        <v>4560.3075823523004</v>
      </c>
      <c r="T4" s="130">
        <f>IF(SER_hh_emi_in!T4=0,0,1000000*SER_hh_emi_in!T4/SER_hh_num_in!T4)</f>
        <v>3535.8797771463819</v>
      </c>
      <c r="U4" s="130">
        <f>IF(SER_hh_emi_in!U4=0,0,1000000*SER_hh_emi_in!U4/SER_hh_num_in!U4)</f>
        <v>4078.5258887151799</v>
      </c>
      <c r="V4" s="130">
        <f>IF(SER_hh_emi_in!V4=0,0,1000000*SER_hh_emi_in!V4/SER_hh_num_in!V4)</f>
        <v>2994.3562469689455</v>
      </c>
      <c r="W4" s="130">
        <f>IF(SER_hh_emi_in!W4=0,0,1000000*SER_hh_emi_in!W4/SER_hh_num_in!W4)</f>
        <v>2242.1388874054528</v>
      </c>
      <c r="X4" s="130">
        <f>IF(SER_hh_emi_in!X4=0,0,1000000*SER_hh_emi_in!X4/SER_hh_num_in!X4)</f>
        <v>1803.0199402249818</v>
      </c>
      <c r="Y4" s="130">
        <f>IF(SER_hh_emi_in!Y4=0,0,1000000*SER_hh_emi_in!Y4/SER_hh_num_in!Y4)</f>
        <v>1924.4595510688721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0</v>
      </c>
      <c r="D5" s="132">
        <f>IF(SER_hh_emi_in!D5=0,0,1000000*SER_hh_emi_in!D5/SER_hh_num_in!D5)</f>
        <v>0</v>
      </c>
      <c r="E5" s="132">
        <f>IF(SER_hh_emi_in!E5=0,0,1000000*SER_hh_emi_in!E5/SER_hh_num_in!E5)</f>
        <v>58765.64979572544</v>
      </c>
      <c r="F5" s="132">
        <f>IF(SER_hh_emi_in!F5=0,0,1000000*SER_hh_emi_in!F5/SER_hh_num_in!F5)</f>
        <v>62262.453617347033</v>
      </c>
      <c r="G5" s="132">
        <f>IF(SER_hh_emi_in!G5=0,0,1000000*SER_hh_emi_in!G5/SER_hh_num_in!G5)</f>
        <v>0</v>
      </c>
      <c r="H5" s="132">
        <f>IF(SER_hh_emi_in!H5=0,0,1000000*SER_hh_emi_in!H5/SER_hh_num_in!H5)</f>
        <v>0</v>
      </c>
      <c r="I5" s="132">
        <f>IF(SER_hh_emi_in!I5=0,0,1000000*SER_hh_emi_in!I5/SER_hh_num_in!I5)</f>
        <v>0</v>
      </c>
      <c r="J5" s="132">
        <f>IF(SER_hh_emi_in!J5=0,0,1000000*SER_hh_emi_in!J5/SER_hh_num_in!J5)</f>
        <v>0</v>
      </c>
      <c r="K5" s="132">
        <f>IF(SER_hh_emi_in!K5=0,0,1000000*SER_hh_emi_in!K5/SER_hh_num_in!K5)</f>
        <v>0</v>
      </c>
      <c r="L5" s="132">
        <f>IF(SER_hh_emi_in!L5=0,0,1000000*SER_hh_emi_in!L5/SER_hh_num_in!L5)</f>
        <v>0</v>
      </c>
      <c r="M5" s="132">
        <f>IF(SER_hh_emi_in!M5=0,0,1000000*SER_hh_emi_in!M5/SER_hh_num_in!M5)</f>
        <v>0</v>
      </c>
      <c r="N5" s="132">
        <f>IF(SER_hh_emi_in!N5=0,0,1000000*SER_hh_emi_in!N5/SER_hh_num_in!N5)</f>
        <v>21772.194978133135</v>
      </c>
      <c r="O5" s="132">
        <f>IF(SER_hh_emi_in!O5=0,0,1000000*SER_hh_emi_in!O5/SER_hh_num_in!O5)</f>
        <v>22641.132669896455</v>
      </c>
      <c r="P5" s="132">
        <f>IF(SER_hh_emi_in!P5=0,0,1000000*SER_hh_emi_in!P5/SER_hh_num_in!P5)</f>
        <v>18910.719312057739</v>
      </c>
      <c r="Q5" s="132">
        <f>IF(SER_hh_emi_in!Q5=0,0,1000000*SER_hh_emi_in!Q5/SER_hh_num_in!Q5)</f>
        <v>0</v>
      </c>
      <c r="R5" s="132">
        <f>IF(SER_hh_emi_in!R5=0,0,1000000*SER_hh_emi_in!R5/SER_hh_num_in!R5)</f>
        <v>18975.138441989311</v>
      </c>
      <c r="S5" s="132">
        <f>IF(SER_hh_emi_in!S5=0,0,1000000*SER_hh_emi_in!S5/SER_hh_num_in!S5)</f>
        <v>0</v>
      </c>
      <c r="T5" s="132">
        <f>IF(SER_hh_emi_in!T5=0,0,1000000*SER_hh_emi_in!T5/SER_hh_num_in!T5)</f>
        <v>0</v>
      </c>
      <c r="U5" s="132">
        <f>IF(SER_hh_emi_in!U5=0,0,1000000*SER_hh_emi_in!U5/SER_hh_num_in!U5)</f>
        <v>14920.212328498092</v>
      </c>
      <c r="V5" s="132">
        <f>IF(SER_hh_emi_in!V5=0,0,1000000*SER_hh_emi_in!V5/SER_hh_num_in!V5)</f>
        <v>10913.196502627718</v>
      </c>
      <c r="W5" s="132">
        <f>IF(SER_hh_emi_in!W5=0,0,1000000*SER_hh_emi_in!W5/SER_hh_num_in!W5)</f>
        <v>10451.629238905774</v>
      </c>
      <c r="X5" s="132">
        <f>IF(SER_hh_emi_in!X5=0,0,1000000*SER_hh_emi_in!X5/SER_hh_num_in!X5)</f>
        <v>10739.48261098693</v>
      </c>
      <c r="Y5" s="132">
        <f>IF(SER_hh_emi_in!Y5=0,0,1000000*SER_hh_emi_in!Y5/SER_hh_num_in!Y5)</f>
        <v>0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0</v>
      </c>
      <c r="D6" s="132">
        <f>IF(SER_hh_emi_in!D6=0,0,1000000*SER_hh_emi_in!D6/SER_hh_num_in!D6)</f>
        <v>0</v>
      </c>
      <c r="E6" s="132">
        <f>IF(SER_hh_emi_in!E6=0,0,1000000*SER_hh_emi_in!E6/SER_hh_num_in!E6)</f>
        <v>0</v>
      </c>
      <c r="F6" s="132">
        <f>IF(SER_hh_emi_in!F6=0,0,1000000*SER_hh_emi_in!F6/SER_hh_num_in!F6)</f>
        <v>0</v>
      </c>
      <c r="G6" s="132">
        <f>IF(SER_hh_emi_in!G6=0,0,1000000*SER_hh_emi_in!G6/SER_hh_num_in!G6)</f>
        <v>0</v>
      </c>
      <c r="H6" s="132">
        <f>IF(SER_hh_emi_in!H6=0,0,1000000*SER_hh_emi_in!H6/SER_hh_num_in!H6)</f>
        <v>0</v>
      </c>
      <c r="I6" s="132">
        <f>IF(SER_hh_emi_in!I6=0,0,1000000*SER_hh_emi_in!I6/SER_hh_num_in!I6)</f>
        <v>0</v>
      </c>
      <c r="J6" s="132">
        <f>IF(SER_hh_emi_in!J6=0,0,1000000*SER_hh_emi_in!J6/SER_hh_num_in!J6)</f>
        <v>0</v>
      </c>
      <c r="K6" s="132">
        <f>IF(SER_hh_emi_in!K6=0,0,1000000*SER_hh_emi_in!K6/SER_hh_num_in!K6)</f>
        <v>0</v>
      </c>
      <c r="L6" s="132">
        <f>IF(SER_hh_emi_in!L6=0,0,1000000*SER_hh_emi_in!L6/SER_hh_num_in!L6)</f>
        <v>0</v>
      </c>
      <c r="M6" s="132">
        <f>IF(SER_hh_emi_in!M6=0,0,1000000*SER_hh_emi_in!M6/SER_hh_num_in!M6)</f>
        <v>0</v>
      </c>
      <c r="N6" s="132">
        <f>IF(SER_hh_emi_in!N6=0,0,1000000*SER_hh_emi_in!N6/SER_hh_num_in!N6)</f>
        <v>0</v>
      </c>
      <c r="O6" s="132">
        <f>IF(SER_hh_emi_in!O6=0,0,1000000*SER_hh_emi_in!O6/SER_hh_num_in!O6)</f>
        <v>0</v>
      </c>
      <c r="P6" s="132">
        <f>IF(SER_hh_emi_in!P6=0,0,1000000*SER_hh_emi_in!P6/SER_hh_num_in!P6)</f>
        <v>0</v>
      </c>
      <c r="Q6" s="132">
        <f>IF(SER_hh_emi_in!Q6=0,0,1000000*SER_hh_emi_in!Q6/SER_hh_num_in!Q6)</f>
        <v>0</v>
      </c>
      <c r="R6" s="132">
        <f>IF(SER_hh_emi_in!R6=0,0,1000000*SER_hh_emi_in!R6/SER_hh_num_in!R6)</f>
        <v>0</v>
      </c>
      <c r="S6" s="132">
        <f>IF(SER_hh_emi_in!S6=0,0,1000000*SER_hh_emi_in!S6/SER_hh_num_in!S6)</f>
        <v>0</v>
      </c>
      <c r="T6" s="132">
        <f>IF(SER_hh_emi_in!T6=0,0,1000000*SER_hh_emi_in!T6/SER_hh_num_in!T6)</f>
        <v>0</v>
      </c>
      <c r="U6" s="132">
        <f>IF(SER_hh_emi_in!U6=0,0,1000000*SER_hh_emi_in!U6/SER_hh_num_in!U6)</f>
        <v>0</v>
      </c>
      <c r="V6" s="132">
        <f>IF(SER_hh_emi_in!V6=0,0,1000000*SER_hh_emi_in!V6/SER_hh_num_in!V6)</f>
        <v>0</v>
      </c>
      <c r="W6" s="132">
        <f>IF(SER_hh_emi_in!W6=0,0,1000000*SER_hh_emi_in!W6/SER_hh_num_in!W6)</f>
        <v>0</v>
      </c>
      <c r="X6" s="132">
        <f>IF(SER_hh_emi_in!X6=0,0,1000000*SER_hh_emi_in!X6/SER_hh_num_in!X6)</f>
        <v>0</v>
      </c>
      <c r="Y6" s="132">
        <f>IF(SER_hh_emi_in!Y6=0,0,1000000*SER_hh_emi_in!Y6/SER_hh_num_in!Y6)</f>
        <v>0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19384.646855936069</v>
      </c>
      <c r="D7" s="132">
        <f>IF(SER_hh_emi_in!D7=0,0,1000000*SER_hh_emi_in!D7/SER_hh_num_in!D7)</f>
        <v>50012.337701292672</v>
      </c>
      <c r="E7" s="132">
        <f>IF(SER_hh_emi_in!E7=0,0,1000000*SER_hh_emi_in!E7/SER_hh_num_in!E7)</f>
        <v>38718.369339115459</v>
      </c>
      <c r="F7" s="132">
        <f>IF(SER_hh_emi_in!F7=0,0,1000000*SER_hh_emi_in!F7/SER_hh_num_in!F7)</f>
        <v>41287.181323385332</v>
      </c>
      <c r="G7" s="132">
        <f>IF(SER_hh_emi_in!G7=0,0,1000000*SER_hh_emi_in!G7/SER_hh_num_in!G7)</f>
        <v>27745.54144353676</v>
      </c>
      <c r="H7" s="132">
        <f>IF(SER_hh_emi_in!H7=0,0,1000000*SER_hh_emi_in!H7/SER_hh_num_in!H7)</f>
        <v>29455.410297361326</v>
      </c>
      <c r="I7" s="132">
        <f>IF(SER_hh_emi_in!I7=0,0,1000000*SER_hh_emi_in!I7/SER_hh_num_in!I7)</f>
        <v>26905.929814428528</v>
      </c>
      <c r="J7" s="132">
        <f>IF(SER_hh_emi_in!J7=0,0,1000000*SER_hh_emi_in!J7/SER_hh_num_in!J7)</f>
        <v>26956.537658566933</v>
      </c>
      <c r="K7" s="132">
        <f>IF(SER_hh_emi_in!K7=0,0,1000000*SER_hh_emi_in!K7/SER_hh_num_in!K7)</f>
        <v>0</v>
      </c>
      <c r="L7" s="132">
        <f>IF(SER_hh_emi_in!L7=0,0,1000000*SER_hh_emi_in!L7/SER_hh_num_in!L7)</f>
        <v>25056.164326375863</v>
      </c>
      <c r="M7" s="132">
        <f>IF(SER_hh_emi_in!M7=0,0,1000000*SER_hh_emi_in!M7/SER_hh_num_in!M7)</f>
        <v>17472.974269255679</v>
      </c>
      <c r="N7" s="132">
        <f>IF(SER_hh_emi_in!N7=0,0,1000000*SER_hh_emi_in!N7/SER_hh_num_in!N7)</f>
        <v>24325.232502499672</v>
      </c>
      <c r="O7" s="132">
        <f>IF(SER_hh_emi_in!O7=0,0,1000000*SER_hh_emi_in!O7/SER_hh_num_in!O7)</f>
        <v>16787.004380220867</v>
      </c>
      <c r="P7" s="132">
        <f>IF(SER_hh_emi_in!P7=0,0,1000000*SER_hh_emi_in!P7/SER_hh_num_in!P7)</f>
        <v>9926.9963231203074</v>
      </c>
      <c r="Q7" s="132">
        <f>IF(SER_hh_emi_in!Q7=0,0,1000000*SER_hh_emi_in!Q7/SER_hh_num_in!Q7)</f>
        <v>16683.449301938454</v>
      </c>
      <c r="R7" s="132">
        <f>IF(SER_hh_emi_in!R7=0,0,1000000*SER_hh_emi_in!R7/SER_hh_num_in!R7)</f>
        <v>14726.244191263066</v>
      </c>
      <c r="S7" s="132">
        <f>IF(SER_hh_emi_in!S7=0,0,1000000*SER_hh_emi_in!S7/SER_hh_num_in!S7)</f>
        <v>14561.852914850031</v>
      </c>
      <c r="T7" s="132">
        <f>IF(SER_hh_emi_in!T7=0,0,1000000*SER_hh_emi_in!T7/SER_hh_num_in!T7)</f>
        <v>0</v>
      </c>
      <c r="U7" s="132">
        <f>IF(SER_hh_emi_in!U7=0,0,1000000*SER_hh_emi_in!U7/SER_hh_num_in!U7)</f>
        <v>9125.4443541618257</v>
      </c>
      <c r="V7" s="132">
        <f>IF(SER_hh_emi_in!V7=0,0,1000000*SER_hh_emi_in!V7/SER_hh_num_in!V7)</f>
        <v>9687.7969488033723</v>
      </c>
      <c r="W7" s="132">
        <f>IF(SER_hh_emi_in!W7=0,0,1000000*SER_hh_emi_in!W7/SER_hh_num_in!W7)</f>
        <v>9329.7343818370537</v>
      </c>
      <c r="X7" s="132">
        <f>IF(SER_hh_emi_in!X7=0,0,1000000*SER_hh_emi_in!X7/SER_hh_num_in!X7)</f>
        <v>6969.4156530396785</v>
      </c>
      <c r="Y7" s="132">
        <f>IF(SER_hh_emi_in!Y7=0,0,1000000*SER_hh_emi_in!Y7/SER_hh_num_in!Y7)</f>
        <v>7874.0172658678321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0</v>
      </c>
      <c r="D8" s="132">
        <f>IF(SER_hh_emi_in!D8=0,0,1000000*SER_hh_emi_in!D8/SER_hh_num_in!D8)</f>
        <v>0</v>
      </c>
      <c r="E8" s="132">
        <f>IF(SER_hh_emi_in!E8=0,0,1000000*SER_hh_emi_in!E8/SER_hh_num_in!E8)</f>
        <v>0</v>
      </c>
      <c r="F8" s="132">
        <f>IF(SER_hh_emi_in!F8=0,0,1000000*SER_hh_emi_in!F8/SER_hh_num_in!F8)</f>
        <v>0</v>
      </c>
      <c r="G8" s="132">
        <f>IF(SER_hh_emi_in!G8=0,0,1000000*SER_hh_emi_in!G8/SER_hh_num_in!G8)</f>
        <v>3282.7145095315891</v>
      </c>
      <c r="H8" s="132">
        <f>IF(SER_hh_emi_in!H8=0,0,1000000*SER_hh_emi_in!H8/SER_hh_num_in!H8)</f>
        <v>3648.0663646069106</v>
      </c>
      <c r="I8" s="132">
        <f>IF(SER_hh_emi_in!I8=0,0,1000000*SER_hh_emi_in!I8/SER_hh_num_in!I8)</f>
        <v>3902.7720582542615</v>
      </c>
      <c r="J8" s="132">
        <f>IF(SER_hh_emi_in!J8=0,0,1000000*SER_hh_emi_in!J8/SER_hh_num_in!J8)</f>
        <v>4161.4783284186824</v>
      </c>
      <c r="K8" s="132">
        <f>IF(SER_hh_emi_in!K8=0,0,1000000*SER_hh_emi_in!K8/SER_hh_num_in!K8)</f>
        <v>3672.7574613441866</v>
      </c>
      <c r="L8" s="132">
        <f>IF(SER_hh_emi_in!L8=0,0,1000000*SER_hh_emi_in!L8/SER_hh_num_in!L8)</f>
        <v>3034.5704669676243</v>
      </c>
      <c r="M8" s="132">
        <f>IF(SER_hh_emi_in!M8=0,0,1000000*SER_hh_emi_in!M8/SER_hh_num_in!M8)</f>
        <v>2668.6442563245309</v>
      </c>
      <c r="N8" s="132">
        <f>IF(SER_hh_emi_in!N8=0,0,1000000*SER_hh_emi_in!N8/SER_hh_num_in!N8)</f>
        <v>2183.1296901922365</v>
      </c>
      <c r="O8" s="132">
        <f>IF(SER_hh_emi_in!O8=0,0,1000000*SER_hh_emi_in!O8/SER_hh_num_in!O8)</f>
        <v>2239.9899369059021</v>
      </c>
      <c r="P8" s="132">
        <f>IF(SER_hh_emi_in!P8=0,0,1000000*SER_hh_emi_in!P8/SER_hh_num_in!P8)</f>
        <v>2301.1123861812157</v>
      </c>
      <c r="Q8" s="132">
        <f>IF(SER_hh_emi_in!Q8=0,0,1000000*SER_hh_emi_in!Q8/SER_hh_num_in!Q8)</f>
        <v>2002.7183309848865</v>
      </c>
      <c r="R8" s="132">
        <f>IF(SER_hh_emi_in!R8=0,0,1000000*SER_hh_emi_in!R8/SER_hh_num_in!R8)</f>
        <v>1807.5214457177653</v>
      </c>
      <c r="S8" s="132">
        <f>IF(SER_hh_emi_in!S8=0,0,1000000*SER_hh_emi_in!S8/SER_hh_num_in!S8)</f>
        <v>1645.1377403640886</v>
      </c>
      <c r="T8" s="132">
        <f>IF(SER_hh_emi_in!T8=0,0,1000000*SER_hh_emi_in!T8/SER_hh_num_in!T8)</f>
        <v>1500.0537854133504</v>
      </c>
      <c r="U8" s="132">
        <f>IF(SER_hh_emi_in!U8=0,0,1000000*SER_hh_emi_in!U8/SER_hh_num_in!U8)</f>
        <v>1417.3453889633317</v>
      </c>
      <c r="V8" s="132">
        <f>IF(SER_hh_emi_in!V8=0,0,1000000*SER_hh_emi_in!V8/SER_hh_num_in!V8)</f>
        <v>1247.3867599369689</v>
      </c>
      <c r="W8" s="132">
        <f>IF(SER_hh_emi_in!W8=0,0,1000000*SER_hh_emi_in!W8/SER_hh_num_in!W8)</f>
        <v>1035.7780280725217</v>
      </c>
      <c r="X8" s="132">
        <f>IF(SER_hh_emi_in!X8=0,0,1000000*SER_hh_emi_in!X8/SER_hh_num_in!X8)</f>
        <v>966.08778504416841</v>
      </c>
      <c r="Y8" s="132">
        <f>IF(SER_hh_emi_in!Y8=0,0,1000000*SER_hh_emi_in!Y8/SER_hh_num_in!Y8)</f>
        <v>914.44120410767835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32851.075555083524</v>
      </c>
      <c r="D9" s="132">
        <f>IF(SER_hh_emi_in!D9=0,0,1000000*SER_hh_emi_in!D9/SER_hh_num_in!D9)</f>
        <v>28423.157092377092</v>
      </c>
      <c r="E9" s="132">
        <f>IF(SER_hh_emi_in!E9=0,0,1000000*SER_hh_emi_in!E9/SER_hh_num_in!E9)</f>
        <v>27322.341554682367</v>
      </c>
      <c r="F9" s="132">
        <f>IF(SER_hh_emi_in!F9=0,0,1000000*SER_hh_emi_in!F9/SER_hh_num_in!F9)</f>
        <v>24702.375112778773</v>
      </c>
      <c r="G9" s="132">
        <f>IF(SER_hh_emi_in!G9=0,0,1000000*SER_hh_emi_in!G9/SER_hh_num_in!G9)</f>
        <v>22783.277825055058</v>
      </c>
      <c r="H9" s="132">
        <f>IF(SER_hh_emi_in!H9=0,0,1000000*SER_hh_emi_in!H9/SER_hh_num_in!H9)</f>
        <v>19449.171618807795</v>
      </c>
      <c r="I9" s="132">
        <f>IF(SER_hh_emi_in!I9=0,0,1000000*SER_hh_emi_in!I9/SER_hh_num_in!I9)</f>
        <v>17198.690565744131</v>
      </c>
      <c r="J9" s="132">
        <f>IF(SER_hh_emi_in!J9=0,0,1000000*SER_hh_emi_in!J9/SER_hh_num_in!J9)</f>
        <v>18132.389652807607</v>
      </c>
      <c r="K9" s="132">
        <f>IF(SER_hh_emi_in!K9=0,0,1000000*SER_hh_emi_in!K9/SER_hh_num_in!K9)</f>
        <v>0</v>
      </c>
      <c r="L9" s="132">
        <f>IF(SER_hh_emi_in!L9=0,0,1000000*SER_hh_emi_in!L9/SER_hh_num_in!L9)</f>
        <v>16528.85287607829</v>
      </c>
      <c r="M9" s="132">
        <f>IF(SER_hh_emi_in!M9=0,0,1000000*SER_hh_emi_in!M9/SER_hh_num_in!M9)</f>
        <v>15122.023840601991</v>
      </c>
      <c r="N9" s="132">
        <f>IF(SER_hh_emi_in!N9=0,0,1000000*SER_hh_emi_in!N9/SER_hh_num_in!N9)</f>
        <v>13316.203571659664</v>
      </c>
      <c r="O9" s="132">
        <f>IF(SER_hh_emi_in!O9=0,0,1000000*SER_hh_emi_in!O9/SER_hh_num_in!O9)</f>
        <v>11782.566906286362</v>
      </c>
      <c r="P9" s="132">
        <f>IF(SER_hh_emi_in!P9=0,0,1000000*SER_hh_emi_in!P9/SER_hh_num_in!P9)</f>
        <v>10348.295504920825</v>
      </c>
      <c r="Q9" s="132">
        <f>IF(SER_hh_emi_in!Q9=0,0,1000000*SER_hh_emi_in!Q9/SER_hh_num_in!Q9)</f>
        <v>9410.7534771519458</v>
      </c>
      <c r="R9" s="132">
        <f>IF(SER_hh_emi_in!R9=0,0,1000000*SER_hh_emi_in!R9/SER_hh_num_in!R9)</f>
        <v>9040.0131669184448</v>
      </c>
      <c r="S9" s="132">
        <f>IF(SER_hh_emi_in!S9=0,0,1000000*SER_hh_emi_in!S9/SER_hh_num_in!S9)</f>
        <v>9085.0335877688103</v>
      </c>
      <c r="T9" s="132">
        <f>IF(SER_hh_emi_in!T9=0,0,1000000*SER_hh_emi_in!T9/SER_hh_num_in!T9)</f>
        <v>7822.4812333025147</v>
      </c>
      <c r="U9" s="132">
        <f>IF(SER_hh_emi_in!U9=0,0,1000000*SER_hh_emi_in!U9/SER_hh_num_in!U9)</f>
        <v>7728.0237335497613</v>
      </c>
      <c r="V9" s="132">
        <f>IF(SER_hh_emi_in!V9=0,0,1000000*SER_hh_emi_in!V9/SER_hh_num_in!V9)</f>
        <v>6632.1956264272321</v>
      </c>
      <c r="W9" s="132">
        <f>IF(SER_hh_emi_in!W9=0,0,1000000*SER_hh_emi_in!W9/SER_hh_num_in!W9)</f>
        <v>5399.1738238072812</v>
      </c>
      <c r="X9" s="132">
        <f>IF(SER_hh_emi_in!X9=0,0,1000000*SER_hh_emi_in!X9/SER_hh_num_in!X9)</f>
        <v>5037.4750457729615</v>
      </c>
      <c r="Y9" s="132">
        <f>IF(SER_hh_emi_in!Y9=0,0,1000000*SER_hh_emi_in!Y9/SER_hh_num_in!Y9)</f>
        <v>4587.921526830537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36060.47239964945</v>
      </c>
      <c r="D10" s="132">
        <f>IF(SER_hh_emi_in!D10=0,0,1000000*SER_hh_emi_in!D10/SER_hh_num_in!D10)</f>
        <v>25941.694829365584</v>
      </c>
      <c r="E10" s="132">
        <f>IF(SER_hh_emi_in!E10=0,0,1000000*SER_hh_emi_in!E10/SER_hh_num_in!E10)</f>
        <v>24545.800956507512</v>
      </c>
      <c r="F10" s="132">
        <f>IF(SER_hh_emi_in!F10=0,0,1000000*SER_hh_emi_in!F10/SER_hh_num_in!F10)</f>
        <v>19688.317516994561</v>
      </c>
      <c r="G10" s="132">
        <f>IF(SER_hh_emi_in!G10=0,0,1000000*SER_hh_emi_in!G10/SER_hh_num_in!G10)</f>
        <v>19245.027424392367</v>
      </c>
      <c r="H10" s="132">
        <f>IF(SER_hh_emi_in!H10=0,0,1000000*SER_hh_emi_in!H10/SER_hh_num_in!H10)</f>
        <v>16201.401922651536</v>
      </c>
      <c r="I10" s="132">
        <f>IF(SER_hh_emi_in!I10=0,0,1000000*SER_hh_emi_in!I10/SER_hh_num_in!I10)</f>
        <v>19396.389548018811</v>
      </c>
      <c r="J10" s="132">
        <f>IF(SER_hh_emi_in!J10=0,0,1000000*SER_hh_emi_in!J10/SER_hh_num_in!J10)</f>
        <v>21208.319387341413</v>
      </c>
      <c r="K10" s="132">
        <f>IF(SER_hh_emi_in!K10=0,0,1000000*SER_hh_emi_in!K10/SER_hh_num_in!K10)</f>
        <v>17364.27370614549</v>
      </c>
      <c r="L10" s="132">
        <f>IF(SER_hh_emi_in!L10=0,0,1000000*SER_hh_emi_in!L10/SER_hh_num_in!L10)</f>
        <v>18855.921727803867</v>
      </c>
      <c r="M10" s="132">
        <f>IF(SER_hh_emi_in!M10=0,0,1000000*SER_hh_emi_in!M10/SER_hh_num_in!M10)</f>
        <v>15791.737829630254</v>
      </c>
      <c r="N10" s="132">
        <f>IF(SER_hh_emi_in!N10=0,0,1000000*SER_hh_emi_in!N10/SER_hh_num_in!N10)</f>
        <v>13987.137738883144</v>
      </c>
      <c r="O10" s="132">
        <f>IF(SER_hh_emi_in!O10=0,0,1000000*SER_hh_emi_in!O10/SER_hh_num_in!O10)</f>
        <v>13686.421861117802</v>
      </c>
      <c r="P10" s="132">
        <f>IF(SER_hh_emi_in!P10=0,0,1000000*SER_hh_emi_in!P10/SER_hh_num_in!P10)</f>
        <v>12778.025883388782</v>
      </c>
      <c r="Q10" s="132">
        <f>IF(SER_hh_emi_in!Q10=0,0,1000000*SER_hh_emi_in!Q10/SER_hh_num_in!Q10)</f>
        <v>13025.092080121605</v>
      </c>
      <c r="R10" s="132">
        <f>IF(SER_hh_emi_in!R10=0,0,1000000*SER_hh_emi_in!R10/SER_hh_num_in!R10)</f>
        <v>11449.777683007505</v>
      </c>
      <c r="S10" s="132">
        <f>IF(SER_hh_emi_in!S10=0,0,1000000*SER_hh_emi_in!S10/SER_hh_num_in!S10)</f>
        <v>11242.327215568597</v>
      </c>
      <c r="T10" s="132">
        <f>IF(SER_hh_emi_in!T10=0,0,1000000*SER_hh_emi_in!T10/SER_hh_num_in!T10)</f>
        <v>11106.493061132282</v>
      </c>
      <c r="U10" s="132">
        <f>IF(SER_hh_emi_in!U10=0,0,1000000*SER_hh_emi_in!U10/SER_hh_num_in!U10)</f>
        <v>11142.402295597876</v>
      </c>
      <c r="V10" s="132">
        <f>IF(SER_hh_emi_in!V10=0,0,1000000*SER_hh_emi_in!V10/SER_hh_num_in!V10)</f>
        <v>9116.3477663761951</v>
      </c>
      <c r="W10" s="132">
        <f>IF(SER_hh_emi_in!W10=0,0,1000000*SER_hh_emi_in!W10/SER_hh_num_in!W10)</f>
        <v>8146.9885720323782</v>
      </c>
      <c r="X10" s="132">
        <f>IF(SER_hh_emi_in!X10=0,0,1000000*SER_hh_emi_in!X10/SER_hh_num_in!X10)</f>
        <v>7713.473984798843</v>
      </c>
      <c r="Y10" s="132">
        <f>IF(SER_hh_emi_in!Y10=0,0,1000000*SER_hh_emi_in!Y10/SER_hh_num_in!Y10)</f>
        <v>6678.1241273129108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0</v>
      </c>
      <c r="D16" s="130">
        <f>IF(SER_hh_emi_in!D16=0,0,1000000*SER_hh_emi_in!D16/SER_hh_num_in!D16)</f>
        <v>0</v>
      </c>
      <c r="E16" s="130">
        <f>IF(SER_hh_emi_in!E16=0,0,1000000*SER_hh_emi_in!E16/SER_hh_num_in!E16)</f>
        <v>0</v>
      </c>
      <c r="F16" s="130">
        <f>IF(SER_hh_emi_in!F16=0,0,1000000*SER_hh_emi_in!F16/SER_hh_num_in!F16)</f>
        <v>0</v>
      </c>
      <c r="G16" s="130">
        <f>IF(SER_hh_emi_in!G16=0,0,1000000*SER_hh_emi_in!G16/SER_hh_num_in!G16)</f>
        <v>15.228657861292589</v>
      </c>
      <c r="H16" s="130">
        <f>IF(SER_hh_emi_in!H16=0,0,1000000*SER_hh_emi_in!H16/SER_hh_num_in!H16)</f>
        <v>3.4301184372433613</v>
      </c>
      <c r="I16" s="130">
        <f>IF(SER_hh_emi_in!I16=0,0,1000000*SER_hh_emi_in!I16/SER_hh_num_in!I16)</f>
        <v>6.8808703319497813</v>
      </c>
      <c r="J16" s="130">
        <f>IF(SER_hh_emi_in!J16=0,0,1000000*SER_hh_emi_in!J16/SER_hh_num_in!J16)</f>
        <v>1.4153584811843232</v>
      </c>
      <c r="K16" s="130">
        <f>IF(SER_hh_emi_in!K16=0,0,1000000*SER_hh_emi_in!K16/SER_hh_num_in!K16)</f>
        <v>11.276537850020434</v>
      </c>
      <c r="L16" s="130">
        <f>IF(SER_hh_emi_in!L16=0,0,1000000*SER_hh_emi_in!L16/SER_hh_num_in!L16)</f>
        <v>1.2382083376647195</v>
      </c>
      <c r="M16" s="130">
        <f>IF(SER_hh_emi_in!M16=0,0,1000000*SER_hh_emi_in!M16/SER_hh_num_in!M16)</f>
        <v>3.4197535092406697</v>
      </c>
      <c r="N16" s="130">
        <f>IF(SER_hh_emi_in!N16=0,0,1000000*SER_hh_emi_in!N16/SER_hh_num_in!N16)</f>
        <v>3.7420863520589203</v>
      </c>
      <c r="O16" s="130">
        <f>IF(SER_hh_emi_in!O16=0,0,1000000*SER_hh_emi_in!O16/SER_hh_num_in!O16)</f>
        <v>11.09054196329774</v>
      </c>
      <c r="P16" s="130">
        <f>IF(SER_hh_emi_in!P16=0,0,1000000*SER_hh_emi_in!P16/SER_hh_num_in!P16)</f>
        <v>20.325000162563274</v>
      </c>
      <c r="Q16" s="130">
        <f>IF(SER_hh_emi_in!Q16=0,0,1000000*SER_hh_emi_in!Q16/SER_hh_num_in!Q16)</f>
        <v>34.319484047653042</v>
      </c>
      <c r="R16" s="130">
        <f>IF(SER_hh_emi_in!R16=0,0,1000000*SER_hh_emi_in!R16/SER_hh_num_in!R16)</f>
        <v>16.387485588072355</v>
      </c>
      <c r="S16" s="130">
        <f>IF(SER_hh_emi_in!S16=0,0,1000000*SER_hh_emi_in!S16/SER_hh_num_in!S16)</f>
        <v>21.401047482826108</v>
      </c>
      <c r="T16" s="130">
        <f>IF(SER_hh_emi_in!T16=0,0,1000000*SER_hh_emi_in!T16/SER_hh_num_in!T16)</f>
        <v>20.748241232518158</v>
      </c>
      <c r="U16" s="130">
        <f>IF(SER_hh_emi_in!U16=0,0,1000000*SER_hh_emi_in!U16/SER_hh_num_in!U16)</f>
        <v>16.17651845700394</v>
      </c>
      <c r="V16" s="130">
        <f>IF(SER_hh_emi_in!V16=0,0,1000000*SER_hh_emi_in!V16/SER_hh_num_in!V16)</f>
        <v>24.270261899906654</v>
      </c>
      <c r="W16" s="130">
        <f>IF(SER_hh_emi_in!W16=0,0,1000000*SER_hh_emi_in!W16/SER_hh_num_in!W16)</f>
        <v>16.026432363345346</v>
      </c>
      <c r="X16" s="130">
        <f>IF(SER_hh_emi_in!X16=0,0,1000000*SER_hh_emi_in!X16/SER_hh_num_in!X16)</f>
        <v>13.65055341653632</v>
      </c>
      <c r="Y16" s="130">
        <f>IF(SER_hh_emi_in!Y16=0,0,1000000*SER_hh_emi_in!Y16/SER_hh_num_in!Y16)</f>
        <v>21.591987542808251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0</v>
      </c>
      <c r="D17" s="132">
        <f>IF(SER_hh_emi_in!D17=0,0,1000000*SER_hh_emi_in!D17/SER_hh_num_in!D17)</f>
        <v>0</v>
      </c>
      <c r="E17" s="132">
        <f>IF(SER_hh_emi_in!E17=0,0,1000000*SER_hh_emi_in!E17/SER_hh_num_in!E17)</f>
        <v>0</v>
      </c>
      <c r="F17" s="132">
        <f>IF(SER_hh_emi_in!F17=0,0,1000000*SER_hh_emi_in!F17/SER_hh_num_in!F17)</f>
        <v>0</v>
      </c>
      <c r="G17" s="132">
        <f>IF(SER_hh_emi_in!G17=0,0,1000000*SER_hh_emi_in!G17/SER_hh_num_in!G17)</f>
        <v>3996.5179928079651</v>
      </c>
      <c r="H17" s="132">
        <f>IF(SER_hh_emi_in!H17=0,0,1000000*SER_hh_emi_in!H17/SER_hh_num_in!H17)</f>
        <v>4010.6544335850963</v>
      </c>
      <c r="I17" s="132">
        <f>IF(SER_hh_emi_in!I17=0,0,1000000*SER_hh_emi_in!I17/SER_hh_num_in!I17)</f>
        <v>3876.3324631482642</v>
      </c>
      <c r="J17" s="132">
        <f>IF(SER_hh_emi_in!J17=0,0,1000000*SER_hh_emi_in!J17/SER_hh_num_in!J17)</f>
        <v>3717.1921127688665</v>
      </c>
      <c r="K17" s="132">
        <f>IF(SER_hh_emi_in!K17=0,0,1000000*SER_hh_emi_in!K17/SER_hh_num_in!K17)</f>
        <v>3617.7171881150152</v>
      </c>
      <c r="L17" s="132">
        <f>IF(SER_hh_emi_in!L17=0,0,1000000*SER_hh_emi_in!L17/SER_hh_num_in!L17)</f>
        <v>3598.2608638538381</v>
      </c>
      <c r="M17" s="132">
        <f>IF(SER_hh_emi_in!M17=0,0,1000000*SER_hh_emi_in!M17/SER_hh_num_in!M17)</f>
        <v>3445.2170694989895</v>
      </c>
      <c r="N17" s="132">
        <f>IF(SER_hh_emi_in!N17=0,0,1000000*SER_hh_emi_in!N17/SER_hh_num_in!N17)</f>
        <v>3369.0513641118769</v>
      </c>
      <c r="O17" s="132">
        <f>IF(SER_hh_emi_in!O17=0,0,1000000*SER_hh_emi_in!O17/SER_hh_num_in!O17)</f>
        <v>3415.0151215067131</v>
      </c>
      <c r="P17" s="132">
        <f>IF(SER_hh_emi_in!P17=0,0,1000000*SER_hh_emi_in!P17/SER_hh_num_in!P17)</f>
        <v>3213.6966379158575</v>
      </c>
      <c r="Q17" s="132">
        <f>IF(SER_hh_emi_in!Q17=0,0,1000000*SER_hh_emi_in!Q17/SER_hh_num_in!Q17)</f>
        <v>3776.0554225553005</v>
      </c>
      <c r="R17" s="132">
        <f>IF(SER_hh_emi_in!R17=0,0,1000000*SER_hh_emi_in!R17/SER_hh_num_in!R17)</f>
        <v>3101.5227524542806</v>
      </c>
      <c r="S17" s="132">
        <f>IF(SER_hh_emi_in!S17=0,0,1000000*SER_hh_emi_in!S17/SER_hh_num_in!S17)</f>
        <v>3047.7762646182796</v>
      </c>
      <c r="T17" s="132">
        <f>IF(SER_hh_emi_in!T17=0,0,1000000*SER_hh_emi_in!T17/SER_hh_num_in!T17)</f>
        <v>3242.5867310460812</v>
      </c>
      <c r="U17" s="132">
        <f>IF(SER_hh_emi_in!U17=0,0,1000000*SER_hh_emi_in!U17/SER_hh_num_in!U17)</f>
        <v>2876.8162731007324</v>
      </c>
      <c r="V17" s="132">
        <f>IF(SER_hh_emi_in!V17=0,0,1000000*SER_hh_emi_in!V17/SER_hh_num_in!V17)</f>
        <v>2614.1491664363075</v>
      </c>
      <c r="W17" s="132">
        <f>IF(SER_hh_emi_in!W17=0,0,1000000*SER_hh_emi_in!W17/SER_hh_num_in!W17)</f>
        <v>2376.3497735609549</v>
      </c>
      <c r="X17" s="132">
        <f>IF(SER_hh_emi_in!X17=0,0,1000000*SER_hh_emi_in!X17/SER_hh_num_in!X17)</f>
        <v>2513.3358221425833</v>
      </c>
      <c r="Y17" s="132">
        <f>IF(SER_hh_emi_in!Y17=0,0,1000000*SER_hh_emi_in!Y17/SER_hh_num_in!Y17)</f>
        <v>2607.492642935526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907.58703850343932</v>
      </c>
      <c r="D19" s="130">
        <f>IF(SER_hh_emi_in!D19=0,0,1000000*SER_hh_emi_in!D19/SER_hh_num_in!D19)</f>
        <v>1138.2098772742665</v>
      </c>
      <c r="E19" s="130">
        <f>IF(SER_hh_emi_in!E19=0,0,1000000*SER_hh_emi_in!E19/SER_hh_num_in!E19)</f>
        <v>1017.7895530306101</v>
      </c>
      <c r="F19" s="130">
        <f>IF(SER_hh_emi_in!F19=0,0,1000000*SER_hh_emi_in!F19/SER_hh_num_in!F19)</f>
        <v>1048.5834488992391</v>
      </c>
      <c r="G19" s="130">
        <f>IF(SER_hh_emi_in!G19=0,0,1000000*SER_hh_emi_in!G19/SER_hh_num_in!G19)</f>
        <v>980.07144623198826</v>
      </c>
      <c r="H19" s="130">
        <f>IF(SER_hh_emi_in!H19=0,0,1000000*SER_hh_emi_in!H19/SER_hh_num_in!H19)</f>
        <v>1017.9248901694306</v>
      </c>
      <c r="I19" s="130">
        <f>IF(SER_hh_emi_in!I19=0,0,1000000*SER_hh_emi_in!I19/SER_hh_num_in!I19)</f>
        <v>1182.233447840538</v>
      </c>
      <c r="J19" s="130">
        <f>IF(SER_hh_emi_in!J19=0,0,1000000*SER_hh_emi_in!J19/SER_hh_num_in!J19)</f>
        <v>1069.8720545139674</v>
      </c>
      <c r="K19" s="130">
        <f>IF(SER_hh_emi_in!K19=0,0,1000000*SER_hh_emi_in!K19/SER_hh_num_in!K19)</f>
        <v>1322.1241097333134</v>
      </c>
      <c r="L19" s="130">
        <f>IF(SER_hh_emi_in!L19=0,0,1000000*SER_hh_emi_in!L19/SER_hh_num_in!L19)</f>
        <v>879.59577220389565</v>
      </c>
      <c r="M19" s="130">
        <f>IF(SER_hh_emi_in!M19=0,0,1000000*SER_hh_emi_in!M19/SER_hh_num_in!M19)</f>
        <v>857.58721580055408</v>
      </c>
      <c r="N19" s="130">
        <f>IF(SER_hh_emi_in!N19=0,0,1000000*SER_hh_emi_in!N19/SER_hh_num_in!N19)</f>
        <v>690.426467246995</v>
      </c>
      <c r="O19" s="130">
        <f>IF(SER_hh_emi_in!O19=0,0,1000000*SER_hh_emi_in!O19/SER_hh_num_in!O19)</f>
        <v>785.4115770585538</v>
      </c>
      <c r="P19" s="130">
        <f>IF(SER_hh_emi_in!P19=0,0,1000000*SER_hh_emi_in!P19/SER_hh_num_in!P19)</f>
        <v>947.6153717344896</v>
      </c>
      <c r="Q19" s="130">
        <f>IF(SER_hh_emi_in!Q19=0,0,1000000*SER_hh_emi_in!Q19/SER_hh_num_in!Q19)</f>
        <v>1039.5034151882512</v>
      </c>
      <c r="R19" s="130">
        <f>IF(SER_hh_emi_in!R19=0,0,1000000*SER_hh_emi_in!R19/SER_hh_num_in!R19)</f>
        <v>837.77481626639837</v>
      </c>
      <c r="S19" s="130">
        <f>IF(SER_hh_emi_in!S19=0,0,1000000*SER_hh_emi_in!S19/SER_hh_num_in!S19)</f>
        <v>989.76081329497572</v>
      </c>
      <c r="T19" s="130">
        <f>IF(SER_hh_emi_in!T19=0,0,1000000*SER_hh_emi_in!T19/SER_hh_num_in!T19)</f>
        <v>724.94392513286482</v>
      </c>
      <c r="U19" s="130">
        <f>IF(SER_hh_emi_in!U19=0,0,1000000*SER_hh_emi_in!U19/SER_hh_num_in!U19)</f>
        <v>900.1400916604174</v>
      </c>
      <c r="V19" s="130">
        <f>IF(SER_hh_emi_in!V19=0,0,1000000*SER_hh_emi_in!V19/SER_hh_num_in!V19)</f>
        <v>623.23029985291203</v>
      </c>
      <c r="W19" s="130">
        <f>IF(SER_hh_emi_in!W19=0,0,1000000*SER_hh_emi_in!W19/SER_hh_num_in!W19)</f>
        <v>502.12955883621072</v>
      </c>
      <c r="X19" s="130">
        <f>IF(SER_hh_emi_in!X19=0,0,1000000*SER_hh_emi_in!X19/SER_hh_num_in!X19)</f>
        <v>243.4628284386051</v>
      </c>
      <c r="Y19" s="130">
        <f>IF(SER_hh_emi_in!Y19=0,0,1000000*SER_hh_emi_in!Y19/SER_hh_num_in!Y19)</f>
        <v>144.17550579738236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0</v>
      </c>
      <c r="D20" s="132">
        <f>IF(SER_hh_emi_in!D20=0,0,1000000*SER_hh_emi_in!D20/SER_hh_num_in!D20)</f>
        <v>0</v>
      </c>
      <c r="E20" s="132">
        <f>IF(SER_hh_emi_in!E20=0,0,1000000*SER_hh_emi_in!E20/SER_hh_num_in!E20)</f>
        <v>0</v>
      </c>
      <c r="F20" s="132">
        <f>IF(SER_hh_emi_in!F20=0,0,1000000*SER_hh_emi_in!F20/SER_hh_num_in!F20)</f>
        <v>0</v>
      </c>
      <c r="G20" s="132">
        <f>IF(SER_hh_emi_in!G20=0,0,1000000*SER_hh_emi_in!G20/SER_hh_num_in!G20)</f>
        <v>0</v>
      </c>
      <c r="H20" s="132">
        <f>IF(SER_hh_emi_in!H20=0,0,1000000*SER_hh_emi_in!H20/SER_hh_num_in!H20)</f>
        <v>0</v>
      </c>
      <c r="I20" s="132">
        <f>IF(SER_hh_emi_in!I20=0,0,1000000*SER_hh_emi_in!I20/SER_hh_num_in!I20)</f>
        <v>0</v>
      </c>
      <c r="J20" s="132">
        <f>IF(SER_hh_emi_in!J20=0,0,1000000*SER_hh_emi_in!J20/SER_hh_num_in!J20)</f>
        <v>0</v>
      </c>
      <c r="K20" s="132">
        <f>IF(SER_hh_emi_in!K20=0,0,1000000*SER_hh_emi_in!K20/SER_hh_num_in!K20)</f>
        <v>0</v>
      </c>
      <c r="L20" s="132">
        <f>IF(SER_hh_emi_in!L20=0,0,1000000*SER_hh_emi_in!L20/SER_hh_num_in!L20)</f>
        <v>0</v>
      </c>
      <c r="M20" s="132">
        <f>IF(SER_hh_emi_in!M20=0,0,1000000*SER_hh_emi_in!M20/SER_hh_num_in!M20)</f>
        <v>0</v>
      </c>
      <c r="N20" s="132">
        <f>IF(SER_hh_emi_in!N20=0,0,1000000*SER_hh_emi_in!N20/SER_hh_num_in!N20)</f>
        <v>0</v>
      </c>
      <c r="O20" s="132">
        <f>IF(SER_hh_emi_in!O20=0,0,1000000*SER_hh_emi_in!O20/SER_hh_num_in!O20)</f>
        <v>0</v>
      </c>
      <c r="P20" s="132">
        <f>IF(SER_hh_emi_in!P20=0,0,1000000*SER_hh_emi_in!P20/SER_hh_num_in!P20)</f>
        <v>0</v>
      </c>
      <c r="Q20" s="132">
        <f>IF(SER_hh_emi_in!Q20=0,0,1000000*SER_hh_emi_in!Q20/SER_hh_num_in!Q20)</f>
        <v>0</v>
      </c>
      <c r="R20" s="132">
        <f>IF(SER_hh_emi_in!R20=0,0,1000000*SER_hh_emi_in!R20/SER_hh_num_in!R20)</f>
        <v>0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0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0</v>
      </c>
      <c r="D21" s="132">
        <f>IF(SER_hh_emi_in!D21=0,0,1000000*SER_hh_emi_in!D21/SER_hh_num_in!D21)</f>
        <v>0</v>
      </c>
      <c r="E21" s="132">
        <f>IF(SER_hh_emi_in!E21=0,0,1000000*SER_hh_emi_in!E21/SER_hh_num_in!E21)</f>
        <v>0</v>
      </c>
      <c r="F21" s="132">
        <f>IF(SER_hh_emi_in!F21=0,0,1000000*SER_hh_emi_in!F21/SER_hh_num_in!F21)</f>
        <v>0</v>
      </c>
      <c r="G21" s="132">
        <f>IF(SER_hh_emi_in!G21=0,0,1000000*SER_hh_emi_in!G21/SER_hh_num_in!G21)</f>
        <v>0</v>
      </c>
      <c r="H21" s="132">
        <f>IF(SER_hh_emi_in!H21=0,0,1000000*SER_hh_emi_in!H21/SER_hh_num_in!H21)</f>
        <v>0</v>
      </c>
      <c r="I21" s="132">
        <f>IF(SER_hh_emi_in!I21=0,0,1000000*SER_hh_emi_in!I21/SER_hh_num_in!I21)</f>
        <v>0</v>
      </c>
      <c r="J21" s="132">
        <f>IF(SER_hh_emi_in!J21=0,0,1000000*SER_hh_emi_in!J21/SER_hh_num_in!J21)</f>
        <v>0</v>
      </c>
      <c r="K21" s="132">
        <f>IF(SER_hh_emi_in!K21=0,0,1000000*SER_hh_emi_in!K21/SER_hh_num_in!K21)</f>
        <v>0</v>
      </c>
      <c r="L21" s="132">
        <f>IF(SER_hh_emi_in!L21=0,0,1000000*SER_hh_emi_in!L21/SER_hh_num_in!L21)</f>
        <v>0</v>
      </c>
      <c r="M21" s="132">
        <f>IF(SER_hh_emi_in!M21=0,0,1000000*SER_hh_emi_in!M21/SER_hh_num_in!M21)</f>
        <v>0</v>
      </c>
      <c r="N21" s="132">
        <f>IF(SER_hh_emi_in!N21=0,0,1000000*SER_hh_emi_in!N21/SER_hh_num_in!N21)</f>
        <v>0</v>
      </c>
      <c r="O21" s="132">
        <f>IF(SER_hh_emi_in!O21=0,0,1000000*SER_hh_emi_in!O21/SER_hh_num_in!O21)</f>
        <v>0</v>
      </c>
      <c r="P21" s="132">
        <f>IF(SER_hh_emi_in!P21=0,0,1000000*SER_hh_emi_in!P21/SER_hh_num_in!P21)</f>
        <v>0</v>
      </c>
      <c r="Q21" s="132">
        <f>IF(SER_hh_emi_in!Q21=0,0,1000000*SER_hh_emi_in!Q21/SER_hh_num_in!Q21)</f>
        <v>0</v>
      </c>
      <c r="R21" s="132">
        <f>IF(SER_hh_emi_in!R21=0,0,1000000*SER_hh_emi_in!R21/SER_hh_num_in!R21)</f>
        <v>0</v>
      </c>
      <c r="S21" s="132">
        <f>IF(SER_hh_emi_in!S21=0,0,1000000*SER_hh_emi_in!S21/SER_hh_num_in!S21)</f>
        <v>0</v>
      </c>
      <c r="T21" s="132">
        <f>IF(SER_hh_emi_in!T21=0,0,1000000*SER_hh_emi_in!T21/SER_hh_num_in!T21)</f>
        <v>0</v>
      </c>
      <c r="U21" s="132">
        <f>IF(SER_hh_emi_in!U21=0,0,1000000*SER_hh_emi_in!U21/SER_hh_num_in!U21)</f>
        <v>0</v>
      </c>
      <c r="V21" s="132">
        <f>IF(SER_hh_emi_in!V21=0,0,1000000*SER_hh_emi_in!V21/SER_hh_num_in!V21)</f>
        <v>0</v>
      </c>
      <c r="W21" s="132">
        <f>IF(SER_hh_emi_in!W21=0,0,1000000*SER_hh_emi_in!W21/SER_hh_num_in!W21)</f>
        <v>0</v>
      </c>
      <c r="X21" s="132">
        <f>IF(SER_hh_emi_in!X21=0,0,1000000*SER_hh_emi_in!X21/SER_hh_num_in!X21)</f>
        <v>0</v>
      </c>
      <c r="Y21" s="132">
        <f>IF(SER_hh_emi_in!Y21=0,0,1000000*SER_hh_emi_in!Y21/SER_hh_num_in!Y21)</f>
        <v>0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0</v>
      </c>
      <c r="D22" s="132">
        <f>IF(SER_hh_emi_in!D22=0,0,1000000*SER_hh_emi_in!D22/SER_hh_num_in!D22)</f>
        <v>0</v>
      </c>
      <c r="E22" s="132">
        <f>IF(SER_hh_emi_in!E22=0,0,1000000*SER_hh_emi_in!E22/SER_hh_num_in!E22)</f>
        <v>0</v>
      </c>
      <c r="F22" s="132">
        <f>IF(SER_hh_emi_in!F22=0,0,1000000*SER_hh_emi_in!F22/SER_hh_num_in!F22)</f>
        <v>0</v>
      </c>
      <c r="G22" s="132">
        <f>IF(SER_hh_emi_in!G22=0,0,1000000*SER_hh_emi_in!G22/SER_hh_num_in!G22)</f>
        <v>0</v>
      </c>
      <c r="H22" s="132">
        <f>IF(SER_hh_emi_in!H22=0,0,1000000*SER_hh_emi_in!H22/SER_hh_num_in!H22)</f>
        <v>0</v>
      </c>
      <c r="I22" s="132">
        <f>IF(SER_hh_emi_in!I22=0,0,1000000*SER_hh_emi_in!I22/SER_hh_num_in!I22)</f>
        <v>0</v>
      </c>
      <c r="J22" s="132">
        <f>IF(SER_hh_emi_in!J22=0,0,1000000*SER_hh_emi_in!J22/SER_hh_num_in!J22)</f>
        <v>0</v>
      </c>
      <c r="K22" s="132">
        <f>IF(SER_hh_emi_in!K22=0,0,1000000*SER_hh_emi_in!K22/SER_hh_num_in!K22)</f>
        <v>0</v>
      </c>
      <c r="L22" s="132">
        <f>IF(SER_hh_emi_in!L22=0,0,1000000*SER_hh_emi_in!L22/SER_hh_num_in!L22)</f>
        <v>0</v>
      </c>
      <c r="M22" s="132">
        <f>IF(SER_hh_emi_in!M22=0,0,1000000*SER_hh_emi_in!M22/SER_hh_num_in!M22)</f>
        <v>0</v>
      </c>
      <c r="N22" s="132">
        <f>IF(SER_hh_emi_in!N22=0,0,1000000*SER_hh_emi_in!N22/SER_hh_num_in!N22)</f>
        <v>0</v>
      </c>
      <c r="O22" s="132">
        <f>IF(SER_hh_emi_in!O22=0,0,1000000*SER_hh_emi_in!O22/SER_hh_num_in!O22)</f>
        <v>0</v>
      </c>
      <c r="P22" s="132">
        <f>IF(SER_hh_emi_in!P22=0,0,1000000*SER_hh_emi_in!P22/SER_hh_num_in!P22)</f>
        <v>0</v>
      </c>
      <c r="Q22" s="132">
        <f>IF(SER_hh_emi_in!Q22=0,0,1000000*SER_hh_emi_in!Q22/SER_hh_num_in!Q22)</f>
        <v>0</v>
      </c>
      <c r="R22" s="132">
        <f>IF(SER_hh_emi_in!R22=0,0,1000000*SER_hh_emi_in!R22/SER_hh_num_in!R22)</f>
        <v>0</v>
      </c>
      <c r="S22" s="132">
        <f>IF(SER_hh_emi_in!S22=0,0,1000000*SER_hh_emi_in!S22/SER_hh_num_in!S22)</f>
        <v>0</v>
      </c>
      <c r="T22" s="132">
        <f>IF(SER_hh_emi_in!T22=0,0,1000000*SER_hh_emi_in!T22/SER_hh_num_in!T22)</f>
        <v>0</v>
      </c>
      <c r="U22" s="132">
        <f>IF(SER_hh_emi_in!U22=0,0,1000000*SER_hh_emi_in!U22/SER_hh_num_in!U22)</f>
        <v>0</v>
      </c>
      <c r="V22" s="132">
        <f>IF(SER_hh_emi_in!V22=0,0,1000000*SER_hh_emi_in!V22/SER_hh_num_in!V22)</f>
        <v>0</v>
      </c>
      <c r="W22" s="132">
        <f>IF(SER_hh_emi_in!W22=0,0,1000000*SER_hh_emi_in!W22/SER_hh_num_in!W22)</f>
        <v>0</v>
      </c>
      <c r="X22" s="132">
        <f>IF(SER_hh_emi_in!X22=0,0,1000000*SER_hh_emi_in!X22/SER_hh_num_in!X22)</f>
        <v>0</v>
      </c>
      <c r="Y22" s="132">
        <f>IF(SER_hh_emi_in!Y22=0,0,1000000*SER_hh_emi_in!Y22/SER_hh_num_in!Y22)</f>
        <v>0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2514.2765239547257</v>
      </c>
      <c r="D23" s="132">
        <f>IF(SER_hh_emi_in!D23=0,0,1000000*SER_hh_emi_in!D23/SER_hh_num_in!D23)</f>
        <v>2481.2078894809533</v>
      </c>
      <c r="E23" s="132">
        <f>IF(SER_hh_emi_in!E23=0,0,1000000*SER_hh_emi_in!E23/SER_hh_num_in!E23)</f>
        <v>2319.0848448681309</v>
      </c>
      <c r="F23" s="132">
        <f>IF(SER_hh_emi_in!F23=0,0,1000000*SER_hh_emi_in!F23/SER_hh_num_in!F23)</f>
        <v>2241.1668548780494</v>
      </c>
      <c r="G23" s="132">
        <f>IF(SER_hh_emi_in!G23=0,0,1000000*SER_hh_emi_in!G23/SER_hh_num_in!G23)</f>
        <v>2234.6528150934942</v>
      </c>
      <c r="H23" s="132">
        <f>IF(SER_hh_emi_in!H23=0,0,1000000*SER_hh_emi_in!H23/SER_hh_num_in!H23)</f>
        <v>2197.847537259388</v>
      </c>
      <c r="I23" s="132">
        <f>IF(SER_hh_emi_in!I23=0,0,1000000*SER_hh_emi_in!I23/SER_hh_num_in!I23)</f>
        <v>2112.3803281652058</v>
      </c>
      <c r="J23" s="132">
        <f>IF(SER_hh_emi_in!J23=0,0,1000000*SER_hh_emi_in!J23/SER_hh_num_in!J23)</f>
        <v>2092.6357687275727</v>
      </c>
      <c r="K23" s="132">
        <f>IF(SER_hh_emi_in!K23=0,0,1000000*SER_hh_emi_in!K23/SER_hh_num_in!K23)</f>
        <v>2164.1018758351438</v>
      </c>
      <c r="L23" s="132">
        <f>IF(SER_hh_emi_in!L23=0,0,1000000*SER_hh_emi_in!L23/SER_hh_num_in!L23)</f>
        <v>2314.0756647649791</v>
      </c>
      <c r="M23" s="132">
        <f>IF(SER_hh_emi_in!M23=0,0,1000000*SER_hh_emi_in!M23/SER_hh_num_in!M23)</f>
        <v>2223.5210560273076</v>
      </c>
      <c r="N23" s="132">
        <f>IF(SER_hh_emi_in!N23=0,0,1000000*SER_hh_emi_in!N23/SER_hh_num_in!N23)</f>
        <v>2147.4320069289647</v>
      </c>
      <c r="O23" s="132">
        <f>IF(SER_hh_emi_in!O23=0,0,1000000*SER_hh_emi_in!O23/SER_hh_num_in!O23)</f>
        <v>2081.0778350443657</v>
      </c>
      <c r="P23" s="132">
        <f>IF(SER_hh_emi_in!P23=0,0,1000000*SER_hh_emi_in!P23/SER_hh_num_in!P23)</f>
        <v>1957.0151440780555</v>
      </c>
      <c r="Q23" s="132">
        <f>IF(SER_hh_emi_in!Q23=0,0,1000000*SER_hh_emi_in!Q23/SER_hh_num_in!Q23)</f>
        <v>1969.547575455563</v>
      </c>
      <c r="R23" s="132">
        <f>IF(SER_hh_emi_in!R23=0,0,1000000*SER_hh_emi_in!R23/SER_hh_num_in!R23)</f>
        <v>1943.9519084376777</v>
      </c>
      <c r="S23" s="132">
        <f>IF(SER_hh_emi_in!S23=0,0,1000000*SER_hh_emi_in!S23/SER_hh_num_in!S23)</f>
        <v>1945.4869089693796</v>
      </c>
      <c r="T23" s="132">
        <f>IF(SER_hh_emi_in!T23=0,0,1000000*SER_hh_emi_in!T23/SER_hh_num_in!T23)</f>
        <v>1827.9033218724751</v>
      </c>
      <c r="U23" s="132">
        <f>IF(SER_hh_emi_in!U23=0,0,1000000*SER_hh_emi_in!U23/SER_hh_num_in!U23)</f>
        <v>1857.2814023796232</v>
      </c>
      <c r="V23" s="132">
        <f>IF(SER_hh_emi_in!V23=0,0,1000000*SER_hh_emi_in!V23/SER_hh_num_in!V23)</f>
        <v>1685.5690956046817</v>
      </c>
      <c r="W23" s="132">
        <f>IF(SER_hh_emi_in!W23=0,0,1000000*SER_hh_emi_in!W23/SER_hh_num_in!W23)</f>
        <v>1780.1874001577135</v>
      </c>
      <c r="X23" s="132">
        <f>IF(SER_hh_emi_in!X23=0,0,1000000*SER_hh_emi_in!X23/SER_hh_num_in!X23)</f>
        <v>1704.9715576594929</v>
      </c>
      <c r="Y23" s="132">
        <f>IF(SER_hh_emi_in!Y23=0,0,1000000*SER_hh_emi_in!Y23/SER_hh_num_in!Y23)</f>
        <v>1653.5409026787111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0</v>
      </c>
      <c r="D24" s="132">
        <f>IF(SER_hh_emi_in!D24=0,0,1000000*SER_hh_emi_in!D24/SER_hh_num_in!D24)</f>
        <v>0</v>
      </c>
      <c r="E24" s="132">
        <f>IF(SER_hh_emi_in!E24=0,0,1000000*SER_hh_emi_in!E24/SER_hh_num_in!E24)</f>
        <v>0</v>
      </c>
      <c r="F24" s="132">
        <f>IF(SER_hh_emi_in!F24=0,0,1000000*SER_hh_emi_in!F24/SER_hh_num_in!F24)</f>
        <v>0</v>
      </c>
      <c r="G24" s="132">
        <f>IF(SER_hh_emi_in!G24=0,0,1000000*SER_hh_emi_in!G24/SER_hh_num_in!G24)</f>
        <v>0</v>
      </c>
      <c r="H24" s="132">
        <f>IF(SER_hh_emi_in!H24=0,0,1000000*SER_hh_emi_in!H24/SER_hh_num_in!H24)</f>
        <v>0</v>
      </c>
      <c r="I24" s="132">
        <f>IF(SER_hh_emi_in!I24=0,0,1000000*SER_hh_emi_in!I24/SER_hh_num_in!I24)</f>
        <v>0</v>
      </c>
      <c r="J24" s="132">
        <f>IF(SER_hh_emi_in!J24=0,0,1000000*SER_hh_emi_in!J24/SER_hh_num_in!J24)</f>
        <v>0</v>
      </c>
      <c r="K24" s="132">
        <f>IF(SER_hh_emi_in!K24=0,0,1000000*SER_hh_emi_in!K24/SER_hh_num_in!K24)</f>
        <v>0</v>
      </c>
      <c r="L24" s="132">
        <f>IF(SER_hh_emi_in!L24=0,0,1000000*SER_hh_emi_in!L24/SER_hh_num_in!L24)</f>
        <v>0</v>
      </c>
      <c r="M24" s="132">
        <f>IF(SER_hh_emi_in!M24=0,0,1000000*SER_hh_emi_in!M24/SER_hh_num_in!M24)</f>
        <v>0</v>
      </c>
      <c r="N24" s="132">
        <f>IF(SER_hh_emi_in!N24=0,0,1000000*SER_hh_emi_in!N24/SER_hh_num_in!N24)</f>
        <v>0</v>
      </c>
      <c r="O24" s="132">
        <f>IF(SER_hh_emi_in!O24=0,0,1000000*SER_hh_emi_in!O24/SER_hh_num_in!O24)</f>
        <v>0</v>
      </c>
      <c r="P24" s="132">
        <f>IF(SER_hh_emi_in!P24=0,0,1000000*SER_hh_emi_in!P24/SER_hh_num_in!P24)</f>
        <v>0</v>
      </c>
      <c r="Q24" s="132">
        <f>IF(SER_hh_emi_in!Q24=0,0,1000000*SER_hh_emi_in!Q24/SER_hh_num_in!Q24)</f>
        <v>0</v>
      </c>
      <c r="R24" s="132">
        <f>IF(SER_hh_emi_in!R24=0,0,1000000*SER_hh_emi_in!R24/SER_hh_num_in!R24)</f>
        <v>0</v>
      </c>
      <c r="S24" s="132">
        <f>IF(SER_hh_emi_in!S24=0,0,1000000*SER_hh_emi_in!S24/SER_hh_num_in!S24)</f>
        <v>0</v>
      </c>
      <c r="T24" s="132">
        <f>IF(SER_hh_emi_in!T24=0,0,1000000*SER_hh_emi_in!T24/SER_hh_num_in!T24)</f>
        <v>0</v>
      </c>
      <c r="U24" s="132">
        <f>IF(SER_hh_emi_in!U24=0,0,1000000*SER_hh_emi_in!U24/SER_hh_num_in!U24)</f>
        <v>0</v>
      </c>
      <c r="V24" s="132">
        <f>IF(SER_hh_emi_in!V24=0,0,1000000*SER_hh_emi_in!V24/SER_hh_num_in!V24)</f>
        <v>0</v>
      </c>
      <c r="W24" s="132">
        <f>IF(SER_hh_emi_in!W24=0,0,1000000*SER_hh_emi_in!W24/SER_hh_num_in!W24)</f>
        <v>0</v>
      </c>
      <c r="X24" s="132">
        <f>IF(SER_hh_emi_in!X24=0,0,1000000*SER_hh_emi_in!X24/SER_hh_num_in!X24)</f>
        <v>0</v>
      </c>
      <c r="Y24" s="132">
        <f>IF(SER_hh_emi_in!Y24=0,0,1000000*SER_hh_emi_in!Y24/SER_hh_num_in!Y24)</f>
        <v>0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1465.7302941886362</v>
      </c>
      <c r="D29" s="130">
        <f>IF(SER_hh_emi_in!D29=0,0,1000000*SER_hh_emi_in!D29/SER_hh_num_in!D29)</f>
        <v>1428.5998520539533</v>
      </c>
      <c r="E29" s="130">
        <f>IF(SER_hh_emi_in!E29=0,0,1000000*SER_hh_emi_in!E29/SER_hh_num_in!E29)</f>
        <v>1275.1133131402253</v>
      </c>
      <c r="F29" s="130">
        <f>IF(SER_hh_emi_in!F29=0,0,1000000*SER_hh_emi_in!F29/SER_hh_num_in!F29)</f>
        <v>1170.6689462998472</v>
      </c>
      <c r="G29" s="130">
        <f>IF(SER_hh_emi_in!G29=0,0,1000000*SER_hh_emi_in!G29/SER_hh_num_in!G29)</f>
        <v>1251.863862690815</v>
      </c>
      <c r="H29" s="130">
        <f>IF(SER_hh_emi_in!H29=0,0,1000000*SER_hh_emi_in!H29/SER_hh_num_in!H29)</f>
        <v>1107.7226680368874</v>
      </c>
      <c r="I29" s="130">
        <f>IF(SER_hh_emi_in!I29=0,0,1000000*SER_hh_emi_in!I29/SER_hh_num_in!I29)</f>
        <v>1249.3739583676756</v>
      </c>
      <c r="J29" s="130">
        <f>IF(SER_hh_emi_in!J29=0,0,1000000*SER_hh_emi_in!J29/SER_hh_num_in!J29)</f>
        <v>1335.0534586023239</v>
      </c>
      <c r="K29" s="130">
        <f>IF(SER_hh_emi_in!K29=0,0,1000000*SER_hh_emi_in!K29/SER_hh_num_in!K29)</f>
        <v>1516.4186007449141</v>
      </c>
      <c r="L29" s="130">
        <f>IF(SER_hh_emi_in!L29=0,0,1000000*SER_hh_emi_in!L29/SER_hh_num_in!L29)</f>
        <v>1509.4421775190649</v>
      </c>
      <c r="M29" s="130">
        <f>IF(SER_hh_emi_in!M29=0,0,1000000*SER_hh_emi_in!M29/SER_hh_num_in!M29)</f>
        <v>1154.4723203105814</v>
      </c>
      <c r="N29" s="130">
        <f>IF(SER_hh_emi_in!N29=0,0,1000000*SER_hh_emi_in!N29/SER_hh_num_in!N29)</f>
        <v>1208.2256637001019</v>
      </c>
      <c r="O29" s="130">
        <f>IF(SER_hh_emi_in!O29=0,0,1000000*SER_hh_emi_in!O29/SER_hh_num_in!O29)</f>
        <v>1322.7029274876957</v>
      </c>
      <c r="P29" s="130">
        <f>IF(SER_hh_emi_in!P29=0,0,1000000*SER_hh_emi_in!P29/SER_hh_num_in!P29)</f>
        <v>1364.8333218372829</v>
      </c>
      <c r="Q29" s="130">
        <f>IF(SER_hh_emi_in!Q29=0,0,1000000*SER_hh_emi_in!Q29/SER_hh_num_in!Q29)</f>
        <v>1433.3279852562687</v>
      </c>
      <c r="R29" s="130">
        <f>IF(SER_hh_emi_in!R29=0,0,1000000*SER_hh_emi_in!R29/SER_hh_num_in!R29)</f>
        <v>1822.0963640197072</v>
      </c>
      <c r="S29" s="130">
        <f>IF(SER_hh_emi_in!S29=0,0,1000000*SER_hh_emi_in!S29/SER_hh_num_in!S29)</f>
        <v>2123.6201375571659</v>
      </c>
      <c r="T29" s="130">
        <f>IF(SER_hh_emi_in!T29=0,0,1000000*SER_hh_emi_in!T29/SER_hh_num_in!T29)</f>
        <v>1510.080374231665</v>
      </c>
      <c r="U29" s="130">
        <f>IF(SER_hh_emi_in!U29=0,0,1000000*SER_hh_emi_in!U29/SER_hh_num_in!U29)</f>
        <v>1603.5640446527975</v>
      </c>
      <c r="V29" s="130">
        <f>IF(SER_hh_emi_in!V29=0,0,1000000*SER_hh_emi_in!V29/SER_hh_num_in!V29)</f>
        <v>1007.8927635612392</v>
      </c>
      <c r="W29" s="130">
        <f>IF(SER_hh_emi_in!W29=0,0,1000000*SER_hh_emi_in!W29/SER_hh_num_in!W29)</f>
        <v>692.46640387745811</v>
      </c>
      <c r="X29" s="130">
        <f>IF(SER_hh_emi_in!X29=0,0,1000000*SER_hh_emi_in!X29/SER_hh_num_in!X29)</f>
        <v>358.82686162552369</v>
      </c>
      <c r="Y29" s="130">
        <f>IF(SER_hh_emi_in!Y29=0,0,1000000*SER_hh_emi_in!Y29/SER_hh_num_in!Y29)</f>
        <v>440.82935450447599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0</v>
      </c>
      <c r="D30" s="132">
        <f>IF(SER_hh_emi_in!D30=0,0,1000000*SER_hh_emi_in!D30/SER_hh_num_in!D30)</f>
        <v>0</v>
      </c>
      <c r="E30" s="132">
        <f>IF(SER_hh_emi_in!E30=0,0,1000000*SER_hh_emi_in!E30/SER_hh_num_in!E30)</f>
        <v>0</v>
      </c>
      <c r="F30" s="132">
        <f>IF(SER_hh_emi_in!F30=0,0,1000000*SER_hh_emi_in!F30/SER_hh_num_in!F30)</f>
        <v>0</v>
      </c>
      <c r="G30" s="132">
        <f>IF(SER_hh_emi_in!G30=0,0,1000000*SER_hh_emi_in!G30/SER_hh_num_in!G30)</f>
        <v>0</v>
      </c>
      <c r="H30" s="132">
        <f>IF(SER_hh_emi_in!H30=0,0,1000000*SER_hh_emi_in!H30/SER_hh_num_in!H30)</f>
        <v>0</v>
      </c>
      <c r="I30" s="132">
        <f>IF(SER_hh_emi_in!I30=0,0,1000000*SER_hh_emi_in!I30/SER_hh_num_in!I30)</f>
        <v>0</v>
      </c>
      <c r="J30" s="132">
        <f>IF(SER_hh_emi_in!J30=0,0,1000000*SER_hh_emi_in!J30/SER_hh_num_in!J30)</f>
        <v>0</v>
      </c>
      <c r="K30" s="132">
        <f>IF(SER_hh_emi_in!K30=0,0,1000000*SER_hh_emi_in!K30/SER_hh_num_in!K30)</f>
        <v>0</v>
      </c>
      <c r="L30" s="132">
        <f>IF(SER_hh_emi_in!L30=0,0,1000000*SER_hh_emi_in!L30/SER_hh_num_in!L30)</f>
        <v>0</v>
      </c>
      <c r="M30" s="132">
        <f>IF(SER_hh_emi_in!M30=0,0,1000000*SER_hh_emi_in!M30/SER_hh_num_in!M30)</f>
        <v>0</v>
      </c>
      <c r="N30" s="132">
        <f>IF(SER_hh_emi_in!N30=0,0,1000000*SER_hh_emi_in!N30/SER_hh_num_in!N30)</f>
        <v>0</v>
      </c>
      <c r="O30" s="132">
        <f>IF(SER_hh_emi_in!O30=0,0,1000000*SER_hh_emi_in!O30/SER_hh_num_in!O30)</f>
        <v>0</v>
      </c>
      <c r="P30" s="132">
        <f>IF(SER_hh_emi_in!P30=0,0,1000000*SER_hh_emi_in!P30/SER_hh_num_in!P30)</f>
        <v>0</v>
      </c>
      <c r="Q30" s="132">
        <f>IF(SER_hh_emi_in!Q30=0,0,1000000*SER_hh_emi_in!Q30/SER_hh_num_in!Q30)</f>
        <v>0</v>
      </c>
      <c r="R30" s="132">
        <f>IF(SER_hh_emi_in!R30=0,0,1000000*SER_hh_emi_in!R30/SER_hh_num_in!R30)</f>
        <v>0</v>
      </c>
      <c r="S30" s="132">
        <f>IF(SER_hh_emi_in!S30=0,0,1000000*SER_hh_emi_in!S30/SER_hh_num_in!S30)</f>
        <v>0</v>
      </c>
      <c r="T30" s="132">
        <f>IF(SER_hh_emi_in!T30=0,0,1000000*SER_hh_emi_in!T30/SER_hh_num_in!T30)</f>
        <v>0</v>
      </c>
      <c r="U30" s="132">
        <f>IF(SER_hh_emi_in!U30=0,0,1000000*SER_hh_emi_in!U30/SER_hh_num_in!U30)</f>
        <v>0</v>
      </c>
      <c r="V30" s="132">
        <f>IF(SER_hh_emi_in!V30=0,0,1000000*SER_hh_emi_in!V30/SER_hh_num_in!V30)</f>
        <v>0</v>
      </c>
      <c r="W30" s="132">
        <f>IF(SER_hh_emi_in!W30=0,0,1000000*SER_hh_emi_in!W30/SER_hh_num_in!W30)</f>
        <v>0</v>
      </c>
      <c r="X30" s="132">
        <f>IF(SER_hh_emi_in!X30=0,0,1000000*SER_hh_emi_in!X30/SER_hh_num_in!X30)</f>
        <v>0</v>
      </c>
      <c r="Y30" s="132">
        <f>IF(SER_hh_emi_in!Y30=0,0,1000000*SER_hh_emi_in!Y30/SER_hh_num_in!Y30)</f>
        <v>0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2706.3298430956202</v>
      </c>
      <c r="D31" s="132">
        <f>IF(SER_hh_emi_in!D31=0,0,1000000*SER_hh_emi_in!D31/SER_hh_num_in!D31)</f>
        <v>2661.0889915295666</v>
      </c>
      <c r="E31" s="132">
        <f>IF(SER_hh_emi_in!E31=0,0,1000000*SER_hh_emi_in!E31/SER_hh_num_in!E31)</f>
        <v>2563.1554021643269</v>
      </c>
      <c r="F31" s="132">
        <f>IF(SER_hh_emi_in!F31=0,0,1000000*SER_hh_emi_in!F31/SER_hh_num_in!F31)</f>
        <v>2611.6395086420875</v>
      </c>
      <c r="G31" s="132">
        <f>IF(SER_hh_emi_in!G31=0,0,1000000*SER_hh_emi_in!G31/SER_hh_num_in!G31)</f>
        <v>2561.1459970344158</v>
      </c>
      <c r="H31" s="132">
        <f>IF(SER_hh_emi_in!H31=0,0,1000000*SER_hh_emi_in!H31/SER_hh_num_in!H31)</f>
        <v>2514.4902164571167</v>
      </c>
      <c r="I31" s="132">
        <f>IF(SER_hh_emi_in!I31=0,0,1000000*SER_hh_emi_in!I31/SER_hh_num_in!I31)</f>
        <v>2522.6847444098621</v>
      </c>
      <c r="J31" s="132">
        <f>IF(SER_hh_emi_in!J31=0,0,1000000*SER_hh_emi_in!J31/SER_hh_num_in!J31)</f>
        <v>2566.7142045505816</v>
      </c>
      <c r="K31" s="132">
        <f>IF(SER_hh_emi_in!K31=0,0,1000000*SER_hh_emi_in!K31/SER_hh_num_in!K31)</f>
        <v>2863.8580067776957</v>
      </c>
      <c r="L31" s="132">
        <f>IF(SER_hh_emi_in!L31=0,0,1000000*SER_hh_emi_in!L31/SER_hh_num_in!L31)</f>
        <v>2769.7353813957689</v>
      </c>
      <c r="M31" s="132">
        <f>IF(SER_hh_emi_in!M31=0,0,1000000*SER_hh_emi_in!M31/SER_hh_num_in!M31)</f>
        <v>2800.3464546653213</v>
      </c>
      <c r="N31" s="132">
        <f>IF(SER_hh_emi_in!N31=0,0,1000000*SER_hh_emi_in!N31/SER_hh_num_in!N31)</f>
        <v>2823.4262419769966</v>
      </c>
      <c r="O31" s="132">
        <f>IF(SER_hh_emi_in!O31=0,0,1000000*SER_hh_emi_in!O31/SER_hh_num_in!O31)</f>
        <v>2843.1673168641223</v>
      </c>
      <c r="P31" s="132">
        <f>IF(SER_hh_emi_in!P31=0,0,1000000*SER_hh_emi_in!P31/SER_hh_num_in!P31)</f>
        <v>2853.0726848243712</v>
      </c>
      <c r="Q31" s="132">
        <f>IF(SER_hh_emi_in!Q31=0,0,1000000*SER_hh_emi_in!Q31/SER_hh_num_in!Q31)</f>
        <v>2760.2212318257111</v>
      </c>
      <c r="R31" s="132">
        <f>IF(SER_hh_emi_in!R31=0,0,1000000*SER_hh_emi_in!R31/SER_hh_num_in!R31)</f>
        <v>2823.3737643952049</v>
      </c>
      <c r="S31" s="132">
        <f>IF(SER_hh_emi_in!S31=0,0,1000000*SER_hh_emi_in!S31/SER_hh_num_in!S31)</f>
        <v>3012.5844211031917</v>
      </c>
      <c r="T31" s="132">
        <f>IF(SER_hh_emi_in!T31=0,0,1000000*SER_hh_emi_in!T31/SER_hh_num_in!T31)</f>
        <v>2743.8312938524828</v>
      </c>
      <c r="U31" s="132">
        <f>IF(SER_hh_emi_in!U31=0,0,1000000*SER_hh_emi_in!U31/SER_hh_num_in!U31)</f>
        <v>2875.7602694817274</v>
      </c>
      <c r="V31" s="132">
        <f>IF(SER_hh_emi_in!V31=0,0,1000000*SER_hh_emi_in!V31/SER_hh_num_in!V31)</f>
        <v>2654.436356241391</v>
      </c>
      <c r="W31" s="132">
        <f>IF(SER_hh_emi_in!W31=0,0,1000000*SER_hh_emi_in!W31/SER_hh_num_in!W31)</f>
        <v>2705.3037623812588</v>
      </c>
      <c r="X31" s="132">
        <f>IF(SER_hh_emi_in!X31=0,0,1000000*SER_hh_emi_in!X31/SER_hh_num_in!X31)</f>
        <v>2642.4501395815869</v>
      </c>
      <c r="Y31" s="132">
        <f>IF(SER_hh_emi_in!Y31=0,0,1000000*SER_hh_emi_in!Y31/SER_hh_num_in!Y31)</f>
        <v>2584.9979716271441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0</v>
      </c>
      <c r="D32" s="132">
        <f>IF(SER_hh_emi_in!D32=0,0,1000000*SER_hh_emi_in!D32/SER_hh_num_in!D32)</f>
        <v>0</v>
      </c>
      <c r="E32" s="132">
        <f>IF(SER_hh_emi_in!E32=0,0,1000000*SER_hh_emi_in!E32/SER_hh_num_in!E32)</f>
        <v>0</v>
      </c>
      <c r="F32" s="132">
        <f>IF(SER_hh_emi_in!F32=0,0,1000000*SER_hh_emi_in!F32/SER_hh_num_in!F32)</f>
        <v>0</v>
      </c>
      <c r="G32" s="132">
        <f>IF(SER_hh_emi_in!G32=0,0,1000000*SER_hh_emi_in!G32/SER_hh_num_in!G32)</f>
        <v>0</v>
      </c>
      <c r="H32" s="132">
        <f>IF(SER_hh_emi_in!H32=0,0,1000000*SER_hh_emi_in!H32/SER_hh_num_in!H32)</f>
        <v>0</v>
      </c>
      <c r="I32" s="132">
        <f>IF(SER_hh_emi_in!I32=0,0,1000000*SER_hh_emi_in!I32/SER_hh_num_in!I32)</f>
        <v>0</v>
      </c>
      <c r="J32" s="132">
        <f>IF(SER_hh_emi_in!J32=0,0,1000000*SER_hh_emi_in!J32/SER_hh_num_in!J32)</f>
        <v>0</v>
      </c>
      <c r="K32" s="132">
        <f>IF(SER_hh_emi_in!K32=0,0,1000000*SER_hh_emi_in!K32/SER_hh_num_in!K32)</f>
        <v>0</v>
      </c>
      <c r="L32" s="132">
        <f>IF(SER_hh_emi_in!L32=0,0,1000000*SER_hh_emi_in!L32/SER_hh_num_in!L32)</f>
        <v>0</v>
      </c>
      <c r="M32" s="132">
        <f>IF(SER_hh_emi_in!M32=0,0,1000000*SER_hh_emi_in!M32/SER_hh_num_in!M32)</f>
        <v>0</v>
      </c>
      <c r="N32" s="132">
        <f>IF(SER_hh_emi_in!N32=0,0,1000000*SER_hh_emi_in!N32/SER_hh_num_in!N32)</f>
        <v>0</v>
      </c>
      <c r="O32" s="132">
        <f>IF(SER_hh_emi_in!O32=0,0,1000000*SER_hh_emi_in!O32/SER_hh_num_in!O32)</f>
        <v>0</v>
      </c>
      <c r="P32" s="132">
        <f>IF(SER_hh_emi_in!P32=0,0,1000000*SER_hh_emi_in!P32/SER_hh_num_in!P32)</f>
        <v>0</v>
      </c>
      <c r="Q32" s="132">
        <f>IF(SER_hh_emi_in!Q32=0,0,1000000*SER_hh_emi_in!Q32/SER_hh_num_in!Q32)</f>
        <v>0</v>
      </c>
      <c r="R32" s="132">
        <f>IF(SER_hh_emi_in!R32=0,0,1000000*SER_hh_emi_in!R32/SER_hh_num_in!R32)</f>
        <v>0</v>
      </c>
      <c r="S32" s="132">
        <f>IF(SER_hh_emi_in!S32=0,0,1000000*SER_hh_emi_in!S32/SER_hh_num_in!S32)</f>
        <v>0</v>
      </c>
      <c r="T32" s="132">
        <f>IF(SER_hh_emi_in!T32=0,0,1000000*SER_hh_emi_in!T32/SER_hh_num_in!T32)</f>
        <v>0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0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182.19835565795634</v>
      </c>
      <c r="D3" s="125">
        <f>IF(SER_hh_fech_in!D3=0,0,SER_hh_fech_in!D3/SER_summary!D$27)</f>
        <v>175.45149077183049</v>
      </c>
      <c r="E3" s="125">
        <f>IF(SER_hh_fech_in!E3=0,0,SER_hh_fech_in!E3/SER_summary!E$27)</f>
        <v>176.03159519736445</v>
      </c>
      <c r="F3" s="125">
        <f>IF(SER_hh_fech_in!F3=0,0,SER_hh_fech_in!F3/SER_summary!F$27)</f>
        <v>164.10673969329079</v>
      </c>
      <c r="G3" s="125">
        <f>IF(SER_hh_fech_in!G3=0,0,SER_hh_fech_in!G3/SER_summary!G$27)</f>
        <v>146.26553187273069</v>
      </c>
      <c r="H3" s="125">
        <f>IF(SER_hh_fech_in!H3=0,0,SER_hh_fech_in!H3/SER_summary!H$27)</f>
        <v>129.09198820569344</v>
      </c>
      <c r="I3" s="125">
        <f>IF(SER_hh_fech_in!I3=0,0,SER_hh_fech_in!I3/SER_summary!I$27)</f>
        <v>119.51661241113682</v>
      </c>
      <c r="J3" s="125">
        <f>IF(SER_hh_fech_in!J3=0,0,SER_hh_fech_in!J3/SER_summary!J$27)</f>
        <v>120.11540367855217</v>
      </c>
      <c r="K3" s="125">
        <f>IF(SER_hh_fech_in!K3=0,0,SER_hh_fech_in!K3/SER_summary!K$27)</f>
        <v>97.656568312243195</v>
      </c>
      <c r="L3" s="125">
        <f>IF(SER_hh_fech_in!L3=0,0,SER_hh_fech_in!L3/SER_summary!L$27)</f>
        <v>112.68259068531637</v>
      </c>
      <c r="M3" s="125">
        <f>IF(SER_hh_fech_in!M3=0,0,SER_hh_fech_in!M3/SER_summary!M$27)</f>
        <v>105.07772975330622</v>
      </c>
      <c r="N3" s="125">
        <f>IF(SER_hh_fech_in!N3=0,0,SER_hh_fech_in!N3/SER_summary!N$27)</f>
        <v>97.697266785826216</v>
      </c>
      <c r="O3" s="125">
        <f>IF(SER_hh_fech_in!O3=0,0,SER_hh_fech_in!O3/SER_summary!O$27)</f>
        <v>94.361844862701972</v>
      </c>
      <c r="P3" s="125">
        <f>IF(SER_hh_fech_in!P3=0,0,SER_hh_fech_in!P3/SER_summary!P$27)</f>
        <v>84.975598903863585</v>
      </c>
      <c r="Q3" s="125">
        <f>IF(SER_hh_fech_in!Q3=0,0,SER_hh_fech_in!Q3/SER_summary!Q$27)</f>
        <v>83.059909687547005</v>
      </c>
      <c r="R3" s="125">
        <f>IF(SER_hh_fech_in!R3=0,0,SER_hh_fech_in!R3/SER_summary!R$27)</f>
        <v>79.401153145247136</v>
      </c>
      <c r="S3" s="125">
        <f>IF(SER_hh_fech_in!S3=0,0,SER_hh_fech_in!S3/SER_summary!S$27)</f>
        <v>79.311039396617431</v>
      </c>
      <c r="T3" s="125">
        <f>IF(SER_hh_fech_in!T3=0,0,SER_hh_fech_in!T3/SER_summary!T$27)</f>
        <v>72.213554968093774</v>
      </c>
      <c r="U3" s="125">
        <f>IF(SER_hh_fech_in!U3=0,0,SER_hh_fech_in!U3/SER_summary!U$27)</f>
        <v>70.215160903017477</v>
      </c>
      <c r="V3" s="125">
        <f>IF(SER_hh_fech_in!V3=0,0,SER_hh_fech_in!V3/SER_summary!V$27)</f>
        <v>59.97287573857335</v>
      </c>
      <c r="W3" s="125">
        <f>IF(SER_hh_fech_in!W3=0,0,SER_hh_fech_in!W3/SER_summary!W$27)</f>
        <v>53.080441715549533</v>
      </c>
      <c r="X3" s="125">
        <f>IF(SER_hh_fech_in!X3=0,0,SER_hh_fech_in!X3/SER_summary!X$27)</f>
        <v>49.968711177489908</v>
      </c>
      <c r="Y3" s="125">
        <f>IF(SER_hh_fech_in!Y3=0,0,SER_hh_fech_in!Y3/SER_summary!Y$27)</f>
        <v>48.779674768570409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149.67481198797998</v>
      </c>
      <c r="D4" s="130">
        <f>IF(SER_hh_fech_in!D4=0,0,SER_hh_fech_in!D4/SER_summary!D$27)</f>
        <v>139.16222673494423</v>
      </c>
      <c r="E4" s="130">
        <f>IF(SER_hh_fech_in!E4=0,0,SER_hh_fech_in!E4/SER_summary!E$27)</f>
        <v>144.6770521406595</v>
      </c>
      <c r="F4" s="130">
        <f>IF(SER_hh_fech_in!F4=0,0,SER_hh_fech_in!F4/SER_summary!F$27)</f>
        <v>133.76505830870488</v>
      </c>
      <c r="G4" s="130">
        <f>IF(SER_hh_fech_in!G4=0,0,SER_hh_fech_in!G4/SER_summary!G$27)</f>
        <v>115.65972787652991</v>
      </c>
      <c r="H4" s="130">
        <f>IF(SER_hh_fech_in!H4=0,0,SER_hh_fech_in!H4/SER_summary!H$27)</f>
        <v>98.143481359947472</v>
      </c>
      <c r="I4" s="130">
        <f>IF(SER_hh_fech_in!I4=0,0,SER_hh_fech_in!I4/SER_summary!I$27)</f>
        <v>87.922224683425284</v>
      </c>
      <c r="J4" s="130">
        <f>IF(SER_hh_fech_in!J4=0,0,SER_hh_fech_in!J4/SER_summary!J$27)</f>
        <v>87.473318209636204</v>
      </c>
      <c r="K4" s="130">
        <f>IF(SER_hh_fech_in!K4=0,0,SER_hh_fech_in!K4/SER_summary!K$27)</f>
        <v>63.852019870377987</v>
      </c>
      <c r="L4" s="130">
        <f>IF(SER_hh_fech_in!L4=0,0,SER_hh_fech_in!L4/SER_summary!L$27)</f>
        <v>78.969170086688024</v>
      </c>
      <c r="M4" s="130">
        <f>IF(SER_hh_fech_in!M4=0,0,SER_hh_fech_in!M4/SER_summary!M$27)</f>
        <v>72.209955669491649</v>
      </c>
      <c r="N4" s="130">
        <f>IF(SER_hh_fech_in!N4=0,0,SER_hh_fech_in!N4/SER_summary!N$27)</f>
        <v>65.300026569720643</v>
      </c>
      <c r="O4" s="130">
        <f>IF(SER_hh_fech_in!O4=0,0,SER_hh_fech_in!O4/SER_summary!O$27)</f>
        <v>61.870755249204613</v>
      </c>
      <c r="P4" s="130">
        <f>IF(SER_hh_fech_in!P4=0,0,SER_hh_fech_in!P4/SER_summary!P$27)</f>
        <v>53.813720226362719</v>
      </c>
      <c r="Q4" s="130">
        <f>IF(SER_hh_fech_in!Q4=0,0,SER_hh_fech_in!Q4/SER_summary!Q$27)</f>
        <v>50.915240265094397</v>
      </c>
      <c r="R4" s="130">
        <f>IF(SER_hh_fech_in!R4=0,0,SER_hh_fech_in!R4/SER_summary!R$27)</f>
        <v>48.338150538734048</v>
      </c>
      <c r="S4" s="130">
        <f>IF(SER_hh_fech_in!S4=0,0,SER_hh_fech_in!S4/SER_summary!S$27)</f>
        <v>47.634945350375375</v>
      </c>
      <c r="T4" s="130">
        <f>IF(SER_hh_fech_in!T4=0,0,SER_hh_fech_in!T4/SER_summary!T$27)</f>
        <v>42.181788241179767</v>
      </c>
      <c r="U4" s="130">
        <f>IF(SER_hh_fech_in!U4=0,0,SER_hh_fech_in!U4/SER_summary!U$27)</f>
        <v>40.434184917647997</v>
      </c>
      <c r="V4" s="130">
        <f>IF(SER_hh_fech_in!V4=0,0,SER_hh_fech_in!V4/SER_summary!V$27)</f>
        <v>33.567118722066823</v>
      </c>
      <c r="W4" s="130">
        <f>IF(SER_hh_fech_in!W4=0,0,SER_hh_fech_in!W4/SER_summary!W$27)</f>
        <v>27.396602347083128</v>
      </c>
      <c r="X4" s="130">
        <f>IF(SER_hh_fech_in!X4=0,0,SER_hh_fech_in!X4/SER_summary!X$27)</f>
        <v>24.898570508056025</v>
      </c>
      <c r="Y4" s="130">
        <f>IF(SER_hh_fech_in!Y4=0,0,SER_hh_fech_in!Y4/SER_summary!Y$27)</f>
        <v>22.565360502383555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0</v>
      </c>
      <c r="D5" s="132">
        <f>IF(SER_hh_fech_in!D5=0,0,SER_hh_fech_in!D5/SER_summary!D$27)</f>
        <v>0</v>
      </c>
      <c r="E5" s="132">
        <f>IF(SER_hh_fech_in!E5=0,0,SER_hh_fech_in!E5/SER_summary!E$27)</f>
        <v>184.85195063689832</v>
      </c>
      <c r="F5" s="132">
        <f>IF(SER_hh_fech_in!F5=0,0,SER_hh_fech_in!F5/SER_summary!F$27)</f>
        <v>196.79517280690752</v>
      </c>
      <c r="G5" s="132">
        <f>IF(SER_hh_fech_in!G5=0,0,SER_hh_fech_in!G5/SER_summary!G$27)</f>
        <v>0</v>
      </c>
      <c r="H5" s="132">
        <f>IF(SER_hh_fech_in!H5=0,0,SER_hh_fech_in!H5/SER_summary!H$27)</f>
        <v>0</v>
      </c>
      <c r="I5" s="132">
        <f>IF(SER_hh_fech_in!I5=0,0,SER_hh_fech_in!I5/SER_summary!I$27)</f>
        <v>0</v>
      </c>
      <c r="J5" s="132">
        <f>IF(SER_hh_fech_in!J5=0,0,SER_hh_fech_in!J5/SER_summary!J$27)</f>
        <v>0</v>
      </c>
      <c r="K5" s="132">
        <f>IF(SER_hh_fech_in!K5=0,0,SER_hh_fech_in!K5/SER_summary!K$27)</f>
        <v>0</v>
      </c>
      <c r="L5" s="132">
        <f>IF(SER_hh_fech_in!L5=0,0,SER_hh_fech_in!L5/SER_summary!L$27)</f>
        <v>0</v>
      </c>
      <c r="M5" s="132">
        <f>IF(SER_hh_fech_in!M5=0,0,SER_hh_fech_in!M5/SER_summary!M$27)</f>
        <v>0</v>
      </c>
      <c r="N5" s="132">
        <f>IF(SER_hh_fech_in!N5=0,0,SER_hh_fech_in!N5/SER_summary!N$27)</f>
        <v>68.542148027119637</v>
      </c>
      <c r="O5" s="132">
        <f>IF(SER_hh_fech_in!O5=0,0,SER_hh_fech_in!O5/SER_summary!O$27)</f>
        <v>71.163970964795595</v>
      </c>
      <c r="P5" s="132">
        <f>IF(SER_hh_fech_in!P5=0,0,SER_hh_fech_in!P5/SER_summary!P$27)</f>
        <v>59.675426100340815</v>
      </c>
      <c r="Q5" s="132">
        <f>IF(SER_hh_fech_in!Q5=0,0,SER_hh_fech_in!Q5/SER_summary!Q$27)</f>
        <v>0</v>
      </c>
      <c r="R5" s="132">
        <f>IF(SER_hh_fech_in!R5=0,0,SER_hh_fech_in!R5/SER_summary!R$27)</f>
        <v>60.23282246908407</v>
      </c>
      <c r="S5" s="132">
        <f>IF(SER_hh_fech_in!S5=0,0,SER_hh_fech_in!S5/SER_summary!S$27)</f>
        <v>0</v>
      </c>
      <c r="T5" s="132">
        <f>IF(SER_hh_fech_in!T5=0,0,SER_hh_fech_in!T5/SER_summary!T$27)</f>
        <v>0</v>
      </c>
      <c r="U5" s="132">
        <f>IF(SER_hh_fech_in!U5=0,0,SER_hh_fech_in!U5/SER_summary!U$27)</f>
        <v>47.469546392316644</v>
      </c>
      <c r="V5" s="132">
        <f>IF(SER_hh_fech_in!V5=0,0,SER_hh_fech_in!V5/SER_summary!V$27)</f>
        <v>34.773686088414955</v>
      </c>
      <c r="W5" s="132">
        <f>IF(SER_hh_fech_in!W5=0,0,SER_hh_fech_in!W5/SER_summary!W$27)</f>
        <v>33.378665934418684</v>
      </c>
      <c r="X5" s="132">
        <f>IF(SER_hh_fech_in!X5=0,0,SER_hh_fech_in!X5/SER_summary!X$27)</f>
        <v>34.273789117585132</v>
      </c>
      <c r="Y5" s="132">
        <f>IF(SER_hh_fech_in!Y5=0,0,SER_hh_fech_in!Y5/SER_summary!Y$27)</f>
        <v>0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0</v>
      </c>
      <c r="D6" s="132">
        <f>IF(SER_hh_fech_in!D6=0,0,SER_hh_fech_in!D6/SER_summary!D$27)</f>
        <v>0</v>
      </c>
      <c r="E6" s="132">
        <f>IF(SER_hh_fech_in!E6=0,0,SER_hh_fech_in!E6/SER_summary!E$27)</f>
        <v>0</v>
      </c>
      <c r="F6" s="132">
        <f>IF(SER_hh_fech_in!F6=0,0,SER_hh_fech_in!F6/SER_summary!F$27)</f>
        <v>0</v>
      </c>
      <c r="G6" s="132">
        <f>IF(SER_hh_fech_in!G6=0,0,SER_hh_fech_in!G6/SER_summary!G$27)</f>
        <v>0</v>
      </c>
      <c r="H6" s="132">
        <f>IF(SER_hh_fech_in!H6=0,0,SER_hh_fech_in!H6/SER_summary!H$27)</f>
        <v>0</v>
      </c>
      <c r="I6" s="132">
        <f>IF(SER_hh_fech_in!I6=0,0,SER_hh_fech_in!I6/SER_summary!I$27)</f>
        <v>0</v>
      </c>
      <c r="J6" s="132">
        <f>IF(SER_hh_fech_in!J6=0,0,SER_hh_fech_in!J6/SER_summary!J$27)</f>
        <v>0</v>
      </c>
      <c r="K6" s="132">
        <f>IF(SER_hh_fech_in!K6=0,0,SER_hh_fech_in!K6/SER_summary!K$27)</f>
        <v>0</v>
      </c>
      <c r="L6" s="132">
        <f>IF(SER_hh_fech_in!L6=0,0,SER_hh_fech_in!L6/SER_summary!L$27)</f>
        <v>0</v>
      </c>
      <c r="M6" s="132">
        <f>IF(SER_hh_fech_in!M6=0,0,SER_hh_fech_in!M6/SER_summary!M$27)</f>
        <v>0</v>
      </c>
      <c r="N6" s="132">
        <f>IF(SER_hh_fech_in!N6=0,0,SER_hh_fech_in!N6/SER_summary!N$27)</f>
        <v>0</v>
      </c>
      <c r="O6" s="132">
        <f>IF(SER_hh_fech_in!O6=0,0,SER_hh_fech_in!O6/SER_summary!O$27)</f>
        <v>0</v>
      </c>
      <c r="P6" s="132">
        <f>IF(SER_hh_fech_in!P6=0,0,SER_hh_fech_in!P6/SER_summary!P$27)</f>
        <v>0</v>
      </c>
      <c r="Q6" s="132">
        <f>IF(SER_hh_fech_in!Q6=0,0,SER_hh_fech_in!Q6/SER_summary!Q$27)</f>
        <v>0</v>
      </c>
      <c r="R6" s="132">
        <f>IF(SER_hh_fech_in!R6=0,0,SER_hh_fech_in!R6/SER_summary!R$27)</f>
        <v>0</v>
      </c>
      <c r="S6" s="132">
        <f>IF(SER_hh_fech_in!S6=0,0,SER_hh_fech_in!S6/SER_summary!S$27)</f>
        <v>0</v>
      </c>
      <c r="T6" s="132">
        <f>IF(SER_hh_fech_in!T6=0,0,SER_hh_fech_in!T6/SER_summary!T$27)</f>
        <v>0</v>
      </c>
      <c r="U6" s="132">
        <f>IF(SER_hh_fech_in!U6=0,0,SER_hh_fech_in!U6/SER_summary!U$27)</f>
        <v>0</v>
      </c>
      <c r="V6" s="132">
        <f>IF(SER_hh_fech_in!V6=0,0,SER_hh_fech_in!V6/SER_summary!V$27)</f>
        <v>0</v>
      </c>
      <c r="W6" s="132">
        <f>IF(SER_hh_fech_in!W6=0,0,SER_hh_fech_in!W6/SER_summary!W$27)</f>
        <v>0</v>
      </c>
      <c r="X6" s="132">
        <f>IF(SER_hh_fech_in!X6=0,0,SER_hh_fech_in!X6/SER_summary!X$27)</f>
        <v>0</v>
      </c>
      <c r="Y6" s="132">
        <f>IF(SER_hh_fech_in!Y6=0,0,SER_hh_fech_in!Y6/SER_summary!Y$27)</f>
        <v>0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80.741102513853775</v>
      </c>
      <c r="D7" s="132">
        <f>IF(SER_hh_fech_in!D7=0,0,SER_hh_fech_in!D7/SER_summary!D$27)</f>
        <v>208.31183128110439</v>
      </c>
      <c r="E7" s="132">
        <f>IF(SER_hh_fech_in!E7=0,0,SER_hh_fech_in!E7/SER_summary!E$27)</f>
        <v>161.27009437994806</v>
      </c>
      <c r="F7" s="132">
        <f>IF(SER_hh_fech_in!F7=0,0,SER_hh_fech_in!F7/SER_summary!F$27)</f>
        <v>171.05502449732907</v>
      </c>
      <c r="G7" s="132">
        <f>IF(SER_hh_fech_in!G7=0,0,SER_hh_fech_in!G7/SER_summary!G$27)</f>
        <v>114.75091872266357</v>
      </c>
      <c r="H7" s="132">
        <f>IF(SER_hh_fech_in!H7=0,0,SER_hh_fech_in!H7/SER_summary!H$27)</f>
        <v>120.63679655358175</v>
      </c>
      <c r="I7" s="132">
        <f>IF(SER_hh_fech_in!I7=0,0,SER_hh_fech_in!I7/SER_summary!I$27)</f>
        <v>110.48474366467417</v>
      </c>
      <c r="J7" s="132">
        <f>IF(SER_hh_fech_in!J7=0,0,SER_hh_fech_in!J7/SER_summary!J$27)</f>
        <v>110.81736016688663</v>
      </c>
      <c r="K7" s="132">
        <f>IF(SER_hh_fech_in!K7=0,0,SER_hh_fech_in!K7/SER_summary!K$27)</f>
        <v>0</v>
      </c>
      <c r="L7" s="132">
        <f>IF(SER_hh_fech_in!L7=0,0,SER_hh_fech_in!L7/SER_summary!L$27)</f>
        <v>102.73661532625579</v>
      </c>
      <c r="M7" s="132">
        <f>IF(SER_hh_fech_in!M7=0,0,SER_hh_fech_in!M7/SER_summary!M$27)</f>
        <v>72.026699708114009</v>
      </c>
      <c r="N7" s="132">
        <f>IF(SER_hh_fech_in!N7=0,0,SER_hh_fech_in!N7/SER_summary!N$27)</f>
        <v>99.203087713369982</v>
      </c>
      <c r="O7" s="132">
        <f>IF(SER_hh_fech_in!O7=0,0,SER_hh_fech_in!O7/SER_summary!O$27)</f>
        <v>68.758183239979431</v>
      </c>
      <c r="P7" s="132">
        <f>IF(SER_hh_fech_in!P7=0,0,SER_hh_fech_in!P7/SER_summary!P$27)</f>
        <v>40.660177409579532</v>
      </c>
      <c r="Q7" s="132">
        <f>IF(SER_hh_fech_in!Q7=0,0,SER_hh_fech_in!Q7/SER_summary!Q$27)</f>
        <v>68.249234754566785</v>
      </c>
      <c r="R7" s="132">
        <f>IF(SER_hh_fech_in!R7=0,0,SER_hh_fech_in!R7/SER_summary!R$27)</f>
        <v>60.317014893330757</v>
      </c>
      <c r="S7" s="132">
        <f>IF(SER_hh_fech_in!S7=0,0,SER_hh_fech_in!S7/SER_summary!S$27)</f>
        <v>59.515100856052925</v>
      </c>
      <c r="T7" s="132">
        <f>IF(SER_hh_fech_in!T7=0,0,SER_hh_fech_in!T7/SER_summary!T$27)</f>
        <v>0</v>
      </c>
      <c r="U7" s="132">
        <f>IF(SER_hh_fech_in!U7=0,0,SER_hh_fech_in!U7/SER_summary!U$27)</f>
        <v>37.879247261263544</v>
      </c>
      <c r="V7" s="132">
        <f>IF(SER_hh_fech_in!V7=0,0,SER_hh_fech_in!V7/SER_summary!V$27)</f>
        <v>39.753811636873124</v>
      </c>
      <c r="W7" s="132">
        <f>IF(SER_hh_fech_in!W7=0,0,SER_hh_fech_in!W7/SER_summary!W$27)</f>
        <v>38.36331961791717</v>
      </c>
      <c r="X7" s="132">
        <f>IF(SER_hh_fech_in!X7=0,0,SER_hh_fech_in!X7/SER_summary!X$27)</f>
        <v>28.724139333003343</v>
      </c>
      <c r="Y7" s="132">
        <f>IF(SER_hh_fech_in!Y7=0,0,SER_hh_fech_in!Y7/SER_summary!Y$27)</f>
        <v>32.433209919958955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0</v>
      </c>
      <c r="D8" s="132">
        <f>IF(SER_hh_fech_in!D8=0,0,SER_hh_fech_in!D8/SER_summary!D$27)</f>
        <v>0</v>
      </c>
      <c r="E8" s="132">
        <f>IF(SER_hh_fech_in!E8=0,0,SER_hh_fech_in!E8/SER_summary!E$27)</f>
        <v>0</v>
      </c>
      <c r="F8" s="132">
        <f>IF(SER_hh_fech_in!F8=0,0,SER_hh_fech_in!F8/SER_summary!F$27)</f>
        <v>0</v>
      </c>
      <c r="G8" s="132">
        <f>IF(SER_hh_fech_in!G8=0,0,SER_hh_fech_in!G8/SER_summary!G$27)</f>
        <v>18.301720638198436</v>
      </c>
      <c r="H8" s="132">
        <f>IF(SER_hh_fech_in!H8=0,0,SER_hh_fech_in!H8/SER_summary!H$27)</f>
        <v>20.388355015272595</v>
      </c>
      <c r="I8" s="132">
        <f>IF(SER_hh_fech_in!I8=0,0,SER_hh_fech_in!I8/SER_summary!I$27)</f>
        <v>21.803404792976082</v>
      </c>
      <c r="J8" s="132">
        <f>IF(SER_hh_fech_in!J8=0,0,SER_hh_fech_in!J8/SER_summary!J$27)</f>
        <v>23.233238093524061</v>
      </c>
      <c r="K8" s="132">
        <f>IF(SER_hh_fech_in!K8=0,0,SER_hh_fech_in!K8/SER_summary!K$27)</f>
        <v>20.521698443182522</v>
      </c>
      <c r="L8" s="132">
        <f>IF(SER_hh_fech_in!L8=0,0,SER_hh_fech_in!L8/SER_summary!L$27)</f>
        <v>16.974199726650397</v>
      </c>
      <c r="M8" s="132">
        <f>IF(SER_hh_fech_in!M8=0,0,SER_hh_fech_in!M8/SER_summary!M$27)</f>
        <v>14.949695973980779</v>
      </c>
      <c r="N8" s="132">
        <f>IF(SER_hh_fech_in!N8=0,0,SER_hh_fech_in!N8/SER_summary!N$27)</f>
        <v>12.232496083086978</v>
      </c>
      <c r="O8" s="132">
        <f>IF(SER_hh_fech_in!O8=0,0,SER_hh_fech_in!O8/SER_summary!O$27)</f>
        <v>12.564693367868879</v>
      </c>
      <c r="P8" s="132">
        <f>IF(SER_hh_fech_in!P8=0,0,SER_hh_fech_in!P8/SER_summary!P$27)</f>
        <v>12.884581542837163</v>
      </c>
      <c r="Q8" s="132">
        <f>IF(SER_hh_fech_in!Q8=0,0,SER_hh_fech_in!Q8/SER_summary!Q$27)</f>
        <v>11.2143531140484</v>
      </c>
      <c r="R8" s="132">
        <f>IF(SER_hh_fech_in!R8=0,0,SER_hh_fech_in!R8/SER_summary!R$27)</f>
        <v>10.124831241305341</v>
      </c>
      <c r="S8" s="132">
        <f>IF(SER_hh_fech_in!S8=0,0,SER_hh_fech_in!S8/SER_summary!S$27)</f>
        <v>9.2018817991570288</v>
      </c>
      <c r="T8" s="132">
        <f>IF(SER_hh_fech_in!T8=0,0,SER_hh_fech_in!T8/SER_summary!T$27)</f>
        <v>8.4040678274599259</v>
      </c>
      <c r="U8" s="132">
        <f>IF(SER_hh_fech_in!U8=0,0,SER_hh_fech_in!U8/SER_summary!U$27)</f>
        <v>7.9286725599979802</v>
      </c>
      <c r="V8" s="132">
        <f>IF(SER_hh_fech_in!V8=0,0,SER_hh_fech_in!V8/SER_summary!V$27)</f>
        <v>6.986332760798704</v>
      </c>
      <c r="W8" s="132">
        <f>IF(SER_hh_fech_in!W8=0,0,SER_hh_fech_in!W8/SER_summary!W$27)</f>
        <v>5.8078724990497843</v>
      </c>
      <c r="X8" s="132">
        <f>IF(SER_hh_fech_in!X8=0,0,SER_hh_fech_in!X8/SER_summary!X$27)</f>
        <v>5.4389282587190877</v>
      </c>
      <c r="Y8" s="132">
        <f>IF(SER_hh_fech_in!Y8=0,0,SER_hh_fech_in!Y8/SER_summary!Y$27)</f>
        <v>5.1666720578105041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180.73477451576505</v>
      </c>
      <c r="D9" s="132">
        <f>IF(SER_hh_fech_in!D9=0,0,SER_hh_fech_in!D9/SER_summary!D$27)</f>
        <v>156.51444109195762</v>
      </c>
      <c r="E9" s="132">
        <f>IF(SER_hh_fech_in!E9=0,0,SER_hh_fech_in!E9/SER_summary!E$27)</f>
        <v>152.32929052057455</v>
      </c>
      <c r="F9" s="132">
        <f>IF(SER_hh_fech_in!F9=0,0,SER_hh_fech_in!F9/SER_summary!F$27)</f>
        <v>137.99220968180003</v>
      </c>
      <c r="G9" s="132">
        <f>IF(SER_hh_fech_in!G9=0,0,SER_hh_fech_in!G9/SER_summary!G$27)</f>
        <v>127.02084959441594</v>
      </c>
      <c r="H9" s="132">
        <f>IF(SER_hh_fech_in!H9=0,0,SER_hh_fech_in!H9/SER_summary!H$27)</f>
        <v>108.69775275043419</v>
      </c>
      <c r="I9" s="132">
        <f>IF(SER_hh_fech_in!I9=0,0,SER_hh_fech_in!I9/SER_summary!I$27)</f>
        <v>96.082990939981741</v>
      </c>
      <c r="J9" s="132">
        <f>IF(SER_hh_fech_in!J9=0,0,SER_hh_fech_in!J9/SER_summary!J$27)</f>
        <v>101.23184425384497</v>
      </c>
      <c r="K9" s="132">
        <f>IF(SER_hh_fech_in!K9=0,0,SER_hh_fech_in!K9/SER_summary!K$27)</f>
        <v>0</v>
      </c>
      <c r="L9" s="132">
        <f>IF(SER_hh_fech_in!L9=0,0,SER_hh_fech_in!L9/SER_summary!L$27)</f>
        <v>92.45593504089355</v>
      </c>
      <c r="M9" s="132">
        <f>IF(SER_hh_fech_in!M9=0,0,SER_hh_fech_in!M9/SER_summary!M$27)</f>
        <v>84.713299044080912</v>
      </c>
      <c r="N9" s="132">
        <f>IF(SER_hh_fech_in!N9=0,0,SER_hh_fech_in!N9/SER_summary!N$27)</f>
        <v>74.613253057619417</v>
      </c>
      <c r="O9" s="132">
        <f>IF(SER_hh_fech_in!O9=0,0,SER_hh_fech_in!O9/SER_summary!O$27)</f>
        <v>66.091520245122709</v>
      </c>
      <c r="P9" s="132">
        <f>IF(SER_hh_fech_in!P9=0,0,SER_hh_fech_in!P9/SER_summary!P$27)</f>
        <v>57.943044443735168</v>
      </c>
      <c r="Q9" s="132">
        <f>IF(SER_hh_fech_in!Q9=0,0,SER_hh_fech_in!Q9/SER_summary!Q$27)</f>
        <v>52.696133514761918</v>
      </c>
      <c r="R9" s="132">
        <f>IF(SER_hh_fech_in!R9=0,0,SER_hh_fech_in!R9/SER_summary!R$27)</f>
        <v>50.637633069897845</v>
      </c>
      <c r="S9" s="132">
        <f>IF(SER_hh_fech_in!S9=0,0,SER_hh_fech_in!S9/SER_summary!S$27)</f>
        <v>50.816052154708061</v>
      </c>
      <c r="T9" s="132">
        <f>IF(SER_hh_fech_in!T9=0,0,SER_hh_fech_in!T9/SER_summary!T$27)</f>
        <v>43.82553712605138</v>
      </c>
      <c r="U9" s="132">
        <f>IF(SER_hh_fech_in!U9=0,0,SER_hh_fech_in!U9/SER_summary!U$27)</f>
        <v>43.230796245102361</v>
      </c>
      <c r="V9" s="132">
        <f>IF(SER_hh_fech_in!V9=0,0,SER_hh_fech_in!V9/SER_summary!V$27)</f>
        <v>37.145436418834343</v>
      </c>
      <c r="W9" s="132">
        <f>IF(SER_hh_fech_in!W9=0,0,SER_hh_fech_in!W9/SER_summary!W$27)</f>
        <v>30.274549487435358</v>
      </c>
      <c r="X9" s="132">
        <f>IF(SER_hh_fech_in!X9=0,0,SER_hh_fech_in!X9/SER_summary!X$27)</f>
        <v>28.36022337017144</v>
      </c>
      <c r="Y9" s="132">
        <f>IF(SER_hh_fech_in!Y9=0,0,SER_hh_fech_in!Y9/SER_summary!Y$27)</f>
        <v>25.922154261665774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184.44812267054832</v>
      </c>
      <c r="D10" s="132">
        <f>IF(SER_hh_fech_in!D10=0,0,SER_hh_fech_in!D10/SER_summary!D$27)</f>
        <v>145.38636273872271</v>
      </c>
      <c r="E10" s="132">
        <f>IF(SER_hh_fech_in!E10=0,0,SER_hh_fech_in!E10/SER_summary!E$27)</f>
        <v>161.02931570278832</v>
      </c>
      <c r="F10" s="132">
        <f>IF(SER_hh_fech_in!F10=0,0,SER_hh_fech_in!F10/SER_summary!F$27)</f>
        <v>146.94158141737768</v>
      </c>
      <c r="G10" s="132">
        <f>IF(SER_hh_fech_in!G10=0,0,SER_hh_fech_in!G10/SER_summary!G$27)</f>
        <v>131.3734289219706</v>
      </c>
      <c r="H10" s="132">
        <f>IF(SER_hh_fech_in!H10=0,0,SER_hh_fech_in!H10/SER_summary!H$27)</f>
        <v>101.74021793545963</v>
      </c>
      <c r="I10" s="132">
        <f>IF(SER_hh_fech_in!I10=0,0,SER_hh_fech_in!I10/SER_summary!I$27)</f>
        <v>129.07707328270175</v>
      </c>
      <c r="J10" s="132">
        <f>IF(SER_hh_fech_in!J10=0,0,SER_hh_fech_in!J10/SER_summary!J$27)</f>
        <v>98.363412855085642</v>
      </c>
      <c r="K10" s="132">
        <f>IF(SER_hh_fech_in!K10=0,0,SER_hh_fech_in!K10/SER_summary!K$27)</f>
        <v>82.718571037128584</v>
      </c>
      <c r="L10" s="132">
        <f>IF(SER_hh_fech_in!L10=0,0,SER_hh_fech_in!L10/SER_summary!L$27)</f>
        <v>104.13012020220059</v>
      </c>
      <c r="M10" s="132">
        <f>IF(SER_hh_fech_in!M10=0,0,SER_hh_fech_in!M10/SER_summary!M$27)</f>
        <v>93.988792741034302</v>
      </c>
      <c r="N10" s="132">
        <f>IF(SER_hh_fech_in!N10=0,0,SER_hh_fech_in!N10/SER_summary!N$27)</f>
        <v>84.982971753362264</v>
      </c>
      <c r="O10" s="132">
        <f>IF(SER_hh_fech_in!O10=0,0,SER_hh_fech_in!O10/SER_summary!O$27)</f>
        <v>82.61665803065253</v>
      </c>
      <c r="P10" s="132">
        <f>IF(SER_hh_fech_in!P10=0,0,SER_hh_fech_in!P10/SER_summary!P$27)</f>
        <v>73.494653119612423</v>
      </c>
      <c r="Q10" s="132">
        <f>IF(SER_hh_fech_in!Q10=0,0,SER_hh_fech_in!Q10/SER_summary!Q$27)</f>
        <v>76.246749876425696</v>
      </c>
      <c r="R10" s="132">
        <f>IF(SER_hh_fech_in!R10=0,0,SER_hh_fech_in!R10/SER_summary!R$27)</f>
        <v>69.888528127397606</v>
      </c>
      <c r="S10" s="132">
        <f>IF(SER_hh_fech_in!S10=0,0,SER_hh_fech_in!S10/SER_summary!S$27)</f>
        <v>64.630914466858783</v>
      </c>
      <c r="T10" s="132">
        <f>IF(SER_hh_fech_in!T10=0,0,SER_hh_fech_in!T10/SER_summary!T$27)</f>
        <v>62.854974992284042</v>
      </c>
      <c r="U10" s="132">
        <f>IF(SER_hh_fech_in!U10=0,0,SER_hh_fech_in!U10/SER_summary!U$27)</f>
        <v>59.956924515013988</v>
      </c>
      <c r="V10" s="132">
        <f>IF(SER_hh_fech_in!V10=0,0,SER_hh_fech_in!V10/SER_summary!V$27)</f>
        <v>51.099818630376582</v>
      </c>
      <c r="W10" s="132">
        <f>IF(SER_hh_fech_in!W10=0,0,SER_hh_fech_in!W10/SER_summary!W$27)</f>
        <v>44.188937247550975</v>
      </c>
      <c r="X10" s="132">
        <f>IF(SER_hh_fech_in!X10=0,0,SER_hh_fech_in!X10/SER_summary!X$27)</f>
        <v>42.404348640739613</v>
      </c>
      <c r="Y10" s="132">
        <f>IF(SER_hh_fech_in!Y10=0,0,SER_hh_fech_in!Y10/SER_summary!Y$27)</f>
        <v>35.963605321796486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0</v>
      </c>
      <c r="D11" s="132">
        <f>IF(SER_hh_fech_in!D11=0,0,SER_hh_fech_in!D11/SER_summary!D$27)</f>
        <v>0</v>
      </c>
      <c r="E11" s="132">
        <f>IF(SER_hh_fech_in!E11=0,0,SER_hh_fech_in!E11/SER_summary!E$27)</f>
        <v>0</v>
      </c>
      <c r="F11" s="132">
        <f>IF(SER_hh_fech_in!F11=0,0,SER_hh_fech_in!F11/SER_summary!F$27)</f>
        <v>0</v>
      </c>
      <c r="G11" s="132">
        <f>IF(SER_hh_fech_in!G11=0,0,SER_hh_fech_in!G11/SER_summary!G$27)</f>
        <v>0</v>
      </c>
      <c r="H11" s="132">
        <f>IF(SER_hh_fech_in!H11=0,0,SER_hh_fech_in!H11/SER_summary!H$27)</f>
        <v>0</v>
      </c>
      <c r="I11" s="132">
        <f>IF(SER_hh_fech_in!I11=0,0,SER_hh_fech_in!I11/SER_summary!I$27)</f>
        <v>0</v>
      </c>
      <c r="J11" s="132">
        <f>IF(SER_hh_fech_in!J11=0,0,SER_hh_fech_in!J11/SER_summary!J$27)</f>
        <v>0</v>
      </c>
      <c r="K11" s="132">
        <f>IF(SER_hh_fech_in!K11=0,0,SER_hh_fech_in!K11/SER_summary!K$27)</f>
        <v>0</v>
      </c>
      <c r="L11" s="132">
        <f>IF(SER_hh_fech_in!L11=0,0,SER_hh_fech_in!L11/SER_summary!L$27)</f>
        <v>0</v>
      </c>
      <c r="M11" s="132">
        <f>IF(SER_hh_fech_in!M11=0,0,SER_hh_fech_in!M11/SER_summary!M$27)</f>
        <v>0</v>
      </c>
      <c r="N11" s="132">
        <f>IF(SER_hh_fech_in!N11=0,0,SER_hh_fech_in!N11/SER_summary!N$27)</f>
        <v>0</v>
      </c>
      <c r="O11" s="132">
        <f>IF(SER_hh_fech_in!O11=0,0,SER_hh_fech_in!O11/SER_summary!O$27)</f>
        <v>0</v>
      </c>
      <c r="P11" s="132">
        <f>IF(SER_hh_fech_in!P11=0,0,SER_hh_fech_in!P11/SER_summary!P$27)</f>
        <v>0</v>
      </c>
      <c r="Q11" s="132">
        <f>IF(SER_hh_fech_in!Q11=0,0,SER_hh_fech_in!Q11/SER_summary!Q$27)</f>
        <v>0</v>
      </c>
      <c r="R11" s="132">
        <f>IF(SER_hh_fech_in!R11=0,0,SER_hh_fech_in!R11/SER_summary!R$27)</f>
        <v>0</v>
      </c>
      <c r="S11" s="132">
        <f>IF(SER_hh_fech_in!S11=0,0,SER_hh_fech_in!S11/SER_summary!S$27)</f>
        <v>0</v>
      </c>
      <c r="T11" s="132">
        <f>IF(SER_hh_fech_in!T11=0,0,SER_hh_fech_in!T11/SER_summary!T$27)</f>
        <v>0</v>
      </c>
      <c r="U11" s="132">
        <f>IF(SER_hh_fech_in!U11=0,0,SER_hh_fech_in!U11/SER_summary!U$27)</f>
        <v>0</v>
      </c>
      <c r="V11" s="132">
        <f>IF(SER_hh_fech_in!V11=0,0,SER_hh_fech_in!V11/SER_summary!V$27)</f>
        <v>0</v>
      </c>
      <c r="W11" s="132">
        <f>IF(SER_hh_fech_in!W11=0,0,SER_hh_fech_in!W11/SER_summary!W$27)</f>
        <v>0</v>
      </c>
      <c r="X11" s="132">
        <f>IF(SER_hh_fech_in!X11=0,0,SER_hh_fech_in!X11/SER_summary!X$27)</f>
        <v>0</v>
      </c>
      <c r="Y11" s="132">
        <f>IF(SER_hh_fech_in!Y11=0,0,SER_hh_fech_in!Y11/SER_summary!Y$27)</f>
        <v>0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116.51790972323379</v>
      </c>
      <c r="D12" s="132">
        <f>IF(SER_hh_fech_in!D12=0,0,SER_hh_fech_in!D12/SER_summary!D$27)</f>
        <v>105.74803241625317</v>
      </c>
      <c r="E12" s="132">
        <f>IF(SER_hh_fech_in!E12=0,0,SER_hh_fech_in!E12/SER_summary!E$27)</f>
        <v>102.86622393116704</v>
      </c>
      <c r="F12" s="132">
        <f>IF(SER_hh_fech_in!F12=0,0,SER_hh_fech_in!F12/SER_summary!F$27)</f>
        <v>101.26043858459877</v>
      </c>
      <c r="G12" s="132">
        <f>IF(SER_hh_fech_in!G12=0,0,SER_hh_fech_in!G12/SER_summary!G$27)</f>
        <v>95.836890631347202</v>
      </c>
      <c r="H12" s="132">
        <f>IF(SER_hh_fech_in!H12=0,0,SER_hh_fech_in!H12/SER_summary!H$27)</f>
        <v>74.989992869775875</v>
      </c>
      <c r="I12" s="132">
        <f>IF(SER_hh_fech_in!I12=0,0,SER_hh_fech_in!I12/SER_summary!I$27)</f>
        <v>66.964325425160595</v>
      </c>
      <c r="J12" s="132">
        <f>IF(SER_hh_fech_in!J12=0,0,SER_hh_fech_in!J12/SER_summary!J$27)</f>
        <v>66.643795341219757</v>
      </c>
      <c r="K12" s="132">
        <f>IF(SER_hh_fech_in!K12=0,0,SER_hh_fech_in!K12/SER_summary!K$27)</f>
        <v>59.862842765719087</v>
      </c>
      <c r="L12" s="132">
        <f>IF(SER_hh_fech_in!L12=0,0,SER_hh_fech_in!L12/SER_summary!L$27)</f>
        <v>72.082091592553923</v>
      </c>
      <c r="M12" s="132">
        <f>IF(SER_hh_fech_in!M12=0,0,SER_hh_fech_in!M12/SER_summary!M$27)</f>
        <v>62.862044892355911</v>
      </c>
      <c r="N12" s="132">
        <f>IF(SER_hh_fech_in!N12=0,0,SER_hh_fech_in!N12/SER_summary!N$27)</f>
        <v>57.705259885962228</v>
      </c>
      <c r="O12" s="132">
        <f>IF(SER_hh_fech_in!O12=0,0,SER_hh_fech_in!O12/SER_summary!O$27)</f>
        <v>52.967995038940913</v>
      </c>
      <c r="P12" s="132">
        <f>IF(SER_hh_fech_in!P12=0,0,SER_hh_fech_in!P12/SER_summary!P$27)</f>
        <v>47.304697704961114</v>
      </c>
      <c r="Q12" s="132">
        <f>IF(SER_hh_fech_in!Q12=0,0,SER_hh_fech_in!Q12/SER_summary!Q$27)</f>
        <v>45.575336035804519</v>
      </c>
      <c r="R12" s="132">
        <f>IF(SER_hh_fech_in!R12=0,0,SER_hh_fech_in!R12/SER_summary!R$27)</f>
        <v>44.909119675689752</v>
      </c>
      <c r="S12" s="132">
        <f>IF(SER_hh_fech_in!S12=0,0,SER_hh_fech_in!S12/SER_summary!S$27)</f>
        <v>43.180916413932572</v>
      </c>
      <c r="T12" s="132">
        <f>IF(SER_hh_fech_in!T12=0,0,SER_hh_fech_in!T12/SER_summary!T$27)</f>
        <v>40.777949927982554</v>
      </c>
      <c r="U12" s="132">
        <f>IF(SER_hh_fech_in!U12=0,0,SER_hh_fech_in!U12/SER_summary!U$27)</f>
        <v>36.645997308094849</v>
      </c>
      <c r="V12" s="132">
        <f>IF(SER_hh_fech_in!V12=0,0,SER_hh_fech_in!V12/SER_summary!V$27)</f>
        <v>31.647857731695439</v>
      </c>
      <c r="W12" s="132">
        <f>IF(SER_hh_fech_in!W12=0,0,SER_hh_fech_in!W12/SER_summary!W$27)</f>
        <v>27.527837033779623</v>
      </c>
      <c r="X12" s="132">
        <f>IF(SER_hh_fech_in!X12=0,0,SER_hh_fech_in!X12/SER_summary!X$27)</f>
        <v>25.811297801250092</v>
      </c>
      <c r="Y12" s="132">
        <f>IF(SER_hh_fech_in!Y12=0,0,SER_hh_fech_in!Y12/SER_summary!Y$27)</f>
        <v>23.829208627829125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49.937227958846229</v>
      </c>
      <c r="D13" s="132">
        <f>IF(SER_hh_fech_in!D13=0,0,SER_hh_fech_in!D13/SER_summary!D$27)</f>
        <v>51.824581451847706</v>
      </c>
      <c r="E13" s="132">
        <f>IF(SER_hh_fech_in!E13=0,0,SER_hh_fech_in!E13/SER_summary!E$27)</f>
        <v>47.665812323712437</v>
      </c>
      <c r="F13" s="132">
        <f>IF(SER_hh_fech_in!F13=0,0,SER_hh_fech_in!F13/SER_summary!F$27)</f>
        <v>40.944587542608261</v>
      </c>
      <c r="G13" s="132">
        <f>IF(SER_hh_fech_in!G13=0,0,SER_hh_fech_in!G13/SER_summary!G$27)</f>
        <v>32.357738233665799</v>
      </c>
      <c r="H13" s="132">
        <f>IF(SER_hh_fech_in!H13=0,0,SER_hh_fech_in!H13/SER_summary!H$27)</f>
        <v>28.977821419355273</v>
      </c>
      <c r="I13" s="132">
        <f>IF(SER_hh_fech_in!I13=0,0,SER_hh_fech_in!I13/SER_summary!I$27)</f>
        <v>25.979424602866324</v>
      </c>
      <c r="J13" s="132">
        <f>IF(SER_hh_fech_in!J13=0,0,SER_hh_fech_in!J13/SER_summary!J$27)</f>
        <v>23.773459790065516</v>
      </c>
      <c r="K13" s="132">
        <f>IF(SER_hh_fech_in!K13=0,0,SER_hh_fech_in!K13/SER_summary!K$27)</f>
        <v>21.868472844291205</v>
      </c>
      <c r="L13" s="132">
        <f>IF(SER_hh_fech_in!L13=0,0,SER_hh_fech_in!L13/SER_summary!L$27)</f>
        <v>20.848705211269781</v>
      </c>
      <c r="M13" s="132">
        <f>IF(SER_hh_fech_in!M13=0,0,SER_hh_fech_in!M13/SER_summary!M$27)</f>
        <v>18.734814653131192</v>
      </c>
      <c r="N13" s="132">
        <f>IF(SER_hh_fech_in!N13=0,0,SER_hh_fech_in!N13/SER_summary!N$27)</f>
        <v>16.568877913834463</v>
      </c>
      <c r="O13" s="132">
        <f>IF(SER_hh_fech_in!O13=0,0,SER_hh_fech_in!O13/SER_summary!O$27)</f>
        <v>14.211095287379427</v>
      </c>
      <c r="P13" s="132">
        <f>IF(SER_hh_fech_in!P13=0,0,SER_hh_fech_in!P13/SER_summary!P$27)</f>
        <v>12.148852402954223</v>
      </c>
      <c r="Q13" s="132">
        <f>IF(SER_hh_fech_in!Q13=0,0,SER_hh_fech_in!Q13/SER_summary!Q$27)</f>
        <v>11.062885892736912</v>
      </c>
      <c r="R13" s="132">
        <f>IF(SER_hh_fech_in!R13=0,0,SER_hh_fech_in!R13/SER_summary!R$27)</f>
        <v>10.295704389395814</v>
      </c>
      <c r="S13" s="132">
        <f>IF(SER_hh_fech_in!S13=0,0,SER_hh_fech_in!S13/SER_summary!S$27)</f>
        <v>9.7415893597673673</v>
      </c>
      <c r="T13" s="132">
        <f>IF(SER_hh_fech_in!T13=0,0,SER_hh_fech_in!T13/SER_summary!T$27)</f>
        <v>9.026345815260278</v>
      </c>
      <c r="U13" s="132">
        <f>IF(SER_hh_fech_in!U13=0,0,SER_hh_fech_in!U13/SER_summary!U$27)</f>
        <v>8.3189745715959749</v>
      </c>
      <c r="V13" s="132">
        <f>IF(SER_hh_fech_in!V13=0,0,SER_hh_fech_in!V13/SER_summary!V$27)</f>
        <v>7.0773405276990076</v>
      </c>
      <c r="W13" s="132">
        <f>IF(SER_hh_fech_in!W13=0,0,SER_hh_fech_in!W13/SER_summary!W$27)</f>
        <v>5.3154472826424959</v>
      </c>
      <c r="X13" s="132">
        <f>IF(SER_hh_fech_in!X13=0,0,SER_hh_fech_in!X13/SER_summary!X$27)</f>
        <v>5.867215026782322</v>
      </c>
      <c r="Y13" s="132">
        <f>IF(SER_hh_fech_in!Y13=0,0,SER_hh_fech_in!Y13/SER_summary!Y$27)</f>
        <v>5.6999091330762468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127.74976080449642</v>
      </c>
      <c r="D14" s="65">
        <f>IF(SER_hh_fech_in!D14=0,0,SER_hh_fech_in!D14/SER_summary!D$27)</f>
        <v>116.32761389983094</v>
      </c>
      <c r="E14" s="65">
        <f>IF(SER_hh_fech_in!E14=0,0,SER_hh_fech_in!E14/SER_summary!E$27)</f>
        <v>137.96785893466662</v>
      </c>
      <c r="F14" s="65">
        <f>IF(SER_hh_fech_in!F14=0,0,SER_hh_fech_in!F14/SER_summary!F$27)</f>
        <v>0</v>
      </c>
      <c r="G14" s="65">
        <f>IF(SER_hh_fech_in!G14=0,0,SER_hh_fech_in!G14/SER_summary!G$27)</f>
        <v>89.443764456599055</v>
      </c>
      <c r="H14" s="65">
        <f>IF(SER_hh_fech_in!H14=0,0,SER_hh_fech_in!H14/SER_summary!H$27)</f>
        <v>84.220407632980383</v>
      </c>
      <c r="I14" s="65">
        <f>IF(SER_hh_fech_in!I14=0,0,SER_hh_fech_in!I14/SER_summary!I$27)</f>
        <v>76.866619866612226</v>
      </c>
      <c r="J14" s="65">
        <f>IF(SER_hh_fech_in!J14=0,0,SER_hh_fech_in!J14/SER_summary!J$27)</f>
        <v>77.462890610724614</v>
      </c>
      <c r="K14" s="65">
        <f>IF(SER_hh_fech_in!K14=0,0,SER_hh_fech_in!K14/SER_summary!K$27)</f>
        <v>70.749752525583418</v>
      </c>
      <c r="L14" s="65">
        <f>IF(SER_hh_fech_in!L14=0,0,SER_hh_fech_in!L14/SER_summary!L$27)</f>
        <v>75.178493744575448</v>
      </c>
      <c r="M14" s="65">
        <f>IF(SER_hh_fech_in!M14=0,0,SER_hh_fech_in!M14/SER_summary!M$27)</f>
        <v>65.349694254082223</v>
      </c>
      <c r="N14" s="65">
        <f>IF(SER_hh_fech_in!N14=0,0,SER_hh_fech_in!N14/SER_summary!N$27)</f>
        <v>61.26860179427505</v>
      </c>
      <c r="O14" s="65">
        <f>IF(SER_hh_fech_in!O14=0,0,SER_hh_fech_in!O14/SER_summary!O$27)</f>
        <v>61.716714233816077</v>
      </c>
      <c r="P14" s="65">
        <f>IF(SER_hh_fech_in!P14=0,0,SER_hh_fech_in!P14/SER_summary!P$27)</f>
        <v>52.046230223438066</v>
      </c>
      <c r="Q14" s="65">
        <f>IF(SER_hh_fech_in!Q14=0,0,SER_hh_fech_in!Q14/SER_summary!Q$27)</f>
        <v>48.262016399133401</v>
      </c>
      <c r="R14" s="65">
        <f>IF(SER_hh_fech_in!R14=0,0,SER_hh_fech_in!R14/SER_summary!R$27)</f>
        <v>49.005545126809494</v>
      </c>
      <c r="S14" s="65">
        <f>IF(SER_hh_fech_in!S14=0,0,SER_hh_fech_in!S14/SER_summary!S$27)</f>
        <v>46.909173956924747</v>
      </c>
      <c r="T14" s="65">
        <f>IF(SER_hh_fech_in!T14=0,0,SER_hh_fech_in!T14/SER_summary!T$27)</f>
        <v>42.602161357355293</v>
      </c>
      <c r="U14" s="65">
        <f>IF(SER_hh_fech_in!U14=0,0,SER_hh_fech_in!U14/SER_summary!U$27)</f>
        <v>40.03911124566045</v>
      </c>
      <c r="V14" s="65">
        <f>IF(SER_hh_fech_in!V14=0,0,SER_hh_fech_in!V14/SER_summary!V$27)</f>
        <v>33.414718569609192</v>
      </c>
      <c r="W14" s="65">
        <f>IF(SER_hh_fech_in!W14=0,0,SER_hh_fech_in!W14/SER_summary!W$27)</f>
        <v>27.451586641083736</v>
      </c>
      <c r="X14" s="65">
        <f>IF(SER_hh_fech_in!X14=0,0,SER_hh_fech_in!X14/SER_summary!X$27)</f>
        <v>27.583095233663354</v>
      </c>
      <c r="Y14" s="65">
        <f>IF(SER_hh_fech_in!Y14=0,0,SER_hh_fech_in!Y14/SER_summary!Y$27)</f>
        <v>21.329322719835083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1.2588740449660509</v>
      </c>
      <c r="D15" s="134">
        <f>IF(SER_hh_fech_in!D15=0,0,SER_hh_fech_in!D15/SER_summary!D$27)</f>
        <v>1.2267603092410784</v>
      </c>
      <c r="E15" s="134">
        <f>IF(SER_hh_fech_in!E15=0,0,SER_hh_fech_in!E15/SER_summary!E$27)</f>
        <v>1.0942449095706683</v>
      </c>
      <c r="F15" s="134">
        <f>IF(SER_hh_fech_in!F15=0,0,SER_hh_fech_in!F15/SER_summary!F$27)</f>
        <v>0.97770392331453027</v>
      </c>
      <c r="G15" s="134">
        <f>IF(SER_hh_fech_in!G15=0,0,SER_hh_fech_in!G15/SER_summary!G$27)</f>
        <v>0.99129019988465383</v>
      </c>
      <c r="H15" s="134">
        <f>IF(SER_hh_fech_in!H15=0,0,SER_hh_fech_in!H15/SER_summary!H$27)</f>
        <v>0.89533079933005588</v>
      </c>
      <c r="I15" s="134">
        <f>IF(SER_hh_fech_in!I15=0,0,SER_hh_fech_in!I15/SER_summary!I$27)</f>
        <v>0.81425610285586847</v>
      </c>
      <c r="J15" s="134">
        <f>IF(SER_hh_fech_in!J15=0,0,SER_hh_fech_in!J15/SER_summary!J$27)</f>
        <v>0.76514165954696989</v>
      </c>
      <c r="K15" s="134">
        <f>IF(SER_hh_fech_in!K15=0,0,SER_hh_fech_in!K15/SER_summary!K$27)</f>
        <v>0.21101691234798264</v>
      </c>
      <c r="L15" s="134">
        <f>IF(SER_hh_fech_in!L15=0,0,SER_hh_fech_in!L15/SER_summary!L$27)</f>
        <v>0.47504195720396813</v>
      </c>
      <c r="M15" s="134">
        <f>IF(SER_hh_fech_in!M15=0,0,SER_hh_fech_in!M15/SER_summary!M$27)</f>
        <v>0.50993119198072057</v>
      </c>
      <c r="N15" s="134">
        <f>IF(SER_hh_fech_in!N15=0,0,SER_hh_fech_in!N15/SER_summary!N$27)</f>
        <v>0.45065104015192475</v>
      </c>
      <c r="O15" s="134">
        <f>IF(SER_hh_fech_in!O15=0,0,SER_hh_fech_in!O15/SER_summary!O$27)</f>
        <v>0.44860728874740308</v>
      </c>
      <c r="P15" s="134">
        <f>IF(SER_hh_fech_in!P15=0,0,SER_hh_fech_in!P15/SER_summary!P$27)</f>
        <v>0.46930688716590885</v>
      </c>
      <c r="Q15" s="134">
        <f>IF(SER_hh_fech_in!Q15=0,0,SER_hh_fech_in!Q15/SER_summary!Q$27)</f>
        <v>0.4751725972991912</v>
      </c>
      <c r="R15" s="134">
        <f>IF(SER_hh_fech_in!R15=0,0,SER_hh_fech_in!R15/SER_summary!R$27)</f>
        <v>0.43093471984296311</v>
      </c>
      <c r="S15" s="134">
        <f>IF(SER_hh_fech_in!S15=0,0,SER_hh_fech_in!S15/SER_summary!S$27)</f>
        <v>0.4625403938338894</v>
      </c>
      <c r="T15" s="134">
        <f>IF(SER_hh_fech_in!T15=0,0,SER_hh_fech_in!T15/SER_summary!T$27)</f>
        <v>0.38301373929498128</v>
      </c>
      <c r="U15" s="134">
        <f>IF(SER_hh_fech_in!U15=0,0,SER_hh_fech_in!U15/SER_summary!U$27)</f>
        <v>0.38837243860594012</v>
      </c>
      <c r="V15" s="134">
        <f>IF(SER_hh_fech_in!V15=0,0,SER_hh_fech_in!V15/SER_summary!V$27)</f>
        <v>0.29976333544707717</v>
      </c>
      <c r="W15" s="134">
        <f>IF(SER_hh_fech_in!W15=0,0,SER_hh_fech_in!W15/SER_summary!W$27)</f>
        <v>0.23228702787478864</v>
      </c>
      <c r="X15" s="134">
        <f>IF(SER_hh_fech_in!X15=0,0,SER_hh_fech_in!X15/SER_summary!X$27)</f>
        <v>0.20371181149322315</v>
      </c>
      <c r="Y15" s="134">
        <f>IF(SER_hh_fech_in!Y15=0,0,SER_hh_fech_in!Y15/SER_summary!Y$27)</f>
        <v>0.19835552183837782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11.911791300089334</v>
      </c>
      <c r="D16" s="130">
        <f>IF(SER_hh_fech_in!D16=0,0,SER_hh_fech_in!D16/SER_summary!D$27)</f>
        <v>11.424889877741974</v>
      </c>
      <c r="E16" s="130">
        <f>IF(SER_hh_fech_in!E16=0,0,SER_hh_fech_in!E16/SER_summary!E$27)</f>
        <v>11.492466344478272</v>
      </c>
      <c r="F16" s="130">
        <f>IF(SER_hh_fech_in!F16=0,0,SER_hh_fech_in!F16/SER_summary!F$27)</f>
        <v>10.495091611435734</v>
      </c>
      <c r="G16" s="130">
        <f>IF(SER_hh_fech_in!G16=0,0,SER_hh_fech_in!G16/SER_summary!G$27)</f>
        <v>10.201761568786715</v>
      </c>
      <c r="H16" s="130">
        <f>IF(SER_hh_fech_in!H16=0,0,SER_hh_fech_in!H16/SER_summary!H$27)</f>
        <v>10.079455151032805</v>
      </c>
      <c r="I16" s="130">
        <f>IF(SER_hh_fech_in!I16=0,0,SER_hh_fech_in!I16/SER_summary!I$27)</f>
        <v>9.5636820762157981</v>
      </c>
      <c r="J16" s="130">
        <f>IF(SER_hh_fech_in!J16=0,0,SER_hh_fech_in!J16/SER_summary!J$27)</f>
        <v>9.0324820466298661</v>
      </c>
      <c r="K16" s="130">
        <f>IF(SER_hh_fech_in!K16=0,0,SER_hh_fech_in!K16/SER_summary!K$27)</f>
        <v>8.6431730564928912</v>
      </c>
      <c r="L16" s="130">
        <f>IF(SER_hh_fech_in!L16=0,0,SER_hh_fech_in!L16/SER_summary!L$27)</f>
        <v>8.4515853267337988</v>
      </c>
      <c r="M16" s="130">
        <f>IF(SER_hh_fech_in!M16=0,0,SER_hh_fech_in!M16/SER_summary!M$27)</f>
        <v>7.9602819269287659</v>
      </c>
      <c r="N16" s="130">
        <f>IF(SER_hh_fech_in!N16=0,0,SER_hh_fech_in!N16/SER_summary!N$27)</f>
        <v>7.6102606414469465</v>
      </c>
      <c r="O16" s="130">
        <f>IF(SER_hh_fech_in!O16=0,0,SER_hh_fech_in!O16/SER_summary!O$27)</f>
        <v>7.4971957095976638</v>
      </c>
      <c r="P16" s="130">
        <f>IF(SER_hh_fech_in!P16=0,0,SER_hh_fech_in!P16/SER_summary!P$27)</f>
        <v>6.7472026966791372</v>
      </c>
      <c r="Q16" s="130">
        <f>IF(SER_hh_fech_in!Q16=0,0,SER_hh_fech_in!Q16/SER_summary!Q$27)</f>
        <v>7.6239368449929099</v>
      </c>
      <c r="R16" s="130">
        <f>IF(SER_hh_fech_in!R16=0,0,SER_hh_fech_in!R16/SER_summary!R$27)</f>
        <v>6.1715641003603867</v>
      </c>
      <c r="S16" s="130">
        <f>IF(SER_hh_fech_in!S16=0,0,SER_hh_fech_in!S16/SER_summary!S$27)</f>
        <v>6.1004348767401861</v>
      </c>
      <c r="T16" s="130">
        <f>IF(SER_hh_fech_in!T16=0,0,SER_hh_fech_in!T16/SER_summary!T$27)</f>
        <v>6.2436653954078825</v>
      </c>
      <c r="U16" s="130">
        <f>IF(SER_hh_fech_in!U16=0,0,SER_hh_fech_in!U16/SER_summary!U$27)</f>
        <v>5.9580660996330144</v>
      </c>
      <c r="V16" s="130">
        <f>IF(SER_hh_fech_in!V16=0,0,SER_hh_fech_in!V16/SER_summary!V$27)</f>
        <v>5.277824240132106</v>
      </c>
      <c r="W16" s="130">
        <f>IF(SER_hh_fech_in!W16=0,0,SER_hh_fech_in!W16/SER_summary!W$27)</f>
        <v>5.0754826045854422</v>
      </c>
      <c r="X16" s="130">
        <f>IF(SER_hh_fech_in!X16=0,0,SER_hh_fech_in!X16/SER_summary!X$27)</f>
        <v>5.4362969896285742</v>
      </c>
      <c r="Y16" s="130">
        <f>IF(SER_hh_fech_in!Y16=0,0,SER_hh_fech_in!Y16/SER_summary!Y$27)</f>
        <v>5.6662072410975126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0</v>
      </c>
      <c r="D17" s="132">
        <f>IF(SER_hh_fech_in!D17=0,0,SER_hh_fech_in!D17/SER_summary!D$27)</f>
        <v>0</v>
      </c>
      <c r="E17" s="132">
        <f>IF(SER_hh_fech_in!E17=0,0,SER_hh_fech_in!E17/SER_summary!E$27)</f>
        <v>0</v>
      </c>
      <c r="F17" s="132">
        <f>IF(SER_hh_fech_in!F17=0,0,SER_hh_fech_in!F17/SER_summary!F$27)</f>
        <v>0</v>
      </c>
      <c r="G17" s="132">
        <f>IF(SER_hh_fech_in!G17=0,0,SER_hh_fech_in!G17/SER_summary!G$27)</f>
        <v>22.281302750369761</v>
      </c>
      <c r="H17" s="132">
        <f>IF(SER_hh_fech_in!H17=0,0,SER_hh_fech_in!H17/SER_summary!H$27)</f>
        <v>22.414791361483626</v>
      </c>
      <c r="I17" s="132">
        <f>IF(SER_hh_fech_in!I17=0,0,SER_hh_fech_in!I17/SER_summary!I$27)</f>
        <v>21.655696142290417</v>
      </c>
      <c r="J17" s="132">
        <f>IF(SER_hh_fech_in!J17=0,0,SER_hh_fech_in!J17/SER_summary!J$27)</f>
        <v>20.752819690435736</v>
      </c>
      <c r="K17" s="132">
        <f>IF(SER_hh_fech_in!K17=0,0,SER_hh_fech_in!K17/SER_summary!K$27)</f>
        <v>20.214158426906572</v>
      </c>
      <c r="L17" s="132">
        <f>IF(SER_hh_fech_in!L17=0,0,SER_hh_fech_in!L17/SER_summary!L$27)</f>
        <v>20.127263227694318</v>
      </c>
      <c r="M17" s="132">
        <f>IF(SER_hh_fech_in!M17=0,0,SER_hh_fech_in!M17/SER_summary!M$27)</f>
        <v>19.300042570797952</v>
      </c>
      <c r="N17" s="132">
        <f>IF(SER_hh_fech_in!N17=0,0,SER_hh_fech_in!N17/SER_summary!N$27)</f>
        <v>18.877443607845599</v>
      </c>
      <c r="O17" s="132">
        <f>IF(SER_hh_fech_in!O17=0,0,SER_hh_fech_in!O17/SER_summary!O$27)</f>
        <v>19.155719024183206</v>
      </c>
      <c r="P17" s="132">
        <f>IF(SER_hh_fech_in!P17=0,0,SER_hh_fech_in!P17/SER_summary!P$27)</f>
        <v>17.994399853666096</v>
      </c>
      <c r="Q17" s="132">
        <f>IF(SER_hh_fech_in!Q17=0,0,SER_hh_fech_in!Q17/SER_summary!Q$27)</f>
        <v>21.144270880033176</v>
      </c>
      <c r="R17" s="132">
        <f>IF(SER_hh_fech_in!R17=0,0,SER_hh_fech_in!R17/SER_summary!R$27)</f>
        <v>17.373179462995836</v>
      </c>
      <c r="S17" s="132">
        <f>IF(SER_hh_fech_in!S17=0,0,SER_hh_fech_in!S17/SER_summary!S$27)</f>
        <v>17.047373146449729</v>
      </c>
      <c r="T17" s="132">
        <f>IF(SER_hh_fech_in!T17=0,0,SER_hh_fech_in!T17/SER_summary!T$27)</f>
        <v>18.166627816364358</v>
      </c>
      <c r="U17" s="132">
        <f>IF(SER_hh_fech_in!U17=0,0,SER_hh_fech_in!U17/SER_summary!U$27)</f>
        <v>16.09299640179627</v>
      </c>
      <c r="V17" s="132">
        <f>IF(SER_hh_fech_in!V17=0,0,SER_hh_fech_in!V17/SER_summary!V$27)</f>
        <v>14.641261675738367</v>
      </c>
      <c r="W17" s="132">
        <f>IF(SER_hh_fech_in!W17=0,0,SER_hh_fech_in!W17/SER_summary!W$27)</f>
        <v>13.324801380148134</v>
      </c>
      <c r="X17" s="132">
        <f>IF(SER_hh_fech_in!X17=0,0,SER_hh_fech_in!X17/SER_summary!X$27)</f>
        <v>14.149700926067807</v>
      </c>
      <c r="Y17" s="132">
        <f>IF(SER_hh_fech_in!Y17=0,0,SER_hh_fech_in!Y17/SER_summary!Y$27)</f>
        <v>14.732559423924499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11.911791300089334</v>
      </c>
      <c r="D18" s="132">
        <f>IF(SER_hh_fech_in!D18=0,0,SER_hh_fech_in!D18/SER_summary!D$27)</f>
        <v>11.424889877741974</v>
      </c>
      <c r="E18" s="132">
        <f>IF(SER_hh_fech_in!E18=0,0,SER_hh_fech_in!E18/SER_summary!E$27)</f>
        <v>11.492466344478272</v>
      </c>
      <c r="F18" s="132">
        <f>IF(SER_hh_fech_in!F18=0,0,SER_hh_fech_in!F18/SER_summary!F$27)</f>
        <v>10.495091611435734</v>
      </c>
      <c r="G18" s="132">
        <f>IF(SER_hh_fech_in!G18=0,0,SER_hh_fech_in!G18/SER_summary!G$27)</f>
        <v>10.15555663759495</v>
      </c>
      <c r="H18" s="132">
        <f>IF(SER_hh_fech_in!H18=0,0,SER_hh_fech_in!H18/SER_summary!H$27)</f>
        <v>10.068896305099194</v>
      </c>
      <c r="I18" s="132">
        <f>IF(SER_hh_fech_in!I18=0,0,SER_hh_fech_in!I18/SER_summary!I$27)</f>
        <v>9.5421793958372021</v>
      </c>
      <c r="J18" s="132">
        <f>IF(SER_hh_fech_in!J18=0,0,SER_hh_fech_in!J18/SER_summary!J$27)</f>
        <v>9.0280177097271288</v>
      </c>
      <c r="K18" s="132">
        <f>IF(SER_hh_fech_in!K18=0,0,SER_hh_fech_in!K18/SER_summary!K$27)</f>
        <v>8.6069931585977422</v>
      </c>
      <c r="L18" s="132">
        <f>IF(SER_hh_fech_in!L18=0,0,SER_hh_fech_in!L18/SER_summary!L$27)</f>
        <v>8.4475661911571329</v>
      </c>
      <c r="M18" s="132">
        <f>IF(SER_hh_fech_in!M18=0,0,SER_hh_fech_in!M18/SER_summary!M$27)</f>
        <v>7.9490147944699014</v>
      </c>
      <c r="N18" s="132">
        <f>IF(SER_hh_fech_in!N18=0,0,SER_hh_fech_in!N18/SER_summary!N$27)</f>
        <v>7.5977319945605073</v>
      </c>
      <c r="O18" s="132">
        <f>IF(SER_hh_fech_in!O18=0,0,SER_hh_fech_in!O18/SER_summary!O$27)</f>
        <v>7.4592103374106449</v>
      </c>
      <c r="P18" s="132">
        <f>IF(SER_hh_fech_in!P18=0,0,SER_hh_fech_in!P18/SER_summary!P$27)</f>
        <v>6.6756171407289449</v>
      </c>
      <c r="Q18" s="132">
        <f>IF(SER_hh_fech_in!Q18=0,0,SER_hh_fech_in!Q18/SER_summary!Q$27)</f>
        <v>7.4999273221777951</v>
      </c>
      <c r="R18" s="132">
        <f>IF(SER_hh_fech_in!R18=0,0,SER_hh_fech_in!R18/SER_summary!R$27)</f>
        <v>6.112063853389115</v>
      </c>
      <c r="S18" s="132">
        <f>IF(SER_hh_fech_in!S18=0,0,SER_hh_fech_in!S18/SER_summary!S$27)</f>
        <v>6.0230234756769141</v>
      </c>
      <c r="T18" s="132">
        <f>IF(SER_hh_fech_in!T18=0,0,SER_hh_fech_in!T18/SER_summary!T$27)</f>
        <v>6.1668829926591435</v>
      </c>
      <c r="U18" s="132">
        <f>IF(SER_hh_fech_in!U18=0,0,SER_hh_fech_in!U18/SER_summary!U$27)</f>
        <v>5.9007544836466783</v>
      </c>
      <c r="V18" s="132">
        <f>IF(SER_hh_fech_in!V18=0,0,SER_hh_fech_in!V18/SER_summary!V$27)</f>
        <v>5.1900776360544025</v>
      </c>
      <c r="W18" s="132">
        <f>IF(SER_hh_fech_in!W18=0,0,SER_hh_fech_in!W18/SER_summary!W$27)</f>
        <v>5.0194703002148255</v>
      </c>
      <c r="X18" s="132">
        <f>IF(SER_hh_fech_in!X18=0,0,SER_hh_fech_in!X18/SER_summary!X$27)</f>
        <v>5.3887138849224216</v>
      </c>
      <c r="Y18" s="132">
        <f>IF(SER_hh_fech_in!Y18=0,0,SER_hh_fech_in!Y18/SER_summary!Y$27)</f>
        <v>5.5905041923426939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12.256381120930232</v>
      </c>
      <c r="D19" s="130">
        <f>IF(SER_hh_fech_in!D19=0,0,SER_hh_fech_in!D19/SER_summary!D$27)</f>
        <v>12.100437201526514</v>
      </c>
      <c r="E19" s="130">
        <f>IF(SER_hh_fech_in!E19=0,0,SER_hh_fech_in!E19/SER_summary!E$27)</f>
        <v>11.35922969784354</v>
      </c>
      <c r="F19" s="130">
        <f>IF(SER_hh_fech_in!F19=0,0,SER_hh_fech_in!F19/SER_summary!F$27)</f>
        <v>11.316057853152047</v>
      </c>
      <c r="G19" s="130">
        <f>IF(SER_hh_fech_in!G19=0,0,SER_hh_fech_in!G19/SER_summary!G$27)</f>
        <v>11.290767791058418</v>
      </c>
      <c r="H19" s="130">
        <f>IF(SER_hh_fech_in!H19=0,0,SER_hh_fech_in!H19/SER_summary!H$27)</f>
        <v>11.273189883164772</v>
      </c>
      <c r="I19" s="130">
        <f>IF(SER_hh_fech_in!I19=0,0,SER_hh_fech_in!I19/SER_summary!I$27)</f>
        <v>11.244430147654636</v>
      </c>
      <c r="J19" s="130">
        <f>IF(SER_hh_fech_in!J19=0,0,SER_hh_fech_in!J19/SER_summary!J$27)</f>
        <v>11.002138124684572</v>
      </c>
      <c r="K19" s="130">
        <f>IF(SER_hh_fech_in!K19=0,0,SER_hh_fech_in!K19/SER_summary!K$27)</f>
        <v>11.658267253653326</v>
      </c>
      <c r="L19" s="130">
        <f>IF(SER_hh_fech_in!L19=0,0,SER_hh_fech_in!L19/SER_summary!L$27)</f>
        <v>11.481412725292644</v>
      </c>
      <c r="M19" s="130">
        <f>IF(SER_hh_fech_in!M19=0,0,SER_hh_fech_in!M19/SER_summary!M$27)</f>
        <v>11.46720719157668</v>
      </c>
      <c r="N19" s="130">
        <f>IF(SER_hh_fech_in!N19=0,0,SER_hh_fech_in!N19/SER_summary!N$27)</f>
        <v>11.215226546505093</v>
      </c>
      <c r="O19" s="130">
        <f>IF(SER_hh_fech_in!O19=0,0,SER_hh_fech_in!O19/SER_summary!O$27)</f>
        <v>11.113368216652178</v>
      </c>
      <c r="P19" s="130">
        <f>IF(SER_hh_fech_in!P19=0,0,SER_hh_fech_in!P19/SER_summary!P$27)</f>
        <v>10.523013222623328</v>
      </c>
      <c r="Q19" s="130">
        <f>IF(SER_hh_fech_in!Q19=0,0,SER_hh_fech_in!Q19/SER_summary!Q$27)</f>
        <v>10.592109879914036</v>
      </c>
      <c r="R19" s="130">
        <f>IF(SER_hh_fech_in!R19=0,0,SER_hh_fech_in!R19/SER_summary!R$27)</f>
        <v>10.460535506725673</v>
      </c>
      <c r="S19" s="130">
        <f>IF(SER_hh_fech_in!S19=0,0,SER_hh_fech_in!S19/SER_summary!S$27)</f>
        <v>10.453586248291275</v>
      </c>
      <c r="T19" s="130">
        <f>IF(SER_hh_fech_in!T19=0,0,SER_hh_fech_in!T19/SER_summary!T$27)</f>
        <v>10.074373464353242</v>
      </c>
      <c r="U19" s="130">
        <f>IF(SER_hh_fech_in!U19=0,0,SER_hh_fech_in!U19/SER_summary!U$27)</f>
        <v>9.999807503883348</v>
      </c>
      <c r="V19" s="130">
        <f>IF(SER_hh_fech_in!V19=0,0,SER_hh_fech_in!V19/SER_summary!V$27)</f>
        <v>9.1462123445573553</v>
      </c>
      <c r="W19" s="130">
        <f>IF(SER_hh_fech_in!W19=0,0,SER_hh_fech_in!W19/SER_summary!W$27)</f>
        <v>8.9408038722454659</v>
      </c>
      <c r="X19" s="130">
        <f>IF(SER_hh_fech_in!X19=0,0,SER_hh_fech_in!X19/SER_summary!X$27)</f>
        <v>8.566283328908737</v>
      </c>
      <c r="Y19" s="130">
        <f>IF(SER_hh_fech_in!Y19=0,0,SER_hh_fech_in!Y19/SER_summary!Y$27)</f>
        <v>9.040875130757323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0</v>
      </c>
      <c r="D20" s="132">
        <f>IF(SER_hh_fech_in!D20=0,0,SER_hh_fech_in!D20/SER_summary!D$27)</f>
        <v>0</v>
      </c>
      <c r="E20" s="132">
        <f>IF(SER_hh_fech_in!E20=0,0,SER_hh_fech_in!E20/SER_summary!E$27)</f>
        <v>0</v>
      </c>
      <c r="F20" s="132">
        <f>IF(SER_hh_fech_in!F20=0,0,SER_hh_fech_in!F20/SER_summary!F$27)</f>
        <v>0</v>
      </c>
      <c r="G20" s="132">
        <f>IF(SER_hh_fech_in!G20=0,0,SER_hh_fech_in!G20/SER_summary!G$27)</f>
        <v>0</v>
      </c>
      <c r="H20" s="132">
        <f>IF(SER_hh_fech_in!H20=0,0,SER_hh_fech_in!H20/SER_summary!H$27)</f>
        <v>0</v>
      </c>
      <c r="I20" s="132">
        <f>IF(SER_hh_fech_in!I20=0,0,SER_hh_fech_in!I20/SER_summary!I$27)</f>
        <v>0</v>
      </c>
      <c r="J20" s="132">
        <f>IF(SER_hh_fech_in!J20=0,0,SER_hh_fech_in!J20/SER_summary!J$27)</f>
        <v>0</v>
      </c>
      <c r="K20" s="132">
        <f>IF(SER_hh_fech_in!K20=0,0,SER_hh_fech_in!K20/SER_summary!K$27)</f>
        <v>0</v>
      </c>
      <c r="L20" s="132">
        <f>IF(SER_hh_fech_in!L20=0,0,SER_hh_fech_in!L20/SER_summary!L$27)</f>
        <v>0</v>
      </c>
      <c r="M20" s="132">
        <f>IF(SER_hh_fech_in!M20=0,0,SER_hh_fech_in!M20/SER_summary!M$27)</f>
        <v>0</v>
      </c>
      <c r="N20" s="132">
        <f>IF(SER_hh_fech_in!N20=0,0,SER_hh_fech_in!N20/SER_summary!N$27)</f>
        <v>0</v>
      </c>
      <c r="O20" s="132">
        <f>IF(SER_hh_fech_in!O20=0,0,SER_hh_fech_in!O20/SER_summary!O$27)</f>
        <v>0</v>
      </c>
      <c r="P20" s="132">
        <f>IF(SER_hh_fech_in!P20=0,0,SER_hh_fech_in!P20/SER_summary!P$27)</f>
        <v>0</v>
      </c>
      <c r="Q20" s="132">
        <f>IF(SER_hh_fech_in!Q20=0,0,SER_hh_fech_in!Q20/SER_summary!Q$27)</f>
        <v>0</v>
      </c>
      <c r="R20" s="132">
        <f>IF(SER_hh_fech_in!R20=0,0,SER_hh_fech_in!R20/SER_summary!R$27)</f>
        <v>0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0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0</v>
      </c>
      <c r="D21" s="132">
        <f>IF(SER_hh_fech_in!D21=0,0,SER_hh_fech_in!D21/SER_summary!D$27)</f>
        <v>0</v>
      </c>
      <c r="E21" s="132">
        <f>IF(SER_hh_fech_in!E21=0,0,SER_hh_fech_in!E21/SER_summary!E$27)</f>
        <v>0</v>
      </c>
      <c r="F21" s="132">
        <f>IF(SER_hh_fech_in!F21=0,0,SER_hh_fech_in!F21/SER_summary!F$27)</f>
        <v>0</v>
      </c>
      <c r="G21" s="132">
        <f>IF(SER_hh_fech_in!G21=0,0,SER_hh_fech_in!G21/SER_summary!G$27)</f>
        <v>0</v>
      </c>
      <c r="H21" s="132">
        <f>IF(SER_hh_fech_in!H21=0,0,SER_hh_fech_in!H21/SER_summary!H$27)</f>
        <v>0</v>
      </c>
      <c r="I21" s="132">
        <f>IF(SER_hh_fech_in!I21=0,0,SER_hh_fech_in!I21/SER_summary!I$27)</f>
        <v>0</v>
      </c>
      <c r="J21" s="132">
        <f>IF(SER_hh_fech_in!J21=0,0,SER_hh_fech_in!J21/SER_summary!J$27)</f>
        <v>0</v>
      </c>
      <c r="K21" s="132">
        <f>IF(SER_hh_fech_in!K21=0,0,SER_hh_fech_in!K21/SER_summary!K$27)</f>
        <v>0</v>
      </c>
      <c r="L21" s="132">
        <f>IF(SER_hh_fech_in!L21=0,0,SER_hh_fech_in!L21/SER_summary!L$27)</f>
        <v>0</v>
      </c>
      <c r="M21" s="132">
        <f>IF(SER_hh_fech_in!M21=0,0,SER_hh_fech_in!M21/SER_summary!M$27)</f>
        <v>0</v>
      </c>
      <c r="N21" s="132">
        <f>IF(SER_hh_fech_in!N21=0,0,SER_hh_fech_in!N21/SER_summary!N$27)</f>
        <v>0</v>
      </c>
      <c r="O21" s="132">
        <f>IF(SER_hh_fech_in!O21=0,0,SER_hh_fech_in!O21/SER_summary!O$27)</f>
        <v>0</v>
      </c>
      <c r="P21" s="132">
        <f>IF(SER_hh_fech_in!P21=0,0,SER_hh_fech_in!P21/SER_summary!P$27)</f>
        <v>0</v>
      </c>
      <c r="Q21" s="132">
        <f>IF(SER_hh_fech_in!Q21=0,0,SER_hh_fech_in!Q21/SER_summary!Q$27)</f>
        <v>0</v>
      </c>
      <c r="R21" s="132">
        <f>IF(SER_hh_fech_in!R21=0,0,SER_hh_fech_in!R21/SER_summary!R$27)</f>
        <v>0</v>
      </c>
      <c r="S21" s="132">
        <f>IF(SER_hh_fech_in!S21=0,0,SER_hh_fech_in!S21/SER_summary!S$27)</f>
        <v>0</v>
      </c>
      <c r="T21" s="132">
        <f>IF(SER_hh_fech_in!T21=0,0,SER_hh_fech_in!T21/SER_summary!T$27)</f>
        <v>0</v>
      </c>
      <c r="U21" s="132">
        <f>IF(SER_hh_fech_in!U21=0,0,SER_hh_fech_in!U21/SER_summary!U$27)</f>
        <v>0</v>
      </c>
      <c r="V21" s="132">
        <f>IF(SER_hh_fech_in!V21=0,0,SER_hh_fech_in!V21/SER_summary!V$27)</f>
        <v>0</v>
      </c>
      <c r="W21" s="132">
        <f>IF(SER_hh_fech_in!W21=0,0,SER_hh_fech_in!W21/SER_summary!W$27)</f>
        <v>0</v>
      </c>
      <c r="X21" s="132">
        <f>IF(SER_hh_fech_in!X21=0,0,SER_hh_fech_in!X21/SER_summary!X$27)</f>
        <v>0</v>
      </c>
      <c r="Y21" s="132">
        <f>IF(SER_hh_fech_in!Y21=0,0,SER_hh_fech_in!Y21/SER_summary!Y$27)</f>
        <v>0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0</v>
      </c>
      <c r="D22" s="132">
        <f>IF(SER_hh_fech_in!D22=0,0,SER_hh_fech_in!D22/SER_summary!D$27)</f>
        <v>0</v>
      </c>
      <c r="E22" s="132">
        <f>IF(SER_hh_fech_in!E22=0,0,SER_hh_fech_in!E22/SER_summary!E$27)</f>
        <v>0</v>
      </c>
      <c r="F22" s="132">
        <f>IF(SER_hh_fech_in!F22=0,0,SER_hh_fech_in!F22/SER_summary!F$27)</f>
        <v>0</v>
      </c>
      <c r="G22" s="132">
        <f>IF(SER_hh_fech_in!G22=0,0,SER_hh_fech_in!G22/SER_summary!G$27)</f>
        <v>0</v>
      </c>
      <c r="H22" s="132">
        <f>IF(SER_hh_fech_in!H22=0,0,SER_hh_fech_in!H22/SER_summary!H$27)</f>
        <v>0</v>
      </c>
      <c r="I22" s="132">
        <f>IF(SER_hh_fech_in!I22=0,0,SER_hh_fech_in!I22/SER_summary!I$27)</f>
        <v>0</v>
      </c>
      <c r="J22" s="132">
        <f>IF(SER_hh_fech_in!J22=0,0,SER_hh_fech_in!J22/SER_summary!J$27)</f>
        <v>0</v>
      </c>
      <c r="K22" s="132">
        <f>IF(SER_hh_fech_in!K22=0,0,SER_hh_fech_in!K22/SER_summary!K$27)</f>
        <v>0</v>
      </c>
      <c r="L22" s="132">
        <f>IF(SER_hh_fech_in!L22=0,0,SER_hh_fech_in!L22/SER_summary!L$27)</f>
        <v>0</v>
      </c>
      <c r="M22" s="132">
        <f>IF(SER_hh_fech_in!M22=0,0,SER_hh_fech_in!M22/SER_summary!M$27)</f>
        <v>0</v>
      </c>
      <c r="N22" s="132">
        <f>IF(SER_hh_fech_in!N22=0,0,SER_hh_fech_in!N22/SER_summary!N$27)</f>
        <v>0</v>
      </c>
      <c r="O22" s="132">
        <f>IF(SER_hh_fech_in!O22=0,0,SER_hh_fech_in!O22/SER_summary!O$27)</f>
        <v>0</v>
      </c>
      <c r="P22" s="132">
        <f>IF(SER_hh_fech_in!P22=0,0,SER_hh_fech_in!P22/SER_summary!P$27)</f>
        <v>0</v>
      </c>
      <c r="Q22" s="132">
        <f>IF(SER_hh_fech_in!Q22=0,0,SER_hh_fech_in!Q22/SER_summary!Q$27)</f>
        <v>0</v>
      </c>
      <c r="R22" s="132">
        <f>IF(SER_hh_fech_in!R22=0,0,SER_hh_fech_in!R22/SER_summary!R$27)</f>
        <v>0</v>
      </c>
      <c r="S22" s="132">
        <f>IF(SER_hh_fech_in!S22=0,0,SER_hh_fech_in!S22/SER_summary!S$27)</f>
        <v>0</v>
      </c>
      <c r="T22" s="132">
        <f>IF(SER_hh_fech_in!T22=0,0,SER_hh_fech_in!T22/SER_summary!T$27)</f>
        <v>0</v>
      </c>
      <c r="U22" s="132">
        <f>IF(SER_hh_fech_in!U22=0,0,SER_hh_fech_in!U22/SER_summary!U$27)</f>
        <v>0</v>
      </c>
      <c r="V22" s="132">
        <f>IF(SER_hh_fech_in!V22=0,0,SER_hh_fech_in!V22/SER_summary!V$27)</f>
        <v>0</v>
      </c>
      <c r="W22" s="132">
        <f>IF(SER_hh_fech_in!W22=0,0,SER_hh_fech_in!W22/SER_summary!W$27)</f>
        <v>0</v>
      </c>
      <c r="X22" s="132">
        <f>IF(SER_hh_fech_in!X22=0,0,SER_hh_fech_in!X22/SER_summary!X$27)</f>
        <v>0</v>
      </c>
      <c r="Y22" s="132">
        <f>IF(SER_hh_fech_in!Y22=0,0,SER_hh_fech_in!Y22/SER_summary!Y$27)</f>
        <v>0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13.832643009367779</v>
      </c>
      <c r="D23" s="132">
        <f>IF(SER_hh_fech_in!D23=0,0,SER_hh_fech_in!D23/SER_summary!D$27)</f>
        <v>13.662974341411878</v>
      </c>
      <c r="E23" s="132">
        <f>IF(SER_hh_fech_in!E23=0,0,SER_hh_fech_in!E23/SER_summary!E$27)</f>
        <v>12.929512222397294</v>
      </c>
      <c r="F23" s="132">
        <f>IF(SER_hh_fech_in!F23=0,0,SER_hh_fech_in!F23/SER_summary!F$27)</f>
        <v>12.519588305103792</v>
      </c>
      <c r="G23" s="132">
        <f>IF(SER_hh_fech_in!G23=0,0,SER_hh_fech_in!G23/SER_summary!G$27)</f>
        <v>12.458589203067973</v>
      </c>
      <c r="H23" s="132">
        <f>IF(SER_hh_fech_in!H23=0,0,SER_hh_fech_in!H23/SER_summary!H$27)</f>
        <v>12.283355449295785</v>
      </c>
      <c r="I23" s="132">
        <f>IF(SER_hh_fech_in!I23=0,0,SER_hh_fech_in!I23/SER_summary!I$27)</f>
        <v>11.801120507229241</v>
      </c>
      <c r="J23" s="132">
        <f>IF(SER_hh_fech_in!J23=0,0,SER_hh_fech_in!J23/SER_summary!J$27)</f>
        <v>11.683036945273974</v>
      </c>
      <c r="K23" s="132">
        <f>IF(SER_hh_fech_in!K23=0,0,SER_hh_fech_in!K23/SER_summary!K$27)</f>
        <v>12.092017118919834</v>
      </c>
      <c r="L23" s="132">
        <f>IF(SER_hh_fech_in!L23=0,0,SER_hh_fech_in!L23/SER_summary!L$27)</f>
        <v>12.944033741801098</v>
      </c>
      <c r="M23" s="132">
        <f>IF(SER_hh_fech_in!M23=0,0,SER_hh_fech_in!M23/SER_summary!M$27)</f>
        <v>12.456124004004575</v>
      </c>
      <c r="N23" s="132">
        <f>IF(SER_hh_fech_in!N23=0,0,SER_hh_fech_in!N23/SER_summary!N$27)</f>
        <v>12.032475089073198</v>
      </c>
      <c r="O23" s="132">
        <f>IF(SER_hh_fech_in!O23=0,0,SER_hh_fech_in!O23/SER_summary!O$27)</f>
        <v>11.673313545381029</v>
      </c>
      <c r="P23" s="132">
        <f>IF(SER_hh_fech_in!P23=0,0,SER_hh_fech_in!P23/SER_summary!P$27)</f>
        <v>10.957883394077387</v>
      </c>
      <c r="Q23" s="132">
        <f>IF(SER_hh_fech_in!Q23=0,0,SER_hh_fech_in!Q23/SER_summary!Q$27)</f>
        <v>11.028611285149937</v>
      </c>
      <c r="R23" s="132">
        <f>IF(SER_hh_fech_in!R23=0,0,SER_hh_fech_in!R23/SER_summary!R$27)</f>
        <v>10.889046467899115</v>
      </c>
      <c r="S23" s="132">
        <f>IF(SER_hh_fech_in!S23=0,0,SER_hh_fech_in!S23/SER_summary!S$27)</f>
        <v>10.881849062791328</v>
      </c>
      <c r="T23" s="132">
        <f>IF(SER_hh_fech_in!T23=0,0,SER_hh_fech_in!T23/SER_summary!T$27)</f>
        <v>10.24084846052539</v>
      </c>
      <c r="U23" s="132">
        <f>IF(SER_hh_fech_in!U23=0,0,SER_hh_fech_in!U23/SER_summary!U$27)</f>
        <v>10.389687796573385</v>
      </c>
      <c r="V23" s="132">
        <f>IF(SER_hh_fech_in!V23=0,0,SER_hh_fech_in!V23/SER_summary!V$27)</f>
        <v>9.4404934952234694</v>
      </c>
      <c r="W23" s="132">
        <f>IF(SER_hh_fech_in!W23=0,0,SER_hh_fech_in!W23/SER_summary!W$27)</f>
        <v>9.9819663714733728</v>
      </c>
      <c r="X23" s="132">
        <f>IF(SER_hh_fech_in!X23=0,0,SER_hh_fech_in!X23/SER_summary!X$27)</f>
        <v>9.5987322568647873</v>
      </c>
      <c r="Y23" s="132">
        <f>IF(SER_hh_fech_in!Y23=0,0,SER_hh_fech_in!Y23/SER_summary!Y$27)</f>
        <v>9.3426494124939445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0</v>
      </c>
      <c r="D24" s="132">
        <f>IF(SER_hh_fech_in!D24=0,0,SER_hh_fech_in!D24/SER_summary!D$27)</f>
        <v>0</v>
      </c>
      <c r="E24" s="132">
        <f>IF(SER_hh_fech_in!E24=0,0,SER_hh_fech_in!E24/SER_summary!E$27)</f>
        <v>0</v>
      </c>
      <c r="F24" s="132">
        <f>IF(SER_hh_fech_in!F24=0,0,SER_hh_fech_in!F24/SER_summary!F$27)</f>
        <v>0</v>
      </c>
      <c r="G24" s="132">
        <f>IF(SER_hh_fech_in!G24=0,0,SER_hh_fech_in!G24/SER_summary!G$27)</f>
        <v>0</v>
      </c>
      <c r="H24" s="132">
        <f>IF(SER_hh_fech_in!H24=0,0,SER_hh_fech_in!H24/SER_summary!H$27)</f>
        <v>0</v>
      </c>
      <c r="I24" s="132">
        <f>IF(SER_hh_fech_in!I24=0,0,SER_hh_fech_in!I24/SER_summary!I$27)</f>
        <v>0</v>
      </c>
      <c r="J24" s="132">
        <f>IF(SER_hh_fech_in!J24=0,0,SER_hh_fech_in!J24/SER_summary!J$27)</f>
        <v>0</v>
      </c>
      <c r="K24" s="132">
        <f>IF(SER_hh_fech_in!K24=0,0,SER_hh_fech_in!K24/SER_summary!K$27)</f>
        <v>0</v>
      </c>
      <c r="L24" s="132">
        <f>IF(SER_hh_fech_in!L24=0,0,SER_hh_fech_in!L24/SER_summary!L$27)</f>
        <v>0</v>
      </c>
      <c r="M24" s="132">
        <f>IF(SER_hh_fech_in!M24=0,0,SER_hh_fech_in!M24/SER_summary!M$27)</f>
        <v>0</v>
      </c>
      <c r="N24" s="132">
        <f>IF(SER_hh_fech_in!N24=0,0,SER_hh_fech_in!N24/SER_summary!N$27)</f>
        <v>0</v>
      </c>
      <c r="O24" s="132">
        <f>IF(SER_hh_fech_in!O24=0,0,SER_hh_fech_in!O24/SER_summary!O$27)</f>
        <v>0</v>
      </c>
      <c r="P24" s="132">
        <f>IF(SER_hh_fech_in!P24=0,0,SER_hh_fech_in!P24/SER_summary!P$27)</f>
        <v>0</v>
      </c>
      <c r="Q24" s="132">
        <f>IF(SER_hh_fech_in!Q24=0,0,SER_hh_fech_in!Q24/SER_summary!Q$27)</f>
        <v>0</v>
      </c>
      <c r="R24" s="132">
        <f>IF(SER_hh_fech_in!R24=0,0,SER_hh_fech_in!R24/SER_summary!R$27)</f>
        <v>0</v>
      </c>
      <c r="S24" s="132">
        <f>IF(SER_hh_fech_in!S24=0,0,SER_hh_fech_in!S24/SER_summary!S$27)</f>
        <v>0</v>
      </c>
      <c r="T24" s="132">
        <f>IF(SER_hh_fech_in!T24=0,0,SER_hh_fech_in!T24/SER_summary!T$27)</f>
        <v>0</v>
      </c>
      <c r="U24" s="132">
        <f>IF(SER_hh_fech_in!U24=0,0,SER_hh_fech_in!U24/SER_summary!U$27)</f>
        <v>0</v>
      </c>
      <c r="V24" s="132">
        <f>IF(SER_hh_fech_in!V24=0,0,SER_hh_fech_in!V24/SER_summary!V$27)</f>
        <v>0</v>
      </c>
      <c r="W24" s="132">
        <f>IF(SER_hh_fech_in!W24=0,0,SER_hh_fech_in!W24/SER_summary!W$27)</f>
        <v>0</v>
      </c>
      <c r="X24" s="132">
        <f>IF(SER_hh_fech_in!X24=0,0,SER_hh_fech_in!X24/SER_summary!X$27)</f>
        <v>0</v>
      </c>
      <c r="Y24" s="132">
        <f>IF(SER_hh_fech_in!Y24=0,0,SER_hh_fech_in!Y24/SER_summary!Y$27)</f>
        <v>0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10.000650119058337</v>
      </c>
      <c r="D25" s="132">
        <f>IF(SER_hh_fech_in!D25=0,0,SER_hh_fech_in!D25/SER_summary!D$27)</f>
        <v>9.7452511570854909</v>
      </c>
      <c r="E25" s="132">
        <f>IF(SER_hh_fech_in!E25=0,0,SER_hh_fech_in!E25/SER_summary!E$27)</f>
        <v>9.4713827443863003</v>
      </c>
      <c r="F25" s="132">
        <f>IF(SER_hh_fech_in!F25=0,0,SER_hh_fech_in!F25/SER_summary!F$27)</f>
        <v>9.4319950501303644</v>
      </c>
      <c r="G25" s="132">
        <f>IF(SER_hh_fech_in!G25=0,0,SER_hh_fech_in!G25/SER_summary!G$27)</f>
        <v>9.1816260815035484</v>
      </c>
      <c r="H25" s="132">
        <f>IF(SER_hh_fech_in!H25=0,0,SER_hh_fech_in!H25/SER_summary!H$27)</f>
        <v>9.2763868733225419</v>
      </c>
      <c r="I25" s="132">
        <f>IF(SER_hh_fech_in!I25=0,0,SER_hh_fech_in!I25/SER_summary!I$27)</f>
        <v>9.206650784015892</v>
      </c>
      <c r="J25" s="132">
        <f>IF(SER_hh_fech_in!J25=0,0,SER_hh_fech_in!J25/SER_summary!J$27)</f>
        <v>9.1991398042739565</v>
      </c>
      <c r="K25" s="132">
        <f>IF(SER_hh_fech_in!K25=0,0,SER_hh_fech_in!K25/SER_summary!K$27)</f>
        <v>8.748187081619502</v>
      </c>
      <c r="L25" s="132">
        <f>IF(SER_hh_fech_in!L25=0,0,SER_hh_fech_in!L25/SER_summary!L$27)</f>
        <v>9.8345489048312373</v>
      </c>
      <c r="M25" s="132">
        <f>IF(SER_hh_fech_in!M25=0,0,SER_hh_fech_in!M25/SER_summary!M$27)</f>
        <v>9.9463671038536923</v>
      </c>
      <c r="N25" s="132">
        <f>IF(SER_hh_fech_in!N25=0,0,SER_hh_fech_in!N25/SER_summary!N$27)</f>
        <v>9.8906164401585368</v>
      </c>
      <c r="O25" s="132">
        <f>IF(SER_hh_fech_in!O25=0,0,SER_hh_fech_in!O25/SER_summary!O$27)</f>
        <v>9.982727601560935</v>
      </c>
      <c r="P25" s="132">
        <f>IF(SER_hh_fech_in!P25=0,0,SER_hh_fech_in!P25/SER_summary!P$27)</f>
        <v>9.5361713956198226</v>
      </c>
      <c r="Q25" s="132">
        <f>IF(SER_hh_fech_in!Q25=0,0,SER_hh_fech_in!Q25/SER_summary!Q$27)</f>
        <v>9.8158483403961245</v>
      </c>
      <c r="R25" s="132">
        <f>IF(SER_hh_fech_in!R25=0,0,SER_hh_fech_in!R25/SER_summary!R$27)</f>
        <v>10.071509755750286</v>
      </c>
      <c r="S25" s="132">
        <f>IF(SER_hh_fech_in!S25=0,0,SER_hh_fech_in!S25/SER_summary!S$27)</f>
        <v>9.6525722054752237</v>
      </c>
      <c r="T25" s="132">
        <f>IF(SER_hh_fech_in!T25=0,0,SER_hh_fech_in!T25/SER_summary!T$27)</f>
        <v>9.8906428643545787</v>
      </c>
      <c r="U25" s="132">
        <f>IF(SER_hh_fech_in!U25=0,0,SER_hh_fech_in!U25/SER_summary!U$27)</f>
        <v>9.3455011645582466</v>
      </c>
      <c r="V25" s="132">
        <f>IF(SER_hh_fech_in!V25=0,0,SER_hh_fech_in!V25/SER_summary!V$27)</f>
        <v>8.6869557127151396</v>
      </c>
      <c r="W25" s="132">
        <f>IF(SER_hh_fech_in!W25=0,0,SER_hh_fech_in!W25/SER_summary!W$27)</f>
        <v>9.4859763275336046</v>
      </c>
      <c r="X25" s="132">
        <f>IF(SER_hh_fech_in!X25=0,0,SER_hh_fech_in!X25/SER_summary!X$27)</f>
        <v>8.9048587950040741</v>
      </c>
      <c r="Y25" s="132">
        <f>IF(SER_hh_fech_in!Y25=0,0,SER_hh_fech_in!Y25/SER_summary!Y$27)</f>
        <v>8.8580885379053367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12.138835214323386</v>
      </c>
      <c r="D26" s="65">
        <f>IF(SER_hh_fech_in!D26=0,0,SER_hh_fech_in!D26/SER_summary!D$27)</f>
        <v>11.849689493397142</v>
      </c>
      <c r="E26" s="65">
        <f>IF(SER_hh_fech_in!E26=0,0,SER_hh_fech_in!E26/SER_summary!E$27)</f>
        <v>7.8774655498776749</v>
      </c>
      <c r="F26" s="65">
        <f>IF(SER_hh_fech_in!F26=0,0,SER_hh_fech_in!F26/SER_summary!F$27)</f>
        <v>10.036084231480698</v>
      </c>
      <c r="G26" s="65">
        <f>IF(SER_hh_fech_in!G26=0,0,SER_hh_fech_in!G26/SER_summary!G$27)</f>
        <v>10.596706822932443</v>
      </c>
      <c r="H26" s="65">
        <f>IF(SER_hh_fech_in!H26=0,0,SER_hh_fech_in!H26/SER_summary!H$27)</f>
        <v>10.480160436933952</v>
      </c>
      <c r="I26" s="65">
        <f>IF(SER_hh_fech_in!I26=0,0,SER_hh_fech_in!I26/SER_summary!I$27)</f>
        <v>10.410328156665923</v>
      </c>
      <c r="J26" s="65">
        <f>IF(SER_hh_fech_in!J26=0,0,SER_hh_fech_in!J26/SER_summary!J$27)</f>
        <v>9.2916238503002226</v>
      </c>
      <c r="K26" s="65">
        <f>IF(SER_hh_fech_in!K26=0,0,SER_hh_fech_in!K26/SER_summary!K$27)</f>
        <v>4.7539821589290332</v>
      </c>
      <c r="L26" s="65">
        <f>IF(SER_hh_fech_in!L26=0,0,SER_hh_fech_in!L26/SER_summary!L$27)</f>
        <v>8.2932636333329128</v>
      </c>
      <c r="M26" s="65">
        <f>IF(SER_hh_fech_in!M26=0,0,SER_hh_fech_in!M26/SER_summary!M$27)</f>
        <v>9.3227522410216377</v>
      </c>
      <c r="N26" s="65">
        <f>IF(SER_hh_fech_in!N26=0,0,SER_hh_fech_in!N26/SER_summary!N$27)</f>
        <v>9.121733805723089</v>
      </c>
      <c r="O26" s="65">
        <f>IF(SER_hh_fech_in!O26=0,0,SER_hh_fech_in!O26/SER_summary!O$27)</f>
        <v>9.2555805713103929</v>
      </c>
      <c r="P26" s="65">
        <f>IF(SER_hh_fech_in!P26=0,0,SER_hh_fech_in!P26/SER_summary!P$27)</f>
        <v>4.5338581521070322</v>
      </c>
      <c r="Q26" s="65">
        <f>IF(SER_hh_fech_in!Q26=0,0,SER_hh_fech_in!Q26/SER_summary!Q$27)</f>
        <v>9.2690589070756335</v>
      </c>
      <c r="R26" s="65">
        <f>IF(SER_hh_fech_in!R26=0,0,SER_hh_fech_in!R26/SER_summary!R$27)</f>
        <v>8.7645086439780933</v>
      </c>
      <c r="S26" s="65">
        <f>IF(SER_hh_fech_in!S26=0,0,SER_hh_fech_in!S26/SER_summary!S$27)</f>
        <v>7.9742856705470357</v>
      </c>
      <c r="T26" s="65">
        <f>IF(SER_hh_fech_in!T26=0,0,SER_hh_fech_in!T26/SER_summary!T$27)</f>
        <v>7.8550646844127483</v>
      </c>
      <c r="U26" s="65">
        <f>IF(SER_hh_fech_in!U26=0,0,SER_hh_fech_in!U26/SER_summary!U$27)</f>
        <v>7.7166553469165908</v>
      </c>
      <c r="V26" s="65">
        <f>IF(SER_hh_fech_in!V26=0,0,SER_hh_fech_in!V26/SER_summary!V$27)</f>
        <v>5.5871690314503022</v>
      </c>
      <c r="W26" s="65">
        <f>IF(SER_hh_fech_in!W26=0,0,SER_hh_fech_in!W26/SER_summary!W$27)</f>
        <v>8.1509870103200015</v>
      </c>
      <c r="X26" s="65">
        <f>IF(SER_hh_fech_in!X26=0,0,SER_hh_fech_in!X26/SER_summary!X$27)</f>
        <v>6.2085079994718591</v>
      </c>
      <c r="Y26" s="65">
        <f>IF(SER_hh_fech_in!Y26=0,0,SER_hh_fech_in!Y26/SER_summary!Y$27)</f>
        <v>9.0267413989093797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0</v>
      </c>
      <c r="D27" s="145">
        <f>IF(SER_hh_fech_in!D27=0,0,SER_hh_fech_in!D27/SER_summary!D$27)</f>
        <v>0</v>
      </c>
      <c r="E27" s="145">
        <f>IF(SER_hh_fech_in!E27=0,0,SER_hh_fech_in!E27/SER_summary!E$27)</f>
        <v>0.84475393839393453</v>
      </c>
      <c r="F27" s="145">
        <f>IF(SER_hh_fech_in!F27=0,0,SER_hh_fech_in!F27/SER_summary!F$27)</f>
        <v>0.2694278585930347</v>
      </c>
      <c r="G27" s="145">
        <f>IF(SER_hh_fech_in!G27=0,0,SER_hh_fech_in!G27/SER_summary!G$27)</f>
        <v>0.14030486762320585</v>
      </c>
      <c r="H27" s="145">
        <f>IF(SER_hh_fech_in!H27=0,0,SER_hh_fech_in!H27/SER_summary!H$27)</f>
        <v>0.16838822886932081</v>
      </c>
      <c r="I27" s="145">
        <f>IF(SER_hh_fech_in!I27=0,0,SER_hh_fech_in!I27/SER_summary!I$27)</f>
        <v>0.23427973475696601</v>
      </c>
      <c r="J27" s="145">
        <f>IF(SER_hh_fech_in!J27=0,0,SER_hh_fech_in!J27/SER_summary!J$27)</f>
        <v>0.50292052704076196</v>
      </c>
      <c r="K27" s="145">
        <f>IF(SER_hh_fech_in!K27=0,0,SER_hh_fech_in!K27/SER_summary!K$27)</f>
        <v>1.3637850764752302</v>
      </c>
      <c r="L27" s="145">
        <f>IF(SER_hh_fech_in!L27=0,0,SER_hh_fech_in!L27/SER_summary!L$27)</f>
        <v>1.0563878535335038</v>
      </c>
      <c r="M27" s="145">
        <f>IF(SER_hh_fech_in!M27=0,0,SER_hh_fech_in!M27/SER_summary!M$27)</f>
        <v>0.75363287324381101</v>
      </c>
      <c r="N27" s="145">
        <f>IF(SER_hh_fech_in!N27=0,0,SER_hh_fech_in!N27/SER_summary!N$27)</f>
        <v>0.9043177167935188</v>
      </c>
      <c r="O27" s="145">
        <f>IF(SER_hh_fech_in!O27=0,0,SER_hh_fech_in!O27/SER_summary!O$27)</f>
        <v>0.69845673934953545</v>
      </c>
      <c r="P27" s="145">
        <f>IF(SER_hh_fech_in!P27=0,0,SER_hh_fech_in!P27/SER_summary!P$27)</f>
        <v>1.4344000272290074</v>
      </c>
      <c r="Q27" s="145">
        <f>IF(SER_hh_fech_in!Q27=0,0,SER_hh_fech_in!Q27/SER_summary!Q$27)</f>
        <v>0.27379749660824654</v>
      </c>
      <c r="R27" s="145">
        <f>IF(SER_hh_fech_in!R27=0,0,SER_hh_fech_in!R27/SER_summary!R$27)</f>
        <v>0.44886212076141219</v>
      </c>
      <c r="S27" s="145">
        <f>IF(SER_hh_fech_in!S27=0,0,SER_hh_fech_in!S27/SER_summary!S$27)</f>
        <v>0.63515152497963645</v>
      </c>
      <c r="T27" s="145">
        <f>IF(SER_hh_fech_in!T27=0,0,SER_hh_fech_in!T27/SER_summary!T$27)</f>
        <v>0.78809681689385769</v>
      </c>
      <c r="U27" s="145">
        <f>IF(SER_hh_fech_in!U27=0,0,SER_hh_fech_in!U27/SER_summary!U$27)</f>
        <v>0.63638052022547109</v>
      </c>
      <c r="V27" s="145">
        <f>IF(SER_hh_fech_in!V27=0,0,SER_hh_fech_in!V27/SER_summary!V$27)</f>
        <v>1.3899180216293991</v>
      </c>
      <c r="W27" s="145">
        <f>IF(SER_hh_fech_in!W27=0,0,SER_hh_fech_in!W27/SER_summary!W$27)</f>
        <v>0</v>
      </c>
      <c r="X27" s="145">
        <f>IF(SER_hh_fech_in!X27=0,0,SER_hh_fech_in!X27/SER_summary!X$27)</f>
        <v>1.4649582557750349</v>
      </c>
      <c r="Y27" s="145">
        <f>IF(SER_hh_fech_in!Y27=0,0,SER_hh_fech_in!Y27/SER_summary!Y$27)</f>
        <v>1.7596919202081755E-15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0</v>
      </c>
      <c r="D28" s="146">
        <f>IF(SER_hh_fech_in!D28=0,0,SER_hh_fech_in!D28/SER_summary!D$27)</f>
        <v>0</v>
      </c>
      <c r="E28" s="146">
        <f>IF(SER_hh_fech_in!E28=0,0,SER_hh_fech_in!E28/SER_summary!E$27)</f>
        <v>3.8754673301017024</v>
      </c>
      <c r="F28" s="146">
        <f>IF(SER_hh_fech_in!F28=0,0,SER_hh_fech_in!F28/SER_summary!F$27)</f>
        <v>3.7443780598058098</v>
      </c>
      <c r="G28" s="146">
        <f>IF(SER_hh_fech_in!G28=0,0,SER_hh_fech_in!G28/SER_summary!G$27)</f>
        <v>3.8290776343839501</v>
      </c>
      <c r="H28" s="146">
        <f>IF(SER_hh_fech_in!H28=0,0,SER_hh_fech_in!H28/SER_summary!H$27)</f>
        <v>3.6904962532665286</v>
      </c>
      <c r="I28" s="146">
        <f>IF(SER_hh_fech_in!I28=0,0,SER_hh_fech_in!I28/SER_summary!I$27)</f>
        <v>3.7611192602108221</v>
      </c>
      <c r="J28" s="146">
        <f>IF(SER_hh_fech_in!J28=0,0,SER_hh_fech_in!J28/SER_summary!J$27)</f>
        <v>3.8405458396913512</v>
      </c>
      <c r="K28" s="146">
        <f>IF(SER_hh_fech_in!K28=0,0,SER_hh_fech_in!K28/SER_summary!K$27)</f>
        <v>4.3017374643346775</v>
      </c>
      <c r="L28" s="146">
        <f>IF(SER_hh_fech_in!L28=0,0,SER_hh_fech_in!L28/SER_summary!L$27)</f>
        <v>4.3091261866560027</v>
      </c>
      <c r="M28" s="146">
        <f>IF(SER_hh_fech_in!M28=0,0,SER_hh_fech_in!M28/SER_summary!M$27)</f>
        <v>4.7493576729857256</v>
      </c>
      <c r="N28" s="146">
        <f>IF(SER_hh_fech_in!N28=0,0,SER_hh_fech_in!N28/SER_summary!N$27)</f>
        <v>4.9095503956966136</v>
      </c>
      <c r="O28" s="146">
        <f>IF(SER_hh_fech_in!O28=0,0,SER_hh_fech_in!O28/SER_summary!O$27)</f>
        <v>5.0705832653386835</v>
      </c>
      <c r="P28" s="146">
        <f>IF(SER_hh_fech_in!P28=0,0,SER_hh_fech_in!P28/SER_summary!P$27)</f>
        <v>4.7579177011498919</v>
      </c>
      <c r="Q28" s="146">
        <f>IF(SER_hh_fech_in!Q28=0,0,SER_hh_fech_in!Q28/SER_summary!Q$27)</f>
        <v>5.0137713281906864</v>
      </c>
      <c r="R28" s="146">
        <f>IF(SER_hh_fech_in!R28=0,0,SER_hh_fech_in!R28/SER_summary!R$27)</f>
        <v>5.1929462377994149</v>
      </c>
      <c r="S28" s="146">
        <f>IF(SER_hh_fech_in!S28=0,0,SER_hh_fech_in!S28/SER_summary!S$27)</f>
        <v>5.1836771376644597</v>
      </c>
      <c r="T28" s="146">
        <f>IF(SER_hh_fech_in!T28=0,0,SER_hh_fech_in!T28/SER_summary!T$27)</f>
        <v>5.0589135924060047</v>
      </c>
      <c r="U28" s="146">
        <f>IF(SER_hh_fech_in!U28=0,0,SER_hh_fech_in!U28/SER_summary!U$27)</f>
        <v>5.0289268177759006</v>
      </c>
      <c r="V28" s="146">
        <f>IF(SER_hh_fech_in!V28=0,0,SER_hh_fech_in!V28/SER_summary!V$27)</f>
        <v>4.5822705121924585</v>
      </c>
      <c r="W28" s="146">
        <f>IF(SER_hh_fech_in!W28=0,0,SER_hh_fech_in!W28/SER_summary!W$27)</f>
        <v>0</v>
      </c>
      <c r="X28" s="146">
        <f>IF(SER_hh_fech_in!X28=0,0,SER_hh_fech_in!X28/SER_summary!X$27)</f>
        <v>4.6938472975102403</v>
      </c>
      <c r="Y28" s="146">
        <f>IF(SER_hh_fech_in!Y28=0,0,SER_hh_fech_in!Y28/SER_summary!Y$27)</f>
        <v>5.3584455936536797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12.876504787301759</v>
      </c>
      <c r="D29" s="130">
        <f>IF(SER_hh_fech_in!D29=0,0,SER_hh_fech_in!D29/SER_summary!D$27)</f>
        <v>12.763936957617762</v>
      </c>
      <c r="E29" s="130">
        <f>IF(SER_hh_fech_in!E29=0,0,SER_hh_fech_in!E29/SER_summary!E$27)</f>
        <v>12.673388026743288</v>
      </c>
      <c r="F29" s="130">
        <f>IF(SER_hh_fech_in!F29=0,0,SER_hh_fech_in!F29/SER_summary!F$27)</f>
        <v>12.483810118041138</v>
      </c>
      <c r="G29" s="130">
        <f>IF(SER_hh_fech_in!G29=0,0,SER_hh_fech_in!G29/SER_summary!G$27)</f>
        <v>12.469421732306539</v>
      </c>
      <c r="H29" s="130">
        <f>IF(SER_hh_fech_in!H29=0,0,SER_hh_fech_in!H29/SER_summary!H$27)</f>
        <v>12.322578696281459</v>
      </c>
      <c r="I29" s="130">
        <f>IF(SER_hh_fech_in!I29=0,0,SER_hh_fech_in!I29/SER_summary!I$27)</f>
        <v>12.382105570714266</v>
      </c>
      <c r="J29" s="130">
        <f>IF(SER_hh_fech_in!J29=0,0,SER_hh_fech_in!J29/SER_summary!J$27)</f>
        <v>12.607465297601522</v>
      </c>
      <c r="K29" s="130">
        <f>IF(SER_hh_fech_in!K29=0,0,SER_hh_fech_in!K29/SER_summary!K$27)</f>
        <v>13.503108131718969</v>
      </c>
      <c r="L29" s="130">
        <f>IF(SER_hh_fech_in!L29=0,0,SER_hh_fech_in!L29/SER_summary!L$27)</f>
        <v>13.780422546601896</v>
      </c>
      <c r="M29" s="130">
        <f>IF(SER_hh_fech_in!M29=0,0,SER_hh_fech_in!M29/SER_summary!M$27)</f>
        <v>13.440284965309102</v>
      </c>
      <c r="N29" s="130">
        <f>IF(SER_hh_fech_in!N29=0,0,SER_hh_fech_in!N29/SER_summary!N$27)</f>
        <v>13.571753028153541</v>
      </c>
      <c r="O29" s="130">
        <f>IF(SER_hh_fech_in!O29=0,0,SER_hh_fech_in!O29/SER_summary!O$27)</f>
        <v>13.880525687247523</v>
      </c>
      <c r="P29" s="130">
        <f>IF(SER_hh_fech_in!P29=0,0,SER_hh_fech_in!P29/SER_summary!P$27)</f>
        <v>13.891662758198393</v>
      </c>
      <c r="Q29" s="130">
        <f>IF(SER_hh_fech_in!Q29=0,0,SER_hh_fech_in!Q29/SER_summary!Q$27)</f>
        <v>13.928622697545659</v>
      </c>
      <c r="R29" s="130">
        <f>IF(SER_hh_fech_in!R29=0,0,SER_hh_fech_in!R29/SER_summary!R$27)</f>
        <v>14.430902999427033</v>
      </c>
      <c r="S29" s="130">
        <f>IF(SER_hh_fech_in!S29=0,0,SER_hh_fech_in!S29/SER_summary!S$27)</f>
        <v>15.122072921210574</v>
      </c>
      <c r="T29" s="130">
        <f>IF(SER_hh_fech_in!T29=0,0,SER_hh_fech_in!T29/SER_summary!T$27)</f>
        <v>13.713727867152896</v>
      </c>
      <c r="U29" s="130">
        <f>IF(SER_hh_fech_in!U29=0,0,SER_hh_fech_in!U29/SER_summary!U$27)</f>
        <v>13.823102381853143</v>
      </c>
      <c r="V29" s="130">
        <f>IF(SER_hh_fech_in!V29=0,0,SER_hh_fech_in!V29/SER_summary!V$27)</f>
        <v>11.98172043181707</v>
      </c>
      <c r="W29" s="130">
        <f>IF(SER_hh_fech_in!W29=0,0,SER_hh_fech_in!W29/SER_summary!W$27)</f>
        <v>11.667552891635491</v>
      </c>
      <c r="X29" s="130">
        <f>IF(SER_hh_fech_in!X29=0,0,SER_hh_fech_in!X29/SER_summary!X$27)</f>
        <v>11.067560350896581</v>
      </c>
      <c r="Y29" s="130">
        <f>IF(SER_hh_fech_in!Y29=0,0,SER_hh_fech_in!Y29/SER_summary!Y$27)</f>
        <v>11.507231894332007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0</v>
      </c>
      <c r="D30" s="132">
        <f>IF(SER_hh_fech_in!D30=0,0,SER_hh_fech_in!D30/SER_summary!D$27)</f>
        <v>0</v>
      </c>
      <c r="E30" s="132">
        <f>IF(SER_hh_fech_in!E30=0,0,SER_hh_fech_in!E30/SER_summary!E$27)</f>
        <v>0</v>
      </c>
      <c r="F30" s="132">
        <f>IF(SER_hh_fech_in!F30=0,0,SER_hh_fech_in!F30/SER_summary!F$27)</f>
        <v>0</v>
      </c>
      <c r="G30" s="132">
        <f>IF(SER_hh_fech_in!G30=0,0,SER_hh_fech_in!G30/SER_summary!G$27)</f>
        <v>0</v>
      </c>
      <c r="H30" s="132">
        <f>IF(SER_hh_fech_in!H30=0,0,SER_hh_fech_in!H30/SER_summary!H$27)</f>
        <v>0</v>
      </c>
      <c r="I30" s="132">
        <f>IF(SER_hh_fech_in!I30=0,0,SER_hh_fech_in!I30/SER_summary!I$27)</f>
        <v>0</v>
      </c>
      <c r="J30" s="132">
        <f>IF(SER_hh_fech_in!J30=0,0,SER_hh_fech_in!J30/SER_summary!J$27)</f>
        <v>0</v>
      </c>
      <c r="K30" s="132">
        <f>IF(SER_hh_fech_in!K30=0,0,SER_hh_fech_in!K30/SER_summary!K$27)</f>
        <v>0</v>
      </c>
      <c r="L30" s="132">
        <f>IF(SER_hh_fech_in!L30=0,0,SER_hh_fech_in!L30/SER_summary!L$27)</f>
        <v>0</v>
      </c>
      <c r="M30" s="132">
        <f>IF(SER_hh_fech_in!M30=0,0,SER_hh_fech_in!M30/SER_summary!M$27)</f>
        <v>0</v>
      </c>
      <c r="N30" s="132">
        <f>IF(SER_hh_fech_in!N30=0,0,SER_hh_fech_in!N30/SER_summary!N$27)</f>
        <v>0</v>
      </c>
      <c r="O30" s="132">
        <f>IF(SER_hh_fech_in!O30=0,0,SER_hh_fech_in!O30/SER_summary!O$27)</f>
        <v>0</v>
      </c>
      <c r="P30" s="132">
        <f>IF(SER_hh_fech_in!P30=0,0,SER_hh_fech_in!P30/SER_summary!P$27)</f>
        <v>0</v>
      </c>
      <c r="Q30" s="132">
        <f>IF(SER_hh_fech_in!Q30=0,0,SER_hh_fech_in!Q30/SER_summary!Q$27)</f>
        <v>0</v>
      </c>
      <c r="R30" s="132">
        <f>IF(SER_hh_fech_in!R30=0,0,SER_hh_fech_in!R30/SER_summary!R$27)</f>
        <v>0</v>
      </c>
      <c r="S30" s="132">
        <f>IF(SER_hh_fech_in!S30=0,0,SER_hh_fech_in!S30/SER_summary!S$27)</f>
        <v>0</v>
      </c>
      <c r="T30" s="132">
        <f>IF(SER_hh_fech_in!T30=0,0,SER_hh_fech_in!T30/SER_summary!T$27)</f>
        <v>0</v>
      </c>
      <c r="U30" s="132">
        <f>IF(SER_hh_fech_in!U30=0,0,SER_hh_fech_in!U30/SER_summary!U$27)</f>
        <v>0</v>
      </c>
      <c r="V30" s="132">
        <f>IF(SER_hh_fech_in!V30=0,0,SER_hh_fech_in!V30/SER_summary!V$27)</f>
        <v>0</v>
      </c>
      <c r="W30" s="132">
        <f>IF(SER_hh_fech_in!W30=0,0,SER_hh_fech_in!W30/SER_summary!W$27)</f>
        <v>0</v>
      </c>
      <c r="X30" s="132">
        <f>IF(SER_hh_fech_in!X30=0,0,SER_hh_fech_in!X30/SER_summary!X$27)</f>
        <v>0</v>
      </c>
      <c r="Y30" s="132">
        <f>IF(SER_hh_fech_in!Y30=0,0,SER_hh_fech_in!Y30/SER_summary!Y$27)</f>
        <v>0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14.889251133863802</v>
      </c>
      <c r="D31" s="132">
        <f>IF(SER_hh_fech_in!D31=0,0,SER_hh_fech_in!D31/SER_summary!D$27)</f>
        <v>14.653504353916885</v>
      </c>
      <c r="E31" s="132">
        <f>IF(SER_hh_fech_in!E31=0,0,SER_hh_fech_in!E31/SER_summary!E$27)</f>
        <v>14.290270221688139</v>
      </c>
      <c r="F31" s="132">
        <f>IF(SER_hh_fech_in!F31=0,0,SER_hh_fech_in!F31/SER_summary!F$27)</f>
        <v>14.589119671467587</v>
      </c>
      <c r="G31" s="132">
        <f>IF(SER_hh_fech_in!G31=0,0,SER_hh_fech_in!G31/SER_summary!G$27)</f>
        <v>14.278847099028553</v>
      </c>
      <c r="H31" s="132">
        <f>IF(SER_hh_fech_in!H31=0,0,SER_hh_fech_in!H31/SER_summary!H$27)</f>
        <v>14.05301167570218</v>
      </c>
      <c r="I31" s="132">
        <f>IF(SER_hh_fech_in!I31=0,0,SER_hh_fech_in!I31/SER_summary!I$27)</f>
        <v>14.093345915784003</v>
      </c>
      <c r="J31" s="132">
        <f>IF(SER_hh_fech_in!J31=0,0,SER_hh_fech_in!J31/SER_summary!J$27)</f>
        <v>14.329783198706172</v>
      </c>
      <c r="K31" s="132">
        <f>IF(SER_hh_fech_in!K31=0,0,SER_hh_fech_in!K31/SER_summary!K$27)</f>
        <v>16.001936152265294</v>
      </c>
      <c r="L31" s="132">
        <f>IF(SER_hh_fech_in!L31=0,0,SER_hh_fech_in!L31/SER_summary!L$27)</f>
        <v>15.492815891259239</v>
      </c>
      <c r="M31" s="132">
        <f>IF(SER_hh_fech_in!M31=0,0,SER_hh_fech_in!M31/SER_summary!M$27)</f>
        <v>15.68748926345109</v>
      </c>
      <c r="N31" s="132">
        <f>IF(SER_hh_fech_in!N31=0,0,SER_hh_fech_in!N31/SER_summary!N$27)</f>
        <v>15.820200971581938</v>
      </c>
      <c r="O31" s="132">
        <f>IF(SER_hh_fech_in!O31=0,0,SER_hh_fech_in!O31/SER_summary!O$27)</f>
        <v>15.948074114694059</v>
      </c>
      <c r="P31" s="132">
        <f>IF(SER_hh_fech_in!P31=0,0,SER_hh_fech_in!P31/SER_summary!P$27)</f>
        <v>15.975163958100573</v>
      </c>
      <c r="Q31" s="132">
        <f>IF(SER_hh_fech_in!Q31=0,0,SER_hh_fech_in!Q31/SER_summary!Q$27)</f>
        <v>15.456040466441793</v>
      </c>
      <c r="R31" s="132">
        <f>IF(SER_hh_fech_in!R31=0,0,SER_hh_fech_in!R31/SER_summary!R$27)</f>
        <v>15.81512792744701</v>
      </c>
      <c r="S31" s="132">
        <f>IF(SER_hh_fech_in!S31=0,0,SER_hh_fech_in!S31/SER_summary!S$27)</f>
        <v>16.850531765710016</v>
      </c>
      <c r="T31" s="132">
        <f>IF(SER_hh_fech_in!T31=0,0,SER_hh_fech_in!T31/SER_summary!T$27)</f>
        <v>15.37234499514244</v>
      </c>
      <c r="U31" s="132">
        <f>IF(SER_hh_fech_in!U31=0,0,SER_hh_fech_in!U31/SER_summary!U$27)</f>
        <v>16.087089085920791</v>
      </c>
      <c r="V31" s="132">
        <f>IF(SER_hh_fech_in!V31=0,0,SER_hh_fech_in!V31/SER_summary!V$27)</f>
        <v>14.866901167045777</v>
      </c>
      <c r="W31" s="132">
        <f>IF(SER_hh_fech_in!W31=0,0,SER_hh_fech_in!W31/SER_summary!W$27)</f>
        <v>15.169330587508771</v>
      </c>
      <c r="X31" s="132">
        <f>IF(SER_hh_fech_in!X31=0,0,SER_hh_fech_in!X31/SER_summary!X$27)</f>
        <v>14.876595024715495</v>
      </c>
      <c r="Y31" s="132">
        <f>IF(SER_hh_fech_in!Y31=0,0,SER_hh_fech_in!Y31/SER_summary!Y$27)</f>
        <v>14.605462581419401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0</v>
      </c>
      <c r="D32" s="132">
        <f>IF(SER_hh_fech_in!D32=0,0,SER_hh_fech_in!D32/SER_summary!D$27)</f>
        <v>0</v>
      </c>
      <c r="E32" s="132">
        <f>IF(SER_hh_fech_in!E32=0,0,SER_hh_fech_in!E32/SER_summary!E$27)</f>
        <v>0</v>
      </c>
      <c r="F32" s="132">
        <f>IF(SER_hh_fech_in!F32=0,0,SER_hh_fech_in!F32/SER_summary!F$27)</f>
        <v>0</v>
      </c>
      <c r="G32" s="132">
        <f>IF(SER_hh_fech_in!G32=0,0,SER_hh_fech_in!G32/SER_summary!G$27)</f>
        <v>0</v>
      </c>
      <c r="H32" s="132">
        <f>IF(SER_hh_fech_in!H32=0,0,SER_hh_fech_in!H32/SER_summary!H$27)</f>
        <v>0</v>
      </c>
      <c r="I32" s="132">
        <f>IF(SER_hh_fech_in!I32=0,0,SER_hh_fech_in!I32/SER_summary!I$27)</f>
        <v>0</v>
      </c>
      <c r="J32" s="132">
        <f>IF(SER_hh_fech_in!J32=0,0,SER_hh_fech_in!J32/SER_summary!J$27)</f>
        <v>0</v>
      </c>
      <c r="K32" s="132">
        <f>IF(SER_hh_fech_in!K32=0,0,SER_hh_fech_in!K32/SER_summary!K$27)</f>
        <v>0</v>
      </c>
      <c r="L32" s="132">
        <f>IF(SER_hh_fech_in!L32=0,0,SER_hh_fech_in!L32/SER_summary!L$27)</f>
        <v>0</v>
      </c>
      <c r="M32" s="132">
        <f>IF(SER_hh_fech_in!M32=0,0,SER_hh_fech_in!M32/SER_summary!M$27)</f>
        <v>0</v>
      </c>
      <c r="N32" s="132">
        <f>IF(SER_hh_fech_in!N32=0,0,SER_hh_fech_in!N32/SER_summary!N$27)</f>
        <v>0</v>
      </c>
      <c r="O32" s="132">
        <f>IF(SER_hh_fech_in!O32=0,0,SER_hh_fech_in!O32/SER_summary!O$27)</f>
        <v>0</v>
      </c>
      <c r="P32" s="132">
        <f>IF(SER_hh_fech_in!P32=0,0,SER_hh_fech_in!P32/SER_summary!P$27)</f>
        <v>0</v>
      </c>
      <c r="Q32" s="132">
        <f>IF(SER_hh_fech_in!Q32=0,0,SER_hh_fech_in!Q32/SER_summary!Q$27)</f>
        <v>0</v>
      </c>
      <c r="R32" s="132">
        <f>IF(SER_hh_fech_in!R32=0,0,SER_hh_fech_in!R32/SER_summary!R$27)</f>
        <v>0</v>
      </c>
      <c r="S32" s="132">
        <f>IF(SER_hh_fech_in!S32=0,0,SER_hh_fech_in!S32/SER_summary!S$27)</f>
        <v>0</v>
      </c>
      <c r="T32" s="132">
        <f>IF(SER_hh_fech_in!T32=0,0,SER_hh_fech_in!T32/SER_summary!T$27)</f>
        <v>0</v>
      </c>
      <c r="U32" s="132">
        <f>IF(SER_hh_fech_in!U32=0,0,SER_hh_fech_in!U32/SER_summary!U$27)</f>
        <v>0</v>
      </c>
      <c r="V32" s="132">
        <f>IF(SER_hh_fech_in!V32=0,0,SER_hh_fech_in!V32/SER_summary!V$27)</f>
        <v>0</v>
      </c>
      <c r="W32" s="132">
        <f>IF(SER_hh_fech_in!W32=0,0,SER_hh_fech_in!W32/SER_summary!W$27)</f>
        <v>0</v>
      </c>
      <c r="X32" s="132">
        <f>IF(SER_hh_fech_in!X32=0,0,SER_hh_fech_in!X32/SER_summary!X$27)</f>
        <v>0</v>
      </c>
      <c r="Y32" s="132">
        <f>IF(SER_hh_fech_in!Y32=0,0,SER_hh_fech_in!Y32/SER_summary!Y$27)</f>
        <v>0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10.498506748149907</v>
      </c>
      <c r="D33" s="68">
        <f>IF(SER_hh_fech_in!D33=0,0,SER_hh_fech_in!D33/SER_summary!D$27)</f>
        <v>10.573706134206668</v>
      </c>
      <c r="E33" s="68">
        <f>IF(SER_hh_fech_in!E33=0,0,SER_hh_fech_in!E33/SER_summary!E$27)</f>
        <v>11.072735353882543</v>
      </c>
      <c r="F33" s="68">
        <f>IF(SER_hh_fech_in!F33=0,0,SER_hh_fech_in!F33/SER_summary!F$27)</f>
        <v>10.773420897779346</v>
      </c>
      <c r="G33" s="68">
        <f>IF(SER_hh_fech_in!G33=0,0,SER_hh_fech_in!G33/SER_summary!G$27)</f>
        <v>10.73934830548858</v>
      </c>
      <c r="H33" s="68">
        <f>IF(SER_hh_fech_in!H33=0,0,SER_hh_fech_in!H33/SER_summary!H$27)</f>
        <v>10.959994068156149</v>
      </c>
      <c r="I33" s="68">
        <f>IF(SER_hh_fech_in!I33=0,0,SER_hh_fech_in!I33/SER_summary!I$27)</f>
        <v>10.703034642332597</v>
      </c>
      <c r="J33" s="68">
        <f>IF(SER_hh_fech_in!J33=0,0,SER_hh_fech_in!J33/SER_summary!J$27)</f>
        <v>10.74056608996934</v>
      </c>
      <c r="K33" s="68">
        <f>IF(SER_hh_fech_in!K33=0,0,SER_hh_fech_in!K33/SER_summary!K$27)</f>
        <v>10.690907988652315</v>
      </c>
      <c r="L33" s="68">
        <f>IF(SER_hh_fech_in!L33=0,0,SER_hh_fech_in!L33/SER_summary!L$27)</f>
        <v>11.729503973861894</v>
      </c>
      <c r="M33" s="68">
        <f>IF(SER_hh_fech_in!M33=0,0,SER_hh_fech_in!M33/SER_summary!M$27)</f>
        <v>11.864019134201072</v>
      </c>
      <c r="N33" s="68">
        <f>IF(SER_hh_fech_in!N33=0,0,SER_hh_fech_in!N33/SER_summary!N$27)</f>
        <v>11.88983652485336</v>
      </c>
      <c r="O33" s="68">
        <f>IF(SER_hh_fech_in!O33=0,0,SER_hh_fech_in!O33/SER_summary!O$27)</f>
        <v>12.081896020670664</v>
      </c>
      <c r="P33" s="68">
        <f>IF(SER_hh_fech_in!P33=0,0,SER_hh_fech_in!P33/SER_summary!P$27)</f>
        <v>11.980927204203287</v>
      </c>
      <c r="Q33" s="68">
        <f>IF(SER_hh_fech_in!Q33=0,0,SER_hh_fech_in!Q33/SER_summary!Q$27)</f>
        <v>12.278685418117396</v>
      </c>
      <c r="R33" s="68">
        <f>IF(SER_hh_fech_in!R33=0,0,SER_hh_fech_in!R33/SER_summary!R$27)</f>
        <v>11.911929528753706</v>
      </c>
      <c r="S33" s="68">
        <f>IF(SER_hh_fech_in!S33=0,0,SER_hh_fech_in!S33/SER_summary!S$27)</f>
        <v>10.993009383948939</v>
      </c>
      <c r="T33" s="68">
        <f>IF(SER_hh_fech_in!T33=0,0,SER_hh_fech_in!T33/SER_summary!T$27)</f>
        <v>11.683621843717241</v>
      </c>
      <c r="U33" s="68">
        <f>IF(SER_hh_fech_in!U33=0,0,SER_hh_fech_in!U33/SER_summary!U$27)</f>
        <v>10.96941707343851</v>
      </c>
      <c r="V33" s="68">
        <f>IF(SER_hh_fech_in!V33=0,0,SER_hh_fech_in!V33/SER_summary!V$27)</f>
        <v>10.215625202069825</v>
      </c>
      <c r="W33" s="68">
        <f>IF(SER_hh_fech_in!W33=0,0,SER_hh_fech_in!W33/SER_summary!W$27)</f>
        <v>10.462853764805827</v>
      </c>
      <c r="X33" s="68">
        <f>IF(SER_hh_fech_in!X33=0,0,SER_hh_fech_in!X33/SER_summary!X$27)</f>
        <v>10.469044837842006</v>
      </c>
      <c r="Y33" s="68">
        <f>IF(SER_hh_fech_in!Y33=0,0,SER_hh_fech_in!Y33/SER_summary!Y$27)</f>
        <v>10.870252590098231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125.83655704445255</v>
      </c>
      <c r="D3" s="125">
        <f>IF(SER_hh_tesh_in!D3=0,0,SER_hh_tesh_in!D3/SER_summary!D$27)</f>
        <v>126.61500194422733</v>
      </c>
      <c r="E3" s="125">
        <f>IF(SER_hh_tesh_in!E3=0,0,SER_hh_tesh_in!E3/SER_summary!E$27)</f>
        <v>122.16552867473609</v>
      </c>
      <c r="F3" s="125">
        <f>IF(SER_hh_tesh_in!F3=0,0,SER_hh_tesh_in!F3/SER_summary!F$27)</f>
        <v>114.84879665053755</v>
      </c>
      <c r="G3" s="125">
        <f>IF(SER_hh_tesh_in!G3=0,0,SER_hh_tesh_in!G3/SER_summary!G$27)</f>
        <v>104.06011929171351</v>
      </c>
      <c r="H3" s="125">
        <f>IF(SER_hh_tesh_in!H3=0,0,SER_hh_tesh_in!H3/SER_summary!H$27)</f>
        <v>95.981351969193966</v>
      </c>
      <c r="I3" s="125">
        <f>IF(SER_hh_tesh_in!I3=0,0,SER_hh_tesh_in!I3/SER_summary!I$27)</f>
        <v>92.744104852160703</v>
      </c>
      <c r="J3" s="125">
        <f>IF(SER_hh_tesh_in!J3=0,0,SER_hh_tesh_in!J3/SER_summary!J$27)</f>
        <v>98.348093384920745</v>
      </c>
      <c r="K3" s="125">
        <f>IF(SER_hh_tesh_in!K3=0,0,SER_hh_tesh_in!K3/SER_summary!K$27)</f>
        <v>92.401303152006392</v>
      </c>
      <c r="L3" s="125">
        <f>IF(SER_hh_tesh_in!L3=0,0,SER_hh_tesh_in!L3/SER_summary!L$27)</f>
        <v>99.797096770657831</v>
      </c>
      <c r="M3" s="125">
        <f>IF(SER_hh_tesh_in!M3=0,0,SER_hh_tesh_in!M3/SER_summary!M$27)</f>
        <v>93.321330839266054</v>
      </c>
      <c r="N3" s="125">
        <f>IF(SER_hh_tesh_in!N3=0,0,SER_hh_tesh_in!N3/SER_summary!N$27)</f>
        <v>89.560660977712047</v>
      </c>
      <c r="O3" s="125">
        <f>IF(SER_hh_tesh_in!O3=0,0,SER_hh_tesh_in!O3/SER_summary!O$27)</f>
        <v>88.414573980990113</v>
      </c>
      <c r="P3" s="125">
        <f>IF(SER_hh_tesh_in!P3=0,0,SER_hh_tesh_in!P3/SER_summary!P$27)</f>
        <v>81.761445862207651</v>
      </c>
      <c r="Q3" s="125">
        <f>IF(SER_hh_tesh_in!Q3=0,0,SER_hh_tesh_in!Q3/SER_summary!Q$27)</f>
        <v>84.366015379448839</v>
      </c>
      <c r="R3" s="125">
        <f>IF(SER_hh_tesh_in!R3=0,0,SER_hh_tesh_in!R3/SER_summary!R$27)</f>
        <v>79.425028972426006</v>
      </c>
      <c r="S3" s="125">
        <f>IF(SER_hh_tesh_in!S3=0,0,SER_hh_tesh_in!S3/SER_summary!S$27)</f>
        <v>79.681880582332894</v>
      </c>
      <c r="T3" s="125">
        <f>IF(SER_hh_tesh_in!T3=0,0,SER_hh_tesh_in!T3/SER_summary!T$27)</f>
        <v>76.78540346252376</v>
      </c>
      <c r="U3" s="125">
        <f>IF(SER_hh_tesh_in!U3=0,0,SER_hh_tesh_in!U3/SER_summary!U$27)</f>
        <v>74.690385542377129</v>
      </c>
      <c r="V3" s="125">
        <f>IF(SER_hh_tesh_in!V3=0,0,SER_hh_tesh_in!V3/SER_summary!V$27)</f>
        <v>66.188070892253052</v>
      </c>
      <c r="W3" s="125">
        <f>IF(SER_hh_tesh_in!W3=0,0,SER_hh_tesh_in!W3/SER_summary!W$27)</f>
        <v>61.10860957771429</v>
      </c>
      <c r="X3" s="125">
        <f>IF(SER_hh_tesh_in!X3=0,0,SER_hh_tesh_in!X3/SER_summary!X$27)</f>
        <v>62.010821414253293</v>
      </c>
      <c r="Y3" s="125">
        <f>IF(SER_hh_tesh_in!Y3=0,0,SER_hh_tesh_in!Y3/SER_summary!Y$27)</f>
        <v>61.755516544884053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92.957855522698949</v>
      </c>
      <c r="D4" s="130">
        <f>IF(SER_hh_tesh_in!D4=0,0,SER_hh_tesh_in!D4/SER_summary!D$27)</f>
        <v>83.706634009911284</v>
      </c>
      <c r="E4" s="130">
        <f>IF(SER_hh_tesh_in!E4=0,0,SER_hh_tesh_in!E4/SER_summary!E$27)</f>
        <v>88.259022917403399</v>
      </c>
      <c r="F4" s="130">
        <f>IF(SER_hh_tesh_in!F4=0,0,SER_hh_tesh_in!F4/SER_summary!F$27)</f>
        <v>82.476134876526402</v>
      </c>
      <c r="G4" s="130">
        <f>IF(SER_hh_tesh_in!G4=0,0,SER_hh_tesh_in!G4/SER_summary!G$27)</f>
        <v>70.485514685476076</v>
      </c>
      <c r="H4" s="130">
        <f>IF(SER_hh_tesh_in!H4=0,0,SER_hh_tesh_in!H4/SER_summary!H$27)</f>
        <v>60.22580321775537</v>
      </c>
      <c r="I4" s="130">
        <f>IF(SER_hh_tesh_in!I4=0,0,SER_hh_tesh_in!I4/SER_summary!I$27)</f>
        <v>54.674351955512442</v>
      </c>
      <c r="J4" s="130">
        <f>IF(SER_hh_tesh_in!J4=0,0,SER_hh_tesh_in!J4/SER_summary!J$27)</f>
        <v>56.170419611172299</v>
      </c>
      <c r="K4" s="130">
        <f>IF(SER_hh_tesh_in!K4=0,0,SER_hh_tesh_in!K4/SER_summary!K$27)</f>
        <v>49.249277509253353</v>
      </c>
      <c r="L4" s="130">
        <f>IF(SER_hh_tesh_in!L4=0,0,SER_hh_tesh_in!L4/SER_summary!L$27)</f>
        <v>56.017924120026237</v>
      </c>
      <c r="M4" s="130">
        <f>IF(SER_hh_tesh_in!M4=0,0,SER_hh_tesh_in!M4/SER_summary!M$27)</f>
        <v>49.948590194319422</v>
      </c>
      <c r="N4" s="130">
        <f>IF(SER_hh_tesh_in!N4=0,0,SER_hh_tesh_in!N4/SER_summary!N$27)</f>
        <v>46.100300035836334</v>
      </c>
      <c r="O4" s="130">
        <f>IF(SER_hh_tesh_in!O4=0,0,SER_hh_tesh_in!O4/SER_summary!O$27)</f>
        <v>44.038813434746601</v>
      </c>
      <c r="P4" s="130">
        <f>IF(SER_hh_tesh_in!P4=0,0,SER_hh_tesh_in!P4/SER_summary!P$27)</f>
        <v>39.181503490109492</v>
      </c>
      <c r="Q4" s="130">
        <f>IF(SER_hh_tesh_in!Q4=0,0,SER_hh_tesh_in!Q4/SER_summary!Q$27)</f>
        <v>37.820903603283973</v>
      </c>
      <c r="R4" s="130">
        <f>IF(SER_hh_tesh_in!R4=0,0,SER_hh_tesh_in!R4/SER_summary!R$27)</f>
        <v>37.324605229334665</v>
      </c>
      <c r="S4" s="130">
        <f>IF(SER_hh_tesh_in!S4=0,0,SER_hh_tesh_in!S4/SER_summary!S$27)</f>
        <v>37.13532808962659</v>
      </c>
      <c r="T4" s="130">
        <f>IF(SER_hh_tesh_in!T4=0,0,SER_hh_tesh_in!T4/SER_summary!T$27)</f>
        <v>33.766810343350421</v>
      </c>
      <c r="U4" s="130">
        <f>IF(SER_hh_tesh_in!U4=0,0,SER_hh_tesh_in!U4/SER_summary!U$27)</f>
        <v>32.540908872233274</v>
      </c>
      <c r="V4" s="130">
        <f>IF(SER_hh_tesh_in!V4=0,0,SER_hh_tesh_in!V4/SER_summary!V$27)</f>
        <v>27.925183557610392</v>
      </c>
      <c r="W4" s="130">
        <f>IF(SER_hh_tesh_in!W4=0,0,SER_hh_tesh_in!W4/SER_summary!W$27)</f>
        <v>23.394846067495546</v>
      </c>
      <c r="X4" s="130">
        <f>IF(SER_hh_tesh_in!X4=0,0,SER_hh_tesh_in!X4/SER_summary!X$27)</f>
        <v>22.608397202956283</v>
      </c>
      <c r="Y4" s="130">
        <f>IF(SER_hh_tesh_in!Y4=0,0,SER_hh_tesh_in!Y4/SER_summary!Y$27)</f>
        <v>20.606090648323022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0</v>
      </c>
      <c r="D5" s="132">
        <f>IF(SER_hh_tesh_in!D5=0,0,SER_hh_tesh_in!D5/SER_summary!D$27)</f>
        <v>0</v>
      </c>
      <c r="E5" s="132">
        <f>IF(SER_hh_tesh_in!E5=0,0,SER_hh_tesh_in!E5/SER_summary!E$27)</f>
        <v>109.98851143459378</v>
      </c>
      <c r="F5" s="132">
        <f>IF(SER_hh_tesh_in!F5=0,0,SER_hh_tesh_in!F5/SER_summary!F$27)</f>
        <v>118.25156124462542</v>
      </c>
      <c r="G5" s="132">
        <f>IF(SER_hh_tesh_in!G5=0,0,SER_hh_tesh_in!G5/SER_summary!G$27)</f>
        <v>0</v>
      </c>
      <c r="H5" s="132">
        <f>IF(SER_hh_tesh_in!H5=0,0,SER_hh_tesh_in!H5/SER_summary!H$27)</f>
        <v>0</v>
      </c>
      <c r="I5" s="132">
        <f>IF(SER_hh_tesh_in!I5=0,0,SER_hh_tesh_in!I5/SER_summary!I$27)</f>
        <v>0</v>
      </c>
      <c r="J5" s="132">
        <f>IF(SER_hh_tesh_in!J5=0,0,SER_hh_tesh_in!J5/SER_summary!J$27)</f>
        <v>0</v>
      </c>
      <c r="K5" s="132">
        <f>IF(SER_hh_tesh_in!K5=0,0,SER_hh_tesh_in!K5/SER_summary!K$27)</f>
        <v>0</v>
      </c>
      <c r="L5" s="132">
        <f>IF(SER_hh_tesh_in!L5=0,0,SER_hh_tesh_in!L5/SER_summary!L$27)</f>
        <v>0</v>
      </c>
      <c r="M5" s="132">
        <f>IF(SER_hh_tesh_in!M5=0,0,SER_hh_tesh_in!M5/SER_summary!M$27)</f>
        <v>0</v>
      </c>
      <c r="N5" s="132">
        <f>IF(SER_hh_tesh_in!N5=0,0,SER_hh_tesh_in!N5/SER_summary!N$27)</f>
        <v>44.25673025932867</v>
      </c>
      <c r="O5" s="132">
        <f>IF(SER_hh_tesh_in!O5=0,0,SER_hh_tesh_in!O5/SER_summary!O$27)</f>
        <v>46.245253197836732</v>
      </c>
      <c r="P5" s="132">
        <f>IF(SER_hh_tesh_in!P5=0,0,SER_hh_tesh_in!P5/SER_summary!P$27)</f>
        <v>39.020467344970605</v>
      </c>
      <c r="Q5" s="132">
        <f>IF(SER_hh_tesh_in!Q5=0,0,SER_hh_tesh_in!Q5/SER_summary!Q$27)</f>
        <v>0</v>
      </c>
      <c r="R5" s="132">
        <f>IF(SER_hh_tesh_in!R5=0,0,SER_hh_tesh_in!R5/SER_summary!R$27)</f>
        <v>40.180696003379779</v>
      </c>
      <c r="S5" s="132">
        <f>IF(SER_hh_tesh_in!S5=0,0,SER_hh_tesh_in!S5/SER_summary!S$27)</f>
        <v>0</v>
      </c>
      <c r="T5" s="132">
        <f>IF(SER_hh_tesh_in!T5=0,0,SER_hh_tesh_in!T5/SER_summary!T$27)</f>
        <v>0</v>
      </c>
      <c r="U5" s="132">
        <f>IF(SER_hh_tesh_in!U5=0,0,SER_hh_tesh_in!U5/SER_summary!U$27)</f>
        <v>33.056859014542098</v>
      </c>
      <c r="V5" s="132">
        <f>IF(SER_hh_tesh_in!V5=0,0,SER_hh_tesh_in!V5/SER_summary!V$27)</f>
        <v>24.500561846337192</v>
      </c>
      <c r="W5" s="132">
        <f>IF(SER_hh_tesh_in!W5=0,0,SER_hh_tesh_in!W5/SER_summary!W$27)</f>
        <v>23.729864930840364</v>
      </c>
      <c r="X5" s="132">
        <f>IF(SER_hh_tesh_in!X5=0,0,SER_hh_tesh_in!X5/SER_summary!X$27)</f>
        <v>24.568067322259679</v>
      </c>
      <c r="Y5" s="132">
        <f>IF(SER_hh_tesh_in!Y5=0,0,SER_hh_tesh_in!Y5/SER_summary!Y$27)</f>
        <v>0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0</v>
      </c>
      <c r="D6" s="132">
        <f>IF(SER_hh_tesh_in!D6=0,0,SER_hh_tesh_in!D6/SER_summary!D$27)</f>
        <v>0</v>
      </c>
      <c r="E6" s="132">
        <f>IF(SER_hh_tesh_in!E6=0,0,SER_hh_tesh_in!E6/SER_summary!E$27)</f>
        <v>0</v>
      </c>
      <c r="F6" s="132">
        <f>IF(SER_hh_tesh_in!F6=0,0,SER_hh_tesh_in!F6/SER_summary!F$27)</f>
        <v>0</v>
      </c>
      <c r="G6" s="132">
        <f>IF(SER_hh_tesh_in!G6=0,0,SER_hh_tesh_in!G6/SER_summary!G$27)</f>
        <v>0</v>
      </c>
      <c r="H6" s="132">
        <f>IF(SER_hh_tesh_in!H6=0,0,SER_hh_tesh_in!H6/SER_summary!H$27)</f>
        <v>0</v>
      </c>
      <c r="I6" s="132">
        <f>IF(SER_hh_tesh_in!I6=0,0,SER_hh_tesh_in!I6/SER_summary!I$27)</f>
        <v>0</v>
      </c>
      <c r="J6" s="132">
        <f>IF(SER_hh_tesh_in!J6=0,0,SER_hh_tesh_in!J6/SER_summary!J$27)</f>
        <v>0</v>
      </c>
      <c r="K6" s="132">
        <f>IF(SER_hh_tesh_in!K6=0,0,SER_hh_tesh_in!K6/SER_summary!K$27)</f>
        <v>0</v>
      </c>
      <c r="L6" s="132">
        <f>IF(SER_hh_tesh_in!L6=0,0,SER_hh_tesh_in!L6/SER_summary!L$27)</f>
        <v>0</v>
      </c>
      <c r="M6" s="132">
        <f>IF(SER_hh_tesh_in!M6=0,0,SER_hh_tesh_in!M6/SER_summary!M$27)</f>
        <v>0</v>
      </c>
      <c r="N6" s="132">
        <f>IF(SER_hh_tesh_in!N6=0,0,SER_hh_tesh_in!N6/SER_summary!N$27)</f>
        <v>0</v>
      </c>
      <c r="O6" s="132">
        <f>IF(SER_hh_tesh_in!O6=0,0,SER_hh_tesh_in!O6/SER_summary!O$27)</f>
        <v>0</v>
      </c>
      <c r="P6" s="132">
        <f>IF(SER_hh_tesh_in!P6=0,0,SER_hh_tesh_in!P6/SER_summary!P$27)</f>
        <v>0</v>
      </c>
      <c r="Q6" s="132">
        <f>IF(SER_hh_tesh_in!Q6=0,0,SER_hh_tesh_in!Q6/SER_summary!Q$27)</f>
        <v>0</v>
      </c>
      <c r="R6" s="132">
        <f>IF(SER_hh_tesh_in!R6=0,0,SER_hh_tesh_in!R6/SER_summary!R$27)</f>
        <v>0</v>
      </c>
      <c r="S6" s="132">
        <f>IF(SER_hh_tesh_in!S6=0,0,SER_hh_tesh_in!S6/SER_summary!S$27)</f>
        <v>0</v>
      </c>
      <c r="T6" s="132">
        <f>IF(SER_hh_tesh_in!T6=0,0,SER_hh_tesh_in!T6/SER_summary!T$27)</f>
        <v>0</v>
      </c>
      <c r="U6" s="132">
        <f>IF(SER_hh_tesh_in!U6=0,0,SER_hh_tesh_in!U6/SER_summary!U$27)</f>
        <v>0</v>
      </c>
      <c r="V6" s="132">
        <f>IF(SER_hh_tesh_in!V6=0,0,SER_hh_tesh_in!V6/SER_summary!V$27)</f>
        <v>0</v>
      </c>
      <c r="W6" s="132">
        <f>IF(SER_hh_tesh_in!W6=0,0,SER_hh_tesh_in!W6/SER_summary!W$27)</f>
        <v>0</v>
      </c>
      <c r="X6" s="132">
        <f>IF(SER_hh_tesh_in!X6=0,0,SER_hh_tesh_in!X6/SER_summary!X$27)</f>
        <v>0</v>
      </c>
      <c r="Y6" s="132">
        <f>IF(SER_hh_tesh_in!Y6=0,0,SER_hh_tesh_in!Y6/SER_summary!Y$27)</f>
        <v>0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39.492120232812475</v>
      </c>
      <c r="D7" s="132">
        <f>IF(SER_hh_tesh_in!D7=0,0,SER_hh_tesh_in!D7/SER_summary!D$27)</f>
        <v>102.84304864052035</v>
      </c>
      <c r="E7" s="132">
        <f>IF(SER_hh_tesh_in!E7=0,0,SER_hh_tesh_in!E7/SER_summary!E$27)</f>
        <v>80.396116793196356</v>
      </c>
      <c r="F7" s="132">
        <f>IF(SER_hh_tesh_in!F7=0,0,SER_hh_tesh_in!F7/SER_summary!F$27)</f>
        <v>86.094211510819164</v>
      </c>
      <c r="G7" s="132">
        <f>IF(SER_hh_tesh_in!G7=0,0,SER_hh_tesh_in!G7/SER_summary!G$27)</f>
        <v>58.330406806694185</v>
      </c>
      <c r="H7" s="132">
        <f>IF(SER_hh_tesh_in!H7=0,0,SER_hh_tesh_in!H7/SER_summary!H$27)</f>
        <v>61.948520890754196</v>
      </c>
      <c r="I7" s="132">
        <f>IF(SER_hh_tesh_in!I7=0,0,SER_hh_tesh_in!I7/SER_summary!I$27)</f>
        <v>57.335085478524761</v>
      </c>
      <c r="J7" s="132">
        <f>IF(SER_hh_tesh_in!J7=0,0,SER_hh_tesh_in!J7/SER_summary!J$27)</f>
        <v>58.161883296160184</v>
      </c>
      <c r="K7" s="132">
        <f>IF(SER_hh_tesh_in!K7=0,0,SER_hh_tesh_in!K7/SER_summary!K$27)</f>
        <v>0</v>
      </c>
      <c r="L7" s="132">
        <f>IF(SER_hh_tesh_in!L7=0,0,SER_hh_tesh_in!L7/SER_summary!L$27)</f>
        <v>55.345344208316341</v>
      </c>
      <c r="M7" s="132">
        <f>IF(SER_hh_tesh_in!M7=0,0,SER_hh_tesh_in!M7/SER_summary!M$27)</f>
        <v>39.751822588996383</v>
      </c>
      <c r="N7" s="132">
        <f>IF(SER_hh_tesh_in!N7=0,0,SER_hh_tesh_in!N7/SER_summary!N$27)</f>
        <v>56.798760184048682</v>
      </c>
      <c r="O7" s="132">
        <f>IF(SER_hh_tesh_in!O7=0,0,SER_hh_tesh_in!O7/SER_summary!O$27)</f>
        <v>41.353911975165573</v>
      </c>
      <c r="P7" s="132">
        <f>IF(SER_hh_tesh_in!P7=0,0,SER_hh_tesh_in!P7/SER_summary!P$27)</f>
        <v>25.808385635125592</v>
      </c>
      <c r="Q7" s="132">
        <f>IF(SER_hh_tesh_in!Q7=0,0,SER_hh_tesh_in!Q7/SER_summary!Q$27)</f>
        <v>45.134533572136448</v>
      </c>
      <c r="R7" s="132">
        <f>IF(SER_hh_tesh_in!R7=0,0,SER_hh_tesh_in!R7/SER_summary!R$27)</f>
        <v>40.499722442800014</v>
      </c>
      <c r="S7" s="132">
        <f>IF(SER_hh_tesh_in!S7=0,0,SER_hh_tesh_in!S7/SER_summary!S$27)</f>
        <v>40.245010428788021</v>
      </c>
      <c r="T7" s="132">
        <f>IF(SER_hh_tesh_in!T7=0,0,SER_hh_tesh_in!T7/SER_summary!T$27)</f>
        <v>0</v>
      </c>
      <c r="U7" s="132">
        <f>IF(SER_hh_tesh_in!U7=0,0,SER_hh_tesh_in!U7/SER_summary!U$27)</f>
        <v>25.692033273903068</v>
      </c>
      <c r="V7" s="132">
        <f>IF(SER_hh_tesh_in!V7=0,0,SER_hh_tesh_in!V7/SER_summary!V$27)</f>
        <v>27.01642974812145</v>
      </c>
      <c r="W7" s="132">
        <f>IF(SER_hh_tesh_in!W7=0,0,SER_hh_tesh_in!W7/SER_summary!W$27)</f>
        <v>26.142167792245392</v>
      </c>
      <c r="X7" s="132">
        <f>IF(SER_hh_tesh_in!X7=0,0,SER_hh_tesh_in!X7/SER_summary!X$27)</f>
        <v>19.605174291978276</v>
      </c>
      <c r="Y7" s="132">
        <f>IF(SER_hh_tesh_in!Y7=0,0,SER_hh_tesh_in!Y7/SER_summary!Y$27)</f>
        <v>22.159528667004604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0</v>
      </c>
      <c r="D8" s="132">
        <f>IF(SER_hh_tesh_in!D8=0,0,SER_hh_tesh_in!D8/SER_summary!D$27)</f>
        <v>0</v>
      </c>
      <c r="E8" s="132">
        <f>IF(SER_hh_tesh_in!E8=0,0,SER_hh_tesh_in!E8/SER_summary!E$27)</f>
        <v>0</v>
      </c>
      <c r="F8" s="132">
        <f>IF(SER_hh_tesh_in!F8=0,0,SER_hh_tesh_in!F8/SER_summary!F$27)</f>
        <v>0</v>
      </c>
      <c r="G8" s="132">
        <f>IF(SER_hh_tesh_in!G8=0,0,SER_hh_tesh_in!G8/SER_summary!G$27)</f>
        <v>38.549984201538273</v>
      </c>
      <c r="H8" s="132">
        <f>IF(SER_hh_tesh_in!H8=0,0,SER_hh_tesh_in!H8/SER_summary!H$27)</f>
        <v>45.111646230657797</v>
      </c>
      <c r="I8" s="132">
        <f>IF(SER_hh_tesh_in!I8=0,0,SER_hh_tesh_in!I8/SER_summary!I$27)</f>
        <v>50.590497185023132</v>
      </c>
      <c r="J8" s="132">
        <f>IF(SER_hh_tesh_in!J8=0,0,SER_hh_tesh_in!J8/SER_summary!J$27)</f>
        <v>56.466708894473392</v>
      </c>
      <c r="K8" s="132">
        <f>IF(SER_hh_tesh_in!K8=0,0,SER_hh_tesh_in!K8/SER_summary!K$27)</f>
        <v>52.204404623826761</v>
      </c>
      <c r="L8" s="132">
        <f>IF(SER_hh_tesh_in!L8=0,0,SER_hh_tesh_in!L8/SER_summary!L$27)</f>
        <v>45.165999407994029</v>
      </c>
      <c r="M8" s="132">
        <f>IF(SER_hh_tesh_in!M8=0,0,SER_hh_tesh_in!M8/SER_summary!M$27)</f>
        <v>41.945072618680889</v>
      </c>
      <c r="N8" s="132">
        <f>IF(SER_hh_tesh_in!N8=0,0,SER_hh_tesh_in!N8/SER_summary!N$27)</f>
        <v>36.536704665896217</v>
      </c>
      <c r="O8" s="132">
        <f>IF(SER_hh_tesh_in!O8=0,0,SER_hh_tesh_in!O8/SER_summary!O$27)</f>
        <v>40.299474458128309</v>
      </c>
      <c r="P8" s="132">
        <f>IF(SER_hh_tesh_in!P8=0,0,SER_hh_tesh_in!P8/SER_summary!P$27)</f>
        <v>44.385221499908546</v>
      </c>
      <c r="Q8" s="132">
        <f>IF(SER_hh_tesh_in!Q8=0,0,SER_hh_tesh_in!Q8/SER_summary!Q$27)</f>
        <v>40.715422111826115</v>
      </c>
      <c r="R8" s="132">
        <f>IF(SER_hh_tesh_in!R8=0,0,SER_hh_tesh_in!R8/SER_summary!R$27)</f>
        <v>38.398700171978</v>
      </c>
      <c r="S8" s="132">
        <f>IF(SER_hh_tesh_in!S8=0,0,SER_hh_tesh_in!S8/SER_summary!S$27)</f>
        <v>35.870716251140955</v>
      </c>
      <c r="T8" s="132">
        <f>IF(SER_hh_tesh_in!T8=0,0,SER_hh_tesh_in!T8/SER_summary!T$27)</f>
        <v>33.323963041296579</v>
      </c>
      <c r="U8" s="132">
        <f>IF(SER_hh_tesh_in!U8=0,0,SER_hh_tesh_in!U8/SER_summary!U$27)</f>
        <v>31.804382417630496</v>
      </c>
      <c r="V8" s="132">
        <f>IF(SER_hh_tesh_in!V8=0,0,SER_hh_tesh_in!V8/SER_summary!V$27)</f>
        <v>28.320191830275551</v>
      </c>
      <c r="W8" s="132">
        <f>IF(SER_hh_tesh_in!W8=0,0,SER_hh_tesh_in!W8/SER_summary!W$27)</f>
        <v>23.783128290021509</v>
      </c>
      <c r="X8" s="132">
        <f>IF(SER_hh_tesh_in!X8=0,0,SER_hh_tesh_in!X8/SER_summary!X$27)</f>
        <v>22.457250102876401</v>
      </c>
      <c r="Y8" s="132">
        <f>IF(SER_hh_tesh_in!Y8=0,0,SER_hh_tesh_in!Y8/SER_summary!Y$27)</f>
        <v>21.482030449562373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94.490524870499002</v>
      </c>
      <c r="D9" s="132">
        <f>IF(SER_hh_tesh_in!D9=0,0,SER_hh_tesh_in!D9/SER_summary!D$27)</f>
        <v>82.508341916848082</v>
      </c>
      <c r="E9" s="132">
        <f>IF(SER_hh_tesh_in!E9=0,0,SER_hh_tesh_in!E9/SER_summary!E$27)</f>
        <v>81.006091312493695</v>
      </c>
      <c r="F9" s="132">
        <f>IF(SER_hh_tesh_in!F9=0,0,SER_hh_tesh_in!F9/SER_summary!F$27)</f>
        <v>74.017278516618887</v>
      </c>
      <c r="G9" s="132">
        <f>IF(SER_hh_tesh_in!G9=0,0,SER_hh_tesh_in!G9/SER_summary!G$27)</f>
        <v>68.748376386185697</v>
      </c>
      <c r="H9" s="132">
        <f>IF(SER_hh_tesh_in!H9=0,0,SER_hh_tesh_in!H9/SER_summary!H$27)</f>
        <v>59.381366065072207</v>
      </c>
      <c r="I9" s="132">
        <f>IF(SER_hh_tesh_in!I9=0,0,SER_hh_tesh_in!I9/SER_summary!I$27)</f>
        <v>53.002608052699948</v>
      </c>
      <c r="J9" s="132">
        <f>IF(SER_hh_tesh_in!J9=0,0,SER_hh_tesh_in!J9/SER_summary!J$27)</f>
        <v>56.437294297059616</v>
      </c>
      <c r="K9" s="132">
        <f>IF(SER_hh_tesh_in!K9=0,0,SER_hh_tesh_in!K9/SER_summary!K$27)</f>
        <v>0</v>
      </c>
      <c r="L9" s="132">
        <f>IF(SER_hh_tesh_in!L9=0,0,SER_hh_tesh_in!L9/SER_summary!L$27)</f>
        <v>52.845305852488202</v>
      </c>
      <c r="M9" s="132">
        <f>IF(SER_hh_tesh_in!M9=0,0,SER_hh_tesh_in!M9/SER_summary!M$27)</f>
        <v>49.585530498290318</v>
      </c>
      <c r="N9" s="132">
        <f>IF(SER_hh_tesh_in!N9=0,0,SER_hh_tesh_in!N9/SER_summary!N$27)</f>
        <v>45.299845235430844</v>
      </c>
      <c r="O9" s="132">
        <f>IF(SER_hh_tesh_in!O9=0,0,SER_hh_tesh_in!O9/SER_summary!O$27)</f>
        <v>42.172871648962271</v>
      </c>
      <c r="P9" s="132">
        <f>IF(SER_hh_tesh_in!P9=0,0,SER_hh_tesh_in!P9/SER_summary!P$27)</f>
        <v>39.086538595075432</v>
      </c>
      <c r="Q9" s="132">
        <f>IF(SER_hh_tesh_in!Q9=0,0,SER_hh_tesh_in!Q9/SER_summary!Q$27)</f>
        <v>37.166985688687681</v>
      </c>
      <c r="R9" s="132">
        <f>IF(SER_hh_tesh_in!R9=0,0,SER_hh_tesh_in!R9/SER_summary!R$27)</f>
        <v>36.504175163059124</v>
      </c>
      <c r="S9" s="132">
        <f>IF(SER_hh_tesh_in!S9=0,0,SER_hh_tesh_in!S9/SER_summary!S$27)</f>
        <v>37.237760167264724</v>
      </c>
      <c r="T9" s="132">
        <f>IF(SER_hh_tesh_in!T9=0,0,SER_hh_tesh_in!T9/SER_summary!T$27)</f>
        <v>32.538187414345145</v>
      </c>
      <c r="U9" s="132">
        <f>IF(SER_hh_tesh_in!U9=0,0,SER_hh_tesh_in!U9/SER_summary!U$27)</f>
        <v>32.459114863964274</v>
      </c>
      <c r="V9" s="132">
        <f>IF(SER_hh_tesh_in!V9=0,0,SER_hh_tesh_in!V9/SER_summary!V$27)</f>
        <v>28.172450564852227</v>
      </c>
      <c r="W9" s="132">
        <f>IF(SER_hh_tesh_in!W9=0,0,SER_hh_tesh_in!W9/SER_summary!W$27)</f>
        <v>23.13252836032424</v>
      </c>
      <c r="X9" s="132">
        <f>IF(SER_hh_tesh_in!X9=0,0,SER_hh_tesh_in!X9/SER_summary!X$27)</f>
        <v>21.771094112918618</v>
      </c>
      <c r="Y9" s="132">
        <f>IF(SER_hh_tesh_in!Y9=0,0,SER_hh_tesh_in!Y9/SER_summary!Y$27)</f>
        <v>19.962674124568341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97.489220840159561</v>
      </c>
      <c r="D10" s="132">
        <f>IF(SER_hh_tesh_in!D10=0,0,SER_hh_tesh_in!D10/SER_summary!D$27)</f>
        <v>76.882117387899072</v>
      </c>
      <c r="E10" s="132">
        <f>IF(SER_hh_tesh_in!E10=0,0,SER_hh_tesh_in!E10/SER_summary!E$27)</f>
        <v>85.197703956515255</v>
      </c>
      <c r="F10" s="132">
        <f>IF(SER_hh_tesh_in!F10=0,0,SER_hh_tesh_in!F10/SER_summary!F$27)</f>
        <v>77.78407447184594</v>
      </c>
      <c r="G10" s="132">
        <f>IF(SER_hh_tesh_in!G10=0,0,SER_hh_tesh_in!G10/SER_summary!G$27)</f>
        <v>69.578984105097916</v>
      </c>
      <c r="H10" s="132">
        <f>IF(SER_hh_tesh_in!H10=0,0,SER_hh_tesh_in!H10/SER_summary!H$27)</f>
        <v>53.912448090841792</v>
      </c>
      <c r="I10" s="132">
        <f>IF(SER_hh_tesh_in!I10=0,0,SER_hh_tesh_in!I10/SER_summary!I$27)</f>
        <v>68.434054173635602</v>
      </c>
      <c r="J10" s="132">
        <f>IF(SER_hh_tesh_in!J10=0,0,SER_hh_tesh_in!J10/SER_summary!J$27)</f>
        <v>52.177553190358346</v>
      </c>
      <c r="K10" s="132">
        <f>IF(SER_hh_tesh_in!K10=0,0,SER_hh_tesh_in!K10/SER_summary!K$27)</f>
        <v>43.901496220517963</v>
      </c>
      <c r="L10" s="132">
        <f>IF(SER_hh_tesh_in!L10=0,0,SER_hh_tesh_in!L10/SER_summary!L$27)</f>
        <v>55.293897111502737</v>
      </c>
      <c r="M10" s="132">
        <f>IF(SER_hh_tesh_in!M10=0,0,SER_hh_tesh_in!M10/SER_summary!M$27)</f>
        <v>49.932470074732088</v>
      </c>
      <c r="N10" s="132">
        <f>IF(SER_hh_tesh_in!N10=0,0,SER_hh_tesh_in!N10/SER_summary!N$27)</f>
        <v>45.166613441253716</v>
      </c>
      <c r="O10" s="132">
        <f>IF(SER_hh_tesh_in!O10=0,0,SER_hh_tesh_in!O10/SER_summary!O$27)</f>
        <v>43.923719391837928</v>
      </c>
      <c r="P10" s="132">
        <f>IF(SER_hh_tesh_in!P10=0,0,SER_hh_tesh_in!P10/SER_summary!P$27)</f>
        <v>39.085259409959114</v>
      </c>
      <c r="Q10" s="132">
        <f>IF(SER_hh_tesh_in!Q10=0,0,SER_hh_tesh_in!Q10/SER_summary!Q$27)</f>
        <v>40.562863737559006</v>
      </c>
      <c r="R10" s="132">
        <f>IF(SER_hh_tesh_in!R10=0,0,SER_hh_tesh_in!R10/SER_summary!R$27)</f>
        <v>37.199557848633169</v>
      </c>
      <c r="S10" s="132">
        <f>IF(SER_hh_tesh_in!S10=0,0,SER_hh_tesh_in!S10/SER_summary!S$27)</f>
        <v>34.421107751005174</v>
      </c>
      <c r="T10" s="132">
        <f>IF(SER_hh_tesh_in!T10=0,0,SER_hh_tesh_in!T10/SER_summary!T$27)</f>
        <v>33.494916739486733</v>
      </c>
      <c r="U10" s="132">
        <f>IF(SER_hh_tesh_in!U10=0,0,SER_hh_tesh_in!U10/SER_summary!U$27)</f>
        <v>31.967872980226002</v>
      </c>
      <c r="V10" s="132">
        <f>IF(SER_hh_tesh_in!V10=0,0,SER_hh_tesh_in!V10/SER_summary!V$27)</f>
        <v>27.257806348130543</v>
      </c>
      <c r="W10" s="132">
        <f>IF(SER_hh_tesh_in!W10=0,0,SER_hh_tesh_in!W10/SER_summary!W$27)</f>
        <v>23.579978822354391</v>
      </c>
      <c r="X10" s="132">
        <f>IF(SER_hh_tesh_in!X10=0,0,SER_hh_tesh_in!X10/SER_summary!X$27)</f>
        <v>22.845288431958846</v>
      </c>
      <c r="Y10" s="132">
        <f>IF(SER_hh_tesh_in!Y10=0,0,SER_hh_tesh_in!Y10/SER_summary!Y$27)</f>
        <v>19.549263353763468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0</v>
      </c>
      <c r="D11" s="132">
        <f>IF(SER_hh_tesh_in!D11=0,0,SER_hh_tesh_in!D11/SER_summary!D$27)</f>
        <v>0</v>
      </c>
      <c r="E11" s="132">
        <f>IF(SER_hh_tesh_in!E11=0,0,SER_hh_tesh_in!E11/SER_summary!E$27)</f>
        <v>0</v>
      </c>
      <c r="F11" s="132">
        <f>IF(SER_hh_tesh_in!F11=0,0,SER_hh_tesh_in!F11/SER_summary!F$27)</f>
        <v>0</v>
      </c>
      <c r="G11" s="132">
        <f>IF(SER_hh_tesh_in!G11=0,0,SER_hh_tesh_in!G11/SER_summary!G$27)</f>
        <v>0</v>
      </c>
      <c r="H11" s="132">
        <f>IF(SER_hh_tesh_in!H11=0,0,SER_hh_tesh_in!H11/SER_summary!H$27)</f>
        <v>0</v>
      </c>
      <c r="I11" s="132">
        <f>IF(SER_hh_tesh_in!I11=0,0,SER_hh_tesh_in!I11/SER_summary!I$27)</f>
        <v>0</v>
      </c>
      <c r="J11" s="132">
        <f>IF(SER_hh_tesh_in!J11=0,0,SER_hh_tesh_in!J11/SER_summary!J$27)</f>
        <v>0</v>
      </c>
      <c r="K11" s="132">
        <f>IF(SER_hh_tesh_in!K11=0,0,SER_hh_tesh_in!K11/SER_summary!K$27)</f>
        <v>0</v>
      </c>
      <c r="L11" s="132">
        <f>IF(SER_hh_tesh_in!L11=0,0,SER_hh_tesh_in!L11/SER_summary!L$27)</f>
        <v>0</v>
      </c>
      <c r="M11" s="132">
        <f>IF(SER_hh_tesh_in!M11=0,0,SER_hh_tesh_in!M11/SER_summary!M$27)</f>
        <v>0</v>
      </c>
      <c r="N11" s="132">
        <f>IF(SER_hh_tesh_in!N11=0,0,SER_hh_tesh_in!N11/SER_summary!N$27)</f>
        <v>0</v>
      </c>
      <c r="O11" s="132">
        <f>IF(SER_hh_tesh_in!O11=0,0,SER_hh_tesh_in!O11/SER_summary!O$27)</f>
        <v>0</v>
      </c>
      <c r="P11" s="132">
        <f>IF(SER_hh_tesh_in!P11=0,0,SER_hh_tesh_in!P11/SER_summary!P$27)</f>
        <v>0</v>
      </c>
      <c r="Q11" s="132">
        <f>IF(SER_hh_tesh_in!Q11=0,0,SER_hh_tesh_in!Q11/SER_summary!Q$27)</f>
        <v>0</v>
      </c>
      <c r="R11" s="132">
        <f>IF(SER_hh_tesh_in!R11=0,0,SER_hh_tesh_in!R11/SER_summary!R$27)</f>
        <v>0</v>
      </c>
      <c r="S11" s="132">
        <f>IF(SER_hh_tesh_in!S11=0,0,SER_hh_tesh_in!S11/SER_summary!S$27)</f>
        <v>0</v>
      </c>
      <c r="T11" s="132">
        <f>IF(SER_hh_tesh_in!T11=0,0,SER_hh_tesh_in!T11/SER_summary!T$27)</f>
        <v>0</v>
      </c>
      <c r="U11" s="132">
        <f>IF(SER_hh_tesh_in!U11=0,0,SER_hh_tesh_in!U11/SER_summary!U$27)</f>
        <v>0</v>
      </c>
      <c r="V11" s="132">
        <f>IF(SER_hh_tesh_in!V11=0,0,SER_hh_tesh_in!V11/SER_summary!V$27)</f>
        <v>0</v>
      </c>
      <c r="W11" s="132">
        <f>IF(SER_hh_tesh_in!W11=0,0,SER_hh_tesh_in!W11/SER_summary!W$27)</f>
        <v>0</v>
      </c>
      <c r="X11" s="132">
        <f>IF(SER_hh_tesh_in!X11=0,0,SER_hh_tesh_in!X11/SER_summary!X$27)</f>
        <v>0</v>
      </c>
      <c r="Y11" s="132">
        <f>IF(SER_hh_tesh_in!Y11=0,0,SER_hh_tesh_in!Y11/SER_summary!Y$27)</f>
        <v>0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90.508402058725281</v>
      </c>
      <c r="D12" s="132">
        <f>IF(SER_hh_tesh_in!D12=0,0,SER_hh_tesh_in!D12/SER_summary!D$27)</f>
        <v>82.352550815851444</v>
      </c>
      <c r="E12" s="132">
        <f>IF(SER_hh_tesh_in!E12=0,0,SER_hh_tesh_in!E12/SER_summary!E$27)</f>
        <v>80.318038937955251</v>
      </c>
      <c r="F12" s="132">
        <f>IF(SER_hh_tesh_in!F12=0,0,SER_hh_tesh_in!F12/SER_summary!F$27)</f>
        <v>79.271437511629259</v>
      </c>
      <c r="G12" s="132">
        <f>IF(SER_hh_tesh_in!G12=0,0,SER_hh_tesh_in!G12/SER_summary!G$27)</f>
        <v>75.226459031684058</v>
      </c>
      <c r="H12" s="132">
        <f>IF(SER_hh_tesh_in!H12=0,0,SER_hh_tesh_in!H12/SER_summary!H$27)</f>
        <v>59.023300868205446</v>
      </c>
      <c r="I12" s="132">
        <f>IF(SER_hh_tesh_in!I12=0,0,SER_hh_tesh_in!I12/SER_summary!I$27)</f>
        <v>52.853381338422594</v>
      </c>
      <c r="J12" s="132">
        <f>IF(SER_hh_tesh_in!J12=0,0,SER_hh_tesh_in!J12/SER_summary!J$27)</f>
        <v>52.753098746152666</v>
      </c>
      <c r="K12" s="132">
        <f>IF(SER_hh_tesh_in!K12=0,0,SER_hh_tesh_in!K12/SER_summary!K$27)</f>
        <v>47.530648691435829</v>
      </c>
      <c r="L12" s="132">
        <f>IF(SER_hh_tesh_in!L12=0,0,SER_hh_tesh_in!L12/SER_summary!L$27)</f>
        <v>57.417692244944128</v>
      </c>
      <c r="M12" s="132">
        <f>IF(SER_hh_tesh_in!M12=0,0,SER_hh_tesh_in!M12/SER_summary!M$27)</f>
        <v>50.296827087007244</v>
      </c>
      <c r="N12" s="132">
        <f>IF(SER_hh_tesh_in!N12=0,0,SER_hh_tesh_in!N12/SER_summary!N$27)</f>
        <v>46.448321504606255</v>
      </c>
      <c r="O12" s="132">
        <f>IF(SER_hh_tesh_in!O12=0,0,SER_hh_tesh_in!O12/SER_summary!O$27)</f>
        <v>42.968763297417006</v>
      </c>
      <c r="P12" s="132">
        <f>IF(SER_hh_tesh_in!P12=0,0,SER_hh_tesh_in!P12/SER_summary!P$27)</f>
        <v>38.721835279709687</v>
      </c>
      <c r="Q12" s="132">
        <f>IF(SER_hh_tesh_in!Q12=0,0,SER_hh_tesh_in!Q12/SER_summary!Q$27)</f>
        <v>37.621898786271387</v>
      </c>
      <c r="R12" s="132">
        <f>IF(SER_hh_tesh_in!R12=0,0,SER_hh_tesh_in!R12/SER_summary!R$27)</f>
        <v>37.310284144104585</v>
      </c>
      <c r="S12" s="132">
        <f>IF(SER_hh_tesh_in!S12=0,0,SER_hh_tesh_in!S12/SER_summary!S$27)</f>
        <v>36.097442460144613</v>
      </c>
      <c r="T12" s="132">
        <f>IF(SER_hh_tesh_in!T12=0,0,SER_hh_tesh_in!T12/SER_summary!T$27)</f>
        <v>34.291911765580011</v>
      </c>
      <c r="U12" s="132">
        <f>IF(SER_hh_tesh_in!U12=0,0,SER_hh_tesh_in!U12/SER_summary!U$27)</f>
        <v>30.992019273590184</v>
      </c>
      <c r="V12" s="132">
        <f>IF(SER_hh_tesh_in!V12=0,0,SER_hh_tesh_in!V12/SER_summary!V$27)</f>
        <v>26.908181754708757</v>
      </c>
      <c r="W12" s="132">
        <f>IF(SER_hh_tesh_in!W12=0,0,SER_hh_tesh_in!W12/SER_summary!W$27)</f>
        <v>23.519894870085039</v>
      </c>
      <c r="X12" s="132">
        <f>IF(SER_hh_tesh_in!X12=0,0,SER_hh_tesh_in!X12/SER_summary!X$27)</f>
        <v>22.170661004851944</v>
      </c>
      <c r="Y12" s="132">
        <f>IF(SER_hh_tesh_in!Y12=0,0,SER_hh_tesh_in!Y12/SER_summary!Y$27)</f>
        <v>20.572279638143094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76.399254170361559</v>
      </c>
      <c r="D13" s="132">
        <f>IF(SER_hh_tesh_in!D13=0,0,SER_hh_tesh_in!D13/SER_summary!D$27)</f>
        <v>84.54042159856769</v>
      </c>
      <c r="E13" s="132">
        <f>IF(SER_hh_tesh_in!E13=0,0,SER_hh_tesh_in!E13/SER_summary!E$27)</f>
        <v>82.669758990365509</v>
      </c>
      <c r="F13" s="132">
        <f>IF(SER_hh_tesh_in!F13=0,0,SER_hh_tesh_in!F13/SER_summary!F$27)</f>
        <v>75.262540353633639</v>
      </c>
      <c r="G13" s="132">
        <f>IF(SER_hh_tesh_in!G13=0,0,SER_hh_tesh_in!G13/SER_summary!G$27)</f>
        <v>62.889490954060648</v>
      </c>
      <c r="H13" s="132">
        <f>IF(SER_hh_tesh_in!H13=0,0,SER_hh_tesh_in!H13/SER_summary!H$27)</f>
        <v>59.418765862920125</v>
      </c>
      <c r="I13" s="132">
        <f>IF(SER_hh_tesh_in!I13=0,0,SER_hh_tesh_in!I13/SER_summary!I$27)</f>
        <v>56.09342438028321</v>
      </c>
      <c r="J13" s="132">
        <f>IF(SER_hh_tesh_in!J13=0,0,SER_hh_tesh_in!J13/SER_summary!J$27)</f>
        <v>53.976625887323408</v>
      </c>
      <c r="K13" s="132">
        <f>IF(SER_hh_tesh_in!K13=0,0,SER_hh_tesh_in!K13/SER_summary!K$27)</f>
        <v>52.16072600529629</v>
      </c>
      <c r="L13" s="132">
        <f>IF(SER_hh_tesh_in!L13=0,0,SER_hh_tesh_in!L13/SER_summary!L$27)</f>
        <v>52.196753676945924</v>
      </c>
      <c r="M13" s="132">
        <f>IF(SER_hh_tesh_in!M13=0,0,SER_hh_tesh_in!M13/SER_summary!M$27)</f>
        <v>49.616708057434373</v>
      </c>
      <c r="N13" s="132">
        <f>IF(SER_hh_tesh_in!N13=0,0,SER_hh_tesh_in!N13/SER_summary!N$27)</f>
        <v>46.846125724785644</v>
      </c>
      <c r="O13" s="132">
        <f>IF(SER_hh_tesh_in!O13=0,0,SER_hh_tesh_in!O13/SER_summary!O$27)</f>
        <v>43.247932921604701</v>
      </c>
      <c r="P13" s="132">
        <f>IF(SER_hh_tesh_in!P13=0,0,SER_hh_tesh_in!P13/SER_summary!P$27)</f>
        <v>39.778796071741354</v>
      </c>
      <c r="Q13" s="132">
        <f>IF(SER_hh_tesh_in!Q13=0,0,SER_hh_tesh_in!Q13/SER_summary!Q$27)</f>
        <v>38.210668634566296</v>
      </c>
      <c r="R13" s="132">
        <f>IF(SER_hh_tesh_in!R13=0,0,SER_hh_tesh_in!R13/SER_summary!R$27)</f>
        <v>37.235233246638288</v>
      </c>
      <c r="S13" s="132">
        <f>IF(SER_hh_tesh_in!S13=0,0,SER_hh_tesh_in!S13/SER_summary!S$27)</f>
        <v>36.257253147893685</v>
      </c>
      <c r="T13" s="132">
        <f>IF(SER_hh_tesh_in!T13=0,0,SER_hh_tesh_in!T13/SER_summary!T$27)</f>
        <v>34.187824080067244</v>
      </c>
      <c r="U13" s="132">
        <f>IF(SER_hh_tesh_in!U13=0,0,SER_hh_tesh_in!U13/SER_summary!U$27)</f>
        <v>31.876047084694711</v>
      </c>
      <c r="V13" s="132">
        <f>IF(SER_hh_tesh_in!V13=0,0,SER_hh_tesh_in!V13/SER_summary!V$27)</f>
        <v>27.406003803717731</v>
      </c>
      <c r="W13" s="132">
        <f>IF(SER_hh_tesh_in!W13=0,0,SER_hh_tesh_in!W13/SER_summary!W$27)</f>
        <v>20.799418367317823</v>
      </c>
      <c r="X13" s="132">
        <f>IF(SER_hh_tesh_in!X13=0,0,SER_hh_tesh_in!X13/SER_summary!X$27)</f>
        <v>23.158391355271323</v>
      </c>
      <c r="Y13" s="132">
        <f>IF(SER_hh_tesh_in!Y13=0,0,SER_hh_tesh_in!Y13/SER_summary!Y$27)</f>
        <v>22.664586691706372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89.941914380776709</v>
      </c>
      <c r="D14" s="65">
        <f>IF(SER_hh_tesh_in!D14=0,0,SER_hh_tesh_in!D14/SER_summary!D$27)</f>
        <v>82.295495971896031</v>
      </c>
      <c r="E14" s="65">
        <f>IF(SER_hh_tesh_in!E14=0,0,SER_hh_tesh_in!E14/SER_summary!E$27)</f>
        <v>98.072350193318584</v>
      </c>
      <c r="F14" s="65">
        <f>IF(SER_hh_tesh_in!F14=0,0,SER_hh_tesh_in!F14/SER_summary!F$27)</f>
        <v>0</v>
      </c>
      <c r="G14" s="65">
        <f>IF(SER_hh_tesh_in!G14=0,0,SER_hh_tesh_in!G14/SER_summary!G$27)</f>
        <v>64.184889381208336</v>
      </c>
      <c r="H14" s="65">
        <f>IF(SER_hh_tesh_in!H14=0,0,SER_hh_tesh_in!H14/SER_summary!H$27)</f>
        <v>60.720487117238712</v>
      </c>
      <c r="I14" s="65">
        <f>IF(SER_hh_tesh_in!I14=0,0,SER_hh_tesh_in!I14/SER_summary!I$27)</f>
        <v>55.676978975091707</v>
      </c>
      <c r="J14" s="65">
        <f>IF(SER_hh_tesh_in!J14=0,0,SER_hh_tesh_in!J14/SER_summary!J$27)</f>
        <v>56.36795371024099</v>
      </c>
      <c r="K14" s="65">
        <f>IF(SER_hh_tesh_in!K14=0,0,SER_hh_tesh_in!K14/SER_summary!K$27)</f>
        <v>51.717981998216544</v>
      </c>
      <c r="L14" s="65">
        <f>IF(SER_hh_tesh_in!L14=0,0,SER_hh_tesh_in!L14/SER_summary!L$27)</f>
        <v>55.203306982037425</v>
      </c>
      <c r="M14" s="65">
        <f>IF(SER_hh_tesh_in!M14=0,0,SER_hh_tesh_in!M14/SER_summary!M$27)</f>
        <v>48.160334928715933</v>
      </c>
      <c r="N14" s="65">
        <f>IF(SER_hh_tesh_in!N14=0,0,SER_hh_tesh_in!N14/SER_summary!N$27)</f>
        <v>45.264034076948661</v>
      </c>
      <c r="O14" s="65">
        <f>IF(SER_hh_tesh_in!O14=0,0,SER_hh_tesh_in!O14/SER_summary!O$27)</f>
        <v>45.672647770595425</v>
      </c>
      <c r="P14" s="65">
        <f>IF(SER_hh_tesh_in!P14=0,0,SER_hh_tesh_in!P14/SER_summary!P$27)</f>
        <v>38.618562150124738</v>
      </c>
      <c r="Q14" s="65">
        <f>IF(SER_hh_tesh_in!Q14=0,0,SER_hh_tesh_in!Q14/SER_summary!Q$27)</f>
        <v>36.106667123485835</v>
      </c>
      <c r="R14" s="65">
        <f>IF(SER_hh_tesh_in!R14=0,0,SER_hh_tesh_in!R14/SER_summary!R$27)</f>
        <v>37.366899571801191</v>
      </c>
      <c r="S14" s="65">
        <f>IF(SER_hh_tesh_in!S14=0,0,SER_hh_tesh_in!S14/SER_summary!S$27)</f>
        <v>36.676222477432376</v>
      </c>
      <c r="T14" s="65">
        <f>IF(SER_hh_tesh_in!T14=0,0,SER_hh_tesh_in!T14/SER_summary!T$27)</f>
        <v>34.232406304753283</v>
      </c>
      <c r="U14" s="65">
        <f>IF(SER_hh_tesh_in!U14=0,0,SER_hh_tesh_in!U14/SER_summary!U$27)</f>
        <v>33.028701410444349</v>
      </c>
      <c r="V14" s="65">
        <f>IF(SER_hh_tesh_in!V14=0,0,SER_hh_tesh_in!V14/SER_summary!V$27)</f>
        <v>28.180000148570233</v>
      </c>
      <c r="W14" s="65">
        <f>IF(SER_hh_tesh_in!W14=0,0,SER_hh_tesh_in!W14/SER_summary!W$27)</f>
        <v>23.5618384591757</v>
      </c>
      <c r="X14" s="65">
        <f>IF(SER_hh_tesh_in!X14=0,0,SER_hh_tesh_in!X14/SER_summary!X$27)</f>
        <v>24.067001076287937</v>
      </c>
      <c r="Y14" s="65">
        <f>IF(SER_hh_tesh_in!Y14=0,0,SER_hh_tesh_in!Y14/SER_summary!Y$27)</f>
        <v>18.896539391293175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1.2588740449660509</v>
      </c>
      <c r="D15" s="134">
        <f>IF(SER_hh_tesh_in!D15=0,0,SER_hh_tesh_in!D15/SER_summary!D$27)</f>
        <v>1.2267603092410784</v>
      </c>
      <c r="E15" s="134">
        <f>IF(SER_hh_tesh_in!E15=0,0,SER_hh_tesh_in!E15/SER_summary!E$27)</f>
        <v>1.0942449095706683</v>
      </c>
      <c r="F15" s="134">
        <f>IF(SER_hh_tesh_in!F15=0,0,SER_hh_tesh_in!F15/SER_summary!F$27)</f>
        <v>0.97770392331453027</v>
      </c>
      <c r="G15" s="134">
        <f>IF(SER_hh_tesh_in!G15=0,0,SER_hh_tesh_in!G15/SER_summary!G$27)</f>
        <v>0.99129019988465383</v>
      </c>
      <c r="H15" s="134">
        <f>IF(SER_hh_tesh_in!H15=0,0,SER_hh_tesh_in!H15/SER_summary!H$27)</f>
        <v>0.89533079933005588</v>
      </c>
      <c r="I15" s="134">
        <f>IF(SER_hh_tesh_in!I15=0,0,SER_hh_tesh_in!I15/SER_summary!I$27)</f>
        <v>0.81425610285586847</v>
      </c>
      <c r="J15" s="134">
        <f>IF(SER_hh_tesh_in!J15=0,0,SER_hh_tesh_in!J15/SER_summary!J$27)</f>
        <v>0.76514165954696989</v>
      </c>
      <c r="K15" s="134">
        <f>IF(SER_hh_tesh_in!K15=0,0,SER_hh_tesh_in!K15/SER_summary!K$27)</f>
        <v>0.21101691234798264</v>
      </c>
      <c r="L15" s="134">
        <f>IF(SER_hh_tesh_in!L15=0,0,SER_hh_tesh_in!L15/SER_summary!L$27)</f>
        <v>0.47504195720396813</v>
      </c>
      <c r="M15" s="134">
        <f>IF(SER_hh_tesh_in!M15=0,0,SER_hh_tesh_in!M15/SER_summary!M$27)</f>
        <v>0.50993119198072057</v>
      </c>
      <c r="N15" s="134">
        <f>IF(SER_hh_tesh_in!N15=0,0,SER_hh_tesh_in!N15/SER_summary!N$27)</f>
        <v>0.45065104015192475</v>
      </c>
      <c r="O15" s="134">
        <f>IF(SER_hh_tesh_in!O15=0,0,SER_hh_tesh_in!O15/SER_summary!O$27)</f>
        <v>0.44860728874740308</v>
      </c>
      <c r="P15" s="134">
        <f>IF(SER_hh_tesh_in!P15=0,0,SER_hh_tesh_in!P15/SER_summary!P$27)</f>
        <v>0.46930688716590885</v>
      </c>
      <c r="Q15" s="134">
        <f>IF(SER_hh_tesh_in!Q15=0,0,SER_hh_tesh_in!Q15/SER_summary!Q$27)</f>
        <v>0.4751725972991912</v>
      </c>
      <c r="R15" s="134">
        <f>IF(SER_hh_tesh_in!R15=0,0,SER_hh_tesh_in!R15/SER_summary!R$27)</f>
        <v>0.43093471984296311</v>
      </c>
      <c r="S15" s="134">
        <f>IF(SER_hh_tesh_in!S15=0,0,SER_hh_tesh_in!S15/SER_summary!S$27)</f>
        <v>0.4625403938338894</v>
      </c>
      <c r="T15" s="134">
        <f>IF(SER_hh_tesh_in!T15=0,0,SER_hh_tesh_in!T15/SER_summary!T$27)</f>
        <v>0.38301373929498128</v>
      </c>
      <c r="U15" s="134">
        <f>IF(SER_hh_tesh_in!U15=0,0,SER_hh_tesh_in!U15/SER_summary!U$27)</f>
        <v>0.38837243860594012</v>
      </c>
      <c r="V15" s="134">
        <f>IF(SER_hh_tesh_in!V15=0,0,SER_hh_tesh_in!V15/SER_summary!V$27)</f>
        <v>0.29976333544707717</v>
      </c>
      <c r="W15" s="134">
        <f>IF(SER_hh_tesh_in!W15=0,0,SER_hh_tesh_in!W15/SER_summary!W$27)</f>
        <v>0.23228702787478864</v>
      </c>
      <c r="X15" s="134">
        <f>IF(SER_hh_tesh_in!X15=0,0,SER_hh_tesh_in!X15/SER_summary!X$27)</f>
        <v>0.20371181149322315</v>
      </c>
      <c r="Y15" s="134">
        <f>IF(SER_hh_tesh_in!Y15=0,0,SER_hh_tesh_in!Y15/SER_summary!Y$27)</f>
        <v>0.19835552183837782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26.952251549414797</v>
      </c>
      <c r="D16" s="130">
        <f>IF(SER_hh_tesh_in!D16=0,0,SER_hh_tesh_in!D16/SER_summary!D$27)</f>
        <v>26.90511099838735</v>
      </c>
      <c r="E16" s="130">
        <f>IF(SER_hh_tesh_in!E16=0,0,SER_hh_tesh_in!E16/SER_summary!E$27)</f>
        <v>28.141117426145584</v>
      </c>
      <c r="F16" s="130">
        <f>IF(SER_hh_tesh_in!F16=0,0,SER_hh_tesh_in!F16/SER_summary!F$27)</f>
        <v>26.690344265003635</v>
      </c>
      <c r="G16" s="130">
        <f>IF(SER_hh_tesh_in!G16=0,0,SER_hh_tesh_in!G16/SER_summary!G$27)</f>
        <v>26.802145851232375</v>
      </c>
      <c r="H16" s="130">
        <f>IF(SER_hh_tesh_in!H16=0,0,SER_hh_tesh_in!H16/SER_summary!H$27)</f>
        <v>27.54799358556545</v>
      </c>
      <c r="I16" s="130">
        <f>IF(SER_hh_tesh_in!I16=0,0,SER_hh_tesh_in!I16/SER_summary!I$27)</f>
        <v>27.045606228135309</v>
      </c>
      <c r="J16" s="130">
        <f>IF(SER_hh_tesh_in!J16=0,0,SER_hh_tesh_in!J16/SER_summary!J$27)</f>
        <v>26.492244635859024</v>
      </c>
      <c r="K16" s="130">
        <f>IF(SER_hh_tesh_in!K16=0,0,SER_hh_tesh_in!K16/SER_summary!K$27)</f>
        <v>26.138888862955643</v>
      </c>
      <c r="L16" s="130">
        <f>IF(SER_hh_tesh_in!L16=0,0,SER_hh_tesh_in!L16/SER_summary!L$27)</f>
        <v>26.539255862811125</v>
      </c>
      <c r="M16" s="130">
        <f>IF(SER_hh_tesh_in!M16=0,0,SER_hh_tesh_in!M16/SER_summary!M$27)</f>
        <v>25.927016603146132</v>
      </c>
      <c r="N16" s="130">
        <f>IF(SER_hh_tesh_in!N16=0,0,SER_hh_tesh_in!N16/SER_summary!N$27)</f>
        <v>25.838526259075994</v>
      </c>
      <c r="O16" s="130">
        <f>IF(SER_hh_tesh_in!O16=0,0,SER_hh_tesh_in!O16/SER_summary!O$27)</f>
        <v>26.546393466557895</v>
      </c>
      <c r="P16" s="130">
        <f>IF(SER_hh_tesh_in!P16=0,0,SER_hh_tesh_in!P16/SER_summary!P$27)</f>
        <v>24.839393569713199</v>
      </c>
      <c r="Q16" s="130">
        <f>IF(SER_hh_tesh_in!Q16=0,0,SER_hh_tesh_in!Q16/SER_summary!Q$27)</f>
        <v>28.844981272116858</v>
      </c>
      <c r="R16" s="130">
        <f>IF(SER_hh_tesh_in!R16=0,0,SER_hh_tesh_in!R16/SER_summary!R$27)</f>
        <v>24.214974379859392</v>
      </c>
      <c r="S16" s="130">
        <f>IF(SER_hh_tesh_in!S16=0,0,SER_hh_tesh_in!S16/SER_summary!S$27)</f>
        <v>24.227264824201317</v>
      </c>
      <c r="T16" s="130">
        <f>IF(SER_hh_tesh_in!T16=0,0,SER_hh_tesh_in!T16/SER_summary!T$27)</f>
        <v>25.052982446982924</v>
      </c>
      <c r="U16" s="130">
        <f>IF(SER_hh_tesh_in!U16=0,0,SER_hh_tesh_in!U16/SER_summary!U$27)</f>
        <v>24.122646773352074</v>
      </c>
      <c r="V16" s="130">
        <f>IF(SER_hh_tesh_in!V16=0,0,SER_hh_tesh_in!V16/SER_summary!V$27)</f>
        <v>21.367151476343803</v>
      </c>
      <c r="W16" s="130">
        <f>IF(SER_hh_tesh_in!W16=0,0,SER_hh_tesh_in!W16/SER_summary!W$27)</f>
        <v>20.784359507210528</v>
      </c>
      <c r="X16" s="130">
        <f>IF(SER_hh_tesh_in!X16=0,0,SER_hh_tesh_in!X16/SER_summary!X$27)</f>
        <v>22.422313490649781</v>
      </c>
      <c r="Y16" s="130">
        <f>IF(SER_hh_tesh_in!Y16=0,0,SER_hh_tesh_in!Y16/SER_summary!Y$27)</f>
        <v>23.362078940013578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0</v>
      </c>
      <c r="D17" s="132">
        <f>IF(SER_hh_tesh_in!D17=0,0,SER_hh_tesh_in!D17/SER_summary!D$27)</f>
        <v>0</v>
      </c>
      <c r="E17" s="132">
        <f>IF(SER_hh_tesh_in!E17=0,0,SER_hh_tesh_in!E17/SER_summary!E$27)</f>
        <v>0</v>
      </c>
      <c r="F17" s="132">
        <f>IF(SER_hh_tesh_in!F17=0,0,SER_hh_tesh_in!F17/SER_summary!F$27)</f>
        <v>0</v>
      </c>
      <c r="G17" s="132">
        <f>IF(SER_hh_tesh_in!G17=0,0,SER_hh_tesh_in!G17/SER_summary!G$27)</f>
        <v>27.478004020551534</v>
      </c>
      <c r="H17" s="132">
        <f>IF(SER_hh_tesh_in!H17=0,0,SER_hh_tesh_in!H17/SER_summary!H$27)</f>
        <v>28.017077260450542</v>
      </c>
      <c r="I17" s="132">
        <f>IF(SER_hh_tesh_in!I17=0,0,SER_hh_tesh_in!I17/SER_summary!I$27)</f>
        <v>27.425981503138392</v>
      </c>
      <c r="J17" s="132">
        <f>IF(SER_hh_tesh_in!J17=0,0,SER_hh_tesh_in!J17/SER_summary!J$27)</f>
        <v>26.624191200888305</v>
      </c>
      <c r="K17" s="132">
        <f>IF(SER_hh_tesh_in!K17=0,0,SER_hh_tesh_in!K17/SER_summary!K$27)</f>
        <v>26.26693580484622</v>
      </c>
      <c r="L17" s="132">
        <f>IF(SER_hh_tesh_in!L17=0,0,SER_hh_tesh_in!L17/SER_summary!L$27)</f>
        <v>26.487928001921418</v>
      </c>
      <c r="M17" s="132">
        <f>IF(SER_hh_tesh_in!M17=0,0,SER_hh_tesh_in!M17/SER_summary!M$27)</f>
        <v>25.772451390298372</v>
      </c>
      <c r="N17" s="132">
        <f>IF(SER_hh_tesh_in!N17=0,0,SER_hh_tesh_in!N17/SER_summary!N$27)</f>
        <v>25.624789122995843</v>
      </c>
      <c r="O17" s="132">
        <f>IF(SER_hh_tesh_in!O17=0,0,SER_hh_tesh_in!O17/SER_summary!O$27)</f>
        <v>26.469076722441901</v>
      </c>
      <c r="P17" s="132">
        <f>IF(SER_hh_tesh_in!P17=0,0,SER_hh_tesh_in!P17/SER_summary!P$27)</f>
        <v>25.298548818653689</v>
      </c>
      <c r="Q17" s="132">
        <f>IF(SER_hh_tesh_in!Q17=0,0,SER_hh_tesh_in!Q17/SER_summary!Q$27)</f>
        <v>30.112463261270985</v>
      </c>
      <c r="R17" s="132">
        <f>IF(SER_hh_tesh_in!R17=0,0,SER_hh_tesh_in!R17/SER_summary!R$27)</f>
        <v>25.144563969872795</v>
      </c>
      <c r="S17" s="132">
        <f>IF(SER_hh_tesh_in!S17=0,0,SER_hh_tesh_in!S17/SER_summary!S$27)</f>
        <v>25.166587522116682</v>
      </c>
      <c r="T17" s="132">
        <f>IF(SER_hh_tesh_in!T17=0,0,SER_hh_tesh_in!T17/SER_summary!T$27)</f>
        <v>27.379559097676683</v>
      </c>
      <c r="U17" s="132">
        <f>IF(SER_hh_tesh_in!U17=0,0,SER_hh_tesh_in!U17/SER_summary!U$27)</f>
        <v>24.708495981767864</v>
      </c>
      <c r="V17" s="132">
        <f>IF(SER_hh_tesh_in!V17=0,0,SER_hh_tesh_in!V17/SER_summary!V$27)</f>
        <v>22.853231097126013</v>
      </c>
      <c r="W17" s="132">
        <f>IF(SER_hh_tesh_in!W17=0,0,SER_hh_tesh_in!W17/SER_summary!W$27)</f>
        <v>21.058786927862879</v>
      </c>
      <c r="X17" s="132">
        <f>IF(SER_hh_tesh_in!X17=0,0,SER_hh_tesh_in!X17/SER_summary!X$27)</f>
        <v>22.469762419542583</v>
      </c>
      <c r="Y17" s="132">
        <f>IF(SER_hh_tesh_in!Y17=0,0,SER_hh_tesh_in!Y17/SER_summary!Y$27)</f>
        <v>23.413503213550428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26.952251549414797</v>
      </c>
      <c r="D18" s="132">
        <f>IF(SER_hh_tesh_in!D18=0,0,SER_hh_tesh_in!D18/SER_summary!D$27)</f>
        <v>26.90511099838735</v>
      </c>
      <c r="E18" s="132">
        <f>IF(SER_hh_tesh_in!E18=0,0,SER_hh_tesh_in!E18/SER_summary!E$27)</f>
        <v>28.141117426145584</v>
      </c>
      <c r="F18" s="132">
        <f>IF(SER_hh_tesh_in!F18=0,0,SER_hh_tesh_in!F18/SER_summary!F$27)</f>
        <v>26.690344265003635</v>
      </c>
      <c r="G18" s="132">
        <f>IF(SER_hh_tesh_in!G18=0,0,SER_hh_tesh_in!G18/SER_summary!G$27)</f>
        <v>26.799560655342948</v>
      </c>
      <c r="H18" s="132">
        <f>IF(SER_hh_tesh_in!H18=0,0,SER_hh_tesh_in!H18/SER_summary!H$27)</f>
        <v>27.5475920576161</v>
      </c>
      <c r="I18" s="132">
        <f>IF(SER_hh_tesh_in!I18=0,0,SER_hh_tesh_in!I18/SER_summary!I$27)</f>
        <v>27.044929824029456</v>
      </c>
      <c r="J18" s="132">
        <f>IF(SER_hh_tesh_in!J18=0,0,SER_hh_tesh_in!J18/SER_summary!J$27)</f>
        <v>26.492194376733618</v>
      </c>
      <c r="K18" s="132">
        <f>IF(SER_hh_tesh_in!K18=0,0,SER_hh_tesh_in!K18/SER_summary!K$27)</f>
        <v>26.13848848864567</v>
      </c>
      <c r="L18" s="132">
        <f>IF(SER_hh_tesh_in!L18=0,0,SER_hh_tesh_in!L18/SER_summary!L$27)</f>
        <v>26.539273531475295</v>
      </c>
      <c r="M18" s="132">
        <f>IF(SER_hh_tesh_in!M18=0,0,SER_hh_tesh_in!M18/SER_summary!M$27)</f>
        <v>25.927170178409437</v>
      </c>
      <c r="N18" s="132">
        <f>IF(SER_hh_tesh_in!N18=0,0,SER_hh_tesh_in!N18/SER_summary!N$27)</f>
        <v>25.838763926034318</v>
      </c>
      <c r="O18" s="132">
        <f>IF(SER_hh_tesh_in!O18=0,0,SER_hh_tesh_in!O18/SER_summary!O$27)</f>
        <v>26.546645377132009</v>
      </c>
      <c r="P18" s="132">
        <f>IF(SER_hh_tesh_in!P18=0,0,SER_hh_tesh_in!P18/SER_summary!P$27)</f>
        <v>24.836471163063429</v>
      </c>
      <c r="Q18" s="132">
        <f>IF(SER_hh_tesh_in!Q18=0,0,SER_hh_tesh_in!Q18/SER_summary!Q$27)</f>
        <v>28.833355831780519</v>
      </c>
      <c r="R18" s="132">
        <f>IF(SER_hh_tesh_in!R18=0,0,SER_hh_tesh_in!R18/SER_summary!R$27)</f>
        <v>24.210036626830284</v>
      </c>
      <c r="S18" s="132">
        <f>IF(SER_hh_tesh_in!S18=0,0,SER_hh_tesh_in!S18/SER_summary!S$27)</f>
        <v>24.220622392837896</v>
      </c>
      <c r="T18" s="132">
        <f>IF(SER_hh_tesh_in!T18=0,0,SER_hh_tesh_in!T18/SER_summary!T$27)</f>
        <v>25.037999581222532</v>
      </c>
      <c r="U18" s="132">
        <f>IF(SER_hh_tesh_in!U18=0,0,SER_hh_tesh_in!U18/SER_summary!U$27)</f>
        <v>24.119333877865113</v>
      </c>
      <c r="V18" s="132">
        <f>IF(SER_hh_tesh_in!V18=0,0,SER_hh_tesh_in!V18/SER_summary!V$27)</f>
        <v>21.353225133479928</v>
      </c>
      <c r="W18" s="132">
        <f>IF(SER_hh_tesh_in!W18=0,0,SER_hh_tesh_in!W18/SER_summary!W$27)</f>
        <v>20.782496163990142</v>
      </c>
      <c r="X18" s="132">
        <f>IF(SER_hh_tesh_in!X18=0,0,SER_hh_tesh_in!X18/SER_summary!X$27)</f>
        <v>22.422054376373868</v>
      </c>
      <c r="Y18" s="132">
        <f>IF(SER_hh_tesh_in!Y18=0,0,SER_hh_tesh_in!Y18/SER_summary!Y$27)</f>
        <v>23.361649552956003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7.7425269458423465</v>
      </c>
      <c r="D19" s="130">
        <f>IF(SER_hh_tesh_in!D19=0,0,SER_hh_tesh_in!D19/SER_summary!D$27)</f>
        <v>7.6295607299780945</v>
      </c>
      <c r="E19" s="130">
        <f>IF(SER_hh_tesh_in!E19=0,0,SER_hh_tesh_in!E19/SER_summary!E$27)</f>
        <v>7.5230855977550704</v>
      </c>
      <c r="F19" s="130">
        <f>IF(SER_hh_tesh_in!F19=0,0,SER_hh_tesh_in!F19/SER_summary!F$27)</f>
        <v>7.3113099555239378</v>
      </c>
      <c r="G19" s="130">
        <f>IF(SER_hh_tesh_in!G19=0,0,SER_hh_tesh_in!G19/SER_summary!G$27)</f>
        <v>7.2467684820848071</v>
      </c>
      <c r="H19" s="130">
        <f>IF(SER_hh_tesh_in!H19=0,0,SER_hh_tesh_in!H19/SER_summary!H$27)</f>
        <v>7.2721698785740712</v>
      </c>
      <c r="I19" s="130">
        <f>IF(SER_hh_tesh_in!I19=0,0,SER_hh_tesh_in!I19/SER_summary!I$27)</f>
        <v>7.2391867451715441</v>
      </c>
      <c r="J19" s="130">
        <f>IF(SER_hh_tesh_in!J19=0,0,SER_hh_tesh_in!J19/SER_summary!J$27)</f>
        <v>7.2896562577657731</v>
      </c>
      <c r="K19" s="130">
        <f>IF(SER_hh_tesh_in!K19=0,0,SER_hh_tesh_in!K19/SER_summary!K$27)</f>
        <v>8.1002256457720101</v>
      </c>
      <c r="L19" s="130">
        <f>IF(SER_hh_tesh_in!L19=0,0,SER_hh_tesh_in!L19/SER_summary!L$27)</f>
        <v>8.0912381722380164</v>
      </c>
      <c r="M19" s="130">
        <f>IF(SER_hh_tesh_in!M19=0,0,SER_hh_tesh_in!M19/SER_summary!M$27)</f>
        <v>8.1667814422385003</v>
      </c>
      <c r="N19" s="130">
        <f>IF(SER_hh_tesh_in!N19=0,0,SER_hh_tesh_in!N19/SER_summary!N$27)</f>
        <v>8.2739497677454086</v>
      </c>
      <c r="O19" s="130">
        <f>IF(SER_hh_tesh_in!O19=0,0,SER_hh_tesh_in!O19/SER_summary!O$27)</f>
        <v>8.3347973139348408</v>
      </c>
      <c r="P19" s="130">
        <f>IF(SER_hh_tesh_in!P19=0,0,SER_hh_tesh_in!P19/SER_summary!P$27)</f>
        <v>8.2404759732225266</v>
      </c>
      <c r="Q19" s="130">
        <f>IF(SER_hh_tesh_in!Q19=0,0,SER_hh_tesh_in!Q19/SER_summary!Q$27)</f>
        <v>8.1889943807431074</v>
      </c>
      <c r="R19" s="130">
        <f>IF(SER_hh_tesh_in!R19=0,0,SER_hh_tesh_in!R19/SER_summary!R$27)</f>
        <v>8.3386197783830269</v>
      </c>
      <c r="S19" s="130">
        <f>IF(SER_hh_tesh_in!S19=0,0,SER_hh_tesh_in!S19/SER_summary!S$27)</f>
        <v>8.4513419502035827</v>
      </c>
      <c r="T19" s="130">
        <f>IF(SER_hh_tesh_in!T19=0,0,SER_hh_tesh_in!T19/SER_summary!T$27)</f>
        <v>8.3622371532329218</v>
      </c>
      <c r="U19" s="130">
        <f>IF(SER_hh_tesh_in!U19=0,0,SER_hh_tesh_in!U19/SER_summary!U$27)</f>
        <v>8.3239385066665488</v>
      </c>
      <c r="V19" s="130">
        <f>IF(SER_hh_tesh_in!V19=0,0,SER_hh_tesh_in!V19/SER_summary!V$27)</f>
        <v>7.8784966940641326</v>
      </c>
      <c r="W19" s="130">
        <f>IF(SER_hh_tesh_in!W19=0,0,SER_hh_tesh_in!W19/SER_summary!W$27)</f>
        <v>7.6772948105985108</v>
      </c>
      <c r="X19" s="130">
        <f>IF(SER_hh_tesh_in!X19=0,0,SER_hh_tesh_in!X19/SER_summary!X$27)</f>
        <v>7.7148360775437625</v>
      </c>
      <c r="Y19" s="130">
        <f>IF(SER_hh_tesh_in!Y19=0,0,SER_hh_tesh_in!Y19/SER_summary!Y$27)</f>
        <v>8.1934616314451549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0</v>
      </c>
      <c r="D20" s="132">
        <f>IF(SER_hh_tesh_in!D20=0,0,SER_hh_tesh_in!D20/SER_summary!D$27)</f>
        <v>0</v>
      </c>
      <c r="E20" s="132">
        <f>IF(SER_hh_tesh_in!E20=0,0,SER_hh_tesh_in!E20/SER_summary!E$27)</f>
        <v>0</v>
      </c>
      <c r="F20" s="132">
        <f>IF(SER_hh_tesh_in!F20=0,0,SER_hh_tesh_in!F20/SER_summary!F$27)</f>
        <v>0</v>
      </c>
      <c r="G20" s="132">
        <f>IF(SER_hh_tesh_in!G20=0,0,SER_hh_tesh_in!G20/SER_summary!G$27)</f>
        <v>0</v>
      </c>
      <c r="H20" s="132">
        <f>IF(SER_hh_tesh_in!H20=0,0,SER_hh_tesh_in!H20/SER_summary!H$27)</f>
        <v>0</v>
      </c>
      <c r="I20" s="132">
        <f>IF(SER_hh_tesh_in!I20=0,0,SER_hh_tesh_in!I20/SER_summary!I$27)</f>
        <v>0</v>
      </c>
      <c r="J20" s="132">
        <f>IF(SER_hh_tesh_in!J20=0,0,SER_hh_tesh_in!J20/SER_summary!J$27)</f>
        <v>0</v>
      </c>
      <c r="K20" s="132">
        <f>IF(SER_hh_tesh_in!K20=0,0,SER_hh_tesh_in!K20/SER_summary!K$27)</f>
        <v>0</v>
      </c>
      <c r="L20" s="132">
        <f>IF(SER_hh_tesh_in!L20=0,0,SER_hh_tesh_in!L20/SER_summary!L$27)</f>
        <v>0</v>
      </c>
      <c r="M20" s="132">
        <f>IF(SER_hh_tesh_in!M20=0,0,SER_hh_tesh_in!M20/SER_summary!M$27)</f>
        <v>0</v>
      </c>
      <c r="N20" s="132">
        <f>IF(SER_hh_tesh_in!N20=0,0,SER_hh_tesh_in!N20/SER_summary!N$27)</f>
        <v>0</v>
      </c>
      <c r="O20" s="132">
        <f>IF(SER_hh_tesh_in!O20=0,0,SER_hh_tesh_in!O20/SER_summary!O$27)</f>
        <v>0</v>
      </c>
      <c r="P20" s="132">
        <f>IF(SER_hh_tesh_in!P20=0,0,SER_hh_tesh_in!P20/SER_summary!P$27)</f>
        <v>0</v>
      </c>
      <c r="Q20" s="132">
        <f>IF(SER_hh_tesh_in!Q20=0,0,SER_hh_tesh_in!Q20/SER_summary!Q$27)</f>
        <v>0</v>
      </c>
      <c r="R20" s="132">
        <f>IF(SER_hh_tesh_in!R20=0,0,SER_hh_tesh_in!R20/SER_summary!R$27)</f>
        <v>0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0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0</v>
      </c>
      <c r="D21" s="132">
        <f>IF(SER_hh_tesh_in!D21=0,0,SER_hh_tesh_in!D21/SER_summary!D$27)</f>
        <v>0</v>
      </c>
      <c r="E21" s="132">
        <f>IF(SER_hh_tesh_in!E21=0,0,SER_hh_tesh_in!E21/SER_summary!E$27)</f>
        <v>0</v>
      </c>
      <c r="F21" s="132">
        <f>IF(SER_hh_tesh_in!F21=0,0,SER_hh_tesh_in!F21/SER_summary!F$27)</f>
        <v>0</v>
      </c>
      <c r="G21" s="132">
        <f>IF(SER_hh_tesh_in!G21=0,0,SER_hh_tesh_in!G21/SER_summary!G$27)</f>
        <v>0</v>
      </c>
      <c r="H21" s="132">
        <f>IF(SER_hh_tesh_in!H21=0,0,SER_hh_tesh_in!H21/SER_summary!H$27)</f>
        <v>0</v>
      </c>
      <c r="I21" s="132">
        <f>IF(SER_hh_tesh_in!I21=0,0,SER_hh_tesh_in!I21/SER_summary!I$27)</f>
        <v>0</v>
      </c>
      <c r="J21" s="132">
        <f>IF(SER_hh_tesh_in!J21=0,0,SER_hh_tesh_in!J21/SER_summary!J$27)</f>
        <v>0</v>
      </c>
      <c r="K21" s="132">
        <f>IF(SER_hh_tesh_in!K21=0,0,SER_hh_tesh_in!K21/SER_summary!K$27)</f>
        <v>0</v>
      </c>
      <c r="L21" s="132">
        <f>IF(SER_hh_tesh_in!L21=0,0,SER_hh_tesh_in!L21/SER_summary!L$27)</f>
        <v>0</v>
      </c>
      <c r="M21" s="132">
        <f>IF(SER_hh_tesh_in!M21=0,0,SER_hh_tesh_in!M21/SER_summary!M$27)</f>
        <v>0</v>
      </c>
      <c r="N21" s="132">
        <f>IF(SER_hh_tesh_in!N21=0,0,SER_hh_tesh_in!N21/SER_summary!N$27)</f>
        <v>0</v>
      </c>
      <c r="O21" s="132">
        <f>IF(SER_hh_tesh_in!O21=0,0,SER_hh_tesh_in!O21/SER_summary!O$27)</f>
        <v>0</v>
      </c>
      <c r="P21" s="132">
        <f>IF(SER_hh_tesh_in!P21=0,0,SER_hh_tesh_in!P21/SER_summary!P$27)</f>
        <v>0</v>
      </c>
      <c r="Q21" s="132">
        <f>IF(SER_hh_tesh_in!Q21=0,0,SER_hh_tesh_in!Q21/SER_summary!Q$27)</f>
        <v>0</v>
      </c>
      <c r="R21" s="132">
        <f>IF(SER_hh_tesh_in!R21=0,0,SER_hh_tesh_in!R21/SER_summary!R$27)</f>
        <v>0</v>
      </c>
      <c r="S21" s="132">
        <f>IF(SER_hh_tesh_in!S21=0,0,SER_hh_tesh_in!S21/SER_summary!S$27)</f>
        <v>0</v>
      </c>
      <c r="T21" s="132">
        <f>IF(SER_hh_tesh_in!T21=0,0,SER_hh_tesh_in!T21/SER_summary!T$27)</f>
        <v>0</v>
      </c>
      <c r="U21" s="132">
        <f>IF(SER_hh_tesh_in!U21=0,0,SER_hh_tesh_in!U21/SER_summary!U$27)</f>
        <v>0</v>
      </c>
      <c r="V21" s="132">
        <f>IF(SER_hh_tesh_in!V21=0,0,SER_hh_tesh_in!V21/SER_summary!V$27)</f>
        <v>0</v>
      </c>
      <c r="W21" s="132">
        <f>IF(SER_hh_tesh_in!W21=0,0,SER_hh_tesh_in!W21/SER_summary!W$27)</f>
        <v>0</v>
      </c>
      <c r="X21" s="132">
        <f>IF(SER_hh_tesh_in!X21=0,0,SER_hh_tesh_in!X21/SER_summary!X$27)</f>
        <v>0</v>
      </c>
      <c r="Y21" s="132">
        <f>IF(SER_hh_tesh_in!Y21=0,0,SER_hh_tesh_in!Y21/SER_summary!Y$27)</f>
        <v>0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0</v>
      </c>
      <c r="D22" s="132">
        <f>IF(SER_hh_tesh_in!D22=0,0,SER_hh_tesh_in!D22/SER_summary!D$27)</f>
        <v>0</v>
      </c>
      <c r="E22" s="132">
        <f>IF(SER_hh_tesh_in!E22=0,0,SER_hh_tesh_in!E22/SER_summary!E$27)</f>
        <v>0</v>
      </c>
      <c r="F22" s="132">
        <f>IF(SER_hh_tesh_in!F22=0,0,SER_hh_tesh_in!F22/SER_summary!F$27)</f>
        <v>0</v>
      </c>
      <c r="G22" s="132">
        <f>IF(SER_hh_tesh_in!G22=0,0,SER_hh_tesh_in!G22/SER_summary!G$27)</f>
        <v>0</v>
      </c>
      <c r="H22" s="132">
        <f>IF(SER_hh_tesh_in!H22=0,0,SER_hh_tesh_in!H22/SER_summary!H$27)</f>
        <v>0</v>
      </c>
      <c r="I22" s="132">
        <f>IF(SER_hh_tesh_in!I22=0,0,SER_hh_tesh_in!I22/SER_summary!I$27)</f>
        <v>0</v>
      </c>
      <c r="J22" s="132">
        <f>IF(SER_hh_tesh_in!J22=0,0,SER_hh_tesh_in!J22/SER_summary!J$27)</f>
        <v>0</v>
      </c>
      <c r="K22" s="132">
        <f>IF(SER_hh_tesh_in!K22=0,0,SER_hh_tesh_in!K22/SER_summary!K$27)</f>
        <v>0</v>
      </c>
      <c r="L22" s="132">
        <f>IF(SER_hh_tesh_in!L22=0,0,SER_hh_tesh_in!L22/SER_summary!L$27)</f>
        <v>0</v>
      </c>
      <c r="M22" s="132">
        <f>IF(SER_hh_tesh_in!M22=0,0,SER_hh_tesh_in!M22/SER_summary!M$27)</f>
        <v>0</v>
      </c>
      <c r="N22" s="132">
        <f>IF(SER_hh_tesh_in!N22=0,0,SER_hh_tesh_in!N22/SER_summary!N$27)</f>
        <v>0</v>
      </c>
      <c r="O22" s="132">
        <f>IF(SER_hh_tesh_in!O22=0,0,SER_hh_tesh_in!O22/SER_summary!O$27)</f>
        <v>0</v>
      </c>
      <c r="P22" s="132">
        <f>IF(SER_hh_tesh_in!P22=0,0,SER_hh_tesh_in!P22/SER_summary!P$27)</f>
        <v>0</v>
      </c>
      <c r="Q22" s="132">
        <f>IF(SER_hh_tesh_in!Q22=0,0,SER_hh_tesh_in!Q22/SER_summary!Q$27)</f>
        <v>0</v>
      </c>
      <c r="R22" s="132">
        <f>IF(SER_hh_tesh_in!R22=0,0,SER_hh_tesh_in!R22/SER_summary!R$27)</f>
        <v>0</v>
      </c>
      <c r="S22" s="132">
        <f>IF(SER_hh_tesh_in!S22=0,0,SER_hh_tesh_in!S22/SER_summary!S$27)</f>
        <v>0</v>
      </c>
      <c r="T22" s="132">
        <f>IF(SER_hh_tesh_in!T22=0,0,SER_hh_tesh_in!T22/SER_summary!T$27)</f>
        <v>0</v>
      </c>
      <c r="U22" s="132">
        <f>IF(SER_hh_tesh_in!U22=0,0,SER_hh_tesh_in!U22/SER_summary!U$27)</f>
        <v>0</v>
      </c>
      <c r="V22" s="132">
        <f>IF(SER_hh_tesh_in!V22=0,0,SER_hh_tesh_in!V22/SER_summary!V$27)</f>
        <v>0</v>
      </c>
      <c r="W22" s="132">
        <f>IF(SER_hh_tesh_in!W22=0,0,SER_hh_tesh_in!W22/SER_summary!W$27)</f>
        <v>0</v>
      </c>
      <c r="X22" s="132">
        <f>IF(SER_hh_tesh_in!X22=0,0,SER_hh_tesh_in!X22/SER_summary!X$27)</f>
        <v>0</v>
      </c>
      <c r="Y22" s="132">
        <f>IF(SER_hh_tesh_in!Y22=0,0,SER_hh_tesh_in!Y22/SER_summary!Y$27)</f>
        <v>0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7.6638247349076281</v>
      </c>
      <c r="D23" s="132">
        <f>IF(SER_hh_tesh_in!D23=0,0,SER_hh_tesh_in!D23/SER_summary!D$27)</f>
        <v>7.6533922836332628</v>
      </c>
      <c r="E23" s="132">
        <f>IF(SER_hh_tesh_in!E23=0,0,SER_hh_tesh_in!E23/SER_summary!E$27)</f>
        <v>7.3252057320644823</v>
      </c>
      <c r="F23" s="132">
        <f>IF(SER_hh_tesh_in!F23=0,0,SER_hh_tesh_in!F23/SER_summary!F$27)</f>
        <v>7.1736258223836904</v>
      </c>
      <c r="G23" s="132">
        <f>IF(SER_hh_tesh_in!G23=0,0,SER_hh_tesh_in!G23/SER_summary!G$27)</f>
        <v>7.2220970263713689</v>
      </c>
      <c r="H23" s="132">
        <f>IF(SER_hh_tesh_in!H23=0,0,SER_hh_tesh_in!H23/SER_summary!H$27)</f>
        <v>7.2055430719619977</v>
      </c>
      <c r="I23" s="132">
        <f>IF(SER_hh_tesh_in!I23=0,0,SER_hh_tesh_in!I23/SER_summary!I$27)</f>
        <v>7.0075834271243949</v>
      </c>
      <c r="J23" s="132">
        <f>IF(SER_hh_tesh_in!J23=0,0,SER_hh_tesh_in!J23/SER_summary!J$27)</f>
        <v>7.0271005221045852</v>
      </c>
      <c r="K23" s="132">
        <f>IF(SER_hh_tesh_in!K23=0,0,SER_hh_tesh_in!K23/SER_summary!K$27)</f>
        <v>7.3736641238495801</v>
      </c>
      <c r="L23" s="132">
        <f>IF(SER_hh_tesh_in!L23=0,0,SER_hh_tesh_in!L23/SER_summary!L$27)</f>
        <v>8.0097428421321126</v>
      </c>
      <c r="M23" s="132">
        <f>IF(SER_hh_tesh_in!M23=0,0,SER_hh_tesh_in!M23/SER_summary!M$27)</f>
        <v>7.8808222660658016</v>
      </c>
      <c r="N23" s="132">
        <f>IF(SER_hh_tesh_in!N23=0,0,SER_hh_tesh_in!N23/SER_summary!N$27)</f>
        <v>7.8543049136753682</v>
      </c>
      <c r="O23" s="132">
        <f>IF(SER_hh_tesh_in!O23=0,0,SER_hh_tesh_in!O23/SER_summary!O$27)</f>
        <v>7.9371636824525824</v>
      </c>
      <c r="P23" s="132">
        <f>IF(SER_hh_tesh_in!P23=0,0,SER_hh_tesh_in!P23/SER_summary!P$27)</f>
        <v>7.7970429108223902</v>
      </c>
      <c r="Q23" s="132">
        <f>IF(SER_hh_tesh_in!Q23=0,0,SER_hh_tesh_in!Q23/SER_summary!Q$27)</f>
        <v>8.1525462018614672</v>
      </c>
      <c r="R23" s="132">
        <f>IF(SER_hh_tesh_in!R23=0,0,SER_hh_tesh_in!R23/SER_summary!R$27)</f>
        <v>8.2335632769589377</v>
      </c>
      <c r="S23" s="132">
        <f>IF(SER_hh_tesh_in!S23=0,0,SER_hh_tesh_in!S23/SER_summary!S$27)</f>
        <v>8.3848725047906782</v>
      </c>
      <c r="T23" s="132">
        <f>IF(SER_hh_tesh_in!T23=0,0,SER_hh_tesh_in!T23/SER_summary!T$27)</f>
        <v>8.0150870675874462</v>
      </c>
      <c r="U23" s="132">
        <f>IF(SER_hh_tesh_in!U23=0,0,SER_hh_tesh_in!U23/SER_summary!U$27)</f>
        <v>8.2360198244665668</v>
      </c>
      <c r="V23" s="132">
        <f>IF(SER_hh_tesh_in!V23=0,0,SER_hh_tesh_in!V23/SER_summary!V$27)</f>
        <v>7.5607386146291864</v>
      </c>
      <c r="W23" s="132">
        <f>IF(SER_hh_tesh_in!W23=0,0,SER_hh_tesh_in!W23/SER_summary!W$27)</f>
        <v>8.0483862154567802</v>
      </c>
      <c r="X23" s="132">
        <f>IF(SER_hh_tesh_in!X23=0,0,SER_hh_tesh_in!X23/SER_summary!X$27)</f>
        <v>7.7645778231741538</v>
      </c>
      <c r="Y23" s="132">
        <f>IF(SER_hh_tesh_in!Y23=0,0,SER_hh_tesh_in!Y23/SER_summary!Y$27)</f>
        <v>7.5718038873866922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0</v>
      </c>
      <c r="D24" s="132">
        <f>IF(SER_hh_tesh_in!D24=0,0,SER_hh_tesh_in!D24/SER_summary!D$27)</f>
        <v>0</v>
      </c>
      <c r="E24" s="132">
        <f>IF(SER_hh_tesh_in!E24=0,0,SER_hh_tesh_in!E24/SER_summary!E$27)</f>
        <v>0</v>
      </c>
      <c r="F24" s="132">
        <f>IF(SER_hh_tesh_in!F24=0,0,SER_hh_tesh_in!F24/SER_summary!F$27)</f>
        <v>0</v>
      </c>
      <c r="G24" s="132">
        <f>IF(SER_hh_tesh_in!G24=0,0,SER_hh_tesh_in!G24/SER_summary!G$27)</f>
        <v>0</v>
      </c>
      <c r="H24" s="132">
        <f>IF(SER_hh_tesh_in!H24=0,0,SER_hh_tesh_in!H24/SER_summary!H$27)</f>
        <v>0</v>
      </c>
      <c r="I24" s="132">
        <f>IF(SER_hh_tesh_in!I24=0,0,SER_hh_tesh_in!I24/SER_summary!I$27)</f>
        <v>0</v>
      </c>
      <c r="J24" s="132">
        <f>IF(SER_hh_tesh_in!J24=0,0,SER_hh_tesh_in!J24/SER_summary!J$27)</f>
        <v>0</v>
      </c>
      <c r="K24" s="132">
        <f>IF(SER_hh_tesh_in!K24=0,0,SER_hh_tesh_in!K24/SER_summary!K$27)</f>
        <v>0</v>
      </c>
      <c r="L24" s="132">
        <f>IF(SER_hh_tesh_in!L24=0,0,SER_hh_tesh_in!L24/SER_summary!L$27)</f>
        <v>0</v>
      </c>
      <c r="M24" s="132">
        <f>IF(SER_hh_tesh_in!M24=0,0,SER_hh_tesh_in!M24/SER_summary!M$27)</f>
        <v>0</v>
      </c>
      <c r="N24" s="132">
        <f>IF(SER_hh_tesh_in!N24=0,0,SER_hh_tesh_in!N24/SER_summary!N$27)</f>
        <v>0</v>
      </c>
      <c r="O24" s="132">
        <f>IF(SER_hh_tesh_in!O24=0,0,SER_hh_tesh_in!O24/SER_summary!O$27)</f>
        <v>0</v>
      </c>
      <c r="P24" s="132">
        <f>IF(SER_hh_tesh_in!P24=0,0,SER_hh_tesh_in!P24/SER_summary!P$27)</f>
        <v>0</v>
      </c>
      <c r="Q24" s="132">
        <f>IF(SER_hh_tesh_in!Q24=0,0,SER_hh_tesh_in!Q24/SER_summary!Q$27)</f>
        <v>0</v>
      </c>
      <c r="R24" s="132">
        <f>IF(SER_hh_tesh_in!R24=0,0,SER_hh_tesh_in!R24/SER_summary!R$27)</f>
        <v>0</v>
      </c>
      <c r="S24" s="132">
        <f>IF(SER_hh_tesh_in!S24=0,0,SER_hh_tesh_in!S24/SER_summary!S$27)</f>
        <v>0</v>
      </c>
      <c r="T24" s="132">
        <f>IF(SER_hh_tesh_in!T24=0,0,SER_hh_tesh_in!T24/SER_summary!T$27)</f>
        <v>0</v>
      </c>
      <c r="U24" s="132">
        <f>IF(SER_hh_tesh_in!U24=0,0,SER_hh_tesh_in!U24/SER_summary!U$27)</f>
        <v>0</v>
      </c>
      <c r="V24" s="132">
        <f>IF(SER_hh_tesh_in!V24=0,0,SER_hh_tesh_in!V24/SER_summary!V$27)</f>
        <v>0</v>
      </c>
      <c r="W24" s="132">
        <f>IF(SER_hh_tesh_in!W24=0,0,SER_hh_tesh_in!W24/SER_summary!W$27)</f>
        <v>0</v>
      </c>
      <c r="X24" s="132">
        <f>IF(SER_hh_tesh_in!X24=0,0,SER_hh_tesh_in!X24/SER_summary!X$27)</f>
        <v>0</v>
      </c>
      <c r="Y24" s="132">
        <f>IF(SER_hh_tesh_in!Y24=0,0,SER_hh_tesh_in!Y24/SER_summary!Y$27)</f>
        <v>0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7.7436438679466333</v>
      </c>
      <c r="D25" s="132">
        <f>IF(SER_hh_tesh_in!D25=0,0,SER_hh_tesh_in!D25/SER_summary!D$27)</f>
        <v>7.5669329867821737</v>
      </c>
      <c r="E25" s="132">
        <f>IF(SER_hh_tesh_in!E25=0,0,SER_hh_tesh_in!E25/SER_summary!E$27)</f>
        <v>7.3752902051416402</v>
      </c>
      <c r="F25" s="132">
        <f>IF(SER_hh_tesh_in!F25=0,0,SER_hh_tesh_in!F25/SER_summary!F$27)</f>
        <v>7.3656158388946897</v>
      </c>
      <c r="G25" s="132">
        <f>IF(SER_hh_tesh_in!G25=0,0,SER_hh_tesh_in!G25/SER_summary!G$27)</f>
        <v>7.1910303997484224</v>
      </c>
      <c r="H25" s="132">
        <f>IF(SER_hh_tesh_in!H25=0,0,SER_hh_tesh_in!H25/SER_summary!H$27)</f>
        <v>7.2868413172428887</v>
      </c>
      <c r="I25" s="132">
        <f>IF(SER_hh_tesh_in!I25=0,0,SER_hh_tesh_in!I25/SER_summary!I$27)</f>
        <v>7.2540405737440024</v>
      </c>
      <c r="J25" s="132">
        <f>IF(SER_hh_tesh_in!J25=0,0,SER_hh_tesh_in!J25/SER_summary!J$27)</f>
        <v>7.2710543922281374</v>
      </c>
      <c r="K25" s="132">
        <f>IF(SER_hh_tesh_in!K25=0,0,SER_hh_tesh_in!K25/SER_summary!K$27)</f>
        <v>6.9376932598185856</v>
      </c>
      <c r="L25" s="132">
        <f>IF(SER_hh_tesh_in!L25=0,0,SER_hh_tesh_in!L25/SER_summary!L$27)</f>
        <v>7.8266930010925453</v>
      </c>
      <c r="M25" s="132">
        <f>IF(SER_hh_tesh_in!M25=0,0,SER_hh_tesh_in!M25/SER_summary!M$27)</f>
        <v>7.954146631809329</v>
      </c>
      <c r="N25" s="132">
        <f>IF(SER_hh_tesh_in!N25=0,0,SER_hh_tesh_in!N25/SER_summary!N$27)</f>
        <v>7.9613101798965928</v>
      </c>
      <c r="O25" s="132">
        <f>IF(SER_hh_tesh_in!O25=0,0,SER_hh_tesh_in!O25/SER_summary!O$27)</f>
        <v>8.1038500035622398</v>
      </c>
      <c r="P25" s="132">
        <f>IF(SER_hh_tesh_in!P25=0,0,SER_hh_tesh_in!P25/SER_summary!P$27)</f>
        <v>7.8175007383248625</v>
      </c>
      <c r="Q25" s="132">
        <f>IF(SER_hh_tesh_in!Q25=0,0,SER_hh_tesh_in!Q25/SER_summary!Q$27)</f>
        <v>8.1207344179299668</v>
      </c>
      <c r="R25" s="132">
        <f>IF(SER_hh_tesh_in!R25=0,0,SER_hh_tesh_in!R25/SER_summary!R$27)</f>
        <v>8.3903959605184042</v>
      </c>
      <c r="S25" s="132">
        <f>IF(SER_hh_tesh_in!S25=0,0,SER_hh_tesh_in!S25/SER_summary!S$27)</f>
        <v>8.095604285385452</v>
      </c>
      <c r="T25" s="132">
        <f>IF(SER_hh_tesh_in!T25=0,0,SER_hh_tesh_in!T25/SER_summary!T$27)</f>
        <v>8.348906319788858</v>
      </c>
      <c r="U25" s="132">
        <f>IF(SER_hh_tesh_in!U25=0,0,SER_hh_tesh_in!U25/SER_summary!U$27)</f>
        <v>7.9372493177796786</v>
      </c>
      <c r="V25" s="132">
        <f>IF(SER_hh_tesh_in!V25=0,0,SER_hh_tesh_in!V25/SER_summary!V$27)</f>
        <v>7.4206885564181055</v>
      </c>
      <c r="W25" s="132">
        <f>IF(SER_hh_tesh_in!W25=0,0,SER_hh_tesh_in!W25/SER_summary!W$27)</f>
        <v>8.146241965583755</v>
      </c>
      <c r="X25" s="132">
        <f>IF(SER_hh_tesh_in!X25=0,0,SER_hh_tesh_in!X25/SER_summary!X$27)</f>
        <v>7.6879016476557949</v>
      </c>
      <c r="Y25" s="132">
        <f>IF(SER_hh_tesh_in!Y25=0,0,SER_hh_tesh_in!Y25/SER_summary!Y$27)</f>
        <v>7.6864321477975128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7.8115173201212142</v>
      </c>
      <c r="D26" s="65">
        <f>IF(SER_hh_tesh_in!D26=0,0,SER_hh_tesh_in!D26/SER_summary!D$27)</f>
        <v>7.6535470915842527</v>
      </c>
      <c r="E26" s="65">
        <f>IF(SER_hh_tesh_in!E26=0,0,SER_hh_tesh_in!E26/SER_summary!E$27)</f>
        <v>5.1083936010319082</v>
      </c>
      <c r="F26" s="65">
        <f>IF(SER_hh_tesh_in!F26=0,0,SER_hh_tesh_in!F26/SER_summary!F$27)</f>
        <v>6.5345866493130185</v>
      </c>
      <c r="G26" s="65">
        <f>IF(SER_hh_tesh_in!G26=0,0,SER_hh_tesh_in!G26/SER_summary!G$27)</f>
        <v>6.9296653535383888</v>
      </c>
      <c r="H26" s="65">
        <f>IF(SER_hh_tesh_in!H26=0,0,SER_hh_tesh_in!H26/SER_summary!H$27)</f>
        <v>6.8851492223861008</v>
      </c>
      <c r="I26" s="65">
        <f>IF(SER_hh_tesh_in!I26=0,0,SER_hh_tesh_in!I26/SER_summary!I$27)</f>
        <v>6.8732019409307705</v>
      </c>
      <c r="J26" s="65">
        <f>IF(SER_hh_tesh_in!J26=0,0,SER_hh_tesh_in!J26/SER_summary!J$27)</f>
        <v>6.1687789782330285</v>
      </c>
      <c r="K26" s="65">
        <f>IF(SER_hh_tesh_in!K26=0,0,SER_hh_tesh_in!K26/SER_summary!K$27)</f>
        <v>3.1764584142682839</v>
      </c>
      <c r="L26" s="65">
        <f>IF(SER_hh_tesh_in!L26=0,0,SER_hh_tesh_in!L26/SER_summary!L$27)</f>
        <v>5.5819168451577248</v>
      </c>
      <c r="M26" s="65">
        <f>IF(SER_hh_tesh_in!M26=0,0,SER_hh_tesh_in!M26/SER_summary!M$27)</f>
        <v>6.3616493696458978</v>
      </c>
      <c r="N26" s="65">
        <f>IF(SER_hh_tesh_in!N26=0,0,SER_hh_tesh_in!N26/SER_summary!N$27)</f>
        <v>6.3645475548976576</v>
      </c>
      <c r="O26" s="65">
        <f>IF(SER_hh_tesh_in!O26=0,0,SER_hh_tesh_in!O26/SER_summary!O$27)</f>
        <v>6.6746579927369449</v>
      </c>
      <c r="P26" s="65">
        <f>IF(SER_hh_tesh_in!P26=0,0,SER_hh_tesh_in!P26/SER_summary!P$27)</f>
        <v>3.4072590961395215</v>
      </c>
      <c r="Q26" s="65">
        <f>IF(SER_hh_tesh_in!Q26=0,0,SER_hh_tesh_in!Q26/SER_summary!Q$27)</f>
        <v>7.237371467242772</v>
      </c>
      <c r="R26" s="65">
        <f>IF(SER_hh_tesh_in!R26=0,0,SER_hh_tesh_in!R26/SER_summary!R$27)</f>
        <v>7.0171735746565922</v>
      </c>
      <c r="S26" s="65">
        <f>IF(SER_hh_tesh_in!S26=0,0,SER_hh_tesh_in!S26/SER_summary!S$27)</f>
        <v>6.5376585335080062</v>
      </c>
      <c r="T26" s="65">
        <f>IF(SER_hh_tesh_in!T26=0,0,SER_hh_tesh_in!T26/SER_summary!T$27)</f>
        <v>6.5896205383119684</v>
      </c>
      <c r="U26" s="65">
        <f>IF(SER_hh_tesh_in!U26=0,0,SER_hh_tesh_in!U26/SER_summary!U$27)</f>
        <v>6.6209035919449022</v>
      </c>
      <c r="V26" s="65">
        <f>IF(SER_hh_tesh_in!V26=0,0,SER_hh_tesh_in!V26/SER_summary!V$27)</f>
        <v>4.8986404380117117</v>
      </c>
      <c r="W26" s="65">
        <f>IF(SER_hh_tesh_in!W26=0,0,SER_hh_tesh_in!W26/SER_summary!W$27)</f>
        <v>7.2862016259503868</v>
      </c>
      <c r="X26" s="65">
        <f>IF(SER_hh_tesh_in!X26=0,0,SER_hh_tesh_in!X26/SER_summary!X$27)</f>
        <v>5.634445133345654</v>
      </c>
      <c r="Y26" s="65">
        <f>IF(SER_hh_tesh_in!Y26=0,0,SER_hh_tesh_in!Y26/SER_summary!Y$27)</f>
        <v>8.306893266220138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0</v>
      </c>
      <c r="D27" s="145">
        <f>IF(SER_hh_tesh_in!D27=0,0,SER_hh_tesh_in!D27/SER_summary!D$27)</f>
        <v>0</v>
      </c>
      <c r="E27" s="145">
        <f>IF(SER_hh_tesh_in!E27=0,0,SER_hh_tesh_in!E27/SER_summary!E$27)</f>
        <v>0.84475393839393453</v>
      </c>
      <c r="F27" s="145">
        <f>IF(SER_hh_tesh_in!F27=0,0,SER_hh_tesh_in!F27/SER_summary!F$27)</f>
        <v>0.2694278585930347</v>
      </c>
      <c r="G27" s="145">
        <f>IF(SER_hh_tesh_in!G27=0,0,SER_hh_tesh_in!G27/SER_summary!G$27)</f>
        <v>0.14030486762320585</v>
      </c>
      <c r="H27" s="145">
        <f>IF(SER_hh_tesh_in!H27=0,0,SER_hh_tesh_in!H27/SER_summary!H$27)</f>
        <v>0.16838822886932081</v>
      </c>
      <c r="I27" s="145">
        <f>IF(SER_hh_tesh_in!I27=0,0,SER_hh_tesh_in!I27/SER_summary!I$27)</f>
        <v>0.23427973475696601</v>
      </c>
      <c r="J27" s="145">
        <f>IF(SER_hh_tesh_in!J27=0,0,SER_hh_tesh_in!J27/SER_summary!J$27)</f>
        <v>0.50292052704076196</v>
      </c>
      <c r="K27" s="145">
        <f>IF(SER_hh_tesh_in!K27=0,0,SER_hh_tesh_in!K27/SER_summary!K$27)</f>
        <v>1.3637850764752302</v>
      </c>
      <c r="L27" s="145">
        <f>IF(SER_hh_tesh_in!L27=0,0,SER_hh_tesh_in!L27/SER_summary!L$27)</f>
        <v>1.0563878535335038</v>
      </c>
      <c r="M27" s="145">
        <f>IF(SER_hh_tesh_in!M27=0,0,SER_hh_tesh_in!M27/SER_summary!M$27)</f>
        <v>0.75363287324381101</v>
      </c>
      <c r="N27" s="145">
        <f>IF(SER_hh_tesh_in!N27=0,0,SER_hh_tesh_in!N27/SER_summary!N$27)</f>
        <v>0.9043177167935188</v>
      </c>
      <c r="O27" s="145">
        <f>IF(SER_hh_tesh_in!O27=0,0,SER_hh_tesh_in!O27/SER_summary!O$27)</f>
        <v>0.69845673934953545</v>
      </c>
      <c r="P27" s="145">
        <f>IF(SER_hh_tesh_in!P27=0,0,SER_hh_tesh_in!P27/SER_summary!P$27)</f>
        <v>1.4344000272290074</v>
      </c>
      <c r="Q27" s="145">
        <f>IF(SER_hh_tesh_in!Q27=0,0,SER_hh_tesh_in!Q27/SER_summary!Q$27)</f>
        <v>0.27379749660824654</v>
      </c>
      <c r="R27" s="145">
        <f>IF(SER_hh_tesh_in!R27=0,0,SER_hh_tesh_in!R27/SER_summary!R$27)</f>
        <v>0.44886212076141219</v>
      </c>
      <c r="S27" s="145">
        <f>IF(SER_hh_tesh_in!S27=0,0,SER_hh_tesh_in!S27/SER_summary!S$27)</f>
        <v>0.63515152497963645</v>
      </c>
      <c r="T27" s="145">
        <f>IF(SER_hh_tesh_in!T27=0,0,SER_hh_tesh_in!T27/SER_summary!T$27)</f>
        <v>0.78809681689385769</v>
      </c>
      <c r="U27" s="145">
        <f>IF(SER_hh_tesh_in!U27=0,0,SER_hh_tesh_in!U27/SER_summary!U$27)</f>
        <v>0.63638052022547109</v>
      </c>
      <c r="V27" s="145">
        <f>IF(SER_hh_tesh_in!V27=0,0,SER_hh_tesh_in!V27/SER_summary!V$27)</f>
        <v>1.3899180216293991</v>
      </c>
      <c r="W27" s="145">
        <f>IF(SER_hh_tesh_in!W27=0,0,SER_hh_tesh_in!W27/SER_summary!W$27)</f>
        <v>0</v>
      </c>
      <c r="X27" s="145">
        <f>IF(SER_hh_tesh_in!X27=0,0,SER_hh_tesh_in!X27/SER_summary!X$27)</f>
        <v>1.4649582557750349</v>
      </c>
      <c r="Y27" s="145">
        <f>IF(SER_hh_tesh_in!Y27=0,0,SER_hh_tesh_in!Y27/SER_summary!Y$27)</f>
        <v>1.7596919202081755E-15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0</v>
      </c>
      <c r="D28" s="146">
        <f>IF(SER_hh_tesh_in!D28=0,0,SER_hh_tesh_in!D28/SER_summary!D$27)</f>
        <v>0</v>
      </c>
      <c r="E28" s="146">
        <f>IF(SER_hh_tesh_in!E28=0,0,SER_hh_tesh_in!E28/SER_summary!E$27)</f>
        <v>3.8754673301017024</v>
      </c>
      <c r="F28" s="146">
        <f>IF(SER_hh_tesh_in!F28=0,0,SER_hh_tesh_in!F28/SER_summary!F$27)</f>
        <v>3.7443780598058098</v>
      </c>
      <c r="G28" s="146">
        <f>IF(SER_hh_tesh_in!G28=0,0,SER_hh_tesh_in!G28/SER_summary!G$27)</f>
        <v>3.8290776343839501</v>
      </c>
      <c r="H28" s="146">
        <f>IF(SER_hh_tesh_in!H28=0,0,SER_hh_tesh_in!H28/SER_summary!H$27)</f>
        <v>3.6904962532665286</v>
      </c>
      <c r="I28" s="146">
        <f>IF(SER_hh_tesh_in!I28=0,0,SER_hh_tesh_in!I28/SER_summary!I$27)</f>
        <v>3.7611192602108221</v>
      </c>
      <c r="J28" s="146">
        <f>IF(SER_hh_tesh_in!J28=0,0,SER_hh_tesh_in!J28/SER_summary!J$27)</f>
        <v>3.8405458396913512</v>
      </c>
      <c r="K28" s="146">
        <f>IF(SER_hh_tesh_in!K28=0,0,SER_hh_tesh_in!K28/SER_summary!K$27)</f>
        <v>4.3017374643346775</v>
      </c>
      <c r="L28" s="146">
        <f>IF(SER_hh_tesh_in!L28=0,0,SER_hh_tesh_in!L28/SER_summary!L$27)</f>
        <v>4.3091261866560027</v>
      </c>
      <c r="M28" s="146">
        <f>IF(SER_hh_tesh_in!M28=0,0,SER_hh_tesh_in!M28/SER_summary!M$27)</f>
        <v>4.7493576729857256</v>
      </c>
      <c r="N28" s="146">
        <f>IF(SER_hh_tesh_in!N28=0,0,SER_hh_tesh_in!N28/SER_summary!N$27)</f>
        <v>4.9095503956966136</v>
      </c>
      <c r="O28" s="146">
        <f>IF(SER_hh_tesh_in!O28=0,0,SER_hh_tesh_in!O28/SER_summary!O$27)</f>
        <v>5.0705832653386835</v>
      </c>
      <c r="P28" s="146">
        <f>IF(SER_hh_tesh_in!P28=0,0,SER_hh_tesh_in!P28/SER_summary!P$27)</f>
        <v>4.7579177011498919</v>
      </c>
      <c r="Q28" s="146">
        <f>IF(SER_hh_tesh_in!Q28=0,0,SER_hh_tesh_in!Q28/SER_summary!Q$27)</f>
        <v>5.0137713281906864</v>
      </c>
      <c r="R28" s="146">
        <f>IF(SER_hh_tesh_in!R28=0,0,SER_hh_tesh_in!R28/SER_summary!R$27)</f>
        <v>5.1929462377994149</v>
      </c>
      <c r="S28" s="146">
        <f>IF(SER_hh_tesh_in!S28=0,0,SER_hh_tesh_in!S28/SER_summary!S$27)</f>
        <v>5.1836771376644597</v>
      </c>
      <c r="T28" s="146">
        <f>IF(SER_hh_tesh_in!T28=0,0,SER_hh_tesh_in!T28/SER_summary!T$27)</f>
        <v>5.0589135924060047</v>
      </c>
      <c r="U28" s="146">
        <f>IF(SER_hh_tesh_in!U28=0,0,SER_hh_tesh_in!U28/SER_summary!U$27)</f>
        <v>5.0289268177759006</v>
      </c>
      <c r="V28" s="146">
        <f>IF(SER_hh_tesh_in!V28=0,0,SER_hh_tesh_in!V28/SER_summary!V$27)</f>
        <v>4.5822705121924585</v>
      </c>
      <c r="W28" s="146">
        <f>IF(SER_hh_tesh_in!W28=0,0,SER_hh_tesh_in!W28/SER_summary!W$27)</f>
        <v>0</v>
      </c>
      <c r="X28" s="146">
        <f>IF(SER_hh_tesh_in!X28=0,0,SER_hh_tesh_in!X28/SER_summary!X$27)</f>
        <v>4.6938472975102403</v>
      </c>
      <c r="Y28" s="146">
        <f>IF(SER_hh_tesh_in!Y28=0,0,SER_hh_tesh_in!Y28/SER_summary!Y$27)</f>
        <v>5.3584455936536797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8.4136798568612861</v>
      </c>
      <c r="D29" s="130">
        <f>IF(SER_hh_tesh_in!D29=0,0,SER_hh_tesh_in!D29/SER_summary!D$27)</f>
        <v>8.3736962059505977</v>
      </c>
      <c r="E29" s="130">
        <f>IF(SER_hh_tesh_in!E29=0,0,SER_hh_tesh_in!E29/SER_summary!E$27)</f>
        <v>8.4545305391521666</v>
      </c>
      <c r="F29" s="130">
        <f>IF(SER_hh_tesh_in!F29=0,0,SER_hh_tesh_in!F29/SER_summary!F$27)</f>
        <v>8.4246935990755656</v>
      </c>
      <c r="G29" s="130">
        <f>IF(SER_hh_tesh_in!G29=0,0,SER_hh_tesh_in!G29/SER_summary!G$27)</f>
        <v>8.3429855368169274</v>
      </c>
      <c r="H29" s="130">
        <f>IF(SER_hh_tesh_in!H29=0,0,SER_hh_tesh_in!H29/SER_summary!H$27)</f>
        <v>8.3877304909564483</v>
      </c>
      <c r="I29" s="130">
        <f>IF(SER_hh_tesh_in!I29=0,0,SER_hh_tesh_in!I29/SER_summary!I$27)</f>
        <v>8.2978861427319917</v>
      </c>
      <c r="J29" s="130">
        <f>IF(SER_hh_tesh_in!J29=0,0,SER_hh_tesh_in!J29/SER_summary!J$27)</f>
        <v>8.3957728801236513</v>
      </c>
      <c r="K29" s="130">
        <f>IF(SER_hh_tesh_in!K29=0,0,SER_hh_tesh_in!K29/SER_summary!K$27)</f>
        <v>8.9129111340253768</v>
      </c>
      <c r="L29" s="130">
        <f>IF(SER_hh_tesh_in!L29=0,0,SER_hh_tesh_in!L29/SER_summary!L$27)</f>
        <v>9.1486786155824653</v>
      </c>
      <c r="M29" s="130">
        <f>IF(SER_hh_tesh_in!M29=0,0,SER_hh_tesh_in!M29/SER_summary!M$27)</f>
        <v>9.2789425995619883</v>
      </c>
      <c r="N29" s="130">
        <f>IF(SER_hh_tesh_in!N29=0,0,SER_hh_tesh_in!N29/SER_summary!N$27)</f>
        <v>9.347884915054312</v>
      </c>
      <c r="O29" s="130">
        <f>IF(SER_hh_tesh_in!O29=0,0,SER_hh_tesh_in!O29/SER_summary!O$27)</f>
        <v>9.494569765750775</v>
      </c>
      <c r="P29" s="130">
        <f>IF(SER_hh_tesh_in!P29=0,0,SER_hh_tesh_in!P29/SER_summary!P$27)</f>
        <v>9.5000728291624199</v>
      </c>
      <c r="Q29" s="130">
        <f>IF(SER_hh_tesh_in!Q29=0,0,SER_hh_tesh_in!Q29/SER_summary!Q$27)</f>
        <v>9.5111361233049045</v>
      </c>
      <c r="R29" s="130">
        <f>IF(SER_hh_tesh_in!R29=0,0,SER_hh_tesh_in!R29/SER_summary!R$27)</f>
        <v>9.5468295848489326</v>
      </c>
      <c r="S29" s="130">
        <f>IF(SER_hh_tesh_in!S29=0,0,SER_hh_tesh_in!S29/SER_summary!S$27)</f>
        <v>9.8679457183013923</v>
      </c>
      <c r="T29" s="130">
        <f>IF(SER_hh_tesh_in!T29=0,0,SER_hh_tesh_in!T29/SER_summary!T$27)</f>
        <v>9.6033735189575022</v>
      </c>
      <c r="U29" s="130">
        <f>IF(SER_hh_tesh_in!U29=0,0,SER_hh_tesh_in!U29/SER_summary!U$27)</f>
        <v>9.7028913901252487</v>
      </c>
      <c r="V29" s="130">
        <f>IF(SER_hh_tesh_in!V29=0,0,SER_hh_tesh_in!V29/SER_summary!V$27)</f>
        <v>9.0172391642347254</v>
      </c>
      <c r="W29" s="130">
        <f>IF(SER_hh_tesh_in!W29=0,0,SER_hh_tesh_in!W29/SER_summary!W$27)</f>
        <v>9.2521091924097192</v>
      </c>
      <c r="X29" s="130">
        <f>IF(SER_hh_tesh_in!X29=0,0,SER_hh_tesh_in!X29/SER_summary!X$27)</f>
        <v>9.2652746431034618</v>
      </c>
      <c r="Y29" s="130">
        <f>IF(SER_hh_tesh_in!Y29=0,0,SER_hh_tesh_in!Y29/SER_summary!Y$27)</f>
        <v>9.5938853251022866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0</v>
      </c>
      <c r="D30" s="132">
        <f>IF(SER_hh_tesh_in!D30=0,0,SER_hh_tesh_in!D30/SER_summary!D$27)</f>
        <v>0</v>
      </c>
      <c r="E30" s="132">
        <f>IF(SER_hh_tesh_in!E30=0,0,SER_hh_tesh_in!E30/SER_summary!E$27)</f>
        <v>0</v>
      </c>
      <c r="F30" s="132">
        <f>IF(SER_hh_tesh_in!F30=0,0,SER_hh_tesh_in!F30/SER_summary!F$27)</f>
        <v>0</v>
      </c>
      <c r="G30" s="132">
        <f>IF(SER_hh_tesh_in!G30=0,0,SER_hh_tesh_in!G30/SER_summary!G$27)</f>
        <v>0</v>
      </c>
      <c r="H30" s="132">
        <f>IF(SER_hh_tesh_in!H30=0,0,SER_hh_tesh_in!H30/SER_summary!H$27)</f>
        <v>0</v>
      </c>
      <c r="I30" s="132">
        <f>IF(SER_hh_tesh_in!I30=0,0,SER_hh_tesh_in!I30/SER_summary!I$27)</f>
        <v>0</v>
      </c>
      <c r="J30" s="132">
        <f>IF(SER_hh_tesh_in!J30=0,0,SER_hh_tesh_in!J30/SER_summary!J$27)</f>
        <v>0</v>
      </c>
      <c r="K30" s="132">
        <f>IF(SER_hh_tesh_in!K30=0,0,SER_hh_tesh_in!K30/SER_summary!K$27)</f>
        <v>0</v>
      </c>
      <c r="L30" s="132">
        <f>IF(SER_hh_tesh_in!L30=0,0,SER_hh_tesh_in!L30/SER_summary!L$27)</f>
        <v>0</v>
      </c>
      <c r="M30" s="132">
        <f>IF(SER_hh_tesh_in!M30=0,0,SER_hh_tesh_in!M30/SER_summary!M$27)</f>
        <v>0</v>
      </c>
      <c r="N30" s="132">
        <f>IF(SER_hh_tesh_in!N30=0,0,SER_hh_tesh_in!N30/SER_summary!N$27)</f>
        <v>0</v>
      </c>
      <c r="O30" s="132">
        <f>IF(SER_hh_tesh_in!O30=0,0,SER_hh_tesh_in!O30/SER_summary!O$27)</f>
        <v>0</v>
      </c>
      <c r="P30" s="132">
        <f>IF(SER_hh_tesh_in!P30=0,0,SER_hh_tesh_in!P30/SER_summary!P$27)</f>
        <v>0</v>
      </c>
      <c r="Q30" s="132">
        <f>IF(SER_hh_tesh_in!Q30=0,0,SER_hh_tesh_in!Q30/SER_summary!Q$27)</f>
        <v>0</v>
      </c>
      <c r="R30" s="132">
        <f>IF(SER_hh_tesh_in!R30=0,0,SER_hh_tesh_in!R30/SER_summary!R$27)</f>
        <v>0</v>
      </c>
      <c r="S30" s="132">
        <f>IF(SER_hh_tesh_in!S30=0,0,SER_hh_tesh_in!S30/SER_summary!S$27)</f>
        <v>0</v>
      </c>
      <c r="T30" s="132">
        <f>IF(SER_hh_tesh_in!T30=0,0,SER_hh_tesh_in!T30/SER_summary!T$27)</f>
        <v>0</v>
      </c>
      <c r="U30" s="132">
        <f>IF(SER_hh_tesh_in!U30=0,0,SER_hh_tesh_in!U30/SER_summary!U$27)</f>
        <v>0</v>
      </c>
      <c r="V30" s="132">
        <f>IF(SER_hh_tesh_in!V30=0,0,SER_hh_tesh_in!V30/SER_summary!V$27)</f>
        <v>0</v>
      </c>
      <c r="W30" s="132">
        <f>IF(SER_hh_tesh_in!W30=0,0,SER_hh_tesh_in!W30/SER_summary!W$27)</f>
        <v>0</v>
      </c>
      <c r="X30" s="132">
        <f>IF(SER_hh_tesh_in!X30=0,0,SER_hh_tesh_in!X30/SER_summary!X$27)</f>
        <v>0</v>
      </c>
      <c r="Y30" s="132">
        <f>IF(SER_hh_tesh_in!Y30=0,0,SER_hh_tesh_in!Y30/SER_summary!Y$27)</f>
        <v>0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8.7055641226735432</v>
      </c>
      <c r="D31" s="132">
        <f>IF(SER_hh_tesh_in!D31=0,0,SER_hh_tesh_in!D31/SER_summary!D$27)</f>
        <v>8.5766978557201465</v>
      </c>
      <c r="E31" s="132">
        <f>IF(SER_hh_tesh_in!E31=0,0,SER_hh_tesh_in!E31/SER_summary!E$27)</f>
        <v>8.3728472718779017</v>
      </c>
      <c r="F31" s="132">
        <f>IF(SER_hh_tesh_in!F31=0,0,SER_hh_tesh_in!F31/SER_summary!F$27)</f>
        <v>8.5568803881897946</v>
      </c>
      <c r="G31" s="132">
        <f>IF(SER_hh_tesh_in!G31=0,0,SER_hh_tesh_in!G31/SER_summary!G$27)</f>
        <v>8.3836420672340299</v>
      </c>
      <c r="H31" s="132">
        <f>IF(SER_hh_tesh_in!H31=0,0,SER_hh_tesh_in!H31/SER_summary!H$27)</f>
        <v>8.2596522679183533</v>
      </c>
      <c r="I31" s="132">
        <f>IF(SER_hh_tesh_in!I31=0,0,SER_hh_tesh_in!I31/SER_summary!I$27)</f>
        <v>8.2919907708470397</v>
      </c>
      <c r="J31" s="132">
        <f>IF(SER_hh_tesh_in!J31=0,0,SER_hh_tesh_in!J31/SER_summary!J$27)</f>
        <v>8.4398798254106104</v>
      </c>
      <c r="K31" s="132">
        <f>IF(SER_hh_tesh_in!K31=0,0,SER_hh_tesh_in!K31/SER_summary!K$27)</f>
        <v>9.4345404725266011</v>
      </c>
      <c r="L31" s="132">
        <f>IF(SER_hh_tesh_in!L31=0,0,SER_hh_tesh_in!L31/SER_summary!L$27)</f>
        <v>9.1438647428818776</v>
      </c>
      <c r="M31" s="132">
        <f>IF(SER_hh_tesh_in!M31=0,0,SER_hh_tesh_in!M31/SER_summary!M$27)</f>
        <v>9.2660626833555124</v>
      </c>
      <c r="N31" s="132">
        <f>IF(SER_hh_tesh_in!N31=0,0,SER_hh_tesh_in!N31/SER_summary!N$27)</f>
        <v>9.3485667532286651</v>
      </c>
      <c r="O31" s="132">
        <f>IF(SER_hh_tesh_in!O31=0,0,SER_hh_tesh_in!O31/SER_summary!O$27)</f>
        <v>9.4266101014067676</v>
      </c>
      <c r="P31" s="132">
        <f>IF(SER_hh_tesh_in!P31=0,0,SER_hh_tesh_in!P31/SER_summary!P$27)</f>
        <v>9.4495536127889164</v>
      </c>
      <c r="Q31" s="132">
        <f>IF(SER_hh_tesh_in!Q31=0,0,SER_hh_tesh_in!Q31/SER_summary!Q$27)</f>
        <v>9.1697790166301285</v>
      </c>
      <c r="R31" s="132">
        <f>IF(SER_hh_tesh_in!R31=0,0,SER_hh_tesh_in!R31/SER_summary!R$27)</f>
        <v>9.4561814544063392</v>
      </c>
      <c r="S31" s="132">
        <f>IF(SER_hh_tesh_in!S31=0,0,SER_hh_tesh_in!S31/SER_summary!S$27)</f>
        <v>10.185531595931442</v>
      </c>
      <c r="T31" s="132">
        <f>IF(SER_hh_tesh_in!T31=0,0,SER_hh_tesh_in!T31/SER_summary!T$27)</f>
        <v>9.4023874329121604</v>
      </c>
      <c r="U31" s="132">
        <f>IF(SER_hh_tesh_in!U31=0,0,SER_hh_tesh_in!U31/SER_summary!U$27)</f>
        <v>9.9448740956012323</v>
      </c>
      <c r="V31" s="132">
        <f>IF(SER_hh_tesh_in!V31=0,0,SER_hh_tesh_in!V31/SER_summary!V$27)</f>
        <v>9.2596275083023478</v>
      </c>
      <c r="W31" s="132">
        <f>IF(SER_hh_tesh_in!W31=0,0,SER_hh_tesh_in!W31/SER_summary!W$27)</f>
        <v>9.4818576488220092</v>
      </c>
      <c r="X31" s="132">
        <f>IF(SER_hh_tesh_in!X31=0,0,SER_hh_tesh_in!X31/SER_summary!X$27)</f>
        <v>9.3050262040064275</v>
      </c>
      <c r="Y31" s="132">
        <f>IF(SER_hh_tesh_in!Y31=0,0,SER_hh_tesh_in!Y31/SER_summary!Y$27)</f>
        <v>9.1360416395221602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0</v>
      </c>
      <c r="D32" s="132">
        <f>IF(SER_hh_tesh_in!D32=0,0,SER_hh_tesh_in!D32/SER_summary!D$27)</f>
        <v>0</v>
      </c>
      <c r="E32" s="132">
        <f>IF(SER_hh_tesh_in!E32=0,0,SER_hh_tesh_in!E32/SER_summary!E$27)</f>
        <v>0</v>
      </c>
      <c r="F32" s="132">
        <f>IF(SER_hh_tesh_in!F32=0,0,SER_hh_tesh_in!F32/SER_summary!F$27)</f>
        <v>0</v>
      </c>
      <c r="G32" s="132">
        <f>IF(SER_hh_tesh_in!G32=0,0,SER_hh_tesh_in!G32/SER_summary!G$27)</f>
        <v>0</v>
      </c>
      <c r="H32" s="132">
        <f>IF(SER_hh_tesh_in!H32=0,0,SER_hh_tesh_in!H32/SER_summary!H$27)</f>
        <v>0</v>
      </c>
      <c r="I32" s="132">
        <f>IF(SER_hh_tesh_in!I32=0,0,SER_hh_tesh_in!I32/SER_summary!I$27)</f>
        <v>0</v>
      </c>
      <c r="J32" s="132">
        <f>IF(SER_hh_tesh_in!J32=0,0,SER_hh_tesh_in!J32/SER_summary!J$27)</f>
        <v>0</v>
      </c>
      <c r="K32" s="132">
        <f>IF(SER_hh_tesh_in!K32=0,0,SER_hh_tesh_in!K32/SER_summary!K$27)</f>
        <v>0</v>
      </c>
      <c r="L32" s="132">
        <f>IF(SER_hh_tesh_in!L32=0,0,SER_hh_tesh_in!L32/SER_summary!L$27)</f>
        <v>0</v>
      </c>
      <c r="M32" s="132">
        <f>IF(SER_hh_tesh_in!M32=0,0,SER_hh_tesh_in!M32/SER_summary!M$27)</f>
        <v>0</v>
      </c>
      <c r="N32" s="132">
        <f>IF(SER_hh_tesh_in!N32=0,0,SER_hh_tesh_in!N32/SER_summary!N$27)</f>
        <v>0</v>
      </c>
      <c r="O32" s="132">
        <f>IF(SER_hh_tesh_in!O32=0,0,SER_hh_tesh_in!O32/SER_summary!O$27)</f>
        <v>0</v>
      </c>
      <c r="P32" s="132">
        <f>IF(SER_hh_tesh_in!P32=0,0,SER_hh_tesh_in!P32/SER_summary!P$27)</f>
        <v>0</v>
      </c>
      <c r="Q32" s="132">
        <f>IF(SER_hh_tesh_in!Q32=0,0,SER_hh_tesh_in!Q32/SER_summary!Q$27)</f>
        <v>0</v>
      </c>
      <c r="R32" s="132">
        <f>IF(SER_hh_tesh_in!R32=0,0,SER_hh_tesh_in!R32/SER_summary!R$27)</f>
        <v>0</v>
      </c>
      <c r="S32" s="132">
        <f>IF(SER_hh_tesh_in!S32=0,0,SER_hh_tesh_in!S32/SER_summary!S$27)</f>
        <v>0</v>
      </c>
      <c r="T32" s="132">
        <f>IF(SER_hh_tesh_in!T32=0,0,SER_hh_tesh_in!T32/SER_summary!T$27)</f>
        <v>0</v>
      </c>
      <c r="U32" s="132">
        <f>IF(SER_hh_tesh_in!U32=0,0,SER_hh_tesh_in!U32/SER_summary!U$27)</f>
        <v>0</v>
      </c>
      <c r="V32" s="132">
        <f>IF(SER_hh_tesh_in!V32=0,0,SER_hh_tesh_in!V32/SER_summary!V$27)</f>
        <v>0</v>
      </c>
      <c r="W32" s="132">
        <f>IF(SER_hh_tesh_in!W32=0,0,SER_hh_tesh_in!W32/SER_summary!W$27)</f>
        <v>0</v>
      </c>
      <c r="X32" s="132">
        <f>IF(SER_hh_tesh_in!X32=0,0,SER_hh_tesh_in!X32/SER_summary!X$27)</f>
        <v>0</v>
      </c>
      <c r="Y32" s="132">
        <f>IF(SER_hh_tesh_in!Y32=0,0,SER_hh_tesh_in!Y32/SER_summary!Y$27)</f>
        <v>0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8.0688275544604338</v>
      </c>
      <c r="D33" s="68">
        <f>IF(SER_hh_tesh_in!D33=0,0,SER_hh_tesh_in!D33/SER_summary!D$27)</f>
        <v>8.1383934210912727</v>
      </c>
      <c r="E33" s="68">
        <f>IF(SER_hh_tesh_in!E33=0,0,SER_hh_tesh_in!E33/SER_summary!E$27)</f>
        <v>8.5353939072437459</v>
      </c>
      <c r="F33" s="68">
        <f>IF(SER_hh_tesh_in!F33=0,0,SER_hh_tesh_in!F33/SER_summary!F$27)</f>
        <v>8.3173028076387325</v>
      </c>
      <c r="G33" s="68">
        <f>IF(SER_hh_tesh_in!G33=0,0,SER_hh_tesh_in!G33/SER_summary!G$27)</f>
        <v>8.3041119893388817</v>
      </c>
      <c r="H33" s="68">
        <f>IF(SER_hh_tesh_in!H33=0,0,SER_hh_tesh_in!H33/SER_summary!H$27)</f>
        <v>8.488582370217177</v>
      </c>
      <c r="I33" s="68">
        <f>IF(SER_hh_tesh_in!I33=0,0,SER_hh_tesh_in!I33/SER_summary!I$27)</f>
        <v>8.3036706881773714</v>
      </c>
      <c r="J33" s="68">
        <f>IF(SER_hh_tesh_in!J33=0,0,SER_hh_tesh_in!J33/SER_summary!J$27)</f>
        <v>8.3479633432463505</v>
      </c>
      <c r="K33" s="68">
        <f>IF(SER_hh_tesh_in!K33=0,0,SER_hh_tesh_in!K33/SER_summary!K$27)</f>
        <v>8.3258654917085444</v>
      </c>
      <c r="L33" s="68">
        <f>IF(SER_hh_tesh_in!L33=0,0,SER_hh_tesh_in!L33/SER_summary!L$27)</f>
        <v>9.1544441489275048</v>
      </c>
      <c r="M33" s="68">
        <f>IF(SER_hh_tesh_in!M33=0,0,SER_hh_tesh_in!M33/SER_summary!M$27)</f>
        <v>9.2879770126060475</v>
      </c>
      <c r="N33" s="68">
        <f>IF(SER_hh_tesh_in!N33=0,0,SER_hh_tesh_in!N33/SER_summary!N$27)</f>
        <v>9.3473748766158486</v>
      </c>
      <c r="O33" s="68">
        <f>IF(SER_hh_tesh_in!O33=0,0,SER_hh_tesh_in!O33/SER_summary!O$27)</f>
        <v>9.5536901552889795</v>
      </c>
      <c r="P33" s="68">
        <f>IF(SER_hh_tesh_in!P33=0,0,SER_hh_tesh_in!P33/SER_summary!P$27)</f>
        <v>9.5464029502534764</v>
      </c>
      <c r="Q33" s="68">
        <f>IF(SER_hh_tesh_in!Q33=0,0,SER_hh_tesh_in!Q33/SER_summary!Q$27)</f>
        <v>9.8798746749766728</v>
      </c>
      <c r="R33" s="68">
        <f>IF(SER_hh_tesh_in!R33=0,0,SER_hh_tesh_in!R33/SER_summary!R$27)</f>
        <v>9.7117884951595936</v>
      </c>
      <c r="S33" s="68">
        <f>IF(SER_hh_tesh_in!S33=0,0,SER_hh_tesh_in!S33/SER_summary!S$27)</f>
        <v>9.1092743322602399</v>
      </c>
      <c r="T33" s="68">
        <f>IF(SER_hh_tesh_in!T33=0,0,SER_hh_tesh_in!T33/SER_summary!T$27)</f>
        <v>9.8493754786755865</v>
      </c>
      <c r="U33" s="68">
        <f>IF(SER_hh_tesh_in!U33=0,0,SER_hh_tesh_in!U33/SER_summary!U$27)</f>
        <v>9.3978796644527627</v>
      </c>
      <c r="V33" s="68">
        <f>IF(SER_hh_tesh_in!V33=0,0,SER_hh_tesh_in!V33/SER_summary!V$27)</f>
        <v>8.8688668654122615</v>
      </c>
      <c r="W33" s="68">
        <f>IF(SER_hh_tesh_in!W33=0,0,SER_hh_tesh_in!W33/SER_summary!W$27)</f>
        <v>9.1730699760835286</v>
      </c>
      <c r="X33" s="68">
        <f>IF(SER_hh_tesh_in!X33=0,0,SER_hh_tesh_in!X33/SER_summary!X$27)</f>
        <v>9.2590284605648563</v>
      </c>
      <c r="Y33" s="68">
        <f>IF(SER_hh_tesh_in!Y33=0,0,SER_hh_tesh_in!Y33/SER_summary!Y$27)</f>
        <v>9.6880154857465914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19.97904961591297</v>
      </c>
      <c r="D3" s="125">
        <f>IF(SER_hh_emih_in!D3=0,0,SER_hh_emih_in!D3/SER_summary!D$27)</f>
        <v>22.08348199206284</v>
      </c>
      <c r="E3" s="125">
        <f>IF(SER_hh_emih_in!E3=0,0,SER_hh_emih_in!E3/SER_summary!E$27)</f>
        <v>28.009032331701768</v>
      </c>
      <c r="F3" s="125">
        <f>IF(SER_hh_emih_in!F3=0,0,SER_hh_emih_in!F3/SER_summary!F$27)</f>
        <v>25.634570421474713</v>
      </c>
      <c r="G3" s="125">
        <f>IF(SER_hh_emih_in!G3=0,0,SER_hh_emih_in!G3/SER_summary!G$27)</f>
        <v>18.685019026480198</v>
      </c>
      <c r="H3" s="125">
        <f>IF(SER_hh_emih_in!H3=0,0,SER_hh_emih_in!H3/SER_summary!H$27)</f>
        <v>15.683389739289151</v>
      </c>
      <c r="I3" s="125">
        <f>IF(SER_hh_emih_in!I3=0,0,SER_hh_emih_in!I3/SER_summary!I$27)</f>
        <v>14.1047948113931</v>
      </c>
      <c r="J3" s="125">
        <f>IF(SER_hh_emih_in!J3=0,0,SER_hh_emih_in!J3/SER_summary!J$27)</f>
        <v>13.066312005566244</v>
      </c>
      <c r="K3" s="125">
        <f>IF(SER_hh_emih_in!K3=0,0,SER_hh_emih_in!K3/SER_summary!K$27)</f>
        <v>3.6443084023577326</v>
      </c>
      <c r="L3" s="125">
        <f>IF(SER_hh_emih_in!L3=0,0,SER_hh_emih_in!L3/SER_summary!L$27)</f>
        <v>8.4332651512230843</v>
      </c>
      <c r="M3" s="125">
        <f>IF(SER_hh_emih_in!M3=0,0,SER_hh_emih_in!M3/SER_summary!M$27)</f>
        <v>9.1794852258947621</v>
      </c>
      <c r="N3" s="125">
        <f>IF(SER_hh_emih_in!N3=0,0,SER_hh_emih_in!N3/SER_summary!N$27)</f>
        <v>8.8569521337157582</v>
      </c>
      <c r="O3" s="125">
        <f>IF(SER_hh_emih_in!O3=0,0,SER_hh_emih_in!O3/SER_summary!O$27)</f>
        <v>9.462932870255484</v>
      </c>
      <c r="P3" s="125">
        <f>IF(SER_hh_emih_in!P3=0,0,SER_hh_emih_in!P3/SER_summary!P$27)</f>
        <v>9.2999375237288984</v>
      </c>
      <c r="Q3" s="125">
        <f>IF(SER_hh_emih_in!Q3=0,0,SER_hh_emih_in!Q3/SER_summary!Q$27)</f>
        <v>9.2741237881831395</v>
      </c>
      <c r="R3" s="125">
        <f>IF(SER_hh_emih_in!R3=0,0,SER_hh_emih_in!R3/SER_summary!R$27)</f>
        <v>7.6743754103761415</v>
      </c>
      <c r="S3" s="125">
        <f>IF(SER_hh_emih_in!S3=0,0,SER_hh_emih_in!S3/SER_summary!S$27)</f>
        <v>8.550099534096967</v>
      </c>
      <c r="T3" s="125">
        <f>IF(SER_hh_emih_in!T3=0,0,SER_hh_emih_in!T3/SER_summary!T$27)</f>
        <v>6.4351692419371433</v>
      </c>
      <c r="U3" s="125">
        <f>IF(SER_hh_emih_in!U3=0,0,SER_hh_emih_in!U3/SER_summary!U$27)</f>
        <v>7.3315628260948866</v>
      </c>
      <c r="V3" s="125">
        <f>IF(SER_hh_emih_in!V3=0,0,SER_hh_emih_in!V3/SER_summary!V$27)</f>
        <v>5.1663884136477831</v>
      </c>
      <c r="W3" s="125">
        <f>IF(SER_hh_emih_in!W3=0,0,SER_hh_emih_in!W3/SER_summary!W$27)</f>
        <v>3.8364014249805187</v>
      </c>
      <c r="X3" s="125">
        <f>IF(SER_hh_emih_in!X3=0,0,SER_hh_emih_in!X3/SER_summary!X$27)</f>
        <v>2.6877335374507187</v>
      </c>
      <c r="Y3" s="125">
        <f>IF(SER_hh_emih_in!Y3=0,0,SER_hh_emih_in!Y3/SER_summary!Y$27)</f>
        <v>2.812284887681709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17.342030357366223</v>
      </c>
      <c r="D4" s="130">
        <f>IF(SER_hh_emih_in!D4=0,0,SER_hh_emih_in!D4/SER_summary!D$27)</f>
        <v>19.231471181698147</v>
      </c>
      <c r="E4" s="130">
        <f>IF(SER_hh_emih_in!E4=0,0,SER_hh_emih_in!E4/SER_summary!E$27)</f>
        <v>25.461362480400837</v>
      </c>
      <c r="F4" s="130">
        <f>IF(SER_hh_emih_in!F4=0,0,SER_hh_emih_in!F4/SER_summary!F$27)</f>
        <v>23.16873442680906</v>
      </c>
      <c r="G4" s="130">
        <f>IF(SER_hh_emih_in!G4=0,0,SER_hh_emih_in!G4/SER_summary!G$27)</f>
        <v>16.193736709422236</v>
      </c>
      <c r="H4" s="130">
        <f>IF(SER_hh_emih_in!H4=0,0,SER_hh_emih_in!H4/SER_summary!H$27)</f>
        <v>13.318778902303974</v>
      </c>
      <c r="I4" s="130">
        <f>IF(SER_hh_emih_in!I4=0,0,SER_hh_emih_in!I4/SER_summary!I$27)</f>
        <v>11.396639133615475</v>
      </c>
      <c r="J4" s="130">
        <f>IF(SER_hh_emih_in!J4=0,0,SER_hh_emih_in!J4/SER_summary!J$27)</f>
        <v>10.392599926013492</v>
      </c>
      <c r="K4" s="130">
        <f>IF(SER_hh_emih_in!K4=0,0,SER_hh_emih_in!K4/SER_summary!K$27)</f>
        <v>0.47784257088190063</v>
      </c>
      <c r="L4" s="130">
        <f>IF(SER_hh_emih_in!L4=0,0,SER_hh_emih_in!L4/SER_summary!L$27)</f>
        <v>5.7774027533779453</v>
      </c>
      <c r="M4" s="130">
        <f>IF(SER_hh_emih_in!M4=0,0,SER_hh_emih_in!M4/SER_summary!M$27)</f>
        <v>6.9400637929832305</v>
      </c>
      <c r="N4" s="130">
        <f>IF(SER_hh_emih_in!N4=0,0,SER_hh_emih_in!N4/SER_summary!N$27)</f>
        <v>6.7431807811611408</v>
      </c>
      <c r="O4" s="130">
        <f>IF(SER_hh_emih_in!O4=0,0,SER_hh_emih_in!O4/SER_summary!O$27)</f>
        <v>7.1082605963559882</v>
      </c>
      <c r="P4" s="130">
        <f>IF(SER_hh_emih_in!P4=0,0,SER_hh_emih_in!P4/SER_summary!P$27)</f>
        <v>6.7079667529129683</v>
      </c>
      <c r="Q4" s="130">
        <f>IF(SER_hh_emih_in!Q4=0,0,SER_hh_emih_in!Q4/SER_summary!Q$27)</f>
        <v>6.4884005831918365</v>
      </c>
      <c r="R4" s="130">
        <f>IF(SER_hh_emih_in!R4=0,0,SER_hh_emih_in!R4/SER_summary!R$27)</f>
        <v>4.7007546705159449</v>
      </c>
      <c r="S4" s="130">
        <f>IF(SER_hh_emih_in!S4=0,0,SER_hh_emih_in!S4/SER_summary!S$27)</f>
        <v>5.0670084248358904</v>
      </c>
      <c r="T4" s="130">
        <f>IF(SER_hh_emih_in!T4=0,0,SER_hh_emih_in!T4/SER_summary!T$27)</f>
        <v>3.9287553079404245</v>
      </c>
      <c r="U4" s="130">
        <f>IF(SER_hh_emih_in!U4=0,0,SER_hh_emih_in!U4/SER_summary!U$27)</f>
        <v>4.5316954319057547</v>
      </c>
      <c r="V4" s="130">
        <f>IF(SER_hh_emih_in!V4=0,0,SER_hh_emih_in!V4/SER_summary!V$27)</f>
        <v>3.3270624966321618</v>
      </c>
      <c r="W4" s="130">
        <f>IF(SER_hh_emih_in!W4=0,0,SER_hh_emih_in!W4/SER_summary!W$27)</f>
        <v>2.4912654304505026</v>
      </c>
      <c r="X4" s="130">
        <f>IF(SER_hh_emih_in!X4=0,0,SER_hh_emih_in!X4/SER_summary!X$27)</f>
        <v>2.0033554891388685</v>
      </c>
      <c r="Y4" s="130">
        <f>IF(SER_hh_emih_in!Y4=0,0,SER_hh_emih_in!Y4/SER_summary!Y$27)</f>
        <v>2.1382883900765242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0</v>
      </c>
      <c r="D5" s="132">
        <f>IF(SER_hh_emih_in!D5=0,0,SER_hh_emih_in!D5/SER_summary!D$27)</f>
        <v>0</v>
      </c>
      <c r="E5" s="132">
        <f>IF(SER_hh_emih_in!E5=0,0,SER_hh_emih_in!E5/SER_summary!E$27)</f>
        <v>65.295166439694924</v>
      </c>
      <c r="F5" s="132">
        <f>IF(SER_hh_emih_in!F5=0,0,SER_hh_emih_in!F5/SER_summary!F$27)</f>
        <v>69.18050401927448</v>
      </c>
      <c r="G5" s="132">
        <f>IF(SER_hh_emih_in!G5=0,0,SER_hh_emih_in!G5/SER_summary!G$27)</f>
        <v>0</v>
      </c>
      <c r="H5" s="132">
        <f>IF(SER_hh_emih_in!H5=0,0,SER_hh_emih_in!H5/SER_summary!H$27)</f>
        <v>0</v>
      </c>
      <c r="I5" s="132">
        <f>IF(SER_hh_emih_in!I5=0,0,SER_hh_emih_in!I5/SER_summary!I$27)</f>
        <v>0</v>
      </c>
      <c r="J5" s="132">
        <f>IF(SER_hh_emih_in!J5=0,0,SER_hh_emih_in!J5/SER_summary!J$27)</f>
        <v>0</v>
      </c>
      <c r="K5" s="132">
        <f>IF(SER_hh_emih_in!K5=0,0,SER_hh_emih_in!K5/SER_summary!K$27)</f>
        <v>0</v>
      </c>
      <c r="L5" s="132">
        <f>IF(SER_hh_emih_in!L5=0,0,SER_hh_emih_in!L5/SER_summary!L$27)</f>
        <v>0</v>
      </c>
      <c r="M5" s="132">
        <f>IF(SER_hh_emih_in!M5=0,0,SER_hh_emih_in!M5/SER_summary!M$27)</f>
        <v>0</v>
      </c>
      <c r="N5" s="132">
        <f>IF(SER_hh_emih_in!N5=0,0,SER_hh_emih_in!N5/SER_summary!N$27)</f>
        <v>24.191327753481254</v>
      </c>
      <c r="O5" s="132">
        <f>IF(SER_hh_emih_in!O5=0,0,SER_hh_emih_in!O5/SER_summary!O$27)</f>
        <v>25.156814077662723</v>
      </c>
      <c r="P5" s="132">
        <f>IF(SER_hh_emih_in!P5=0,0,SER_hh_emih_in!P5/SER_summary!P$27)</f>
        <v>21.011910346730822</v>
      </c>
      <c r="Q5" s="132">
        <f>IF(SER_hh_emih_in!Q5=0,0,SER_hh_emih_in!Q5/SER_summary!Q$27)</f>
        <v>0</v>
      </c>
      <c r="R5" s="132">
        <f>IF(SER_hh_emih_in!R5=0,0,SER_hh_emih_in!R5/SER_summary!R$27)</f>
        <v>21.083487157765894</v>
      </c>
      <c r="S5" s="132">
        <f>IF(SER_hh_emih_in!S5=0,0,SER_hh_emih_in!S5/SER_summary!S$27)</f>
        <v>0</v>
      </c>
      <c r="T5" s="132">
        <f>IF(SER_hh_emih_in!T5=0,0,SER_hh_emih_in!T5/SER_summary!T$27)</f>
        <v>0</v>
      </c>
      <c r="U5" s="132">
        <f>IF(SER_hh_emih_in!U5=0,0,SER_hh_emih_in!U5/SER_summary!U$27)</f>
        <v>16.578013698331212</v>
      </c>
      <c r="V5" s="132">
        <f>IF(SER_hh_emih_in!V5=0,0,SER_hh_emih_in!V5/SER_summary!V$27)</f>
        <v>12.125773891808574</v>
      </c>
      <c r="W5" s="132">
        <f>IF(SER_hh_emih_in!W5=0,0,SER_hh_emih_in!W5/SER_summary!W$27)</f>
        <v>11.612921376561969</v>
      </c>
      <c r="X5" s="132">
        <f>IF(SER_hh_emih_in!X5=0,0,SER_hh_emih_in!X5/SER_summary!X$27)</f>
        <v>11.932758456652143</v>
      </c>
      <c r="Y5" s="132">
        <f>IF(SER_hh_emih_in!Y5=0,0,SER_hh_emih_in!Y5/SER_summary!Y$27)</f>
        <v>0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0</v>
      </c>
      <c r="D6" s="132">
        <f>IF(SER_hh_emih_in!D6=0,0,SER_hh_emih_in!D6/SER_summary!D$27)</f>
        <v>0</v>
      </c>
      <c r="E6" s="132">
        <f>IF(SER_hh_emih_in!E6=0,0,SER_hh_emih_in!E6/SER_summary!E$27)</f>
        <v>0</v>
      </c>
      <c r="F6" s="132">
        <f>IF(SER_hh_emih_in!F6=0,0,SER_hh_emih_in!F6/SER_summary!F$27)</f>
        <v>0</v>
      </c>
      <c r="G6" s="132">
        <f>IF(SER_hh_emih_in!G6=0,0,SER_hh_emih_in!G6/SER_summary!G$27)</f>
        <v>0</v>
      </c>
      <c r="H6" s="132">
        <f>IF(SER_hh_emih_in!H6=0,0,SER_hh_emih_in!H6/SER_summary!H$27)</f>
        <v>0</v>
      </c>
      <c r="I6" s="132">
        <f>IF(SER_hh_emih_in!I6=0,0,SER_hh_emih_in!I6/SER_summary!I$27)</f>
        <v>0</v>
      </c>
      <c r="J6" s="132">
        <f>IF(SER_hh_emih_in!J6=0,0,SER_hh_emih_in!J6/SER_summary!J$27)</f>
        <v>0</v>
      </c>
      <c r="K6" s="132">
        <f>IF(SER_hh_emih_in!K6=0,0,SER_hh_emih_in!K6/SER_summary!K$27)</f>
        <v>0</v>
      </c>
      <c r="L6" s="132">
        <f>IF(SER_hh_emih_in!L6=0,0,SER_hh_emih_in!L6/SER_summary!L$27)</f>
        <v>0</v>
      </c>
      <c r="M6" s="132">
        <f>IF(SER_hh_emih_in!M6=0,0,SER_hh_emih_in!M6/SER_summary!M$27)</f>
        <v>0</v>
      </c>
      <c r="N6" s="132">
        <f>IF(SER_hh_emih_in!N6=0,0,SER_hh_emih_in!N6/SER_summary!N$27)</f>
        <v>0</v>
      </c>
      <c r="O6" s="132">
        <f>IF(SER_hh_emih_in!O6=0,0,SER_hh_emih_in!O6/SER_summary!O$27)</f>
        <v>0</v>
      </c>
      <c r="P6" s="132">
        <f>IF(SER_hh_emih_in!P6=0,0,SER_hh_emih_in!P6/SER_summary!P$27)</f>
        <v>0</v>
      </c>
      <c r="Q6" s="132">
        <f>IF(SER_hh_emih_in!Q6=0,0,SER_hh_emih_in!Q6/SER_summary!Q$27)</f>
        <v>0</v>
      </c>
      <c r="R6" s="132">
        <f>IF(SER_hh_emih_in!R6=0,0,SER_hh_emih_in!R6/SER_summary!R$27)</f>
        <v>0</v>
      </c>
      <c r="S6" s="132">
        <f>IF(SER_hh_emih_in!S6=0,0,SER_hh_emih_in!S6/SER_summary!S$27)</f>
        <v>0</v>
      </c>
      <c r="T6" s="132">
        <f>IF(SER_hh_emih_in!T6=0,0,SER_hh_emih_in!T6/SER_summary!T$27)</f>
        <v>0</v>
      </c>
      <c r="U6" s="132">
        <f>IF(SER_hh_emih_in!U6=0,0,SER_hh_emih_in!U6/SER_summary!U$27)</f>
        <v>0</v>
      </c>
      <c r="V6" s="132">
        <f>IF(SER_hh_emih_in!V6=0,0,SER_hh_emih_in!V6/SER_summary!V$27)</f>
        <v>0</v>
      </c>
      <c r="W6" s="132">
        <f>IF(SER_hh_emih_in!W6=0,0,SER_hh_emih_in!W6/SER_summary!W$27)</f>
        <v>0</v>
      </c>
      <c r="X6" s="132">
        <f>IF(SER_hh_emih_in!X6=0,0,SER_hh_emih_in!X6/SER_summary!X$27)</f>
        <v>0</v>
      </c>
      <c r="Y6" s="132">
        <f>IF(SER_hh_emih_in!Y6=0,0,SER_hh_emih_in!Y6/SER_summary!Y$27)</f>
        <v>0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21.538496506595632</v>
      </c>
      <c r="D7" s="132">
        <f>IF(SER_hh_emih_in!D7=0,0,SER_hh_emih_in!D7/SER_summary!D$27)</f>
        <v>55.569264112547415</v>
      </c>
      <c r="E7" s="132">
        <f>IF(SER_hh_emih_in!E7=0,0,SER_hh_emih_in!E7/SER_summary!E$27)</f>
        <v>43.020410376794949</v>
      </c>
      <c r="F7" s="132">
        <f>IF(SER_hh_emih_in!F7=0,0,SER_hh_emih_in!F7/SER_summary!F$27)</f>
        <v>45.874645914872588</v>
      </c>
      <c r="G7" s="132">
        <f>IF(SER_hh_emih_in!G7=0,0,SER_hh_emih_in!G7/SER_summary!G$27)</f>
        <v>30.828379381707506</v>
      </c>
      <c r="H7" s="132">
        <f>IF(SER_hh_emih_in!H7=0,0,SER_hh_emih_in!H7/SER_summary!H$27)</f>
        <v>32.728233663734805</v>
      </c>
      <c r="I7" s="132">
        <f>IF(SER_hh_emih_in!I7=0,0,SER_hh_emih_in!I7/SER_summary!I$27)</f>
        <v>29.895477571587254</v>
      </c>
      <c r="J7" s="132">
        <f>IF(SER_hh_emih_in!J7=0,0,SER_hh_emih_in!J7/SER_summary!J$27)</f>
        <v>29.951708509518809</v>
      </c>
      <c r="K7" s="132">
        <f>IF(SER_hh_emih_in!K7=0,0,SER_hh_emih_in!K7/SER_summary!K$27)</f>
        <v>0</v>
      </c>
      <c r="L7" s="132">
        <f>IF(SER_hh_emih_in!L7=0,0,SER_hh_emih_in!L7/SER_summary!L$27)</f>
        <v>27.840182584862074</v>
      </c>
      <c r="M7" s="132">
        <f>IF(SER_hh_emih_in!M7=0,0,SER_hh_emih_in!M7/SER_summary!M$27)</f>
        <v>19.414415854728531</v>
      </c>
      <c r="N7" s="132">
        <f>IF(SER_hh_emih_in!N7=0,0,SER_hh_emih_in!N7/SER_summary!N$27)</f>
        <v>27.028036113888518</v>
      </c>
      <c r="O7" s="132">
        <f>IF(SER_hh_emih_in!O7=0,0,SER_hh_emih_in!O7/SER_summary!O$27)</f>
        <v>18.652227089134296</v>
      </c>
      <c r="P7" s="132">
        <f>IF(SER_hh_emih_in!P7=0,0,SER_hh_emih_in!P7/SER_summary!P$27)</f>
        <v>11.029995914578119</v>
      </c>
      <c r="Q7" s="132">
        <f>IF(SER_hh_emih_in!Q7=0,0,SER_hh_emih_in!Q7/SER_summary!Q$27)</f>
        <v>18.537165891042729</v>
      </c>
      <c r="R7" s="132">
        <f>IF(SER_hh_emih_in!R7=0,0,SER_hh_emih_in!R7/SER_summary!R$27)</f>
        <v>16.362493545847848</v>
      </c>
      <c r="S7" s="132">
        <f>IF(SER_hh_emih_in!S7=0,0,SER_hh_emih_in!S7/SER_summary!S$27)</f>
        <v>16.179836572055592</v>
      </c>
      <c r="T7" s="132">
        <f>IF(SER_hh_emih_in!T7=0,0,SER_hh_emih_in!T7/SER_summary!T$27)</f>
        <v>0</v>
      </c>
      <c r="U7" s="132">
        <f>IF(SER_hh_emih_in!U7=0,0,SER_hh_emih_in!U7/SER_summary!U$27)</f>
        <v>10.139382615735361</v>
      </c>
      <c r="V7" s="132">
        <f>IF(SER_hh_emih_in!V7=0,0,SER_hh_emih_in!V7/SER_summary!V$27)</f>
        <v>10.764218832003747</v>
      </c>
      <c r="W7" s="132">
        <f>IF(SER_hh_emih_in!W7=0,0,SER_hh_emih_in!W7/SER_summary!W$27)</f>
        <v>10.366371535374503</v>
      </c>
      <c r="X7" s="132">
        <f>IF(SER_hh_emih_in!X7=0,0,SER_hh_emih_in!X7/SER_summary!X$27)</f>
        <v>7.7437951700440859</v>
      </c>
      <c r="Y7" s="132">
        <f>IF(SER_hh_emih_in!Y7=0,0,SER_hh_emih_in!Y7/SER_summary!Y$27)</f>
        <v>8.7489080731864775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0</v>
      </c>
      <c r="D8" s="132">
        <f>IF(SER_hh_emih_in!D8=0,0,SER_hh_emih_in!D8/SER_summary!D$27)</f>
        <v>0</v>
      </c>
      <c r="E8" s="132">
        <f>IF(SER_hh_emih_in!E8=0,0,SER_hh_emih_in!E8/SER_summary!E$27)</f>
        <v>0</v>
      </c>
      <c r="F8" s="132">
        <f>IF(SER_hh_emih_in!F8=0,0,SER_hh_emih_in!F8/SER_summary!F$27)</f>
        <v>0</v>
      </c>
      <c r="G8" s="132">
        <f>IF(SER_hh_emih_in!G8=0,0,SER_hh_emih_in!G8/SER_summary!G$27)</f>
        <v>3.6474605661462096</v>
      </c>
      <c r="H8" s="132">
        <f>IF(SER_hh_emih_in!H8=0,0,SER_hh_emih_in!H8/SER_summary!H$27)</f>
        <v>4.0534070717854567</v>
      </c>
      <c r="I8" s="132">
        <f>IF(SER_hh_emih_in!I8=0,0,SER_hh_emih_in!I8/SER_summary!I$27)</f>
        <v>4.3364133980602908</v>
      </c>
      <c r="J8" s="132">
        <f>IF(SER_hh_emih_in!J8=0,0,SER_hh_emih_in!J8/SER_summary!J$27)</f>
        <v>4.6238648093540906</v>
      </c>
      <c r="K8" s="132">
        <f>IF(SER_hh_emih_in!K8=0,0,SER_hh_emih_in!K8/SER_summary!K$27)</f>
        <v>4.080841623715763</v>
      </c>
      <c r="L8" s="132">
        <f>IF(SER_hh_emih_in!L8=0,0,SER_hh_emih_in!L8/SER_summary!L$27)</f>
        <v>3.3717449632973606</v>
      </c>
      <c r="M8" s="132">
        <f>IF(SER_hh_emih_in!M8=0,0,SER_hh_emih_in!M8/SER_summary!M$27)</f>
        <v>2.9651602848050338</v>
      </c>
      <c r="N8" s="132">
        <f>IF(SER_hh_emih_in!N8=0,0,SER_hh_emih_in!N8/SER_summary!N$27)</f>
        <v>2.4256996557691508</v>
      </c>
      <c r="O8" s="132">
        <f>IF(SER_hh_emih_in!O8=0,0,SER_hh_emih_in!O8/SER_summary!O$27)</f>
        <v>2.4888777076732245</v>
      </c>
      <c r="P8" s="132">
        <f>IF(SER_hh_emih_in!P8=0,0,SER_hh_emih_in!P8/SER_summary!P$27)</f>
        <v>2.5567915402013508</v>
      </c>
      <c r="Q8" s="132">
        <f>IF(SER_hh_emih_in!Q8=0,0,SER_hh_emih_in!Q8/SER_summary!Q$27)</f>
        <v>2.2252425899832073</v>
      </c>
      <c r="R8" s="132">
        <f>IF(SER_hh_emih_in!R8=0,0,SER_hh_emih_in!R8/SER_summary!R$27)</f>
        <v>2.0083571619086276</v>
      </c>
      <c r="S8" s="132">
        <f>IF(SER_hh_emih_in!S8=0,0,SER_hh_emih_in!S8/SER_summary!S$27)</f>
        <v>1.8279308226267654</v>
      </c>
      <c r="T8" s="132">
        <f>IF(SER_hh_emih_in!T8=0,0,SER_hh_emih_in!T8/SER_summary!T$27)</f>
        <v>1.666726428237056</v>
      </c>
      <c r="U8" s="132">
        <f>IF(SER_hh_emih_in!U8=0,0,SER_hh_emih_in!U8/SER_summary!U$27)</f>
        <v>1.5748282099592572</v>
      </c>
      <c r="V8" s="132">
        <f>IF(SER_hh_emih_in!V8=0,0,SER_hh_emih_in!V8/SER_summary!V$27)</f>
        <v>1.3859852888188544</v>
      </c>
      <c r="W8" s="132">
        <f>IF(SER_hh_emih_in!W8=0,0,SER_hh_emih_in!W8/SER_summary!W$27)</f>
        <v>1.150864475636135</v>
      </c>
      <c r="X8" s="132">
        <f>IF(SER_hh_emih_in!X8=0,0,SER_hh_emih_in!X8/SER_summary!X$27)</f>
        <v>1.0734308722712982</v>
      </c>
      <c r="Y8" s="132">
        <f>IF(SER_hh_emih_in!Y8=0,0,SER_hh_emih_in!Y8/SER_summary!Y$27)</f>
        <v>1.0160457823418645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36.501195061203916</v>
      </c>
      <c r="D9" s="132">
        <f>IF(SER_hh_emih_in!D9=0,0,SER_hh_emih_in!D9/SER_summary!D$27)</f>
        <v>31.581285658196769</v>
      </c>
      <c r="E9" s="132">
        <f>IF(SER_hh_emih_in!E9=0,0,SER_hh_emih_in!E9/SER_summary!E$27)</f>
        <v>30.358157282980404</v>
      </c>
      <c r="F9" s="132">
        <f>IF(SER_hh_emih_in!F9=0,0,SER_hh_emih_in!F9/SER_summary!F$27)</f>
        <v>27.447083458643082</v>
      </c>
      <c r="G9" s="132">
        <f>IF(SER_hh_emih_in!G9=0,0,SER_hh_emih_in!G9/SER_summary!G$27)</f>
        <v>25.31475313895006</v>
      </c>
      <c r="H9" s="132">
        <f>IF(SER_hh_emih_in!H9=0,0,SER_hh_emih_in!H9/SER_summary!H$27)</f>
        <v>21.610190687564216</v>
      </c>
      <c r="I9" s="132">
        <f>IF(SER_hh_emih_in!I9=0,0,SER_hh_emih_in!I9/SER_summary!I$27)</f>
        <v>19.109656184160144</v>
      </c>
      <c r="J9" s="132">
        <f>IF(SER_hh_emih_in!J9=0,0,SER_hh_emih_in!J9/SER_summary!J$27)</f>
        <v>20.147099614230672</v>
      </c>
      <c r="K9" s="132">
        <f>IF(SER_hh_emih_in!K9=0,0,SER_hh_emih_in!K9/SER_summary!K$27)</f>
        <v>0</v>
      </c>
      <c r="L9" s="132">
        <f>IF(SER_hh_emih_in!L9=0,0,SER_hh_emih_in!L9/SER_summary!L$27)</f>
        <v>18.365392084531436</v>
      </c>
      <c r="M9" s="132">
        <f>IF(SER_hh_emih_in!M9=0,0,SER_hh_emih_in!M9/SER_summary!M$27)</f>
        <v>16.802248711779988</v>
      </c>
      <c r="N9" s="132">
        <f>IF(SER_hh_emih_in!N9=0,0,SER_hh_emih_in!N9/SER_summary!N$27)</f>
        <v>14.795781746288512</v>
      </c>
      <c r="O9" s="132">
        <f>IF(SER_hh_emih_in!O9=0,0,SER_hh_emih_in!O9/SER_summary!O$27)</f>
        <v>13.091741006984845</v>
      </c>
      <c r="P9" s="132">
        <f>IF(SER_hh_emih_in!P9=0,0,SER_hh_emih_in!P9/SER_summary!P$27)</f>
        <v>11.498106116578695</v>
      </c>
      <c r="Q9" s="132">
        <f>IF(SER_hh_emih_in!Q9=0,0,SER_hh_emih_in!Q9/SER_summary!Q$27)</f>
        <v>10.456392752391052</v>
      </c>
      <c r="R9" s="132">
        <f>IF(SER_hh_emih_in!R9=0,0,SER_hh_emih_in!R9/SER_summary!R$27)</f>
        <v>10.044459074353824</v>
      </c>
      <c r="S9" s="132">
        <f>IF(SER_hh_emih_in!S9=0,0,SER_hh_emih_in!S9/SER_summary!S$27)</f>
        <v>10.094481764187568</v>
      </c>
      <c r="T9" s="132">
        <f>IF(SER_hh_emih_in!T9=0,0,SER_hh_emih_in!T9/SER_summary!T$27)</f>
        <v>8.6916458147805713</v>
      </c>
      <c r="U9" s="132">
        <f>IF(SER_hh_emih_in!U9=0,0,SER_hh_emih_in!U9/SER_summary!U$27)</f>
        <v>8.5866930372775112</v>
      </c>
      <c r="V9" s="132">
        <f>IF(SER_hh_emih_in!V9=0,0,SER_hh_emih_in!V9/SER_summary!V$27)</f>
        <v>7.3691062515858139</v>
      </c>
      <c r="W9" s="132">
        <f>IF(SER_hh_emih_in!W9=0,0,SER_hh_emih_in!W9/SER_summary!W$27)</f>
        <v>5.999082026452534</v>
      </c>
      <c r="X9" s="132">
        <f>IF(SER_hh_emih_in!X9=0,0,SER_hh_emih_in!X9/SER_summary!X$27)</f>
        <v>5.5971944953032899</v>
      </c>
      <c r="Y9" s="132">
        <f>IF(SER_hh_emih_in!Y9=0,0,SER_hh_emih_in!Y9/SER_summary!Y$27)</f>
        <v>5.0976905853672623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40.067191555166055</v>
      </c>
      <c r="D10" s="132">
        <f>IF(SER_hh_emih_in!D10=0,0,SER_hh_emih_in!D10/SER_summary!D$27)</f>
        <v>28.82410536596176</v>
      </c>
      <c r="E10" s="132">
        <f>IF(SER_hh_emih_in!E10=0,0,SER_hh_emih_in!E10/SER_summary!E$27)</f>
        <v>27.273112173897232</v>
      </c>
      <c r="F10" s="132">
        <f>IF(SER_hh_emih_in!F10=0,0,SER_hh_emih_in!F10/SER_summary!F$27)</f>
        <v>21.875908352216179</v>
      </c>
      <c r="G10" s="132">
        <f>IF(SER_hh_emih_in!G10=0,0,SER_hh_emih_in!G10/SER_summary!G$27)</f>
        <v>21.383363804880403</v>
      </c>
      <c r="H10" s="132">
        <f>IF(SER_hh_emih_in!H10=0,0,SER_hh_emih_in!H10/SER_summary!H$27)</f>
        <v>18.001557691835039</v>
      </c>
      <c r="I10" s="132">
        <f>IF(SER_hh_emih_in!I10=0,0,SER_hh_emih_in!I10/SER_summary!I$27)</f>
        <v>21.551543942243125</v>
      </c>
      <c r="J10" s="132">
        <f>IF(SER_hh_emih_in!J10=0,0,SER_hh_emih_in!J10/SER_summary!J$27)</f>
        <v>23.564799319268232</v>
      </c>
      <c r="K10" s="132">
        <f>IF(SER_hh_emih_in!K10=0,0,SER_hh_emih_in!K10/SER_summary!K$27)</f>
        <v>19.293637451272769</v>
      </c>
      <c r="L10" s="132">
        <f>IF(SER_hh_emih_in!L10=0,0,SER_hh_emih_in!L10/SER_summary!L$27)</f>
        <v>20.9510241420043</v>
      </c>
      <c r="M10" s="132">
        <f>IF(SER_hh_emih_in!M10=0,0,SER_hh_emih_in!M10/SER_summary!M$27)</f>
        <v>17.546375366255834</v>
      </c>
      <c r="N10" s="132">
        <f>IF(SER_hh_emih_in!N10=0,0,SER_hh_emih_in!N10/SER_summary!N$27)</f>
        <v>15.5412641543146</v>
      </c>
      <c r="O10" s="132">
        <f>IF(SER_hh_emih_in!O10=0,0,SER_hh_emih_in!O10/SER_summary!O$27)</f>
        <v>15.207135401242001</v>
      </c>
      <c r="P10" s="132">
        <f>IF(SER_hh_emih_in!P10=0,0,SER_hh_emih_in!P10/SER_summary!P$27)</f>
        <v>14.197806537098646</v>
      </c>
      <c r="Q10" s="132">
        <f>IF(SER_hh_emih_in!Q10=0,0,SER_hh_emih_in!Q10/SER_summary!Q$27)</f>
        <v>14.472324533468452</v>
      </c>
      <c r="R10" s="132">
        <f>IF(SER_hh_emih_in!R10=0,0,SER_hh_emih_in!R10/SER_summary!R$27)</f>
        <v>12.721975203341669</v>
      </c>
      <c r="S10" s="132">
        <f>IF(SER_hh_emih_in!S10=0,0,SER_hh_emih_in!S10/SER_summary!S$27)</f>
        <v>12.491474683965109</v>
      </c>
      <c r="T10" s="132">
        <f>IF(SER_hh_emih_in!T10=0,0,SER_hh_emih_in!T10/SER_summary!T$27)</f>
        <v>12.340547845702535</v>
      </c>
      <c r="U10" s="132">
        <f>IF(SER_hh_emih_in!U10=0,0,SER_hh_emih_in!U10/SER_summary!U$27)</f>
        <v>12.38044699510875</v>
      </c>
      <c r="V10" s="132">
        <f>IF(SER_hh_emih_in!V10=0,0,SER_hh_emih_in!V10/SER_summary!V$27)</f>
        <v>10.129275295973549</v>
      </c>
      <c r="W10" s="132">
        <f>IF(SER_hh_emih_in!W10=0,0,SER_hh_emih_in!W10/SER_summary!W$27)</f>
        <v>9.0522095244804195</v>
      </c>
      <c r="X10" s="132">
        <f>IF(SER_hh_emih_in!X10=0,0,SER_hh_emih_in!X10/SER_summary!X$27)</f>
        <v>8.5705266497764914</v>
      </c>
      <c r="Y10" s="132">
        <f>IF(SER_hh_emih_in!Y10=0,0,SER_hh_emih_in!Y10/SER_summary!Y$27)</f>
        <v>7.4201379192365655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0</v>
      </c>
      <c r="D16" s="130">
        <f>IF(SER_hh_emih_in!D16=0,0,SER_hh_emih_in!D16/SER_summary!D$27)</f>
        <v>0</v>
      </c>
      <c r="E16" s="130">
        <f>IF(SER_hh_emih_in!E16=0,0,SER_hh_emih_in!E16/SER_summary!E$27)</f>
        <v>0</v>
      </c>
      <c r="F16" s="130">
        <f>IF(SER_hh_emih_in!F16=0,0,SER_hh_emih_in!F16/SER_summary!F$27)</f>
        <v>0</v>
      </c>
      <c r="G16" s="130">
        <f>IF(SER_hh_emih_in!G16=0,0,SER_hh_emih_in!G16/SER_summary!G$27)</f>
        <v>1.6920730956991765E-2</v>
      </c>
      <c r="H16" s="130">
        <f>IF(SER_hh_emih_in!H16=0,0,SER_hh_emih_in!H16/SER_summary!H$27)</f>
        <v>3.8112427080481794E-3</v>
      </c>
      <c r="I16" s="130">
        <f>IF(SER_hh_emih_in!I16=0,0,SER_hh_emih_in!I16/SER_summary!I$27)</f>
        <v>7.6454114799442011E-3</v>
      </c>
      <c r="J16" s="130">
        <f>IF(SER_hh_emih_in!J16=0,0,SER_hh_emih_in!J16/SER_summary!J$27)</f>
        <v>1.5726205346492477E-3</v>
      </c>
      <c r="K16" s="130">
        <f>IF(SER_hh_emih_in!K16=0,0,SER_hh_emih_in!K16/SER_summary!K$27)</f>
        <v>1.2529486500022707E-2</v>
      </c>
      <c r="L16" s="130">
        <f>IF(SER_hh_emih_in!L16=0,0,SER_hh_emih_in!L16/SER_summary!L$27)</f>
        <v>1.3757870418496885E-3</v>
      </c>
      <c r="M16" s="130">
        <f>IF(SER_hh_emih_in!M16=0,0,SER_hh_emih_in!M16/SER_summary!M$27)</f>
        <v>3.7997261213785212E-3</v>
      </c>
      <c r="N16" s="130">
        <f>IF(SER_hh_emih_in!N16=0,0,SER_hh_emih_in!N16/SER_summary!N$27)</f>
        <v>4.1578737245099107E-3</v>
      </c>
      <c r="O16" s="130">
        <f>IF(SER_hh_emih_in!O16=0,0,SER_hh_emih_in!O16/SER_summary!O$27)</f>
        <v>1.2322824403664154E-2</v>
      </c>
      <c r="P16" s="130">
        <f>IF(SER_hh_emih_in!P16=0,0,SER_hh_emih_in!P16/SER_summary!P$27)</f>
        <v>2.2583333513959192E-2</v>
      </c>
      <c r="Q16" s="130">
        <f>IF(SER_hh_emih_in!Q16=0,0,SER_hh_emih_in!Q16/SER_summary!Q$27)</f>
        <v>3.8132760052947828E-2</v>
      </c>
      <c r="R16" s="130">
        <f>IF(SER_hh_emih_in!R16=0,0,SER_hh_emih_in!R16/SER_summary!R$27)</f>
        <v>1.8208317320080391E-2</v>
      </c>
      <c r="S16" s="130">
        <f>IF(SER_hh_emih_in!S16=0,0,SER_hh_emih_in!S16/SER_summary!S$27)</f>
        <v>2.3778941647584567E-2</v>
      </c>
      <c r="T16" s="130">
        <f>IF(SER_hh_emih_in!T16=0,0,SER_hh_emih_in!T16/SER_summary!T$27)</f>
        <v>2.3053601369464619E-2</v>
      </c>
      <c r="U16" s="130">
        <f>IF(SER_hh_emih_in!U16=0,0,SER_hh_emih_in!U16/SER_summary!U$27)</f>
        <v>1.7973909396671043E-2</v>
      </c>
      <c r="V16" s="130">
        <f>IF(SER_hh_emih_in!V16=0,0,SER_hh_emih_in!V16/SER_summary!V$27)</f>
        <v>2.6966957666562947E-2</v>
      </c>
      <c r="W16" s="130">
        <f>IF(SER_hh_emih_in!W16=0,0,SER_hh_emih_in!W16/SER_summary!W$27)</f>
        <v>1.7807147070383715E-2</v>
      </c>
      <c r="X16" s="130">
        <f>IF(SER_hh_emih_in!X16=0,0,SER_hh_emih_in!X16/SER_summary!X$27)</f>
        <v>1.5167281573929244E-2</v>
      </c>
      <c r="Y16" s="130">
        <f>IF(SER_hh_emih_in!Y16=0,0,SER_hh_emih_in!Y16/SER_summary!Y$27)</f>
        <v>2.3991097269786939E-2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0</v>
      </c>
      <c r="D17" s="132">
        <f>IF(SER_hh_emih_in!D17=0,0,SER_hh_emih_in!D17/SER_summary!D$27)</f>
        <v>0</v>
      </c>
      <c r="E17" s="132">
        <f>IF(SER_hh_emih_in!E17=0,0,SER_hh_emih_in!E17/SER_summary!E$27)</f>
        <v>0</v>
      </c>
      <c r="F17" s="132">
        <f>IF(SER_hh_emih_in!F17=0,0,SER_hh_emih_in!F17/SER_summary!F$27)</f>
        <v>0</v>
      </c>
      <c r="G17" s="132">
        <f>IF(SER_hh_emih_in!G17=0,0,SER_hh_emih_in!G17/SER_summary!G$27)</f>
        <v>4.4405755475644053</v>
      </c>
      <c r="H17" s="132">
        <f>IF(SER_hh_emih_in!H17=0,0,SER_hh_emih_in!H17/SER_summary!H$27)</f>
        <v>4.4562827039834403</v>
      </c>
      <c r="I17" s="132">
        <f>IF(SER_hh_emih_in!I17=0,0,SER_hh_emih_in!I17/SER_summary!I$27)</f>
        <v>4.3070360701647381</v>
      </c>
      <c r="J17" s="132">
        <f>IF(SER_hh_emih_in!J17=0,0,SER_hh_emih_in!J17/SER_summary!J$27)</f>
        <v>4.1302134586320731</v>
      </c>
      <c r="K17" s="132">
        <f>IF(SER_hh_emih_in!K17=0,0,SER_hh_emih_in!K17/SER_summary!K$27)</f>
        <v>4.0196857645722393</v>
      </c>
      <c r="L17" s="132">
        <f>IF(SER_hh_emih_in!L17=0,0,SER_hh_emih_in!L17/SER_summary!L$27)</f>
        <v>3.9980676265042652</v>
      </c>
      <c r="M17" s="132">
        <f>IF(SER_hh_emih_in!M17=0,0,SER_hh_emih_in!M17/SER_summary!M$27)</f>
        <v>3.8280189661099877</v>
      </c>
      <c r="N17" s="132">
        <f>IF(SER_hh_emih_in!N17=0,0,SER_hh_emih_in!N17/SER_summary!N$27)</f>
        <v>3.7433904045687512</v>
      </c>
      <c r="O17" s="132">
        <f>IF(SER_hh_emih_in!O17=0,0,SER_hh_emih_in!O17/SER_summary!O$27)</f>
        <v>3.7944612461185696</v>
      </c>
      <c r="P17" s="132">
        <f>IF(SER_hh_emih_in!P17=0,0,SER_hh_emih_in!P17/SER_summary!P$27)</f>
        <v>3.5707740421287304</v>
      </c>
      <c r="Q17" s="132">
        <f>IF(SER_hh_emih_in!Q17=0,0,SER_hh_emih_in!Q17/SER_summary!Q$27)</f>
        <v>4.1956171361725563</v>
      </c>
      <c r="R17" s="132">
        <f>IF(SER_hh_emih_in!R17=0,0,SER_hh_emih_in!R17/SER_summary!R$27)</f>
        <v>3.4461363916158665</v>
      </c>
      <c r="S17" s="132">
        <f>IF(SER_hh_emih_in!S17=0,0,SER_hh_emih_in!S17/SER_summary!S$27)</f>
        <v>3.3864180717980887</v>
      </c>
      <c r="T17" s="132">
        <f>IF(SER_hh_emih_in!T17=0,0,SER_hh_emih_in!T17/SER_summary!T$27)</f>
        <v>3.6028741456067568</v>
      </c>
      <c r="U17" s="132">
        <f>IF(SER_hh_emih_in!U17=0,0,SER_hh_emih_in!U17/SER_summary!U$27)</f>
        <v>3.1964625256674801</v>
      </c>
      <c r="V17" s="132">
        <f>IF(SER_hh_emih_in!V17=0,0,SER_hh_emih_in!V17/SER_summary!V$27)</f>
        <v>2.9046101849292305</v>
      </c>
      <c r="W17" s="132">
        <f>IF(SER_hh_emih_in!W17=0,0,SER_hh_emih_in!W17/SER_summary!W$27)</f>
        <v>2.6403886372899494</v>
      </c>
      <c r="X17" s="132">
        <f>IF(SER_hh_emih_in!X17=0,0,SER_hh_emih_in!X17/SER_summary!X$27)</f>
        <v>2.7925953579362033</v>
      </c>
      <c r="Y17" s="132">
        <f>IF(SER_hh_emih_in!Y17=0,0,SER_hh_emih_in!Y17/SER_summary!Y$27)</f>
        <v>2.8972140477061394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1.0084300427815993</v>
      </c>
      <c r="D19" s="130">
        <f>IF(SER_hh_emih_in!D19=0,0,SER_hh_emih_in!D19/SER_summary!D$27)</f>
        <v>1.2646776414158518</v>
      </c>
      <c r="E19" s="130">
        <f>IF(SER_hh_emih_in!E19=0,0,SER_hh_emih_in!E19/SER_summary!E$27)</f>
        <v>1.1308772811451222</v>
      </c>
      <c r="F19" s="130">
        <f>IF(SER_hh_emih_in!F19=0,0,SER_hh_emih_in!F19/SER_summary!F$27)</f>
        <v>1.1650927209991546</v>
      </c>
      <c r="G19" s="130">
        <f>IF(SER_hh_emih_in!G19=0,0,SER_hh_emih_in!G19/SER_summary!G$27)</f>
        <v>1.0889682735910979</v>
      </c>
      <c r="H19" s="130">
        <f>IF(SER_hh_emih_in!H19=0,0,SER_hh_emih_in!H19/SER_summary!H$27)</f>
        <v>1.1310276557438117</v>
      </c>
      <c r="I19" s="130">
        <f>IF(SER_hh_emih_in!I19=0,0,SER_hh_emih_in!I19/SER_summary!I$27)</f>
        <v>1.3135927198228201</v>
      </c>
      <c r="J19" s="130">
        <f>IF(SER_hh_emih_in!J19=0,0,SER_hh_emih_in!J19/SER_summary!J$27)</f>
        <v>1.1887467272377414</v>
      </c>
      <c r="K19" s="130">
        <f>IF(SER_hh_emih_in!K19=0,0,SER_hh_emih_in!K19/SER_summary!K$27)</f>
        <v>1.4690267885925705</v>
      </c>
      <c r="L19" s="130">
        <f>IF(SER_hh_emih_in!L19=0,0,SER_hh_emih_in!L19/SER_summary!L$27)</f>
        <v>0.97732863578210638</v>
      </c>
      <c r="M19" s="130">
        <f>IF(SER_hh_emih_in!M19=0,0,SER_hh_emih_in!M19/SER_summary!M$27)</f>
        <v>0.95287468422283772</v>
      </c>
      <c r="N19" s="130">
        <f>IF(SER_hh_emih_in!N19=0,0,SER_hh_emih_in!N19/SER_summary!N$27)</f>
        <v>0.76714051916332759</v>
      </c>
      <c r="O19" s="130">
        <f>IF(SER_hh_emih_in!O19=0,0,SER_hh_emih_in!O19/SER_summary!O$27)</f>
        <v>0.87267953006505972</v>
      </c>
      <c r="P19" s="130">
        <f>IF(SER_hh_emih_in!P19=0,0,SER_hh_emih_in!P19/SER_summary!P$27)</f>
        <v>1.0529059685938773</v>
      </c>
      <c r="Q19" s="130">
        <f>IF(SER_hh_emih_in!Q19=0,0,SER_hh_emih_in!Q19/SER_summary!Q$27)</f>
        <v>1.1550037946536127</v>
      </c>
      <c r="R19" s="130">
        <f>IF(SER_hh_emih_in!R19=0,0,SER_hh_emih_in!R19/SER_summary!R$27)</f>
        <v>0.93086090696266466</v>
      </c>
      <c r="S19" s="130">
        <f>IF(SER_hh_emih_in!S19=0,0,SER_hh_emih_in!S19/SER_summary!S$27)</f>
        <v>1.0997342369944176</v>
      </c>
      <c r="T19" s="130">
        <f>IF(SER_hh_emih_in!T19=0,0,SER_hh_emih_in!T19/SER_summary!T$27)</f>
        <v>0.80549325014762763</v>
      </c>
      <c r="U19" s="130">
        <f>IF(SER_hh_emih_in!U19=0,0,SER_hh_emih_in!U19/SER_summary!U$27)</f>
        <v>1.0001556574004637</v>
      </c>
      <c r="V19" s="130">
        <f>IF(SER_hh_emih_in!V19=0,0,SER_hh_emih_in!V19/SER_summary!V$27)</f>
        <v>0.69247811094768008</v>
      </c>
      <c r="W19" s="130">
        <f>IF(SER_hh_emih_in!W19=0,0,SER_hh_emih_in!W19/SER_summary!W$27)</f>
        <v>0.5579217320402341</v>
      </c>
      <c r="X19" s="130">
        <f>IF(SER_hh_emih_in!X19=0,0,SER_hh_emih_in!X19/SER_summary!X$27)</f>
        <v>0.27051425382067229</v>
      </c>
      <c r="Y19" s="130">
        <f>IF(SER_hh_emih_in!Y19=0,0,SER_hh_emih_in!Y19/SER_summary!Y$27)</f>
        <v>0.16019500644153592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0</v>
      </c>
      <c r="D20" s="132">
        <f>IF(SER_hh_emih_in!D20=0,0,SER_hh_emih_in!D20/SER_summary!D$27)</f>
        <v>0</v>
      </c>
      <c r="E20" s="132">
        <f>IF(SER_hh_emih_in!E20=0,0,SER_hh_emih_in!E20/SER_summary!E$27)</f>
        <v>0</v>
      </c>
      <c r="F20" s="132">
        <f>IF(SER_hh_emih_in!F20=0,0,SER_hh_emih_in!F20/SER_summary!F$27)</f>
        <v>0</v>
      </c>
      <c r="G20" s="132">
        <f>IF(SER_hh_emih_in!G20=0,0,SER_hh_emih_in!G20/SER_summary!G$27)</f>
        <v>0</v>
      </c>
      <c r="H20" s="132">
        <f>IF(SER_hh_emih_in!H20=0,0,SER_hh_emih_in!H20/SER_summary!H$27)</f>
        <v>0</v>
      </c>
      <c r="I20" s="132">
        <f>IF(SER_hh_emih_in!I20=0,0,SER_hh_emih_in!I20/SER_summary!I$27)</f>
        <v>0</v>
      </c>
      <c r="J20" s="132">
        <f>IF(SER_hh_emih_in!J20=0,0,SER_hh_emih_in!J20/SER_summary!J$27)</f>
        <v>0</v>
      </c>
      <c r="K20" s="132">
        <f>IF(SER_hh_emih_in!K20=0,0,SER_hh_emih_in!K20/SER_summary!K$27)</f>
        <v>0</v>
      </c>
      <c r="L20" s="132">
        <f>IF(SER_hh_emih_in!L20=0,0,SER_hh_emih_in!L20/SER_summary!L$27)</f>
        <v>0</v>
      </c>
      <c r="M20" s="132">
        <f>IF(SER_hh_emih_in!M20=0,0,SER_hh_emih_in!M20/SER_summary!M$27)</f>
        <v>0</v>
      </c>
      <c r="N20" s="132">
        <f>IF(SER_hh_emih_in!N20=0,0,SER_hh_emih_in!N20/SER_summary!N$27)</f>
        <v>0</v>
      </c>
      <c r="O20" s="132">
        <f>IF(SER_hh_emih_in!O20=0,0,SER_hh_emih_in!O20/SER_summary!O$27)</f>
        <v>0</v>
      </c>
      <c r="P20" s="132">
        <f>IF(SER_hh_emih_in!P20=0,0,SER_hh_emih_in!P20/SER_summary!P$27)</f>
        <v>0</v>
      </c>
      <c r="Q20" s="132">
        <f>IF(SER_hh_emih_in!Q20=0,0,SER_hh_emih_in!Q20/SER_summary!Q$27)</f>
        <v>0</v>
      </c>
      <c r="R20" s="132">
        <f>IF(SER_hh_emih_in!R20=0,0,SER_hh_emih_in!R20/SER_summary!R$27)</f>
        <v>0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0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0</v>
      </c>
      <c r="D21" s="132">
        <f>IF(SER_hh_emih_in!D21=0,0,SER_hh_emih_in!D21/SER_summary!D$27)</f>
        <v>0</v>
      </c>
      <c r="E21" s="132">
        <f>IF(SER_hh_emih_in!E21=0,0,SER_hh_emih_in!E21/SER_summary!E$27)</f>
        <v>0</v>
      </c>
      <c r="F21" s="132">
        <f>IF(SER_hh_emih_in!F21=0,0,SER_hh_emih_in!F21/SER_summary!F$27)</f>
        <v>0</v>
      </c>
      <c r="G21" s="132">
        <f>IF(SER_hh_emih_in!G21=0,0,SER_hh_emih_in!G21/SER_summary!G$27)</f>
        <v>0</v>
      </c>
      <c r="H21" s="132">
        <f>IF(SER_hh_emih_in!H21=0,0,SER_hh_emih_in!H21/SER_summary!H$27)</f>
        <v>0</v>
      </c>
      <c r="I21" s="132">
        <f>IF(SER_hh_emih_in!I21=0,0,SER_hh_emih_in!I21/SER_summary!I$27)</f>
        <v>0</v>
      </c>
      <c r="J21" s="132">
        <f>IF(SER_hh_emih_in!J21=0,0,SER_hh_emih_in!J21/SER_summary!J$27)</f>
        <v>0</v>
      </c>
      <c r="K21" s="132">
        <f>IF(SER_hh_emih_in!K21=0,0,SER_hh_emih_in!K21/SER_summary!K$27)</f>
        <v>0</v>
      </c>
      <c r="L21" s="132">
        <f>IF(SER_hh_emih_in!L21=0,0,SER_hh_emih_in!L21/SER_summary!L$27)</f>
        <v>0</v>
      </c>
      <c r="M21" s="132">
        <f>IF(SER_hh_emih_in!M21=0,0,SER_hh_emih_in!M21/SER_summary!M$27)</f>
        <v>0</v>
      </c>
      <c r="N21" s="132">
        <f>IF(SER_hh_emih_in!N21=0,0,SER_hh_emih_in!N21/SER_summary!N$27)</f>
        <v>0</v>
      </c>
      <c r="O21" s="132">
        <f>IF(SER_hh_emih_in!O21=0,0,SER_hh_emih_in!O21/SER_summary!O$27)</f>
        <v>0</v>
      </c>
      <c r="P21" s="132">
        <f>IF(SER_hh_emih_in!P21=0,0,SER_hh_emih_in!P21/SER_summary!P$27)</f>
        <v>0</v>
      </c>
      <c r="Q21" s="132">
        <f>IF(SER_hh_emih_in!Q21=0,0,SER_hh_emih_in!Q21/SER_summary!Q$27)</f>
        <v>0</v>
      </c>
      <c r="R21" s="132">
        <f>IF(SER_hh_emih_in!R21=0,0,SER_hh_emih_in!R21/SER_summary!R$27)</f>
        <v>0</v>
      </c>
      <c r="S21" s="132">
        <f>IF(SER_hh_emih_in!S21=0,0,SER_hh_emih_in!S21/SER_summary!S$27)</f>
        <v>0</v>
      </c>
      <c r="T21" s="132">
        <f>IF(SER_hh_emih_in!T21=0,0,SER_hh_emih_in!T21/SER_summary!T$27)</f>
        <v>0</v>
      </c>
      <c r="U21" s="132">
        <f>IF(SER_hh_emih_in!U21=0,0,SER_hh_emih_in!U21/SER_summary!U$27)</f>
        <v>0</v>
      </c>
      <c r="V21" s="132">
        <f>IF(SER_hh_emih_in!V21=0,0,SER_hh_emih_in!V21/SER_summary!V$27)</f>
        <v>0</v>
      </c>
      <c r="W21" s="132">
        <f>IF(SER_hh_emih_in!W21=0,0,SER_hh_emih_in!W21/SER_summary!W$27)</f>
        <v>0</v>
      </c>
      <c r="X21" s="132">
        <f>IF(SER_hh_emih_in!X21=0,0,SER_hh_emih_in!X21/SER_summary!X$27)</f>
        <v>0</v>
      </c>
      <c r="Y21" s="132">
        <f>IF(SER_hh_emih_in!Y21=0,0,SER_hh_emih_in!Y21/SER_summary!Y$27)</f>
        <v>0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0</v>
      </c>
      <c r="D22" s="132">
        <f>IF(SER_hh_emih_in!D22=0,0,SER_hh_emih_in!D22/SER_summary!D$27)</f>
        <v>0</v>
      </c>
      <c r="E22" s="132">
        <f>IF(SER_hh_emih_in!E22=0,0,SER_hh_emih_in!E22/SER_summary!E$27)</f>
        <v>0</v>
      </c>
      <c r="F22" s="132">
        <f>IF(SER_hh_emih_in!F22=0,0,SER_hh_emih_in!F22/SER_summary!F$27)</f>
        <v>0</v>
      </c>
      <c r="G22" s="132">
        <f>IF(SER_hh_emih_in!G22=0,0,SER_hh_emih_in!G22/SER_summary!G$27)</f>
        <v>0</v>
      </c>
      <c r="H22" s="132">
        <f>IF(SER_hh_emih_in!H22=0,0,SER_hh_emih_in!H22/SER_summary!H$27)</f>
        <v>0</v>
      </c>
      <c r="I22" s="132">
        <f>IF(SER_hh_emih_in!I22=0,0,SER_hh_emih_in!I22/SER_summary!I$27)</f>
        <v>0</v>
      </c>
      <c r="J22" s="132">
        <f>IF(SER_hh_emih_in!J22=0,0,SER_hh_emih_in!J22/SER_summary!J$27)</f>
        <v>0</v>
      </c>
      <c r="K22" s="132">
        <f>IF(SER_hh_emih_in!K22=0,0,SER_hh_emih_in!K22/SER_summary!K$27)</f>
        <v>0</v>
      </c>
      <c r="L22" s="132">
        <f>IF(SER_hh_emih_in!L22=0,0,SER_hh_emih_in!L22/SER_summary!L$27)</f>
        <v>0</v>
      </c>
      <c r="M22" s="132">
        <f>IF(SER_hh_emih_in!M22=0,0,SER_hh_emih_in!M22/SER_summary!M$27)</f>
        <v>0</v>
      </c>
      <c r="N22" s="132">
        <f>IF(SER_hh_emih_in!N22=0,0,SER_hh_emih_in!N22/SER_summary!N$27)</f>
        <v>0</v>
      </c>
      <c r="O22" s="132">
        <f>IF(SER_hh_emih_in!O22=0,0,SER_hh_emih_in!O22/SER_summary!O$27)</f>
        <v>0</v>
      </c>
      <c r="P22" s="132">
        <f>IF(SER_hh_emih_in!P22=0,0,SER_hh_emih_in!P22/SER_summary!P$27)</f>
        <v>0</v>
      </c>
      <c r="Q22" s="132">
        <f>IF(SER_hh_emih_in!Q22=0,0,SER_hh_emih_in!Q22/SER_summary!Q$27)</f>
        <v>0</v>
      </c>
      <c r="R22" s="132">
        <f>IF(SER_hh_emih_in!R22=0,0,SER_hh_emih_in!R22/SER_summary!R$27)</f>
        <v>0</v>
      </c>
      <c r="S22" s="132">
        <f>IF(SER_hh_emih_in!S22=0,0,SER_hh_emih_in!S22/SER_summary!S$27)</f>
        <v>0</v>
      </c>
      <c r="T22" s="132">
        <f>IF(SER_hh_emih_in!T22=0,0,SER_hh_emih_in!T22/SER_summary!T$27)</f>
        <v>0</v>
      </c>
      <c r="U22" s="132">
        <f>IF(SER_hh_emih_in!U22=0,0,SER_hh_emih_in!U22/SER_summary!U$27)</f>
        <v>0</v>
      </c>
      <c r="V22" s="132">
        <f>IF(SER_hh_emih_in!V22=0,0,SER_hh_emih_in!V22/SER_summary!V$27)</f>
        <v>0</v>
      </c>
      <c r="W22" s="132">
        <f>IF(SER_hh_emih_in!W22=0,0,SER_hh_emih_in!W22/SER_summary!W$27)</f>
        <v>0</v>
      </c>
      <c r="X22" s="132">
        <f>IF(SER_hh_emih_in!X22=0,0,SER_hh_emih_in!X22/SER_summary!X$27)</f>
        <v>0</v>
      </c>
      <c r="Y22" s="132">
        <f>IF(SER_hh_emih_in!Y22=0,0,SER_hh_emih_in!Y22/SER_summary!Y$27)</f>
        <v>0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2.7936405821719172</v>
      </c>
      <c r="D23" s="132">
        <f>IF(SER_hh_emih_in!D23=0,0,SER_hh_emih_in!D23/SER_summary!D$27)</f>
        <v>2.7568976549788369</v>
      </c>
      <c r="E23" s="132">
        <f>IF(SER_hh_emih_in!E23=0,0,SER_hh_emih_in!E23/SER_summary!E$27)</f>
        <v>2.5767609387423671</v>
      </c>
      <c r="F23" s="132">
        <f>IF(SER_hh_emih_in!F23=0,0,SER_hh_emih_in!F23/SER_summary!F$27)</f>
        <v>2.490185394308944</v>
      </c>
      <c r="G23" s="132">
        <f>IF(SER_hh_emih_in!G23=0,0,SER_hh_emih_in!G23/SER_summary!G$27)</f>
        <v>2.4829475723261045</v>
      </c>
      <c r="H23" s="132">
        <f>IF(SER_hh_emih_in!H23=0,0,SER_hh_emih_in!H23/SER_summary!H$27)</f>
        <v>2.4420528191770976</v>
      </c>
      <c r="I23" s="132">
        <f>IF(SER_hh_emih_in!I23=0,0,SER_hh_emih_in!I23/SER_summary!I$27)</f>
        <v>2.3470892535168955</v>
      </c>
      <c r="J23" s="132">
        <f>IF(SER_hh_emih_in!J23=0,0,SER_hh_emih_in!J23/SER_summary!J$27)</f>
        <v>2.3251508541417469</v>
      </c>
      <c r="K23" s="132">
        <f>IF(SER_hh_emih_in!K23=0,0,SER_hh_emih_in!K23/SER_summary!K$27)</f>
        <v>2.4045576398168267</v>
      </c>
      <c r="L23" s="132">
        <f>IF(SER_hh_emih_in!L23=0,0,SER_hh_emih_in!L23/SER_summary!L$27)</f>
        <v>2.5711951830721995</v>
      </c>
      <c r="M23" s="132">
        <f>IF(SER_hh_emih_in!M23=0,0,SER_hh_emih_in!M23/SER_summary!M$27)</f>
        <v>2.4705789511414524</v>
      </c>
      <c r="N23" s="132">
        <f>IF(SER_hh_emih_in!N23=0,0,SER_hh_emih_in!N23/SER_summary!N$27)</f>
        <v>2.3860355632544046</v>
      </c>
      <c r="O23" s="132">
        <f>IF(SER_hh_emih_in!O23=0,0,SER_hh_emih_in!O23/SER_summary!O$27)</f>
        <v>2.3123087056048504</v>
      </c>
      <c r="P23" s="132">
        <f>IF(SER_hh_emih_in!P23=0,0,SER_hh_emih_in!P23/SER_summary!P$27)</f>
        <v>2.1744612711978393</v>
      </c>
      <c r="Q23" s="132">
        <f>IF(SER_hh_emih_in!Q23=0,0,SER_hh_emih_in!Q23/SER_summary!Q$27)</f>
        <v>2.1883861949506258</v>
      </c>
      <c r="R23" s="132">
        <f>IF(SER_hh_emih_in!R23=0,0,SER_hh_emih_in!R23/SER_summary!R$27)</f>
        <v>2.1599465649307525</v>
      </c>
      <c r="S23" s="132">
        <f>IF(SER_hh_emih_in!S23=0,0,SER_hh_emih_in!S23/SER_summary!S$27)</f>
        <v>2.1616521210770885</v>
      </c>
      <c r="T23" s="132">
        <f>IF(SER_hh_emih_in!T23=0,0,SER_hh_emih_in!T23/SER_summary!T$27)</f>
        <v>2.0310036909694169</v>
      </c>
      <c r="U23" s="132">
        <f>IF(SER_hh_emih_in!U23=0,0,SER_hh_emih_in!U23/SER_summary!U$27)</f>
        <v>2.0636460026440253</v>
      </c>
      <c r="V23" s="132">
        <f>IF(SER_hh_emih_in!V23=0,0,SER_hh_emih_in!V23/SER_summary!V$27)</f>
        <v>1.8728545506718686</v>
      </c>
      <c r="W23" s="132">
        <f>IF(SER_hh_emih_in!W23=0,0,SER_hh_emih_in!W23/SER_summary!W$27)</f>
        <v>1.977986000175237</v>
      </c>
      <c r="X23" s="132">
        <f>IF(SER_hh_emih_in!X23=0,0,SER_hh_emih_in!X23/SER_summary!X$27)</f>
        <v>1.8944128418438808</v>
      </c>
      <c r="Y23" s="132">
        <f>IF(SER_hh_emih_in!Y23=0,0,SER_hh_emih_in!Y23/SER_summary!Y$27)</f>
        <v>1.8372676696430119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0</v>
      </c>
      <c r="D24" s="132">
        <f>IF(SER_hh_emih_in!D24=0,0,SER_hh_emih_in!D24/SER_summary!D$27)</f>
        <v>0</v>
      </c>
      <c r="E24" s="132">
        <f>IF(SER_hh_emih_in!E24=0,0,SER_hh_emih_in!E24/SER_summary!E$27)</f>
        <v>0</v>
      </c>
      <c r="F24" s="132">
        <f>IF(SER_hh_emih_in!F24=0,0,SER_hh_emih_in!F24/SER_summary!F$27)</f>
        <v>0</v>
      </c>
      <c r="G24" s="132">
        <f>IF(SER_hh_emih_in!G24=0,0,SER_hh_emih_in!G24/SER_summary!G$27)</f>
        <v>0</v>
      </c>
      <c r="H24" s="132">
        <f>IF(SER_hh_emih_in!H24=0,0,SER_hh_emih_in!H24/SER_summary!H$27)</f>
        <v>0</v>
      </c>
      <c r="I24" s="132">
        <f>IF(SER_hh_emih_in!I24=0,0,SER_hh_emih_in!I24/SER_summary!I$27)</f>
        <v>0</v>
      </c>
      <c r="J24" s="132">
        <f>IF(SER_hh_emih_in!J24=0,0,SER_hh_emih_in!J24/SER_summary!J$27)</f>
        <v>0</v>
      </c>
      <c r="K24" s="132">
        <f>IF(SER_hh_emih_in!K24=0,0,SER_hh_emih_in!K24/SER_summary!K$27)</f>
        <v>0</v>
      </c>
      <c r="L24" s="132">
        <f>IF(SER_hh_emih_in!L24=0,0,SER_hh_emih_in!L24/SER_summary!L$27)</f>
        <v>0</v>
      </c>
      <c r="M24" s="132">
        <f>IF(SER_hh_emih_in!M24=0,0,SER_hh_emih_in!M24/SER_summary!M$27)</f>
        <v>0</v>
      </c>
      <c r="N24" s="132">
        <f>IF(SER_hh_emih_in!N24=0,0,SER_hh_emih_in!N24/SER_summary!N$27)</f>
        <v>0</v>
      </c>
      <c r="O24" s="132">
        <f>IF(SER_hh_emih_in!O24=0,0,SER_hh_emih_in!O24/SER_summary!O$27)</f>
        <v>0</v>
      </c>
      <c r="P24" s="132">
        <f>IF(SER_hh_emih_in!P24=0,0,SER_hh_emih_in!P24/SER_summary!P$27)</f>
        <v>0</v>
      </c>
      <c r="Q24" s="132">
        <f>IF(SER_hh_emih_in!Q24=0,0,SER_hh_emih_in!Q24/SER_summary!Q$27)</f>
        <v>0</v>
      </c>
      <c r="R24" s="132">
        <f>IF(SER_hh_emih_in!R24=0,0,SER_hh_emih_in!R24/SER_summary!R$27)</f>
        <v>0</v>
      </c>
      <c r="S24" s="132">
        <f>IF(SER_hh_emih_in!S24=0,0,SER_hh_emih_in!S24/SER_summary!S$27)</f>
        <v>0</v>
      </c>
      <c r="T24" s="132">
        <f>IF(SER_hh_emih_in!T24=0,0,SER_hh_emih_in!T24/SER_summary!T$27)</f>
        <v>0</v>
      </c>
      <c r="U24" s="132">
        <f>IF(SER_hh_emih_in!U24=0,0,SER_hh_emih_in!U24/SER_summary!U$27)</f>
        <v>0</v>
      </c>
      <c r="V24" s="132">
        <f>IF(SER_hh_emih_in!V24=0,0,SER_hh_emih_in!V24/SER_summary!V$27)</f>
        <v>0</v>
      </c>
      <c r="W24" s="132">
        <f>IF(SER_hh_emih_in!W24=0,0,SER_hh_emih_in!W24/SER_summary!W$27)</f>
        <v>0</v>
      </c>
      <c r="X24" s="132">
        <f>IF(SER_hh_emih_in!X24=0,0,SER_hh_emih_in!X24/SER_summary!X$27)</f>
        <v>0</v>
      </c>
      <c r="Y24" s="132">
        <f>IF(SER_hh_emih_in!Y24=0,0,SER_hh_emih_in!Y24/SER_summary!Y$27)</f>
        <v>0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1.6285892157651514</v>
      </c>
      <c r="D29" s="130">
        <f>IF(SER_hh_emih_in!D29=0,0,SER_hh_emih_in!D29/SER_summary!D$27)</f>
        <v>1.587333168948837</v>
      </c>
      <c r="E29" s="130">
        <f>IF(SER_hh_emih_in!E29=0,0,SER_hh_emih_in!E29/SER_summary!E$27)</f>
        <v>1.4167925701558057</v>
      </c>
      <c r="F29" s="130">
        <f>IF(SER_hh_emih_in!F29=0,0,SER_hh_emih_in!F29/SER_summary!F$27)</f>
        <v>1.300743273666497</v>
      </c>
      <c r="G29" s="130">
        <f>IF(SER_hh_emih_in!G29=0,0,SER_hh_emih_in!G29/SER_summary!G$27)</f>
        <v>1.3909598474342388</v>
      </c>
      <c r="H29" s="130">
        <f>IF(SER_hh_emih_in!H29=0,0,SER_hh_emih_in!H29/SER_summary!H$27)</f>
        <v>1.2308029644854304</v>
      </c>
      <c r="I29" s="130">
        <f>IF(SER_hh_emih_in!I29=0,0,SER_hh_emih_in!I29/SER_summary!I$27)</f>
        <v>1.3881932870751952</v>
      </c>
      <c r="J29" s="130">
        <f>IF(SER_hh_emih_in!J29=0,0,SER_hh_emih_in!J29/SER_summary!J$27)</f>
        <v>1.4833927317803597</v>
      </c>
      <c r="K29" s="130">
        <f>IF(SER_hh_emih_in!K29=0,0,SER_hh_emih_in!K29/SER_summary!K$27)</f>
        <v>1.6849095563832381</v>
      </c>
      <c r="L29" s="130">
        <f>IF(SER_hh_emih_in!L29=0,0,SER_hh_emih_in!L29/SER_summary!L$27)</f>
        <v>1.6771579750211834</v>
      </c>
      <c r="M29" s="130">
        <f>IF(SER_hh_emih_in!M29=0,0,SER_hh_emih_in!M29/SER_summary!M$27)</f>
        <v>1.2827470225673125</v>
      </c>
      <c r="N29" s="130">
        <f>IF(SER_hh_emih_in!N29=0,0,SER_hh_emih_in!N29/SER_summary!N$27)</f>
        <v>1.3424729596667795</v>
      </c>
      <c r="O29" s="130">
        <f>IF(SER_hh_emih_in!O29=0,0,SER_hh_emih_in!O29/SER_summary!O$27)</f>
        <v>1.4696699194307727</v>
      </c>
      <c r="P29" s="130">
        <f>IF(SER_hh_emih_in!P29=0,0,SER_hh_emih_in!P29/SER_summary!P$27)</f>
        <v>1.5164814687080921</v>
      </c>
      <c r="Q29" s="130">
        <f>IF(SER_hh_emih_in!Q29=0,0,SER_hh_emih_in!Q29/SER_summary!Q$27)</f>
        <v>1.5925866502847432</v>
      </c>
      <c r="R29" s="130">
        <f>IF(SER_hh_emih_in!R29=0,0,SER_hh_emih_in!R29/SER_summary!R$27)</f>
        <v>2.0245515155774521</v>
      </c>
      <c r="S29" s="130">
        <f>IF(SER_hh_emih_in!S29=0,0,SER_hh_emih_in!S29/SER_summary!S$27)</f>
        <v>2.3595779306190736</v>
      </c>
      <c r="T29" s="130">
        <f>IF(SER_hh_emih_in!T29=0,0,SER_hh_emih_in!T29/SER_summary!T$27)</f>
        <v>1.6778670824796278</v>
      </c>
      <c r="U29" s="130">
        <f>IF(SER_hh_emih_in!U29=0,0,SER_hh_emih_in!U29/SER_summary!U$27)</f>
        <v>1.781737827391997</v>
      </c>
      <c r="V29" s="130">
        <f>IF(SER_hh_emih_in!V29=0,0,SER_hh_emih_in!V29/SER_summary!V$27)</f>
        <v>1.1198808484013769</v>
      </c>
      <c r="W29" s="130">
        <f>IF(SER_hh_emih_in!W29=0,0,SER_hh_emih_in!W29/SER_summary!W$27)</f>
        <v>0.76940711541939777</v>
      </c>
      <c r="X29" s="130">
        <f>IF(SER_hh_emih_in!X29=0,0,SER_hh_emih_in!X29/SER_summary!X$27)</f>
        <v>0.3986965129172485</v>
      </c>
      <c r="Y29" s="130">
        <f>IF(SER_hh_emih_in!Y29=0,0,SER_hh_emih_in!Y29/SER_summary!Y$27)</f>
        <v>0.48981039389386211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0</v>
      </c>
      <c r="D30" s="132">
        <f>IF(SER_hh_emih_in!D30=0,0,SER_hh_emih_in!D30/SER_summary!D$27)</f>
        <v>0</v>
      </c>
      <c r="E30" s="132">
        <f>IF(SER_hh_emih_in!E30=0,0,SER_hh_emih_in!E30/SER_summary!E$27)</f>
        <v>0</v>
      </c>
      <c r="F30" s="132">
        <f>IF(SER_hh_emih_in!F30=0,0,SER_hh_emih_in!F30/SER_summary!F$27)</f>
        <v>0</v>
      </c>
      <c r="G30" s="132">
        <f>IF(SER_hh_emih_in!G30=0,0,SER_hh_emih_in!G30/SER_summary!G$27)</f>
        <v>0</v>
      </c>
      <c r="H30" s="132">
        <f>IF(SER_hh_emih_in!H30=0,0,SER_hh_emih_in!H30/SER_summary!H$27)</f>
        <v>0</v>
      </c>
      <c r="I30" s="132">
        <f>IF(SER_hh_emih_in!I30=0,0,SER_hh_emih_in!I30/SER_summary!I$27)</f>
        <v>0</v>
      </c>
      <c r="J30" s="132">
        <f>IF(SER_hh_emih_in!J30=0,0,SER_hh_emih_in!J30/SER_summary!J$27)</f>
        <v>0</v>
      </c>
      <c r="K30" s="132">
        <f>IF(SER_hh_emih_in!K30=0,0,SER_hh_emih_in!K30/SER_summary!K$27)</f>
        <v>0</v>
      </c>
      <c r="L30" s="132">
        <f>IF(SER_hh_emih_in!L30=0,0,SER_hh_emih_in!L30/SER_summary!L$27)</f>
        <v>0</v>
      </c>
      <c r="M30" s="132">
        <f>IF(SER_hh_emih_in!M30=0,0,SER_hh_emih_in!M30/SER_summary!M$27)</f>
        <v>0</v>
      </c>
      <c r="N30" s="132">
        <f>IF(SER_hh_emih_in!N30=0,0,SER_hh_emih_in!N30/SER_summary!N$27)</f>
        <v>0</v>
      </c>
      <c r="O30" s="132">
        <f>IF(SER_hh_emih_in!O30=0,0,SER_hh_emih_in!O30/SER_summary!O$27)</f>
        <v>0</v>
      </c>
      <c r="P30" s="132">
        <f>IF(SER_hh_emih_in!P30=0,0,SER_hh_emih_in!P30/SER_summary!P$27)</f>
        <v>0</v>
      </c>
      <c r="Q30" s="132">
        <f>IF(SER_hh_emih_in!Q30=0,0,SER_hh_emih_in!Q30/SER_summary!Q$27)</f>
        <v>0</v>
      </c>
      <c r="R30" s="132">
        <f>IF(SER_hh_emih_in!R30=0,0,SER_hh_emih_in!R30/SER_summary!R$27)</f>
        <v>0</v>
      </c>
      <c r="S30" s="132">
        <f>IF(SER_hh_emih_in!S30=0,0,SER_hh_emih_in!S30/SER_summary!S$27)</f>
        <v>0</v>
      </c>
      <c r="T30" s="132">
        <f>IF(SER_hh_emih_in!T30=0,0,SER_hh_emih_in!T30/SER_summary!T$27)</f>
        <v>0</v>
      </c>
      <c r="U30" s="132">
        <f>IF(SER_hh_emih_in!U30=0,0,SER_hh_emih_in!U30/SER_summary!U$27)</f>
        <v>0</v>
      </c>
      <c r="V30" s="132">
        <f>IF(SER_hh_emih_in!V30=0,0,SER_hh_emih_in!V30/SER_summary!V$27)</f>
        <v>0</v>
      </c>
      <c r="W30" s="132">
        <f>IF(SER_hh_emih_in!W30=0,0,SER_hh_emih_in!W30/SER_summary!W$27)</f>
        <v>0</v>
      </c>
      <c r="X30" s="132">
        <f>IF(SER_hh_emih_in!X30=0,0,SER_hh_emih_in!X30/SER_summary!X$27)</f>
        <v>0</v>
      </c>
      <c r="Y30" s="132">
        <f>IF(SER_hh_emih_in!Y30=0,0,SER_hh_emih_in!Y30/SER_summary!Y$27)</f>
        <v>0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3.0070331589951333</v>
      </c>
      <c r="D31" s="132">
        <f>IF(SER_hh_emih_in!D31=0,0,SER_hh_emih_in!D31/SER_summary!D$27)</f>
        <v>2.9567655461439628</v>
      </c>
      <c r="E31" s="132">
        <f>IF(SER_hh_emih_in!E31=0,0,SER_hh_emih_in!E31/SER_summary!E$27)</f>
        <v>2.8479504468492518</v>
      </c>
      <c r="F31" s="132">
        <f>IF(SER_hh_emih_in!F31=0,0,SER_hh_emih_in!F31/SER_summary!F$27)</f>
        <v>2.9018216762689861</v>
      </c>
      <c r="G31" s="132">
        <f>IF(SER_hh_emih_in!G31=0,0,SER_hh_emih_in!G31/SER_summary!G$27)</f>
        <v>2.8457177744826838</v>
      </c>
      <c r="H31" s="132">
        <f>IF(SER_hh_emih_in!H31=0,0,SER_hh_emih_in!H31/SER_summary!H$27)</f>
        <v>2.7938780182856853</v>
      </c>
      <c r="I31" s="132">
        <f>IF(SER_hh_emih_in!I31=0,0,SER_hh_emih_in!I31/SER_summary!I$27)</f>
        <v>2.8029830493442911</v>
      </c>
      <c r="J31" s="132">
        <f>IF(SER_hh_emih_in!J31=0,0,SER_hh_emih_in!J31/SER_summary!J$27)</f>
        <v>2.8519046717228682</v>
      </c>
      <c r="K31" s="132">
        <f>IF(SER_hh_emih_in!K31=0,0,SER_hh_emih_in!K31/SER_summary!K$27)</f>
        <v>3.1820644519752177</v>
      </c>
      <c r="L31" s="132">
        <f>IF(SER_hh_emih_in!L31=0,0,SER_hh_emih_in!L31/SER_summary!L$27)</f>
        <v>3.0774837571064104</v>
      </c>
      <c r="M31" s="132">
        <f>IF(SER_hh_emih_in!M31=0,0,SER_hh_emih_in!M31/SER_summary!M$27)</f>
        <v>3.1114960607392455</v>
      </c>
      <c r="N31" s="132">
        <f>IF(SER_hh_emih_in!N31=0,0,SER_hh_emih_in!N31/SER_summary!N$27)</f>
        <v>3.137140268863329</v>
      </c>
      <c r="O31" s="132">
        <f>IF(SER_hh_emih_in!O31=0,0,SER_hh_emih_in!O31/SER_summary!O$27)</f>
        <v>3.1590747965156911</v>
      </c>
      <c r="P31" s="132">
        <f>IF(SER_hh_emih_in!P31=0,0,SER_hh_emih_in!P31/SER_summary!P$27)</f>
        <v>3.170080760915968</v>
      </c>
      <c r="Q31" s="132">
        <f>IF(SER_hh_emih_in!Q31=0,0,SER_hh_emih_in!Q31/SER_summary!Q$27)</f>
        <v>3.0669124798063461</v>
      </c>
      <c r="R31" s="132">
        <f>IF(SER_hh_emih_in!R31=0,0,SER_hh_emih_in!R31/SER_summary!R$27)</f>
        <v>3.137081960439116</v>
      </c>
      <c r="S31" s="132">
        <f>IF(SER_hh_emih_in!S31=0,0,SER_hh_emih_in!S31/SER_summary!S$27)</f>
        <v>3.3473160234479913</v>
      </c>
      <c r="T31" s="132">
        <f>IF(SER_hh_emih_in!T31=0,0,SER_hh_emih_in!T31/SER_summary!T$27)</f>
        <v>3.0487014376138699</v>
      </c>
      <c r="U31" s="132">
        <f>IF(SER_hh_emih_in!U31=0,0,SER_hh_emih_in!U31/SER_summary!U$27)</f>
        <v>3.1952891883130299</v>
      </c>
      <c r="V31" s="132">
        <f>IF(SER_hh_emih_in!V31=0,0,SER_hh_emih_in!V31/SER_summary!V$27)</f>
        <v>2.9493737291571009</v>
      </c>
      <c r="W31" s="132">
        <f>IF(SER_hh_emih_in!W31=0,0,SER_hh_emih_in!W31/SER_summary!W$27)</f>
        <v>3.0058930693125094</v>
      </c>
      <c r="X31" s="132">
        <f>IF(SER_hh_emih_in!X31=0,0,SER_hh_emih_in!X31/SER_summary!X$27)</f>
        <v>2.9360557106462073</v>
      </c>
      <c r="Y31" s="132">
        <f>IF(SER_hh_emih_in!Y31=0,0,SER_hh_emih_in!Y31/SER_summary!Y$27)</f>
        <v>2.8722199684746039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</v>
      </c>
      <c r="D32" s="132">
        <f>IF(SER_hh_emih_in!D32=0,0,SER_hh_emih_in!D32/SER_summary!D$27)</f>
        <v>0</v>
      </c>
      <c r="E32" s="132">
        <f>IF(SER_hh_emih_in!E32=0,0,SER_hh_emih_in!E32/SER_summary!E$27)</f>
        <v>0</v>
      </c>
      <c r="F32" s="132">
        <f>IF(SER_hh_emih_in!F32=0,0,SER_hh_emih_in!F32/SER_summary!F$27)</f>
        <v>0</v>
      </c>
      <c r="G32" s="132">
        <f>IF(SER_hh_emih_in!G32=0,0,SER_hh_emih_in!G32/SER_summary!G$27)</f>
        <v>0</v>
      </c>
      <c r="H32" s="132">
        <f>IF(SER_hh_emih_in!H32=0,0,SER_hh_emih_in!H32/SER_summary!H$27)</f>
        <v>0</v>
      </c>
      <c r="I32" s="132">
        <f>IF(SER_hh_emih_in!I32=0,0,SER_hh_emih_in!I32/SER_summary!I$27)</f>
        <v>0</v>
      </c>
      <c r="J32" s="132">
        <f>IF(SER_hh_emih_in!J32=0,0,SER_hh_emih_in!J32/SER_summary!J$27)</f>
        <v>0</v>
      </c>
      <c r="K32" s="132">
        <f>IF(SER_hh_emih_in!K32=0,0,SER_hh_emih_in!K32/SER_summary!K$27)</f>
        <v>0</v>
      </c>
      <c r="L32" s="132">
        <f>IF(SER_hh_emih_in!L32=0,0,SER_hh_emih_in!L32/SER_summary!L$27)</f>
        <v>0</v>
      </c>
      <c r="M32" s="132">
        <f>IF(SER_hh_emih_in!M32=0,0,SER_hh_emih_in!M32/SER_summary!M$27)</f>
        <v>0</v>
      </c>
      <c r="N32" s="132">
        <f>IF(SER_hh_emih_in!N32=0,0,SER_hh_emih_in!N32/SER_summary!N$27)</f>
        <v>0</v>
      </c>
      <c r="O32" s="132">
        <f>IF(SER_hh_emih_in!O32=0,0,SER_hh_emih_in!O32/SER_summary!O$27)</f>
        <v>0</v>
      </c>
      <c r="P32" s="132">
        <f>IF(SER_hh_emih_in!P32=0,0,SER_hh_emih_in!P32/SER_summary!P$27)</f>
        <v>0</v>
      </c>
      <c r="Q32" s="132">
        <f>IF(SER_hh_emih_in!Q32=0,0,SER_hh_emih_in!Q32/SER_summary!Q$27)</f>
        <v>0</v>
      </c>
      <c r="R32" s="132">
        <f>IF(SER_hh_emih_in!R32=0,0,SER_hh_emih_in!R32/SER_summary!R$27)</f>
        <v>0</v>
      </c>
      <c r="S32" s="132">
        <f>IF(SER_hh_emih_in!S32=0,0,SER_hh_emih_in!S32/SER_summary!S$27)</f>
        <v>0</v>
      </c>
      <c r="T32" s="132">
        <f>IF(SER_hh_emih_in!T32=0,0,SER_hh_emih_in!T32/SER_summary!T$27)</f>
        <v>0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0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423.03297382714629</v>
      </c>
      <c r="C3" s="179">
        <f t="shared" ref="C3:W3" si="1">SUM(C4:C9)</f>
        <v>440.11851402085188</v>
      </c>
      <c r="D3" s="179">
        <f t="shared" si="1"/>
        <v>457.28837382954731</v>
      </c>
      <c r="E3" s="179">
        <f t="shared" si="1"/>
        <v>477.26685298660857</v>
      </c>
      <c r="F3" s="179">
        <f t="shared" si="1"/>
        <v>500.31920856277202</v>
      </c>
      <c r="G3" s="179">
        <f t="shared" si="1"/>
        <v>528.62292589158153</v>
      </c>
      <c r="H3" s="179">
        <f t="shared" si="1"/>
        <v>555.58747581413274</v>
      </c>
      <c r="I3" s="179">
        <f t="shared" si="1"/>
        <v>580.04450538580352</v>
      </c>
      <c r="J3" s="179">
        <f t="shared" si="1"/>
        <v>601.86366752874937</v>
      </c>
      <c r="K3" s="179">
        <f t="shared" si="1"/>
        <v>607.73067128757179</v>
      </c>
      <c r="L3" s="179">
        <f t="shared" si="1"/>
        <v>624.17237405367348</v>
      </c>
      <c r="M3" s="179">
        <f t="shared" si="1"/>
        <v>631.43778392220599</v>
      </c>
      <c r="N3" s="179">
        <f t="shared" si="1"/>
        <v>639.05571657316432</v>
      </c>
      <c r="O3" s="179">
        <f t="shared" si="1"/>
        <v>646.31714134525168</v>
      </c>
      <c r="P3" s="179">
        <f t="shared" si="1"/>
        <v>658.51527619771025</v>
      </c>
      <c r="Q3" s="179">
        <f t="shared" si="1"/>
        <v>679.8996568645764</v>
      </c>
      <c r="R3" s="179">
        <f t="shared" si="1"/>
        <v>689.02434914480909</v>
      </c>
      <c r="S3" s="179">
        <f t="shared" si="1"/>
        <v>700.6055086399507</v>
      </c>
      <c r="T3" s="179">
        <f t="shared" si="1"/>
        <v>698.1926525258483</v>
      </c>
      <c r="U3" s="179">
        <f t="shared" si="1"/>
        <v>689.91072206990384</v>
      </c>
      <c r="V3" s="179">
        <f t="shared" si="1"/>
        <v>660.95946129645324</v>
      </c>
      <c r="W3" s="179">
        <f t="shared" si="1"/>
        <v>648.23975816983091</v>
      </c>
      <c r="X3" s="179">
        <f t="shared" ref="X3:Y3" si="2">SUM(X4:X9)</f>
        <v>644.61236221618356</v>
      </c>
      <c r="Y3" s="179">
        <f t="shared" si="2"/>
        <v>640.05216256146866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26.330371425865206</v>
      </c>
      <c r="C4" s="180">
        <f t="shared" ref="C4:R9" si="4">C12*C44/11630</f>
        <v>26.991796726276849</v>
      </c>
      <c r="D4" s="180">
        <f t="shared" si="4"/>
        <v>27.652786059746834</v>
      </c>
      <c r="E4" s="180">
        <f t="shared" si="4"/>
        <v>28.588699643901538</v>
      </c>
      <c r="F4" s="180">
        <f t="shared" si="4"/>
        <v>29.71639830441314</v>
      </c>
      <c r="G4" s="180">
        <f t="shared" si="4"/>
        <v>31.255243695084985</v>
      </c>
      <c r="H4" s="180">
        <f t="shared" si="4"/>
        <v>32.688902489939544</v>
      </c>
      <c r="I4" s="180">
        <f t="shared" si="4"/>
        <v>34.126386846679345</v>
      </c>
      <c r="J4" s="180">
        <f t="shared" si="4"/>
        <v>35.667998767129923</v>
      </c>
      <c r="K4" s="180">
        <f t="shared" si="4"/>
        <v>35.786734556572</v>
      </c>
      <c r="L4" s="180">
        <f t="shared" si="4"/>
        <v>36.90015912201936</v>
      </c>
      <c r="M4" s="180">
        <f t="shared" si="4"/>
        <v>37.996846832084636</v>
      </c>
      <c r="N4" s="180">
        <f t="shared" si="4"/>
        <v>38.765592046471831</v>
      </c>
      <c r="O4" s="180">
        <f t="shared" si="4"/>
        <v>39.483576950774967</v>
      </c>
      <c r="P4" s="180">
        <f t="shared" si="4"/>
        <v>40.478327950644712</v>
      </c>
      <c r="Q4" s="180">
        <f t="shared" si="4"/>
        <v>41.690062760202451</v>
      </c>
      <c r="R4" s="180">
        <f t="shared" si="4"/>
        <v>42.370379180259981</v>
      </c>
      <c r="S4" s="180">
        <f t="shared" ref="D4:W9" si="5">S12*S44/11630</f>
        <v>43.229016753092147</v>
      </c>
      <c r="T4" s="180">
        <f t="shared" si="5"/>
        <v>43.987548958905535</v>
      </c>
      <c r="U4" s="180">
        <f t="shared" si="5"/>
        <v>44.862937146278355</v>
      </c>
      <c r="V4" s="180">
        <f t="shared" si="5"/>
        <v>45.665603015393117</v>
      </c>
      <c r="W4" s="180">
        <f t="shared" si="5"/>
        <v>46.319558038339196</v>
      </c>
      <c r="X4" s="180">
        <f t="shared" ref="X4:Y4" si="6">X12*X44/11630</f>
        <v>46.571374399021728</v>
      </c>
      <c r="Y4" s="180">
        <f t="shared" si="6"/>
        <v>46.52397595426816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45.610036142955238</v>
      </c>
      <c r="C5" s="180">
        <f t="shared" si="4"/>
        <v>46.358849688669586</v>
      </c>
      <c r="D5" s="180">
        <f t="shared" si="5"/>
        <v>47.2331980310137</v>
      </c>
      <c r="E5" s="180">
        <f t="shared" si="5"/>
        <v>48.062613989731638</v>
      </c>
      <c r="F5" s="180">
        <f t="shared" si="5"/>
        <v>49.207467434939552</v>
      </c>
      <c r="G5" s="180">
        <f t="shared" si="5"/>
        <v>50.845883505483243</v>
      </c>
      <c r="H5" s="180">
        <f t="shared" si="5"/>
        <v>52.16386352775131</v>
      </c>
      <c r="I5" s="180">
        <f t="shared" si="5"/>
        <v>53.735941151574238</v>
      </c>
      <c r="J5" s="180">
        <f t="shared" si="5"/>
        <v>55.382114319508794</v>
      </c>
      <c r="K5" s="180">
        <f t="shared" si="5"/>
        <v>56.86970670617162</v>
      </c>
      <c r="L5" s="180">
        <f t="shared" si="5"/>
        <v>57.699062568309181</v>
      </c>
      <c r="M5" s="180">
        <f t="shared" si="5"/>
        <v>58.477249807903647</v>
      </c>
      <c r="N5" s="180">
        <f t="shared" si="5"/>
        <v>59.296180826816681</v>
      </c>
      <c r="O5" s="180">
        <f t="shared" si="5"/>
        <v>60.392488930330991</v>
      </c>
      <c r="P5" s="180">
        <f t="shared" si="5"/>
        <v>61.398146849598113</v>
      </c>
      <c r="Q5" s="180">
        <f t="shared" si="5"/>
        <v>62.989749830390423</v>
      </c>
      <c r="R5" s="180">
        <f t="shared" si="5"/>
        <v>63.675296149448499</v>
      </c>
      <c r="S5" s="180">
        <f t="shared" si="5"/>
        <v>64.49508862195519</v>
      </c>
      <c r="T5" s="180">
        <f t="shared" si="5"/>
        <v>63.746055851160875</v>
      </c>
      <c r="U5" s="180">
        <f t="shared" si="5"/>
        <v>62.04918192103645</v>
      </c>
      <c r="V5" s="180">
        <f t="shared" si="5"/>
        <v>60.522744410640463</v>
      </c>
      <c r="W5" s="180">
        <f t="shared" si="5"/>
        <v>59.114654931319762</v>
      </c>
      <c r="X5" s="180">
        <f t="shared" ref="X5:Y5" si="7">X13*X45/11630</f>
        <v>57.073726297057313</v>
      </c>
      <c r="Y5" s="180">
        <f t="shared" si="7"/>
        <v>56.130292240520163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206.44329602216385</v>
      </c>
      <c r="C6" s="180">
        <f t="shared" si="4"/>
        <v>210.74561243699287</v>
      </c>
      <c r="D6" s="180">
        <f t="shared" si="5"/>
        <v>214.55113325234217</v>
      </c>
      <c r="E6" s="180">
        <f t="shared" si="5"/>
        <v>218.60984167873681</v>
      </c>
      <c r="F6" s="180">
        <f t="shared" si="5"/>
        <v>223.81667697765181</v>
      </c>
      <c r="G6" s="180">
        <f t="shared" si="5"/>
        <v>230.60873903383282</v>
      </c>
      <c r="H6" s="180">
        <f t="shared" si="5"/>
        <v>237.28819109102858</v>
      </c>
      <c r="I6" s="180">
        <f t="shared" si="5"/>
        <v>243.71766058535016</v>
      </c>
      <c r="J6" s="180">
        <f t="shared" si="5"/>
        <v>250.13195192387823</v>
      </c>
      <c r="K6" s="180">
        <f t="shared" si="5"/>
        <v>247.74162034686233</v>
      </c>
      <c r="L6" s="180">
        <f t="shared" si="5"/>
        <v>254.31661258462046</v>
      </c>
      <c r="M6" s="180">
        <f t="shared" si="5"/>
        <v>257.30604962243848</v>
      </c>
      <c r="N6" s="180">
        <f t="shared" si="5"/>
        <v>259.24889445899163</v>
      </c>
      <c r="O6" s="180">
        <f t="shared" si="5"/>
        <v>260.0292326179532</v>
      </c>
      <c r="P6" s="180">
        <f t="shared" si="5"/>
        <v>263.67940326587274</v>
      </c>
      <c r="Q6" s="180">
        <f t="shared" si="5"/>
        <v>272.36997984615562</v>
      </c>
      <c r="R6" s="180">
        <f t="shared" si="5"/>
        <v>270.473827389024</v>
      </c>
      <c r="S6" s="180">
        <f t="shared" si="5"/>
        <v>270.42327613419707</v>
      </c>
      <c r="T6" s="180">
        <f t="shared" si="5"/>
        <v>261.54376106565172</v>
      </c>
      <c r="U6" s="180">
        <f t="shared" si="5"/>
        <v>249.96697653890377</v>
      </c>
      <c r="V6" s="180">
        <f t="shared" si="5"/>
        <v>226.34070648753587</v>
      </c>
      <c r="W6" s="180">
        <f t="shared" si="5"/>
        <v>213.38984899218579</v>
      </c>
      <c r="X6" s="180">
        <f t="shared" ref="X6:Y6" si="8">X14*X46/11630</f>
        <v>205.89472795211933</v>
      </c>
      <c r="Y6" s="180">
        <f t="shared" si="8"/>
        <v>196.15158107939948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68.085548591826523</v>
      </c>
      <c r="C7" s="180">
        <f t="shared" si="4"/>
        <v>69.840197823396736</v>
      </c>
      <c r="D7" s="180">
        <f t="shared" si="5"/>
        <v>71.561240471901542</v>
      </c>
      <c r="E7" s="180">
        <f t="shared" si="5"/>
        <v>73.858181753458197</v>
      </c>
      <c r="F7" s="180">
        <f t="shared" si="5"/>
        <v>76.425290879127601</v>
      </c>
      <c r="G7" s="180">
        <f t="shared" si="5"/>
        <v>79.423103016819155</v>
      </c>
      <c r="H7" s="180">
        <f t="shared" si="5"/>
        <v>81.324339329713638</v>
      </c>
      <c r="I7" s="180">
        <f t="shared" si="5"/>
        <v>83.112584439134309</v>
      </c>
      <c r="J7" s="180">
        <f t="shared" si="5"/>
        <v>84.980436973312251</v>
      </c>
      <c r="K7" s="180">
        <f t="shared" si="5"/>
        <v>86.72170986955237</v>
      </c>
      <c r="L7" s="180">
        <f t="shared" si="5"/>
        <v>87.50369295548235</v>
      </c>
      <c r="M7" s="180">
        <f t="shared" si="5"/>
        <v>87.769003040183776</v>
      </c>
      <c r="N7" s="180">
        <f t="shared" si="5"/>
        <v>88.18605188976673</v>
      </c>
      <c r="O7" s="180">
        <f t="shared" si="5"/>
        <v>88.767814489655976</v>
      </c>
      <c r="P7" s="180">
        <f t="shared" si="5"/>
        <v>89.465981212715505</v>
      </c>
      <c r="Q7" s="180">
        <f t="shared" si="5"/>
        <v>88.996500543148002</v>
      </c>
      <c r="R7" s="180">
        <f t="shared" si="5"/>
        <v>89.028757914611546</v>
      </c>
      <c r="S7" s="180">
        <f t="shared" si="5"/>
        <v>90.013556940229051</v>
      </c>
      <c r="T7" s="180">
        <f t="shared" si="5"/>
        <v>90.842390750201787</v>
      </c>
      <c r="U7" s="180">
        <f t="shared" si="5"/>
        <v>91.496255052198705</v>
      </c>
      <c r="V7" s="180">
        <f t="shared" si="5"/>
        <v>92.171755871851289</v>
      </c>
      <c r="W7" s="180">
        <f t="shared" si="5"/>
        <v>92.717500912612138</v>
      </c>
      <c r="X7" s="180">
        <f t="shared" ref="X7:Y7" si="9">X15*X47/11630</f>
        <v>92.872073429154455</v>
      </c>
      <c r="Y7" s="180">
        <f t="shared" si="9"/>
        <v>93.752736233269928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41.376064567311815</v>
      </c>
      <c r="C8" s="55">
        <f t="shared" si="4"/>
        <v>44.774589369200626</v>
      </c>
      <c r="D8" s="55">
        <f t="shared" si="5"/>
        <v>47.957046784346609</v>
      </c>
      <c r="E8" s="55">
        <f t="shared" si="5"/>
        <v>51.834294737787033</v>
      </c>
      <c r="F8" s="55">
        <f t="shared" si="5"/>
        <v>56.280675863220686</v>
      </c>
      <c r="G8" s="55">
        <f t="shared" si="5"/>
        <v>62.198748091084198</v>
      </c>
      <c r="H8" s="55">
        <f t="shared" si="5"/>
        <v>68.357339053436846</v>
      </c>
      <c r="I8" s="55">
        <f t="shared" si="5"/>
        <v>72.579811522314074</v>
      </c>
      <c r="J8" s="55">
        <f t="shared" si="5"/>
        <v>76.744369772799502</v>
      </c>
      <c r="K8" s="55">
        <f t="shared" si="5"/>
        <v>77.365645197474379</v>
      </c>
      <c r="L8" s="55">
        <f t="shared" si="5"/>
        <v>80.676803340147032</v>
      </c>
      <c r="M8" s="55">
        <f t="shared" si="5"/>
        <v>81.459021911795077</v>
      </c>
      <c r="N8" s="55">
        <f t="shared" si="5"/>
        <v>83.249929751890988</v>
      </c>
      <c r="O8" s="55">
        <f t="shared" si="5"/>
        <v>84.291239358172419</v>
      </c>
      <c r="P8" s="55">
        <f t="shared" si="5"/>
        <v>85.29382643550862</v>
      </c>
      <c r="Q8" s="55">
        <f t="shared" si="5"/>
        <v>87.529124667957461</v>
      </c>
      <c r="R8" s="55">
        <f t="shared" si="5"/>
        <v>92.10929410896388</v>
      </c>
      <c r="S8" s="55">
        <f t="shared" si="5"/>
        <v>95.710575759831968</v>
      </c>
      <c r="T8" s="55">
        <f t="shared" si="5"/>
        <v>97.400814349521241</v>
      </c>
      <c r="U8" s="55">
        <f t="shared" si="5"/>
        <v>97.701516915429551</v>
      </c>
      <c r="V8" s="55">
        <f t="shared" si="5"/>
        <v>93.334045418920539</v>
      </c>
      <c r="W8" s="55">
        <f t="shared" si="5"/>
        <v>92.432088636155186</v>
      </c>
      <c r="X8" s="55">
        <f t="shared" ref="X8:Y8" si="10">X16*X48/11630</f>
        <v>94.274457693821986</v>
      </c>
      <c r="Y8" s="55">
        <f t="shared" si="10"/>
        <v>95.004876754583279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35.187657077023715</v>
      </c>
      <c r="C9" s="63">
        <f t="shared" si="4"/>
        <v>41.40746797631521</v>
      </c>
      <c r="D9" s="63">
        <f t="shared" si="5"/>
        <v>48.33296923019639</v>
      </c>
      <c r="E9" s="63">
        <f t="shared" si="5"/>
        <v>56.313221182993338</v>
      </c>
      <c r="F9" s="63">
        <f t="shared" si="5"/>
        <v>64.872699103419279</v>
      </c>
      <c r="G9" s="63">
        <f t="shared" si="5"/>
        <v>74.291208549277144</v>
      </c>
      <c r="H9" s="63">
        <f t="shared" si="5"/>
        <v>83.764840322262884</v>
      </c>
      <c r="I9" s="63">
        <f t="shared" si="5"/>
        <v>92.772120840751441</v>
      </c>
      <c r="J9" s="63">
        <f t="shared" si="5"/>
        <v>98.956795772120742</v>
      </c>
      <c r="K9" s="63">
        <f t="shared" si="5"/>
        <v>103.24525461093917</v>
      </c>
      <c r="L9" s="63">
        <f t="shared" si="5"/>
        <v>107.07604348309506</v>
      </c>
      <c r="M9" s="63">
        <f t="shared" si="5"/>
        <v>108.42961270780037</v>
      </c>
      <c r="N9" s="63">
        <f t="shared" si="5"/>
        <v>110.30906759922644</v>
      </c>
      <c r="O9" s="63">
        <f t="shared" si="5"/>
        <v>113.3527889983642</v>
      </c>
      <c r="P9" s="63">
        <f t="shared" si="5"/>
        <v>118.1995904833706</v>
      </c>
      <c r="Q9" s="63">
        <f t="shared" si="5"/>
        <v>126.3242392167225</v>
      </c>
      <c r="R9" s="63">
        <f t="shared" si="5"/>
        <v>131.36679440250109</v>
      </c>
      <c r="S9" s="63">
        <f t="shared" si="5"/>
        <v>136.73399443064537</v>
      </c>
      <c r="T9" s="63">
        <f t="shared" si="5"/>
        <v>140.67208155040711</v>
      </c>
      <c r="U9" s="63">
        <f t="shared" si="5"/>
        <v>143.83385449605706</v>
      </c>
      <c r="V9" s="63">
        <f t="shared" si="5"/>
        <v>142.92460609211196</v>
      </c>
      <c r="W9" s="63">
        <f t="shared" si="5"/>
        <v>144.26610665921885</v>
      </c>
      <c r="X9" s="63">
        <f t="shared" ref="X9:Y9" si="11">X17*X49/11630</f>
        <v>147.92600244500872</v>
      </c>
      <c r="Y9" s="63">
        <f t="shared" si="11"/>
        <v>152.48870029942762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2130.4102415774228</v>
      </c>
      <c r="C11" s="179">
        <f t="shared" ref="C11:W11" si="13">SUM(C12:C17)</f>
        <v>2223.0093241934674</v>
      </c>
      <c r="D11" s="179">
        <f t="shared" si="13"/>
        <v>2314.3697488401522</v>
      </c>
      <c r="E11" s="179">
        <f t="shared" si="13"/>
        <v>2424.4982711006305</v>
      </c>
      <c r="F11" s="179">
        <f t="shared" si="13"/>
        <v>2552.0402086813638</v>
      </c>
      <c r="G11" s="179">
        <f t="shared" si="13"/>
        <v>2715.7607146399923</v>
      </c>
      <c r="H11" s="179">
        <f t="shared" si="13"/>
        <v>2882.0611628017032</v>
      </c>
      <c r="I11" s="179">
        <f t="shared" si="13"/>
        <v>3015.5311647707063</v>
      </c>
      <c r="J11" s="179">
        <f t="shared" si="13"/>
        <v>3135.914132885699</v>
      </c>
      <c r="K11" s="179">
        <f t="shared" si="13"/>
        <v>3149.1718036641773</v>
      </c>
      <c r="L11" s="179">
        <f t="shared" si="13"/>
        <v>3238.6284269441662</v>
      </c>
      <c r="M11" s="179">
        <f t="shared" si="13"/>
        <v>3261.0870125959691</v>
      </c>
      <c r="N11" s="179">
        <f t="shared" si="13"/>
        <v>3300.6478867314468</v>
      </c>
      <c r="O11" s="179">
        <f t="shared" si="13"/>
        <v>3331.5301422741441</v>
      </c>
      <c r="P11" s="179">
        <f t="shared" si="13"/>
        <v>3386.9075968136785</v>
      </c>
      <c r="Q11" s="179">
        <f t="shared" si="13"/>
        <v>3501.993512232264</v>
      </c>
      <c r="R11" s="179">
        <f t="shared" si="13"/>
        <v>3543.9658881796663</v>
      </c>
      <c r="S11" s="179">
        <f t="shared" si="13"/>
        <v>3574.1943474801656</v>
      </c>
      <c r="T11" s="179">
        <f t="shared" si="13"/>
        <v>3581.0781842665865</v>
      </c>
      <c r="U11" s="179">
        <f t="shared" si="13"/>
        <v>3573.0282430972638</v>
      </c>
      <c r="V11" s="179">
        <f t="shared" si="13"/>
        <v>3526.5686836692421</v>
      </c>
      <c r="W11" s="179">
        <f t="shared" si="13"/>
        <v>3469.8442994416118</v>
      </c>
      <c r="X11" s="179">
        <f t="shared" ref="X11:Y11" si="14">SUM(X12:X17)</f>
        <v>3421.9197218682921</v>
      </c>
      <c r="Y11" s="179">
        <f t="shared" si="14"/>
        <v>3384.7830459622119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34.95687439301512</v>
      </c>
      <c r="C12" s="180">
        <f t="shared" ref="C12:W12" si="15">C20*C52</f>
        <v>35.834999534999973</v>
      </c>
      <c r="D12" s="180">
        <f t="shared" si="15"/>
        <v>36.712545876125091</v>
      </c>
      <c r="E12" s="180">
        <f t="shared" si="15"/>
        <v>37.955088682485723</v>
      </c>
      <c r="F12" s="180">
        <f t="shared" si="15"/>
        <v>39.452250260311061</v>
      </c>
      <c r="G12" s="180">
        <f t="shared" si="15"/>
        <v>41.49526075043817</v>
      </c>
      <c r="H12" s="180">
        <f t="shared" si="15"/>
        <v>43.398622826255355</v>
      </c>
      <c r="I12" s="180">
        <f t="shared" si="15"/>
        <v>45.30706381585393</v>
      </c>
      <c r="J12" s="180">
        <f t="shared" si="15"/>
        <v>47.353747221657649</v>
      </c>
      <c r="K12" s="180">
        <f t="shared" si="15"/>
        <v>47.511383891887256</v>
      </c>
      <c r="L12" s="180">
        <f t="shared" si="15"/>
        <v>48.989594816105608</v>
      </c>
      <c r="M12" s="180">
        <f t="shared" si="15"/>
        <v>50.445585463144312</v>
      </c>
      <c r="N12" s="180">
        <f t="shared" si="15"/>
        <v>51.466191267176633</v>
      </c>
      <c r="O12" s="180">
        <f t="shared" si="15"/>
        <v>52.419406385560826</v>
      </c>
      <c r="P12" s="180">
        <f t="shared" si="15"/>
        <v>53.740063249543155</v>
      </c>
      <c r="Q12" s="180">
        <f t="shared" si="15"/>
        <v>55.348793367711728</v>
      </c>
      <c r="R12" s="180">
        <f t="shared" si="15"/>
        <v>56.25199884319909</v>
      </c>
      <c r="S12" s="180">
        <f t="shared" si="15"/>
        <v>57.391948040920319</v>
      </c>
      <c r="T12" s="180">
        <f t="shared" si="15"/>
        <v>58.398994793615479</v>
      </c>
      <c r="U12" s="180">
        <f t="shared" si="15"/>
        <v>59.561182535527102</v>
      </c>
      <c r="V12" s="180">
        <f t="shared" si="15"/>
        <v>60.626822268153212</v>
      </c>
      <c r="W12" s="180">
        <f t="shared" si="15"/>
        <v>61.495029678754015</v>
      </c>
      <c r="X12" s="180">
        <f t="shared" ref="X12:Y12" si="16">X20*X52</f>
        <v>61.829347518335972</v>
      </c>
      <c r="Y12" s="180">
        <f t="shared" si="16"/>
        <v>61.766420131066099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135.30665828115784</v>
      </c>
      <c r="C13" s="180">
        <f t="shared" ref="C13:W13" si="17">C21*C53/1000</f>
        <v>137.35036246010313</v>
      </c>
      <c r="D13" s="180">
        <f t="shared" si="17"/>
        <v>139.77966261420633</v>
      </c>
      <c r="E13" s="180">
        <f t="shared" si="17"/>
        <v>142.05219708408839</v>
      </c>
      <c r="F13" s="180">
        <f t="shared" si="17"/>
        <v>145.27258683609386</v>
      </c>
      <c r="G13" s="180">
        <f t="shared" si="17"/>
        <v>149.86319055731036</v>
      </c>
      <c r="H13" s="180">
        <f t="shared" si="17"/>
        <v>153.53623866068199</v>
      </c>
      <c r="I13" s="180">
        <f t="shared" si="17"/>
        <v>158.15768484555301</v>
      </c>
      <c r="J13" s="180">
        <f t="shared" si="17"/>
        <v>163.19365489049156</v>
      </c>
      <c r="K13" s="180">
        <f t="shared" si="17"/>
        <v>167.75387850372039</v>
      </c>
      <c r="L13" s="180">
        <f t="shared" si="17"/>
        <v>170.35044236259665</v>
      </c>
      <c r="M13" s="180">
        <f t="shared" si="17"/>
        <v>173.10997241908581</v>
      </c>
      <c r="N13" s="180">
        <f t="shared" si="17"/>
        <v>176.42392658982422</v>
      </c>
      <c r="O13" s="180">
        <f t="shared" si="17"/>
        <v>180.73677988187742</v>
      </c>
      <c r="P13" s="180">
        <f t="shared" si="17"/>
        <v>184.66695292196965</v>
      </c>
      <c r="Q13" s="180">
        <f t="shared" si="17"/>
        <v>190.91899038370784</v>
      </c>
      <c r="R13" s="180">
        <f t="shared" si="17"/>
        <v>191.38429098024781</v>
      </c>
      <c r="S13" s="180">
        <f t="shared" si="17"/>
        <v>191.61769627913665</v>
      </c>
      <c r="T13" s="180">
        <f t="shared" si="17"/>
        <v>190.46432912256341</v>
      </c>
      <c r="U13" s="180">
        <f t="shared" si="17"/>
        <v>187.59126394635481</v>
      </c>
      <c r="V13" s="180">
        <f t="shared" si="17"/>
        <v>183.40001452130113</v>
      </c>
      <c r="W13" s="180">
        <f t="shared" si="17"/>
        <v>178.61525201574557</v>
      </c>
      <c r="X13" s="180">
        <f t="shared" ref="X13:Y13" si="18">X21*X53/1000</f>
        <v>173.57176250041957</v>
      </c>
      <c r="Y13" s="180">
        <f t="shared" si="18"/>
        <v>171.82170955441902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1075.9632765987435</v>
      </c>
      <c r="C14" s="180">
        <f t="shared" ref="C14:W14" si="19">C22*C54</f>
        <v>1089.819062749476</v>
      </c>
      <c r="D14" s="180">
        <f t="shared" si="19"/>
        <v>1102.2952171491399</v>
      </c>
      <c r="E14" s="180">
        <f t="shared" si="19"/>
        <v>1115.3646050624307</v>
      </c>
      <c r="F14" s="180">
        <f t="shared" si="19"/>
        <v>1132.3231450503431</v>
      </c>
      <c r="G14" s="180">
        <f t="shared" si="19"/>
        <v>1155.1388058850873</v>
      </c>
      <c r="H14" s="180">
        <f t="shared" si="19"/>
        <v>1178.8122754503502</v>
      </c>
      <c r="I14" s="180">
        <f t="shared" si="19"/>
        <v>1200.8640885107286</v>
      </c>
      <c r="J14" s="180">
        <f t="shared" si="19"/>
        <v>1227.2117751138969</v>
      </c>
      <c r="K14" s="180">
        <f t="shared" si="19"/>
        <v>1211.4328063546168</v>
      </c>
      <c r="L14" s="180">
        <f t="shared" si="19"/>
        <v>1239.5266611098932</v>
      </c>
      <c r="M14" s="180">
        <f t="shared" si="19"/>
        <v>1248.2197839748051</v>
      </c>
      <c r="N14" s="180">
        <f t="shared" si="19"/>
        <v>1252.8528497348377</v>
      </c>
      <c r="O14" s="180">
        <f t="shared" si="19"/>
        <v>1251.5516755611659</v>
      </c>
      <c r="P14" s="180">
        <f t="shared" si="19"/>
        <v>1264.5271828649684</v>
      </c>
      <c r="Q14" s="180">
        <f t="shared" si="19"/>
        <v>1299.6115048033641</v>
      </c>
      <c r="R14" s="180">
        <f t="shared" si="19"/>
        <v>1274.3910492448545</v>
      </c>
      <c r="S14" s="180">
        <f t="shared" si="19"/>
        <v>1251.5887971909992</v>
      </c>
      <c r="T14" s="180">
        <f t="shared" si="19"/>
        <v>1215.7049914808761</v>
      </c>
      <c r="U14" s="180">
        <f t="shared" si="19"/>
        <v>1176.0685083600608</v>
      </c>
      <c r="V14" s="180">
        <f t="shared" si="19"/>
        <v>1118.4811103864859</v>
      </c>
      <c r="W14" s="180">
        <f t="shared" si="19"/>
        <v>1061.4281577823365</v>
      </c>
      <c r="X14" s="180">
        <f t="shared" ref="X14:Y14" si="20">X22*X54</f>
        <v>1006.1342809449126</v>
      </c>
      <c r="Y14" s="180">
        <f t="shared" si="20"/>
        <v>950.16744507052113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90.392115310838179</v>
      </c>
      <c r="C15" s="180">
        <f t="shared" ref="C15:W15" si="21">C23*C55/1000</f>
        <v>92.721632498413712</v>
      </c>
      <c r="D15" s="180">
        <f t="shared" si="21"/>
        <v>95.006532726965176</v>
      </c>
      <c r="E15" s="180">
        <f t="shared" si="21"/>
        <v>98.056010706931403</v>
      </c>
      <c r="F15" s="180">
        <f t="shared" si="21"/>
        <v>101.46417042514318</v>
      </c>
      <c r="G15" s="180">
        <f t="shared" si="21"/>
        <v>105.44414247552589</v>
      </c>
      <c r="H15" s="180">
        <f t="shared" si="21"/>
        <v>107.96827242061292</v>
      </c>
      <c r="I15" s="180">
        <f t="shared" si="21"/>
        <v>110.34239235469546</v>
      </c>
      <c r="J15" s="180">
        <f t="shared" si="21"/>
        <v>112.82220114150928</v>
      </c>
      <c r="K15" s="180">
        <f t="shared" si="21"/>
        <v>115.13395956425724</v>
      </c>
      <c r="L15" s="180">
        <f t="shared" si="21"/>
        <v>116.17214030505251</v>
      </c>
      <c r="M15" s="180">
        <f t="shared" si="21"/>
        <v>116.5243727576869</v>
      </c>
      <c r="N15" s="180">
        <f t="shared" si="21"/>
        <v>117.07805747465608</v>
      </c>
      <c r="O15" s="180">
        <f t="shared" si="21"/>
        <v>117.8504203783903</v>
      </c>
      <c r="P15" s="180">
        <f t="shared" si="21"/>
        <v>118.77732437258919</v>
      </c>
      <c r="Q15" s="180">
        <f t="shared" si="21"/>
        <v>118.15402983068621</v>
      </c>
      <c r="R15" s="180">
        <f t="shared" si="21"/>
        <v>118.19685554188733</v>
      </c>
      <c r="S15" s="180">
        <f t="shared" si="21"/>
        <v>119.50429991037262</v>
      </c>
      <c r="T15" s="180">
        <f t="shared" si="21"/>
        <v>120.60468087041632</v>
      </c>
      <c r="U15" s="180">
        <f t="shared" si="21"/>
        <v>121.47276783756516</v>
      </c>
      <c r="V15" s="180">
        <f t="shared" si="21"/>
        <v>122.36957999881628</v>
      </c>
      <c r="W15" s="180">
        <f t="shared" si="21"/>
        <v>123.09412507005469</v>
      </c>
      <c r="X15" s="180">
        <f t="shared" ref="X15:Y15" si="22">X23*X55/1000</f>
        <v>123.29933949555553</v>
      </c>
      <c r="Y15" s="180">
        <f t="shared" si="22"/>
        <v>124.46852995353075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624.42909173163878</v>
      </c>
      <c r="C16" s="55">
        <f t="shared" ref="C16:W16" si="23">C24*C56</f>
        <v>672.50563047557171</v>
      </c>
      <c r="D16" s="55">
        <f t="shared" si="23"/>
        <v>717.17859047760737</v>
      </c>
      <c r="E16" s="55">
        <f t="shared" si="23"/>
        <v>772.06519312798514</v>
      </c>
      <c r="F16" s="55">
        <f t="shared" si="23"/>
        <v>835.19300783562664</v>
      </c>
      <c r="G16" s="55">
        <f t="shared" si="23"/>
        <v>919.83732425723394</v>
      </c>
      <c r="H16" s="55">
        <f t="shared" si="23"/>
        <v>1007.6578600912489</v>
      </c>
      <c r="I16" s="55">
        <f t="shared" si="23"/>
        <v>1066.6632621351355</v>
      </c>
      <c r="J16" s="55">
        <f t="shared" si="23"/>
        <v>1124.6485979723159</v>
      </c>
      <c r="K16" s="55">
        <f t="shared" si="23"/>
        <v>1130.6922595680662</v>
      </c>
      <c r="L16" s="55">
        <f t="shared" si="23"/>
        <v>1176.0644692796257</v>
      </c>
      <c r="M16" s="55">
        <f t="shared" si="23"/>
        <v>1185.5375901909861</v>
      </c>
      <c r="N16" s="55">
        <f t="shared" si="23"/>
        <v>1209.7247531544956</v>
      </c>
      <c r="O16" s="55">
        <f t="shared" si="23"/>
        <v>1223.0427167606324</v>
      </c>
      <c r="P16" s="55">
        <f t="shared" si="23"/>
        <v>1235.8355127450973</v>
      </c>
      <c r="Q16" s="55">
        <f t="shared" si="23"/>
        <v>1266.4985567557017</v>
      </c>
      <c r="R16" s="55">
        <f t="shared" si="23"/>
        <v>1315.5652798109452</v>
      </c>
      <c r="S16" s="55">
        <f t="shared" si="23"/>
        <v>1349.2393020013376</v>
      </c>
      <c r="T16" s="55">
        <f t="shared" si="23"/>
        <v>1374.500947965365</v>
      </c>
      <c r="U16" s="55">
        <f t="shared" si="23"/>
        <v>1392.2994881907357</v>
      </c>
      <c r="V16" s="55">
        <f t="shared" si="23"/>
        <v>1396.9711906783477</v>
      </c>
      <c r="W16" s="55">
        <f t="shared" si="23"/>
        <v>1392.5826760418181</v>
      </c>
      <c r="X16" s="55">
        <f t="shared" ref="X16:Y16" si="24">X24*X56</f>
        <v>1392.345397215737</v>
      </c>
      <c r="Y16" s="55">
        <f t="shared" si="24"/>
        <v>1389.4402982153492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169.36222526202954</v>
      </c>
      <c r="C17" s="63">
        <f t="shared" ref="C17:W17" si="25">C25*C57/1000</f>
        <v>194.77763647490275</v>
      </c>
      <c r="D17" s="63">
        <f t="shared" si="25"/>
        <v>223.39719999610821</v>
      </c>
      <c r="E17" s="63">
        <f t="shared" si="25"/>
        <v>259.00517643670912</v>
      </c>
      <c r="F17" s="63">
        <f t="shared" si="25"/>
        <v>298.33504827384621</v>
      </c>
      <c r="G17" s="63">
        <f t="shared" si="25"/>
        <v>343.98199071439643</v>
      </c>
      <c r="H17" s="63">
        <f t="shared" si="25"/>
        <v>390.68789335255423</v>
      </c>
      <c r="I17" s="63">
        <f t="shared" si="25"/>
        <v>434.19667310874019</v>
      </c>
      <c r="J17" s="63">
        <f t="shared" si="25"/>
        <v>460.68415654582776</v>
      </c>
      <c r="K17" s="63">
        <f t="shared" si="25"/>
        <v>476.64751578162924</v>
      </c>
      <c r="L17" s="63">
        <f t="shared" si="25"/>
        <v>487.52511907089286</v>
      </c>
      <c r="M17" s="63">
        <f t="shared" si="25"/>
        <v>487.24970779026074</v>
      </c>
      <c r="N17" s="63">
        <f t="shared" si="25"/>
        <v>493.10210851045628</v>
      </c>
      <c r="O17" s="63">
        <f t="shared" si="25"/>
        <v>505.92914330651729</v>
      </c>
      <c r="P17" s="63">
        <f t="shared" si="25"/>
        <v>529.36056065951107</v>
      </c>
      <c r="Q17" s="63">
        <f t="shared" si="25"/>
        <v>571.46163709109237</v>
      </c>
      <c r="R17" s="63">
        <f t="shared" si="25"/>
        <v>588.17641375853225</v>
      </c>
      <c r="S17" s="63">
        <f t="shared" si="25"/>
        <v>604.85230405739901</v>
      </c>
      <c r="T17" s="63">
        <f t="shared" si="25"/>
        <v>621.40424003375051</v>
      </c>
      <c r="U17" s="63">
        <f t="shared" si="25"/>
        <v>636.03503222702022</v>
      </c>
      <c r="V17" s="63">
        <f t="shared" si="25"/>
        <v>644.7199658161378</v>
      </c>
      <c r="W17" s="63">
        <f t="shared" si="25"/>
        <v>652.62905885290297</v>
      </c>
      <c r="X17" s="63">
        <f t="shared" ref="X17:Y17" si="26">X25*X57/1000</f>
        <v>664.73959419333153</v>
      </c>
      <c r="Y17" s="63">
        <f t="shared" si="26"/>
        <v>687.11864303732557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47.040942348418106</v>
      </c>
      <c r="C20" s="181">
        <v>48.613181694454745</v>
      </c>
      <c r="D20" s="181">
        <v>50.241017698516991</v>
      </c>
      <c r="E20" s="181">
        <v>52.482358201267623</v>
      </c>
      <c r="F20" s="181">
        <v>55.201044180228394</v>
      </c>
      <c r="G20" s="181">
        <v>58.871020746697475</v>
      </c>
      <c r="H20" s="181">
        <v>62.423440164983234</v>
      </c>
      <c r="I20" s="181">
        <v>66.094261550228211</v>
      </c>
      <c r="J20" s="181">
        <v>70.116025373327261</v>
      </c>
      <c r="K20" s="181">
        <v>71.054913181480842</v>
      </c>
      <c r="L20" s="181">
        <v>74.369812394441254</v>
      </c>
      <c r="M20" s="181">
        <v>77.792160817823842</v>
      </c>
      <c r="N20" s="181">
        <v>80.582968984249106</v>
      </c>
      <c r="O20" s="181">
        <v>83.42199603135677</v>
      </c>
      <c r="P20" s="181">
        <v>87.17010704556408</v>
      </c>
      <c r="Q20" s="181">
        <v>91.730487452356627</v>
      </c>
      <c r="R20" s="181">
        <v>94.983044415467631</v>
      </c>
      <c r="S20" s="181">
        <v>98.813418639498636</v>
      </c>
      <c r="T20" s="181">
        <v>102.48445574745452</v>
      </c>
      <c r="U20" s="181">
        <v>106.11004541914794</v>
      </c>
      <c r="V20" s="181">
        <v>109.57155634682111</v>
      </c>
      <c r="W20" s="181">
        <v>112.8406030444707</v>
      </c>
      <c r="X20" s="181">
        <v>115.13195602562658</v>
      </c>
      <c r="Y20" s="181">
        <v>116.86143852132176</v>
      </c>
      <c r="DA20" s="190" t="s">
        <v>922</v>
      </c>
    </row>
    <row r="21" spans="1:105" ht="12" customHeight="1" x14ac:dyDescent="0.25">
      <c r="A21" s="131" t="s">
        <v>156</v>
      </c>
      <c r="B21" s="181">
        <v>673.9012044710347</v>
      </c>
      <c r="C21" s="181">
        <v>690.99799619324676</v>
      </c>
      <c r="D21" s="181">
        <v>711.651669435283</v>
      </c>
      <c r="E21" s="181">
        <v>733.25854330749621</v>
      </c>
      <c r="F21" s="181">
        <v>762.42960596140529</v>
      </c>
      <c r="G21" s="181">
        <v>801.92491344823179</v>
      </c>
      <c r="H21" s="181">
        <v>839.56369824381397</v>
      </c>
      <c r="I21" s="181">
        <v>886.46388182408339</v>
      </c>
      <c r="J21" s="181">
        <v>928.78335165774263</v>
      </c>
      <c r="K21" s="181">
        <v>970.22067855437012</v>
      </c>
      <c r="L21" s="181">
        <v>1001.6883285840009</v>
      </c>
      <c r="M21" s="181">
        <v>1037.583657856065</v>
      </c>
      <c r="N21" s="181">
        <v>1083.1446538398015</v>
      </c>
      <c r="O21" s="181">
        <v>1140.5810798313012</v>
      </c>
      <c r="P21" s="181">
        <v>1205.3849964237074</v>
      </c>
      <c r="Q21" s="181">
        <v>1296.1300206035783</v>
      </c>
      <c r="R21" s="181">
        <v>1352.8937258093486</v>
      </c>
      <c r="S21" s="181">
        <v>1411.3519928306216</v>
      </c>
      <c r="T21" s="181">
        <v>1469.0539826942522</v>
      </c>
      <c r="U21" s="181">
        <v>1524.4720322973633</v>
      </c>
      <c r="V21" s="181">
        <v>1575.6779889737588</v>
      </c>
      <c r="W21" s="181">
        <v>1621.160745261516</v>
      </c>
      <c r="X21" s="181">
        <v>1655.5353560782401</v>
      </c>
      <c r="Y21" s="181">
        <v>1704.4648175957047</v>
      </c>
      <c r="DA21" s="190" t="s">
        <v>923</v>
      </c>
    </row>
    <row r="22" spans="1:105" ht="12" customHeight="1" x14ac:dyDescent="0.25">
      <c r="A22" s="131" t="s">
        <v>160</v>
      </c>
      <c r="B22" s="181">
        <v>24.582835344219216</v>
      </c>
      <c r="C22" s="181">
        <v>25.160127724451542</v>
      </c>
      <c r="D22" s="181">
        <v>25.867978333046782</v>
      </c>
      <c r="E22" s="181">
        <v>26.729214542637589</v>
      </c>
      <c r="F22" s="181">
        <v>27.79743435178473</v>
      </c>
      <c r="G22" s="181">
        <v>29.200401363791162</v>
      </c>
      <c r="H22" s="181">
        <v>30.840700273844082</v>
      </c>
      <c r="I22" s="181">
        <v>32.333974124104998</v>
      </c>
      <c r="J22" s="181">
        <v>33.989134968838066</v>
      </c>
      <c r="K22" s="181">
        <v>34.446369715896338</v>
      </c>
      <c r="L22" s="181">
        <v>36.47210942690252</v>
      </c>
      <c r="M22" s="181">
        <v>38.014868164758944</v>
      </c>
      <c r="N22" s="181">
        <v>39.674476833889123</v>
      </c>
      <c r="O22" s="181">
        <v>41.20802502286228</v>
      </c>
      <c r="P22" s="181">
        <v>43.601816548362116</v>
      </c>
      <c r="Q22" s="181">
        <v>46.957522840039452</v>
      </c>
      <c r="R22" s="181">
        <v>48.905545157183802</v>
      </c>
      <c r="S22" s="181">
        <v>51.176702106652563</v>
      </c>
      <c r="T22" s="181">
        <v>53.324025570284391</v>
      </c>
      <c r="U22" s="181">
        <v>55.360502941870138</v>
      </c>
      <c r="V22" s="181">
        <v>57.139166220113168</v>
      </c>
      <c r="W22" s="181">
        <v>58.495688649535239</v>
      </c>
      <c r="X22" s="181">
        <v>59.506655019217092</v>
      </c>
      <c r="Y22" s="181">
        <v>60.310993289720891</v>
      </c>
      <c r="DA22" s="190" t="s">
        <v>924</v>
      </c>
    </row>
    <row r="23" spans="1:105" ht="12" customHeight="1" x14ac:dyDescent="0.25">
      <c r="A23" s="131" t="s">
        <v>172</v>
      </c>
      <c r="B23" s="181">
        <v>131.10878846676749</v>
      </c>
      <c r="C23" s="181">
        <v>136.0533546981051</v>
      </c>
      <c r="D23" s="181">
        <v>141.51468027669367</v>
      </c>
      <c r="E23" s="181">
        <v>148.71376642814161</v>
      </c>
      <c r="F23" s="181">
        <v>156.78571482755663</v>
      </c>
      <c r="G23" s="181">
        <v>166.1446321114972</v>
      </c>
      <c r="H23" s="181">
        <v>173.34198374540117</v>
      </c>
      <c r="I23" s="181">
        <v>180.5645684792037</v>
      </c>
      <c r="J23" s="181">
        <v>188.27575940081684</v>
      </c>
      <c r="K23" s="181">
        <v>196.00105653958715</v>
      </c>
      <c r="L23" s="181">
        <v>202.02440488482577</v>
      </c>
      <c r="M23" s="181">
        <v>206.24458337782892</v>
      </c>
      <c r="N23" s="181">
        <v>210.75856552721078</v>
      </c>
      <c r="O23" s="181">
        <v>216.02616496690263</v>
      </c>
      <c r="P23" s="181">
        <v>222.40344126930094</v>
      </c>
      <c r="Q23" s="181">
        <v>225.78341535631259</v>
      </c>
      <c r="R23" s="181">
        <v>230.15468665049801</v>
      </c>
      <c r="S23" s="181">
        <v>237.50494834384429</v>
      </c>
      <c r="T23" s="181">
        <v>244.79829459603746</v>
      </c>
      <c r="U23" s="181">
        <v>251.84057839247942</v>
      </c>
      <c r="V23" s="181">
        <v>258.42536216936668</v>
      </c>
      <c r="W23" s="181">
        <v>264.3577117851201</v>
      </c>
      <c r="X23" s="181">
        <v>269.34173961289287</v>
      </c>
      <c r="Y23" s="181">
        <v>277.30215328515339</v>
      </c>
      <c r="DA23" s="190" t="s">
        <v>925</v>
      </c>
    </row>
    <row r="24" spans="1:105" ht="12" customHeight="1" x14ac:dyDescent="0.25">
      <c r="A24" s="60" t="s">
        <v>159</v>
      </c>
      <c r="B24" s="36">
        <v>12.273459932549763</v>
      </c>
      <c r="C24" s="36">
        <v>13.306713026770845</v>
      </c>
      <c r="D24" s="36">
        <v>14.296276304648003</v>
      </c>
      <c r="E24" s="36">
        <v>15.540390573429351</v>
      </c>
      <c r="F24" s="36">
        <v>16.996647893848639</v>
      </c>
      <c r="G24" s="36">
        <v>18.983580954277006</v>
      </c>
      <c r="H24" s="36">
        <v>21.107774575601301</v>
      </c>
      <c r="I24" s="36">
        <v>22.621910658550103</v>
      </c>
      <c r="J24" s="36">
        <v>24.175442394270483</v>
      </c>
      <c r="K24" s="36">
        <v>24.521655183608182</v>
      </c>
      <c r="L24" s="36">
        <v>25.898070552484043</v>
      </c>
      <c r="M24" s="36">
        <v>26.432373319370502</v>
      </c>
      <c r="N24" s="36">
        <v>27.421652729040702</v>
      </c>
      <c r="O24" s="36">
        <v>28.214953128337271</v>
      </c>
      <c r="P24" s="36">
        <v>29.12752113315786</v>
      </c>
      <c r="Q24" s="36">
        <v>30.710082439549261</v>
      </c>
      <c r="R24" s="36">
        <v>32.65312400434744</v>
      </c>
      <c r="S24" s="36">
        <v>34.158095515245918</v>
      </c>
      <c r="T24" s="36">
        <v>35.526776800597119</v>
      </c>
      <c r="U24" s="36">
        <v>36.776220652222428</v>
      </c>
      <c r="V24" s="36">
        <v>37.828088662753231</v>
      </c>
      <c r="W24" s="36">
        <v>38.631252107410774</v>
      </c>
      <c r="X24" s="36">
        <v>39.348367955724967</v>
      </c>
      <c r="Y24" s="36">
        <v>39.984717545729765</v>
      </c>
      <c r="DA24" s="89" t="s">
        <v>926</v>
      </c>
    </row>
    <row r="25" spans="1:105" ht="12" customHeight="1" x14ac:dyDescent="0.25">
      <c r="A25" s="62" t="s">
        <v>157</v>
      </c>
      <c r="B25" s="38">
        <v>435.93587167190765</v>
      </c>
      <c r="C25" s="38">
        <v>517.27953259032745</v>
      </c>
      <c r="D25" s="38">
        <v>615.46120310389369</v>
      </c>
      <c r="E25" s="38">
        <v>744.90109648773728</v>
      </c>
      <c r="F25" s="38">
        <v>899.28366530273024</v>
      </c>
      <c r="G25" s="38">
        <v>1085.3123383205827</v>
      </c>
      <c r="H25" s="38">
        <v>1303.801435101007</v>
      </c>
      <c r="I25" s="38">
        <v>1529.0824212317934</v>
      </c>
      <c r="J25" s="38">
        <v>1712.2644406485051</v>
      </c>
      <c r="K25" s="38">
        <v>1872.7279569750146</v>
      </c>
      <c r="L25" s="38">
        <v>2046.2819944864793</v>
      </c>
      <c r="M25" s="38">
        <v>2214.3219379680286</v>
      </c>
      <c r="N25" s="38">
        <v>2412.3138064364439</v>
      </c>
      <c r="O25" s="38">
        <v>2624.5137805941763</v>
      </c>
      <c r="P25" s="38">
        <v>2873.6035359668022</v>
      </c>
      <c r="Q25" s="38">
        <v>3203.5908679156319</v>
      </c>
      <c r="R25" s="38">
        <v>3382.3630118593119</v>
      </c>
      <c r="S25" s="38">
        <v>3564.4228518034733</v>
      </c>
      <c r="T25" s="38">
        <v>3743.8666046571579</v>
      </c>
      <c r="U25" s="38">
        <v>3916.909401330548</v>
      </c>
      <c r="V25" s="38">
        <v>4078.8787440508972</v>
      </c>
      <c r="W25" s="38">
        <v>4227.5784249555645</v>
      </c>
      <c r="X25" s="38">
        <v>4406.9117219061518</v>
      </c>
      <c r="Y25" s="38">
        <v>4653.7575293087912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3.6125615277822476</v>
      </c>
      <c r="D28" s="182">
        <v>3.7258699112776981</v>
      </c>
      <c r="E28" s="182">
        <v>4.3987185458887978</v>
      </c>
      <c r="F28" s="182">
        <v>4.9370867421743156</v>
      </c>
      <c r="G28" s="182">
        <v>5.9511261136610116</v>
      </c>
      <c r="H28" s="182">
        <v>5.8980926361023762</v>
      </c>
      <c r="I28" s="182">
        <v>6.0828433640561812</v>
      </c>
      <c r="J28" s="182">
        <v>6.5020112770405021</v>
      </c>
      <c r="K28" s="182">
        <v>3.4892905353355985</v>
      </c>
      <c r="L28" s="182">
        <v>5.9374415969797241</v>
      </c>
      <c r="M28" s="182">
        <v>6.1190709773052987</v>
      </c>
      <c r="N28" s="182">
        <v>5.5638091204422011</v>
      </c>
      <c r="O28" s="182">
        <v>5.6904639810975794</v>
      </c>
      <c r="P28" s="182">
        <v>6.6802025364780775</v>
      </c>
      <c r="Q28" s="182">
        <v>7.5754078803065568</v>
      </c>
      <c r="R28" s="182">
        <v>6.3528662805378104</v>
      </c>
      <c r="S28" s="182">
        <v>7.0183776330085124</v>
      </c>
      <c r="T28" s="182">
        <v>6.9492150879800221</v>
      </c>
      <c r="U28" s="182">
        <v>7.2381511994756664</v>
      </c>
      <c r="V28" s="182">
        <v>7.1873808389508724</v>
      </c>
      <c r="W28" s="182">
        <v>7.6677652435383834</v>
      </c>
      <c r="X28" s="182">
        <v>7.2284397233301974</v>
      </c>
      <c r="Y28" s="182">
        <v>7.6806086093561987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101.63394389555879</v>
      </c>
      <c r="D29" s="182">
        <v>108.829717113931</v>
      </c>
      <c r="E29" s="182">
        <v>113.57844510464997</v>
      </c>
      <c r="F29" s="182">
        <v>125.10153927239276</v>
      </c>
      <c r="G29" s="182">
        <v>139.55510010461137</v>
      </c>
      <c r="H29" s="182">
        <v>142.00563933057799</v>
      </c>
      <c r="I29" s="182">
        <v>155.75949700236163</v>
      </c>
      <c r="J29" s="182">
        <v>143.95341372921803</v>
      </c>
      <c r="K29" s="182">
        <v>150.26704401055849</v>
      </c>
      <c r="L29" s="182">
        <v>145.04609513428079</v>
      </c>
      <c r="M29" s="182">
        <v>160.99686854445679</v>
      </c>
      <c r="N29" s="182">
        <v>185.11609608834794</v>
      </c>
      <c r="O29" s="182">
        <v>199.44206532207761</v>
      </c>
      <c r="P29" s="182">
        <v>220.56341359476789</v>
      </c>
      <c r="Q29" s="182">
        <v>234.69843790908885</v>
      </c>
      <c r="R29" s="182">
        <v>207.03074921632879</v>
      </c>
      <c r="S29" s="182">
        <v>203.50436215555396</v>
      </c>
      <c r="T29" s="182">
        <v>218.69885840808729</v>
      </c>
      <c r="U29" s="182">
        <v>240.53414569145912</v>
      </c>
      <c r="V29" s="182">
        <v>250.64802199847304</v>
      </c>
      <c r="W29" s="182">
        <v>266.04616988252496</v>
      </c>
      <c r="X29" s="182">
        <v>269.0730487258129</v>
      </c>
      <c r="Y29" s="182">
        <v>255.96021073379347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4.4162978350591118</v>
      </c>
      <c r="D30" s="182">
        <v>4.6465870987843481</v>
      </c>
      <c r="E30" s="182">
        <v>4.9022945830926901</v>
      </c>
      <c r="F30" s="182">
        <v>5.2142582198725158</v>
      </c>
      <c r="G30" s="182">
        <v>5.6567126683242037</v>
      </c>
      <c r="H30" s="182">
        <v>6.0045498687112122</v>
      </c>
      <c r="I30" s="182">
        <v>5.909571685320028</v>
      </c>
      <c r="J30" s="182">
        <v>6.301747943517416</v>
      </c>
      <c r="K30" s="182">
        <v>5.3595293301509628</v>
      </c>
      <c r="L30" s="182">
        <v>7.2399979308786975</v>
      </c>
      <c r="M30" s="182">
        <v>7.1994714061806278</v>
      </c>
      <c r="N30" s="182">
        <v>7.664158537841395</v>
      </c>
      <c r="O30" s="182">
        <v>7.4431198742931812</v>
      </c>
      <c r="P30" s="182">
        <v>8.6955394690172554</v>
      </c>
      <c r="Q30" s="182">
        <v>8.7152356218282989</v>
      </c>
      <c r="R30" s="182">
        <v>9.1880202480230437</v>
      </c>
      <c r="S30" s="182">
        <v>9.4706283556493887</v>
      </c>
      <c r="T30" s="182">
        <v>9.8114820014732231</v>
      </c>
      <c r="U30" s="182">
        <v>9.4795972458789279</v>
      </c>
      <c r="V30" s="182">
        <v>10.474202747260286</v>
      </c>
      <c r="W30" s="182">
        <v>10.07175805125037</v>
      </c>
      <c r="X30" s="182">
        <v>10.198986617704897</v>
      </c>
      <c r="Y30" s="182">
        <v>10.274966626153187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16.860139676578626</v>
      </c>
      <c r="D31" s="182">
        <v>17.627890869569853</v>
      </c>
      <c r="E31" s="182">
        <v>19.621930226890299</v>
      </c>
      <c r="F31" s="182">
        <v>20.75646956309555</v>
      </c>
      <c r="G31" s="182">
        <v>22.310627550506894</v>
      </c>
      <c r="H31" s="182">
        <v>20.421879124100997</v>
      </c>
      <c r="I31" s="182">
        <v>20.725676120152912</v>
      </c>
      <c r="J31" s="182">
        <v>21.498713925613714</v>
      </c>
      <c r="K31" s="182">
        <v>21.803243080690208</v>
      </c>
      <c r="L31" s="182">
        <v>20.397834747626689</v>
      </c>
      <c r="M31" s="182">
        <v>21.080318169581773</v>
      </c>
      <c r="N31" s="182">
        <v>22.141873018951713</v>
      </c>
      <c r="O31" s="182">
        <v>24.889529666582149</v>
      </c>
      <c r="P31" s="182">
        <v>27.133745865493864</v>
      </c>
      <c r="Q31" s="182">
        <v>25.69060163751854</v>
      </c>
      <c r="R31" s="182">
        <v>24.793150418286416</v>
      </c>
      <c r="S31" s="182">
        <v>28.075937813499195</v>
      </c>
      <c r="T31" s="182">
        <v>28.792060177806889</v>
      </c>
      <c r="U31" s="182">
        <v>28.845526877132158</v>
      </c>
      <c r="V31" s="182">
        <v>26.982618524513953</v>
      </c>
      <c r="W31" s="182">
        <v>27.012667785335196</v>
      </c>
      <c r="X31" s="182">
        <v>27.125900846724477</v>
      </c>
      <c r="Y31" s="182">
        <v>32.849943338842678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1.3828313588599119</v>
      </c>
      <c r="D32" s="41">
        <v>1.3784801006470424</v>
      </c>
      <c r="E32" s="41">
        <v>1.6767964756962837</v>
      </c>
      <c r="F32" s="41">
        <v>1.9376298947590467</v>
      </c>
      <c r="G32" s="41">
        <v>2.5224752011109466</v>
      </c>
      <c r="H32" s="41">
        <v>2.7200011096097576</v>
      </c>
      <c r="I32" s="41">
        <v>2.1769906673603678</v>
      </c>
      <c r="J32" s="41">
        <v>2.2909783249531017</v>
      </c>
      <c r="K32" s="41">
        <v>1.1666453317990957</v>
      </c>
      <c r="L32" s="41">
        <v>2.289172396378035</v>
      </c>
      <c r="M32" s="41">
        <v>1.5497736900108947</v>
      </c>
      <c r="N32" s="41">
        <v>2.1190227747068882</v>
      </c>
      <c r="O32" s="41">
        <v>2.0501754528110503</v>
      </c>
      <c r="P32" s="41">
        <v>2.3108810633759056</v>
      </c>
      <c r="Q32" s="41">
        <v>3.1382285974709383</v>
      </c>
      <c r="R32" s="41">
        <v>3.3258729236580891</v>
      </c>
      <c r="S32" s="41">
        <v>2.8834516115455209</v>
      </c>
      <c r="T32" s="41">
        <v>3.0454777610474864</v>
      </c>
      <c r="U32" s="41">
        <v>3.1870737463843568</v>
      </c>
      <c r="V32" s="41">
        <v>3.5743432116417466</v>
      </c>
      <c r="W32" s="41">
        <v>3.5231645542672965</v>
      </c>
      <c r="X32" s="41">
        <v>2.8941065156745651</v>
      </c>
      <c r="Y32" s="41">
        <v>2.9273279149578997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168.53083525280135</v>
      </c>
      <c r="D33" s="42">
        <v>185.3688448479478</v>
      </c>
      <c r="E33" s="42">
        <v>216.62706771822513</v>
      </c>
      <c r="F33" s="42">
        <v>241.56974314937452</v>
      </c>
      <c r="G33" s="42">
        <v>273.21584735223405</v>
      </c>
      <c r="H33" s="42">
        <v>387.01993203322559</v>
      </c>
      <c r="I33" s="42">
        <v>410.64983097873437</v>
      </c>
      <c r="J33" s="42">
        <v>399.80908713493682</v>
      </c>
      <c r="K33" s="42">
        <v>402.03325947588405</v>
      </c>
      <c r="L33" s="42">
        <v>446.76988486369873</v>
      </c>
      <c r="M33" s="42">
        <v>555.05987551477483</v>
      </c>
      <c r="N33" s="42">
        <v>608.64169944714968</v>
      </c>
      <c r="O33" s="42">
        <v>612.00906129266923</v>
      </c>
      <c r="P33" s="42">
        <v>651.12301484851014</v>
      </c>
      <c r="Q33" s="42">
        <v>776.75721681252844</v>
      </c>
      <c r="R33" s="42">
        <v>733.83201945845485</v>
      </c>
      <c r="S33" s="42">
        <v>790.70153939131114</v>
      </c>
      <c r="T33" s="42">
        <v>791.45281414635383</v>
      </c>
      <c r="U33" s="42">
        <v>824.1658115219002</v>
      </c>
      <c r="V33" s="42">
        <v>938.72655953287767</v>
      </c>
      <c r="W33" s="42">
        <v>882.53170036312213</v>
      </c>
      <c r="X33" s="42">
        <v>970.03483634189843</v>
      </c>
      <c r="Y33" s="42">
        <v>1038.2986215489932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2.0403221817456085</v>
      </c>
      <c r="D36" s="182">
        <v>2.0980339072154521</v>
      </c>
      <c r="E36" s="182">
        <v>2.1573780431381664</v>
      </c>
      <c r="F36" s="182">
        <v>2.2184007632135447</v>
      </c>
      <c r="G36" s="182">
        <v>2.2811495471919301</v>
      </c>
      <c r="H36" s="182">
        <v>2.3456732178166106</v>
      </c>
      <c r="I36" s="182">
        <v>2.4120219788112109</v>
      </c>
      <c r="J36" s="182">
        <v>2.4802474539414447</v>
      </c>
      <c r="K36" s="182">
        <v>2.5504027271820178</v>
      </c>
      <c r="L36" s="182">
        <v>2.6225423840193116</v>
      </c>
      <c r="M36" s="182">
        <v>2.6967225539227115</v>
      </c>
      <c r="N36" s="182">
        <v>2.7730009540169362</v>
      </c>
      <c r="O36" s="182">
        <v>2.8514369339899162</v>
      </c>
      <c r="P36" s="182">
        <v>2.9320915222707669</v>
      </c>
      <c r="Q36" s="182">
        <v>3.0150274735140101</v>
      </c>
      <c r="R36" s="182">
        <v>3.1003093174268059</v>
      </c>
      <c r="S36" s="182">
        <v>3.188003408977508</v>
      </c>
      <c r="T36" s="182">
        <v>3.2781779800241395</v>
      </c>
      <c r="U36" s="182">
        <v>3.6125615277822476</v>
      </c>
      <c r="V36" s="182">
        <v>3.7258699112776981</v>
      </c>
      <c r="W36" s="182">
        <v>4.3987185458887978</v>
      </c>
      <c r="X36" s="182">
        <v>4.9370867421743156</v>
      </c>
      <c r="Y36" s="182">
        <v>5.9511261136610187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84.537152173346726</v>
      </c>
      <c r="D37" s="182">
        <v>88.176043871894763</v>
      </c>
      <c r="E37" s="182">
        <v>91.971571232436759</v>
      </c>
      <c r="F37" s="182">
        <v>95.930476618483681</v>
      </c>
      <c r="G37" s="182">
        <v>100.05979261778486</v>
      </c>
      <c r="H37" s="182">
        <v>104.36685453499581</v>
      </c>
      <c r="I37" s="182">
        <v>108.85931342209221</v>
      </c>
      <c r="J37" s="182">
        <v>101.63394389555867</v>
      </c>
      <c r="K37" s="182">
        <v>108.82971711393088</v>
      </c>
      <c r="L37" s="182">
        <v>113.57844510465009</v>
      </c>
      <c r="M37" s="182">
        <v>125.10153927239276</v>
      </c>
      <c r="N37" s="182">
        <v>139.55510010461126</v>
      </c>
      <c r="O37" s="182">
        <v>142.00563933057788</v>
      </c>
      <c r="P37" s="182">
        <v>155.75949700236151</v>
      </c>
      <c r="Q37" s="182">
        <v>143.95341372921803</v>
      </c>
      <c r="R37" s="182">
        <v>150.26704401055849</v>
      </c>
      <c r="S37" s="182">
        <v>145.0460951342809</v>
      </c>
      <c r="T37" s="182">
        <v>160.99686854445667</v>
      </c>
      <c r="U37" s="182">
        <v>185.11609608834806</v>
      </c>
      <c r="V37" s="182">
        <v>199.4420653220775</v>
      </c>
      <c r="W37" s="182">
        <v>220.56341359476778</v>
      </c>
      <c r="X37" s="182">
        <v>234.69843790908885</v>
      </c>
      <c r="Y37" s="182">
        <v>207.03074921632879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3.8390054548267862</v>
      </c>
      <c r="D38" s="182">
        <v>3.9387364901891075</v>
      </c>
      <c r="E38" s="182">
        <v>4.0410583735018832</v>
      </c>
      <c r="F38" s="182">
        <v>4.1460384107253745</v>
      </c>
      <c r="G38" s="182">
        <v>4.253745656317772</v>
      </c>
      <c r="H38" s="182">
        <v>4.3642509586582925</v>
      </c>
      <c r="I38" s="182">
        <v>4.4162978350591118</v>
      </c>
      <c r="J38" s="182">
        <v>4.6465870987843445</v>
      </c>
      <c r="K38" s="182">
        <v>4.9022945830926901</v>
      </c>
      <c r="L38" s="182">
        <v>5.2142582198725194</v>
      </c>
      <c r="M38" s="182">
        <v>5.6567126683242037</v>
      </c>
      <c r="N38" s="182">
        <v>6.0045498687112158</v>
      </c>
      <c r="O38" s="182">
        <v>5.9095716853200244</v>
      </c>
      <c r="P38" s="182">
        <v>6.3017479435174195</v>
      </c>
      <c r="Q38" s="182">
        <v>5.3595293301509628</v>
      </c>
      <c r="R38" s="182">
        <v>7.2399979308786939</v>
      </c>
      <c r="S38" s="182">
        <v>7.1994714061806278</v>
      </c>
      <c r="T38" s="182">
        <v>7.664158537841395</v>
      </c>
      <c r="U38" s="182">
        <v>7.4431198742931812</v>
      </c>
      <c r="V38" s="182">
        <v>8.6955394690172625</v>
      </c>
      <c r="W38" s="182">
        <v>8.7152356218282989</v>
      </c>
      <c r="X38" s="182">
        <v>9.1880202480230508</v>
      </c>
      <c r="Y38" s="182">
        <v>9.4706283556493887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11.915573445241023</v>
      </c>
      <c r="D39" s="182">
        <v>12.166565290981282</v>
      </c>
      <c r="E39" s="182">
        <v>12.422844075442356</v>
      </c>
      <c r="F39" s="182">
        <v>12.684521163680529</v>
      </c>
      <c r="G39" s="182">
        <v>12.951710266566323</v>
      </c>
      <c r="H39" s="182">
        <v>13.224527490197033</v>
      </c>
      <c r="I39" s="182">
        <v>13.503091386350377</v>
      </c>
      <c r="J39" s="182">
        <v>13.787523004000576</v>
      </c>
      <c r="K39" s="182">
        <v>14.077945941919893</v>
      </c>
      <c r="L39" s="182">
        <v>14.374486402388072</v>
      </c>
      <c r="M39" s="182">
        <v>16.860139676578626</v>
      </c>
      <c r="N39" s="182">
        <v>17.627890869569853</v>
      </c>
      <c r="O39" s="182">
        <v>19.621930226890299</v>
      </c>
      <c r="P39" s="182">
        <v>20.75646956309555</v>
      </c>
      <c r="Q39" s="182">
        <v>22.310627550506894</v>
      </c>
      <c r="R39" s="182">
        <v>20.421879124100997</v>
      </c>
      <c r="S39" s="182">
        <v>20.725676120152883</v>
      </c>
      <c r="T39" s="182">
        <v>21.498713925613686</v>
      </c>
      <c r="U39" s="182">
        <v>21.803243080690208</v>
      </c>
      <c r="V39" s="182">
        <v>20.397834747626689</v>
      </c>
      <c r="W39" s="182">
        <v>21.080318169581744</v>
      </c>
      <c r="X39" s="182">
        <v>22.141873018951742</v>
      </c>
      <c r="Y39" s="182">
        <v>24.889529666582121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0.34957826463882924</v>
      </c>
      <c r="D40" s="41">
        <v>0.38891682276988426</v>
      </c>
      <c r="E40" s="41">
        <v>0.43268220691493653</v>
      </c>
      <c r="F40" s="41">
        <v>0.48137257433975833</v>
      </c>
      <c r="G40" s="41">
        <v>0.53554214068257977</v>
      </c>
      <c r="H40" s="41">
        <v>0.59580748828546248</v>
      </c>
      <c r="I40" s="41">
        <v>0.66285458441156564</v>
      </c>
      <c r="J40" s="41">
        <v>0.73744658923272155</v>
      </c>
      <c r="K40" s="41">
        <v>0.82043254246139696</v>
      </c>
      <c r="L40" s="41">
        <v>0.91275702750217391</v>
      </c>
      <c r="M40" s="41">
        <v>1.0154709231244361</v>
      </c>
      <c r="N40" s="41">
        <v>1.1297433650366884</v>
      </c>
      <c r="O40" s="41">
        <v>1.2568750535144808</v>
      </c>
      <c r="P40" s="41">
        <v>1.398313058555317</v>
      </c>
      <c r="Q40" s="41">
        <v>1.5556672910795371</v>
      </c>
      <c r="R40" s="41">
        <v>1.3828313588599102</v>
      </c>
      <c r="S40" s="41">
        <v>1.3784801006470389</v>
      </c>
      <c r="T40" s="41">
        <v>1.6767964756962854</v>
      </c>
      <c r="U40" s="41">
        <v>1.9376298947590485</v>
      </c>
      <c r="V40" s="41">
        <v>2.522475201110943</v>
      </c>
      <c r="W40" s="41">
        <v>2.7200011096097541</v>
      </c>
      <c r="X40" s="41">
        <v>2.1769906673603714</v>
      </c>
      <c r="Y40" s="41">
        <v>2.2909783249531017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87.187174334381552</v>
      </c>
      <c r="D41" s="42">
        <v>87.187174334381552</v>
      </c>
      <c r="E41" s="42">
        <v>87.187174334381552</v>
      </c>
      <c r="F41" s="42">
        <v>87.187174334381552</v>
      </c>
      <c r="G41" s="42">
        <v>87.187174334381552</v>
      </c>
      <c r="H41" s="42">
        <v>168.53083525280135</v>
      </c>
      <c r="I41" s="42">
        <v>185.36884484794791</v>
      </c>
      <c r="J41" s="42">
        <v>216.62706771822513</v>
      </c>
      <c r="K41" s="42">
        <v>241.56974314937429</v>
      </c>
      <c r="L41" s="42">
        <v>273.21584735223428</v>
      </c>
      <c r="M41" s="42">
        <v>387.01993203322581</v>
      </c>
      <c r="N41" s="42">
        <v>410.64983097873437</v>
      </c>
      <c r="O41" s="42">
        <v>399.80908713493682</v>
      </c>
      <c r="P41" s="42">
        <v>402.03325947588428</v>
      </c>
      <c r="Q41" s="42">
        <v>446.76988486369873</v>
      </c>
      <c r="R41" s="42">
        <v>555.05987551477483</v>
      </c>
      <c r="S41" s="42">
        <v>608.64169944715013</v>
      </c>
      <c r="T41" s="42">
        <v>612.00906129266878</v>
      </c>
      <c r="U41" s="42">
        <v>651.12301484850968</v>
      </c>
      <c r="V41" s="42">
        <v>776.75721681252844</v>
      </c>
      <c r="W41" s="42">
        <v>733.83201945845485</v>
      </c>
      <c r="X41" s="42">
        <v>790.7015393913116</v>
      </c>
      <c r="Y41" s="42">
        <v>791.45281414635338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8759.9999999999964</v>
      </c>
      <c r="C44" s="184">
        <v>8760</v>
      </c>
      <c r="D44" s="184">
        <v>8759.9999999999964</v>
      </c>
      <c r="E44" s="184">
        <v>8759.9999999999982</v>
      </c>
      <c r="F44" s="184">
        <v>8759.9999999999982</v>
      </c>
      <c r="G44" s="184">
        <v>8760</v>
      </c>
      <c r="H44" s="184">
        <v>8760</v>
      </c>
      <c r="I44" s="184">
        <v>8760.0000000000073</v>
      </c>
      <c r="J44" s="184">
        <v>8760</v>
      </c>
      <c r="K44" s="184">
        <v>8760</v>
      </c>
      <c r="L44" s="184">
        <v>8760</v>
      </c>
      <c r="M44" s="184">
        <v>8760.0000000000018</v>
      </c>
      <c r="N44" s="184">
        <v>8760.0000000000018</v>
      </c>
      <c r="O44" s="184">
        <v>8760</v>
      </c>
      <c r="P44" s="184">
        <v>8760</v>
      </c>
      <c r="Q44" s="184">
        <v>8759.9999999999964</v>
      </c>
      <c r="R44" s="184">
        <v>8759.9999999999927</v>
      </c>
      <c r="S44" s="184">
        <v>8759.9999999999945</v>
      </c>
      <c r="T44" s="184">
        <v>8759.9999999999964</v>
      </c>
      <c r="U44" s="184">
        <v>8759.9999999999982</v>
      </c>
      <c r="V44" s="184">
        <v>8759.9999999999964</v>
      </c>
      <c r="W44" s="184">
        <v>8759.9999999999945</v>
      </c>
      <c r="X44" s="184">
        <v>8759.9999999999945</v>
      </c>
      <c r="Y44" s="184">
        <v>8759.9999999999945</v>
      </c>
      <c r="DA44" s="193" t="s">
        <v>940</v>
      </c>
    </row>
    <row r="45" spans="1:105" ht="12" customHeight="1" x14ac:dyDescent="0.25">
      <c r="A45" s="131" t="s">
        <v>6</v>
      </c>
      <c r="B45" s="184">
        <v>3920.31498731084</v>
      </c>
      <c r="C45" s="184">
        <v>3925.3876889901762</v>
      </c>
      <c r="D45" s="184">
        <v>3929.9142867215628</v>
      </c>
      <c r="E45" s="184">
        <v>3934.9493508340138</v>
      </c>
      <c r="F45" s="184">
        <v>3939.372587300551</v>
      </c>
      <c r="G45" s="184">
        <v>3945.8496977790687</v>
      </c>
      <c r="H45" s="184">
        <v>3951.2869282182332</v>
      </c>
      <c r="I45" s="184">
        <v>3951.4298416994079</v>
      </c>
      <c r="J45" s="184">
        <v>3946.8077969581359</v>
      </c>
      <c r="K45" s="184">
        <v>3942.6491649080281</v>
      </c>
      <c r="L45" s="184">
        <v>3939.1743770239491</v>
      </c>
      <c r="M45" s="184">
        <v>3928.6611034716898</v>
      </c>
      <c r="N45" s="184">
        <v>3908.8495327461642</v>
      </c>
      <c r="O45" s="184">
        <v>3886.1190661844689</v>
      </c>
      <c r="P45" s="184">
        <v>3866.7473338478148</v>
      </c>
      <c r="Q45" s="184">
        <v>3837.0766001597026</v>
      </c>
      <c r="R45" s="184">
        <v>3869.4068903205612</v>
      </c>
      <c r="S45" s="184">
        <v>3914.4499450649505</v>
      </c>
      <c r="T45" s="184">
        <v>3892.4171941504756</v>
      </c>
      <c r="U45" s="184">
        <v>3846.8315131562731</v>
      </c>
      <c r="V45" s="184">
        <v>3837.9469016563025</v>
      </c>
      <c r="W45" s="184">
        <v>3849.0746400013081</v>
      </c>
      <c r="X45" s="184">
        <v>3824.1671760011773</v>
      </c>
      <c r="Y45" s="184">
        <v>3799.2597120010464</v>
      </c>
      <c r="DA45" s="193" t="s">
        <v>941</v>
      </c>
    </row>
    <row r="46" spans="1:105" ht="12" customHeight="1" x14ac:dyDescent="0.25">
      <c r="A46" s="131" t="s">
        <v>5</v>
      </c>
      <c r="B46" s="184">
        <v>2231.4288832676775</v>
      </c>
      <c r="C46" s="184">
        <v>2248.9710048370189</v>
      </c>
      <c r="D46" s="184">
        <v>2263.6673378463333</v>
      </c>
      <c r="E46" s="184">
        <v>2279.4630985994045</v>
      </c>
      <c r="F46" s="184">
        <v>2298.8030975330471</v>
      </c>
      <c r="G46" s="184">
        <v>2321.7812623899313</v>
      </c>
      <c r="H46" s="184">
        <v>2341.0527018259704</v>
      </c>
      <c r="I46" s="184">
        <v>2360.3307149627526</v>
      </c>
      <c r="J46" s="184">
        <v>2370.4422169553563</v>
      </c>
      <c r="K46" s="184">
        <v>2378.3696706250489</v>
      </c>
      <c r="L46" s="184">
        <v>2386.1545678337884</v>
      </c>
      <c r="M46" s="184">
        <v>2397.3897830555147</v>
      </c>
      <c r="N46" s="184">
        <v>2406.5592724606099</v>
      </c>
      <c r="O46" s="184">
        <v>2416.3125138167734</v>
      </c>
      <c r="P46" s="184">
        <v>2425.0893943096544</v>
      </c>
      <c r="Q46" s="184">
        <v>2437.3921390377877</v>
      </c>
      <c r="R46" s="184">
        <v>2468.3244710470094</v>
      </c>
      <c r="S46" s="184">
        <v>2512.8242666435153</v>
      </c>
      <c r="T46" s="184">
        <v>2502.0493972705535</v>
      </c>
      <c r="U46" s="184">
        <v>2471.893360363169</v>
      </c>
      <c r="V46" s="184">
        <v>2353.4974279006365</v>
      </c>
      <c r="W46" s="184">
        <v>2338.0988393639727</v>
      </c>
      <c r="X46" s="184">
        <v>2379.956365102973</v>
      </c>
      <c r="Y46" s="184">
        <v>2400.8851279724731</v>
      </c>
      <c r="DA46" s="193" t="s">
        <v>942</v>
      </c>
    </row>
    <row r="47" spans="1:105" ht="12" customHeight="1" x14ac:dyDescent="0.25">
      <c r="A47" s="131" t="s">
        <v>171</v>
      </c>
      <c r="B47" s="184">
        <v>8760</v>
      </c>
      <c r="C47" s="184">
        <v>8760</v>
      </c>
      <c r="D47" s="184">
        <v>8760</v>
      </c>
      <c r="E47" s="184">
        <v>8759.9999999999982</v>
      </c>
      <c r="F47" s="184">
        <v>8759.9999999999982</v>
      </c>
      <c r="G47" s="184">
        <v>8760</v>
      </c>
      <c r="H47" s="184">
        <v>8760.0000000000036</v>
      </c>
      <c r="I47" s="184">
        <v>8759.9999999999982</v>
      </c>
      <c r="J47" s="184">
        <v>8760.0000000000018</v>
      </c>
      <c r="K47" s="184">
        <v>8760.0000000000055</v>
      </c>
      <c r="L47" s="184">
        <v>8759.9999999999982</v>
      </c>
      <c r="M47" s="184">
        <v>8760</v>
      </c>
      <c r="N47" s="184">
        <v>8759.9999999999982</v>
      </c>
      <c r="O47" s="184">
        <v>8760</v>
      </c>
      <c r="P47" s="184">
        <v>8760</v>
      </c>
      <c r="Q47" s="184">
        <v>8760</v>
      </c>
      <c r="R47" s="184">
        <v>8759.9999999999945</v>
      </c>
      <c r="S47" s="184">
        <v>8759.9999999999982</v>
      </c>
      <c r="T47" s="184">
        <v>8759.9999999999982</v>
      </c>
      <c r="U47" s="184">
        <v>8760</v>
      </c>
      <c r="V47" s="184">
        <v>8760</v>
      </c>
      <c r="W47" s="184">
        <v>8760</v>
      </c>
      <c r="X47" s="184">
        <v>8760</v>
      </c>
      <c r="Y47" s="184">
        <v>8760</v>
      </c>
      <c r="DA47" s="193" t="s">
        <v>943</v>
      </c>
    </row>
    <row r="48" spans="1:105" ht="12" customHeight="1" x14ac:dyDescent="0.25">
      <c r="A48" s="60" t="s">
        <v>4</v>
      </c>
      <c r="B48" s="44">
        <v>770.62974369657252</v>
      </c>
      <c r="C48" s="44">
        <v>774.31095111510501</v>
      </c>
      <c r="D48" s="44">
        <v>777.68698272284189</v>
      </c>
      <c r="E48" s="44">
        <v>780.80562777103682</v>
      </c>
      <c r="F48" s="44">
        <v>783.70419070615196</v>
      </c>
      <c r="G48" s="44">
        <v>786.4123592543167</v>
      </c>
      <c r="H48" s="44">
        <v>788.95415267189924</v>
      </c>
      <c r="I48" s="44">
        <v>791.34928329196862</v>
      </c>
      <c r="J48" s="44">
        <v>793.61413162018516</v>
      </c>
      <c r="K48" s="44">
        <v>795.76245970795242</v>
      </c>
      <c r="L48" s="44">
        <v>797.80594291793284</v>
      </c>
      <c r="M48" s="44">
        <v>799.10450134403493</v>
      </c>
      <c r="N48" s="44">
        <v>800.34460772155705</v>
      </c>
      <c r="O48" s="44">
        <v>801.53137768728152</v>
      </c>
      <c r="P48" s="44">
        <v>802.66928018726378</v>
      </c>
      <c r="Q48" s="44">
        <v>803.76224233211121</v>
      </c>
      <c r="R48" s="44">
        <v>814.27437081738162</v>
      </c>
      <c r="S48" s="44">
        <v>824.99375346964393</v>
      </c>
      <c r="T48" s="44">
        <v>824.13291352162526</v>
      </c>
      <c r="U48" s="44">
        <v>816.10935819778479</v>
      </c>
      <c r="V48" s="44">
        <v>777.02028178187106</v>
      </c>
      <c r="W48" s="44">
        <v>771.93635202611404</v>
      </c>
      <c r="X48" s="44">
        <v>787.45686607047128</v>
      </c>
      <c r="Y48" s="44">
        <v>795.2171230926499</v>
      </c>
      <c r="DA48" s="95" t="s">
        <v>944</v>
      </c>
    </row>
    <row r="49" spans="1:105" ht="12" customHeight="1" x14ac:dyDescent="0.25">
      <c r="A49" s="62" t="s">
        <v>3</v>
      </c>
      <c r="B49" s="185">
        <v>2416.3148020323893</v>
      </c>
      <c r="C49" s="185">
        <v>2472.403204392494</v>
      </c>
      <c r="D49" s="185">
        <v>2516.2017794179001</v>
      </c>
      <c r="E49" s="185">
        <v>2528.6087767371337</v>
      </c>
      <c r="F49" s="185">
        <v>2528.9334757618803</v>
      </c>
      <c r="G49" s="185">
        <v>2511.779042948403</v>
      </c>
      <c r="H49" s="185">
        <v>2493.512365044849</v>
      </c>
      <c r="I49" s="185">
        <v>2484.9102542702572</v>
      </c>
      <c r="J49" s="185">
        <v>2498.17042430735</v>
      </c>
      <c r="K49" s="185">
        <v>2519.1410242770035</v>
      </c>
      <c r="L49" s="185">
        <v>2554.3184073912562</v>
      </c>
      <c r="M49" s="185">
        <v>2588.0700914335657</v>
      </c>
      <c r="N49" s="185">
        <v>2601.6811407566706</v>
      </c>
      <c r="O49" s="185">
        <v>2605.6868901349048</v>
      </c>
      <c r="P49" s="185">
        <v>2596.8334996641224</v>
      </c>
      <c r="Q49" s="185">
        <v>2570.8653157697381</v>
      </c>
      <c r="R49" s="185">
        <v>2597.5128943682926</v>
      </c>
      <c r="S49" s="185">
        <v>2629.0986155811984</v>
      </c>
      <c r="T49" s="185">
        <v>2632.7730051252584</v>
      </c>
      <c r="U49" s="185">
        <v>2630.0245159956453</v>
      </c>
      <c r="V49" s="185">
        <v>2578.1940330436341</v>
      </c>
      <c r="W49" s="185">
        <v>2570.8552165846486</v>
      </c>
      <c r="X49" s="185">
        <v>2588.0501529672683</v>
      </c>
      <c r="Y49" s="185">
        <v>2580.9859803003574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0.74311594640473122</v>
      </c>
      <c r="C52" s="180">
        <v>0.7371457346740099</v>
      </c>
      <c r="D52" s="180">
        <v>0.73072854726843584</v>
      </c>
      <c r="E52" s="180">
        <v>0.7231970891424041</v>
      </c>
      <c r="F52" s="180">
        <v>0.71470115912122278</v>
      </c>
      <c r="G52" s="180">
        <v>0.7048503699125338</v>
      </c>
      <c r="H52" s="180">
        <v>0.69522959182566879</v>
      </c>
      <c r="I52" s="180">
        <v>0.68549164107723504</v>
      </c>
      <c r="J52" s="180">
        <v>0.67536268591276172</v>
      </c>
      <c r="K52" s="180">
        <v>0.66865726470650622</v>
      </c>
      <c r="L52" s="180">
        <v>0.65872957371837226</v>
      </c>
      <c r="M52" s="180">
        <v>0.64846618133258171</v>
      </c>
      <c r="N52" s="180">
        <v>0.6386733067285757</v>
      </c>
      <c r="O52" s="180">
        <v>0.62836432690794586</v>
      </c>
      <c r="P52" s="180">
        <v>0.61649646961489979</v>
      </c>
      <c r="Q52" s="180">
        <v>0.60338492582914727</v>
      </c>
      <c r="R52" s="180">
        <v>0.59223200508446394</v>
      </c>
      <c r="S52" s="180">
        <v>0.58081127878293104</v>
      </c>
      <c r="T52" s="180">
        <v>0.56983270650843043</v>
      </c>
      <c r="U52" s="180">
        <v>0.5613152110175148</v>
      </c>
      <c r="V52" s="180">
        <v>0.55330803257237948</v>
      </c>
      <c r="W52" s="180">
        <v>0.54497253665436995</v>
      </c>
      <c r="X52" s="180">
        <v>0.53703028813801901</v>
      </c>
      <c r="Y52" s="180">
        <v>0.52854406819403144</v>
      </c>
      <c r="DA52" s="189" t="s">
        <v>946</v>
      </c>
    </row>
    <row r="53" spans="1:105" ht="12" customHeight="1" x14ac:dyDescent="0.25">
      <c r="A53" s="131" t="s">
        <v>100</v>
      </c>
      <c r="B53" s="180">
        <v>200.78114920029577</v>
      </c>
      <c r="C53" s="180">
        <v>198.77099965090386</v>
      </c>
      <c r="D53" s="180">
        <v>196.41584305581083</v>
      </c>
      <c r="E53" s="180">
        <v>193.7272990278928</v>
      </c>
      <c r="F53" s="180">
        <v>190.53901593040663</v>
      </c>
      <c r="G53" s="180">
        <v>186.87933002718063</v>
      </c>
      <c r="H53" s="180">
        <v>182.87622366456134</v>
      </c>
      <c r="I53" s="180">
        <v>178.41413292565372</v>
      </c>
      <c r="J53" s="180">
        <v>175.70691227315254</v>
      </c>
      <c r="K53" s="180">
        <v>172.90280676523392</v>
      </c>
      <c r="L53" s="180">
        <v>170.06331959902752</v>
      </c>
      <c r="M53" s="180">
        <v>166.83953251227848</v>
      </c>
      <c r="N53" s="180">
        <v>162.88122363378949</v>
      </c>
      <c r="O53" s="180">
        <v>158.46026475260265</v>
      </c>
      <c r="P53" s="180">
        <v>153.20163555201327</v>
      </c>
      <c r="Q53" s="180">
        <v>147.2992580596206</v>
      </c>
      <c r="R53" s="180">
        <v>141.46291562240413</v>
      </c>
      <c r="S53" s="180">
        <v>135.76889199329096</v>
      </c>
      <c r="T53" s="180">
        <v>129.65100763230694</v>
      </c>
      <c r="U53" s="180">
        <v>123.05326694885754</v>
      </c>
      <c r="V53" s="180">
        <v>116.39434948301195</v>
      </c>
      <c r="W53" s="180">
        <v>110.17738527028818</v>
      </c>
      <c r="X53" s="180">
        <v>104.84328339057026</v>
      </c>
      <c r="Y53" s="180">
        <v>100.80683847542738</v>
      </c>
      <c r="DA53" s="189" t="s">
        <v>947</v>
      </c>
    </row>
    <row r="54" spans="1:105" ht="12" customHeight="1" x14ac:dyDescent="0.25">
      <c r="A54" s="131" t="s">
        <v>140</v>
      </c>
      <c r="B54" s="180">
        <v>43.768884326508818</v>
      </c>
      <c r="C54" s="180">
        <v>43.315323144816531</v>
      </c>
      <c r="D54" s="180">
        <v>42.612344998794867</v>
      </c>
      <c r="E54" s="180">
        <v>41.728297076714945</v>
      </c>
      <c r="F54" s="180">
        <v>40.734807778317226</v>
      </c>
      <c r="G54" s="180">
        <v>39.559004394969477</v>
      </c>
      <c r="H54" s="180">
        <v>38.222617028255286</v>
      </c>
      <c r="I54" s="180">
        <v>37.139390410270778</v>
      </c>
      <c r="J54" s="180">
        <v>36.106001998551292</v>
      </c>
      <c r="K54" s="180">
        <v>35.168664110214316</v>
      </c>
      <c r="L54" s="180">
        <v>33.985603810334993</v>
      </c>
      <c r="M54" s="180">
        <v>32.835041767472092</v>
      </c>
      <c r="N54" s="180">
        <v>31.578308013495381</v>
      </c>
      <c r="O54" s="180">
        <v>30.371552018491613</v>
      </c>
      <c r="P54" s="180">
        <v>29.00170871235111</v>
      </c>
      <c r="Q54" s="180">
        <v>27.676321624343</v>
      </c>
      <c r="R54" s="180">
        <v>26.058211704806187</v>
      </c>
      <c r="S54" s="180">
        <v>24.456222180606332</v>
      </c>
      <c r="T54" s="180">
        <v>22.798447388007137</v>
      </c>
      <c r="U54" s="180">
        <v>21.243819074312984</v>
      </c>
      <c r="V54" s="180">
        <v>19.574683783061172</v>
      </c>
      <c r="W54" s="180">
        <v>18.145408358924751</v>
      </c>
      <c r="X54" s="180">
        <v>16.907928711838892</v>
      </c>
      <c r="Y54" s="180">
        <v>15.754465201826861</v>
      </c>
      <c r="DA54" s="189" t="s">
        <v>948</v>
      </c>
    </row>
    <row r="55" spans="1:105" ht="12" customHeight="1" x14ac:dyDescent="0.25">
      <c r="A55" s="131" t="s">
        <v>173</v>
      </c>
      <c r="B55" s="180">
        <v>689.44360151531816</v>
      </c>
      <c r="C55" s="180">
        <v>681.50934391994906</v>
      </c>
      <c r="D55" s="180">
        <v>671.35460816648572</v>
      </c>
      <c r="E55" s="180">
        <v>659.36068369509019</v>
      </c>
      <c r="F55" s="180">
        <v>647.15188202407489</v>
      </c>
      <c r="G55" s="180">
        <v>634.65271875147846</v>
      </c>
      <c r="H55" s="180">
        <v>622.86279461987158</v>
      </c>
      <c r="I55" s="180">
        <v>611.09659156305634</v>
      </c>
      <c r="J55" s="180">
        <v>599.2391240410517</v>
      </c>
      <c r="K55" s="180">
        <v>587.41499457684381</v>
      </c>
      <c r="L55" s="180">
        <v>575.04013127167639</v>
      </c>
      <c r="M55" s="180">
        <v>564.98149357076954</v>
      </c>
      <c r="N55" s="180">
        <v>555.50794427636333</v>
      </c>
      <c r="O55" s="180">
        <v>545.53771482471188</v>
      </c>
      <c r="P55" s="180">
        <v>534.06243938809234</v>
      </c>
      <c r="Q55" s="180">
        <v>523.3069472539662</v>
      </c>
      <c r="R55" s="180">
        <v>513.5539808553865</v>
      </c>
      <c r="S55" s="180">
        <v>503.16551610268777</v>
      </c>
      <c r="T55" s="180">
        <v>492.66961221864875</v>
      </c>
      <c r="U55" s="180">
        <v>482.33993351244874</v>
      </c>
      <c r="V55" s="180">
        <v>473.52000969091324</v>
      </c>
      <c r="W55" s="180">
        <v>465.63470472959085</v>
      </c>
      <c r="X55" s="180">
        <v>457.78028935569193</v>
      </c>
      <c r="Y55" s="180">
        <v>448.85525943081353</v>
      </c>
      <c r="DA55" s="189" t="s">
        <v>949</v>
      </c>
    </row>
    <row r="56" spans="1:105" ht="12" customHeight="1" x14ac:dyDescent="0.25">
      <c r="A56" s="60" t="s">
        <v>99</v>
      </c>
      <c r="B56" s="55">
        <v>50.876370246308866</v>
      </c>
      <c r="C56" s="55">
        <v>50.538824210201625</v>
      </c>
      <c r="D56" s="55">
        <v>50.165411971258443</v>
      </c>
      <c r="E56" s="55">
        <v>49.681196201596556</v>
      </c>
      <c r="F56" s="55">
        <v>49.138689761167349</v>
      </c>
      <c r="G56" s="55">
        <v>48.454363087381275</v>
      </c>
      <c r="H56" s="55">
        <v>47.738706725436195</v>
      </c>
      <c r="I56" s="55">
        <v>47.151775914736135</v>
      </c>
      <c r="J56" s="55">
        <v>46.520290285933079</v>
      </c>
      <c r="K56" s="55">
        <v>46.109948578181303</v>
      </c>
      <c r="L56" s="55">
        <v>45.411277527268226</v>
      </c>
      <c r="M56" s="55">
        <v>44.851726928439888</v>
      </c>
      <c r="N56" s="55">
        <v>44.115676217916125</v>
      </c>
      <c r="O56" s="55">
        <v>43.347324065985688</v>
      </c>
      <c r="P56" s="55">
        <v>42.428447896249594</v>
      </c>
      <c r="Q56" s="55">
        <v>41.240480524554734</v>
      </c>
      <c r="R56" s="55">
        <v>40.289109233033592</v>
      </c>
      <c r="S56" s="55">
        <v>39.499839837356454</v>
      </c>
      <c r="T56" s="55">
        <v>38.689154259056309</v>
      </c>
      <c r="U56" s="55">
        <v>37.858688671604909</v>
      </c>
      <c r="V56" s="55">
        <v>36.9294680239515</v>
      </c>
      <c r="W56" s="55">
        <v>36.048085424978339</v>
      </c>
      <c r="X56" s="55">
        <v>35.385086334010417</v>
      </c>
      <c r="Y56" s="55">
        <v>34.749283813903965</v>
      </c>
      <c r="DA56" s="101" t="s">
        <v>950</v>
      </c>
    </row>
    <row r="57" spans="1:105" ht="12" customHeight="1" x14ac:dyDescent="0.25">
      <c r="A57" s="62" t="s">
        <v>98</v>
      </c>
      <c r="B57" s="63">
        <v>388.50261303913589</v>
      </c>
      <c r="C57" s="63">
        <v>376.54232229049319</v>
      </c>
      <c r="D57" s="63">
        <v>362.97527588980677</v>
      </c>
      <c r="E57" s="63">
        <v>347.70411489248346</v>
      </c>
      <c r="F57" s="63">
        <v>331.74743385716476</v>
      </c>
      <c r="G57" s="63">
        <v>316.94285466861612</v>
      </c>
      <c r="H57" s="63">
        <v>299.65290943424003</v>
      </c>
      <c r="I57" s="63">
        <v>283.95897243979914</v>
      </c>
      <c r="J57" s="63">
        <v>269.04965472000788</v>
      </c>
      <c r="K57" s="63">
        <v>254.52042514041912</v>
      </c>
      <c r="L57" s="63">
        <v>238.24923465313429</v>
      </c>
      <c r="M57" s="63">
        <v>220.04465540245027</v>
      </c>
      <c r="N57" s="63">
        <v>204.41043250458543</v>
      </c>
      <c r="O57" s="63">
        <v>192.77061795117629</v>
      </c>
      <c r="P57" s="63">
        <v>184.21489047945914</v>
      </c>
      <c r="Q57" s="63">
        <v>178.38159136185368</v>
      </c>
      <c r="R57" s="63">
        <v>173.89511761341282</v>
      </c>
      <c r="S57" s="63">
        <v>169.69151226021484</v>
      </c>
      <c r="T57" s="63">
        <v>165.97926840148602</v>
      </c>
      <c r="U57" s="63">
        <v>162.38185953725747</v>
      </c>
      <c r="V57" s="63">
        <v>158.0630379749511</v>
      </c>
      <c r="W57" s="63">
        <v>154.37420510058607</v>
      </c>
      <c r="X57" s="63">
        <v>150.84023373760868</v>
      </c>
      <c r="Y57" s="63">
        <v>147.64813996215685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0.66277655691948456</v>
      </c>
      <c r="D60" s="180">
        <v>0.65397581013212791</v>
      </c>
      <c r="E60" s="180">
        <v>0.64694405949199651</v>
      </c>
      <c r="F60" s="180">
        <v>0.63715521414970711</v>
      </c>
      <c r="G60" s="180">
        <v>0.62814482895905455</v>
      </c>
      <c r="H60" s="180">
        <v>0.61824550308197512</v>
      </c>
      <c r="I60" s="180">
        <v>0.60840839778982392</v>
      </c>
      <c r="J60" s="180">
        <v>0.59824486210793693</v>
      </c>
      <c r="K60" s="180">
        <v>0.5883378256305698</v>
      </c>
      <c r="L60" s="180">
        <v>0.57719540208170783</v>
      </c>
      <c r="M60" s="180">
        <v>0.56544011218703927</v>
      </c>
      <c r="N60" s="180">
        <v>0.55380530957412488</v>
      </c>
      <c r="O60" s="180">
        <v>0.53987924085005101</v>
      </c>
      <c r="P60" s="180">
        <v>0.52386747428542646</v>
      </c>
      <c r="Q60" s="180">
        <v>0.50812380975444127</v>
      </c>
      <c r="R60" s="180">
        <v>0.50482642423616408</v>
      </c>
      <c r="S60" s="180">
        <v>0.49997386171152541</v>
      </c>
      <c r="T60" s="180">
        <v>0.49546791129827922</v>
      </c>
      <c r="U60" s="180">
        <v>0.49135597405212683</v>
      </c>
      <c r="V60" s="180">
        <v>0.48728022137366983</v>
      </c>
      <c r="W60" s="180">
        <v>0.48435654004542783</v>
      </c>
      <c r="X60" s="180">
        <v>0.48143285871718577</v>
      </c>
      <c r="Y60" s="180">
        <v>0.47850917738894377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187.11436370089666</v>
      </c>
      <c r="D61" s="180">
        <v>184.99898840645534</v>
      </c>
      <c r="E61" s="180">
        <v>182.59355652015807</v>
      </c>
      <c r="F61" s="180">
        <v>179.70539148879911</v>
      </c>
      <c r="G61" s="180">
        <v>176.8528979109887</v>
      </c>
      <c r="H61" s="180">
        <v>173.42934556279326</v>
      </c>
      <c r="I61" s="180">
        <v>169.9950548409409</v>
      </c>
      <c r="J61" s="180">
        <v>167.08975608326693</v>
      </c>
      <c r="K61" s="180">
        <v>164.33151627133711</v>
      </c>
      <c r="L61" s="180">
        <v>160.88165677925005</v>
      </c>
      <c r="M61" s="180">
        <v>156.77914344225871</v>
      </c>
      <c r="N61" s="180">
        <v>151.22768162276097</v>
      </c>
      <c r="O61" s="180">
        <v>145.10879808953572</v>
      </c>
      <c r="P61" s="180">
        <v>137.86745852090587</v>
      </c>
      <c r="Q61" s="180">
        <v>129.12390265181767</v>
      </c>
      <c r="R61" s="180">
        <v>121.52258483167633</v>
      </c>
      <c r="S61" s="180">
        <v>115.81403535437374</v>
      </c>
      <c r="T61" s="180">
        <v>110.14041941529354</v>
      </c>
      <c r="U61" s="180">
        <v>104.44094244528922</v>
      </c>
      <c r="V61" s="180">
        <v>98.742247255709145</v>
      </c>
      <c r="W61" s="180">
        <v>96.313187973218703</v>
      </c>
      <c r="X61" s="180">
        <v>93.884128690728261</v>
      </c>
      <c r="Y61" s="180">
        <v>91.455069408237819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41.184897084607101</v>
      </c>
      <c r="D62" s="180">
        <v>39.786245754376722</v>
      </c>
      <c r="E62" s="180">
        <v>38.745530526632798</v>
      </c>
      <c r="F62" s="180">
        <v>38.054505019328509</v>
      </c>
      <c r="G62" s="180">
        <v>36.946787767889489</v>
      </c>
      <c r="H62" s="180">
        <v>35.754864168146767</v>
      </c>
      <c r="I62" s="180">
        <v>34.509537366110671</v>
      </c>
      <c r="J62" s="180">
        <v>33.517358156445731</v>
      </c>
      <c r="K62" s="180">
        <v>32.495957188012795</v>
      </c>
      <c r="L62" s="180">
        <v>31.287283852579485</v>
      </c>
      <c r="M62" s="180">
        <v>30.237009497465909</v>
      </c>
      <c r="N62" s="180">
        <v>28.616961617346522</v>
      </c>
      <c r="O62" s="180">
        <v>27.224526024153544</v>
      </c>
      <c r="P62" s="180">
        <v>25.782580935563146</v>
      </c>
      <c r="Q62" s="180">
        <v>24.009374694907475</v>
      </c>
      <c r="R62" s="180">
        <v>21.908899780700089</v>
      </c>
      <c r="S62" s="180">
        <v>20.578173476241268</v>
      </c>
      <c r="T62" s="180">
        <v>18.696576620025215</v>
      </c>
      <c r="U62" s="180">
        <v>17.194710214997254</v>
      </c>
      <c r="V62" s="180">
        <v>15.906323009483941</v>
      </c>
      <c r="W62" s="180">
        <v>15.111006859009743</v>
      </c>
      <c r="X62" s="180">
        <v>14.315690708535545</v>
      </c>
      <c r="Y62" s="180">
        <v>13.520374558061349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625.41789451667023</v>
      </c>
      <c r="D63" s="180">
        <v>605.46442565407767</v>
      </c>
      <c r="E63" s="180">
        <v>591.90549584596545</v>
      </c>
      <c r="F63" s="180">
        <v>585.52451012215545</v>
      </c>
      <c r="G63" s="180">
        <v>578.62316033570323</v>
      </c>
      <c r="H63" s="180">
        <v>570.05997026629177</v>
      </c>
      <c r="I63" s="180">
        <v>563.7326291959929</v>
      </c>
      <c r="J63" s="180">
        <v>557.49978087701527</v>
      </c>
      <c r="K63" s="180">
        <v>551.1890194686913</v>
      </c>
      <c r="L63" s="180">
        <v>536.75199115261842</v>
      </c>
      <c r="M63" s="180">
        <v>516.92130179235141</v>
      </c>
      <c r="N63" s="180">
        <v>507.03684951118765</v>
      </c>
      <c r="O63" s="180">
        <v>497.66674622090591</v>
      </c>
      <c r="P63" s="180">
        <v>482.06855521670468</v>
      </c>
      <c r="Q63" s="180">
        <v>478.23524936455465</v>
      </c>
      <c r="R63" s="180">
        <v>471.28022539845944</v>
      </c>
      <c r="S63" s="180">
        <v>462.71595078535142</v>
      </c>
      <c r="T63" s="180">
        <v>454.4971489326669</v>
      </c>
      <c r="U63" s="180">
        <v>446.71727429071353</v>
      </c>
      <c r="V63" s="180">
        <v>439.00077994580749</v>
      </c>
      <c r="W63" s="180">
        <v>430.22076434689131</v>
      </c>
      <c r="X63" s="180">
        <v>421.44074874797519</v>
      </c>
      <c r="Y63" s="180">
        <v>412.66073314905901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47.628231413598094</v>
      </c>
      <c r="D64" s="55">
        <v>46.761383237986394</v>
      </c>
      <c r="E64" s="55">
        <v>45.861202550798396</v>
      </c>
      <c r="F64" s="55">
        <v>45.219318850912757</v>
      </c>
      <c r="G64" s="55">
        <v>44.357524943831351</v>
      </c>
      <c r="H64" s="55">
        <v>43.431253680811295</v>
      </c>
      <c r="I64" s="55">
        <v>42.595055040960631</v>
      </c>
      <c r="J64" s="55">
        <v>41.686968622811733</v>
      </c>
      <c r="K64" s="55">
        <v>40.958713060162388</v>
      </c>
      <c r="L64" s="55">
        <v>40.106186119028663</v>
      </c>
      <c r="M64" s="55">
        <v>39.448724652288</v>
      </c>
      <c r="N64" s="55">
        <v>38.538710230579547</v>
      </c>
      <c r="O64" s="55">
        <v>37.686142459734832</v>
      </c>
      <c r="P64" s="55">
        <v>36.321163473968191</v>
      </c>
      <c r="Q64" s="55">
        <v>34.990997526481664</v>
      </c>
      <c r="R64" s="55">
        <v>34.555900859433656</v>
      </c>
      <c r="S64" s="55">
        <v>34.033398746749697</v>
      </c>
      <c r="T64" s="55">
        <v>33.545327461941909</v>
      </c>
      <c r="U64" s="55">
        <v>33.076374329628578</v>
      </c>
      <c r="V64" s="55">
        <v>32.610874848682457</v>
      </c>
      <c r="W64" s="55">
        <v>32.284766100195633</v>
      </c>
      <c r="X64" s="55">
        <v>31.958657351708808</v>
      </c>
      <c r="Y64" s="55">
        <v>31.632548603221981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351.792336259092</v>
      </c>
      <c r="D65" s="63">
        <v>337.12250095139552</v>
      </c>
      <c r="E65" s="63">
        <v>320.73748781653904</v>
      </c>
      <c r="F65" s="63">
        <v>303.02767198903052</v>
      </c>
      <c r="G65" s="63">
        <v>291.04968933386402</v>
      </c>
      <c r="H65" s="63">
        <v>273.87157644980766</v>
      </c>
      <c r="I65" s="63">
        <v>258.12938502167964</v>
      </c>
      <c r="J65" s="63">
        <v>240.03432642766535</v>
      </c>
      <c r="K65" s="63">
        <v>221.7868149555251</v>
      </c>
      <c r="L65" s="63">
        <v>202.3345660592102</v>
      </c>
      <c r="M65" s="63">
        <v>190.46296136026629</v>
      </c>
      <c r="N65" s="63">
        <v>183.77509978628316</v>
      </c>
      <c r="O65" s="63">
        <v>177.76687733407337</v>
      </c>
      <c r="P65" s="63">
        <v>172.92752814847887</v>
      </c>
      <c r="Q65" s="63">
        <v>170.57848236996784</v>
      </c>
      <c r="R65" s="63">
        <v>166.84080422192054</v>
      </c>
      <c r="S65" s="63">
        <v>162.55068814941541</v>
      </c>
      <c r="T65" s="63">
        <v>158.3756775667083</v>
      </c>
      <c r="U65" s="63">
        <v>154.37171002843422</v>
      </c>
      <c r="V65" s="63">
        <v>150.39843005312767</v>
      </c>
      <c r="W65" s="63">
        <v>147.69125831217136</v>
      </c>
      <c r="X65" s="63">
        <v>144.98408657121507</v>
      </c>
      <c r="Y65" s="63">
        <v>142.27691483025876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216.34490891152046</v>
      </c>
      <c r="C68" s="187">
        <f>1000000*C20/SER_summary!C$8</f>
        <v>220.32544164544404</v>
      </c>
      <c r="D68" s="187">
        <f>1000000*D20/SER_summary!D$8</f>
        <v>224.75179700615524</v>
      </c>
      <c r="E68" s="187">
        <f>1000000*E20/SER_summary!E$8</f>
        <v>230.38608869977759</v>
      </c>
      <c r="F68" s="187">
        <f>1000000*F20/SER_summary!F$8</f>
        <v>237.08978355147067</v>
      </c>
      <c r="G68" s="187">
        <f>1000000*G20/SER_summary!G$8</f>
        <v>243.78422647912333</v>
      </c>
      <c r="H68" s="187">
        <f>1000000*H20/SER_summary!H$8</f>
        <v>248.81773818119473</v>
      </c>
      <c r="I68" s="187">
        <f>1000000*I20/SER_summary!I$8</f>
        <v>254.89360811355147</v>
      </c>
      <c r="J68" s="187">
        <f>1000000*J20/SER_summary!J$8</f>
        <v>264.69056764093739</v>
      </c>
      <c r="K68" s="187">
        <f>1000000*K20/SER_summary!K$8</f>
        <v>273.64385991647532</v>
      </c>
      <c r="L68" s="187">
        <f>1000000*L20/SER_summary!L$8</f>
        <v>282.6144455460452</v>
      </c>
      <c r="M68" s="187">
        <f>1000000*M20/SER_summary!M$8</f>
        <v>291.20664510493879</v>
      </c>
      <c r="N68" s="187">
        <f>1000000*N20/SER_summary!N$8</f>
        <v>299.63745503526326</v>
      </c>
      <c r="O68" s="187">
        <f>1000000*O20/SER_summary!O$8</f>
        <v>308.38539267856015</v>
      </c>
      <c r="P68" s="187">
        <f>1000000*P20/SER_summary!P$8</f>
        <v>317.85952754098889</v>
      </c>
      <c r="Q68" s="187">
        <f>1000000*Q20/SER_summary!Q$8</f>
        <v>327.03807719459206</v>
      </c>
      <c r="R68" s="187">
        <f>1000000*R20/SER_summary!R$8</f>
        <v>334.02975054787481</v>
      </c>
      <c r="S68" s="187">
        <f>1000000*S20/SER_summary!S$8</f>
        <v>341.04209401930103</v>
      </c>
      <c r="T68" s="187">
        <f>1000000*T20/SER_summary!T$8</f>
        <v>347.9657890085013</v>
      </c>
      <c r="U68" s="187">
        <f>1000000*U20/SER_summary!U$8</f>
        <v>354.73453227125862</v>
      </c>
      <c r="V68" s="187">
        <f>1000000*V20/SER_summary!V$8</f>
        <v>361.224909710308</v>
      </c>
      <c r="W68" s="187">
        <f>1000000*W20/SER_summary!W$8</f>
        <v>367.29726219221845</v>
      </c>
      <c r="X68" s="187">
        <f>1000000*X20/SER_summary!X$8</f>
        <v>370.37161146568451</v>
      </c>
      <c r="Y68" s="187">
        <f>1000000*Y20/SER_summary!Y$8</f>
        <v>371.9184225198926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6.5566722993985332E-2</v>
      </c>
      <c r="C69" s="187">
        <f>1000*C21/SER_summary!C$3</f>
        <v>6.7532855043604442E-2</v>
      </c>
      <c r="D69" s="187">
        <f>1000*D21/SER_summary!D$3</f>
        <v>6.9761687364786065E-2</v>
      </c>
      <c r="E69" s="187">
        <f>1000*E21/SER_summary!E$3</f>
        <v>7.1939938607470569E-2</v>
      </c>
      <c r="F69" s="187">
        <f>1000*F21/SER_summary!F$3</f>
        <v>7.4782114425473237E-2</v>
      </c>
      <c r="G69" s="187">
        <f>1000*G21/SER_summary!G$3</f>
        <v>7.8628916035009003E-2</v>
      </c>
      <c r="H69" s="187">
        <f>1000*H21/SER_summary!H$3</f>
        <v>8.2120347726027193E-2</v>
      </c>
      <c r="I69" s="187">
        <f>1000*I21/SER_summary!I$3</f>
        <v>8.6448579998531672E-2</v>
      </c>
      <c r="J69" s="187">
        <f>1000*J21/SER_summary!J$3</f>
        <v>8.9794591350690581E-2</v>
      </c>
      <c r="K69" s="187">
        <f>1000*K21/SER_summary!K$3</f>
        <v>9.3059742232729198E-2</v>
      </c>
      <c r="L69" s="187">
        <f>1000*L21/SER_summary!L$3</f>
        <v>9.5744590237054103E-2</v>
      </c>
      <c r="M69" s="187">
        <f>1000*M21/SER_summary!M$3</f>
        <v>9.8942526308347656E-2</v>
      </c>
      <c r="N69" s="187">
        <f>1000*N21/SER_summary!N$3</f>
        <v>0.10310316734224979</v>
      </c>
      <c r="O69" s="187">
        <f>1000*O21/SER_summary!O$3</f>
        <v>0.10846020562054</v>
      </c>
      <c r="P69" s="187">
        <f>1000*P21/SER_summary!P$3</f>
        <v>0.11466295211632141</v>
      </c>
      <c r="Q69" s="187">
        <f>1000*Q21/SER_summary!Q$3</f>
        <v>0.12299261697038447</v>
      </c>
      <c r="R69" s="187">
        <f>1000*R21/SER_summary!R$3</f>
        <v>0.12818967705027909</v>
      </c>
      <c r="S69" s="187">
        <f>1000*S21/SER_summary!S$3</f>
        <v>0.13341298867270845</v>
      </c>
      <c r="T69" s="187">
        <f>1000*T21/SER_summary!T$3</f>
        <v>0.13845865857380119</v>
      </c>
      <c r="U69" s="187">
        <f>1000*U21/SER_summary!U$3</f>
        <v>0.1431456020110578</v>
      </c>
      <c r="V69" s="187">
        <f>1000*V21/SER_summary!V$3</f>
        <v>0.14734308742304952</v>
      </c>
      <c r="W69" s="187">
        <f>1000*W21/SER_summary!W$3</f>
        <v>0.15447223236852067</v>
      </c>
      <c r="X69" s="187">
        <f>1000*X21/SER_summary!X$3</f>
        <v>0.15741955690866352</v>
      </c>
      <c r="Y69" s="187">
        <f>1000*Y21/SER_summary!Y$3</f>
        <v>0.15741955690866352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113.05834891530097</v>
      </c>
      <c r="C70" s="187">
        <f>1000000*C22/SER_summary!C$8</f>
        <v>114.03113434515024</v>
      </c>
      <c r="D70" s="187">
        <f>1000000*D22/SER_summary!D$8</f>
        <v>115.71968247450859</v>
      </c>
      <c r="E70" s="187">
        <f>1000000*E22/SER_summary!E$8</f>
        <v>117.33541333793862</v>
      </c>
      <c r="F70" s="187">
        <f>1000000*F22/SER_summary!F$8</f>
        <v>119.39063457265905</v>
      </c>
      <c r="G70" s="187">
        <f>1000000*G22/SER_summary!G$8</f>
        <v>120.91852950844414</v>
      </c>
      <c r="H70" s="187">
        <f>1000000*H22/SER_summary!H$8</f>
        <v>122.92999658110237</v>
      </c>
      <c r="I70" s="187">
        <f>1000000*I22/SER_summary!I$8</f>
        <v>124.69650368784363</v>
      </c>
      <c r="J70" s="187">
        <f>1000000*J22/SER_summary!J$8</f>
        <v>128.31023122923008</v>
      </c>
      <c r="K70" s="187">
        <f>1000000*K22/SER_summary!K$8</f>
        <v>132.65849111788907</v>
      </c>
      <c r="L70" s="187">
        <f>1000000*L22/SER_summary!L$8</f>
        <v>138.59850726676268</v>
      </c>
      <c r="M70" s="187">
        <f>1000000*M22/SER_summary!M$8</f>
        <v>142.30459863803625</v>
      </c>
      <c r="N70" s="187">
        <f>1000000*N22/SER_summary!N$8</f>
        <v>147.52446352138861</v>
      </c>
      <c r="O70" s="187">
        <f>1000000*O22/SER_summary!O$8</f>
        <v>152.33336029752434</v>
      </c>
      <c r="P70" s="187">
        <f>1000000*P22/SER_summary!P$8</f>
        <v>158.99088893795872</v>
      </c>
      <c r="Q70" s="187">
        <f>1000000*Q22/SER_summary!Q$8</f>
        <v>167.41323856371935</v>
      </c>
      <c r="R70" s="187">
        <f>1000000*R22/SER_summary!R$8</f>
        <v>171.98761262911987</v>
      </c>
      <c r="S70" s="187">
        <f>1000000*S22/SER_summary!S$8</f>
        <v>176.62995463328826</v>
      </c>
      <c r="T70" s="187">
        <f>1000000*T22/SER_summary!T$8</f>
        <v>181.05122865068606</v>
      </c>
      <c r="U70" s="187">
        <f>1000000*U22/SER_summary!U$8</f>
        <v>185.07467450242126</v>
      </c>
      <c r="V70" s="187">
        <f>1000000*V22/SER_summary!V$8</f>
        <v>188.37087695872151</v>
      </c>
      <c r="W70" s="187">
        <f>1000000*W22/SER_summary!W$8</f>
        <v>190.4040364136952</v>
      </c>
      <c r="X70" s="187">
        <f>1000000*X22/SER_summary!X$8</f>
        <v>191.42883064971406</v>
      </c>
      <c r="Y70" s="187">
        <f>1000000*Y22/SER_summary!Y$8</f>
        <v>191.94329428717631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1.2756133329996221E-2</v>
      </c>
      <c r="C71" s="187">
        <f>1000*C23/SER_summary!C$3</f>
        <v>1.329681349532259E-2</v>
      </c>
      <c r="D71" s="187">
        <f>1000*D23/SER_summary!D$3</f>
        <v>1.3872380698304732E-2</v>
      </c>
      <c r="E71" s="187">
        <f>1000*E23/SER_summary!E$3</f>
        <v>1.4590296048469993E-2</v>
      </c>
      <c r="F71" s="187">
        <f>1000*F23/SER_summary!F$3</f>
        <v>1.5378163668932174E-2</v>
      </c>
      <c r="G71" s="187">
        <f>1000*G23/SER_summary!G$3</f>
        <v>1.6290518113209491E-2</v>
      </c>
      <c r="H71" s="187">
        <f>1000*H23/SER_summary!H$3</f>
        <v>1.6955120868694114E-2</v>
      </c>
      <c r="I71" s="187">
        <f>1000*I23/SER_summary!I$3</f>
        <v>1.760878346329791E-2</v>
      </c>
      <c r="J71" s="187">
        <f>1000*J23/SER_summary!J$3</f>
        <v>1.8202463304776394E-2</v>
      </c>
      <c r="K71" s="187">
        <f>1000*K23/SER_summary!K$3</f>
        <v>1.879964857695457E-2</v>
      </c>
      <c r="L71" s="187">
        <f>1000*L23/SER_summary!L$3</f>
        <v>1.9310141998884523E-2</v>
      </c>
      <c r="M71" s="187">
        <f>1000*M23/SER_summary!M$3</f>
        <v>1.9667194989346909E-2</v>
      </c>
      <c r="N71" s="187">
        <f>1000*N23/SER_summary!N$3</f>
        <v>2.0061840838461461E-2</v>
      </c>
      <c r="O71" s="187">
        <f>1000*O23/SER_summary!O$3</f>
        <v>2.054237325696515E-2</v>
      </c>
      <c r="P71" s="187">
        <f>1000*P23/SER_summary!P$3</f>
        <v>2.1156257305697285E-2</v>
      </c>
      <c r="Q71" s="187">
        <f>1000*Q23/SER_summary!Q$3</f>
        <v>2.1425082886555209E-2</v>
      </c>
      <c r="R71" s="187">
        <f>1000*R23/SER_summary!R$3</f>
        <v>2.1807666330690915E-2</v>
      </c>
      <c r="S71" s="187">
        <f>1000*S23/SER_summary!S$3</f>
        <v>2.2450986815528037E-2</v>
      </c>
      <c r="T71" s="187">
        <f>1000*T23/SER_summary!T$3</f>
        <v>2.3072292706874515E-2</v>
      </c>
      <c r="U71" s="187">
        <f>1000*U23/SER_summary!U$3</f>
        <v>2.3647446749467543E-2</v>
      </c>
      <c r="V71" s="187">
        <f>1000*V23/SER_summary!V$3</f>
        <v>2.4165591571951802E-2</v>
      </c>
      <c r="W71" s="187">
        <f>1000*W23/SER_summary!W$3</f>
        <v>2.5189313276083598E-2</v>
      </c>
      <c r="X71" s="187">
        <f>1000*X23/SER_summary!X$3</f>
        <v>2.5610843737768188E-2</v>
      </c>
      <c r="Y71" s="187">
        <f>1000*Y23/SER_summary!Y$3</f>
        <v>2.5610843737768181E-2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56.446585433379752</v>
      </c>
      <c r="C72" s="187">
        <f>1000000*C24/SER_summary!C$8</f>
        <v>60.30889816880466</v>
      </c>
      <c r="D72" s="187">
        <f>1000000*D24/SER_summary!D$8</f>
        <v>63.953994906058583</v>
      </c>
      <c r="E72" s="187">
        <f>1000000*E24/SER_summary!E$8</f>
        <v>68.218920105476627</v>
      </c>
      <c r="F72" s="187">
        <f>1000000*F24/SER_summary!F$8</f>
        <v>73.001002609593399</v>
      </c>
      <c r="G72" s="187">
        <f>1000000*G24/SER_summary!G$8</f>
        <v>78.610792543491812</v>
      </c>
      <c r="H72" s="187">
        <f>1000000*H24/SER_summary!H$8</f>
        <v>84.134881289124706</v>
      </c>
      <c r="I72" s="187">
        <f>1000000*I24/SER_summary!I$8</f>
        <v>87.241770993965105</v>
      </c>
      <c r="J72" s="187">
        <f>1000000*J24/SER_summary!J$8</f>
        <v>91.263181793879554</v>
      </c>
      <c r="K72" s="187">
        <f>1000000*K24/SER_summary!K$8</f>
        <v>94.436824640752349</v>
      </c>
      <c r="L72" s="187">
        <f>1000000*L24/SER_summary!L$8</f>
        <v>98.415857378842972</v>
      </c>
      <c r="M72" s="187">
        <f>1000000*M24/SER_summary!M$8</f>
        <v>98.946766301053387</v>
      </c>
      <c r="N72" s="187">
        <f>1000000*N24/SER_summary!N$8</f>
        <v>101.9639055269428</v>
      </c>
      <c r="O72" s="187">
        <f>1000000*O24/SER_summary!O$8</f>
        <v>104.30198045871362</v>
      </c>
      <c r="P72" s="187">
        <f>1000000*P24/SER_summary!P$8</f>
        <v>106.21141145308336</v>
      </c>
      <c r="Q72" s="187">
        <f>1000000*Q24/SER_summary!Q$8</f>
        <v>109.48776781257119</v>
      </c>
      <c r="R72" s="187">
        <f>1000000*R24/SER_summary!R$8</f>
        <v>114.83223066710647</v>
      </c>
      <c r="S72" s="187">
        <f>1000000*S24/SER_summary!S$8</f>
        <v>117.89237314752894</v>
      </c>
      <c r="T72" s="187">
        <f>1000000*T24/SER_summary!T$8</f>
        <v>120.62417495597367</v>
      </c>
      <c r="U72" s="187">
        <f>1000000*U24/SER_summary!U$8</f>
        <v>122.94590375716268</v>
      </c>
      <c r="V72" s="187">
        <f>1000000*V24/SER_summary!V$8</f>
        <v>124.70798414567737</v>
      </c>
      <c r="W72" s="187">
        <f>1000000*W24/SER_summary!W$8</f>
        <v>125.74510195162087</v>
      </c>
      <c r="X72" s="187">
        <f>1000000*X24/SER_summary!X$8</f>
        <v>126.58100280223434</v>
      </c>
      <c r="Y72" s="187">
        <f>1000000*Y24/SER_summary!Y$8</f>
        <v>127.25372255107071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4.2414060624048115E-2</v>
      </c>
      <c r="C73" s="52">
        <f>1000*C25/SER_summary!C$3</f>
        <v>5.0554942103879071E-2</v>
      </c>
      <c r="D73" s="52">
        <f>1000*D25/SER_summary!D$3</f>
        <v>6.0332342183865913E-2</v>
      </c>
      <c r="E73" s="52">
        <f>1000*E25/SER_summary!E$3</f>
        <v>7.308218859373429E-2</v>
      </c>
      <c r="F73" s="52">
        <f>1000*F25/SER_summary!F$3</f>
        <v>8.8205302409298109E-2</v>
      </c>
      <c r="G73" s="52">
        <f>1000*G25/SER_summary!G$3</f>
        <v>0.10641511604200497</v>
      </c>
      <c r="H73" s="52">
        <f>1000*H25/SER_summary!H$3</f>
        <v>0.12752889082764349</v>
      </c>
      <c r="I73" s="52">
        <f>1000*I25/SER_summary!I$3</f>
        <v>0.14911719104020685</v>
      </c>
      <c r="J73" s="52">
        <f>1000*J25/SER_summary!J$3</f>
        <v>0.16554138858962777</v>
      </c>
      <c r="K73" s="52">
        <f>1000*K25/SER_summary!K$3</f>
        <v>0.17962468209582097</v>
      </c>
      <c r="L73" s="52">
        <f>1000*L25/SER_summary!L$3</f>
        <v>0.19559021052838393</v>
      </c>
      <c r="M73" s="52">
        <f>1000*M25/SER_summary!M$3</f>
        <v>0.21115464275454654</v>
      </c>
      <c r="N73" s="52">
        <f>1000*N25/SER_summary!N$3</f>
        <v>0.22962509502800155</v>
      </c>
      <c r="O73" s="52">
        <f>1000*O25/SER_summary!O$3</f>
        <v>0.24957042452368872</v>
      </c>
      <c r="P73" s="52">
        <f>1000*P25/SER_summary!P$3</f>
        <v>0.27335321546513724</v>
      </c>
      <c r="Q73" s="52">
        <f>1000*Q25/SER_summary!Q$3</f>
        <v>0.30399575527452377</v>
      </c>
      <c r="R73" s="52">
        <f>1000*R25/SER_summary!R$3</f>
        <v>0.32048638698333032</v>
      </c>
      <c r="S73" s="52">
        <f>1000*S25/SER_summary!S$3</f>
        <v>0.33693955013919069</v>
      </c>
      <c r="T73" s="52">
        <f>1000*T25/SER_summary!T$3</f>
        <v>0.35286024480147915</v>
      </c>
      <c r="U73" s="52">
        <f>1000*U25/SER_summary!U$3</f>
        <v>0.36779182720150122</v>
      </c>
      <c r="V73" s="52">
        <f>1000*V25/SER_summary!V$3</f>
        <v>0.38141967557986795</v>
      </c>
      <c r="W73" s="52">
        <f>1000*W25/SER_summary!W$3</f>
        <v>0.4028246296517225</v>
      </c>
      <c r="X73" s="52">
        <f>1000*X25/SER_summary!X$3</f>
        <v>0.41903912716272801</v>
      </c>
      <c r="Y73" s="52">
        <f>1000*Y25/SER_summary!Y$3</f>
        <v>0.42980790255180024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26.330371425865206</v>
      </c>
      <c r="C3" s="198">
        <f>'SER_se-appl'!C4</f>
        <v>26.991796726276849</v>
      </c>
      <c r="D3" s="198">
        <f>'SER_se-appl'!D4</f>
        <v>27.652786059746834</v>
      </c>
      <c r="E3" s="198">
        <f>'SER_se-appl'!E4</f>
        <v>28.588699643901538</v>
      </c>
      <c r="F3" s="198">
        <f>'SER_se-appl'!F4</f>
        <v>29.71639830441314</v>
      </c>
      <c r="G3" s="198">
        <f>'SER_se-appl'!G4</f>
        <v>31.255243695084985</v>
      </c>
      <c r="H3" s="198">
        <f>'SER_se-appl'!H4</f>
        <v>32.688902489939544</v>
      </c>
      <c r="I3" s="198">
        <f>'SER_se-appl'!I4</f>
        <v>34.126386846679345</v>
      </c>
      <c r="J3" s="198">
        <f>'SER_se-appl'!J4</f>
        <v>35.667998767129923</v>
      </c>
      <c r="K3" s="198">
        <f>'SER_se-appl'!K4</f>
        <v>35.786734556572</v>
      </c>
      <c r="L3" s="198">
        <f>'SER_se-appl'!L4</f>
        <v>36.90015912201936</v>
      </c>
      <c r="M3" s="198">
        <f>'SER_se-appl'!M4</f>
        <v>37.996846832084636</v>
      </c>
      <c r="N3" s="198">
        <f>'SER_se-appl'!N4</f>
        <v>38.765592046471831</v>
      </c>
      <c r="O3" s="198">
        <f>'SER_se-appl'!O4</f>
        <v>39.483576950774967</v>
      </c>
      <c r="P3" s="198">
        <f>'SER_se-appl'!P4</f>
        <v>40.478327950644712</v>
      </c>
      <c r="Q3" s="198">
        <f>'SER_se-appl'!Q4</f>
        <v>41.690062760202451</v>
      </c>
      <c r="R3" s="198">
        <f>'SER_se-appl'!R4</f>
        <v>42.370379180259981</v>
      </c>
      <c r="S3" s="198">
        <f>'SER_se-appl'!S4</f>
        <v>43.229016753092147</v>
      </c>
      <c r="T3" s="198">
        <f>'SER_se-appl'!T4</f>
        <v>43.987548958905535</v>
      </c>
      <c r="U3" s="198">
        <f>'SER_se-appl'!U4</f>
        <v>44.862937146278355</v>
      </c>
      <c r="V3" s="198">
        <f>'SER_se-appl'!V4</f>
        <v>45.665603015393117</v>
      </c>
      <c r="W3" s="198">
        <f>'SER_se-appl'!W4</f>
        <v>46.319558038339196</v>
      </c>
      <c r="X3" s="198">
        <f>'SER_se-appl'!X4</f>
        <v>46.571374399021728</v>
      </c>
      <c r="Y3" s="198">
        <f>'SER_se-appl'!Y4</f>
        <v>46.52397595426816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34.95687439301512</v>
      </c>
      <c r="C5" s="59">
        <f>'SER_se-appl'!C12</f>
        <v>35.834999534999973</v>
      </c>
      <c r="D5" s="59">
        <f>'SER_se-appl'!D12</f>
        <v>36.712545876125091</v>
      </c>
      <c r="E5" s="59">
        <f>'SER_se-appl'!E12</f>
        <v>37.955088682485723</v>
      </c>
      <c r="F5" s="59">
        <f>'SER_se-appl'!F12</f>
        <v>39.452250260311061</v>
      </c>
      <c r="G5" s="59">
        <f>'SER_se-appl'!G12</f>
        <v>41.49526075043817</v>
      </c>
      <c r="H5" s="59">
        <f>'SER_se-appl'!H12</f>
        <v>43.398622826255355</v>
      </c>
      <c r="I5" s="59">
        <f>'SER_se-appl'!I12</f>
        <v>45.30706381585393</v>
      </c>
      <c r="J5" s="59">
        <f>'SER_se-appl'!J12</f>
        <v>47.353747221657649</v>
      </c>
      <c r="K5" s="59">
        <f>'SER_se-appl'!K12</f>
        <v>47.511383891887256</v>
      </c>
      <c r="L5" s="59">
        <f>'SER_se-appl'!L12</f>
        <v>48.989594816105608</v>
      </c>
      <c r="M5" s="59">
        <f>'SER_se-appl'!M12</f>
        <v>50.445585463144312</v>
      </c>
      <c r="N5" s="59">
        <f>'SER_se-appl'!N12</f>
        <v>51.466191267176633</v>
      </c>
      <c r="O5" s="59">
        <f>'SER_se-appl'!O12</f>
        <v>52.419406385560826</v>
      </c>
      <c r="P5" s="59">
        <f>'SER_se-appl'!P12</f>
        <v>53.740063249543155</v>
      </c>
      <c r="Q5" s="59">
        <f>'SER_se-appl'!Q12</f>
        <v>55.348793367711728</v>
      </c>
      <c r="R5" s="59">
        <f>'SER_se-appl'!R12</f>
        <v>56.25199884319909</v>
      </c>
      <c r="S5" s="59">
        <f>'SER_se-appl'!S12</f>
        <v>57.391948040920319</v>
      </c>
      <c r="T5" s="59">
        <f>'SER_se-appl'!T12</f>
        <v>58.398994793615479</v>
      </c>
      <c r="U5" s="59">
        <f>'SER_se-appl'!U12</f>
        <v>59.561182535527102</v>
      </c>
      <c r="V5" s="59">
        <f>'SER_se-appl'!V12</f>
        <v>60.626822268153212</v>
      </c>
      <c r="W5" s="59">
        <f>'SER_se-appl'!W12</f>
        <v>61.495029678754015</v>
      </c>
      <c r="X5" s="59">
        <f>'SER_se-appl'!X12</f>
        <v>61.829347518335972</v>
      </c>
      <c r="Y5" s="59">
        <f>'SER_se-appl'!Y12</f>
        <v>61.766420131066099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216.34490891152046</v>
      </c>
      <c r="C6" s="201">
        <f>'SER_se-appl'!C68</f>
        <v>220.32544164544404</v>
      </c>
      <c r="D6" s="201">
        <f>'SER_se-appl'!D68</f>
        <v>224.75179700615524</v>
      </c>
      <c r="E6" s="201">
        <f>'SER_se-appl'!E68</f>
        <v>230.38608869977759</v>
      </c>
      <c r="F6" s="201">
        <f>'SER_se-appl'!F68</f>
        <v>237.08978355147067</v>
      </c>
      <c r="G6" s="201">
        <f>'SER_se-appl'!G68</f>
        <v>243.78422647912333</v>
      </c>
      <c r="H6" s="201">
        <f>'SER_se-appl'!H68</f>
        <v>248.81773818119473</v>
      </c>
      <c r="I6" s="201">
        <f>'SER_se-appl'!I68</f>
        <v>254.89360811355147</v>
      </c>
      <c r="J6" s="201">
        <f>'SER_se-appl'!J68</f>
        <v>264.69056764093739</v>
      </c>
      <c r="K6" s="201">
        <f>'SER_se-appl'!K68</f>
        <v>273.64385991647532</v>
      </c>
      <c r="L6" s="201">
        <f>'SER_se-appl'!L68</f>
        <v>282.6144455460452</v>
      </c>
      <c r="M6" s="201">
        <f>'SER_se-appl'!M68</f>
        <v>291.20664510493879</v>
      </c>
      <c r="N6" s="201">
        <f>'SER_se-appl'!N68</f>
        <v>299.63745503526326</v>
      </c>
      <c r="O6" s="201">
        <f>'SER_se-appl'!O68</f>
        <v>308.38539267856015</v>
      </c>
      <c r="P6" s="201">
        <f>'SER_se-appl'!P68</f>
        <v>317.85952754098889</v>
      </c>
      <c r="Q6" s="201">
        <f>'SER_se-appl'!Q68</f>
        <v>327.03807719459206</v>
      </c>
      <c r="R6" s="201">
        <f>'SER_se-appl'!R68</f>
        <v>334.02975054787481</v>
      </c>
      <c r="S6" s="201">
        <f>'SER_se-appl'!S68</f>
        <v>341.04209401930103</v>
      </c>
      <c r="T6" s="201">
        <f>'SER_se-appl'!T68</f>
        <v>347.9657890085013</v>
      </c>
      <c r="U6" s="201">
        <f>'SER_se-appl'!U68</f>
        <v>354.73453227125862</v>
      </c>
      <c r="V6" s="201">
        <f>'SER_se-appl'!V68</f>
        <v>361.224909710308</v>
      </c>
      <c r="W6" s="201">
        <f>'SER_se-appl'!W68</f>
        <v>367.29726219221845</v>
      </c>
      <c r="X6" s="201">
        <f>'SER_se-appl'!X68</f>
        <v>370.37161146568451</v>
      </c>
      <c r="Y6" s="201">
        <f>'SER_se-appl'!Y68</f>
        <v>371.9184225198926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47.040942348418106</v>
      </c>
      <c r="C8" s="34">
        <f>'SER_se-appl'!C20</f>
        <v>48.613181694454745</v>
      </c>
      <c r="D8" s="34">
        <f>'SER_se-appl'!D20</f>
        <v>50.241017698516991</v>
      </c>
      <c r="E8" s="34">
        <f>'SER_se-appl'!E20</f>
        <v>52.482358201267623</v>
      </c>
      <c r="F8" s="34">
        <f>'SER_se-appl'!F20</f>
        <v>55.201044180228394</v>
      </c>
      <c r="G8" s="34">
        <f>'SER_se-appl'!G20</f>
        <v>58.871020746697475</v>
      </c>
      <c r="H8" s="34">
        <f>'SER_se-appl'!H20</f>
        <v>62.423440164983234</v>
      </c>
      <c r="I8" s="34">
        <f>'SER_se-appl'!I20</f>
        <v>66.094261550228211</v>
      </c>
      <c r="J8" s="34">
        <f>'SER_se-appl'!J20</f>
        <v>70.116025373327261</v>
      </c>
      <c r="K8" s="34">
        <f>'SER_se-appl'!K20</f>
        <v>71.054913181480842</v>
      </c>
      <c r="L8" s="34">
        <f>'SER_se-appl'!L20</f>
        <v>74.369812394441254</v>
      </c>
      <c r="M8" s="34">
        <f>'SER_se-appl'!M20</f>
        <v>77.792160817823842</v>
      </c>
      <c r="N8" s="34">
        <f>'SER_se-appl'!N20</f>
        <v>80.582968984249106</v>
      </c>
      <c r="O8" s="34">
        <f>'SER_se-appl'!O20</f>
        <v>83.42199603135677</v>
      </c>
      <c r="P8" s="34">
        <f>'SER_se-appl'!P20</f>
        <v>87.17010704556408</v>
      </c>
      <c r="Q8" s="34">
        <f>'SER_se-appl'!Q20</f>
        <v>91.730487452356627</v>
      </c>
      <c r="R8" s="34">
        <f>'SER_se-appl'!R20</f>
        <v>94.983044415467631</v>
      </c>
      <c r="S8" s="34">
        <f>'SER_se-appl'!S20</f>
        <v>98.813418639498636</v>
      </c>
      <c r="T8" s="34">
        <f>'SER_se-appl'!T20</f>
        <v>102.48445574745452</v>
      </c>
      <c r="U8" s="34">
        <f>'SER_se-appl'!U20</f>
        <v>106.11004541914794</v>
      </c>
      <c r="V8" s="34">
        <f>'SER_se-appl'!V20</f>
        <v>109.57155634682111</v>
      </c>
      <c r="W8" s="34">
        <f>'SER_se-appl'!W20</f>
        <v>112.8406030444707</v>
      </c>
      <c r="X8" s="34">
        <f>'SER_se-appl'!X20</f>
        <v>115.13195602562658</v>
      </c>
      <c r="Y8" s="34">
        <f>'SER_se-appl'!Y20</f>
        <v>116.86143852132176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3.6125615277822476</v>
      </c>
      <c r="D9" s="36">
        <f>'SER_se-appl'!D28</f>
        <v>3.7258699112776981</v>
      </c>
      <c r="E9" s="36">
        <f>'SER_se-appl'!E28</f>
        <v>4.3987185458887978</v>
      </c>
      <c r="F9" s="36">
        <f>'SER_se-appl'!F28</f>
        <v>4.9370867421743156</v>
      </c>
      <c r="G9" s="36">
        <f>'SER_se-appl'!G28</f>
        <v>5.9511261136610116</v>
      </c>
      <c r="H9" s="36">
        <f>'SER_se-appl'!H28</f>
        <v>5.8980926361023762</v>
      </c>
      <c r="I9" s="36">
        <f>'SER_se-appl'!I28</f>
        <v>6.0828433640561812</v>
      </c>
      <c r="J9" s="36">
        <f>'SER_se-appl'!J28</f>
        <v>6.5020112770405021</v>
      </c>
      <c r="K9" s="36">
        <f>'SER_se-appl'!K28</f>
        <v>3.4892905353355985</v>
      </c>
      <c r="L9" s="36">
        <f>'SER_se-appl'!L28</f>
        <v>5.9374415969797241</v>
      </c>
      <c r="M9" s="36">
        <f>'SER_se-appl'!M28</f>
        <v>6.1190709773052987</v>
      </c>
      <c r="N9" s="36">
        <f>'SER_se-appl'!N28</f>
        <v>5.5638091204422011</v>
      </c>
      <c r="O9" s="36">
        <f>'SER_se-appl'!O28</f>
        <v>5.6904639810975794</v>
      </c>
      <c r="P9" s="36">
        <f>'SER_se-appl'!P28</f>
        <v>6.6802025364780775</v>
      </c>
      <c r="Q9" s="36">
        <f>'SER_se-appl'!Q28</f>
        <v>7.5754078803065568</v>
      </c>
      <c r="R9" s="36">
        <f>'SER_se-appl'!R28</f>
        <v>6.3528662805378104</v>
      </c>
      <c r="S9" s="36">
        <f>'SER_se-appl'!S28</f>
        <v>7.0183776330085124</v>
      </c>
      <c r="T9" s="36">
        <f>'SER_se-appl'!T28</f>
        <v>6.9492150879800221</v>
      </c>
      <c r="U9" s="36">
        <f>'SER_se-appl'!U28</f>
        <v>7.2381511994756664</v>
      </c>
      <c r="V9" s="36">
        <f>'SER_se-appl'!V28</f>
        <v>7.1873808389508724</v>
      </c>
      <c r="W9" s="36">
        <f>'SER_se-appl'!W28</f>
        <v>7.6677652435383834</v>
      </c>
      <c r="X9" s="36">
        <f>'SER_se-appl'!X28</f>
        <v>7.2284397233301974</v>
      </c>
      <c r="Y9" s="36">
        <f>'SER_se-appl'!Y28</f>
        <v>7.6806086093561987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2.0403221817456085</v>
      </c>
      <c r="D10" s="38">
        <f>'SER_se-appl'!D36</f>
        <v>2.0980339072154521</v>
      </c>
      <c r="E10" s="38">
        <f>'SER_se-appl'!E36</f>
        <v>2.1573780431381664</v>
      </c>
      <c r="F10" s="38">
        <f>'SER_se-appl'!F36</f>
        <v>2.2184007632135447</v>
      </c>
      <c r="G10" s="38">
        <f>'SER_se-appl'!G36</f>
        <v>2.2811495471919301</v>
      </c>
      <c r="H10" s="38">
        <f>'SER_se-appl'!H36</f>
        <v>2.3456732178166106</v>
      </c>
      <c r="I10" s="38">
        <f>'SER_se-appl'!I36</f>
        <v>2.4120219788112109</v>
      </c>
      <c r="J10" s="38">
        <f>'SER_se-appl'!J36</f>
        <v>2.4802474539414447</v>
      </c>
      <c r="K10" s="38">
        <f>'SER_se-appl'!K36</f>
        <v>2.5504027271820178</v>
      </c>
      <c r="L10" s="38">
        <f>'SER_se-appl'!L36</f>
        <v>2.6225423840193116</v>
      </c>
      <c r="M10" s="38">
        <f>'SER_se-appl'!M36</f>
        <v>2.6967225539227115</v>
      </c>
      <c r="N10" s="38">
        <f>'SER_se-appl'!N36</f>
        <v>2.7730009540169362</v>
      </c>
      <c r="O10" s="38">
        <f>'SER_se-appl'!O36</f>
        <v>2.8514369339899162</v>
      </c>
      <c r="P10" s="38">
        <f>'SER_se-appl'!P36</f>
        <v>2.9320915222707669</v>
      </c>
      <c r="Q10" s="38">
        <f>'SER_se-appl'!Q36</f>
        <v>3.0150274735140101</v>
      </c>
      <c r="R10" s="38">
        <f>'SER_se-appl'!R36</f>
        <v>3.1003093174268059</v>
      </c>
      <c r="S10" s="38">
        <f>'SER_se-appl'!S36</f>
        <v>3.188003408977508</v>
      </c>
      <c r="T10" s="38">
        <f>'SER_se-appl'!T36</f>
        <v>3.2781779800241395</v>
      </c>
      <c r="U10" s="38">
        <f>'SER_se-appl'!U36</f>
        <v>3.6125615277822476</v>
      </c>
      <c r="V10" s="38">
        <f>'SER_se-appl'!V36</f>
        <v>3.7258699112776981</v>
      </c>
      <c r="W10" s="38">
        <f>'SER_se-appl'!W36</f>
        <v>4.3987185458887978</v>
      </c>
      <c r="X10" s="38">
        <f>'SER_se-appl'!X36</f>
        <v>4.9370867421743156</v>
      </c>
      <c r="Y10" s="38">
        <f>'SER_se-appl'!Y36</f>
        <v>5.9511261136610187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8759.9999999999964</v>
      </c>
      <c r="C12" s="204">
        <f>'SER_se-appl'!C44</f>
        <v>8760</v>
      </c>
      <c r="D12" s="204">
        <f>'SER_se-appl'!D44</f>
        <v>8759.9999999999964</v>
      </c>
      <c r="E12" s="204">
        <f>'SER_se-appl'!E44</f>
        <v>8759.9999999999982</v>
      </c>
      <c r="F12" s="204">
        <f>'SER_se-appl'!F44</f>
        <v>8759.9999999999982</v>
      </c>
      <c r="G12" s="204">
        <f>'SER_se-appl'!G44</f>
        <v>8760</v>
      </c>
      <c r="H12" s="204">
        <f>'SER_se-appl'!H44</f>
        <v>8760</v>
      </c>
      <c r="I12" s="204">
        <f>'SER_se-appl'!I44</f>
        <v>8760.0000000000073</v>
      </c>
      <c r="J12" s="204">
        <f>'SER_se-appl'!J44</f>
        <v>8760</v>
      </c>
      <c r="K12" s="204">
        <f>'SER_se-appl'!K44</f>
        <v>8760</v>
      </c>
      <c r="L12" s="204">
        <f>'SER_se-appl'!L44</f>
        <v>8760</v>
      </c>
      <c r="M12" s="204">
        <f>'SER_se-appl'!M44</f>
        <v>8760.0000000000018</v>
      </c>
      <c r="N12" s="204">
        <f>'SER_se-appl'!N44</f>
        <v>8760.0000000000018</v>
      </c>
      <c r="O12" s="204">
        <f>'SER_se-appl'!O44</f>
        <v>8760</v>
      </c>
      <c r="P12" s="204">
        <f>'SER_se-appl'!P44</f>
        <v>8760</v>
      </c>
      <c r="Q12" s="204">
        <f>'SER_se-appl'!Q44</f>
        <v>8759.9999999999964</v>
      </c>
      <c r="R12" s="204">
        <f>'SER_se-appl'!R44</f>
        <v>8759.9999999999927</v>
      </c>
      <c r="S12" s="204">
        <f>'SER_se-appl'!S44</f>
        <v>8759.9999999999945</v>
      </c>
      <c r="T12" s="204">
        <f>'SER_se-appl'!T44</f>
        <v>8759.9999999999964</v>
      </c>
      <c r="U12" s="204">
        <f>'SER_se-appl'!U44</f>
        <v>8759.9999999999982</v>
      </c>
      <c r="V12" s="204">
        <f>'SER_se-appl'!V44</f>
        <v>8759.9999999999964</v>
      </c>
      <c r="W12" s="204">
        <f>'SER_se-appl'!W44</f>
        <v>8759.9999999999945</v>
      </c>
      <c r="X12" s="204">
        <f>'SER_se-appl'!X44</f>
        <v>8759.9999999999945</v>
      </c>
      <c r="Y12" s="204">
        <f>'SER_se-appl'!Y44</f>
        <v>8759.9999999999945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0.74311594640473122</v>
      </c>
      <c r="C14" s="59">
        <f>'SER_se-appl'!C52</f>
        <v>0.7371457346740099</v>
      </c>
      <c r="D14" s="59">
        <f>'SER_se-appl'!D52</f>
        <v>0.73072854726843584</v>
      </c>
      <c r="E14" s="59">
        <f>'SER_se-appl'!E52</f>
        <v>0.7231970891424041</v>
      </c>
      <c r="F14" s="59">
        <f>'SER_se-appl'!F52</f>
        <v>0.71470115912122278</v>
      </c>
      <c r="G14" s="59">
        <f>'SER_se-appl'!G52</f>
        <v>0.7048503699125338</v>
      </c>
      <c r="H14" s="59">
        <f>'SER_se-appl'!H52</f>
        <v>0.69522959182566879</v>
      </c>
      <c r="I14" s="59">
        <f>'SER_se-appl'!I52</f>
        <v>0.68549164107723504</v>
      </c>
      <c r="J14" s="59">
        <f>'SER_se-appl'!J52</f>
        <v>0.67536268591276172</v>
      </c>
      <c r="K14" s="59">
        <f>'SER_se-appl'!K52</f>
        <v>0.66865726470650622</v>
      </c>
      <c r="L14" s="59">
        <f>'SER_se-appl'!L52</f>
        <v>0.65872957371837226</v>
      </c>
      <c r="M14" s="59">
        <f>'SER_se-appl'!M52</f>
        <v>0.64846618133258171</v>
      </c>
      <c r="N14" s="59">
        <f>'SER_se-appl'!N52</f>
        <v>0.6386733067285757</v>
      </c>
      <c r="O14" s="59">
        <f>'SER_se-appl'!O52</f>
        <v>0.62836432690794586</v>
      </c>
      <c r="P14" s="59">
        <f>'SER_se-appl'!P52</f>
        <v>0.61649646961489979</v>
      </c>
      <c r="Q14" s="59">
        <f>'SER_se-appl'!Q52</f>
        <v>0.60338492582914727</v>
      </c>
      <c r="R14" s="59">
        <f>'SER_se-appl'!R52</f>
        <v>0.59223200508446394</v>
      </c>
      <c r="S14" s="59">
        <f>'SER_se-appl'!S52</f>
        <v>0.58081127878293104</v>
      </c>
      <c r="T14" s="59">
        <f>'SER_se-appl'!T52</f>
        <v>0.56983270650843043</v>
      </c>
      <c r="U14" s="59">
        <f>'SER_se-appl'!U52</f>
        <v>0.5613152110175148</v>
      </c>
      <c r="V14" s="59">
        <f>'SER_se-appl'!V52</f>
        <v>0.55330803257237948</v>
      </c>
      <c r="W14" s="59">
        <f>'SER_se-appl'!W52</f>
        <v>0.54497253665436995</v>
      </c>
      <c r="X14" s="59">
        <f>'SER_se-appl'!X52</f>
        <v>0.53703028813801901</v>
      </c>
      <c r="Y14" s="59">
        <f>'SER_se-appl'!Y52</f>
        <v>0.52854406819403144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0.66277655691948456</v>
      </c>
      <c r="D15" s="63">
        <f>'SER_se-appl'!D60</f>
        <v>0.65397581013212791</v>
      </c>
      <c r="E15" s="63">
        <f>'SER_se-appl'!E60</f>
        <v>0.64694405949199651</v>
      </c>
      <c r="F15" s="63">
        <f>'SER_se-appl'!F60</f>
        <v>0.63715521414970711</v>
      </c>
      <c r="G15" s="63">
        <f>'SER_se-appl'!G60</f>
        <v>0.62814482895905455</v>
      </c>
      <c r="H15" s="63">
        <f>'SER_se-appl'!H60</f>
        <v>0.61824550308197512</v>
      </c>
      <c r="I15" s="63">
        <f>'SER_se-appl'!I60</f>
        <v>0.60840839778982392</v>
      </c>
      <c r="J15" s="63">
        <f>'SER_se-appl'!J60</f>
        <v>0.59824486210793693</v>
      </c>
      <c r="K15" s="63">
        <f>'SER_se-appl'!K60</f>
        <v>0.5883378256305698</v>
      </c>
      <c r="L15" s="63">
        <f>'SER_se-appl'!L60</f>
        <v>0.57719540208170783</v>
      </c>
      <c r="M15" s="63">
        <f>'SER_se-appl'!M60</f>
        <v>0.56544011218703927</v>
      </c>
      <c r="N15" s="63">
        <f>'SER_se-appl'!N60</f>
        <v>0.55380530957412488</v>
      </c>
      <c r="O15" s="63">
        <f>'SER_se-appl'!O60</f>
        <v>0.53987924085005101</v>
      </c>
      <c r="P15" s="63">
        <f>'SER_se-appl'!P60</f>
        <v>0.52386747428542646</v>
      </c>
      <c r="Q15" s="63">
        <f>'SER_se-appl'!Q60</f>
        <v>0.50812380975444127</v>
      </c>
      <c r="R15" s="63">
        <f>'SER_se-appl'!R60</f>
        <v>0.50482642423616408</v>
      </c>
      <c r="S15" s="63">
        <f>'SER_se-appl'!S60</f>
        <v>0.49997386171152541</v>
      </c>
      <c r="T15" s="63">
        <f>'SER_se-appl'!T60</f>
        <v>0.49546791129827922</v>
      </c>
      <c r="U15" s="63">
        <f>'SER_se-appl'!U60</f>
        <v>0.49135597405212683</v>
      </c>
      <c r="V15" s="63">
        <f>'SER_se-appl'!V60</f>
        <v>0.48728022137366983</v>
      </c>
      <c r="W15" s="63">
        <f>'SER_se-appl'!W60</f>
        <v>0.48435654004542783</v>
      </c>
      <c r="X15" s="63">
        <f>'SER_se-appl'!X60</f>
        <v>0.48143285871718577</v>
      </c>
      <c r="Y15" s="63">
        <f>'SER_se-appl'!Y60</f>
        <v>0.47850917738894377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45.610036142955238</v>
      </c>
      <c r="C3" s="198">
        <f>'SER_se-appl'!C5</f>
        <v>46.358849688669586</v>
      </c>
      <c r="D3" s="198">
        <f>'SER_se-appl'!D5</f>
        <v>47.2331980310137</v>
      </c>
      <c r="E3" s="198">
        <f>'SER_se-appl'!E5</f>
        <v>48.062613989731638</v>
      </c>
      <c r="F3" s="198">
        <f>'SER_se-appl'!F5</f>
        <v>49.207467434939552</v>
      </c>
      <c r="G3" s="198">
        <f>'SER_se-appl'!G5</f>
        <v>50.845883505483243</v>
      </c>
      <c r="H3" s="198">
        <f>'SER_se-appl'!H5</f>
        <v>52.16386352775131</v>
      </c>
      <c r="I3" s="198">
        <f>'SER_se-appl'!I5</f>
        <v>53.735941151574238</v>
      </c>
      <c r="J3" s="198">
        <f>'SER_se-appl'!J5</f>
        <v>55.382114319508794</v>
      </c>
      <c r="K3" s="198">
        <f>'SER_se-appl'!K5</f>
        <v>56.86970670617162</v>
      </c>
      <c r="L3" s="198">
        <f>'SER_se-appl'!L5</f>
        <v>57.699062568309181</v>
      </c>
      <c r="M3" s="198">
        <f>'SER_se-appl'!M5</f>
        <v>58.477249807903647</v>
      </c>
      <c r="N3" s="198">
        <f>'SER_se-appl'!N5</f>
        <v>59.296180826816681</v>
      </c>
      <c r="O3" s="198">
        <f>'SER_se-appl'!O5</f>
        <v>60.392488930330991</v>
      </c>
      <c r="P3" s="198">
        <f>'SER_se-appl'!P5</f>
        <v>61.398146849598113</v>
      </c>
      <c r="Q3" s="198">
        <f>'SER_se-appl'!Q5</f>
        <v>62.989749830390423</v>
      </c>
      <c r="R3" s="198">
        <f>'SER_se-appl'!R5</f>
        <v>63.675296149448499</v>
      </c>
      <c r="S3" s="198">
        <f>'SER_se-appl'!S5</f>
        <v>64.49508862195519</v>
      </c>
      <c r="T3" s="198">
        <f>'SER_se-appl'!T5</f>
        <v>63.746055851160875</v>
      </c>
      <c r="U3" s="198">
        <f>'SER_se-appl'!U5</f>
        <v>62.04918192103645</v>
      </c>
      <c r="V3" s="198">
        <f>'SER_se-appl'!V5</f>
        <v>60.522744410640463</v>
      </c>
      <c r="W3" s="198">
        <f>'SER_se-appl'!W5</f>
        <v>59.114654931319762</v>
      </c>
      <c r="X3" s="198">
        <f>'SER_se-appl'!X5</f>
        <v>57.073726297057313</v>
      </c>
      <c r="Y3" s="198">
        <f>'SER_se-appl'!Y5</f>
        <v>56.130292240520163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135.30665828115784</v>
      </c>
      <c r="C5" s="59">
        <f>'SER_se-appl'!C13</f>
        <v>137.35036246010313</v>
      </c>
      <c r="D5" s="59">
        <f>'SER_se-appl'!D13</f>
        <v>139.77966261420633</v>
      </c>
      <c r="E5" s="59">
        <f>'SER_se-appl'!E13</f>
        <v>142.05219708408839</v>
      </c>
      <c r="F5" s="59">
        <f>'SER_se-appl'!F13</f>
        <v>145.27258683609386</v>
      </c>
      <c r="G5" s="59">
        <f>'SER_se-appl'!G13</f>
        <v>149.86319055731036</v>
      </c>
      <c r="H5" s="59">
        <f>'SER_se-appl'!H13</f>
        <v>153.53623866068199</v>
      </c>
      <c r="I5" s="59">
        <f>'SER_se-appl'!I13</f>
        <v>158.15768484555301</v>
      </c>
      <c r="J5" s="59">
        <f>'SER_se-appl'!J13</f>
        <v>163.19365489049156</v>
      </c>
      <c r="K5" s="59">
        <f>'SER_se-appl'!K13</f>
        <v>167.75387850372039</v>
      </c>
      <c r="L5" s="59">
        <f>'SER_se-appl'!L13</f>
        <v>170.35044236259665</v>
      </c>
      <c r="M5" s="59">
        <f>'SER_se-appl'!M13</f>
        <v>173.10997241908581</v>
      </c>
      <c r="N5" s="59">
        <f>'SER_se-appl'!N13</f>
        <v>176.42392658982422</v>
      </c>
      <c r="O5" s="59">
        <f>'SER_se-appl'!O13</f>
        <v>180.73677988187742</v>
      </c>
      <c r="P5" s="59">
        <f>'SER_se-appl'!P13</f>
        <v>184.66695292196965</v>
      </c>
      <c r="Q5" s="59">
        <f>'SER_se-appl'!Q13</f>
        <v>190.91899038370784</v>
      </c>
      <c r="R5" s="59">
        <f>'SER_se-appl'!R13</f>
        <v>191.38429098024781</v>
      </c>
      <c r="S5" s="59">
        <f>'SER_se-appl'!S13</f>
        <v>191.61769627913665</v>
      </c>
      <c r="T5" s="59">
        <f>'SER_se-appl'!T13</f>
        <v>190.46432912256341</v>
      </c>
      <c r="U5" s="59">
        <f>'SER_se-appl'!U13</f>
        <v>187.59126394635481</v>
      </c>
      <c r="V5" s="59">
        <f>'SER_se-appl'!V13</f>
        <v>183.40001452130113</v>
      </c>
      <c r="W5" s="59">
        <f>'SER_se-appl'!W13</f>
        <v>178.61525201574557</v>
      </c>
      <c r="X5" s="59">
        <f>'SER_se-appl'!X13</f>
        <v>173.57176250041957</v>
      </c>
      <c r="Y5" s="59">
        <f>'SER_se-appl'!Y13</f>
        <v>171.82170955441902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6.5566722993985332E-2</v>
      </c>
      <c r="C6" s="201">
        <f>'SER_se-appl'!C69</f>
        <v>6.7532855043604442E-2</v>
      </c>
      <c r="D6" s="201">
        <f>'SER_se-appl'!D69</f>
        <v>6.9761687364786065E-2</v>
      </c>
      <c r="E6" s="201">
        <f>'SER_se-appl'!E69</f>
        <v>7.1939938607470569E-2</v>
      </c>
      <c r="F6" s="201">
        <f>'SER_se-appl'!F69</f>
        <v>7.4782114425473237E-2</v>
      </c>
      <c r="G6" s="201">
        <f>'SER_se-appl'!G69</f>
        <v>7.8628916035009003E-2</v>
      </c>
      <c r="H6" s="201">
        <f>'SER_se-appl'!H69</f>
        <v>8.2120347726027193E-2</v>
      </c>
      <c r="I6" s="201">
        <f>'SER_se-appl'!I69</f>
        <v>8.6448579998531672E-2</v>
      </c>
      <c r="J6" s="201">
        <f>'SER_se-appl'!J69</f>
        <v>8.9794591350690581E-2</v>
      </c>
      <c r="K6" s="201">
        <f>'SER_se-appl'!K69</f>
        <v>9.3059742232729198E-2</v>
      </c>
      <c r="L6" s="201">
        <f>'SER_se-appl'!L69</f>
        <v>9.5744590237054103E-2</v>
      </c>
      <c r="M6" s="201">
        <f>'SER_se-appl'!M69</f>
        <v>9.8942526308347656E-2</v>
      </c>
      <c r="N6" s="201">
        <f>'SER_se-appl'!N69</f>
        <v>0.10310316734224979</v>
      </c>
      <c r="O6" s="201">
        <f>'SER_se-appl'!O69</f>
        <v>0.10846020562054</v>
      </c>
      <c r="P6" s="201">
        <f>'SER_se-appl'!P69</f>
        <v>0.11466295211632141</v>
      </c>
      <c r="Q6" s="201">
        <f>'SER_se-appl'!Q69</f>
        <v>0.12299261697038447</v>
      </c>
      <c r="R6" s="201">
        <f>'SER_se-appl'!R69</f>
        <v>0.12818967705027909</v>
      </c>
      <c r="S6" s="201">
        <f>'SER_se-appl'!S69</f>
        <v>0.13341298867270845</v>
      </c>
      <c r="T6" s="201">
        <f>'SER_se-appl'!T69</f>
        <v>0.13845865857380119</v>
      </c>
      <c r="U6" s="201">
        <f>'SER_se-appl'!U69</f>
        <v>0.1431456020110578</v>
      </c>
      <c r="V6" s="201">
        <f>'SER_se-appl'!V69</f>
        <v>0.14734308742304952</v>
      </c>
      <c r="W6" s="201">
        <f>'SER_se-appl'!W69</f>
        <v>0.15447223236852067</v>
      </c>
      <c r="X6" s="201">
        <f>'SER_se-appl'!X69</f>
        <v>0.15741955690866352</v>
      </c>
      <c r="Y6" s="201">
        <f>'SER_se-appl'!Y69</f>
        <v>0.15741955690866352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673.9012044710347</v>
      </c>
      <c r="C8" s="34">
        <f>'SER_se-appl'!C21</f>
        <v>690.99799619324676</v>
      </c>
      <c r="D8" s="34">
        <f>'SER_se-appl'!D21</f>
        <v>711.651669435283</v>
      </c>
      <c r="E8" s="34">
        <f>'SER_se-appl'!E21</f>
        <v>733.25854330749621</v>
      </c>
      <c r="F8" s="34">
        <f>'SER_se-appl'!F21</f>
        <v>762.42960596140529</v>
      </c>
      <c r="G8" s="34">
        <f>'SER_se-appl'!G21</f>
        <v>801.92491344823179</v>
      </c>
      <c r="H8" s="34">
        <f>'SER_se-appl'!H21</f>
        <v>839.56369824381397</v>
      </c>
      <c r="I8" s="34">
        <f>'SER_se-appl'!I21</f>
        <v>886.46388182408339</v>
      </c>
      <c r="J8" s="34">
        <f>'SER_se-appl'!J21</f>
        <v>928.78335165774263</v>
      </c>
      <c r="K8" s="34">
        <f>'SER_se-appl'!K21</f>
        <v>970.22067855437012</v>
      </c>
      <c r="L8" s="34">
        <f>'SER_se-appl'!L21</f>
        <v>1001.6883285840009</v>
      </c>
      <c r="M8" s="34">
        <f>'SER_se-appl'!M21</f>
        <v>1037.583657856065</v>
      </c>
      <c r="N8" s="34">
        <f>'SER_se-appl'!N21</f>
        <v>1083.1446538398015</v>
      </c>
      <c r="O8" s="34">
        <f>'SER_se-appl'!O21</f>
        <v>1140.5810798313012</v>
      </c>
      <c r="P8" s="34">
        <f>'SER_se-appl'!P21</f>
        <v>1205.3849964237074</v>
      </c>
      <c r="Q8" s="34">
        <f>'SER_se-appl'!Q21</f>
        <v>1296.1300206035783</v>
      </c>
      <c r="R8" s="34">
        <f>'SER_se-appl'!R21</f>
        <v>1352.8937258093486</v>
      </c>
      <c r="S8" s="34">
        <f>'SER_se-appl'!S21</f>
        <v>1411.3519928306216</v>
      </c>
      <c r="T8" s="34">
        <f>'SER_se-appl'!T21</f>
        <v>1469.0539826942522</v>
      </c>
      <c r="U8" s="34">
        <f>'SER_se-appl'!U21</f>
        <v>1524.4720322973633</v>
      </c>
      <c r="V8" s="34">
        <f>'SER_se-appl'!V21</f>
        <v>1575.6779889737588</v>
      </c>
      <c r="W8" s="34">
        <f>'SER_se-appl'!W21</f>
        <v>1621.160745261516</v>
      </c>
      <c r="X8" s="34">
        <f>'SER_se-appl'!X21</f>
        <v>1655.5353560782401</v>
      </c>
      <c r="Y8" s="34">
        <f>'SER_se-appl'!Y21</f>
        <v>1704.4648175957047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101.63394389555879</v>
      </c>
      <c r="D9" s="36">
        <f>'SER_se-appl'!D29</f>
        <v>108.829717113931</v>
      </c>
      <c r="E9" s="36">
        <f>'SER_se-appl'!E29</f>
        <v>113.57844510464997</v>
      </c>
      <c r="F9" s="36">
        <f>'SER_se-appl'!F29</f>
        <v>125.10153927239276</v>
      </c>
      <c r="G9" s="36">
        <f>'SER_se-appl'!G29</f>
        <v>139.55510010461137</v>
      </c>
      <c r="H9" s="36">
        <f>'SER_se-appl'!H29</f>
        <v>142.00563933057799</v>
      </c>
      <c r="I9" s="36">
        <f>'SER_se-appl'!I29</f>
        <v>155.75949700236163</v>
      </c>
      <c r="J9" s="36">
        <f>'SER_se-appl'!J29</f>
        <v>143.95341372921803</v>
      </c>
      <c r="K9" s="36">
        <f>'SER_se-appl'!K29</f>
        <v>150.26704401055849</v>
      </c>
      <c r="L9" s="36">
        <f>'SER_se-appl'!L29</f>
        <v>145.04609513428079</v>
      </c>
      <c r="M9" s="36">
        <f>'SER_se-appl'!M29</f>
        <v>160.99686854445679</v>
      </c>
      <c r="N9" s="36">
        <f>'SER_se-appl'!N29</f>
        <v>185.11609608834794</v>
      </c>
      <c r="O9" s="36">
        <f>'SER_se-appl'!O29</f>
        <v>199.44206532207761</v>
      </c>
      <c r="P9" s="36">
        <f>'SER_se-appl'!P29</f>
        <v>220.56341359476789</v>
      </c>
      <c r="Q9" s="36">
        <f>'SER_se-appl'!Q29</f>
        <v>234.69843790908885</v>
      </c>
      <c r="R9" s="36">
        <f>'SER_se-appl'!R29</f>
        <v>207.03074921632879</v>
      </c>
      <c r="S9" s="36">
        <f>'SER_se-appl'!S29</f>
        <v>203.50436215555396</v>
      </c>
      <c r="T9" s="36">
        <f>'SER_se-appl'!T29</f>
        <v>218.69885840808729</v>
      </c>
      <c r="U9" s="36">
        <f>'SER_se-appl'!U29</f>
        <v>240.53414569145912</v>
      </c>
      <c r="V9" s="36">
        <f>'SER_se-appl'!V29</f>
        <v>250.64802199847304</v>
      </c>
      <c r="W9" s="36">
        <f>'SER_se-appl'!W29</f>
        <v>266.04616988252496</v>
      </c>
      <c r="X9" s="36">
        <f>'SER_se-appl'!X29</f>
        <v>269.0730487258129</v>
      </c>
      <c r="Y9" s="36">
        <f>'SER_se-appl'!Y29</f>
        <v>255.96021073379347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84.537152173346726</v>
      </c>
      <c r="D10" s="38">
        <f>'SER_se-appl'!D37</f>
        <v>88.176043871894763</v>
      </c>
      <c r="E10" s="38">
        <f>'SER_se-appl'!E37</f>
        <v>91.971571232436759</v>
      </c>
      <c r="F10" s="38">
        <f>'SER_se-appl'!F37</f>
        <v>95.930476618483681</v>
      </c>
      <c r="G10" s="38">
        <f>'SER_se-appl'!G37</f>
        <v>100.05979261778486</v>
      </c>
      <c r="H10" s="38">
        <f>'SER_se-appl'!H37</f>
        <v>104.36685453499581</v>
      </c>
      <c r="I10" s="38">
        <f>'SER_se-appl'!I37</f>
        <v>108.85931342209221</v>
      </c>
      <c r="J10" s="38">
        <f>'SER_se-appl'!J37</f>
        <v>101.63394389555867</v>
      </c>
      <c r="K10" s="38">
        <f>'SER_se-appl'!K37</f>
        <v>108.82971711393088</v>
      </c>
      <c r="L10" s="38">
        <f>'SER_se-appl'!L37</f>
        <v>113.57844510465009</v>
      </c>
      <c r="M10" s="38">
        <f>'SER_se-appl'!M37</f>
        <v>125.10153927239276</v>
      </c>
      <c r="N10" s="38">
        <f>'SER_se-appl'!N37</f>
        <v>139.55510010461126</v>
      </c>
      <c r="O10" s="38">
        <f>'SER_se-appl'!O37</f>
        <v>142.00563933057788</v>
      </c>
      <c r="P10" s="38">
        <f>'SER_se-appl'!P37</f>
        <v>155.75949700236151</v>
      </c>
      <c r="Q10" s="38">
        <f>'SER_se-appl'!Q37</f>
        <v>143.95341372921803</v>
      </c>
      <c r="R10" s="38">
        <f>'SER_se-appl'!R37</f>
        <v>150.26704401055849</v>
      </c>
      <c r="S10" s="38">
        <f>'SER_se-appl'!S37</f>
        <v>145.0460951342809</v>
      </c>
      <c r="T10" s="38">
        <f>'SER_se-appl'!T37</f>
        <v>160.99686854445667</v>
      </c>
      <c r="U10" s="38">
        <f>'SER_se-appl'!U37</f>
        <v>185.11609608834806</v>
      </c>
      <c r="V10" s="38">
        <f>'SER_se-appl'!V37</f>
        <v>199.4420653220775</v>
      </c>
      <c r="W10" s="38">
        <f>'SER_se-appl'!W37</f>
        <v>220.56341359476778</v>
      </c>
      <c r="X10" s="38">
        <f>'SER_se-appl'!X37</f>
        <v>234.69843790908885</v>
      </c>
      <c r="Y10" s="38">
        <f>'SER_se-appl'!Y37</f>
        <v>207.03074921632879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3920.31498731084</v>
      </c>
      <c r="C12" s="204">
        <f>'SER_se-appl'!C45</f>
        <v>3925.3876889901762</v>
      </c>
      <c r="D12" s="204">
        <f>'SER_se-appl'!D45</f>
        <v>3929.9142867215628</v>
      </c>
      <c r="E12" s="204">
        <f>'SER_se-appl'!E45</f>
        <v>3934.9493508340138</v>
      </c>
      <c r="F12" s="204">
        <f>'SER_se-appl'!F45</f>
        <v>3939.372587300551</v>
      </c>
      <c r="G12" s="204">
        <f>'SER_se-appl'!G45</f>
        <v>3945.8496977790687</v>
      </c>
      <c r="H12" s="204">
        <f>'SER_se-appl'!H45</f>
        <v>3951.2869282182332</v>
      </c>
      <c r="I12" s="204">
        <f>'SER_se-appl'!I45</f>
        <v>3951.4298416994079</v>
      </c>
      <c r="J12" s="204">
        <f>'SER_se-appl'!J45</f>
        <v>3946.8077969581359</v>
      </c>
      <c r="K12" s="204">
        <f>'SER_se-appl'!K45</f>
        <v>3942.6491649080281</v>
      </c>
      <c r="L12" s="204">
        <f>'SER_se-appl'!L45</f>
        <v>3939.1743770239491</v>
      </c>
      <c r="M12" s="204">
        <f>'SER_se-appl'!M45</f>
        <v>3928.6611034716898</v>
      </c>
      <c r="N12" s="204">
        <f>'SER_se-appl'!N45</f>
        <v>3908.8495327461642</v>
      </c>
      <c r="O12" s="204">
        <f>'SER_se-appl'!O45</f>
        <v>3886.1190661844689</v>
      </c>
      <c r="P12" s="204">
        <f>'SER_se-appl'!P45</f>
        <v>3866.7473338478148</v>
      </c>
      <c r="Q12" s="204">
        <f>'SER_se-appl'!Q45</f>
        <v>3837.0766001597026</v>
      </c>
      <c r="R12" s="204">
        <f>'SER_se-appl'!R45</f>
        <v>3869.4068903205612</v>
      </c>
      <c r="S12" s="204">
        <f>'SER_se-appl'!S45</f>
        <v>3914.4499450649505</v>
      </c>
      <c r="T12" s="204">
        <f>'SER_se-appl'!T45</f>
        <v>3892.4171941504756</v>
      </c>
      <c r="U12" s="204">
        <f>'SER_se-appl'!U45</f>
        <v>3846.8315131562731</v>
      </c>
      <c r="V12" s="204">
        <f>'SER_se-appl'!V45</f>
        <v>3837.9469016563025</v>
      </c>
      <c r="W12" s="204">
        <f>'SER_se-appl'!W45</f>
        <v>3849.0746400013081</v>
      </c>
      <c r="X12" s="204">
        <f>'SER_se-appl'!X45</f>
        <v>3824.1671760011773</v>
      </c>
      <c r="Y12" s="204">
        <f>'SER_se-appl'!Y45</f>
        <v>3799.2597120010464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200.78114920029577</v>
      </c>
      <c r="C14" s="59">
        <f>'SER_se-appl'!C53</f>
        <v>198.77099965090386</v>
      </c>
      <c r="D14" s="59">
        <f>'SER_se-appl'!D53</f>
        <v>196.41584305581083</v>
      </c>
      <c r="E14" s="59">
        <f>'SER_se-appl'!E53</f>
        <v>193.7272990278928</v>
      </c>
      <c r="F14" s="59">
        <f>'SER_se-appl'!F53</f>
        <v>190.53901593040663</v>
      </c>
      <c r="G14" s="59">
        <f>'SER_se-appl'!G53</f>
        <v>186.87933002718063</v>
      </c>
      <c r="H14" s="59">
        <f>'SER_se-appl'!H53</f>
        <v>182.87622366456134</v>
      </c>
      <c r="I14" s="59">
        <f>'SER_se-appl'!I53</f>
        <v>178.41413292565372</v>
      </c>
      <c r="J14" s="59">
        <f>'SER_se-appl'!J53</f>
        <v>175.70691227315254</v>
      </c>
      <c r="K14" s="59">
        <f>'SER_se-appl'!K53</f>
        <v>172.90280676523392</v>
      </c>
      <c r="L14" s="59">
        <f>'SER_se-appl'!L53</f>
        <v>170.06331959902752</v>
      </c>
      <c r="M14" s="59">
        <f>'SER_se-appl'!M53</f>
        <v>166.83953251227848</v>
      </c>
      <c r="N14" s="59">
        <f>'SER_se-appl'!N53</f>
        <v>162.88122363378949</v>
      </c>
      <c r="O14" s="59">
        <f>'SER_se-appl'!O53</f>
        <v>158.46026475260265</v>
      </c>
      <c r="P14" s="59">
        <f>'SER_se-appl'!P53</f>
        <v>153.20163555201327</v>
      </c>
      <c r="Q14" s="59">
        <f>'SER_se-appl'!Q53</f>
        <v>147.2992580596206</v>
      </c>
      <c r="R14" s="59">
        <f>'SER_se-appl'!R53</f>
        <v>141.46291562240413</v>
      </c>
      <c r="S14" s="59">
        <f>'SER_se-appl'!S53</f>
        <v>135.76889199329096</v>
      </c>
      <c r="T14" s="59">
        <f>'SER_se-appl'!T53</f>
        <v>129.65100763230694</v>
      </c>
      <c r="U14" s="59">
        <f>'SER_se-appl'!U53</f>
        <v>123.05326694885754</v>
      </c>
      <c r="V14" s="59">
        <f>'SER_se-appl'!V53</f>
        <v>116.39434948301195</v>
      </c>
      <c r="W14" s="59">
        <f>'SER_se-appl'!W53</f>
        <v>110.17738527028818</v>
      </c>
      <c r="X14" s="59">
        <f>'SER_se-appl'!X53</f>
        <v>104.84328339057026</v>
      </c>
      <c r="Y14" s="59">
        <f>'SER_se-appl'!Y53</f>
        <v>100.80683847542738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187.11436370089666</v>
      </c>
      <c r="D15" s="63">
        <f>'SER_se-appl'!D61</f>
        <v>184.99898840645534</v>
      </c>
      <c r="E15" s="63">
        <f>'SER_se-appl'!E61</f>
        <v>182.59355652015807</v>
      </c>
      <c r="F15" s="63">
        <f>'SER_se-appl'!F61</f>
        <v>179.70539148879911</v>
      </c>
      <c r="G15" s="63">
        <f>'SER_se-appl'!G61</f>
        <v>176.8528979109887</v>
      </c>
      <c r="H15" s="63">
        <f>'SER_se-appl'!H61</f>
        <v>173.42934556279326</v>
      </c>
      <c r="I15" s="63">
        <f>'SER_se-appl'!I61</f>
        <v>169.9950548409409</v>
      </c>
      <c r="J15" s="63">
        <f>'SER_se-appl'!J61</f>
        <v>167.08975608326693</v>
      </c>
      <c r="K15" s="63">
        <f>'SER_se-appl'!K61</f>
        <v>164.33151627133711</v>
      </c>
      <c r="L15" s="63">
        <f>'SER_se-appl'!L61</f>
        <v>160.88165677925005</v>
      </c>
      <c r="M15" s="63">
        <f>'SER_se-appl'!M61</f>
        <v>156.77914344225871</v>
      </c>
      <c r="N15" s="63">
        <f>'SER_se-appl'!N61</f>
        <v>151.22768162276097</v>
      </c>
      <c r="O15" s="63">
        <f>'SER_se-appl'!O61</f>
        <v>145.10879808953572</v>
      </c>
      <c r="P15" s="63">
        <f>'SER_se-appl'!P61</f>
        <v>137.86745852090587</v>
      </c>
      <c r="Q15" s="63">
        <f>'SER_se-appl'!Q61</f>
        <v>129.12390265181767</v>
      </c>
      <c r="R15" s="63">
        <f>'SER_se-appl'!R61</f>
        <v>121.52258483167633</v>
      </c>
      <c r="S15" s="63">
        <f>'SER_se-appl'!S61</f>
        <v>115.81403535437374</v>
      </c>
      <c r="T15" s="63">
        <f>'SER_se-appl'!T61</f>
        <v>110.14041941529354</v>
      </c>
      <c r="U15" s="63">
        <f>'SER_se-appl'!U61</f>
        <v>104.44094244528922</v>
      </c>
      <c r="V15" s="63">
        <f>'SER_se-appl'!V61</f>
        <v>98.742247255709145</v>
      </c>
      <c r="W15" s="63">
        <f>'SER_se-appl'!W61</f>
        <v>96.313187973218703</v>
      </c>
      <c r="X15" s="63">
        <f>'SER_se-appl'!X61</f>
        <v>93.884128690728261</v>
      </c>
      <c r="Y15" s="63">
        <f>'SER_se-appl'!Y61</f>
        <v>91.455069408237819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206.44329602216385</v>
      </c>
      <c r="C3" s="198">
        <f>'SER_se-appl'!C6</f>
        <v>210.74561243699287</v>
      </c>
      <c r="D3" s="198">
        <f>'SER_se-appl'!D6</f>
        <v>214.55113325234217</v>
      </c>
      <c r="E3" s="198">
        <f>'SER_se-appl'!E6</f>
        <v>218.60984167873681</v>
      </c>
      <c r="F3" s="198">
        <f>'SER_se-appl'!F6</f>
        <v>223.81667697765181</v>
      </c>
      <c r="G3" s="198">
        <f>'SER_se-appl'!G6</f>
        <v>230.60873903383282</v>
      </c>
      <c r="H3" s="198">
        <f>'SER_se-appl'!H6</f>
        <v>237.28819109102858</v>
      </c>
      <c r="I3" s="198">
        <f>'SER_se-appl'!I6</f>
        <v>243.71766058535016</v>
      </c>
      <c r="J3" s="198">
        <f>'SER_se-appl'!J6</f>
        <v>250.13195192387823</v>
      </c>
      <c r="K3" s="198">
        <f>'SER_se-appl'!K6</f>
        <v>247.74162034686233</v>
      </c>
      <c r="L3" s="198">
        <f>'SER_se-appl'!L6</f>
        <v>254.31661258462046</v>
      </c>
      <c r="M3" s="198">
        <f>'SER_se-appl'!M6</f>
        <v>257.30604962243848</v>
      </c>
      <c r="N3" s="198">
        <f>'SER_se-appl'!N6</f>
        <v>259.24889445899163</v>
      </c>
      <c r="O3" s="198">
        <f>'SER_se-appl'!O6</f>
        <v>260.0292326179532</v>
      </c>
      <c r="P3" s="198">
        <f>'SER_se-appl'!P6</f>
        <v>263.67940326587274</v>
      </c>
      <c r="Q3" s="198">
        <f>'SER_se-appl'!Q6</f>
        <v>272.36997984615562</v>
      </c>
      <c r="R3" s="198">
        <f>'SER_se-appl'!R6</f>
        <v>270.473827389024</v>
      </c>
      <c r="S3" s="198">
        <f>'SER_se-appl'!S6</f>
        <v>270.42327613419707</v>
      </c>
      <c r="T3" s="198">
        <f>'SER_se-appl'!T6</f>
        <v>261.54376106565172</v>
      </c>
      <c r="U3" s="198">
        <f>'SER_se-appl'!U6</f>
        <v>249.96697653890377</v>
      </c>
      <c r="V3" s="198">
        <f>'SER_se-appl'!V6</f>
        <v>226.34070648753587</v>
      </c>
      <c r="W3" s="198">
        <f>'SER_se-appl'!W6</f>
        <v>213.38984899218579</v>
      </c>
      <c r="X3" s="198">
        <f>'SER_se-appl'!X6</f>
        <v>205.89472795211933</v>
      </c>
      <c r="Y3" s="198">
        <f>'SER_se-appl'!Y6</f>
        <v>196.15158107939948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1075.9632765987435</v>
      </c>
      <c r="C5" s="59">
        <f>'SER_se-appl'!C14</f>
        <v>1089.819062749476</v>
      </c>
      <c r="D5" s="59">
        <f>'SER_se-appl'!D14</f>
        <v>1102.2952171491399</v>
      </c>
      <c r="E5" s="59">
        <f>'SER_se-appl'!E14</f>
        <v>1115.3646050624307</v>
      </c>
      <c r="F5" s="59">
        <f>'SER_se-appl'!F14</f>
        <v>1132.3231450503431</v>
      </c>
      <c r="G5" s="59">
        <f>'SER_se-appl'!G14</f>
        <v>1155.1388058850873</v>
      </c>
      <c r="H5" s="59">
        <f>'SER_se-appl'!H14</f>
        <v>1178.8122754503502</v>
      </c>
      <c r="I5" s="59">
        <f>'SER_se-appl'!I14</f>
        <v>1200.8640885107286</v>
      </c>
      <c r="J5" s="59">
        <f>'SER_se-appl'!J14</f>
        <v>1227.2117751138969</v>
      </c>
      <c r="K5" s="59">
        <f>'SER_se-appl'!K14</f>
        <v>1211.4328063546168</v>
      </c>
      <c r="L5" s="59">
        <f>'SER_se-appl'!L14</f>
        <v>1239.5266611098932</v>
      </c>
      <c r="M5" s="59">
        <f>'SER_se-appl'!M14</f>
        <v>1248.2197839748051</v>
      </c>
      <c r="N5" s="59">
        <f>'SER_se-appl'!N14</f>
        <v>1252.8528497348377</v>
      </c>
      <c r="O5" s="59">
        <f>'SER_se-appl'!O14</f>
        <v>1251.5516755611659</v>
      </c>
      <c r="P5" s="59">
        <f>'SER_se-appl'!P14</f>
        <v>1264.5271828649684</v>
      </c>
      <c r="Q5" s="59">
        <f>'SER_se-appl'!Q14</f>
        <v>1299.6115048033641</v>
      </c>
      <c r="R5" s="59">
        <f>'SER_se-appl'!R14</f>
        <v>1274.3910492448545</v>
      </c>
      <c r="S5" s="59">
        <f>'SER_se-appl'!S14</f>
        <v>1251.5887971909992</v>
      </c>
      <c r="T5" s="59">
        <f>'SER_se-appl'!T14</f>
        <v>1215.7049914808761</v>
      </c>
      <c r="U5" s="59">
        <f>'SER_se-appl'!U14</f>
        <v>1176.0685083600608</v>
      </c>
      <c r="V5" s="59">
        <f>'SER_se-appl'!V14</f>
        <v>1118.4811103864859</v>
      </c>
      <c r="W5" s="59">
        <f>'SER_se-appl'!W14</f>
        <v>1061.4281577823365</v>
      </c>
      <c r="X5" s="59">
        <f>'SER_se-appl'!X14</f>
        <v>1006.1342809449126</v>
      </c>
      <c r="Y5" s="59">
        <f>'SER_se-appl'!Y14</f>
        <v>950.16744507052113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113.05834891530097</v>
      </c>
      <c r="C6" s="201">
        <f>'SER_se-appl'!C70</f>
        <v>114.03113434515024</v>
      </c>
      <c r="D6" s="201">
        <f>'SER_se-appl'!D70</f>
        <v>115.71968247450859</v>
      </c>
      <c r="E6" s="201">
        <f>'SER_se-appl'!E70</f>
        <v>117.33541333793862</v>
      </c>
      <c r="F6" s="201">
        <f>'SER_se-appl'!F70</f>
        <v>119.39063457265905</v>
      </c>
      <c r="G6" s="201">
        <f>'SER_se-appl'!G70</f>
        <v>120.91852950844414</v>
      </c>
      <c r="H6" s="201">
        <f>'SER_se-appl'!H70</f>
        <v>122.92999658110237</v>
      </c>
      <c r="I6" s="201">
        <f>'SER_se-appl'!I70</f>
        <v>124.69650368784363</v>
      </c>
      <c r="J6" s="201">
        <f>'SER_se-appl'!J70</f>
        <v>128.31023122923008</v>
      </c>
      <c r="K6" s="201">
        <f>'SER_se-appl'!K70</f>
        <v>132.65849111788907</v>
      </c>
      <c r="L6" s="201">
        <f>'SER_se-appl'!L70</f>
        <v>138.59850726676268</v>
      </c>
      <c r="M6" s="201">
        <f>'SER_se-appl'!M70</f>
        <v>142.30459863803625</v>
      </c>
      <c r="N6" s="201">
        <f>'SER_se-appl'!N70</f>
        <v>147.52446352138861</v>
      </c>
      <c r="O6" s="201">
        <f>'SER_se-appl'!O70</f>
        <v>152.33336029752434</v>
      </c>
      <c r="P6" s="201">
        <f>'SER_se-appl'!P70</f>
        <v>158.99088893795872</v>
      </c>
      <c r="Q6" s="201">
        <f>'SER_se-appl'!Q70</f>
        <v>167.41323856371935</v>
      </c>
      <c r="R6" s="201">
        <f>'SER_se-appl'!R70</f>
        <v>171.98761262911987</v>
      </c>
      <c r="S6" s="201">
        <f>'SER_se-appl'!S70</f>
        <v>176.62995463328826</v>
      </c>
      <c r="T6" s="201">
        <f>'SER_se-appl'!T70</f>
        <v>181.05122865068606</v>
      </c>
      <c r="U6" s="201">
        <f>'SER_se-appl'!U70</f>
        <v>185.07467450242126</v>
      </c>
      <c r="V6" s="201">
        <f>'SER_se-appl'!V70</f>
        <v>188.37087695872151</v>
      </c>
      <c r="W6" s="201">
        <f>'SER_se-appl'!W70</f>
        <v>190.4040364136952</v>
      </c>
      <c r="X6" s="201">
        <f>'SER_se-appl'!X70</f>
        <v>191.42883064971406</v>
      </c>
      <c r="Y6" s="201">
        <f>'SER_se-appl'!Y70</f>
        <v>191.94329428717631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24.582835344219216</v>
      </c>
      <c r="C8" s="34">
        <f>'SER_se-appl'!C22</f>
        <v>25.160127724451542</v>
      </c>
      <c r="D8" s="34">
        <f>'SER_se-appl'!D22</f>
        <v>25.867978333046782</v>
      </c>
      <c r="E8" s="34">
        <f>'SER_se-appl'!E22</f>
        <v>26.729214542637589</v>
      </c>
      <c r="F8" s="34">
        <f>'SER_se-appl'!F22</f>
        <v>27.79743435178473</v>
      </c>
      <c r="G8" s="34">
        <f>'SER_se-appl'!G22</f>
        <v>29.200401363791162</v>
      </c>
      <c r="H8" s="34">
        <f>'SER_se-appl'!H22</f>
        <v>30.840700273844082</v>
      </c>
      <c r="I8" s="34">
        <f>'SER_se-appl'!I22</f>
        <v>32.333974124104998</v>
      </c>
      <c r="J8" s="34">
        <f>'SER_se-appl'!J22</f>
        <v>33.989134968838066</v>
      </c>
      <c r="K8" s="34">
        <f>'SER_se-appl'!K22</f>
        <v>34.446369715896338</v>
      </c>
      <c r="L8" s="34">
        <f>'SER_se-appl'!L22</f>
        <v>36.47210942690252</v>
      </c>
      <c r="M8" s="34">
        <f>'SER_se-appl'!M22</f>
        <v>38.014868164758944</v>
      </c>
      <c r="N8" s="34">
        <f>'SER_se-appl'!N22</f>
        <v>39.674476833889123</v>
      </c>
      <c r="O8" s="34">
        <f>'SER_se-appl'!O22</f>
        <v>41.20802502286228</v>
      </c>
      <c r="P8" s="34">
        <f>'SER_se-appl'!P22</f>
        <v>43.601816548362116</v>
      </c>
      <c r="Q8" s="34">
        <f>'SER_se-appl'!Q22</f>
        <v>46.957522840039452</v>
      </c>
      <c r="R8" s="34">
        <f>'SER_se-appl'!R22</f>
        <v>48.905545157183802</v>
      </c>
      <c r="S8" s="34">
        <f>'SER_se-appl'!S22</f>
        <v>51.176702106652563</v>
      </c>
      <c r="T8" s="34">
        <f>'SER_se-appl'!T22</f>
        <v>53.324025570284391</v>
      </c>
      <c r="U8" s="34">
        <f>'SER_se-appl'!U22</f>
        <v>55.360502941870138</v>
      </c>
      <c r="V8" s="34">
        <f>'SER_se-appl'!V22</f>
        <v>57.139166220113168</v>
      </c>
      <c r="W8" s="34">
        <f>'SER_se-appl'!W22</f>
        <v>58.495688649535239</v>
      </c>
      <c r="X8" s="34">
        <f>'SER_se-appl'!X22</f>
        <v>59.506655019217092</v>
      </c>
      <c r="Y8" s="34">
        <f>'SER_se-appl'!Y22</f>
        <v>60.310993289720891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4.4162978350591118</v>
      </c>
      <c r="D9" s="36">
        <f>'SER_se-appl'!D30</f>
        <v>4.6465870987843481</v>
      </c>
      <c r="E9" s="36">
        <f>'SER_se-appl'!E30</f>
        <v>4.9022945830926901</v>
      </c>
      <c r="F9" s="36">
        <f>'SER_se-appl'!F30</f>
        <v>5.2142582198725158</v>
      </c>
      <c r="G9" s="36">
        <f>'SER_se-appl'!G30</f>
        <v>5.6567126683242037</v>
      </c>
      <c r="H9" s="36">
        <f>'SER_se-appl'!H30</f>
        <v>6.0045498687112122</v>
      </c>
      <c r="I9" s="36">
        <f>'SER_se-appl'!I30</f>
        <v>5.909571685320028</v>
      </c>
      <c r="J9" s="36">
        <f>'SER_se-appl'!J30</f>
        <v>6.301747943517416</v>
      </c>
      <c r="K9" s="36">
        <f>'SER_se-appl'!K30</f>
        <v>5.3595293301509628</v>
      </c>
      <c r="L9" s="36">
        <f>'SER_se-appl'!L30</f>
        <v>7.2399979308786975</v>
      </c>
      <c r="M9" s="36">
        <f>'SER_se-appl'!M30</f>
        <v>7.1994714061806278</v>
      </c>
      <c r="N9" s="36">
        <f>'SER_se-appl'!N30</f>
        <v>7.664158537841395</v>
      </c>
      <c r="O9" s="36">
        <f>'SER_se-appl'!O30</f>
        <v>7.4431198742931812</v>
      </c>
      <c r="P9" s="36">
        <f>'SER_se-appl'!P30</f>
        <v>8.6955394690172554</v>
      </c>
      <c r="Q9" s="36">
        <f>'SER_se-appl'!Q30</f>
        <v>8.7152356218282989</v>
      </c>
      <c r="R9" s="36">
        <f>'SER_se-appl'!R30</f>
        <v>9.1880202480230437</v>
      </c>
      <c r="S9" s="36">
        <f>'SER_se-appl'!S30</f>
        <v>9.4706283556493887</v>
      </c>
      <c r="T9" s="36">
        <f>'SER_se-appl'!T30</f>
        <v>9.8114820014732231</v>
      </c>
      <c r="U9" s="36">
        <f>'SER_se-appl'!U30</f>
        <v>9.4795972458789279</v>
      </c>
      <c r="V9" s="36">
        <f>'SER_se-appl'!V30</f>
        <v>10.474202747260286</v>
      </c>
      <c r="W9" s="36">
        <f>'SER_se-appl'!W30</f>
        <v>10.07175805125037</v>
      </c>
      <c r="X9" s="36">
        <f>'SER_se-appl'!X30</f>
        <v>10.198986617704897</v>
      </c>
      <c r="Y9" s="36">
        <f>'SER_se-appl'!Y30</f>
        <v>10.274966626153187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3.8390054548267862</v>
      </c>
      <c r="D10" s="38">
        <f>'SER_se-appl'!D38</f>
        <v>3.9387364901891075</v>
      </c>
      <c r="E10" s="38">
        <f>'SER_se-appl'!E38</f>
        <v>4.0410583735018832</v>
      </c>
      <c r="F10" s="38">
        <f>'SER_se-appl'!F38</f>
        <v>4.1460384107253745</v>
      </c>
      <c r="G10" s="38">
        <f>'SER_se-appl'!G38</f>
        <v>4.253745656317772</v>
      </c>
      <c r="H10" s="38">
        <f>'SER_se-appl'!H38</f>
        <v>4.3642509586582925</v>
      </c>
      <c r="I10" s="38">
        <f>'SER_se-appl'!I38</f>
        <v>4.4162978350591118</v>
      </c>
      <c r="J10" s="38">
        <f>'SER_se-appl'!J38</f>
        <v>4.6465870987843445</v>
      </c>
      <c r="K10" s="38">
        <f>'SER_se-appl'!K38</f>
        <v>4.9022945830926901</v>
      </c>
      <c r="L10" s="38">
        <f>'SER_se-appl'!L38</f>
        <v>5.2142582198725194</v>
      </c>
      <c r="M10" s="38">
        <f>'SER_se-appl'!M38</f>
        <v>5.6567126683242037</v>
      </c>
      <c r="N10" s="38">
        <f>'SER_se-appl'!N38</f>
        <v>6.0045498687112158</v>
      </c>
      <c r="O10" s="38">
        <f>'SER_se-appl'!O38</f>
        <v>5.9095716853200244</v>
      </c>
      <c r="P10" s="38">
        <f>'SER_se-appl'!P38</f>
        <v>6.3017479435174195</v>
      </c>
      <c r="Q10" s="38">
        <f>'SER_se-appl'!Q38</f>
        <v>5.3595293301509628</v>
      </c>
      <c r="R10" s="38">
        <f>'SER_se-appl'!R38</f>
        <v>7.2399979308786939</v>
      </c>
      <c r="S10" s="38">
        <f>'SER_se-appl'!S38</f>
        <v>7.1994714061806278</v>
      </c>
      <c r="T10" s="38">
        <f>'SER_se-appl'!T38</f>
        <v>7.664158537841395</v>
      </c>
      <c r="U10" s="38">
        <f>'SER_se-appl'!U38</f>
        <v>7.4431198742931812</v>
      </c>
      <c r="V10" s="38">
        <f>'SER_se-appl'!V38</f>
        <v>8.6955394690172625</v>
      </c>
      <c r="W10" s="38">
        <f>'SER_se-appl'!W38</f>
        <v>8.7152356218282989</v>
      </c>
      <c r="X10" s="38">
        <f>'SER_se-appl'!X38</f>
        <v>9.1880202480230508</v>
      </c>
      <c r="Y10" s="38">
        <f>'SER_se-appl'!Y38</f>
        <v>9.4706283556493887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2231.4288832676775</v>
      </c>
      <c r="C12" s="204">
        <f>'SER_se-appl'!C46</f>
        <v>2248.9710048370189</v>
      </c>
      <c r="D12" s="204">
        <f>'SER_se-appl'!D46</f>
        <v>2263.6673378463333</v>
      </c>
      <c r="E12" s="204">
        <f>'SER_se-appl'!E46</f>
        <v>2279.4630985994045</v>
      </c>
      <c r="F12" s="204">
        <f>'SER_se-appl'!F46</f>
        <v>2298.8030975330471</v>
      </c>
      <c r="G12" s="204">
        <f>'SER_se-appl'!G46</f>
        <v>2321.7812623899313</v>
      </c>
      <c r="H12" s="204">
        <f>'SER_se-appl'!H46</f>
        <v>2341.0527018259704</v>
      </c>
      <c r="I12" s="204">
        <f>'SER_se-appl'!I46</f>
        <v>2360.3307149627526</v>
      </c>
      <c r="J12" s="204">
        <f>'SER_se-appl'!J46</f>
        <v>2370.4422169553563</v>
      </c>
      <c r="K12" s="204">
        <f>'SER_se-appl'!K46</f>
        <v>2378.3696706250489</v>
      </c>
      <c r="L12" s="204">
        <f>'SER_se-appl'!L46</f>
        <v>2386.1545678337884</v>
      </c>
      <c r="M12" s="204">
        <f>'SER_se-appl'!M46</f>
        <v>2397.3897830555147</v>
      </c>
      <c r="N12" s="204">
        <f>'SER_se-appl'!N46</f>
        <v>2406.5592724606099</v>
      </c>
      <c r="O12" s="204">
        <f>'SER_se-appl'!O46</f>
        <v>2416.3125138167734</v>
      </c>
      <c r="P12" s="204">
        <f>'SER_se-appl'!P46</f>
        <v>2425.0893943096544</v>
      </c>
      <c r="Q12" s="204">
        <f>'SER_se-appl'!Q46</f>
        <v>2437.3921390377877</v>
      </c>
      <c r="R12" s="204">
        <f>'SER_se-appl'!R46</f>
        <v>2468.3244710470094</v>
      </c>
      <c r="S12" s="204">
        <f>'SER_se-appl'!S46</f>
        <v>2512.8242666435153</v>
      </c>
      <c r="T12" s="204">
        <f>'SER_se-appl'!T46</f>
        <v>2502.0493972705535</v>
      </c>
      <c r="U12" s="204">
        <f>'SER_se-appl'!U46</f>
        <v>2471.893360363169</v>
      </c>
      <c r="V12" s="204">
        <f>'SER_se-appl'!V46</f>
        <v>2353.4974279006365</v>
      </c>
      <c r="W12" s="204">
        <f>'SER_se-appl'!W46</f>
        <v>2338.0988393639727</v>
      </c>
      <c r="X12" s="204">
        <f>'SER_se-appl'!X46</f>
        <v>2379.956365102973</v>
      </c>
      <c r="Y12" s="204">
        <f>'SER_se-appl'!Y46</f>
        <v>2400.8851279724731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43.768884326508818</v>
      </c>
      <c r="C14" s="59">
        <f>'SER_se-appl'!C54</f>
        <v>43.315323144816531</v>
      </c>
      <c r="D14" s="59">
        <f>'SER_se-appl'!D54</f>
        <v>42.612344998794867</v>
      </c>
      <c r="E14" s="59">
        <f>'SER_se-appl'!E54</f>
        <v>41.728297076714945</v>
      </c>
      <c r="F14" s="59">
        <f>'SER_se-appl'!F54</f>
        <v>40.734807778317226</v>
      </c>
      <c r="G14" s="59">
        <f>'SER_se-appl'!G54</f>
        <v>39.559004394969477</v>
      </c>
      <c r="H14" s="59">
        <f>'SER_se-appl'!H54</f>
        <v>38.222617028255286</v>
      </c>
      <c r="I14" s="59">
        <f>'SER_se-appl'!I54</f>
        <v>37.139390410270778</v>
      </c>
      <c r="J14" s="59">
        <f>'SER_se-appl'!J54</f>
        <v>36.106001998551292</v>
      </c>
      <c r="K14" s="59">
        <f>'SER_se-appl'!K54</f>
        <v>35.168664110214316</v>
      </c>
      <c r="L14" s="59">
        <f>'SER_se-appl'!L54</f>
        <v>33.985603810334993</v>
      </c>
      <c r="M14" s="59">
        <f>'SER_se-appl'!M54</f>
        <v>32.835041767472092</v>
      </c>
      <c r="N14" s="59">
        <f>'SER_se-appl'!N54</f>
        <v>31.578308013495381</v>
      </c>
      <c r="O14" s="59">
        <f>'SER_se-appl'!O54</f>
        <v>30.371552018491613</v>
      </c>
      <c r="P14" s="59">
        <f>'SER_se-appl'!P54</f>
        <v>29.00170871235111</v>
      </c>
      <c r="Q14" s="59">
        <f>'SER_se-appl'!Q54</f>
        <v>27.676321624343</v>
      </c>
      <c r="R14" s="59">
        <f>'SER_se-appl'!R54</f>
        <v>26.058211704806187</v>
      </c>
      <c r="S14" s="59">
        <f>'SER_se-appl'!S54</f>
        <v>24.456222180606332</v>
      </c>
      <c r="T14" s="59">
        <f>'SER_se-appl'!T54</f>
        <v>22.798447388007137</v>
      </c>
      <c r="U14" s="59">
        <f>'SER_se-appl'!U54</f>
        <v>21.243819074312984</v>
      </c>
      <c r="V14" s="59">
        <f>'SER_se-appl'!V54</f>
        <v>19.574683783061172</v>
      </c>
      <c r="W14" s="59">
        <f>'SER_se-appl'!W54</f>
        <v>18.145408358924751</v>
      </c>
      <c r="X14" s="59">
        <f>'SER_se-appl'!X54</f>
        <v>16.907928711838892</v>
      </c>
      <c r="Y14" s="59">
        <f>'SER_se-appl'!Y54</f>
        <v>15.754465201826861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41.184897084607101</v>
      </c>
      <c r="D15" s="63">
        <f>'SER_se-appl'!D62</f>
        <v>39.786245754376722</v>
      </c>
      <c r="E15" s="63">
        <f>'SER_se-appl'!E62</f>
        <v>38.745530526632798</v>
      </c>
      <c r="F15" s="63">
        <f>'SER_se-appl'!F62</f>
        <v>38.054505019328509</v>
      </c>
      <c r="G15" s="63">
        <f>'SER_se-appl'!G62</f>
        <v>36.946787767889489</v>
      </c>
      <c r="H15" s="63">
        <f>'SER_se-appl'!H62</f>
        <v>35.754864168146767</v>
      </c>
      <c r="I15" s="63">
        <f>'SER_se-appl'!I62</f>
        <v>34.509537366110671</v>
      </c>
      <c r="J15" s="63">
        <f>'SER_se-appl'!J62</f>
        <v>33.517358156445731</v>
      </c>
      <c r="K15" s="63">
        <f>'SER_se-appl'!K62</f>
        <v>32.495957188012795</v>
      </c>
      <c r="L15" s="63">
        <f>'SER_se-appl'!L62</f>
        <v>31.287283852579485</v>
      </c>
      <c r="M15" s="63">
        <f>'SER_se-appl'!M62</f>
        <v>30.237009497465909</v>
      </c>
      <c r="N15" s="63">
        <f>'SER_se-appl'!N62</f>
        <v>28.616961617346522</v>
      </c>
      <c r="O15" s="63">
        <f>'SER_se-appl'!O62</f>
        <v>27.224526024153544</v>
      </c>
      <c r="P15" s="63">
        <f>'SER_se-appl'!P62</f>
        <v>25.782580935563146</v>
      </c>
      <c r="Q15" s="63">
        <f>'SER_se-appl'!Q62</f>
        <v>24.009374694907475</v>
      </c>
      <c r="R15" s="63">
        <f>'SER_se-appl'!R62</f>
        <v>21.908899780700089</v>
      </c>
      <c r="S15" s="63">
        <f>'SER_se-appl'!S62</f>
        <v>20.578173476241268</v>
      </c>
      <c r="T15" s="63">
        <f>'SER_se-appl'!T62</f>
        <v>18.696576620025215</v>
      </c>
      <c r="U15" s="63">
        <f>'SER_se-appl'!U62</f>
        <v>17.194710214997254</v>
      </c>
      <c r="V15" s="63">
        <f>'SER_se-appl'!V62</f>
        <v>15.906323009483941</v>
      </c>
      <c r="W15" s="63">
        <f>'SER_se-appl'!W62</f>
        <v>15.111006859009743</v>
      </c>
      <c r="X15" s="63">
        <f>'SER_se-appl'!X62</f>
        <v>14.315690708535545</v>
      </c>
      <c r="Y15" s="63">
        <f>'SER_se-appl'!Y62</f>
        <v>13.520374558061349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68.085548591826523</v>
      </c>
      <c r="C3" s="198">
        <f>'SER_se-appl'!C7</f>
        <v>69.840197823396736</v>
      </c>
      <c r="D3" s="198">
        <f>'SER_se-appl'!D7</f>
        <v>71.561240471901542</v>
      </c>
      <c r="E3" s="198">
        <f>'SER_se-appl'!E7</f>
        <v>73.858181753458197</v>
      </c>
      <c r="F3" s="198">
        <f>'SER_se-appl'!F7</f>
        <v>76.425290879127601</v>
      </c>
      <c r="G3" s="198">
        <f>'SER_se-appl'!G7</f>
        <v>79.423103016819155</v>
      </c>
      <c r="H3" s="198">
        <f>'SER_se-appl'!H7</f>
        <v>81.324339329713638</v>
      </c>
      <c r="I3" s="198">
        <f>'SER_se-appl'!I7</f>
        <v>83.112584439134309</v>
      </c>
      <c r="J3" s="198">
        <f>'SER_se-appl'!J7</f>
        <v>84.980436973312251</v>
      </c>
      <c r="K3" s="198">
        <f>'SER_se-appl'!K7</f>
        <v>86.72170986955237</v>
      </c>
      <c r="L3" s="198">
        <f>'SER_se-appl'!L7</f>
        <v>87.50369295548235</v>
      </c>
      <c r="M3" s="198">
        <f>'SER_se-appl'!M7</f>
        <v>87.769003040183776</v>
      </c>
      <c r="N3" s="198">
        <f>'SER_se-appl'!N7</f>
        <v>88.18605188976673</v>
      </c>
      <c r="O3" s="198">
        <f>'SER_se-appl'!O7</f>
        <v>88.767814489655976</v>
      </c>
      <c r="P3" s="198">
        <f>'SER_se-appl'!P7</f>
        <v>89.465981212715505</v>
      </c>
      <c r="Q3" s="198">
        <f>'SER_se-appl'!Q7</f>
        <v>88.996500543148002</v>
      </c>
      <c r="R3" s="198">
        <f>'SER_se-appl'!R7</f>
        <v>89.028757914611546</v>
      </c>
      <c r="S3" s="198">
        <f>'SER_se-appl'!S7</f>
        <v>90.013556940229051</v>
      </c>
      <c r="T3" s="198">
        <f>'SER_se-appl'!T7</f>
        <v>90.842390750201787</v>
      </c>
      <c r="U3" s="198">
        <f>'SER_se-appl'!U7</f>
        <v>91.496255052198705</v>
      </c>
      <c r="V3" s="198">
        <f>'SER_se-appl'!V7</f>
        <v>92.171755871851289</v>
      </c>
      <c r="W3" s="198">
        <f>'SER_se-appl'!W7</f>
        <v>92.717500912612138</v>
      </c>
      <c r="X3" s="198">
        <f>'SER_se-appl'!X7</f>
        <v>92.872073429154455</v>
      </c>
      <c r="Y3" s="198">
        <f>'SER_se-appl'!Y7</f>
        <v>93.752736233269928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90.392115310838179</v>
      </c>
      <c r="C5" s="59">
        <f>'SER_se-appl'!C15</f>
        <v>92.721632498413712</v>
      </c>
      <c r="D5" s="59">
        <f>'SER_se-appl'!D15</f>
        <v>95.006532726965176</v>
      </c>
      <c r="E5" s="59">
        <f>'SER_se-appl'!E15</f>
        <v>98.056010706931403</v>
      </c>
      <c r="F5" s="59">
        <f>'SER_se-appl'!F15</f>
        <v>101.46417042514318</v>
      </c>
      <c r="G5" s="59">
        <f>'SER_se-appl'!G15</f>
        <v>105.44414247552589</v>
      </c>
      <c r="H5" s="59">
        <f>'SER_se-appl'!H15</f>
        <v>107.96827242061292</v>
      </c>
      <c r="I5" s="59">
        <f>'SER_se-appl'!I15</f>
        <v>110.34239235469546</v>
      </c>
      <c r="J5" s="59">
        <f>'SER_se-appl'!J15</f>
        <v>112.82220114150928</v>
      </c>
      <c r="K5" s="59">
        <f>'SER_se-appl'!K15</f>
        <v>115.13395956425724</v>
      </c>
      <c r="L5" s="59">
        <f>'SER_se-appl'!L15</f>
        <v>116.17214030505251</v>
      </c>
      <c r="M5" s="59">
        <f>'SER_se-appl'!M15</f>
        <v>116.5243727576869</v>
      </c>
      <c r="N5" s="59">
        <f>'SER_se-appl'!N15</f>
        <v>117.07805747465608</v>
      </c>
      <c r="O5" s="59">
        <f>'SER_se-appl'!O15</f>
        <v>117.8504203783903</v>
      </c>
      <c r="P5" s="59">
        <f>'SER_se-appl'!P15</f>
        <v>118.77732437258919</v>
      </c>
      <c r="Q5" s="59">
        <f>'SER_se-appl'!Q15</f>
        <v>118.15402983068621</v>
      </c>
      <c r="R5" s="59">
        <f>'SER_se-appl'!R15</f>
        <v>118.19685554188733</v>
      </c>
      <c r="S5" s="59">
        <f>'SER_se-appl'!S15</f>
        <v>119.50429991037262</v>
      </c>
      <c r="T5" s="59">
        <f>'SER_se-appl'!T15</f>
        <v>120.60468087041632</v>
      </c>
      <c r="U5" s="59">
        <f>'SER_se-appl'!U15</f>
        <v>121.47276783756516</v>
      </c>
      <c r="V5" s="59">
        <f>'SER_se-appl'!V15</f>
        <v>122.36957999881628</v>
      </c>
      <c r="W5" s="59">
        <f>'SER_se-appl'!W15</f>
        <v>123.09412507005469</v>
      </c>
      <c r="X5" s="59">
        <f>'SER_se-appl'!X15</f>
        <v>123.29933949555553</v>
      </c>
      <c r="Y5" s="59">
        <f>'SER_se-appl'!Y15</f>
        <v>124.46852995353075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1.2756133329996221E-2</v>
      </c>
      <c r="C6" s="201">
        <f>'SER_se-appl'!C71</f>
        <v>1.329681349532259E-2</v>
      </c>
      <c r="D6" s="201">
        <f>'SER_se-appl'!D71</f>
        <v>1.3872380698304732E-2</v>
      </c>
      <c r="E6" s="201">
        <f>'SER_se-appl'!E71</f>
        <v>1.4590296048469993E-2</v>
      </c>
      <c r="F6" s="201">
        <f>'SER_se-appl'!F71</f>
        <v>1.5378163668932174E-2</v>
      </c>
      <c r="G6" s="201">
        <f>'SER_se-appl'!G71</f>
        <v>1.6290518113209491E-2</v>
      </c>
      <c r="H6" s="201">
        <f>'SER_se-appl'!H71</f>
        <v>1.6955120868694114E-2</v>
      </c>
      <c r="I6" s="201">
        <f>'SER_se-appl'!I71</f>
        <v>1.760878346329791E-2</v>
      </c>
      <c r="J6" s="201">
        <f>'SER_se-appl'!J71</f>
        <v>1.8202463304776394E-2</v>
      </c>
      <c r="K6" s="201">
        <f>'SER_se-appl'!K71</f>
        <v>1.879964857695457E-2</v>
      </c>
      <c r="L6" s="201">
        <f>'SER_se-appl'!L71</f>
        <v>1.9310141998884523E-2</v>
      </c>
      <c r="M6" s="201">
        <f>'SER_se-appl'!M71</f>
        <v>1.9667194989346909E-2</v>
      </c>
      <c r="N6" s="201">
        <f>'SER_se-appl'!N71</f>
        <v>2.0061840838461461E-2</v>
      </c>
      <c r="O6" s="201">
        <f>'SER_se-appl'!O71</f>
        <v>2.054237325696515E-2</v>
      </c>
      <c r="P6" s="201">
        <f>'SER_se-appl'!P71</f>
        <v>2.1156257305697285E-2</v>
      </c>
      <c r="Q6" s="201">
        <f>'SER_se-appl'!Q71</f>
        <v>2.1425082886555209E-2</v>
      </c>
      <c r="R6" s="201">
        <f>'SER_se-appl'!R71</f>
        <v>2.1807666330690915E-2</v>
      </c>
      <c r="S6" s="201">
        <f>'SER_se-appl'!S71</f>
        <v>2.2450986815528037E-2</v>
      </c>
      <c r="T6" s="201">
        <f>'SER_se-appl'!T71</f>
        <v>2.3072292706874515E-2</v>
      </c>
      <c r="U6" s="201">
        <f>'SER_se-appl'!U71</f>
        <v>2.3647446749467543E-2</v>
      </c>
      <c r="V6" s="201">
        <f>'SER_se-appl'!V71</f>
        <v>2.4165591571951802E-2</v>
      </c>
      <c r="W6" s="201">
        <f>'SER_se-appl'!W71</f>
        <v>2.5189313276083598E-2</v>
      </c>
      <c r="X6" s="201">
        <f>'SER_se-appl'!X71</f>
        <v>2.5610843737768188E-2</v>
      </c>
      <c r="Y6" s="201">
        <f>'SER_se-appl'!Y71</f>
        <v>2.5610843737768181E-2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131.10878846676749</v>
      </c>
      <c r="C8" s="34">
        <f>'SER_se-appl'!C23</f>
        <v>136.0533546981051</v>
      </c>
      <c r="D8" s="34">
        <f>'SER_se-appl'!D23</f>
        <v>141.51468027669367</v>
      </c>
      <c r="E8" s="34">
        <f>'SER_se-appl'!E23</f>
        <v>148.71376642814161</v>
      </c>
      <c r="F8" s="34">
        <f>'SER_se-appl'!F23</f>
        <v>156.78571482755663</v>
      </c>
      <c r="G8" s="34">
        <f>'SER_se-appl'!G23</f>
        <v>166.1446321114972</v>
      </c>
      <c r="H8" s="34">
        <f>'SER_se-appl'!H23</f>
        <v>173.34198374540117</v>
      </c>
      <c r="I8" s="34">
        <f>'SER_se-appl'!I23</f>
        <v>180.5645684792037</v>
      </c>
      <c r="J8" s="34">
        <f>'SER_se-appl'!J23</f>
        <v>188.27575940081684</v>
      </c>
      <c r="K8" s="34">
        <f>'SER_se-appl'!K23</f>
        <v>196.00105653958715</v>
      </c>
      <c r="L8" s="34">
        <f>'SER_se-appl'!L23</f>
        <v>202.02440488482577</v>
      </c>
      <c r="M8" s="34">
        <f>'SER_se-appl'!M23</f>
        <v>206.24458337782892</v>
      </c>
      <c r="N8" s="34">
        <f>'SER_se-appl'!N23</f>
        <v>210.75856552721078</v>
      </c>
      <c r="O8" s="34">
        <f>'SER_se-appl'!O23</f>
        <v>216.02616496690263</v>
      </c>
      <c r="P8" s="34">
        <f>'SER_se-appl'!P23</f>
        <v>222.40344126930094</v>
      </c>
      <c r="Q8" s="34">
        <f>'SER_se-appl'!Q23</f>
        <v>225.78341535631259</v>
      </c>
      <c r="R8" s="34">
        <f>'SER_se-appl'!R23</f>
        <v>230.15468665049801</v>
      </c>
      <c r="S8" s="34">
        <f>'SER_se-appl'!S23</f>
        <v>237.50494834384429</v>
      </c>
      <c r="T8" s="34">
        <f>'SER_se-appl'!T23</f>
        <v>244.79829459603746</v>
      </c>
      <c r="U8" s="34">
        <f>'SER_se-appl'!U23</f>
        <v>251.84057839247942</v>
      </c>
      <c r="V8" s="34">
        <f>'SER_se-appl'!V23</f>
        <v>258.42536216936668</v>
      </c>
      <c r="W8" s="34">
        <f>'SER_se-appl'!W23</f>
        <v>264.3577117851201</v>
      </c>
      <c r="X8" s="34">
        <f>'SER_se-appl'!X23</f>
        <v>269.34173961289287</v>
      </c>
      <c r="Y8" s="34">
        <f>'SER_se-appl'!Y23</f>
        <v>277.30215328515339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16.860139676578626</v>
      </c>
      <c r="D9" s="36">
        <f>'SER_se-appl'!D31</f>
        <v>17.627890869569853</v>
      </c>
      <c r="E9" s="36">
        <f>'SER_se-appl'!E31</f>
        <v>19.621930226890299</v>
      </c>
      <c r="F9" s="36">
        <f>'SER_se-appl'!F31</f>
        <v>20.75646956309555</v>
      </c>
      <c r="G9" s="36">
        <f>'SER_se-appl'!G31</f>
        <v>22.310627550506894</v>
      </c>
      <c r="H9" s="36">
        <f>'SER_se-appl'!H31</f>
        <v>20.421879124100997</v>
      </c>
      <c r="I9" s="36">
        <f>'SER_se-appl'!I31</f>
        <v>20.725676120152912</v>
      </c>
      <c r="J9" s="36">
        <f>'SER_se-appl'!J31</f>
        <v>21.498713925613714</v>
      </c>
      <c r="K9" s="36">
        <f>'SER_se-appl'!K31</f>
        <v>21.803243080690208</v>
      </c>
      <c r="L9" s="36">
        <f>'SER_se-appl'!L31</f>
        <v>20.397834747626689</v>
      </c>
      <c r="M9" s="36">
        <f>'SER_se-appl'!M31</f>
        <v>21.080318169581773</v>
      </c>
      <c r="N9" s="36">
        <f>'SER_se-appl'!N31</f>
        <v>22.141873018951713</v>
      </c>
      <c r="O9" s="36">
        <f>'SER_se-appl'!O31</f>
        <v>24.889529666582149</v>
      </c>
      <c r="P9" s="36">
        <f>'SER_se-appl'!P31</f>
        <v>27.133745865493864</v>
      </c>
      <c r="Q9" s="36">
        <f>'SER_se-appl'!Q31</f>
        <v>25.69060163751854</v>
      </c>
      <c r="R9" s="36">
        <f>'SER_se-appl'!R31</f>
        <v>24.793150418286416</v>
      </c>
      <c r="S9" s="36">
        <f>'SER_se-appl'!S31</f>
        <v>28.075937813499195</v>
      </c>
      <c r="T9" s="36">
        <f>'SER_se-appl'!T31</f>
        <v>28.792060177806889</v>
      </c>
      <c r="U9" s="36">
        <f>'SER_se-appl'!U31</f>
        <v>28.845526877132158</v>
      </c>
      <c r="V9" s="36">
        <f>'SER_se-appl'!V31</f>
        <v>26.982618524513953</v>
      </c>
      <c r="W9" s="36">
        <f>'SER_se-appl'!W31</f>
        <v>27.012667785335196</v>
      </c>
      <c r="X9" s="36">
        <f>'SER_se-appl'!X31</f>
        <v>27.125900846724477</v>
      </c>
      <c r="Y9" s="36">
        <f>'SER_se-appl'!Y31</f>
        <v>32.849943338842678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11.915573445241023</v>
      </c>
      <c r="D10" s="38">
        <f>'SER_se-appl'!D39</f>
        <v>12.166565290981282</v>
      </c>
      <c r="E10" s="38">
        <f>'SER_se-appl'!E39</f>
        <v>12.422844075442356</v>
      </c>
      <c r="F10" s="38">
        <f>'SER_se-appl'!F39</f>
        <v>12.684521163680529</v>
      </c>
      <c r="G10" s="38">
        <f>'SER_se-appl'!G39</f>
        <v>12.951710266566323</v>
      </c>
      <c r="H10" s="38">
        <f>'SER_se-appl'!H39</f>
        <v>13.224527490197033</v>
      </c>
      <c r="I10" s="38">
        <f>'SER_se-appl'!I39</f>
        <v>13.503091386350377</v>
      </c>
      <c r="J10" s="38">
        <f>'SER_se-appl'!J39</f>
        <v>13.787523004000576</v>
      </c>
      <c r="K10" s="38">
        <f>'SER_se-appl'!K39</f>
        <v>14.077945941919893</v>
      </c>
      <c r="L10" s="38">
        <f>'SER_se-appl'!L39</f>
        <v>14.374486402388072</v>
      </c>
      <c r="M10" s="38">
        <f>'SER_se-appl'!M39</f>
        <v>16.860139676578626</v>
      </c>
      <c r="N10" s="38">
        <f>'SER_se-appl'!N39</f>
        <v>17.627890869569853</v>
      </c>
      <c r="O10" s="38">
        <f>'SER_se-appl'!O39</f>
        <v>19.621930226890299</v>
      </c>
      <c r="P10" s="38">
        <f>'SER_se-appl'!P39</f>
        <v>20.75646956309555</v>
      </c>
      <c r="Q10" s="38">
        <f>'SER_se-appl'!Q39</f>
        <v>22.310627550506894</v>
      </c>
      <c r="R10" s="38">
        <f>'SER_se-appl'!R39</f>
        <v>20.421879124100997</v>
      </c>
      <c r="S10" s="38">
        <f>'SER_se-appl'!S39</f>
        <v>20.725676120152883</v>
      </c>
      <c r="T10" s="38">
        <f>'SER_se-appl'!T39</f>
        <v>21.498713925613686</v>
      </c>
      <c r="U10" s="38">
        <f>'SER_se-appl'!U39</f>
        <v>21.803243080690208</v>
      </c>
      <c r="V10" s="38">
        <f>'SER_se-appl'!V39</f>
        <v>20.397834747626689</v>
      </c>
      <c r="W10" s="38">
        <f>'SER_se-appl'!W39</f>
        <v>21.080318169581744</v>
      </c>
      <c r="X10" s="38">
        <f>'SER_se-appl'!X39</f>
        <v>22.141873018951742</v>
      </c>
      <c r="Y10" s="38">
        <f>'SER_se-appl'!Y39</f>
        <v>24.889529666582121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8760</v>
      </c>
      <c r="C12" s="204">
        <f>'SER_se-appl'!C47</f>
        <v>8760</v>
      </c>
      <c r="D12" s="204">
        <f>'SER_se-appl'!D47</f>
        <v>8760</v>
      </c>
      <c r="E12" s="204">
        <f>'SER_se-appl'!E47</f>
        <v>8759.9999999999982</v>
      </c>
      <c r="F12" s="204">
        <f>'SER_se-appl'!F47</f>
        <v>8759.9999999999982</v>
      </c>
      <c r="G12" s="204">
        <f>'SER_se-appl'!G47</f>
        <v>8760</v>
      </c>
      <c r="H12" s="204">
        <f>'SER_se-appl'!H47</f>
        <v>8760.0000000000036</v>
      </c>
      <c r="I12" s="204">
        <f>'SER_se-appl'!I47</f>
        <v>8759.9999999999982</v>
      </c>
      <c r="J12" s="204">
        <f>'SER_se-appl'!J47</f>
        <v>8760.0000000000018</v>
      </c>
      <c r="K12" s="204">
        <f>'SER_se-appl'!K47</f>
        <v>8760.0000000000055</v>
      </c>
      <c r="L12" s="204">
        <f>'SER_se-appl'!L47</f>
        <v>8759.9999999999982</v>
      </c>
      <c r="M12" s="204">
        <f>'SER_se-appl'!M47</f>
        <v>8760</v>
      </c>
      <c r="N12" s="204">
        <f>'SER_se-appl'!N47</f>
        <v>8759.9999999999982</v>
      </c>
      <c r="O12" s="204">
        <f>'SER_se-appl'!O47</f>
        <v>8760</v>
      </c>
      <c r="P12" s="204">
        <f>'SER_se-appl'!P47</f>
        <v>8760</v>
      </c>
      <c r="Q12" s="204">
        <f>'SER_se-appl'!Q47</f>
        <v>8760</v>
      </c>
      <c r="R12" s="204">
        <f>'SER_se-appl'!R47</f>
        <v>8759.9999999999945</v>
      </c>
      <c r="S12" s="204">
        <f>'SER_se-appl'!S47</f>
        <v>8759.9999999999982</v>
      </c>
      <c r="T12" s="204">
        <f>'SER_se-appl'!T47</f>
        <v>8759.9999999999982</v>
      </c>
      <c r="U12" s="204">
        <f>'SER_se-appl'!U47</f>
        <v>8760</v>
      </c>
      <c r="V12" s="204">
        <f>'SER_se-appl'!V47</f>
        <v>8760</v>
      </c>
      <c r="W12" s="204">
        <f>'SER_se-appl'!W47</f>
        <v>8760</v>
      </c>
      <c r="X12" s="204">
        <f>'SER_se-appl'!X47</f>
        <v>8760</v>
      </c>
      <c r="Y12" s="204">
        <f>'SER_se-appl'!Y47</f>
        <v>8760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689.44360151531816</v>
      </c>
      <c r="C14" s="59">
        <f>'SER_se-appl'!C55</f>
        <v>681.50934391994906</v>
      </c>
      <c r="D14" s="59">
        <f>'SER_se-appl'!D55</f>
        <v>671.35460816648572</v>
      </c>
      <c r="E14" s="59">
        <f>'SER_se-appl'!E55</f>
        <v>659.36068369509019</v>
      </c>
      <c r="F14" s="59">
        <f>'SER_se-appl'!F55</f>
        <v>647.15188202407489</v>
      </c>
      <c r="G14" s="59">
        <f>'SER_se-appl'!G55</f>
        <v>634.65271875147846</v>
      </c>
      <c r="H14" s="59">
        <f>'SER_se-appl'!H55</f>
        <v>622.86279461987158</v>
      </c>
      <c r="I14" s="59">
        <f>'SER_se-appl'!I55</f>
        <v>611.09659156305634</v>
      </c>
      <c r="J14" s="59">
        <f>'SER_se-appl'!J55</f>
        <v>599.2391240410517</v>
      </c>
      <c r="K14" s="59">
        <f>'SER_se-appl'!K55</f>
        <v>587.41499457684381</v>
      </c>
      <c r="L14" s="59">
        <f>'SER_se-appl'!L55</f>
        <v>575.04013127167639</v>
      </c>
      <c r="M14" s="59">
        <f>'SER_se-appl'!M55</f>
        <v>564.98149357076954</v>
      </c>
      <c r="N14" s="59">
        <f>'SER_se-appl'!N55</f>
        <v>555.50794427636333</v>
      </c>
      <c r="O14" s="59">
        <f>'SER_se-appl'!O55</f>
        <v>545.53771482471188</v>
      </c>
      <c r="P14" s="59">
        <f>'SER_se-appl'!P55</f>
        <v>534.06243938809234</v>
      </c>
      <c r="Q14" s="59">
        <f>'SER_se-appl'!Q55</f>
        <v>523.3069472539662</v>
      </c>
      <c r="R14" s="59">
        <f>'SER_se-appl'!R55</f>
        <v>513.5539808553865</v>
      </c>
      <c r="S14" s="59">
        <f>'SER_se-appl'!S55</f>
        <v>503.16551610268777</v>
      </c>
      <c r="T14" s="59">
        <f>'SER_se-appl'!T55</f>
        <v>492.66961221864875</v>
      </c>
      <c r="U14" s="59">
        <f>'SER_se-appl'!U55</f>
        <v>482.33993351244874</v>
      </c>
      <c r="V14" s="59">
        <f>'SER_se-appl'!V55</f>
        <v>473.52000969091324</v>
      </c>
      <c r="W14" s="59">
        <f>'SER_se-appl'!W55</f>
        <v>465.63470472959085</v>
      </c>
      <c r="X14" s="59">
        <f>'SER_se-appl'!X55</f>
        <v>457.78028935569193</v>
      </c>
      <c r="Y14" s="59">
        <f>'SER_se-appl'!Y55</f>
        <v>448.85525943081353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625.41789451667023</v>
      </c>
      <c r="D15" s="63">
        <f>'SER_se-appl'!D63</f>
        <v>605.46442565407767</v>
      </c>
      <c r="E15" s="63">
        <f>'SER_se-appl'!E63</f>
        <v>591.90549584596545</v>
      </c>
      <c r="F15" s="63">
        <f>'SER_se-appl'!F63</f>
        <v>585.52451012215545</v>
      </c>
      <c r="G15" s="63">
        <f>'SER_se-appl'!G63</f>
        <v>578.62316033570323</v>
      </c>
      <c r="H15" s="63">
        <f>'SER_se-appl'!H63</f>
        <v>570.05997026629177</v>
      </c>
      <c r="I15" s="63">
        <f>'SER_se-appl'!I63</f>
        <v>563.7326291959929</v>
      </c>
      <c r="J15" s="63">
        <f>'SER_se-appl'!J63</f>
        <v>557.49978087701527</v>
      </c>
      <c r="K15" s="63">
        <f>'SER_se-appl'!K63</f>
        <v>551.1890194686913</v>
      </c>
      <c r="L15" s="63">
        <f>'SER_se-appl'!L63</f>
        <v>536.75199115261842</v>
      </c>
      <c r="M15" s="63">
        <f>'SER_se-appl'!M63</f>
        <v>516.92130179235141</v>
      </c>
      <c r="N15" s="63">
        <f>'SER_se-appl'!N63</f>
        <v>507.03684951118765</v>
      </c>
      <c r="O15" s="63">
        <f>'SER_se-appl'!O63</f>
        <v>497.66674622090591</v>
      </c>
      <c r="P15" s="63">
        <f>'SER_se-appl'!P63</f>
        <v>482.06855521670468</v>
      </c>
      <c r="Q15" s="63">
        <f>'SER_se-appl'!Q63</f>
        <v>478.23524936455465</v>
      </c>
      <c r="R15" s="63">
        <f>'SER_se-appl'!R63</f>
        <v>471.28022539845944</v>
      </c>
      <c r="S15" s="63">
        <f>'SER_se-appl'!S63</f>
        <v>462.71595078535142</v>
      </c>
      <c r="T15" s="63">
        <f>'SER_se-appl'!T63</f>
        <v>454.4971489326669</v>
      </c>
      <c r="U15" s="63">
        <f>'SER_se-appl'!U63</f>
        <v>446.71727429071353</v>
      </c>
      <c r="V15" s="63">
        <f>'SER_se-appl'!V63</f>
        <v>439.00077994580749</v>
      </c>
      <c r="W15" s="63">
        <f>'SER_se-appl'!W63</f>
        <v>430.22076434689131</v>
      </c>
      <c r="X15" s="63">
        <f>'SER_se-appl'!X63</f>
        <v>421.44074874797519</v>
      </c>
      <c r="Y15" s="63">
        <f>'SER_se-appl'!Y63</f>
        <v>412.66073314905901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41.376064567311815</v>
      </c>
      <c r="C3" s="198">
        <f>'SER_se-appl'!C8</f>
        <v>44.774589369200626</v>
      </c>
      <c r="D3" s="198">
        <f>'SER_se-appl'!D8</f>
        <v>47.957046784346609</v>
      </c>
      <c r="E3" s="198">
        <f>'SER_se-appl'!E8</f>
        <v>51.834294737787033</v>
      </c>
      <c r="F3" s="198">
        <f>'SER_se-appl'!F8</f>
        <v>56.280675863220686</v>
      </c>
      <c r="G3" s="198">
        <f>'SER_se-appl'!G8</f>
        <v>62.198748091084198</v>
      </c>
      <c r="H3" s="198">
        <f>'SER_se-appl'!H8</f>
        <v>68.357339053436846</v>
      </c>
      <c r="I3" s="198">
        <f>'SER_se-appl'!I8</f>
        <v>72.579811522314074</v>
      </c>
      <c r="J3" s="198">
        <f>'SER_se-appl'!J8</f>
        <v>76.744369772799502</v>
      </c>
      <c r="K3" s="198">
        <f>'SER_se-appl'!K8</f>
        <v>77.365645197474379</v>
      </c>
      <c r="L3" s="198">
        <f>'SER_se-appl'!L8</f>
        <v>80.676803340147032</v>
      </c>
      <c r="M3" s="198">
        <f>'SER_se-appl'!M8</f>
        <v>81.459021911795077</v>
      </c>
      <c r="N3" s="198">
        <f>'SER_se-appl'!N8</f>
        <v>83.249929751890988</v>
      </c>
      <c r="O3" s="198">
        <f>'SER_se-appl'!O8</f>
        <v>84.291239358172419</v>
      </c>
      <c r="P3" s="198">
        <f>'SER_se-appl'!P8</f>
        <v>85.29382643550862</v>
      </c>
      <c r="Q3" s="198">
        <f>'SER_se-appl'!Q8</f>
        <v>87.529124667957461</v>
      </c>
      <c r="R3" s="198">
        <f>'SER_se-appl'!R8</f>
        <v>92.10929410896388</v>
      </c>
      <c r="S3" s="198">
        <f>'SER_se-appl'!S8</f>
        <v>95.710575759831968</v>
      </c>
      <c r="T3" s="198">
        <f>'SER_se-appl'!T8</f>
        <v>97.400814349521241</v>
      </c>
      <c r="U3" s="198">
        <f>'SER_se-appl'!U8</f>
        <v>97.701516915429551</v>
      </c>
      <c r="V3" s="198">
        <f>'SER_se-appl'!V8</f>
        <v>93.334045418920539</v>
      </c>
      <c r="W3" s="198">
        <f>'SER_se-appl'!W8</f>
        <v>92.432088636155186</v>
      </c>
      <c r="X3" s="198">
        <f>'SER_se-appl'!X8</f>
        <v>94.274457693821986</v>
      </c>
      <c r="Y3" s="198">
        <f>'SER_se-appl'!Y8</f>
        <v>95.004876754583279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624.42909173163878</v>
      </c>
      <c r="C5" s="59">
        <f>'SER_se-appl'!C16</f>
        <v>672.50563047557171</v>
      </c>
      <c r="D5" s="59">
        <f>'SER_se-appl'!D16</f>
        <v>717.17859047760737</v>
      </c>
      <c r="E5" s="59">
        <f>'SER_se-appl'!E16</f>
        <v>772.06519312798514</v>
      </c>
      <c r="F5" s="59">
        <f>'SER_se-appl'!F16</f>
        <v>835.19300783562664</v>
      </c>
      <c r="G5" s="59">
        <f>'SER_se-appl'!G16</f>
        <v>919.83732425723394</v>
      </c>
      <c r="H5" s="59">
        <f>'SER_se-appl'!H16</f>
        <v>1007.6578600912489</v>
      </c>
      <c r="I5" s="59">
        <f>'SER_se-appl'!I16</f>
        <v>1066.6632621351355</v>
      </c>
      <c r="J5" s="59">
        <f>'SER_se-appl'!J16</f>
        <v>1124.6485979723159</v>
      </c>
      <c r="K5" s="59">
        <f>'SER_se-appl'!K16</f>
        <v>1130.6922595680662</v>
      </c>
      <c r="L5" s="59">
        <f>'SER_se-appl'!L16</f>
        <v>1176.0644692796257</v>
      </c>
      <c r="M5" s="59">
        <f>'SER_se-appl'!M16</f>
        <v>1185.5375901909861</v>
      </c>
      <c r="N5" s="59">
        <f>'SER_se-appl'!N16</f>
        <v>1209.7247531544956</v>
      </c>
      <c r="O5" s="59">
        <f>'SER_se-appl'!O16</f>
        <v>1223.0427167606324</v>
      </c>
      <c r="P5" s="59">
        <f>'SER_se-appl'!P16</f>
        <v>1235.8355127450973</v>
      </c>
      <c r="Q5" s="59">
        <f>'SER_se-appl'!Q16</f>
        <v>1266.4985567557017</v>
      </c>
      <c r="R5" s="59">
        <f>'SER_se-appl'!R16</f>
        <v>1315.5652798109452</v>
      </c>
      <c r="S5" s="59">
        <f>'SER_se-appl'!S16</f>
        <v>1349.2393020013376</v>
      </c>
      <c r="T5" s="59">
        <f>'SER_se-appl'!T16</f>
        <v>1374.500947965365</v>
      </c>
      <c r="U5" s="59">
        <f>'SER_se-appl'!U16</f>
        <v>1392.2994881907357</v>
      </c>
      <c r="V5" s="59">
        <f>'SER_se-appl'!V16</f>
        <v>1396.9711906783477</v>
      </c>
      <c r="W5" s="59">
        <f>'SER_se-appl'!W16</f>
        <v>1392.5826760418181</v>
      </c>
      <c r="X5" s="59">
        <f>'SER_se-appl'!X16</f>
        <v>1392.345397215737</v>
      </c>
      <c r="Y5" s="59">
        <f>'SER_se-appl'!Y16</f>
        <v>1389.4402982153492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56.446585433379752</v>
      </c>
      <c r="C6" s="201">
        <f>'SER_se-appl'!C72</f>
        <v>60.30889816880466</v>
      </c>
      <c r="D6" s="201">
        <f>'SER_se-appl'!D72</f>
        <v>63.953994906058583</v>
      </c>
      <c r="E6" s="201">
        <f>'SER_se-appl'!E72</f>
        <v>68.218920105476627</v>
      </c>
      <c r="F6" s="201">
        <f>'SER_se-appl'!F72</f>
        <v>73.001002609593399</v>
      </c>
      <c r="G6" s="201">
        <f>'SER_se-appl'!G72</f>
        <v>78.610792543491812</v>
      </c>
      <c r="H6" s="201">
        <f>'SER_se-appl'!H72</f>
        <v>84.134881289124706</v>
      </c>
      <c r="I6" s="201">
        <f>'SER_se-appl'!I72</f>
        <v>87.241770993965105</v>
      </c>
      <c r="J6" s="201">
        <f>'SER_se-appl'!J72</f>
        <v>91.263181793879554</v>
      </c>
      <c r="K6" s="201">
        <f>'SER_se-appl'!K72</f>
        <v>94.436824640752349</v>
      </c>
      <c r="L6" s="201">
        <f>'SER_se-appl'!L72</f>
        <v>98.415857378842972</v>
      </c>
      <c r="M6" s="201">
        <f>'SER_se-appl'!M72</f>
        <v>98.946766301053387</v>
      </c>
      <c r="N6" s="201">
        <f>'SER_se-appl'!N72</f>
        <v>101.9639055269428</v>
      </c>
      <c r="O6" s="201">
        <f>'SER_se-appl'!O72</f>
        <v>104.30198045871362</v>
      </c>
      <c r="P6" s="201">
        <f>'SER_se-appl'!P72</f>
        <v>106.21141145308336</v>
      </c>
      <c r="Q6" s="201">
        <f>'SER_se-appl'!Q72</f>
        <v>109.48776781257119</v>
      </c>
      <c r="R6" s="201">
        <f>'SER_se-appl'!R72</f>
        <v>114.83223066710647</v>
      </c>
      <c r="S6" s="201">
        <f>'SER_se-appl'!S72</f>
        <v>117.89237314752894</v>
      </c>
      <c r="T6" s="201">
        <f>'SER_se-appl'!T72</f>
        <v>120.62417495597367</v>
      </c>
      <c r="U6" s="201">
        <f>'SER_se-appl'!U72</f>
        <v>122.94590375716268</v>
      </c>
      <c r="V6" s="201">
        <f>'SER_se-appl'!V72</f>
        <v>124.70798414567737</v>
      </c>
      <c r="W6" s="201">
        <f>'SER_se-appl'!W72</f>
        <v>125.74510195162087</v>
      </c>
      <c r="X6" s="201">
        <f>'SER_se-appl'!X72</f>
        <v>126.58100280223434</v>
      </c>
      <c r="Y6" s="201">
        <f>'SER_se-appl'!Y72</f>
        <v>127.25372255107071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12.273459932549763</v>
      </c>
      <c r="C8" s="34">
        <f>'SER_se-appl'!C24</f>
        <v>13.306713026770845</v>
      </c>
      <c r="D8" s="34">
        <f>'SER_se-appl'!D24</f>
        <v>14.296276304648003</v>
      </c>
      <c r="E8" s="34">
        <f>'SER_se-appl'!E24</f>
        <v>15.540390573429351</v>
      </c>
      <c r="F8" s="34">
        <f>'SER_se-appl'!F24</f>
        <v>16.996647893848639</v>
      </c>
      <c r="G8" s="34">
        <f>'SER_se-appl'!G24</f>
        <v>18.983580954277006</v>
      </c>
      <c r="H8" s="34">
        <f>'SER_se-appl'!H24</f>
        <v>21.107774575601301</v>
      </c>
      <c r="I8" s="34">
        <f>'SER_se-appl'!I24</f>
        <v>22.621910658550103</v>
      </c>
      <c r="J8" s="34">
        <f>'SER_se-appl'!J24</f>
        <v>24.175442394270483</v>
      </c>
      <c r="K8" s="34">
        <f>'SER_se-appl'!K24</f>
        <v>24.521655183608182</v>
      </c>
      <c r="L8" s="34">
        <f>'SER_se-appl'!L24</f>
        <v>25.898070552484043</v>
      </c>
      <c r="M8" s="34">
        <f>'SER_se-appl'!M24</f>
        <v>26.432373319370502</v>
      </c>
      <c r="N8" s="34">
        <f>'SER_se-appl'!N24</f>
        <v>27.421652729040702</v>
      </c>
      <c r="O8" s="34">
        <f>'SER_se-appl'!O24</f>
        <v>28.214953128337271</v>
      </c>
      <c r="P8" s="34">
        <f>'SER_se-appl'!P24</f>
        <v>29.12752113315786</v>
      </c>
      <c r="Q8" s="34">
        <f>'SER_se-appl'!Q24</f>
        <v>30.710082439549261</v>
      </c>
      <c r="R8" s="34">
        <f>'SER_se-appl'!R24</f>
        <v>32.65312400434744</v>
      </c>
      <c r="S8" s="34">
        <f>'SER_se-appl'!S24</f>
        <v>34.158095515245918</v>
      </c>
      <c r="T8" s="34">
        <f>'SER_se-appl'!T24</f>
        <v>35.526776800597119</v>
      </c>
      <c r="U8" s="34">
        <f>'SER_se-appl'!U24</f>
        <v>36.776220652222428</v>
      </c>
      <c r="V8" s="34">
        <f>'SER_se-appl'!V24</f>
        <v>37.828088662753231</v>
      </c>
      <c r="W8" s="34">
        <f>'SER_se-appl'!W24</f>
        <v>38.631252107410774</v>
      </c>
      <c r="X8" s="34">
        <f>'SER_se-appl'!X24</f>
        <v>39.348367955724967</v>
      </c>
      <c r="Y8" s="34">
        <f>'SER_se-appl'!Y24</f>
        <v>39.984717545729765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1.3828313588599119</v>
      </c>
      <c r="D9" s="36">
        <f>'SER_se-appl'!D32</f>
        <v>1.3784801006470424</v>
      </c>
      <c r="E9" s="36">
        <f>'SER_se-appl'!E32</f>
        <v>1.6767964756962837</v>
      </c>
      <c r="F9" s="36">
        <f>'SER_se-appl'!F32</f>
        <v>1.9376298947590467</v>
      </c>
      <c r="G9" s="36">
        <f>'SER_se-appl'!G32</f>
        <v>2.5224752011109466</v>
      </c>
      <c r="H9" s="36">
        <f>'SER_se-appl'!H32</f>
        <v>2.7200011096097576</v>
      </c>
      <c r="I9" s="36">
        <f>'SER_se-appl'!I32</f>
        <v>2.1769906673603678</v>
      </c>
      <c r="J9" s="36">
        <f>'SER_se-appl'!J32</f>
        <v>2.2909783249531017</v>
      </c>
      <c r="K9" s="36">
        <f>'SER_se-appl'!K32</f>
        <v>1.1666453317990957</v>
      </c>
      <c r="L9" s="36">
        <f>'SER_se-appl'!L32</f>
        <v>2.289172396378035</v>
      </c>
      <c r="M9" s="36">
        <f>'SER_se-appl'!M32</f>
        <v>1.5497736900108947</v>
      </c>
      <c r="N9" s="36">
        <f>'SER_se-appl'!N32</f>
        <v>2.1190227747068882</v>
      </c>
      <c r="O9" s="36">
        <f>'SER_se-appl'!O32</f>
        <v>2.0501754528110503</v>
      </c>
      <c r="P9" s="36">
        <f>'SER_se-appl'!P32</f>
        <v>2.3108810633759056</v>
      </c>
      <c r="Q9" s="36">
        <f>'SER_se-appl'!Q32</f>
        <v>3.1382285974709383</v>
      </c>
      <c r="R9" s="36">
        <f>'SER_se-appl'!R32</f>
        <v>3.3258729236580891</v>
      </c>
      <c r="S9" s="36">
        <f>'SER_se-appl'!S32</f>
        <v>2.8834516115455209</v>
      </c>
      <c r="T9" s="36">
        <f>'SER_se-appl'!T32</f>
        <v>3.0454777610474864</v>
      </c>
      <c r="U9" s="36">
        <f>'SER_se-appl'!U32</f>
        <v>3.1870737463843568</v>
      </c>
      <c r="V9" s="36">
        <f>'SER_se-appl'!V32</f>
        <v>3.5743432116417466</v>
      </c>
      <c r="W9" s="36">
        <f>'SER_se-appl'!W32</f>
        <v>3.5231645542672965</v>
      </c>
      <c r="X9" s="36">
        <f>'SER_se-appl'!X32</f>
        <v>2.8941065156745651</v>
      </c>
      <c r="Y9" s="36">
        <f>'SER_se-appl'!Y32</f>
        <v>2.9273279149578997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0.34957826463882924</v>
      </c>
      <c r="D10" s="38">
        <f>'SER_se-appl'!D40</f>
        <v>0.38891682276988426</v>
      </c>
      <c r="E10" s="38">
        <f>'SER_se-appl'!E40</f>
        <v>0.43268220691493653</v>
      </c>
      <c r="F10" s="38">
        <f>'SER_se-appl'!F40</f>
        <v>0.48137257433975833</v>
      </c>
      <c r="G10" s="38">
        <f>'SER_se-appl'!G40</f>
        <v>0.53554214068257977</v>
      </c>
      <c r="H10" s="38">
        <f>'SER_se-appl'!H40</f>
        <v>0.59580748828546248</v>
      </c>
      <c r="I10" s="38">
        <f>'SER_se-appl'!I40</f>
        <v>0.66285458441156564</v>
      </c>
      <c r="J10" s="38">
        <f>'SER_se-appl'!J40</f>
        <v>0.73744658923272155</v>
      </c>
      <c r="K10" s="38">
        <f>'SER_se-appl'!K40</f>
        <v>0.82043254246139696</v>
      </c>
      <c r="L10" s="38">
        <f>'SER_se-appl'!L40</f>
        <v>0.91275702750217391</v>
      </c>
      <c r="M10" s="38">
        <f>'SER_se-appl'!M40</f>
        <v>1.0154709231244361</v>
      </c>
      <c r="N10" s="38">
        <f>'SER_se-appl'!N40</f>
        <v>1.1297433650366884</v>
      </c>
      <c r="O10" s="38">
        <f>'SER_se-appl'!O40</f>
        <v>1.2568750535144808</v>
      </c>
      <c r="P10" s="38">
        <f>'SER_se-appl'!P40</f>
        <v>1.398313058555317</v>
      </c>
      <c r="Q10" s="38">
        <f>'SER_se-appl'!Q40</f>
        <v>1.5556672910795371</v>
      </c>
      <c r="R10" s="38">
        <f>'SER_se-appl'!R40</f>
        <v>1.3828313588599102</v>
      </c>
      <c r="S10" s="38">
        <f>'SER_se-appl'!S40</f>
        <v>1.3784801006470389</v>
      </c>
      <c r="T10" s="38">
        <f>'SER_se-appl'!T40</f>
        <v>1.6767964756962854</v>
      </c>
      <c r="U10" s="38">
        <f>'SER_se-appl'!U40</f>
        <v>1.9376298947590485</v>
      </c>
      <c r="V10" s="38">
        <f>'SER_se-appl'!V40</f>
        <v>2.522475201110943</v>
      </c>
      <c r="W10" s="38">
        <f>'SER_se-appl'!W40</f>
        <v>2.7200011096097541</v>
      </c>
      <c r="X10" s="38">
        <f>'SER_se-appl'!X40</f>
        <v>2.1769906673603714</v>
      </c>
      <c r="Y10" s="38">
        <f>'SER_se-appl'!Y40</f>
        <v>2.2909783249531017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770.62974369657252</v>
      </c>
      <c r="C12" s="204">
        <f>'SER_se-appl'!C48</f>
        <v>774.31095111510501</v>
      </c>
      <c r="D12" s="204">
        <f>'SER_se-appl'!D48</f>
        <v>777.68698272284189</v>
      </c>
      <c r="E12" s="204">
        <f>'SER_se-appl'!E48</f>
        <v>780.80562777103682</v>
      </c>
      <c r="F12" s="204">
        <f>'SER_se-appl'!F48</f>
        <v>783.70419070615196</v>
      </c>
      <c r="G12" s="204">
        <f>'SER_se-appl'!G48</f>
        <v>786.4123592543167</v>
      </c>
      <c r="H12" s="204">
        <f>'SER_se-appl'!H48</f>
        <v>788.95415267189924</v>
      </c>
      <c r="I12" s="204">
        <f>'SER_se-appl'!I48</f>
        <v>791.34928329196862</v>
      </c>
      <c r="J12" s="204">
        <f>'SER_se-appl'!J48</f>
        <v>793.61413162018516</v>
      </c>
      <c r="K12" s="204">
        <f>'SER_se-appl'!K48</f>
        <v>795.76245970795242</v>
      </c>
      <c r="L12" s="204">
        <f>'SER_se-appl'!L48</f>
        <v>797.80594291793284</v>
      </c>
      <c r="M12" s="204">
        <f>'SER_se-appl'!M48</f>
        <v>799.10450134403493</v>
      </c>
      <c r="N12" s="204">
        <f>'SER_se-appl'!N48</f>
        <v>800.34460772155705</v>
      </c>
      <c r="O12" s="204">
        <f>'SER_se-appl'!O48</f>
        <v>801.53137768728152</v>
      </c>
      <c r="P12" s="204">
        <f>'SER_se-appl'!P48</f>
        <v>802.66928018726378</v>
      </c>
      <c r="Q12" s="204">
        <f>'SER_se-appl'!Q48</f>
        <v>803.76224233211121</v>
      </c>
      <c r="R12" s="204">
        <f>'SER_se-appl'!R48</f>
        <v>814.27437081738162</v>
      </c>
      <c r="S12" s="204">
        <f>'SER_se-appl'!S48</f>
        <v>824.99375346964393</v>
      </c>
      <c r="T12" s="204">
        <f>'SER_se-appl'!T48</f>
        <v>824.13291352162526</v>
      </c>
      <c r="U12" s="204">
        <f>'SER_se-appl'!U48</f>
        <v>816.10935819778479</v>
      </c>
      <c r="V12" s="204">
        <f>'SER_se-appl'!V48</f>
        <v>777.02028178187106</v>
      </c>
      <c r="W12" s="204">
        <f>'SER_se-appl'!W48</f>
        <v>771.93635202611404</v>
      </c>
      <c r="X12" s="204">
        <f>'SER_se-appl'!X48</f>
        <v>787.45686607047128</v>
      </c>
      <c r="Y12" s="204">
        <f>'SER_se-appl'!Y48</f>
        <v>795.2171230926499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50.876370246308866</v>
      </c>
      <c r="C14" s="59">
        <f>'SER_se-appl'!C56</f>
        <v>50.538824210201625</v>
      </c>
      <c r="D14" s="59">
        <f>'SER_se-appl'!D56</f>
        <v>50.165411971258443</v>
      </c>
      <c r="E14" s="59">
        <f>'SER_se-appl'!E56</f>
        <v>49.681196201596556</v>
      </c>
      <c r="F14" s="59">
        <f>'SER_se-appl'!F56</f>
        <v>49.138689761167349</v>
      </c>
      <c r="G14" s="59">
        <f>'SER_se-appl'!G56</f>
        <v>48.454363087381275</v>
      </c>
      <c r="H14" s="59">
        <f>'SER_se-appl'!H56</f>
        <v>47.738706725436195</v>
      </c>
      <c r="I14" s="59">
        <f>'SER_se-appl'!I56</f>
        <v>47.151775914736135</v>
      </c>
      <c r="J14" s="59">
        <f>'SER_se-appl'!J56</f>
        <v>46.520290285933079</v>
      </c>
      <c r="K14" s="59">
        <f>'SER_se-appl'!K56</f>
        <v>46.109948578181303</v>
      </c>
      <c r="L14" s="59">
        <f>'SER_se-appl'!L56</f>
        <v>45.411277527268226</v>
      </c>
      <c r="M14" s="59">
        <f>'SER_se-appl'!M56</f>
        <v>44.851726928439888</v>
      </c>
      <c r="N14" s="59">
        <f>'SER_se-appl'!N56</f>
        <v>44.115676217916125</v>
      </c>
      <c r="O14" s="59">
        <f>'SER_se-appl'!O56</f>
        <v>43.347324065985688</v>
      </c>
      <c r="P14" s="59">
        <f>'SER_se-appl'!P56</f>
        <v>42.428447896249594</v>
      </c>
      <c r="Q14" s="59">
        <f>'SER_se-appl'!Q56</f>
        <v>41.240480524554734</v>
      </c>
      <c r="R14" s="59">
        <f>'SER_se-appl'!R56</f>
        <v>40.289109233033592</v>
      </c>
      <c r="S14" s="59">
        <f>'SER_se-appl'!S56</f>
        <v>39.499839837356454</v>
      </c>
      <c r="T14" s="59">
        <f>'SER_se-appl'!T56</f>
        <v>38.689154259056309</v>
      </c>
      <c r="U14" s="59">
        <f>'SER_se-appl'!U56</f>
        <v>37.858688671604909</v>
      </c>
      <c r="V14" s="59">
        <f>'SER_se-appl'!V56</f>
        <v>36.9294680239515</v>
      </c>
      <c r="W14" s="59">
        <f>'SER_se-appl'!W56</f>
        <v>36.048085424978339</v>
      </c>
      <c r="X14" s="59">
        <f>'SER_se-appl'!X56</f>
        <v>35.385086334010417</v>
      </c>
      <c r="Y14" s="59">
        <f>'SER_se-appl'!Y56</f>
        <v>34.749283813903965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47.628231413598094</v>
      </c>
      <c r="D15" s="63">
        <f>'SER_se-appl'!D64</f>
        <v>46.761383237986394</v>
      </c>
      <c r="E15" s="63">
        <f>'SER_se-appl'!E64</f>
        <v>45.861202550798396</v>
      </c>
      <c r="F15" s="63">
        <f>'SER_se-appl'!F64</f>
        <v>45.219318850912757</v>
      </c>
      <c r="G15" s="63">
        <f>'SER_se-appl'!G64</f>
        <v>44.357524943831351</v>
      </c>
      <c r="H15" s="63">
        <f>'SER_se-appl'!H64</f>
        <v>43.431253680811295</v>
      </c>
      <c r="I15" s="63">
        <f>'SER_se-appl'!I64</f>
        <v>42.595055040960631</v>
      </c>
      <c r="J15" s="63">
        <f>'SER_se-appl'!J64</f>
        <v>41.686968622811733</v>
      </c>
      <c r="K15" s="63">
        <f>'SER_se-appl'!K64</f>
        <v>40.958713060162388</v>
      </c>
      <c r="L15" s="63">
        <f>'SER_se-appl'!L64</f>
        <v>40.106186119028663</v>
      </c>
      <c r="M15" s="63">
        <f>'SER_se-appl'!M64</f>
        <v>39.448724652288</v>
      </c>
      <c r="N15" s="63">
        <f>'SER_se-appl'!N64</f>
        <v>38.538710230579547</v>
      </c>
      <c r="O15" s="63">
        <f>'SER_se-appl'!O64</f>
        <v>37.686142459734832</v>
      </c>
      <c r="P15" s="63">
        <f>'SER_se-appl'!P64</f>
        <v>36.321163473968191</v>
      </c>
      <c r="Q15" s="63">
        <f>'SER_se-appl'!Q64</f>
        <v>34.990997526481664</v>
      </c>
      <c r="R15" s="63">
        <f>'SER_se-appl'!R64</f>
        <v>34.555900859433656</v>
      </c>
      <c r="S15" s="63">
        <f>'SER_se-appl'!S64</f>
        <v>34.033398746749697</v>
      </c>
      <c r="T15" s="63">
        <f>'SER_se-appl'!T64</f>
        <v>33.545327461941909</v>
      </c>
      <c r="U15" s="63">
        <f>'SER_se-appl'!U64</f>
        <v>33.076374329628578</v>
      </c>
      <c r="V15" s="63">
        <f>'SER_se-appl'!V64</f>
        <v>32.610874848682457</v>
      </c>
      <c r="W15" s="63">
        <f>'SER_se-appl'!W64</f>
        <v>32.284766100195633</v>
      </c>
      <c r="X15" s="63">
        <f>'SER_se-appl'!X64</f>
        <v>31.958657351708808</v>
      </c>
      <c r="Y15" s="63">
        <f>'SER_se-appl'!Y64</f>
        <v>31.632548603221981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35.187657077023715</v>
      </c>
      <c r="C3" s="198">
        <f>'SER_se-appl'!C9</f>
        <v>41.40746797631521</v>
      </c>
      <c r="D3" s="198">
        <f>'SER_se-appl'!D9</f>
        <v>48.33296923019639</v>
      </c>
      <c r="E3" s="198">
        <f>'SER_se-appl'!E9</f>
        <v>56.313221182993338</v>
      </c>
      <c r="F3" s="198">
        <f>'SER_se-appl'!F9</f>
        <v>64.872699103419279</v>
      </c>
      <c r="G3" s="198">
        <f>'SER_se-appl'!G9</f>
        <v>74.291208549277144</v>
      </c>
      <c r="H3" s="198">
        <f>'SER_se-appl'!H9</f>
        <v>83.764840322262884</v>
      </c>
      <c r="I3" s="198">
        <f>'SER_se-appl'!I9</f>
        <v>92.772120840751441</v>
      </c>
      <c r="J3" s="198">
        <f>'SER_se-appl'!J9</f>
        <v>98.956795772120742</v>
      </c>
      <c r="K3" s="198">
        <f>'SER_se-appl'!K9</f>
        <v>103.24525461093917</v>
      </c>
      <c r="L3" s="198">
        <f>'SER_se-appl'!L9</f>
        <v>107.07604348309506</v>
      </c>
      <c r="M3" s="198">
        <f>'SER_se-appl'!M9</f>
        <v>108.42961270780037</v>
      </c>
      <c r="N3" s="198">
        <f>'SER_se-appl'!N9</f>
        <v>110.30906759922644</v>
      </c>
      <c r="O3" s="198">
        <f>'SER_se-appl'!O9</f>
        <v>113.3527889983642</v>
      </c>
      <c r="P3" s="198">
        <f>'SER_se-appl'!P9</f>
        <v>118.1995904833706</v>
      </c>
      <c r="Q3" s="198">
        <f>'SER_se-appl'!Q9</f>
        <v>126.3242392167225</v>
      </c>
      <c r="R3" s="198">
        <f>'SER_se-appl'!R9</f>
        <v>131.36679440250109</v>
      </c>
      <c r="S3" s="198">
        <f>'SER_se-appl'!S9</f>
        <v>136.73399443064537</v>
      </c>
      <c r="T3" s="198">
        <f>'SER_se-appl'!T9</f>
        <v>140.67208155040711</v>
      </c>
      <c r="U3" s="198">
        <f>'SER_se-appl'!U9</f>
        <v>143.83385449605706</v>
      </c>
      <c r="V3" s="198">
        <f>'SER_se-appl'!V9</f>
        <v>142.92460609211196</v>
      </c>
      <c r="W3" s="198">
        <f>'SER_se-appl'!W9</f>
        <v>144.26610665921885</v>
      </c>
      <c r="X3" s="198">
        <f>'SER_se-appl'!X9</f>
        <v>147.92600244500872</v>
      </c>
      <c r="Y3" s="198">
        <f>'SER_se-appl'!Y9</f>
        <v>152.48870029942762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169.36222526202954</v>
      </c>
      <c r="C5" s="59">
        <f>'SER_se-appl'!C17</f>
        <v>194.77763647490275</v>
      </c>
      <c r="D5" s="59">
        <f>'SER_se-appl'!D17</f>
        <v>223.39719999610821</v>
      </c>
      <c r="E5" s="59">
        <f>'SER_se-appl'!E17</f>
        <v>259.00517643670912</v>
      </c>
      <c r="F5" s="59">
        <f>'SER_se-appl'!F17</f>
        <v>298.33504827384621</v>
      </c>
      <c r="G5" s="59">
        <f>'SER_se-appl'!G17</f>
        <v>343.98199071439643</v>
      </c>
      <c r="H5" s="59">
        <f>'SER_se-appl'!H17</f>
        <v>390.68789335255423</v>
      </c>
      <c r="I5" s="59">
        <f>'SER_se-appl'!I17</f>
        <v>434.19667310874019</v>
      </c>
      <c r="J5" s="59">
        <f>'SER_se-appl'!J17</f>
        <v>460.68415654582776</v>
      </c>
      <c r="K5" s="59">
        <f>'SER_se-appl'!K17</f>
        <v>476.64751578162924</v>
      </c>
      <c r="L5" s="59">
        <f>'SER_se-appl'!L17</f>
        <v>487.52511907089286</v>
      </c>
      <c r="M5" s="59">
        <f>'SER_se-appl'!M17</f>
        <v>487.24970779026074</v>
      </c>
      <c r="N5" s="59">
        <f>'SER_se-appl'!N17</f>
        <v>493.10210851045628</v>
      </c>
      <c r="O5" s="59">
        <f>'SER_se-appl'!O17</f>
        <v>505.92914330651729</v>
      </c>
      <c r="P5" s="59">
        <f>'SER_se-appl'!P17</f>
        <v>529.36056065951107</v>
      </c>
      <c r="Q5" s="59">
        <f>'SER_se-appl'!Q17</f>
        <v>571.46163709109237</v>
      </c>
      <c r="R5" s="59">
        <f>'SER_se-appl'!R17</f>
        <v>588.17641375853225</v>
      </c>
      <c r="S5" s="59">
        <f>'SER_se-appl'!S17</f>
        <v>604.85230405739901</v>
      </c>
      <c r="T5" s="59">
        <f>'SER_se-appl'!T17</f>
        <v>621.40424003375051</v>
      </c>
      <c r="U5" s="59">
        <f>'SER_se-appl'!U17</f>
        <v>636.03503222702022</v>
      </c>
      <c r="V5" s="59">
        <f>'SER_se-appl'!V17</f>
        <v>644.7199658161378</v>
      </c>
      <c r="W5" s="59">
        <f>'SER_se-appl'!W17</f>
        <v>652.62905885290297</v>
      </c>
      <c r="X5" s="59">
        <f>'SER_se-appl'!X17</f>
        <v>664.73959419333153</v>
      </c>
      <c r="Y5" s="59">
        <f>'SER_se-appl'!Y17</f>
        <v>687.11864303732557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4.2414060624048115E-2</v>
      </c>
      <c r="C6" s="201">
        <f>'SER_se-appl'!C73</f>
        <v>5.0554942103879071E-2</v>
      </c>
      <c r="D6" s="201">
        <f>'SER_se-appl'!D73</f>
        <v>6.0332342183865913E-2</v>
      </c>
      <c r="E6" s="201">
        <f>'SER_se-appl'!E73</f>
        <v>7.308218859373429E-2</v>
      </c>
      <c r="F6" s="201">
        <f>'SER_se-appl'!F73</f>
        <v>8.8205302409298109E-2</v>
      </c>
      <c r="G6" s="201">
        <f>'SER_se-appl'!G73</f>
        <v>0.10641511604200497</v>
      </c>
      <c r="H6" s="201">
        <f>'SER_se-appl'!H73</f>
        <v>0.12752889082764349</v>
      </c>
      <c r="I6" s="201">
        <f>'SER_se-appl'!I73</f>
        <v>0.14911719104020685</v>
      </c>
      <c r="J6" s="201">
        <f>'SER_se-appl'!J73</f>
        <v>0.16554138858962777</v>
      </c>
      <c r="K6" s="201">
        <f>'SER_se-appl'!K73</f>
        <v>0.17962468209582097</v>
      </c>
      <c r="L6" s="201">
        <f>'SER_se-appl'!L73</f>
        <v>0.19559021052838393</v>
      </c>
      <c r="M6" s="201">
        <f>'SER_se-appl'!M73</f>
        <v>0.21115464275454654</v>
      </c>
      <c r="N6" s="201">
        <f>'SER_se-appl'!N73</f>
        <v>0.22962509502800155</v>
      </c>
      <c r="O6" s="201">
        <f>'SER_se-appl'!O73</f>
        <v>0.24957042452368872</v>
      </c>
      <c r="P6" s="201">
        <f>'SER_se-appl'!P73</f>
        <v>0.27335321546513724</v>
      </c>
      <c r="Q6" s="201">
        <f>'SER_se-appl'!Q73</f>
        <v>0.30399575527452377</v>
      </c>
      <c r="R6" s="201">
        <f>'SER_se-appl'!R73</f>
        <v>0.32048638698333032</v>
      </c>
      <c r="S6" s="201">
        <f>'SER_se-appl'!S73</f>
        <v>0.33693955013919069</v>
      </c>
      <c r="T6" s="201">
        <f>'SER_se-appl'!T73</f>
        <v>0.35286024480147915</v>
      </c>
      <c r="U6" s="201">
        <f>'SER_se-appl'!U73</f>
        <v>0.36779182720150122</v>
      </c>
      <c r="V6" s="201">
        <f>'SER_se-appl'!V73</f>
        <v>0.38141967557986795</v>
      </c>
      <c r="W6" s="201">
        <f>'SER_se-appl'!W73</f>
        <v>0.4028246296517225</v>
      </c>
      <c r="X6" s="201">
        <f>'SER_se-appl'!X73</f>
        <v>0.41903912716272801</v>
      </c>
      <c r="Y6" s="201">
        <f>'SER_se-appl'!Y73</f>
        <v>0.42980790255180024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435.93587167190765</v>
      </c>
      <c r="C8" s="34">
        <f>'SER_se-appl'!C25</f>
        <v>517.27953259032745</v>
      </c>
      <c r="D8" s="34">
        <f>'SER_se-appl'!D25</f>
        <v>615.46120310389369</v>
      </c>
      <c r="E8" s="34">
        <f>'SER_se-appl'!E25</f>
        <v>744.90109648773728</v>
      </c>
      <c r="F8" s="34">
        <f>'SER_se-appl'!F25</f>
        <v>899.28366530273024</v>
      </c>
      <c r="G8" s="34">
        <f>'SER_se-appl'!G25</f>
        <v>1085.3123383205827</v>
      </c>
      <c r="H8" s="34">
        <f>'SER_se-appl'!H25</f>
        <v>1303.801435101007</v>
      </c>
      <c r="I8" s="34">
        <f>'SER_se-appl'!I25</f>
        <v>1529.0824212317934</v>
      </c>
      <c r="J8" s="34">
        <f>'SER_se-appl'!J25</f>
        <v>1712.2644406485051</v>
      </c>
      <c r="K8" s="34">
        <f>'SER_se-appl'!K25</f>
        <v>1872.7279569750146</v>
      </c>
      <c r="L8" s="34">
        <f>'SER_se-appl'!L25</f>
        <v>2046.2819944864793</v>
      </c>
      <c r="M8" s="34">
        <f>'SER_se-appl'!M25</f>
        <v>2214.3219379680286</v>
      </c>
      <c r="N8" s="34">
        <f>'SER_se-appl'!N25</f>
        <v>2412.3138064364439</v>
      </c>
      <c r="O8" s="34">
        <f>'SER_se-appl'!O25</f>
        <v>2624.5137805941763</v>
      </c>
      <c r="P8" s="34">
        <f>'SER_se-appl'!P25</f>
        <v>2873.6035359668022</v>
      </c>
      <c r="Q8" s="34">
        <f>'SER_se-appl'!Q25</f>
        <v>3203.5908679156319</v>
      </c>
      <c r="R8" s="34">
        <f>'SER_se-appl'!R25</f>
        <v>3382.3630118593119</v>
      </c>
      <c r="S8" s="34">
        <f>'SER_se-appl'!S25</f>
        <v>3564.4228518034733</v>
      </c>
      <c r="T8" s="34">
        <f>'SER_se-appl'!T25</f>
        <v>3743.8666046571579</v>
      </c>
      <c r="U8" s="34">
        <f>'SER_se-appl'!U25</f>
        <v>3916.909401330548</v>
      </c>
      <c r="V8" s="34">
        <f>'SER_se-appl'!V25</f>
        <v>4078.8787440508972</v>
      </c>
      <c r="W8" s="34">
        <f>'SER_se-appl'!W25</f>
        <v>4227.5784249555645</v>
      </c>
      <c r="X8" s="34">
        <f>'SER_se-appl'!X25</f>
        <v>4406.9117219061518</v>
      </c>
      <c r="Y8" s="34">
        <f>'SER_se-appl'!Y25</f>
        <v>4653.7575293087912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168.53083525280135</v>
      </c>
      <c r="D9" s="36">
        <f>'SER_se-appl'!D33</f>
        <v>185.3688448479478</v>
      </c>
      <c r="E9" s="36">
        <f>'SER_se-appl'!E33</f>
        <v>216.62706771822513</v>
      </c>
      <c r="F9" s="36">
        <f>'SER_se-appl'!F33</f>
        <v>241.56974314937452</v>
      </c>
      <c r="G9" s="36">
        <f>'SER_se-appl'!G33</f>
        <v>273.21584735223405</v>
      </c>
      <c r="H9" s="36">
        <f>'SER_se-appl'!H33</f>
        <v>387.01993203322559</v>
      </c>
      <c r="I9" s="36">
        <f>'SER_se-appl'!I33</f>
        <v>410.64983097873437</v>
      </c>
      <c r="J9" s="36">
        <f>'SER_se-appl'!J33</f>
        <v>399.80908713493682</v>
      </c>
      <c r="K9" s="36">
        <f>'SER_se-appl'!K33</f>
        <v>402.03325947588405</v>
      </c>
      <c r="L9" s="36">
        <f>'SER_se-appl'!L33</f>
        <v>446.76988486369873</v>
      </c>
      <c r="M9" s="36">
        <f>'SER_se-appl'!M33</f>
        <v>555.05987551477483</v>
      </c>
      <c r="N9" s="36">
        <f>'SER_se-appl'!N33</f>
        <v>608.64169944714968</v>
      </c>
      <c r="O9" s="36">
        <f>'SER_se-appl'!O33</f>
        <v>612.00906129266923</v>
      </c>
      <c r="P9" s="36">
        <f>'SER_se-appl'!P33</f>
        <v>651.12301484851014</v>
      </c>
      <c r="Q9" s="36">
        <f>'SER_se-appl'!Q33</f>
        <v>776.75721681252844</v>
      </c>
      <c r="R9" s="36">
        <f>'SER_se-appl'!R33</f>
        <v>733.83201945845485</v>
      </c>
      <c r="S9" s="36">
        <f>'SER_se-appl'!S33</f>
        <v>790.70153939131114</v>
      </c>
      <c r="T9" s="36">
        <f>'SER_se-appl'!T33</f>
        <v>791.45281414635383</v>
      </c>
      <c r="U9" s="36">
        <f>'SER_se-appl'!U33</f>
        <v>824.1658115219002</v>
      </c>
      <c r="V9" s="36">
        <f>'SER_se-appl'!V33</f>
        <v>938.72655953287767</v>
      </c>
      <c r="W9" s="36">
        <f>'SER_se-appl'!W33</f>
        <v>882.53170036312213</v>
      </c>
      <c r="X9" s="36">
        <f>'SER_se-appl'!X33</f>
        <v>970.03483634189843</v>
      </c>
      <c r="Y9" s="36">
        <f>'SER_se-appl'!Y33</f>
        <v>1038.2986215489932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87.187174334381552</v>
      </c>
      <c r="D10" s="38">
        <f>'SER_se-appl'!D41</f>
        <v>87.187174334381552</v>
      </c>
      <c r="E10" s="38">
        <f>'SER_se-appl'!E41</f>
        <v>87.187174334381552</v>
      </c>
      <c r="F10" s="38">
        <f>'SER_se-appl'!F41</f>
        <v>87.187174334381552</v>
      </c>
      <c r="G10" s="38">
        <f>'SER_se-appl'!G41</f>
        <v>87.187174334381552</v>
      </c>
      <c r="H10" s="38">
        <f>'SER_se-appl'!H41</f>
        <v>168.53083525280135</v>
      </c>
      <c r="I10" s="38">
        <f>'SER_se-appl'!I41</f>
        <v>185.36884484794791</v>
      </c>
      <c r="J10" s="38">
        <f>'SER_se-appl'!J41</f>
        <v>216.62706771822513</v>
      </c>
      <c r="K10" s="38">
        <f>'SER_se-appl'!K41</f>
        <v>241.56974314937429</v>
      </c>
      <c r="L10" s="38">
        <f>'SER_se-appl'!L41</f>
        <v>273.21584735223428</v>
      </c>
      <c r="M10" s="38">
        <f>'SER_se-appl'!M41</f>
        <v>387.01993203322581</v>
      </c>
      <c r="N10" s="38">
        <f>'SER_se-appl'!N41</f>
        <v>410.64983097873437</v>
      </c>
      <c r="O10" s="38">
        <f>'SER_se-appl'!O41</f>
        <v>399.80908713493682</v>
      </c>
      <c r="P10" s="38">
        <f>'SER_se-appl'!P41</f>
        <v>402.03325947588428</v>
      </c>
      <c r="Q10" s="38">
        <f>'SER_se-appl'!Q41</f>
        <v>446.76988486369873</v>
      </c>
      <c r="R10" s="38">
        <f>'SER_se-appl'!R41</f>
        <v>555.05987551477483</v>
      </c>
      <c r="S10" s="38">
        <f>'SER_se-appl'!S41</f>
        <v>608.64169944715013</v>
      </c>
      <c r="T10" s="38">
        <f>'SER_se-appl'!T41</f>
        <v>612.00906129266878</v>
      </c>
      <c r="U10" s="38">
        <f>'SER_se-appl'!U41</f>
        <v>651.12301484850968</v>
      </c>
      <c r="V10" s="38">
        <f>'SER_se-appl'!V41</f>
        <v>776.75721681252844</v>
      </c>
      <c r="W10" s="38">
        <f>'SER_se-appl'!W41</f>
        <v>733.83201945845485</v>
      </c>
      <c r="X10" s="38">
        <f>'SER_se-appl'!X41</f>
        <v>790.7015393913116</v>
      </c>
      <c r="Y10" s="38">
        <f>'SER_se-appl'!Y41</f>
        <v>791.45281414635338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2416.3148020323893</v>
      </c>
      <c r="C12" s="204">
        <f>'SER_se-appl'!C49</f>
        <v>2472.403204392494</v>
      </c>
      <c r="D12" s="204">
        <f>'SER_se-appl'!D49</f>
        <v>2516.2017794179001</v>
      </c>
      <c r="E12" s="204">
        <f>'SER_se-appl'!E49</f>
        <v>2528.6087767371337</v>
      </c>
      <c r="F12" s="204">
        <f>'SER_se-appl'!F49</f>
        <v>2528.9334757618803</v>
      </c>
      <c r="G12" s="204">
        <f>'SER_se-appl'!G49</f>
        <v>2511.779042948403</v>
      </c>
      <c r="H12" s="204">
        <f>'SER_se-appl'!H49</f>
        <v>2493.512365044849</v>
      </c>
      <c r="I12" s="204">
        <f>'SER_se-appl'!I49</f>
        <v>2484.9102542702572</v>
      </c>
      <c r="J12" s="204">
        <f>'SER_se-appl'!J49</f>
        <v>2498.17042430735</v>
      </c>
      <c r="K12" s="204">
        <f>'SER_se-appl'!K49</f>
        <v>2519.1410242770035</v>
      </c>
      <c r="L12" s="204">
        <f>'SER_se-appl'!L49</f>
        <v>2554.3184073912562</v>
      </c>
      <c r="M12" s="204">
        <f>'SER_se-appl'!M49</f>
        <v>2588.0700914335657</v>
      </c>
      <c r="N12" s="204">
        <f>'SER_se-appl'!N49</f>
        <v>2601.6811407566706</v>
      </c>
      <c r="O12" s="204">
        <f>'SER_se-appl'!O49</f>
        <v>2605.6868901349048</v>
      </c>
      <c r="P12" s="204">
        <f>'SER_se-appl'!P49</f>
        <v>2596.8334996641224</v>
      </c>
      <c r="Q12" s="204">
        <f>'SER_se-appl'!Q49</f>
        <v>2570.8653157697381</v>
      </c>
      <c r="R12" s="204">
        <f>'SER_se-appl'!R49</f>
        <v>2597.5128943682926</v>
      </c>
      <c r="S12" s="204">
        <f>'SER_se-appl'!S49</f>
        <v>2629.0986155811984</v>
      </c>
      <c r="T12" s="204">
        <f>'SER_se-appl'!T49</f>
        <v>2632.7730051252584</v>
      </c>
      <c r="U12" s="204">
        <f>'SER_se-appl'!U49</f>
        <v>2630.0245159956453</v>
      </c>
      <c r="V12" s="204">
        <f>'SER_se-appl'!V49</f>
        <v>2578.1940330436341</v>
      </c>
      <c r="W12" s="204">
        <f>'SER_se-appl'!W49</f>
        <v>2570.8552165846486</v>
      </c>
      <c r="X12" s="204">
        <f>'SER_se-appl'!X49</f>
        <v>2588.0501529672683</v>
      </c>
      <c r="Y12" s="204">
        <f>'SER_se-appl'!Y49</f>
        <v>2580.9859803003574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388.50261303913589</v>
      </c>
      <c r="C14" s="59">
        <f>'SER_se-appl'!C57</f>
        <v>376.54232229049319</v>
      </c>
      <c r="D14" s="59">
        <f>'SER_se-appl'!D57</f>
        <v>362.97527588980677</v>
      </c>
      <c r="E14" s="59">
        <f>'SER_se-appl'!E57</f>
        <v>347.70411489248346</v>
      </c>
      <c r="F14" s="59">
        <f>'SER_se-appl'!F57</f>
        <v>331.74743385716476</v>
      </c>
      <c r="G14" s="59">
        <f>'SER_se-appl'!G57</f>
        <v>316.94285466861612</v>
      </c>
      <c r="H14" s="59">
        <f>'SER_se-appl'!H57</f>
        <v>299.65290943424003</v>
      </c>
      <c r="I14" s="59">
        <f>'SER_se-appl'!I57</f>
        <v>283.95897243979914</v>
      </c>
      <c r="J14" s="59">
        <f>'SER_se-appl'!J57</f>
        <v>269.04965472000788</v>
      </c>
      <c r="K14" s="59">
        <f>'SER_se-appl'!K57</f>
        <v>254.52042514041912</v>
      </c>
      <c r="L14" s="59">
        <f>'SER_se-appl'!L57</f>
        <v>238.24923465313429</v>
      </c>
      <c r="M14" s="59">
        <f>'SER_se-appl'!M57</f>
        <v>220.04465540245027</v>
      </c>
      <c r="N14" s="59">
        <f>'SER_se-appl'!N57</f>
        <v>204.41043250458543</v>
      </c>
      <c r="O14" s="59">
        <f>'SER_se-appl'!O57</f>
        <v>192.77061795117629</v>
      </c>
      <c r="P14" s="59">
        <f>'SER_se-appl'!P57</f>
        <v>184.21489047945914</v>
      </c>
      <c r="Q14" s="59">
        <f>'SER_se-appl'!Q57</f>
        <v>178.38159136185368</v>
      </c>
      <c r="R14" s="59">
        <f>'SER_se-appl'!R57</f>
        <v>173.89511761341282</v>
      </c>
      <c r="S14" s="59">
        <f>'SER_se-appl'!S57</f>
        <v>169.69151226021484</v>
      </c>
      <c r="T14" s="59">
        <f>'SER_se-appl'!T57</f>
        <v>165.97926840148602</v>
      </c>
      <c r="U14" s="59">
        <f>'SER_se-appl'!U57</f>
        <v>162.38185953725747</v>
      </c>
      <c r="V14" s="59">
        <f>'SER_se-appl'!V57</f>
        <v>158.0630379749511</v>
      </c>
      <c r="W14" s="59">
        <f>'SER_se-appl'!W57</f>
        <v>154.37420510058607</v>
      </c>
      <c r="X14" s="59">
        <f>'SER_se-appl'!X57</f>
        <v>150.84023373760868</v>
      </c>
      <c r="Y14" s="59">
        <f>'SER_se-appl'!Y57</f>
        <v>147.64813996215685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351.792336259092</v>
      </c>
      <c r="D15" s="63">
        <f>'SER_se-appl'!D65</f>
        <v>337.12250095139552</v>
      </c>
      <c r="E15" s="63">
        <f>'SER_se-appl'!E65</f>
        <v>320.73748781653904</v>
      </c>
      <c r="F15" s="63">
        <f>'SER_se-appl'!F65</f>
        <v>303.02767198903052</v>
      </c>
      <c r="G15" s="63">
        <f>'SER_se-appl'!G65</f>
        <v>291.04968933386402</v>
      </c>
      <c r="H15" s="63">
        <f>'SER_se-appl'!H65</f>
        <v>273.87157644980766</v>
      </c>
      <c r="I15" s="63">
        <f>'SER_se-appl'!I65</f>
        <v>258.12938502167964</v>
      </c>
      <c r="J15" s="63">
        <f>'SER_se-appl'!J65</f>
        <v>240.03432642766535</v>
      </c>
      <c r="K15" s="63">
        <f>'SER_se-appl'!K65</f>
        <v>221.7868149555251</v>
      </c>
      <c r="L15" s="63">
        <f>'SER_se-appl'!L65</f>
        <v>202.3345660592102</v>
      </c>
      <c r="M15" s="63">
        <f>'SER_se-appl'!M65</f>
        <v>190.46296136026629</v>
      </c>
      <c r="N15" s="63">
        <f>'SER_se-appl'!N65</f>
        <v>183.77509978628316</v>
      </c>
      <c r="O15" s="63">
        <f>'SER_se-appl'!O65</f>
        <v>177.76687733407337</v>
      </c>
      <c r="P15" s="63">
        <f>'SER_se-appl'!P65</f>
        <v>172.92752814847887</v>
      </c>
      <c r="Q15" s="63">
        <f>'SER_se-appl'!Q65</f>
        <v>170.57848236996784</v>
      </c>
      <c r="R15" s="63">
        <f>'SER_se-appl'!R65</f>
        <v>166.84080422192054</v>
      </c>
      <c r="S15" s="63">
        <f>'SER_se-appl'!S65</f>
        <v>162.55068814941541</v>
      </c>
      <c r="T15" s="63">
        <f>'SER_se-appl'!T65</f>
        <v>158.3756775667083</v>
      </c>
      <c r="U15" s="63">
        <f>'SER_se-appl'!U65</f>
        <v>154.37171002843422</v>
      </c>
      <c r="V15" s="63">
        <f>'SER_se-appl'!V65</f>
        <v>150.39843005312767</v>
      </c>
      <c r="W15" s="63">
        <f>'SER_se-appl'!W65</f>
        <v>147.69125831217136</v>
      </c>
      <c r="X15" s="63">
        <f>'SER_se-appl'!X65</f>
        <v>144.98408657121507</v>
      </c>
      <c r="Y15" s="63">
        <f>'SER_se-appl'!Y65</f>
        <v>142.27691483025876</v>
      </c>
      <c r="DA15" s="105" t="s">
        <v>957</v>
      </c>
    </row>
    <row r="17" spans="1:105" ht="12" customHeight="1" x14ac:dyDescent="0.25">
      <c r="A17" s="197" t="s">
        <v>184</v>
      </c>
      <c r="B17" s="198">
        <v>16.092356177856132</v>
      </c>
      <c r="C17" s="198">
        <v>19.452851626193755</v>
      </c>
      <c r="D17" s="198">
        <v>22.832371876442934</v>
      </c>
      <c r="E17" s="198">
        <v>26.130299955701936</v>
      </c>
      <c r="F17" s="198">
        <v>29.285610277260581</v>
      </c>
      <c r="G17" s="198">
        <v>32.184712355712257</v>
      </c>
      <c r="H17" s="198">
        <v>34.663096922131793</v>
      </c>
      <c r="I17" s="198">
        <v>36.887233476869881</v>
      </c>
      <c r="J17" s="198">
        <v>38.961584825164287</v>
      </c>
      <c r="K17" s="198">
        <v>40.944642427127597</v>
      </c>
      <c r="L17" s="198">
        <v>42.912949807616329</v>
      </c>
      <c r="M17" s="198">
        <v>43.878466777204828</v>
      </c>
      <c r="N17" s="198">
        <v>44.409543481672429</v>
      </c>
      <c r="O17" s="198">
        <v>44.940620186140066</v>
      </c>
      <c r="P17" s="198">
        <v>45.47169689060771</v>
      </c>
      <c r="Q17" s="198">
        <v>46.002773595075347</v>
      </c>
      <c r="R17" s="198">
        <v>46.533850299542998</v>
      </c>
      <c r="S17" s="198">
        <v>47.064927004010642</v>
      </c>
      <c r="T17" s="198">
        <v>47.596003708478243</v>
      </c>
      <c r="U17" s="198">
        <v>48.127080412945908</v>
      </c>
      <c r="V17" s="198">
        <v>48.658157117413538</v>
      </c>
      <c r="W17" s="198">
        <v>49.189233821881189</v>
      </c>
      <c r="X17" s="198">
        <v>49.720310526348754</v>
      </c>
      <c r="Y17" s="198">
        <v>49.816946965695564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5957.1326726665993</v>
      </c>
      <c r="C3" s="219">
        <v>6040.536310482943</v>
      </c>
      <c r="D3" s="219">
        <v>5102.7284181471323</v>
      </c>
      <c r="E3" s="219">
        <v>4814.9099925940154</v>
      </c>
      <c r="F3" s="219">
        <v>5045.2375721541603</v>
      </c>
      <c r="G3" s="219">
        <v>5098.3556148532398</v>
      </c>
      <c r="H3" s="219">
        <v>5153.1519654977374</v>
      </c>
      <c r="I3" s="219">
        <v>5254.2635620167584</v>
      </c>
      <c r="J3" s="219">
        <v>4990.7557006350526</v>
      </c>
      <c r="K3" s="219">
        <v>4334.4959394580519</v>
      </c>
      <c r="L3" s="219">
        <v>3870.8226935312832</v>
      </c>
      <c r="M3" s="219">
        <v>5092.4565903815537</v>
      </c>
      <c r="N3" s="219">
        <v>5763.4908380778425</v>
      </c>
      <c r="O3" s="219">
        <v>6083.92005730659</v>
      </c>
      <c r="P3" s="219">
        <v>6318.366987609098</v>
      </c>
      <c r="Q3" s="219">
        <v>6252.8828039999999</v>
      </c>
      <c r="R3" s="219">
        <v>6101.6978607849651</v>
      </c>
      <c r="S3" s="219">
        <v>6295.417952006891</v>
      </c>
      <c r="T3" s="219">
        <v>6044.8661397788492</v>
      </c>
      <c r="U3" s="219">
        <v>5998.8973760188064</v>
      </c>
      <c r="V3" s="219">
        <v>5809.9017800732099</v>
      </c>
      <c r="W3" s="219">
        <v>5466.5988091995177</v>
      </c>
      <c r="X3" s="219">
        <v>6648.2258526593632</v>
      </c>
      <c r="Y3" s="219">
        <v>6832.6</v>
      </c>
      <c r="DA3" s="210" t="s">
        <v>974</v>
      </c>
    </row>
    <row r="5" spans="1:105" x14ac:dyDescent="0.25">
      <c r="A5" s="218" t="s">
        <v>120</v>
      </c>
      <c r="B5" s="219">
        <v>6401.1739122256631</v>
      </c>
      <c r="C5" s="219">
        <v>6669.3944828136728</v>
      </c>
      <c r="D5" s="219">
        <v>5983.122813337256</v>
      </c>
      <c r="E5" s="219">
        <v>5730.988485093153</v>
      </c>
      <c r="F5" s="219">
        <v>4873.9295317255264</v>
      </c>
      <c r="G5" s="219">
        <v>4195.2386975169038</v>
      </c>
      <c r="H5" s="219">
        <v>4514.5044770919039</v>
      </c>
      <c r="I5" s="219">
        <v>4613.6875667166214</v>
      </c>
      <c r="J5" s="219">
        <v>4413.3227238885238</v>
      </c>
      <c r="K5" s="219">
        <v>3863.9241407322129</v>
      </c>
      <c r="L5" s="219">
        <v>4398.1650841569444</v>
      </c>
      <c r="M5" s="219">
        <v>4868.1867392136764</v>
      </c>
      <c r="N5" s="219">
        <v>4888.4557530717948</v>
      </c>
      <c r="O5" s="219">
        <v>5281.969260903159</v>
      </c>
      <c r="P5" s="219">
        <v>5499.7151514103189</v>
      </c>
      <c r="Q5" s="219">
        <v>5320.8162071497954</v>
      </c>
      <c r="R5" s="219">
        <v>5511.4741997608344</v>
      </c>
      <c r="S5" s="219">
        <v>5963.4631781796807</v>
      </c>
      <c r="T5" s="219">
        <v>5489.5014266355402</v>
      </c>
      <c r="U5" s="219">
        <v>5655.2208512789221</v>
      </c>
      <c r="V5" s="219">
        <v>5363.1240053858164</v>
      </c>
      <c r="W5" s="219">
        <v>5778.3956551914825</v>
      </c>
      <c r="X5" s="219">
        <v>6449.5132985878236</v>
      </c>
      <c r="Y5" s="219">
        <v>6172.6717143646629</v>
      </c>
      <c r="DA5" s="210" t="s">
        <v>975</v>
      </c>
    </row>
    <row r="6" spans="1:105" x14ac:dyDescent="0.25">
      <c r="A6" s="220" t="s">
        <v>119</v>
      </c>
      <c r="B6" s="221">
        <v>8001.4673902820787</v>
      </c>
      <c r="C6" s="221">
        <v>7601.3940207679743</v>
      </c>
      <c r="D6" s="221">
        <v>7201.32065125387</v>
      </c>
      <c r="E6" s="221">
        <v>7201.32065125387</v>
      </c>
      <c r="F6" s="221">
        <v>6801.2472817397656</v>
      </c>
      <c r="G6" s="221">
        <v>6401.1739122256613</v>
      </c>
      <c r="H6" s="221">
        <v>6401.1739122256613</v>
      </c>
      <c r="I6" s="221">
        <v>6001.100542711557</v>
      </c>
      <c r="J6" s="221">
        <v>5601.0271731974526</v>
      </c>
      <c r="K6" s="221">
        <v>5601.0271731974526</v>
      </c>
      <c r="L6" s="221">
        <v>5200.9538036833483</v>
      </c>
      <c r="M6" s="221">
        <v>5200.9538036833483</v>
      </c>
      <c r="N6" s="221">
        <v>5200.9538036833483</v>
      </c>
      <c r="O6" s="221">
        <v>5601.0271731974526</v>
      </c>
      <c r="P6" s="221">
        <v>6001.100542711557</v>
      </c>
      <c r="Q6" s="221">
        <v>6001.100542711557</v>
      </c>
      <c r="R6" s="221">
        <v>6001.100542711557</v>
      </c>
      <c r="S6" s="221">
        <v>6401.1739122256613</v>
      </c>
      <c r="T6" s="221">
        <v>6001.100542711557</v>
      </c>
      <c r="U6" s="221">
        <v>6001.100542711557</v>
      </c>
      <c r="V6" s="221">
        <v>6001.100542711557</v>
      </c>
      <c r="W6" s="221">
        <v>6401.1739122256613</v>
      </c>
      <c r="X6" s="221">
        <v>6801.2472817397656</v>
      </c>
      <c r="Y6" s="221">
        <v>6801.2472817397656</v>
      </c>
      <c r="DA6" s="211" t="s">
        <v>976</v>
      </c>
    </row>
    <row r="7" spans="1:105" x14ac:dyDescent="0.25">
      <c r="A7" s="224" t="s">
        <v>118</v>
      </c>
      <c r="B7" s="225"/>
      <c r="C7" s="225">
        <v>0</v>
      </c>
      <c r="D7" s="225">
        <v>0</v>
      </c>
      <c r="E7" s="225">
        <v>0</v>
      </c>
      <c r="F7" s="225">
        <v>0</v>
      </c>
      <c r="G7" s="225">
        <v>0</v>
      </c>
      <c r="H7" s="225">
        <v>0</v>
      </c>
      <c r="I7" s="225">
        <v>0</v>
      </c>
      <c r="J7" s="225">
        <v>0</v>
      </c>
      <c r="K7" s="225">
        <v>0</v>
      </c>
      <c r="L7" s="225">
        <v>0</v>
      </c>
      <c r="M7" s="225">
        <v>400.07336951410389</v>
      </c>
      <c r="N7" s="225">
        <v>0</v>
      </c>
      <c r="O7" s="225">
        <v>800.14673902820789</v>
      </c>
      <c r="P7" s="225">
        <v>800.14673902820789</v>
      </c>
      <c r="Q7" s="225">
        <v>0</v>
      </c>
      <c r="R7" s="225">
        <v>400.07336951410389</v>
      </c>
      <c r="S7" s="225">
        <v>400.07336951410434</v>
      </c>
      <c r="T7" s="225">
        <v>0</v>
      </c>
      <c r="U7" s="225">
        <v>400.07336951410389</v>
      </c>
      <c r="V7" s="225">
        <v>400.07336951410389</v>
      </c>
      <c r="W7" s="225">
        <v>400.07336951410434</v>
      </c>
      <c r="X7" s="225">
        <v>800.14673902820789</v>
      </c>
      <c r="Y7" s="225">
        <v>400.07336951410389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400.07336951410434</v>
      </c>
      <c r="D8" s="227">
        <f t="shared" ref="D8" si="1">IF(C6=0,0,C6+D7-D6)</f>
        <v>400.07336951410434</v>
      </c>
      <c r="E8" s="227">
        <f t="shared" ref="E8" si="2">IF(D6=0,0,D6+E7-E6)</f>
        <v>0</v>
      </c>
      <c r="F8" s="227">
        <f t="shared" ref="F8" si="3">IF(E6=0,0,E6+F7-F6)</f>
        <v>400.07336951410434</v>
      </c>
      <c r="G8" s="227">
        <f t="shared" ref="G8" si="4">IF(F6=0,0,F6+G7-G6)</f>
        <v>400.07336951410434</v>
      </c>
      <c r="H8" s="227">
        <f t="shared" ref="H8" si="5">IF(G6=0,0,G6+H7-H6)</f>
        <v>0</v>
      </c>
      <c r="I8" s="227">
        <f t="shared" ref="I8" si="6">IF(H6=0,0,H6+I7-I6)</f>
        <v>400.07336951410434</v>
      </c>
      <c r="J8" s="227">
        <f t="shared" ref="J8" si="7">IF(I6=0,0,I6+J7-J6)</f>
        <v>400.07336951410434</v>
      </c>
      <c r="K8" s="227">
        <f t="shared" ref="K8" si="8">IF(J6=0,0,J6+K7-K6)</f>
        <v>0</v>
      </c>
      <c r="L8" s="227">
        <f t="shared" ref="L8" si="9">IF(K6=0,0,K6+L7-L6)</f>
        <v>400.07336951410434</v>
      </c>
      <c r="M8" s="227">
        <f t="shared" ref="M8" si="10">IF(L6=0,0,L6+M7-M6)</f>
        <v>400.07336951410343</v>
      </c>
      <c r="N8" s="227">
        <f t="shared" ref="N8" si="11">IF(M6=0,0,M6+N7-N6)</f>
        <v>0</v>
      </c>
      <c r="O8" s="227">
        <f t="shared" ref="O8" si="12">IF(N6=0,0,N6+O7-O6)</f>
        <v>400.07336951410343</v>
      </c>
      <c r="P8" s="227">
        <f t="shared" ref="P8" si="13">IF(O6=0,0,O6+P7-P6)</f>
        <v>400.07336951410343</v>
      </c>
      <c r="Q8" s="227">
        <f t="shared" ref="Q8" si="14">IF(P6=0,0,P6+Q7-Q6)</f>
        <v>0</v>
      </c>
      <c r="R8" s="227">
        <f t="shared" ref="R8" si="15">IF(Q6=0,0,Q6+R7-R6)</f>
        <v>400.07336951410343</v>
      </c>
      <c r="S8" s="227">
        <f t="shared" ref="S8" si="16">IF(R6=0,0,R6+S7-S6)</f>
        <v>0</v>
      </c>
      <c r="T8" s="227">
        <f t="shared" ref="T8" si="17">IF(S6=0,0,S6+T7-T6)</f>
        <v>400.07336951410434</v>
      </c>
      <c r="U8" s="227">
        <f t="shared" ref="U8" si="18">IF(T6=0,0,T6+U7-U6)</f>
        <v>400.07336951410343</v>
      </c>
      <c r="V8" s="227">
        <f t="shared" ref="V8" si="19">IF(U6=0,0,U6+V7-V6)</f>
        <v>400.07336951410343</v>
      </c>
      <c r="W8" s="227">
        <f t="shared" ref="W8" si="20">IF(V6=0,0,V6+W7-W6)</f>
        <v>0</v>
      </c>
      <c r="X8" s="227">
        <f t="shared" ref="X8" si="21">IF(W6=0,0,W6+X7-X6)</f>
        <v>400.07336951410343</v>
      </c>
      <c r="Y8" s="227">
        <f t="shared" ref="Y8" si="22">IF(X6=0,0,X6+Y7-Y6)</f>
        <v>400.07336951410343</v>
      </c>
      <c r="DA8" s="213" t="s">
        <v>978</v>
      </c>
    </row>
    <row r="9" spans="1:105" x14ac:dyDescent="0.25">
      <c r="A9" s="222" t="s">
        <v>116</v>
      </c>
      <c r="B9" s="223">
        <f>B6-B5</f>
        <v>1600.2934780564156</v>
      </c>
      <c r="C9" s="223">
        <f t="shared" ref="C9:W9" si="23">C6-C5</f>
        <v>931.99953795430156</v>
      </c>
      <c r="D9" s="223">
        <f t="shared" si="23"/>
        <v>1218.1978379166139</v>
      </c>
      <c r="E9" s="223">
        <f t="shared" si="23"/>
        <v>1470.332166160717</v>
      </c>
      <c r="F9" s="223">
        <f t="shared" si="23"/>
        <v>1927.3177500142392</v>
      </c>
      <c r="G9" s="223">
        <f t="shared" si="23"/>
        <v>2205.9352147087575</v>
      </c>
      <c r="H9" s="223">
        <f t="shared" si="23"/>
        <v>1886.6694351337574</v>
      </c>
      <c r="I9" s="223">
        <f t="shared" si="23"/>
        <v>1387.4129759949356</v>
      </c>
      <c r="J9" s="223">
        <f t="shared" si="23"/>
        <v>1187.7044493089288</v>
      </c>
      <c r="K9" s="223">
        <f t="shared" si="23"/>
        <v>1737.1030324652397</v>
      </c>
      <c r="L9" s="223">
        <f t="shared" si="23"/>
        <v>802.78871952640384</v>
      </c>
      <c r="M9" s="223">
        <f t="shared" si="23"/>
        <v>332.76706446967182</v>
      </c>
      <c r="N9" s="223">
        <f t="shared" si="23"/>
        <v>312.49805061155348</v>
      </c>
      <c r="O9" s="223">
        <f t="shared" si="23"/>
        <v>319.0579122942936</v>
      </c>
      <c r="P9" s="223">
        <f t="shared" si="23"/>
        <v>501.38539130123809</v>
      </c>
      <c r="Q9" s="223">
        <f t="shared" si="23"/>
        <v>680.28433556176151</v>
      </c>
      <c r="R9" s="223">
        <f t="shared" si="23"/>
        <v>489.62634295072257</v>
      </c>
      <c r="S9" s="223">
        <f t="shared" si="23"/>
        <v>437.71073404598064</v>
      </c>
      <c r="T9" s="223">
        <f t="shared" si="23"/>
        <v>511.5991160760168</v>
      </c>
      <c r="U9" s="223">
        <f t="shared" si="23"/>
        <v>345.8796914326349</v>
      </c>
      <c r="V9" s="223">
        <f t="shared" si="23"/>
        <v>637.97653732574054</v>
      </c>
      <c r="W9" s="223">
        <f t="shared" si="23"/>
        <v>622.77825703417875</v>
      </c>
      <c r="X9" s="223">
        <f t="shared" ref="X9:Y9" si="24">X6-X5</f>
        <v>351.73398315194208</v>
      </c>
      <c r="Y9" s="223">
        <f t="shared" si="24"/>
        <v>628.57556737510276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719.95098882201182</v>
      </c>
      <c r="C12" s="229">
        <f t="shared" ref="C12:W12" si="25">SUM(C13,C14,C18,C19,C26,C27)</f>
        <v>732.42906276870144</v>
      </c>
      <c r="D12" s="229">
        <f t="shared" si="25"/>
        <v>680.93361994840939</v>
      </c>
      <c r="E12" s="229">
        <f t="shared" si="25"/>
        <v>685.07016337059326</v>
      </c>
      <c r="F12" s="229">
        <f t="shared" si="25"/>
        <v>571.7419604471196</v>
      </c>
      <c r="G12" s="229">
        <f t="shared" si="25"/>
        <v>563.39552880481506</v>
      </c>
      <c r="H12" s="229">
        <f t="shared" si="25"/>
        <v>587.14393809114347</v>
      </c>
      <c r="I12" s="229">
        <f t="shared" si="25"/>
        <v>543.56018916595008</v>
      </c>
      <c r="J12" s="229">
        <f t="shared" si="25"/>
        <v>545.02854686156491</v>
      </c>
      <c r="K12" s="229">
        <f t="shared" si="25"/>
        <v>532.57858985382632</v>
      </c>
      <c r="L12" s="229">
        <f t="shared" si="25"/>
        <v>565.0594153052449</v>
      </c>
      <c r="M12" s="229">
        <f t="shared" si="25"/>
        <v>564.8134135855546</v>
      </c>
      <c r="N12" s="229">
        <f t="shared" si="25"/>
        <v>578.36380051590709</v>
      </c>
      <c r="O12" s="229">
        <f t="shared" si="25"/>
        <v>622.71685296646592</v>
      </c>
      <c r="P12" s="229">
        <f t="shared" si="25"/>
        <v>628.13705932932066</v>
      </c>
      <c r="Q12" s="229">
        <f t="shared" si="25"/>
        <v>620.81840068787608</v>
      </c>
      <c r="R12" s="229">
        <f t="shared" si="25"/>
        <v>652.62742906276867</v>
      </c>
      <c r="S12" s="229">
        <f t="shared" si="25"/>
        <v>651.56715391229557</v>
      </c>
      <c r="T12" s="229">
        <f t="shared" si="25"/>
        <v>631.50963026655188</v>
      </c>
      <c r="U12" s="229">
        <f t="shared" si="25"/>
        <v>646.45133276010301</v>
      </c>
      <c r="V12" s="229">
        <f t="shared" si="25"/>
        <v>649.06018916595008</v>
      </c>
      <c r="W12" s="229">
        <f t="shared" si="25"/>
        <v>668.05726569217518</v>
      </c>
      <c r="X12" s="229">
        <f t="shared" ref="X12:Y12" si="26">SUM(X13,X14,X18,X19,X26,X27)</f>
        <v>638.02785898538264</v>
      </c>
      <c r="Y12" s="229">
        <f t="shared" si="26"/>
        <v>625.77876182287173</v>
      </c>
      <c r="DA12" s="210" t="s">
        <v>980</v>
      </c>
    </row>
    <row r="13" spans="1:105" x14ac:dyDescent="0.25">
      <c r="A13" s="58" t="s">
        <v>29</v>
      </c>
      <c r="B13" s="59">
        <v>48.645829750644872</v>
      </c>
      <c r="C13" s="59">
        <v>37.217024935511603</v>
      </c>
      <c r="D13" s="59">
        <v>39.391401547721408</v>
      </c>
      <c r="E13" s="59">
        <v>39.890799656061901</v>
      </c>
      <c r="F13" s="59">
        <v>23.349355116079099</v>
      </c>
      <c r="G13" s="59">
        <v>19.515993121238179</v>
      </c>
      <c r="H13" s="59">
        <v>19.183490971625101</v>
      </c>
      <c r="I13" s="59">
        <v>12.534651762682715</v>
      </c>
      <c r="J13" s="59">
        <v>13.385038693035254</v>
      </c>
      <c r="K13" s="59">
        <v>13.171797076526229</v>
      </c>
      <c r="L13" s="59">
        <v>13.040154772141012</v>
      </c>
      <c r="M13" s="59">
        <v>11.033018056749786</v>
      </c>
      <c r="N13" s="59">
        <v>10.723215821152193</v>
      </c>
      <c r="O13" s="59">
        <v>9.8536543422184</v>
      </c>
      <c r="P13" s="59">
        <v>9.2819432502149599</v>
      </c>
      <c r="Q13" s="59">
        <v>9.0185726569217533</v>
      </c>
      <c r="R13" s="59">
        <v>8.2066208082545131</v>
      </c>
      <c r="S13" s="59">
        <v>6.4495270851246778</v>
      </c>
      <c r="T13" s="59">
        <v>6.2382631126397232</v>
      </c>
      <c r="U13" s="59">
        <v>5.8151332760103172</v>
      </c>
      <c r="V13" s="59">
        <v>5.02493551160791</v>
      </c>
      <c r="W13" s="59">
        <v>6.0697334479793641</v>
      </c>
      <c r="X13" s="59">
        <v>5.8187446259673257</v>
      </c>
      <c r="Y13" s="59">
        <v>4.7674118658641449</v>
      </c>
      <c r="DA13" s="9" t="s">
        <v>981</v>
      </c>
    </row>
    <row r="14" spans="1:105" x14ac:dyDescent="0.25">
      <c r="A14" s="60" t="s">
        <v>28</v>
      </c>
      <c r="B14" s="55">
        <f>SUM(B15:B17)</f>
        <v>483.84935511607898</v>
      </c>
      <c r="C14" s="55">
        <f t="shared" ref="C14:W14" si="27">SUM(C15:C17)</f>
        <v>513.8564058469475</v>
      </c>
      <c r="D14" s="55">
        <f t="shared" si="27"/>
        <v>457.1102321582116</v>
      </c>
      <c r="E14" s="55">
        <f t="shared" si="27"/>
        <v>451.80249355116081</v>
      </c>
      <c r="F14" s="55">
        <f t="shared" si="27"/>
        <v>355.80868443680146</v>
      </c>
      <c r="G14" s="55">
        <f t="shared" si="27"/>
        <v>356.38546861564913</v>
      </c>
      <c r="H14" s="55">
        <f t="shared" si="27"/>
        <v>362.03705932932064</v>
      </c>
      <c r="I14" s="55">
        <f t="shared" si="27"/>
        <v>346.8466895958727</v>
      </c>
      <c r="J14" s="55">
        <f t="shared" si="27"/>
        <v>362.98727429062768</v>
      </c>
      <c r="K14" s="55">
        <f t="shared" si="27"/>
        <v>352.75924333619946</v>
      </c>
      <c r="L14" s="55">
        <f t="shared" si="27"/>
        <v>353.18005159071356</v>
      </c>
      <c r="M14" s="55">
        <f t="shared" si="27"/>
        <v>353.79948409286322</v>
      </c>
      <c r="N14" s="55">
        <f t="shared" si="27"/>
        <v>352.70791057609625</v>
      </c>
      <c r="O14" s="55">
        <f t="shared" si="27"/>
        <v>352.67884780739467</v>
      </c>
      <c r="P14" s="55">
        <f t="shared" si="27"/>
        <v>352.57781599312125</v>
      </c>
      <c r="Q14" s="55">
        <f t="shared" si="27"/>
        <v>349.44909716251072</v>
      </c>
      <c r="R14" s="55">
        <f t="shared" si="27"/>
        <v>347.65941530524498</v>
      </c>
      <c r="S14" s="55">
        <f t="shared" si="27"/>
        <v>348.53981083404977</v>
      </c>
      <c r="T14" s="55">
        <f t="shared" si="27"/>
        <v>346.56723989681853</v>
      </c>
      <c r="U14" s="55">
        <f t="shared" si="27"/>
        <v>348.87429062768689</v>
      </c>
      <c r="V14" s="55">
        <f t="shared" si="27"/>
        <v>353.38331900257947</v>
      </c>
      <c r="W14" s="55">
        <f t="shared" si="27"/>
        <v>342.28039552880466</v>
      </c>
      <c r="X14" s="55">
        <f t="shared" ref="X14:Y14" si="28">SUM(X15:X17)</f>
        <v>331.67575236457435</v>
      </c>
      <c r="Y14" s="55">
        <f t="shared" si="28"/>
        <v>329.64144453998279</v>
      </c>
      <c r="DA14" s="10"/>
    </row>
    <row r="15" spans="1:105" x14ac:dyDescent="0.25">
      <c r="A15" s="61" t="s">
        <v>52</v>
      </c>
      <c r="B15" s="55">
        <v>9.8882201203783318</v>
      </c>
      <c r="C15" s="55">
        <v>12.70309544282029</v>
      </c>
      <c r="D15" s="55">
        <v>6.3542562338779023</v>
      </c>
      <c r="E15" s="55">
        <v>5.298538263112639</v>
      </c>
      <c r="F15" s="55">
        <v>5.2948409286328459</v>
      </c>
      <c r="G15" s="55">
        <v>6.3538263112639717</v>
      </c>
      <c r="H15" s="55">
        <v>6.5638865004299216</v>
      </c>
      <c r="I15" s="55">
        <v>2.187962166809974</v>
      </c>
      <c r="J15" s="55">
        <v>2.093551160791058</v>
      </c>
      <c r="K15" s="55">
        <v>2.0931212381771278</v>
      </c>
      <c r="L15" s="55">
        <v>3.1399828030954429</v>
      </c>
      <c r="M15" s="55">
        <v>3.1394668959587269</v>
      </c>
      <c r="N15" s="55">
        <v>3.1384350816852971</v>
      </c>
      <c r="O15" s="55">
        <v>4.184608770421324</v>
      </c>
      <c r="P15" s="55">
        <v>4.184608770421324</v>
      </c>
      <c r="Q15" s="55">
        <v>4.184608770421324</v>
      </c>
      <c r="R15" s="55">
        <v>4.184608770421324</v>
      </c>
      <c r="S15" s="55">
        <v>4.184608770421324</v>
      </c>
      <c r="T15" s="55">
        <v>6.2768701633705932</v>
      </c>
      <c r="U15" s="55">
        <v>6.2768701633705932</v>
      </c>
      <c r="V15" s="55">
        <v>7.3230438521066201</v>
      </c>
      <c r="W15" s="55">
        <v>7.3230438521066201</v>
      </c>
      <c r="X15" s="55">
        <v>3.1384350816852971</v>
      </c>
      <c r="Y15" s="55">
        <v>8.3691315563198625</v>
      </c>
      <c r="DA15" s="10" t="s">
        <v>982</v>
      </c>
    </row>
    <row r="16" spans="1:105" x14ac:dyDescent="0.25">
      <c r="A16" s="61" t="s">
        <v>165</v>
      </c>
      <c r="B16" s="55">
        <v>383.3909716251074</v>
      </c>
      <c r="C16" s="55">
        <v>369.45829750644879</v>
      </c>
      <c r="D16" s="55">
        <v>337.57953568357703</v>
      </c>
      <c r="E16" s="55">
        <v>320.46620808254517</v>
      </c>
      <c r="F16" s="55">
        <v>334.03989681857274</v>
      </c>
      <c r="G16" s="55">
        <v>330.69165950128973</v>
      </c>
      <c r="H16" s="55">
        <v>335.13697334479787</v>
      </c>
      <c r="I16" s="55">
        <v>331.83877901977638</v>
      </c>
      <c r="J16" s="55">
        <v>348.13705932932072</v>
      </c>
      <c r="K16" s="55">
        <v>341.81255374032673</v>
      </c>
      <c r="L16" s="55">
        <v>341.26973344797926</v>
      </c>
      <c r="M16" s="55">
        <v>341.88417884780733</v>
      </c>
      <c r="N16" s="55">
        <v>342.69544282029227</v>
      </c>
      <c r="O16" s="55">
        <v>341.70120378331899</v>
      </c>
      <c r="P16" s="55">
        <v>337.82459157351678</v>
      </c>
      <c r="Q16" s="55">
        <v>337.447377472055</v>
      </c>
      <c r="R16" s="55">
        <v>338.58340498710226</v>
      </c>
      <c r="S16" s="55">
        <v>338.52029234737739</v>
      </c>
      <c r="T16" s="55">
        <v>336.35898538263109</v>
      </c>
      <c r="U16" s="55">
        <v>339.60945829750636</v>
      </c>
      <c r="V16" s="55">
        <v>340.24187446259668</v>
      </c>
      <c r="W16" s="55">
        <v>314.84178847807385</v>
      </c>
      <c r="X16" s="55">
        <v>309.36517626827168</v>
      </c>
      <c r="Y16" s="55">
        <v>305.02115219260531</v>
      </c>
      <c r="DA16" s="10" t="s">
        <v>983</v>
      </c>
    </row>
    <row r="17" spans="1:105" x14ac:dyDescent="0.25">
      <c r="A17" s="61" t="s">
        <v>113</v>
      </c>
      <c r="B17" s="55">
        <v>90.570163370593292</v>
      </c>
      <c r="C17" s="55">
        <v>131.69501289767842</v>
      </c>
      <c r="D17" s="55">
        <v>113.17644024075665</v>
      </c>
      <c r="E17" s="55">
        <v>126.03774720550302</v>
      </c>
      <c r="F17" s="55">
        <v>16.473946689595873</v>
      </c>
      <c r="G17" s="55">
        <v>19.339982803095442</v>
      </c>
      <c r="H17" s="55">
        <v>20.336199484092859</v>
      </c>
      <c r="I17" s="55">
        <v>12.819948409286329</v>
      </c>
      <c r="J17" s="55">
        <v>12.756663800515906</v>
      </c>
      <c r="K17" s="55">
        <v>8.8535683576956128</v>
      </c>
      <c r="L17" s="55">
        <v>8.7703353396388639</v>
      </c>
      <c r="M17" s="55">
        <v>8.7758383490971603</v>
      </c>
      <c r="N17" s="55">
        <v>6.8740326741186584</v>
      </c>
      <c r="O17" s="55">
        <v>6.7930352536543408</v>
      </c>
      <c r="P17" s="55">
        <v>10.568615649183144</v>
      </c>
      <c r="Q17" s="55">
        <v>7.8171109200343931</v>
      </c>
      <c r="R17" s="55">
        <v>4.8914015477214088</v>
      </c>
      <c r="S17" s="55">
        <v>5.8349097162510741</v>
      </c>
      <c r="T17" s="55">
        <v>3.9313843508168516</v>
      </c>
      <c r="U17" s="55">
        <v>2.9879621668099734</v>
      </c>
      <c r="V17" s="55">
        <v>5.8184006878761814</v>
      </c>
      <c r="W17" s="55">
        <v>20.115563198624244</v>
      </c>
      <c r="X17" s="55">
        <v>19.172141014617363</v>
      </c>
      <c r="Y17" s="55">
        <v>16.251160791057607</v>
      </c>
      <c r="DA17" s="10" t="s">
        <v>984</v>
      </c>
    </row>
    <row r="18" spans="1:105" x14ac:dyDescent="0.25">
      <c r="A18" s="60" t="s">
        <v>149</v>
      </c>
      <c r="B18" s="55">
        <v>68.185726569217536</v>
      </c>
      <c r="C18" s="55">
        <v>67.454858125537399</v>
      </c>
      <c r="D18" s="55">
        <v>71.195184866723991</v>
      </c>
      <c r="E18" s="55">
        <v>68.250214961306966</v>
      </c>
      <c r="F18" s="55">
        <v>66.917454858125538</v>
      </c>
      <c r="G18" s="55">
        <v>67.841788478073937</v>
      </c>
      <c r="H18" s="55">
        <v>64.918314703353388</v>
      </c>
      <c r="I18" s="55">
        <v>65.907136715391232</v>
      </c>
      <c r="J18" s="55">
        <v>53.417884780739463</v>
      </c>
      <c r="K18" s="55">
        <v>51.59071367153912</v>
      </c>
      <c r="L18" s="55">
        <v>63.886500429922613</v>
      </c>
      <c r="M18" s="55">
        <v>60.662080825451412</v>
      </c>
      <c r="N18" s="55">
        <v>51.160791057609629</v>
      </c>
      <c r="O18" s="55">
        <v>64.058469475494405</v>
      </c>
      <c r="P18" s="55">
        <v>56.599312123817704</v>
      </c>
      <c r="Q18" s="55">
        <v>49.548581255374039</v>
      </c>
      <c r="R18" s="55">
        <v>61.264144453998277</v>
      </c>
      <c r="S18" s="55">
        <v>65.434221840068773</v>
      </c>
      <c r="T18" s="55">
        <v>52.704299226139291</v>
      </c>
      <c r="U18" s="55">
        <v>65.311521926053302</v>
      </c>
      <c r="V18" s="55">
        <v>59.151927608043081</v>
      </c>
      <c r="W18" s="55">
        <v>52.987532276133848</v>
      </c>
      <c r="X18" s="55">
        <v>40.923481112687881</v>
      </c>
      <c r="Y18" s="55">
        <v>38.386965084975671</v>
      </c>
      <c r="DA18" s="10" t="s">
        <v>985</v>
      </c>
    </row>
    <row r="19" spans="1:105" x14ac:dyDescent="0.25">
      <c r="A19" s="60" t="s">
        <v>51</v>
      </c>
      <c r="B19" s="55">
        <f>SUM(B20:B25)</f>
        <v>2.3645743766122092</v>
      </c>
      <c r="C19" s="55">
        <f t="shared" ref="C19:W19" si="29">SUM(C20:C25)</f>
        <v>2.3883920894239039</v>
      </c>
      <c r="D19" s="55">
        <f t="shared" si="29"/>
        <v>3.2244196044711946</v>
      </c>
      <c r="E19" s="55">
        <f t="shared" si="29"/>
        <v>17.579105760963024</v>
      </c>
      <c r="F19" s="55">
        <f t="shared" si="29"/>
        <v>21.090111779879617</v>
      </c>
      <c r="G19" s="55">
        <f t="shared" si="29"/>
        <v>18.009028374892516</v>
      </c>
      <c r="H19" s="55">
        <f t="shared" si="29"/>
        <v>23.191917454858121</v>
      </c>
      <c r="I19" s="55">
        <f t="shared" si="29"/>
        <v>19.633104041272567</v>
      </c>
      <c r="J19" s="55">
        <f t="shared" si="29"/>
        <v>18.343336199484092</v>
      </c>
      <c r="K19" s="55">
        <f t="shared" si="29"/>
        <v>28.44651762682717</v>
      </c>
      <c r="L19" s="55">
        <f t="shared" si="29"/>
        <v>42.705674978503872</v>
      </c>
      <c r="M19" s="55">
        <f t="shared" si="29"/>
        <v>51.495184866723989</v>
      </c>
      <c r="N19" s="55">
        <f t="shared" si="29"/>
        <v>82.855631986242471</v>
      </c>
      <c r="O19" s="55">
        <f t="shared" si="29"/>
        <v>118.10928632846085</v>
      </c>
      <c r="P19" s="55">
        <f t="shared" si="29"/>
        <v>121.52476354256234</v>
      </c>
      <c r="Q19" s="55">
        <f t="shared" si="29"/>
        <v>123.50722269991404</v>
      </c>
      <c r="R19" s="55">
        <f t="shared" si="29"/>
        <v>146.81857265692176</v>
      </c>
      <c r="S19" s="55">
        <f t="shared" si="29"/>
        <v>139.88340498710227</v>
      </c>
      <c r="T19" s="55">
        <f t="shared" si="29"/>
        <v>134.23035253654339</v>
      </c>
      <c r="U19" s="55">
        <f t="shared" si="29"/>
        <v>133.40558899398107</v>
      </c>
      <c r="V19" s="55">
        <f t="shared" si="29"/>
        <v>135.49149457596383</v>
      </c>
      <c r="W19" s="55">
        <f t="shared" si="29"/>
        <v>153.66440237562887</v>
      </c>
      <c r="X19" s="55">
        <f t="shared" ref="X19:Y19" si="30">SUM(X20:X25)</f>
        <v>153.63137701284953</v>
      </c>
      <c r="Y19" s="55">
        <f t="shared" si="30"/>
        <v>152.23547687547139</v>
      </c>
      <c r="DA19" s="10"/>
    </row>
    <row r="20" spans="1:105" x14ac:dyDescent="0.25">
      <c r="A20" s="61" t="s">
        <v>164</v>
      </c>
      <c r="B20" s="55">
        <v>0.85984522785898532</v>
      </c>
      <c r="C20" s="55">
        <v>0.93147033533963886</v>
      </c>
      <c r="D20" s="55">
        <v>2.6511607910576092</v>
      </c>
      <c r="E20" s="55">
        <v>15.3816852966466</v>
      </c>
      <c r="F20" s="55">
        <v>19.155460017196901</v>
      </c>
      <c r="G20" s="55">
        <v>16.456491831470331</v>
      </c>
      <c r="H20" s="55">
        <v>20.37351676698194</v>
      </c>
      <c r="I20" s="55">
        <v>14.71289767841788</v>
      </c>
      <c r="J20" s="55">
        <v>10.81969045571797</v>
      </c>
      <c r="K20" s="55">
        <v>12.22889079965606</v>
      </c>
      <c r="L20" s="55">
        <v>11.94230438521066</v>
      </c>
      <c r="M20" s="55">
        <v>6.6877042132416156</v>
      </c>
      <c r="N20" s="55">
        <v>8.9089423903697327</v>
      </c>
      <c r="O20" s="55">
        <v>9.1478073946689591</v>
      </c>
      <c r="P20" s="55">
        <v>8.5984522785898534</v>
      </c>
      <c r="Q20" s="55">
        <v>8.7417884780739463</v>
      </c>
      <c r="R20" s="55">
        <v>9.6971625107480648</v>
      </c>
      <c r="S20" s="55">
        <v>9.440412725709372</v>
      </c>
      <c r="T20" s="55">
        <v>8.7895958727429058</v>
      </c>
      <c r="U20" s="55">
        <v>9.9392089423903691</v>
      </c>
      <c r="V20" s="55">
        <v>8.663886500429923</v>
      </c>
      <c r="W20" s="55">
        <v>9.4308684436801382</v>
      </c>
      <c r="X20" s="55">
        <v>10.169733447979363</v>
      </c>
      <c r="Y20" s="55">
        <v>9.6297506448839201</v>
      </c>
      <c r="DA20" s="10" t="s">
        <v>986</v>
      </c>
    </row>
    <row r="21" spans="1:105" x14ac:dyDescent="0.25">
      <c r="A21" s="61" t="s">
        <v>50</v>
      </c>
      <c r="B21" s="55">
        <v>1.5047291487532239</v>
      </c>
      <c r="C21" s="55">
        <v>1.4569217540842649</v>
      </c>
      <c r="D21" s="55">
        <v>0.57325881341358553</v>
      </c>
      <c r="E21" s="55">
        <v>2.1974204643164228</v>
      </c>
      <c r="F21" s="55">
        <v>1.9346517626827171</v>
      </c>
      <c r="G21" s="55">
        <v>1.5525365434221841</v>
      </c>
      <c r="H21" s="55">
        <v>2.8184006878761818</v>
      </c>
      <c r="I21" s="55">
        <v>4.9202063628546862</v>
      </c>
      <c r="J21" s="55">
        <v>7.5236457437661217</v>
      </c>
      <c r="K21" s="55">
        <v>16.217626827171109</v>
      </c>
      <c r="L21" s="55">
        <v>30.76337059329321</v>
      </c>
      <c r="M21" s="55">
        <v>44.807480653482372</v>
      </c>
      <c r="N21" s="55">
        <v>73.946689595872741</v>
      </c>
      <c r="O21" s="55">
        <v>108.96147893379189</v>
      </c>
      <c r="P21" s="55">
        <v>112.92631126397249</v>
      </c>
      <c r="Q21" s="55">
        <v>114.7654342218401</v>
      </c>
      <c r="R21" s="55">
        <v>137.1214101461737</v>
      </c>
      <c r="S21" s="55">
        <v>130.4429922613929</v>
      </c>
      <c r="T21" s="55">
        <v>125.4407566638005</v>
      </c>
      <c r="U21" s="55">
        <v>123.4663800515907</v>
      </c>
      <c r="V21" s="55">
        <v>126.8276080755339</v>
      </c>
      <c r="W21" s="55">
        <v>127.44264829136405</v>
      </c>
      <c r="X21" s="55">
        <v>126.67075792428547</v>
      </c>
      <c r="Y21" s="55">
        <v>126.69858951519625</v>
      </c>
      <c r="DA21" s="10" t="s">
        <v>987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16.79088564058469</v>
      </c>
      <c r="X22" s="55">
        <v>16.79088564058469</v>
      </c>
      <c r="Y22" s="55">
        <v>15.90713671539123</v>
      </c>
      <c r="DA22" s="10" t="s">
        <v>988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" t="s">
        <v>989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16.217626827171109</v>
      </c>
      <c r="C26" s="55">
        <v>11.94230438521066</v>
      </c>
      <c r="D26" s="55">
        <v>11.99002579535683</v>
      </c>
      <c r="E26" s="55">
        <v>14.85623387790198</v>
      </c>
      <c r="F26" s="55">
        <v>13.518744625967329</v>
      </c>
      <c r="G26" s="55">
        <v>13.423129836629411</v>
      </c>
      <c r="H26" s="55">
        <v>11.96620808254514</v>
      </c>
      <c r="I26" s="55">
        <v>11.96620808254514</v>
      </c>
      <c r="J26" s="55">
        <v>8.9328460877042115</v>
      </c>
      <c r="K26" s="55">
        <v>6.9026655202063631</v>
      </c>
      <c r="L26" s="55">
        <v>12.969303525365429</v>
      </c>
      <c r="M26" s="55">
        <v>12.157265692175409</v>
      </c>
      <c r="N26" s="55">
        <v>8.431298366294067</v>
      </c>
      <c r="O26" s="55">
        <v>8.0251934651762671</v>
      </c>
      <c r="P26" s="55">
        <v>7.4997420464316411</v>
      </c>
      <c r="Q26" s="55">
        <v>6.2338779019776434</v>
      </c>
      <c r="R26" s="55">
        <v>7.1653482373172821</v>
      </c>
      <c r="S26" s="55">
        <v>7.1940670679277723</v>
      </c>
      <c r="T26" s="55">
        <v>8.3402407566637997</v>
      </c>
      <c r="U26" s="55">
        <v>8.825021496130697</v>
      </c>
      <c r="V26" s="55">
        <v>10.161908856405848</v>
      </c>
      <c r="W26" s="55">
        <v>12.269303525365435</v>
      </c>
      <c r="X26" s="55">
        <v>14.153396388650041</v>
      </c>
      <c r="Y26" s="55">
        <v>15.176440240756659</v>
      </c>
      <c r="DA26" s="10" t="s">
        <v>992</v>
      </c>
    </row>
    <row r="27" spans="1:105" x14ac:dyDescent="0.25">
      <c r="A27" s="62" t="s">
        <v>24</v>
      </c>
      <c r="B27" s="63">
        <v>100.6878761822872</v>
      </c>
      <c r="C27" s="63">
        <v>99.570077386070494</v>
      </c>
      <c r="D27" s="63">
        <v>98.022355975924327</v>
      </c>
      <c r="E27" s="63">
        <v>92.691315563198614</v>
      </c>
      <c r="F27" s="63">
        <v>91.057609630266555</v>
      </c>
      <c r="G27" s="63">
        <v>88.220120378331899</v>
      </c>
      <c r="H27" s="63">
        <v>105.8469475494411</v>
      </c>
      <c r="I27" s="63">
        <v>86.672398968185718</v>
      </c>
      <c r="J27" s="63">
        <v>87.962166809974192</v>
      </c>
      <c r="K27" s="63">
        <v>79.707652622527931</v>
      </c>
      <c r="L27" s="63">
        <v>79.277730008598439</v>
      </c>
      <c r="M27" s="63">
        <v>75.666380051590707</v>
      </c>
      <c r="N27" s="63">
        <v>72.484952708512452</v>
      </c>
      <c r="O27" s="63">
        <v>69.991401547721395</v>
      </c>
      <c r="P27" s="63">
        <v>80.653482373172821</v>
      </c>
      <c r="Q27" s="63">
        <v>83.061049011177971</v>
      </c>
      <c r="R27" s="63">
        <v>81.513327601031804</v>
      </c>
      <c r="S27" s="63">
        <v>84.066122098022348</v>
      </c>
      <c r="T27" s="63">
        <v>83.429234737747194</v>
      </c>
      <c r="U27" s="63">
        <v>84.21977644024075</v>
      </c>
      <c r="V27" s="63">
        <v>85.846603611349948</v>
      </c>
      <c r="W27" s="63">
        <v>100.78589853826307</v>
      </c>
      <c r="X27" s="63">
        <v>91.825107480653472</v>
      </c>
      <c r="Y27" s="63">
        <v>85.571023215821157</v>
      </c>
      <c r="DA27" s="11" t="s">
        <v>993</v>
      </c>
    </row>
    <row r="29" spans="1:105" x14ac:dyDescent="0.25">
      <c r="A29" s="218" t="s">
        <v>84</v>
      </c>
      <c r="B29" s="219">
        <v>1867.4171018390693</v>
      </c>
      <c r="C29" s="219">
        <v>1917.1992607871005</v>
      </c>
      <c r="D29" s="219">
        <v>1760.8314246333737</v>
      </c>
      <c r="E29" s="219">
        <v>1740.0250278584031</v>
      </c>
      <c r="F29" s="219">
        <v>1357.6977082226676</v>
      </c>
      <c r="G29" s="219">
        <v>1345.8917011908609</v>
      </c>
      <c r="H29" s="219">
        <v>1353.8886118214937</v>
      </c>
      <c r="I29" s="219">
        <v>1282.7937634945977</v>
      </c>
      <c r="J29" s="219">
        <v>1306.7065023144669</v>
      </c>
      <c r="K29" s="219">
        <v>1269.051369043259</v>
      </c>
      <c r="L29" s="219">
        <v>1298.1948722857321</v>
      </c>
      <c r="M29" s="219">
        <v>1284.471599338367</v>
      </c>
      <c r="N29" s="219">
        <v>1257.1185561070852</v>
      </c>
      <c r="O29" s="219">
        <v>1283.4899692544313</v>
      </c>
      <c r="P29" s="219">
        <v>1263.8583852554677</v>
      </c>
      <c r="Q29" s="219">
        <v>1235.8946462880269</v>
      </c>
      <c r="R29" s="219">
        <v>1254.346472565574</v>
      </c>
      <c r="S29" s="219">
        <v>1259.7157546449973</v>
      </c>
      <c r="T29" s="219">
        <v>1221.5125778956733</v>
      </c>
      <c r="U29" s="219">
        <v>1256.4711366768906</v>
      </c>
      <c r="V29" s="219">
        <v>1252.6637832051997</v>
      </c>
      <c r="W29" s="219">
        <v>1207.0308606471717</v>
      </c>
      <c r="X29" s="219">
        <v>1146.5593587285625</v>
      </c>
      <c r="Y29" s="219">
        <v>1127.4057146512382</v>
      </c>
      <c r="DA29" s="8"/>
    </row>
    <row r="31" spans="1:105" x14ac:dyDescent="0.25">
      <c r="A31" s="33" t="s">
        <v>183</v>
      </c>
      <c r="B31" s="59">
        <f t="shared" ref="B31:Y31" si="31">IF(B$12=0,"",B$12/B$3*1000)</f>
        <v>120.85528867359257</v>
      </c>
      <c r="C31" s="59">
        <f t="shared" si="31"/>
        <v>121.2523234894922</v>
      </c>
      <c r="D31" s="59">
        <f t="shared" si="31"/>
        <v>133.44500513230631</v>
      </c>
      <c r="E31" s="59">
        <f t="shared" si="31"/>
        <v>142.2809905946994</v>
      </c>
      <c r="F31" s="59">
        <f t="shared" si="31"/>
        <v>113.32309970945599</v>
      </c>
      <c r="G31" s="59">
        <f t="shared" si="31"/>
        <v>110.50534159748541</v>
      </c>
      <c r="H31" s="59">
        <f t="shared" si="31"/>
        <v>113.93879746265777</v>
      </c>
      <c r="I31" s="59">
        <f t="shared" si="31"/>
        <v>103.45126062867578</v>
      </c>
      <c r="J31" s="59">
        <f t="shared" si="31"/>
        <v>109.20761895682699</v>
      </c>
      <c r="K31" s="59">
        <f t="shared" si="31"/>
        <v>122.86978631254995</v>
      </c>
      <c r="L31" s="59">
        <f t="shared" si="31"/>
        <v>145.97915224831732</v>
      </c>
      <c r="M31" s="59">
        <f t="shared" si="31"/>
        <v>110.91177775621172</v>
      </c>
      <c r="N31" s="59">
        <f t="shared" si="31"/>
        <v>100.34956535279142</v>
      </c>
      <c r="O31" s="59">
        <f t="shared" si="31"/>
        <v>102.35454231825469</v>
      </c>
      <c r="P31" s="59">
        <f t="shared" si="31"/>
        <v>99.414462718160479</v>
      </c>
      <c r="Q31" s="59">
        <f t="shared" si="31"/>
        <v>99.285148970125505</v>
      </c>
      <c r="R31" s="59">
        <f t="shared" si="31"/>
        <v>106.95833257446971</v>
      </c>
      <c r="S31" s="59">
        <f t="shared" si="31"/>
        <v>103.49863327256693</v>
      </c>
      <c r="T31" s="59">
        <f t="shared" si="31"/>
        <v>104.47040772513377</v>
      </c>
      <c r="U31" s="59">
        <f t="shared" si="31"/>
        <v>107.76169223103516</v>
      </c>
      <c r="V31" s="59">
        <f t="shared" si="31"/>
        <v>111.71620687153361</v>
      </c>
      <c r="W31" s="59">
        <f t="shared" si="31"/>
        <v>122.20711433367465</v>
      </c>
      <c r="X31" s="59">
        <f t="shared" si="31"/>
        <v>95.969642597229836</v>
      </c>
      <c r="Y31" s="59">
        <f t="shared" si="31"/>
        <v>91.587208650129043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112.47171201628667</v>
      </c>
      <c r="C32" s="55">
        <f t="shared" si="32"/>
        <v>109.81942433546165</v>
      </c>
      <c r="D32" s="55">
        <f t="shared" si="32"/>
        <v>113.80906613357638</v>
      </c>
      <c r="E32" s="55">
        <f t="shared" si="32"/>
        <v>119.53787119840251</v>
      </c>
      <c r="F32" s="55">
        <f t="shared" si="32"/>
        <v>117.30616060932353</v>
      </c>
      <c r="G32" s="55">
        <f t="shared" si="32"/>
        <v>134.29403412451359</v>
      </c>
      <c r="H32" s="55">
        <f t="shared" si="32"/>
        <v>130.05722800154635</v>
      </c>
      <c r="I32" s="55">
        <f t="shared" si="32"/>
        <v>117.81469406104158</v>
      </c>
      <c r="J32" s="55">
        <f t="shared" si="32"/>
        <v>123.49619118298854</v>
      </c>
      <c r="K32" s="55">
        <f t="shared" si="32"/>
        <v>137.83360398812144</v>
      </c>
      <c r="L32" s="55">
        <f t="shared" si="32"/>
        <v>128.47617233393535</v>
      </c>
      <c r="M32" s="55">
        <f t="shared" si="32"/>
        <v>116.02131221383362</v>
      </c>
      <c r="N32" s="55">
        <f t="shared" si="32"/>
        <v>118.31216844961241</v>
      </c>
      <c r="O32" s="55">
        <f t="shared" si="32"/>
        <v>117.89482713876833</v>
      </c>
      <c r="P32" s="55">
        <f t="shared" si="32"/>
        <v>114.2126532077292</v>
      </c>
      <c r="Q32" s="55">
        <f t="shared" si="32"/>
        <v>116.67728719019787</v>
      </c>
      <c r="R32" s="55">
        <f t="shared" si="32"/>
        <v>118.41249825520164</v>
      </c>
      <c r="S32" s="55">
        <f t="shared" si="32"/>
        <v>109.25986032686184</v>
      </c>
      <c r="T32" s="55">
        <f t="shared" si="32"/>
        <v>115.03952384499109</v>
      </c>
      <c r="U32" s="55">
        <f t="shared" si="32"/>
        <v>114.31053707016743</v>
      </c>
      <c r="V32" s="55">
        <f t="shared" si="32"/>
        <v>121.02278233994656</v>
      </c>
      <c r="W32" s="55">
        <f t="shared" si="32"/>
        <v>115.61293230102245</v>
      </c>
      <c r="X32" s="55">
        <f t="shared" si="32"/>
        <v>98.926512660278462</v>
      </c>
      <c r="Y32" s="55">
        <f t="shared" si="32"/>
        <v>101.37891512464493</v>
      </c>
      <c r="DA32" s="216"/>
    </row>
    <row r="33" spans="1:105" x14ac:dyDescent="0.25">
      <c r="A33" s="35" t="s">
        <v>111</v>
      </c>
      <c r="B33" s="55">
        <f>IF(AGR_ued!B$5=0,"",AGR_ued!B$5/B$5*1000)</f>
        <v>42.475989853706494</v>
      </c>
      <c r="C33" s="55">
        <f>IF(AGR_ued!C$5=0,"",AGR_ued!C$5/C$5*1000)</f>
        <v>41.022474589344938</v>
      </c>
      <c r="D33" s="55">
        <f>IF(AGR_ued!D$5=0,"",AGR_ued!D$5/D$5*1000)</f>
        <v>42.833583001533995</v>
      </c>
      <c r="E33" s="55">
        <f>IF(AGR_ued!E$5=0,"",AGR_ued!E$5/E$5*1000)</f>
        <v>44.564027386822517</v>
      </c>
      <c r="F33" s="55">
        <f>IF(AGR_ued!F$5=0,"",AGR_ued!F$5/F$5*1000)</f>
        <v>45.43127622453656</v>
      </c>
      <c r="G33" s="55">
        <f>IF(AGR_ued!G$5=0,"",AGR_ued!G$5/G$5*1000)</f>
        <v>51.998880010693092</v>
      </c>
      <c r="H33" s="55">
        <f>IF(AGR_ued!H$5=0,"",AGR_ued!H$5/H$5*1000)</f>
        <v>50.863673011161659</v>
      </c>
      <c r="I33" s="55">
        <f>IF(AGR_ued!I$5=0,"",AGR_ued!I$5/I$5*1000)</f>
        <v>45.837973736702985</v>
      </c>
      <c r="J33" s="55">
        <f>IF(AGR_ued!J$5=0,"",AGR_ued!J$5/J$5*1000)</f>
        <v>47.915720118631022</v>
      </c>
      <c r="K33" s="55">
        <f>IF(AGR_ued!K$5=0,"",AGR_ued!K$5/K$5*1000)</f>
        <v>53.17167381960995</v>
      </c>
      <c r="L33" s="55">
        <f>IF(AGR_ued!L$5=0,"",AGR_ued!L$5/L$5*1000)</f>
        <v>49.813963869662139</v>
      </c>
      <c r="M33" s="55">
        <f>IF(AGR_ued!M$5=0,"",AGR_ued!M$5/M$5*1000)</f>
        <v>44.997063540571901</v>
      </c>
      <c r="N33" s="55">
        <f>IF(AGR_ued!N$5=0,"",AGR_ued!N$5/N$5*1000)</f>
        <v>45.711425874513388</v>
      </c>
      <c r="O33" s="55">
        <f>IF(AGR_ued!O$5=0,"",AGR_ued!O$5/O$5*1000)</f>
        <v>45.61238366538069</v>
      </c>
      <c r="P33" s="55">
        <f>IF(AGR_ued!P$5=0,"",AGR_ued!P$5/P$5*1000)</f>
        <v>44.432019627975976</v>
      </c>
      <c r="Q33" s="55">
        <f>IF(AGR_ued!Q$5=0,"",AGR_ued!Q$5/Q$5*1000)</f>
        <v>45.454886904301773</v>
      </c>
      <c r="R33" s="55">
        <f>IF(AGR_ued!R$5=0,"",AGR_ued!R$5/R$5*1000)</f>
        <v>46.208329118538778</v>
      </c>
      <c r="S33" s="55">
        <f>IF(AGR_ued!S$5=0,"",AGR_ued!S$5/S$5*1000)</f>
        <v>42.709607216973076</v>
      </c>
      <c r="T33" s="55">
        <f>IF(AGR_ued!T$5=0,"",AGR_ued!T$5/T$5*1000)</f>
        <v>44.987806125812597</v>
      </c>
      <c r="U33" s="55">
        <f>IF(AGR_ued!U$5=0,"",AGR_ued!U$5/U$5*1000)</f>
        <v>44.729698435379774</v>
      </c>
      <c r="V33" s="55">
        <f>IF(AGR_ued!V$5=0,"",AGR_ued!V$5/V$5*1000)</f>
        <v>47.410836445595869</v>
      </c>
      <c r="W33" s="55">
        <f>IF(AGR_ued!W$5=0,"",AGR_ued!W$5/W$5*1000)</f>
        <v>45.569508267112568</v>
      </c>
      <c r="X33" s="55">
        <f>IF(AGR_ued!X$5=0,"",AGR_ued!X$5/X$5*1000)</f>
        <v>38.884201130089551</v>
      </c>
      <c r="Y33" s="55">
        <f>IF(AGR_ued!Y$5=0,"",AGR_ued!Y$5/Y$5*1000)</f>
        <v>39.772393053381826</v>
      </c>
      <c r="DA33" s="216"/>
    </row>
    <row r="34" spans="1:105" x14ac:dyDescent="0.25">
      <c r="A34" s="37" t="s">
        <v>110</v>
      </c>
      <c r="B34" s="217">
        <f t="shared" ref="B34:Y34" si="33">IF(B$12=0,"",B$29/B$12)</f>
        <v>2.5938114272119392</v>
      </c>
      <c r="C34" s="217">
        <f t="shared" si="33"/>
        <v>2.6175903691475244</v>
      </c>
      <c r="D34" s="217">
        <f t="shared" si="33"/>
        <v>2.5859076025160608</v>
      </c>
      <c r="E34" s="217">
        <f t="shared" si="33"/>
        <v>2.5399223625465717</v>
      </c>
      <c r="F34" s="217">
        <f t="shared" si="33"/>
        <v>2.3746686480049615</v>
      </c>
      <c r="G34" s="217">
        <f t="shared" si="33"/>
        <v>2.3888931174978083</v>
      </c>
      <c r="H34" s="217">
        <f t="shared" si="33"/>
        <v>2.3058887676216235</v>
      </c>
      <c r="I34" s="217">
        <f t="shared" si="33"/>
        <v>2.3599847616929832</v>
      </c>
      <c r="J34" s="217">
        <f t="shared" si="33"/>
        <v>2.3975010296962762</v>
      </c>
      <c r="K34" s="217">
        <f t="shared" si="33"/>
        <v>2.3828433835306222</v>
      </c>
      <c r="L34" s="217">
        <f t="shared" si="33"/>
        <v>2.2974484401511082</v>
      </c>
      <c r="M34" s="217">
        <f t="shared" si="33"/>
        <v>2.2741520800369641</v>
      </c>
      <c r="N34" s="217">
        <f t="shared" si="33"/>
        <v>2.1735775215975153</v>
      </c>
      <c r="O34" s="217">
        <f t="shared" si="33"/>
        <v>2.0611132702450705</v>
      </c>
      <c r="P34" s="217">
        <f t="shared" si="33"/>
        <v>2.0120742224713255</v>
      </c>
      <c r="Q34" s="217">
        <f t="shared" si="33"/>
        <v>1.990750668663553</v>
      </c>
      <c r="R34" s="217">
        <f t="shared" si="33"/>
        <v>1.9219947196625304</v>
      </c>
      <c r="S34" s="217">
        <f t="shared" si="33"/>
        <v>1.9333628883548077</v>
      </c>
      <c r="T34" s="217">
        <f t="shared" si="33"/>
        <v>1.934273872244971</v>
      </c>
      <c r="U34" s="217">
        <f t="shared" si="33"/>
        <v>1.9436438181854054</v>
      </c>
      <c r="V34" s="217">
        <f t="shared" si="33"/>
        <v>1.9299655164721892</v>
      </c>
      <c r="W34" s="217">
        <f t="shared" si="33"/>
        <v>1.8067775363487217</v>
      </c>
      <c r="X34" s="217">
        <f t="shared" si="33"/>
        <v>1.7970365127188443</v>
      </c>
      <c r="Y34" s="217">
        <f t="shared" si="33"/>
        <v>1.8016043103910153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719.95098882201182</v>
      </c>
      <c r="C5" s="80">
        <f t="shared" ref="C5:W5" si="1">SUM(C6:C9,C16:C17,C25:C27)</f>
        <v>732.42906276870121</v>
      </c>
      <c r="D5" s="80">
        <f t="shared" si="1"/>
        <v>680.93361994840905</v>
      </c>
      <c r="E5" s="80">
        <f t="shared" si="1"/>
        <v>685.07016337059304</v>
      </c>
      <c r="F5" s="80">
        <f t="shared" si="1"/>
        <v>571.7419604471196</v>
      </c>
      <c r="G5" s="80">
        <f t="shared" si="1"/>
        <v>563.39552880481506</v>
      </c>
      <c r="H5" s="80">
        <f t="shared" si="1"/>
        <v>587.14393809114347</v>
      </c>
      <c r="I5" s="80">
        <f t="shared" si="1"/>
        <v>543.56018916595008</v>
      </c>
      <c r="J5" s="80">
        <f t="shared" si="1"/>
        <v>545.02854686156502</v>
      </c>
      <c r="K5" s="80">
        <f t="shared" si="1"/>
        <v>532.57858985382609</v>
      </c>
      <c r="L5" s="80">
        <f t="shared" si="1"/>
        <v>565.05941530524478</v>
      </c>
      <c r="M5" s="80">
        <f t="shared" si="1"/>
        <v>564.8134135855546</v>
      </c>
      <c r="N5" s="80">
        <f t="shared" si="1"/>
        <v>578.36380051590709</v>
      </c>
      <c r="O5" s="80">
        <f t="shared" si="1"/>
        <v>622.71685296646604</v>
      </c>
      <c r="P5" s="80">
        <f t="shared" si="1"/>
        <v>628.13705932932044</v>
      </c>
      <c r="Q5" s="80">
        <f t="shared" si="1"/>
        <v>620.81840068787596</v>
      </c>
      <c r="R5" s="80">
        <f t="shared" si="1"/>
        <v>652.62742906276844</v>
      </c>
      <c r="S5" s="80">
        <f t="shared" si="1"/>
        <v>651.56715391229534</v>
      </c>
      <c r="T5" s="80">
        <f t="shared" si="1"/>
        <v>631.50963026655177</v>
      </c>
      <c r="U5" s="80">
        <f t="shared" si="1"/>
        <v>646.4513327601029</v>
      </c>
      <c r="V5" s="80">
        <f t="shared" si="1"/>
        <v>649.06018916595008</v>
      </c>
      <c r="W5" s="80">
        <f t="shared" si="1"/>
        <v>668.05726569217518</v>
      </c>
      <c r="X5" s="80">
        <f t="shared" ref="X5:Y5" si="2">SUM(X6:X9,X16:X17,X25:X27)</f>
        <v>638.02785898538264</v>
      </c>
      <c r="Y5" s="80">
        <f t="shared" si="2"/>
        <v>625.77876182287162</v>
      </c>
      <c r="DA5" s="103"/>
    </row>
    <row r="6" spans="1:105" x14ac:dyDescent="0.25">
      <c r="A6" s="238" t="s">
        <v>125</v>
      </c>
      <c r="B6" s="239">
        <v>16.884186768974558</v>
      </c>
      <c r="C6" s="239">
        <v>16.631674484632089</v>
      </c>
      <c r="D6" s="239">
        <v>16.16554179358139</v>
      </c>
      <c r="E6" s="239">
        <v>15.4362662604916</v>
      </c>
      <c r="F6" s="239">
        <v>15.04475521159222</v>
      </c>
      <c r="G6" s="239">
        <v>14.660203813253659</v>
      </c>
      <c r="H6" s="239">
        <v>16.789912154362071</v>
      </c>
      <c r="I6" s="239">
        <v>14.416472357457121</v>
      </c>
      <c r="J6" s="239">
        <v>14.56902301016391</v>
      </c>
      <c r="K6" s="239">
        <v>13.491080840576689</v>
      </c>
      <c r="L6" s="239">
        <v>13.694154561734191</v>
      </c>
      <c r="M6" s="239">
        <v>13.242802680048699</v>
      </c>
      <c r="N6" s="239">
        <v>12.867661752954501</v>
      </c>
      <c r="O6" s="239">
        <v>12.706307796057439</v>
      </c>
      <c r="P6" s="239">
        <v>14.256407180613049</v>
      </c>
      <c r="Q6" s="239">
        <v>14.55012480258558</v>
      </c>
      <c r="R6" s="239">
        <v>14.52259014873168</v>
      </c>
      <c r="S6" s="239">
        <v>14.87825853724285</v>
      </c>
      <c r="T6" s="239">
        <v>14.68733475676235</v>
      </c>
      <c r="U6" s="239">
        <v>14.87937281267782</v>
      </c>
      <c r="V6" s="239">
        <v>15.114763283485971</v>
      </c>
      <c r="W6" s="239">
        <v>17.13062923110212</v>
      </c>
      <c r="X6" s="239">
        <v>15.816785792740101</v>
      </c>
      <c r="Y6" s="239">
        <v>14.92349300383543</v>
      </c>
      <c r="DA6" s="267" t="s">
        <v>995</v>
      </c>
    </row>
    <row r="7" spans="1:105" x14ac:dyDescent="0.25">
      <c r="A7" s="240" t="s">
        <v>124</v>
      </c>
      <c r="B7" s="241">
        <v>10.974721399833459</v>
      </c>
      <c r="C7" s="241">
        <v>10.81058841501086</v>
      </c>
      <c r="D7" s="241">
        <v>10.507602165827899</v>
      </c>
      <c r="E7" s="241">
        <v>10.033573069319541</v>
      </c>
      <c r="F7" s="241">
        <v>9.779090887534938</v>
      </c>
      <c r="G7" s="241">
        <v>9.5291324786148781</v>
      </c>
      <c r="H7" s="241">
        <v>10.913442900335349</v>
      </c>
      <c r="I7" s="241">
        <v>9.3707070323471271</v>
      </c>
      <c r="J7" s="241">
        <v>9.4698649566065427</v>
      </c>
      <c r="K7" s="241">
        <v>8.7692025463748493</v>
      </c>
      <c r="L7" s="241">
        <v>8.9012004651272179</v>
      </c>
      <c r="M7" s="241">
        <v>8.6078217420316516</v>
      </c>
      <c r="N7" s="241">
        <v>8.3639801394204216</v>
      </c>
      <c r="O7" s="241">
        <v>8.2591000674373323</v>
      </c>
      <c r="P7" s="241">
        <v>9.2666646673984836</v>
      </c>
      <c r="Q7" s="241">
        <v>9.4575811216806276</v>
      </c>
      <c r="R7" s="241">
        <v>9.4396835966755894</v>
      </c>
      <c r="S7" s="241">
        <v>9.6708680492078507</v>
      </c>
      <c r="T7" s="241">
        <v>9.5467675918955202</v>
      </c>
      <c r="U7" s="241">
        <v>9.6715923282405782</v>
      </c>
      <c r="V7" s="241">
        <v>9.8245961342658781</v>
      </c>
      <c r="W7" s="241">
        <v>11.13490900021637</v>
      </c>
      <c r="X7" s="241">
        <v>10.28091076528106</v>
      </c>
      <c r="Y7" s="241">
        <v>9.7002704524930294</v>
      </c>
      <c r="DA7" s="268" t="s">
        <v>996</v>
      </c>
    </row>
    <row r="8" spans="1:105" x14ac:dyDescent="0.25">
      <c r="A8" s="240" t="s">
        <v>123</v>
      </c>
      <c r="B8" s="241">
        <v>15.19576809207711</v>
      </c>
      <c r="C8" s="241">
        <v>14.96850703616888</v>
      </c>
      <c r="D8" s="241">
        <v>14.548987614223259</v>
      </c>
      <c r="E8" s="241">
        <v>13.892639634442441</v>
      </c>
      <c r="F8" s="241">
        <v>13.540279690432991</v>
      </c>
      <c r="G8" s="241">
        <v>13.1941834319283</v>
      </c>
      <c r="H8" s="241">
        <v>15.110920938925871</v>
      </c>
      <c r="I8" s="241">
        <v>12.97482512171141</v>
      </c>
      <c r="J8" s="241">
        <v>13.11212070914752</v>
      </c>
      <c r="K8" s="241">
        <v>12.14197275651903</v>
      </c>
      <c r="L8" s="241">
        <v>12.32473910556077</v>
      </c>
      <c r="M8" s="241">
        <v>11.91852241204383</v>
      </c>
      <c r="N8" s="241">
        <v>11.580895577659049</v>
      </c>
      <c r="O8" s="241">
        <v>11.435677016451701</v>
      </c>
      <c r="P8" s="241">
        <v>12.83076646255175</v>
      </c>
      <c r="Q8" s="241">
        <v>13.09511232232702</v>
      </c>
      <c r="R8" s="241">
        <v>13.07033113385851</v>
      </c>
      <c r="S8" s="241">
        <v>13.39043268351857</v>
      </c>
      <c r="T8" s="241">
        <v>13.21860128108611</v>
      </c>
      <c r="U8" s="241">
        <v>13.39143553141003</v>
      </c>
      <c r="V8" s="241">
        <v>13.603286955137371</v>
      </c>
      <c r="W8" s="241">
        <v>15.41756630799191</v>
      </c>
      <c r="X8" s="241">
        <v>14.23510721346609</v>
      </c>
      <c r="Y8" s="241">
        <v>13.431143703451889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138.72498231899141</v>
      </c>
      <c r="C9" s="243">
        <f t="shared" ref="C9:W9" si="4">SUM(C10:C15)</f>
        <v>136.76194153976451</v>
      </c>
      <c r="D9" s="243">
        <f t="shared" si="4"/>
        <v>128.5380268011188</v>
      </c>
      <c r="E9" s="243">
        <f t="shared" si="4"/>
        <v>128.01731431086554</v>
      </c>
      <c r="F9" s="243">
        <f t="shared" si="4"/>
        <v>114.94219354658267</v>
      </c>
      <c r="G9" s="243">
        <f t="shared" si="4"/>
        <v>113.50725453930701</v>
      </c>
      <c r="H9" s="243">
        <f t="shared" si="4"/>
        <v>117.27199651804399</v>
      </c>
      <c r="I9" s="243">
        <f t="shared" si="4"/>
        <v>110.36430980114886</v>
      </c>
      <c r="J9" s="243">
        <f t="shared" si="4"/>
        <v>109.3830036676479</v>
      </c>
      <c r="K9" s="243">
        <f t="shared" si="4"/>
        <v>106.9255923667705</v>
      </c>
      <c r="L9" s="243">
        <f t="shared" si="4"/>
        <v>116.71731478971647</v>
      </c>
      <c r="M9" s="243">
        <f t="shared" si="4"/>
        <v>117.54725384755773</v>
      </c>
      <c r="N9" s="243">
        <f t="shared" si="4"/>
        <v>120.31126349189667</v>
      </c>
      <c r="O9" s="243">
        <f t="shared" si="4"/>
        <v>132.24692924694784</v>
      </c>
      <c r="P9" s="243">
        <f t="shared" si="4"/>
        <v>131.62561996650976</v>
      </c>
      <c r="Q9" s="243">
        <f t="shared" si="4"/>
        <v>129.3044416286005</v>
      </c>
      <c r="R9" s="243">
        <f t="shared" si="4"/>
        <v>138.34600056402877</v>
      </c>
      <c r="S9" s="243">
        <f t="shared" si="4"/>
        <v>137.76317293540711</v>
      </c>
      <c r="T9" s="243">
        <f t="shared" si="4"/>
        <v>133.12109168411709</v>
      </c>
      <c r="U9" s="243">
        <f t="shared" si="4"/>
        <v>136.87917182033596</v>
      </c>
      <c r="V9" s="243">
        <f t="shared" si="4"/>
        <v>137.49112361448636</v>
      </c>
      <c r="W9" s="243">
        <f t="shared" si="4"/>
        <v>140.1052665683259</v>
      </c>
      <c r="X9" s="243">
        <f t="shared" ref="X9:Y9" si="5">SUM(X10:X15)</f>
        <v>134.71669807507934</v>
      </c>
      <c r="Y9" s="243">
        <f t="shared" si="5"/>
        <v>132.87370284118251</v>
      </c>
      <c r="DA9" s="269"/>
    </row>
    <row r="10" spans="1:105" x14ac:dyDescent="0.25">
      <c r="A10" s="253" t="s">
        <v>166</v>
      </c>
      <c r="B10" s="254">
        <v>77.039539146885872</v>
      </c>
      <c r="C10" s="254">
        <v>77.262471778321725</v>
      </c>
      <c r="D10" s="254">
        <v>67.809159919910016</v>
      </c>
      <c r="E10" s="254">
        <v>65.017634000890411</v>
      </c>
      <c r="F10" s="254">
        <v>60.988036789599207</v>
      </c>
      <c r="G10" s="254">
        <v>60.40027204388624</v>
      </c>
      <c r="H10" s="254">
        <v>59.65434508438031</v>
      </c>
      <c r="I10" s="254">
        <v>59.571181429562792</v>
      </c>
      <c r="J10" s="254">
        <v>64.437118471148608</v>
      </c>
      <c r="K10" s="254">
        <v>64.124382673907206</v>
      </c>
      <c r="L10" s="254">
        <v>60.425436370261927</v>
      </c>
      <c r="M10" s="254">
        <v>59.942820808018197</v>
      </c>
      <c r="N10" s="254">
        <v>60.106231233385962</v>
      </c>
      <c r="O10" s="254">
        <v>56.772073197888993</v>
      </c>
      <c r="P10" s="254">
        <v>55.417813774837917</v>
      </c>
      <c r="Q10" s="254">
        <v>55.598358246233232</v>
      </c>
      <c r="R10" s="254">
        <v>53.376102909287837</v>
      </c>
      <c r="S10" s="254">
        <v>53.251206162008657</v>
      </c>
      <c r="T10" s="254">
        <v>53.71085450553548</v>
      </c>
      <c r="U10" s="254">
        <v>53.549470249398681</v>
      </c>
      <c r="V10" s="254">
        <v>53.513546042485373</v>
      </c>
      <c r="W10" s="254">
        <v>50.830747921109896</v>
      </c>
      <c r="X10" s="254">
        <v>50.701298576863692</v>
      </c>
      <c r="Y10" s="254">
        <v>50.138837450366047</v>
      </c>
      <c r="DA10" s="270" t="s">
        <v>998</v>
      </c>
    </row>
    <row r="11" spans="1:105" x14ac:dyDescent="0.25">
      <c r="A11" s="253" t="s">
        <v>169</v>
      </c>
      <c r="B11" s="255">
        <v>29.200874006945462</v>
      </c>
      <c r="C11" s="255">
        <v>31.14546041266598</v>
      </c>
      <c r="D11" s="255">
        <v>31.544194076867729</v>
      </c>
      <c r="E11" s="255">
        <v>32.633462170695218</v>
      </c>
      <c r="F11" s="255">
        <v>24.601578557876021</v>
      </c>
      <c r="G11" s="255">
        <v>24.764751346309559</v>
      </c>
      <c r="H11" s="255">
        <v>23.754056572994699</v>
      </c>
      <c r="I11" s="255">
        <v>24.236883107353549</v>
      </c>
      <c r="J11" s="255">
        <v>20.895987348962851</v>
      </c>
      <c r="K11" s="255">
        <v>23.64629575232594</v>
      </c>
      <c r="L11" s="255">
        <v>32.515617693536377</v>
      </c>
      <c r="M11" s="255">
        <v>35.994800695584637</v>
      </c>
      <c r="N11" s="255">
        <v>43.627089947696533</v>
      </c>
      <c r="O11" s="255">
        <v>60.989800015576357</v>
      </c>
      <c r="P11" s="255">
        <v>59.336617674432027</v>
      </c>
      <c r="Q11" s="255">
        <v>57.16178048165721</v>
      </c>
      <c r="R11" s="255">
        <v>68.904172559095343</v>
      </c>
      <c r="S11" s="255">
        <v>67.643070292934098</v>
      </c>
      <c r="T11" s="255">
        <v>61.077435467410488</v>
      </c>
      <c r="U11" s="255">
        <v>64.681767697286276</v>
      </c>
      <c r="V11" s="255">
        <v>63.542881521090472</v>
      </c>
      <c r="W11" s="255">
        <v>61.872462738304947</v>
      </c>
      <c r="X11" s="255">
        <v>57.120824592053957</v>
      </c>
      <c r="Y11" s="255">
        <v>56.604866952500018</v>
      </c>
      <c r="DA11" s="271" t="s">
        <v>999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16.217626827171731</v>
      </c>
      <c r="C14" s="254">
        <v>11.94230438521218</v>
      </c>
      <c r="D14" s="254">
        <v>11.99002579536057</v>
      </c>
      <c r="E14" s="254">
        <v>14.856233877905421</v>
      </c>
      <c r="F14" s="254">
        <v>13.51874462596761</v>
      </c>
      <c r="G14" s="254">
        <v>13.42312983662911</v>
      </c>
      <c r="H14" s="254">
        <v>11.966208082548111</v>
      </c>
      <c r="I14" s="254">
        <v>11.96620808254379</v>
      </c>
      <c r="J14" s="254">
        <v>8.9328460877033979</v>
      </c>
      <c r="K14" s="254">
        <v>6.9026655202043159</v>
      </c>
      <c r="L14" s="254">
        <v>12.969303525360569</v>
      </c>
      <c r="M14" s="254">
        <v>12.15726569217138</v>
      </c>
      <c r="N14" s="254">
        <v>8.4312983662880487</v>
      </c>
      <c r="O14" s="254">
        <v>8.0251934651689059</v>
      </c>
      <c r="P14" s="254">
        <v>7.4997420464273814</v>
      </c>
      <c r="Q14" s="254">
        <v>6.2338779019753998</v>
      </c>
      <c r="R14" s="254">
        <v>7.1653482373114077</v>
      </c>
      <c r="S14" s="254">
        <v>7.1940670679235517</v>
      </c>
      <c r="T14" s="254">
        <v>8.3402407566600854</v>
      </c>
      <c r="U14" s="254">
        <v>8.8250214961260269</v>
      </c>
      <c r="V14" s="254">
        <v>10.161908856401389</v>
      </c>
      <c r="W14" s="254">
        <v>12.26930352536178</v>
      </c>
      <c r="X14" s="254">
        <v>14.153396388645939</v>
      </c>
      <c r="Y14" s="254">
        <v>15.1764402407477</v>
      </c>
      <c r="DA14" s="270" t="s">
        <v>1002</v>
      </c>
    </row>
    <row r="15" spans="1:105" x14ac:dyDescent="0.25">
      <c r="A15" s="253" t="s">
        <v>24</v>
      </c>
      <c r="B15" s="255">
        <v>16.26694233798834</v>
      </c>
      <c r="C15" s="255">
        <v>16.41170496356462</v>
      </c>
      <c r="D15" s="255">
        <v>17.19464700898051</v>
      </c>
      <c r="E15" s="255">
        <v>15.50998426137448</v>
      </c>
      <c r="F15" s="255">
        <v>15.833833573139829</v>
      </c>
      <c r="G15" s="255">
        <v>14.9191013124821</v>
      </c>
      <c r="H15" s="255">
        <v>21.897386778120872</v>
      </c>
      <c r="I15" s="255">
        <v>14.590037181688739</v>
      </c>
      <c r="J15" s="255">
        <v>15.117051759833039</v>
      </c>
      <c r="K15" s="255">
        <v>12.252248420333039</v>
      </c>
      <c r="L15" s="255">
        <v>10.806957200557591</v>
      </c>
      <c r="M15" s="255">
        <v>9.4523666517835228</v>
      </c>
      <c r="N15" s="255">
        <v>8.1466439445261312</v>
      </c>
      <c r="O15" s="255">
        <v>6.4598625683135964</v>
      </c>
      <c r="P15" s="255">
        <v>9.3714464708124314</v>
      </c>
      <c r="Q15" s="255">
        <v>10.310424998734661</v>
      </c>
      <c r="R15" s="255">
        <v>8.9003768583341731</v>
      </c>
      <c r="S15" s="255">
        <v>9.6748294125408041</v>
      </c>
      <c r="T15" s="255">
        <v>9.9925609545110365</v>
      </c>
      <c r="U15" s="255">
        <v>9.8229123775249718</v>
      </c>
      <c r="V15" s="255">
        <v>10.272787194509119</v>
      </c>
      <c r="W15" s="255">
        <v>15.132752383549279</v>
      </c>
      <c r="X15" s="255">
        <v>12.74117851751576</v>
      </c>
      <c r="Y15" s="255">
        <v>10.95355819756875</v>
      </c>
      <c r="DA15" s="271" t="s">
        <v>1003</v>
      </c>
    </row>
    <row r="16" spans="1:105" x14ac:dyDescent="0.25">
      <c r="A16" s="256" t="s">
        <v>168</v>
      </c>
      <c r="B16" s="257">
        <v>167.36814711374879</v>
      </c>
      <c r="C16" s="257">
        <v>166.51228159499809</v>
      </c>
      <c r="D16" s="257">
        <v>153.7564926617149</v>
      </c>
      <c r="E16" s="257">
        <v>151.0781653715473</v>
      </c>
      <c r="F16" s="257">
        <v>137.0233256015581</v>
      </c>
      <c r="G16" s="257">
        <v>135.41958012271411</v>
      </c>
      <c r="H16" s="257">
        <v>138.42752515101299</v>
      </c>
      <c r="I16" s="257">
        <v>132.32651897014091</v>
      </c>
      <c r="J16" s="257">
        <v>134.3875086321203</v>
      </c>
      <c r="K16" s="257">
        <v>132.47306614065769</v>
      </c>
      <c r="L16" s="257">
        <v>138.72069646368681</v>
      </c>
      <c r="M16" s="257">
        <v>139.44769183678329</v>
      </c>
      <c r="N16" s="257">
        <v>142.87653835866979</v>
      </c>
      <c r="O16" s="257">
        <v>151.5288532640806</v>
      </c>
      <c r="P16" s="257">
        <v>150.56309697295859</v>
      </c>
      <c r="Q16" s="257">
        <v>148.99655687222449</v>
      </c>
      <c r="R16" s="257">
        <v>155.10147504376829</v>
      </c>
      <c r="S16" s="257">
        <v>154.60888844276221</v>
      </c>
      <c r="T16" s="257">
        <v>150.73509230193719</v>
      </c>
      <c r="U16" s="257">
        <v>153.77310019637039</v>
      </c>
      <c r="V16" s="257">
        <v>154.0202711706512</v>
      </c>
      <c r="W16" s="257">
        <v>153.8402471385117</v>
      </c>
      <c r="X16" s="257">
        <v>148.8031435894396</v>
      </c>
      <c r="Y16" s="257">
        <v>146.5414570169155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297.27574127634529</v>
      </c>
      <c r="C17" s="257">
        <f t="shared" ref="C17:W17" si="7">SUM(C18:C24)</f>
        <v>313.99974463470079</v>
      </c>
      <c r="D17" s="257">
        <f t="shared" si="7"/>
        <v>288.26580008836106</v>
      </c>
      <c r="E17" s="257">
        <f t="shared" si="7"/>
        <v>299.76242386566418</v>
      </c>
      <c r="F17" s="257">
        <f t="shared" si="7"/>
        <v>218.2224913119357</v>
      </c>
      <c r="G17" s="257">
        <f t="shared" si="7"/>
        <v>215.14567420637755</v>
      </c>
      <c r="H17" s="257">
        <f t="shared" si="7"/>
        <v>220.89485307555304</v>
      </c>
      <c r="I17" s="257">
        <f t="shared" si="7"/>
        <v>203.35935521441525</v>
      </c>
      <c r="J17" s="257">
        <f t="shared" si="7"/>
        <v>202.58923977874696</v>
      </c>
      <c r="K17" s="257">
        <f t="shared" si="7"/>
        <v>200.26872349045635</v>
      </c>
      <c r="L17" s="257">
        <f t="shared" si="7"/>
        <v>214.49429335750821</v>
      </c>
      <c r="M17" s="257">
        <f t="shared" si="7"/>
        <v>214.80841839578744</v>
      </c>
      <c r="N17" s="257">
        <f t="shared" si="7"/>
        <v>223.38277236114021</v>
      </c>
      <c r="O17" s="257">
        <f t="shared" si="7"/>
        <v>246.29199952063303</v>
      </c>
      <c r="P17" s="257">
        <f t="shared" si="7"/>
        <v>245.73435265195624</v>
      </c>
      <c r="Q17" s="257">
        <f t="shared" si="7"/>
        <v>241.1358480747632</v>
      </c>
      <c r="R17" s="257">
        <f t="shared" si="7"/>
        <v>256.76296170858058</v>
      </c>
      <c r="S17" s="257">
        <f t="shared" si="7"/>
        <v>255.09441346564398</v>
      </c>
      <c r="T17" s="257">
        <f t="shared" si="7"/>
        <v>245.25176832603006</v>
      </c>
      <c r="U17" s="257">
        <f t="shared" si="7"/>
        <v>251.85341397451347</v>
      </c>
      <c r="V17" s="257">
        <f t="shared" si="7"/>
        <v>252.37869929532553</v>
      </c>
      <c r="W17" s="257">
        <f t="shared" si="7"/>
        <v>258.89692027981624</v>
      </c>
      <c r="X17" s="257">
        <f t="shared" ref="X17:Y17" si="8">SUM(X18:X24)</f>
        <v>246.83032423194354</v>
      </c>
      <c r="Y17" s="257">
        <f t="shared" si="8"/>
        <v>243.58697474356165</v>
      </c>
      <c r="DA17" s="272"/>
    </row>
    <row r="18" spans="1:105" x14ac:dyDescent="0.25">
      <c r="A18" s="61" t="s">
        <v>29</v>
      </c>
      <c r="B18" s="55">
        <v>48.645829750584667</v>
      </c>
      <c r="C18" s="55">
        <v>37.217024935458461</v>
      </c>
      <c r="D18" s="55">
        <v>39.391401547630991</v>
      </c>
      <c r="E18" s="55">
        <v>39.890799656001121</v>
      </c>
      <c r="F18" s="55">
        <v>23.349355116027208</v>
      </c>
      <c r="G18" s="55">
        <v>19.515993121216351</v>
      </c>
      <c r="H18" s="55">
        <v>19.183490971599099</v>
      </c>
      <c r="I18" s="55">
        <v>12.534651762655709</v>
      </c>
      <c r="J18" s="55">
        <v>13.38503869301047</v>
      </c>
      <c r="K18" s="55">
        <v>13.17179707650196</v>
      </c>
      <c r="L18" s="55">
        <v>13.04015477212093</v>
      </c>
      <c r="M18" s="55">
        <v>11.033018056738349</v>
      </c>
      <c r="N18" s="55">
        <v>10.72321582113327</v>
      </c>
      <c r="O18" s="55">
        <v>9.8536543422011409</v>
      </c>
      <c r="P18" s="55">
        <v>9.2819432502014632</v>
      </c>
      <c r="Q18" s="55">
        <v>9.0185726569125055</v>
      </c>
      <c r="R18" s="55">
        <v>8.2066208082391512</v>
      </c>
      <c r="S18" s="55">
        <v>6.4495270851153528</v>
      </c>
      <c r="T18" s="55">
        <v>6.2382631126323203</v>
      </c>
      <c r="U18" s="55">
        <v>5.8151332760024879</v>
      </c>
      <c r="V18" s="55">
        <v>5.0249355116019707</v>
      </c>
      <c r="W18" s="55">
        <v>6.0697334479693561</v>
      </c>
      <c r="X18" s="55">
        <v>5.8187446259603366</v>
      </c>
      <c r="Y18" s="55">
        <v>4.7674118658547213</v>
      </c>
      <c r="DA18" s="101" t="s">
        <v>1005</v>
      </c>
    </row>
    <row r="19" spans="1:105" x14ac:dyDescent="0.25">
      <c r="A19" s="61" t="s">
        <v>27</v>
      </c>
      <c r="B19" s="55">
        <v>9.8882201203660909</v>
      </c>
      <c r="C19" s="55">
        <v>12.70309544280215</v>
      </c>
      <c r="D19" s="55">
        <v>6.3542562338633184</v>
      </c>
      <c r="E19" s="55">
        <v>5.2985382631045672</v>
      </c>
      <c r="F19" s="55">
        <v>5.2948409286210802</v>
      </c>
      <c r="G19" s="55">
        <v>6.3538263112568654</v>
      </c>
      <c r="H19" s="55">
        <v>6.5638865004210256</v>
      </c>
      <c r="I19" s="55">
        <v>2.1879621668052618</v>
      </c>
      <c r="J19" s="55">
        <v>2.093551160787182</v>
      </c>
      <c r="K19" s="55">
        <v>2.09312123817327</v>
      </c>
      <c r="L19" s="55">
        <v>3.1399828030906072</v>
      </c>
      <c r="M19" s="55">
        <v>3.1394668959554721</v>
      </c>
      <c r="N19" s="55">
        <v>3.138435081679757</v>
      </c>
      <c r="O19" s="55">
        <v>4.1846087704139956</v>
      </c>
      <c r="P19" s="55">
        <v>4.1846087704152399</v>
      </c>
      <c r="Q19" s="55">
        <v>4.1846087704170341</v>
      </c>
      <c r="R19" s="55">
        <v>4.1846087704134911</v>
      </c>
      <c r="S19" s="55">
        <v>4.1846087704152746</v>
      </c>
      <c r="T19" s="55">
        <v>6.2768701633631458</v>
      </c>
      <c r="U19" s="55">
        <v>6.2768701633621413</v>
      </c>
      <c r="V19" s="55">
        <v>7.3230438520979657</v>
      </c>
      <c r="W19" s="55">
        <v>7.3230438520945453</v>
      </c>
      <c r="X19" s="55">
        <v>3.1384350816815281</v>
      </c>
      <c r="Y19" s="55">
        <v>8.3691315563033193</v>
      </c>
      <c r="DA19" s="101" t="s">
        <v>1006</v>
      </c>
    </row>
    <row r="20" spans="1:105" x14ac:dyDescent="0.25">
      <c r="A20" s="61" t="s">
        <v>166</v>
      </c>
      <c r="B20" s="55">
        <v>106.82210109607909</v>
      </c>
      <c r="C20" s="55">
        <v>93.68682155670588</v>
      </c>
      <c r="D20" s="55">
        <v>86.468291672131087</v>
      </c>
      <c r="E20" s="55">
        <v>75.339480189746226</v>
      </c>
      <c r="F20" s="55">
        <v>109.6983604977394</v>
      </c>
      <c r="G20" s="55">
        <v>108.8498064642425</v>
      </c>
      <c r="H20" s="55">
        <v>110.4551005343321</v>
      </c>
      <c r="I20" s="55">
        <v>114.5134352265201</v>
      </c>
      <c r="J20" s="55">
        <v>123.4887524932924</v>
      </c>
      <c r="K20" s="55">
        <v>119.75930127217239</v>
      </c>
      <c r="L20" s="55">
        <v>115.4672627279075</v>
      </c>
      <c r="M20" s="55">
        <v>115.69763009750569</v>
      </c>
      <c r="N20" s="55">
        <v>112.2577556882558</v>
      </c>
      <c r="O20" s="55">
        <v>104.28274536626471</v>
      </c>
      <c r="P20" s="55">
        <v>102.9117269904302</v>
      </c>
      <c r="Q20" s="55">
        <v>104.2215322539158</v>
      </c>
      <c r="R20" s="55">
        <v>100.301786030708</v>
      </c>
      <c r="S20" s="55">
        <v>100.9508113598725</v>
      </c>
      <c r="T20" s="55">
        <v>102.9480344041267</v>
      </c>
      <c r="U20" s="55">
        <v>102.7381051458095</v>
      </c>
      <c r="V20" s="55">
        <v>103.1117785810227</v>
      </c>
      <c r="W20" s="55">
        <v>97.399993508517724</v>
      </c>
      <c r="X20" s="55">
        <v>98.057855616969974</v>
      </c>
      <c r="Y20" s="55">
        <v>96.08883223808914</v>
      </c>
      <c r="DA20" s="101" t="s">
        <v>1007</v>
      </c>
    </row>
    <row r="21" spans="1:105" x14ac:dyDescent="0.25">
      <c r="A21" s="61" t="s">
        <v>129</v>
      </c>
      <c r="B21" s="55">
        <v>90.570163370481197</v>
      </c>
      <c r="C21" s="55">
        <v>131.6950128974903</v>
      </c>
      <c r="D21" s="55">
        <v>113.1764402404968</v>
      </c>
      <c r="E21" s="55">
        <v>126.03774720531101</v>
      </c>
      <c r="F21" s="55">
        <v>16.47394668955927</v>
      </c>
      <c r="G21" s="55">
        <v>19.339982803073809</v>
      </c>
      <c r="H21" s="55">
        <v>20.3361994840653</v>
      </c>
      <c r="I21" s="55">
        <v>12.819948409258719</v>
      </c>
      <c r="J21" s="55">
        <v>12.756663800492291</v>
      </c>
      <c r="K21" s="55">
        <v>8.8535683576792987</v>
      </c>
      <c r="L21" s="55">
        <v>8.7703353396253565</v>
      </c>
      <c r="M21" s="55">
        <v>8.7758383490880618</v>
      </c>
      <c r="N21" s="55">
        <v>6.8740326741065232</v>
      </c>
      <c r="O21" s="55">
        <v>6.7930352536424436</v>
      </c>
      <c r="P21" s="55">
        <v>10.56861564916778</v>
      </c>
      <c r="Q21" s="55">
        <v>7.8171109200263782</v>
      </c>
      <c r="R21" s="55">
        <v>4.8914015477122534</v>
      </c>
      <c r="S21" s="55">
        <v>5.8349097162426373</v>
      </c>
      <c r="T21" s="55">
        <v>3.931384350812186</v>
      </c>
      <c r="U21" s="55">
        <v>2.9879621668059499</v>
      </c>
      <c r="V21" s="55">
        <v>5.8184006878693042</v>
      </c>
      <c r="W21" s="55">
        <v>20.115563198591069</v>
      </c>
      <c r="X21" s="55">
        <v>19.172141014594342</v>
      </c>
      <c r="Y21" s="55">
        <v>16.25116079102548</v>
      </c>
      <c r="DA21" s="101" t="s">
        <v>1008</v>
      </c>
    </row>
    <row r="22" spans="1:105" x14ac:dyDescent="0.25">
      <c r="A22" s="61" t="s">
        <v>169</v>
      </c>
      <c r="B22" s="55">
        <v>40.489581710976303</v>
      </c>
      <c r="C22" s="55">
        <v>37.766319466905721</v>
      </c>
      <c r="D22" s="55">
        <v>40.224249603187367</v>
      </c>
      <c r="E22" s="55">
        <v>37.814173254878114</v>
      </c>
      <c r="F22" s="55">
        <v>44.250528062834412</v>
      </c>
      <c r="G22" s="55">
        <v>44.629573675136093</v>
      </c>
      <c r="H22" s="55">
        <v>43.982658818181157</v>
      </c>
      <c r="I22" s="55">
        <v>46.590459970789261</v>
      </c>
      <c r="J22" s="55">
        <v>40.045543175466683</v>
      </c>
      <c r="K22" s="55">
        <v>44.162044746295898</v>
      </c>
      <c r="L22" s="55">
        <v>62.134253329571543</v>
      </c>
      <c r="M22" s="55">
        <v>69.474760783265182</v>
      </c>
      <c r="N22" s="55">
        <v>81.480390705610859</v>
      </c>
      <c r="O22" s="55">
        <v>112.03014839345779</v>
      </c>
      <c r="P22" s="55">
        <v>110.18900571316421</v>
      </c>
      <c r="Q22" s="55">
        <v>107.1522349954265</v>
      </c>
      <c r="R22" s="55">
        <v>129.48138204077779</v>
      </c>
      <c r="S22" s="55">
        <v>128.23414380830249</v>
      </c>
      <c r="T22" s="55">
        <v>117.06762042236321</v>
      </c>
      <c r="U22" s="55">
        <v>124.09613428015641</v>
      </c>
      <c r="V22" s="55">
        <v>122.4366541623139</v>
      </c>
      <c r="W22" s="55">
        <v>118.55771782897899</v>
      </c>
      <c r="X22" s="55">
        <v>110.4734144447702</v>
      </c>
      <c r="Y22" s="55">
        <v>108.48068764742411</v>
      </c>
      <c r="DA22" s="101" t="s">
        <v>1009</v>
      </c>
    </row>
    <row r="23" spans="1:105" x14ac:dyDescent="0.25">
      <c r="A23" s="61" t="s">
        <v>164</v>
      </c>
      <c r="B23" s="55">
        <v>0.85984522785792117</v>
      </c>
      <c r="C23" s="55">
        <v>0.93147033533830892</v>
      </c>
      <c r="D23" s="55">
        <v>2.6511607910515229</v>
      </c>
      <c r="E23" s="55">
        <v>15.38168529662317</v>
      </c>
      <c r="F23" s="55">
        <v>19.15546001715434</v>
      </c>
      <c r="G23" s="55">
        <v>16.45649183145192</v>
      </c>
      <c r="H23" s="55">
        <v>20.373516766954332</v>
      </c>
      <c r="I23" s="55">
        <v>14.71289767838619</v>
      </c>
      <c r="J23" s="55">
        <v>10.819690455697939</v>
      </c>
      <c r="K23" s="55">
        <v>12.22889079963352</v>
      </c>
      <c r="L23" s="55">
        <v>11.942304385192269</v>
      </c>
      <c r="M23" s="55">
        <v>6.6877042132346816</v>
      </c>
      <c r="N23" s="55">
        <v>8.9089423903540084</v>
      </c>
      <c r="O23" s="55">
        <v>9.1478073946529381</v>
      </c>
      <c r="P23" s="55">
        <v>8.5984522785773514</v>
      </c>
      <c r="Q23" s="55">
        <v>8.7417884780649828</v>
      </c>
      <c r="R23" s="55">
        <v>9.6971625107299104</v>
      </c>
      <c r="S23" s="55">
        <v>9.4404127256957224</v>
      </c>
      <c r="T23" s="55">
        <v>8.7895958727324768</v>
      </c>
      <c r="U23" s="55">
        <v>9.9392089423769878</v>
      </c>
      <c r="V23" s="55">
        <v>8.6638865004196841</v>
      </c>
      <c r="W23" s="55">
        <v>9.430868443664588</v>
      </c>
      <c r="X23" s="55">
        <v>10.16973344796715</v>
      </c>
      <c r="Y23" s="55">
        <v>9.6297506448648864</v>
      </c>
      <c r="DA23" s="101" t="s">
        <v>1010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1011</v>
      </c>
    </row>
    <row r="25" spans="1:105" x14ac:dyDescent="0.25">
      <c r="A25" s="256" t="s">
        <v>167</v>
      </c>
      <c r="B25" s="257">
        <v>32.161184268053468</v>
      </c>
      <c r="C25" s="257">
        <v>31.996722576077492</v>
      </c>
      <c r="D25" s="257">
        <v>29.54559142930734</v>
      </c>
      <c r="E25" s="257">
        <v>29.03092852005798</v>
      </c>
      <c r="F25" s="257">
        <v>26.330173929082061</v>
      </c>
      <c r="G25" s="257">
        <v>26.022000870148059</v>
      </c>
      <c r="H25" s="257">
        <v>26.600002574723</v>
      </c>
      <c r="I25" s="257">
        <v>25.427643392959411</v>
      </c>
      <c r="J25" s="257">
        <v>25.823679732230261</v>
      </c>
      <c r="K25" s="257">
        <v>25.455803653058091</v>
      </c>
      <c r="L25" s="257">
        <v>26.656337885662438</v>
      </c>
      <c r="M25" s="257">
        <v>26.796036105182591</v>
      </c>
      <c r="N25" s="257">
        <v>27.45491753942779</v>
      </c>
      <c r="O25" s="257">
        <v>29.117531954517311</v>
      </c>
      <c r="P25" s="257">
        <v>28.931953834830662</v>
      </c>
      <c r="Q25" s="257">
        <v>28.630930099359869</v>
      </c>
      <c r="R25" s="257">
        <v>29.80404100273249</v>
      </c>
      <c r="S25" s="257">
        <v>29.709386382267759</v>
      </c>
      <c r="T25" s="257">
        <v>28.9650041706557</v>
      </c>
      <c r="U25" s="257">
        <v>29.548782705493998</v>
      </c>
      <c r="V25" s="257">
        <v>29.596278668057071</v>
      </c>
      <c r="W25" s="257">
        <v>29.56168555001063</v>
      </c>
      <c r="X25" s="257">
        <v>28.5937641252196</v>
      </c>
      <c r="Y25" s="257">
        <v>28.1591622020347</v>
      </c>
      <c r="DA25" s="272" t="s">
        <v>1012</v>
      </c>
    </row>
    <row r="26" spans="1:105" x14ac:dyDescent="0.25">
      <c r="A26" s="256" t="s">
        <v>170</v>
      </c>
      <c r="B26" s="257">
        <v>16.884186768974558</v>
      </c>
      <c r="C26" s="257">
        <v>16.631674484632089</v>
      </c>
      <c r="D26" s="257">
        <v>16.16554179358139</v>
      </c>
      <c r="E26" s="257">
        <v>15.4362662604916</v>
      </c>
      <c r="F26" s="257">
        <v>15.04475521159222</v>
      </c>
      <c r="G26" s="257">
        <v>14.660203813253659</v>
      </c>
      <c r="H26" s="257">
        <v>16.789912154362071</v>
      </c>
      <c r="I26" s="257">
        <v>14.416472357457121</v>
      </c>
      <c r="J26" s="257">
        <v>14.56902301016391</v>
      </c>
      <c r="K26" s="257">
        <v>13.491080840576689</v>
      </c>
      <c r="L26" s="257">
        <v>13.694154561734191</v>
      </c>
      <c r="M26" s="257">
        <v>13.242802680048699</v>
      </c>
      <c r="N26" s="257">
        <v>12.867661752954501</v>
      </c>
      <c r="O26" s="257">
        <v>12.706307796057439</v>
      </c>
      <c r="P26" s="257">
        <v>14.256407180613049</v>
      </c>
      <c r="Q26" s="257">
        <v>14.55012480258558</v>
      </c>
      <c r="R26" s="257">
        <v>14.52259014873168</v>
      </c>
      <c r="S26" s="257">
        <v>14.87825853724285</v>
      </c>
      <c r="T26" s="257">
        <v>14.68733475676235</v>
      </c>
      <c r="U26" s="257">
        <v>14.87937281267782</v>
      </c>
      <c r="V26" s="257">
        <v>15.114763283485971</v>
      </c>
      <c r="W26" s="257">
        <v>17.13062923110212</v>
      </c>
      <c r="X26" s="257">
        <v>15.816785792740101</v>
      </c>
      <c r="Y26" s="257">
        <v>14.92349300383543</v>
      </c>
      <c r="DA26" s="272" t="s">
        <v>1013</v>
      </c>
    </row>
    <row r="27" spans="1:105" x14ac:dyDescent="0.25">
      <c r="A27" s="128" t="s">
        <v>33</v>
      </c>
      <c r="B27" s="258">
        <v>24.48207081501312</v>
      </c>
      <c r="C27" s="258">
        <v>24.115928002716529</v>
      </c>
      <c r="D27" s="258">
        <v>23.440035600693029</v>
      </c>
      <c r="E27" s="258">
        <v>22.382586077712819</v>
      </c>
      <c r="F27" s="258">
        <v>21.814895056808709</v>
      </c>
      <c r="G27" s="258">
        <v>21.25729552921781</v>
      </c>
      <c r="H27" s="258">
        <v>24.345372623825</v>
      </c>
      <c r="I27" s="258">
        <v>20.90388491831283</v>
      </c>
      <c r="J27" s="258">
        <v>21.12508336473768</v>
      </c>
      <c r="K27" s="258">
        <v>19.562067218836209</v>
      </c>
      <c r="L27" s="258">
        <v>19.856524114514571</v>
      </c>
      <c r="M27" s="258">
        <v>19.202063886070611</v>
      </c>
      <c r="N27" s="258">
        <v>18.658109541784029</v>
      </c>
      <c r="O27" s="258">
        <v>18.42414630428329</v>
      </c>
      <c r="P27" s="258">
        <v>20.671790411888932</v>
      </c>
      <c r="Q27" s="258">
        <v>21.097680963749092</v>
      </c>
      <c r="R27" s="258">
        <v>21.057755715660939</v>
      </c>
      <c r="S27" s="258">
        <v>21.573474879002141</v>
      </c>
      <c r="T27" s="258">
        <v>21.296635397305401</v>
      </c>
      <c r="U27" s="258">
        <v>21.575090578382831</v>
      </c>
      <c r="V27" s="258">
        <v>21.91640676105466</v>
      </c>
      <c r="W27" s="258">
        <v>24.839412385098068</v>
      </c>
      <c r="X27" s="258">
        <v>22.934339399473139</v>
      </c>
      <c r="Y27" s="258">
        <v>21.639064855561379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0.99999999999999989</v>
      </c>
      <c r="C31" s="235">
        <f t="shared" si="9"/>
        <v>1.0000000000000002</v>
      </c>
      <c r="D31" s="235">
        <f t="shared" si="9"/>
        <v>1</v>
      </c>
      <c r="E31" s="235">
        <f t="shared" si="9"/>
        <v>1</v>
      </c>
      <c r="F31" s="235">
        <f t="shared" si="9"/>
        <v>0.99999999999999989</v>
      </c>
      <c r="G31" s="235">
        <f t="shared" si="9"/>
        <v>1</v>
      </c>
      <c r="H31" s="235">
        <f t="shared" si="9"/>
        <v>0.99999999999999989</v>
      </c>
      <c r="I31" s="235">
        <f t="shared" si="9"/>
        <v>0.99999999999999989</v>
      </c>
      <c r="J31" s="235">
        <f t="shared" si="9"/>
        <v>0.99999999999999989</v>
      </c>
      <c r="K31" s="235">
        <f t="shared" si="9"/>
        <v>0.99999999999999989</v>
      </c>
      <c r="L31" s="235">
        <f t="shared" si="9"/>
        <v>1</v>
      </c>
      <c r="M31" s="235">
        <f t="shared" si="9"/>
        <v>0.99999999999999989</v>
      </c>
      <c r="N31" s="235">
        <f t="shared" si="9"/>
        <v>0.99999999999999989</v>
      </c>
      <c r="O31" s="235">
        <f t="shared" si="9"/>
        <v>1</v>
      </c>
      <c r="P31" s="235">
        <f t="shared" si="9"/>
        <v>1.0000000000000002</v>
      </c>
      <c r="Q31" s="235">
        <f t="shared" si="9"/>
        <v>0.99999999999999989</v>
      </c>
      <c r="R31" s="235">
        <f t="shared" ref="R31:W31" si="10">SUM(R32:R40)</f>
        <v>1.0000000000000002</v>
      </c>
      <c r="S31" s="235">
        <f t="shared" si="10"/>
        <v>1</v>
      </c>
      <c r="T31" s="235">
        <f t="shared" si="10"/>
        <v>1</v>
      </c>
      <c r="U31" s="235">
        <f t="shared" si="10"/>
        <v>1</v>
      </c>
      <c r="V31" s="235">
        <f t="shared" si="10"/>
        <v>1</v>
      </c>
      <c r="W31" s="235">
        <f t="shared" si="10"/>
        <v>0.99999999999999967</v>
      </c>
      <c r="X31" s="235">
        <f t="shared" ref="X31:Y31" si="11">SUM(X32:X40)</f>
        <v>0.99999999999999989</v>
      </c>
      <c r="Y31" s="235">
        <f t="shared" si="11"/>
        <v>0.99999999999999978</v>
      </c>
      <c r="DA31" s="274"/>
    </row>
    <row r="32" spans="1:105" x14ac:dyDescent="0.25">
      <c r="A32" s="238" t="s">
        <v>125</v>
      </c>
      <c r="B32" s="244">
        <f t="shared" ref="B32:Y32" si="12">IF(B$6=0,0,B$6/B$5)</f>
        <v>2.3451855794518132E-2</v>
      </c>
      <c r="C32" s="244">
        <f t="shared" si="12"/>
        <v>2.2707556717863776E-2</v>
      </c>
      <c r="D32" s="244">
        <f t="shared" si="12"/>
        <v>2.3740260900623724E-2</v>
      </c>
      <c r="E32" s="244">
        <f t="shared" si="12"/>
        <v>2.2532387317153169E-2</v>
      </c>
      <c r="F32" s="244">
        <f t="shared" si="12"/>
        <v>2.6313890272854495E-2</v>
      </c>
      <c r="G32" s="244">
        <f t="shared" si="12"/>
        <v>2.6021157541583184E-2</v>
      </c>
      <c r="H32" s="244">
        <f t="shared" si="12"/>
        <v>2.8595904794568007E-2</v>
      </c>
      <c r="I32" s="244">
        <f t="shared" si="12"/>
        <v>2.6522310950656727E-2</v>
      </c>
      <c r="J32" s="244">
        <f t="shared" si="12"/>
        <v>2.6730752167123426E-2</v>
      </c>
      <c r="K32" s="244">
        <f t="shared" si="12"/>
        <v>2.5331624473074504E-2</v>
      </c>
      <c r="L32" s="244">
        <f t="shared" si="12"/>
        <v>2.4234893164883583E-2</v>
      </c>
      <c r="M32" s="244">
        <f t="shared" si="12"/>
        <v>2.3446331764645244E-2</v>
      </c>
      <c r="N32" s="244">
        <f t="shared" si="12"/>
        <v>2.2248387159563583E-2</v>
      </c>
      <c r="O32" s="244">
        <f t="shared" si="12"/>
        <v>2.0404631311209571E-2</v>
      </c>
      <c r="P32" s="244">
        <f t="shared" si="12"/>
        <v>2.2696331905388636E-2</v>
      </c>
      <c r="Q32" s="244">
        <f t="shared" si="12"/>
        <v>2.3437006355584544E-2</v>
      </c>
      <c r="R32" s="244">
        <f t="shared" si="12"/>
        <v>2.2252497369881347E-2</v>
      </c>
      <c r="S32" s="244">
        <f t="shared" si="12"/>
        <v>2.2834574222944253E-2</v>
      </c>
      <c r="T32" s="244">
        <f t="shared" si="12"/>
        <v>2.3257499257078665E-2</v>
      </c>
      <c r="U32" s="244">
        <f t="shared" si="12"/>
        <v>2.3017003846443507E-2</v>
      </c>
      <c r="V32" s="244">
        <f t="shared" si="12"/>
        <v>2.3287152001894643E-2</v>
      </c>
      <c r="W32" s="244">
        <f t="shared" si="12"/>
        <v>2.5642456284571725E-2</v>
      </c>
      <c r="X32" s="244">
        <f t="shared" si="12"/>
        <v>2.4790117813809236E-2</v>
      </c>
      <c r="Y32" s="244">
        <f t="shared" si="12"/>
        <v>2.3847873904131577E-2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1.5243706266436782E-2</v>
      </c>
      <c r="C33" s="245">
        <f t="shared" si="13"/>
        <v>1.4759911866611457E-2</v>
      </c>
      <c r="D33" s="245">
        <f t="shared" si="13"/>
        <v>1.5431169585405415E-2</v>
      </c>
      <c r="E33" s="245">
        <f t="shared" si="13"/>
        <v>1.4646051756149562E-2</v>
      </c>
      <c r="F33" s="245">
        <f t="shared" si="13"/>
        <v>1.7104028677355415E-2</v>
      </c>
      <c r="G33" s="245">
        <f t="shared" si="13"/>
        <v>1.691375240202907E-2</v>
      </c>
      <c r="H33" s="245">
        <f t="shared" si="13"/>
        <v>1.8587338116469211E-2</v>
      </c>
      <c r="I33" s="245">
        <f t="shared" si="13"/>
        <v>1.723950211792687E-2</v>
      </c>
      <c r="J33" s="245">
        <f t="shared" si="13"/>
        <v>1.7374988908630228E-2</v>
      </c>
      <c r="K33" s="245">
        <f t="shared" si="13"/>
        <v>1.646555590749843E-2</v>
      </c>
      <c r="L33" s="245">
        <f t="shared" si="13"/>
        <v>1.5752680557174319E-2</v>
      </c>
      <c r="M33" s="245">
        <f t="shared" si="13"/>
        <v>1.5240115647019402E-2</v>
      </c>
      <c r="N33" s="245">
        <f t="shared" si="13"/>
        <v>1.4461451653716323E-2</v>
      </c>
      <c r="O33" s="245">
        <f t="shared" si="13"/>
        <v>1.3263010352286216E-2</v>
      </c>
      <c r="P33" s="245">
        <f t="shared" si="13"/>
        <v>1.4752615738502615E-2</v>
      </c>
      <c r="Q33" s="245">
        <f t="shared" si="13"/>
        <v>1.5234054131129953E-2</v>
      </c>
      <c r="R33" s="245">
        <f t="shared" si="13"/>
        <v>1.4464123290422872E-2</v>
      </c>
      <c r="S33" s="245">
        <f t="shared" si="13"/>
        <v>1.4842473244913761E-2</v>
      </c>
      <c r="T33" s="245">
        <f t="shared" si="13"/>
        <v>1.511737451710112E-2</v>
      </c>
      <c r="U33" s="245">
        <f t="shared" si="13"/>
        <v>1.4961052500188272E-2</v>
      </c>
      <c r="V33" s="245">
        <f t="shared" si="13"/>
        <v>1.5136648801231514E-2</v>
      </c>
      <c r="W33" s="245">
        <f t="shared" si="13"/>
        <v>1.6667596584971609E-2</v>
      </c>
      <c r="X33" s="245">
        <f t="shared" si="13"/>
        <v>1.6113576578975993E-2</v>
      </c>
      <c r="Y33" s="245">
        <f t="shared" si="13"/>
        <v>1.5501118037685526E-2</v>
      </c>
      <c r="DA33" s="276"/>
    </row>
    <row r="34" spans="1:105" x14ac:dyDescent="0.25">
      <c r="A34" s="240" t="s">
        <v>123</v>
      </c>
      <c r="B34" s="245">
        <f t="shared" ref="B34:Y34" si="14">IF(B$8=0,0,B$8/B$5)</f>
        <v>2.110667021506633E-2</v>
      </c>
      <c r="C34" s="245">
        <f t="shared" si="14"/>
        <v>2.0436801046077396E-2</v>
      </c>
      <c r="D34" s="245">
        <f t="shared" si="14"/>
        <v>2.1366234810561362E-2</v>
      </c>
      <c r="E34" s="245">
        <f t="shared" si="14"/>
        <v>2.0279148585437855E-2</v>
      </c>
      <c r="F34" s="245">
        <f t="shared" si="14"/>
        <v>2.3682501245569032E-2</v>
      </c>
      <c r="G34" s="245">
        <f t="shared" si="14"/>
        <v>2.3419041787424877E-2</v>
      </c>
      <c r="H34" s="245">
        <f t="shared" si="14"/>
        <v>2.5736314315111218E-2</v>
      </c>
      <c r="I34" s="245">
        <f t="shared" si="14"/>
        <v>2.3870079855591059E-2</v>
      </c>
      <c r="J34" s="245">
        <f t="shared" si="14"/>
        <v>2.4057676950411083E-2</v>
      </c>
      <c r="K34" s="245">
        <f t="shared" si="14"/>
        <v>2.2798462025767071E-2</v>
      </c>
      <c r="L34" s="245">
        <f t="shared" si="14"/>
        <v>2.1811403848395222E-2</v>
      </c>
      <c r="M34" s="245">
        <f t="shared" si="14"/>
        <v>2.1101698588180718E-2</v>
      </c>
      <c r="N34" s="245">
        <f t="shared" si="14"/>
        <v>2.0023548443607223E-2</v>
      </c>
      <c r="O34" s="245">
        <f t="shared" si="14"/>
        <v>1.8364168180088621E-2</v>
      </c>
      <c r="P34" s="245">
        <f t="shared" si="14"/>
        <v>2.042669871484978E-2</v>
      </c>
      <c r="Q34" s="245">
        <f t="shared" si="14"/>
        <v>2.1093305720026087E-2</v>
      </c>
      <c r="R34" s="245">
        <f t="shared" si="14"/>
        <v>2.0027247632893208E-2</v>
      </c>
      <c r="S34" s="245">
        <f t="shared" si="14"/>
        <v>2.0551116800649836E-2</v>
      </c>
      <c r="T34" s="245">
        <f t="shared" si="14"/>
        <v>2.0931749331370791E-2</v>
      </c>
      <c r="U34" s="245">
        <f t="shared" si="14"/>
        <v>2.0715303461799145E-2</v>
      </c>
      <c r="V34" s="245">
        <f t="shared" si="14"/>
        <v>2.0958436801705175E-2</v>
      </c>
      <c r="W34" s="245">
        <f t="shared" si="14"/>
        <v>2.3078210656114557E-2</v>
      </c>
      <c r="X34" s="245">
        <f t="shared" si="14"/>
        <v>2.2311106032428311E-2</v>
      </c>
      <c r="Y34" s="245">
        <f t="shared" si="14"/>
        <v>2.1463086513718425E-2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0.1926867029462298</v>
      </c>
      <c r="C35" s="246">
        <f t="shared" si="15"/>
        <v>0.18672380506418201</v>
      </c>
      <c r="D35" s="246">
        <f t="shared" si="15"/>
        <v>0.18876733801285578</v>
      </c>
      <c r="E35" s="246">
        <f t="shared" si="15"/>
        <v>0.18686744972370628</v>
      </c>
      <c r="F35" s="246">
        <f t="shared" si="15"/>
        <v>0.20103858295916288</v>
      </c>
      <c r="G35" s="246">
        <f t="shared" si="15"/>
        <v>0.20146992430007535</v>
      </c>
      <c r="H35" s="246">
        <f t="shared" si="15"/>
        <v>0.19973295968839525</v>
      </c>
      <c r="I35" s="246">
        <f t="shared" si="15"/>
        <v>0.20303972218880512</v>
      </c>
      <c r="J35" s="246">
        <f t="shared" si="15"/>
        <v>0.20069224685111903</v>
      </c>
      <c r="K35" s="246">
        <f t="shared" si="15"/>
        <v>0.20076960359243465</v>
      </c>
      <c r="L35" s="246">
        <f t="shared" si="15"/>
        <v>0.2065575966496653</v>
      </c>
      <c r="M35" s="246">
        <f t="shared" si="15"/>
        <v>0.20811696574509975</v>
      </c>
      <c r="N35" s="246">
        <f t="shared" si="15"/>
        <v>0.20802004445053035</v>
      </c>
      <c r="O35" s="246">
        <f t="shared" si="15"/>
        <v>0.21237088512532915</v>
      </c>
      <c r="P35" s="246">
        <f t="shared" si="15"/>
        <v>0.20954920269638305</v>
      </c>
      <c r="Q35" s="246">
        <f t="shared" si="15"/>
        <v>0.20828062036390879</v>
      </c>
      <c r="R35" s="246">
        <f t="shared" si="15"/>
        <v>0.21198312299362906</v>
      </c>
      <c r="S35" s="246">
        <f t="shared" si="15"/>
        <v>0.21143357535476814</v>
      </c>
      <c r="T35" s="246">
        <f t="shared" si="15"/>
        <v>0.21079819737337727</v>
      </c>
      <c r="U35" s="246">
        <f t="shared" si="15"/>
        <v>0.21173932960415384</v>
      </c>
      <c r="V35" s="246">
        <f t="shared" si="15"/>
        <v>0.21183108424992766</v>
      </c>
      <c r="W35" s="246">
        <f t="shared" si="15"/>
        <v>0.20972044428431239</v>
      </c>
      <c r="X35" s="246">
        <f t="shared" si="15"/>
        <v>0.21114547927313268</v>
      </c>
      <c r="Y35" s="246">
        <f t="shared" si="15"/>
        <v>0.21233335317121671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0.23247158447215632</v>
      </c>
      <c r="C36" s="259">
        <f t="shared" si="16"/>
        <v>0.22734253739953264</v>
      </c>
      <c r="D36" s="259">
        <f t="shared" si="16"/>
        <v>0.2258024690767424</v>
      </c>
      <c r="E36" s="259">
        <f t="shared" si="16"/>
        <v>0.22052947778112564</v>
      </c>
      <c r="F36" s="259">
        <f t="shared" si="16"/>
        <v>0.23965938321966379</v>
      </c>
      <c r="G36" s="259">
        <f t="shared" si="16"/>
        <v>0.24036324961611366</v>
      </c>
      <c r="H36" s="259">
        <f t="shared" si="16"/>
        <v>0.23576420732717268</v>
      </c>
      <c r="I36" s="259">
        <f t="shared" si="16"/>
        <v>0.24344409617853993</v>
      </c>
      <c r="J36" s="259">
        <f t="shared" si="16"/>
        <v>0.24656966943468039</v>
      </c>
      <c r="K36" s="259">
        <f t="shared" si="16"/>
        <v>0.24873900052387921</v>
      </c>
      <c r="L36" s="259">
        <f t="shared" si="16"/>
        <v>0.24549754009275285</v>
      </c>
      <c r="M36" s="259">
        <f t="shared" si="16"/>
        <v>0.24689160788788628</v>
      </c>
      <c r="N36" s="259">
        <f t="shared" si="16"/>
        <v>0.24703575540381728</v>
      </c>
      <c r="O36" s="259">
        <f t="shared" si="16"/>
        <v>0.24333507683666397</v>
      </c>
      <c r="P36" s="259">
        <f t="shared" si="16"/>
        <v>0.23969784099941346</v>
      </c>
      <c r="Q36" s="259">
        <f t="shared" si="16"/>
        <v>0.24000022664781537</v>
      </c>
      <c r="R36" s="259">
        <f t="shared" si="16"/>
        <v>0.23765699714231736</v>
      </c>
      <c r="S36" s="259">
        <f t="shared" si="16"/>
        <v>0.23728772623730729</v>
      </c>
      <c r="T36" s="259">
        <f t="shared" si="16"/>
        <v>0.23869009287841567</v>
      </c>
      <c r="U36" s="259">
        <f t="shared" si="16"/>
        <v>0.23787266326734507</v>
      </c>
      <c r="V36" s="259">
        <f t="shared" si="16"/>
        <v>0.2372973627739656</v>
      </c>
      <c r="W36" s="259">
        <f t="shared" si="16"/>
        <v>0.23028002992994556</v>
      </c>
      <c r="X36" s="259">
        <f t="shared" si="16"/>
        <v>0.23322358341228594</v>
      </c>
      <c r="Y36" s="259">
        <f t="shared" si="16"/>
        <v>0.23417454531381884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0.4129110812983946</v>
      </c>
      <c r="C37" s="259">
        <f t="shared" si="17"/>
        <v>0.4287101107754116</v>
      </c>
      <c r="D37" s="259">
        <f t="shared" si="17"/>
        <v>0.42333906219845852</v>
      </c>
      <c r="E37" s="259">
        <f t="shared" si="17"/>
        <v>0.43756455892169077</v>
      </c>
      <c r="F37" s="259">
        <f t="shared" si="17"/>
        <v>0.3816800347157992</v>
      </c>
      <c r="G37" s="259">
        <f t="shared" si="17"/>
        <v>0.38187323684088637</v>
      </c>
      <c r="H37" s="259">
        <f t="shared" si="17"/>
        <v>0.37621925177955789</v>
      </c>
      <c r="I37" s="259">
        <f t="shared" si="17"/>
        <v>0.3741248150024637</v>
      </c>
      <c r="J37" s="259">
        <f t="shared" si="17"/>
        <v>0.37170390605283982</v>
      </c>
      <c r="K37" s="259">
        <f t="shared" si="17"/>
        <v>0.37603600164517131</v>
      </c>
      <c r="L37" s="259">
        <f t="shared" si="17"/>
        <v>0.37959599919530324</v>
      </c>
      <c r="M37" s="259">
        <f t="shared" si="17"/>
        <v>0.38031748756131395</v>
      </c>
      <c r="N37" s="259">
        <f t="shared" si="17"/>
        <v>0.38623228521888858</v>
      </c>
      <c r="O37" s="259">
        <f t="shared" si="17"/>
        <v>0.39551201858013008</v>
      </c>
      <c r="P37" s="259">
        <f t="shared" si="17"/>
        <v>0.39121135905328325</v>
      </c>
      <c r="Q37" s="259">
        <f t="shared" si="17"/>
        <v>0.38841607756403662</v>
      </c>
      <c r="R37" s="259">
        <f t="shared" si="17"/>
        <v>0.39342962044564267</v>
      </c>
      <c r="S37" s="259">
        <f t="shared" si="17"/>
        <v>0.39150901320599896</v>
      </c>
      <c r="T37" s="259">
        <f t="shared" si="17"/>
        <v>0.38835792293858223</v>
      </c>
      <c r="U37" s="259">
        <f t="shared" si="17"/>
        <v>0.38959377328405304</v>
      </c>
      <c r="V37" s="259">
        <f t="shared" si="17"/>
        <v>0.38883712713860191</v>
      </c>
      <c r="W37" s="259">
        <f t="shared" si="17"/>
        <v>0.38753701752135383</v>
      </c>
      <c r="X37" s="259">
        <f t="shared" si="17"/>
        <v>0.38686449307160814</v>
      </c>
      <c r="Y37" s="259">
        <f t="shared" si="17"/>
        <v>0.38925414156594468</v>
      </c>
      <c r="DA37" s="278"/>
    </row>
    <row r="38" spans="1:105" x14ac:dyDescent="0.25">
      <c r="A38" s="127" t="s">
        <v>167</v>
      </c>
      <c r="B38" s="259">
        <f t="shared" ref="B38:Y38" si="18">IF(B$25=0,0,B$25/B$5)</f>
        <v>4.467135231062852E-2</v>
      </c>
      <c r="C38" s="259">
        <f t="shared" si="18"/>
        <v>4.3685763171555023E-2</v>
      </c>
      <c r="D38" s="259">
        <f t="shared" si="18"/>
        <v>4.3389826208824679E-2</v>
      </c>
      <c r="E38" s="259">
        <f t="shared" si="18"/>
        <v>4.2376576987711426E-2</v>
      </c>
      <c r="F38" s="259">
        <f t="shared" si="18"/>
        <v>4.6052547741101714E-2</v>
      </c>
      <c r="G38" s="259">
        <f t="shared" si="18"/>
        <v>4.618780153500867E-2</v>
      </c>
      <c r="H38" s="259">
        <f t="shared" si="18"/>
        <v>4.5304057232034012E-2</v>
      </c>
      <c r="I38" s="259">
        <f t="shared" si="18"/>
        <v>4.6779811876907523E-2</v>
      </c>
      <c r="J38" s="259">
        <f t="shared" si="18"/>
        <v>4.7380416825743565E-2</v>
      </c>
      <c r="K38" s="259">
        <f t="shared" si="18"/>
        <v>4.7797271873142338E-2</v>
      </c>
      <c r="L38" s="259">
        <f t="shared" si="18"/>
        <v>4.7174398237860876E-2</v>
      </c>
      <c r="M38" s="259">
        <f t="shared" si="18"/>
        <v>4.744227998247369E-2</v>
      </c>
      <c r="N38" s="259">
        <f t="shared" si="18"/>
        <v>4.7469979128945641E-2</v>
      </c>
      <c r="O38" s="259">
        <f t="shared" si="18"/>
        <v>4.6758862901828867E-2</v>
      </c>
      <c r="P38" s="259">
        <f t="shared" si="18"/>
        <v>4.6059937723977186E-2</v>
      </c>
      <c r="Q38" s="259">
        <f t="shared" si="18"/>
        <v>4.6118043646316498E-2</v>
      </c>
      <c r="R38" s="259">
        <f t="shared" si="18"/>
        <v>4.566777256900429E-2</v>
      </c>
      <c r="S38" s="259">
        <f t="shared" si="18"/>
        <v>4.5596814087204299E-2</v>
      </c>
      <c r="T38" s="259">
        <f t="shared" si="18"/>
        <v>4.586629052423153E-2</v>
      </c>
      <c r="U38" s="259">
        <f t="shared" si="18"/>
        <v>4.5709214612230535E-2</v>
      </c>
      <c r="V38" s="259">
        <f t="shared" si="18"/>
        <v>4.5598665828031501E-2</v>
      </c>
      <c r="W38" s="259">
        <f t="shared" si="18"/>
        <v>4.4250226841529405E-2</v>
      </c>
      <c r="X38" s="259">
        <f t="shared" si="18"/>
        <v>4.4815855173926958E-2</v>
      </c>
      <c r="Y38" s="259">
        <f t="shared" si="18"/>
        <v>4.4998590428361691E-2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2.3451855794518132E-2</v>
      </c>
      <c r="C39" s="259">
        <f t="shared" si="19"/>
        <v>2.2707556717863776E-2</v>
      </c>
      <c r="D39" s="259">
        <f t="shared" si="19"/>
        <v>2.3740260900623724E-2</v>
      </c>
      <c r="E39" s="259">
        <f t="shared" si="19"/>
        <v>2.2532387317153169E-2</v>
      </c>
      <c r="F39" s="259">
        <f t="shared" si="19"/>
        <v>2.6313890272854495E-2</v>
      </c>
      <c r="G39" s="259">
        <f t="shared" si="19"/>
        <v>2.6021157541583184E-2</v>
      </c>
      <c r="H39" s="259">
        <f t="shared" si="19"/>
        <v>2.8595904794568007E-2</v>
      </c>
      <c r="I39" s="259">
        <f t="shared" si="19"/>
        <v>2.6522310950656727E-2</v>
      </c>
      <c r="J39" s="259">
        <f t="shared" si="19"/>
        <v>2.6730752167123426E-2</v>
      </c>
      <c r="K39" s="259">
        <f t="shared" si="19"/>
        <v>2.5331624473074504E-2</v>
      </c>
      <c r="L39" s="259">
        <f t="shared" si="19"/>
        <v>2.4234893164883583E-2</v>
      </c>
      <c r="M39" s="259">
        <f t="shared" si="19"/>
        <v>2.3446331764645244E-2</v>
      </c>
      <c r="N39" s="259">
        <f t="shared" si="19"/>
        <v>2.2248387159563583E-2</v>
      </c>
      <c r="O39" s="259">
        <f t="shared" si="19"/>
        <v>2.0404631311209571E-2</v>
      </c>
      <c r="P39" s="259">
        <f t="shared" si="19"/>
        <v>2.2696331905388636E-2</v>
      </c>
      <c r="Q39" s="259">
        <f t="shared" si="19"/>
        <v>2.3437006355584544E-2</v>
      </c>
      <c r="R39" s="259">
        <f t="shared" si="19"/>
        <v>2.2252497369881347E-2</v>
      </c>
      <c r="S39" s="259">
        <f t="shared" si="19"/>
        <v>2.2834574222944253E-2</v>
      </c>
      <c r="T39" s="259">
        <f t="shared" si="19"/>
        <v>2.3257499257078665E-2</v>
      </c>
      <c r="U39" s="259">
        <f t="shared" si="19"/>
        <v>2.3017003846443507E-2</v>
      </c>
      <c r="V39" s="259">
        <f t="shared" si="19"/>
        <v>2.3287152001894643E-2</v>
      </c>
      <c r="W39" s="259">
        <f t="shared" si="19"/>
        <v>2.5642456284571725E-2</v>
      </c>
      <c r="X39" s="259">
        <f t="shared" si="19"/>
        <v>2.4790117813809236E-2</v>
      </c>
      <c r="Y39" s="259">
        <f t="shared" si="19"/>
        <v>2.3847873904131577E-2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3.4005190902051306E-2</v>
      </c>
      <c r="C40" s="261">
        <f t="shared" si="20"/>
        <v>3.292595724090247E-2</v>
      </c>
      <c r="D40" s="261">
        <f t="shared" si="20"/>
        <v>3.4423378305904417E-2</v>
      </c>
      <c r="E40" s="261">
        <f t="shared" si="20"/>
        <v>3.2671961609872097E-2</v>
      </c>
      <c r="F40" s="261">
        <f t="shared" si="20"/>
        <v>3.8155140895638998E-2</v>
      </c>
      <c r="G40" s="261">
        <f t="shared" si="20"/>
        <v>3.7730678435295623E-2</v>
      </c>
      <c r="H40" s="261">
        <f t="shared" si="20"/>
        <v>4.1464061952123606E-2</v>
      </c>
      <c r="I40" s="261">
        <f t="shared" si="20"/>
        <v>3.8457350878452264E-2</v>
      </c>
      <c r="J40" s="261">
        <f t="shared" si="20"/>
        <v>3.8759590642328985E-2</v>
      </c>
      <c r="K40" s="261">
        <f t="shared" si="20"/>
        <v>3.6730855485958044E-2</v>
      </c>
      <c r="L40" s="261">
        <f t="shared" si="20"/>
        <v>3.5140595089081184E-2</v>
      </c>
      <c r="M40" s="261">
        <f t="shared" si="20"/>
        <v>3.3997181058735594E-2</v>
      </c>
      <c r="N40" s="261">
        <f t="shared" si="20"/>
        <v>3.2260161381367197E-2</v>
      </c>
      <c r="O40" s="261">
        <f t="shared" si="20"/>
        <v>2.9586715401253884E-2</v>
      </c>
      <c r="P40" s="261">
        <f t="shared" si="20"/>
        <v>3.2909681262813538E-2</v>
      </c>
      <c r="Q40" s="261">
        <f t="shared" si="20"/>
        <v>3.3983659215597588E-2</v>
      </c>
      <c r="R40" s="261">
        <f t="shared" si="20"/>
        <v>3.2266121186327955E-2</v>
      </c>
      <c r="S40" s="261">
        <f t="shared" si="20"/>
        <v>3.311013262326918E-2</v>
      </c>
      <c r="T40" s="261">
        <f t="shared" si="20"/>
        <v>3.3723373922764054E-2</v>
      </c>
      <c r="U40" s="261">
        <f t="shared" si="20"/>
        <v>3.3374655577343072E-2</v>
      </c>
      <c r="V40" s="261">
        <f t="shared" si="20"/>
        <v>3.3766370402747235E-2</v>
      </c>
      <c r="W40" s="261">
        <f t="shared" si="20"/>
        <v>3.7181561612628991E-2</v>
      </c>
      <c r="X40" s="261">
        <f t="shared" si="20"/>
        <v>3.5945670830023382E-2</v>
      </c>
      <c r="Y40" s="261">
        <f t="shared" si="20"/>
        <v>3.4579417160990798E-2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112.47171201628665</v>
      </c>
      <c r="C44" s="236">
        <f t="shared" si="21"/>
        <v>109.81942433546163</v>
      </c>
      <c r="D44" s="236">
        <f t="shared" si="21"/>
        <v>113.80906613357632</v>
      </c>
      <c r="E44" s="236">
        <f t="shared" si="21"/>
        <v>119.53787119840247</v>
      </c>
      <c r="F44" s="236">
        <f t="shared" si="21"/>
        <v>117.30616060932353</v>
      </c>
      <c r="G44" s="236">
        <f t="shared" si="21"/>
        <v>134.29403412451359</v>
      </c>
      <c r="H44" s="236">
        <f t="shared" si="21"/>
        <v>130.05722800154632</v>
      </c>
      <c r="I44" s="236">
        <f t="shared" si="21"/>
        <v>117.81469406104156</v>
      </c>
      <c r="J44" s="236">
        <f t="shared" si="21"/>
        <v>123.49619118298855</v>
      </c>
      <c r="K44" s="236">
        <f t="shared" si="21"/>
        <v>137.83360398812138</v>
      </c>
      <c r="L44" s="236">
        <f t="shared" si="21"/>
        <v>128.47617233393532</v>
      </c>
      <c r="M44" s="236">
        <f t="shared" si="21"/>
        <v>116.02131221383361</v>
      </c>
      <c r="N44" s="236">
        <f t="shared" si="21"/>
        <v>118.31216844961239</v>
      </c>
      <c r="O44" s="236">
        <f t="shared" si="21"/>
        <v>117.89482713876835</v>
      </c>
      <c r="P44" s="236">
        <f t="shared" si="21"/>
        <v>114.21265320772918</v>
      </c>
      <c r="Q44" s="236">
        <f t="shared" si="21"/>
        <v>116.67728719019786</v>
      </c>
      <c r="R44" s="236">
        <f t="shared" si="21"/>
        <v>118.41249825520161</v>
      </c>
      <c r="S44" s="236">
        <f t="shared" si="21"/>
        <v>109.25986032686181</v>
      </c>
      <c r="T44" s="236">
        <f t="shared" si="21"/>
        <v>115.03952384499108</v>
      </c>
      <c r="U44" s="236">
        <f t="shared" si="21"/>
        <v>114.31053707016741</v>
      </c>
      <c r="V44" s="236">
        <f t="shared" si="21"/>
        <v>121.02278233994656</v>
      </c>
      <c r="W44" s="236">
        <f t="shared" si="21"/>
        <v>115.61293230102243</v>
      </c>
      <c r="X44" s="236">
        <f t="shared" si="21"/>
        <v>98.926512660278462</v>
      </c>
      <c r="Y44" s="236">
        <f t="shared" si="21"/>
        <v>101.37891512464491</v>
      </c>
      <c r="DA44" s="280"/>
    </row>
    <row r="45" spans="1:105" x14ac:dyDescent="0.25">
      <c r="A45" s="238" t="s">
        <v>125</v>
      </c>
      <c r="B45" s="247">
        <f>IF(B$6=0,0,B$6/AGR!B$5*1000)</f>
        <v>2.6376703711685274</v>
      </c>
      <c r="C45" s="247">
        <f>IF(C$6=0,0,C$6/AGR!C$5*1000)</f>
        <v>2.4937308068206439</v>
      </c>
      <c r="D45" s="247">
        <f>IF(D$6=0,0,D$6/AGR!D$5*1000)</f>
        <v>2.7018569228674418</v>
      </c>
      <c r="E45" s="247">
        <f>IF(E$6=0,0,E$6/AGR!E$5*1000)</f>
        <v>2.6934736129103731</v>
      </c>
      <c r="F45" s="247">
        <f>IF(F$6=0,0,F$6/AGR!F$5*1000)</f>
        <v>3.0867814386035857</v>
      </c>
      <c r="G45" s="247">
        <f>IF(G$6=0,0,G$6/AGR!G$5*1000)</f>
        <v>3.4944862188487162</v>
      </c>
      <c r="H45" s="247">
        <f>IF(H$6=0,0,H$6/AGR!H$5*1000)</f>
        <v>3.7191041097776436</v>
      </c>
      <c r="I45" s="247">
        <f>IF(I$6=0,0,I$6/AGR!I$5*1000)</f>
        <v>3.1247179504434355</v>
      </c>
      <c r="J45" s="247">
        <f>IF(J$6=0,0,J$6/AGR!J$5*1000)</f>
        <v>3.3011460800961605</v>
      </c>
      <c r="K45" s="247">
        <f>IF(K$6=0,0,K$6/AGR!K$5*1000)</f>
        <v>3.4915490959975553</v>
      </c>
      <c r="L45" s="247">
        <f>IF(L$6=0,0,L$6/AGR!L$5*1000)</f>
        <v>3.113606310746095</v>
      </c>
      <c r="M45" s="247">
        <f>IF(M$6=0,0,M$6/AGR!M$5*1000)</f>
        <v>2.7202741779350306</v>
      </c>
      <c r="N45" s="247">
        <f>IF(N$6=0,0,N$6/AGR!N$5*1000)</f>
        <v>2.6322549293544806</v>
      </c>
      <c r="O45" s="247">
        <f>IF(O$6=0,0,O$6/AGR!O$5*1000)</f>
        <v>2.4056004812653531</v>
      </c>
      <c r="P45" s="247">
        <f>IF(P$6=0,0,P$6/AGR!P$5*1000)</f>
        <v>2.5922082849976711</v>
      </c>
      <c r="Q45" s="247">
        <f>IF(Q$6=0,0,Q$6/AGR!Q$5*1000)</f>
        <v>2.7345663214290301</v>
      </c>
      <c r="R45" s="247">
        <f>IF(R$6=0,0,R$6/AGR!R$5*1000)</f>
        <v>2.6349738059849535</v>
      </c>
      <c r="S45" s="247">
        <f>IF(S$6=0,0,S$6/AGR!S$5*1000)</f>
        <v>2.494902390222248</v>
      </c>
      <c r="T45" s="247">
        <f>IF(T$6=0,0,T$6/AGR!T$5*1000)</f>
        <v>2.6755316403595635</v>
      </c>
      <c r="U45" s="247">
        <f>IF(U$6=0,0,U$6/AGR!U$5*1000)</f>
        <v>2.6310860714330664</v>
      </c>
      <c r="V45" s="247">
        <f>IF(V$6=0,0,V$6/AGR!V$5*1000)</f>
        <v>2.8182759280425462</v>
      </c>
      <c r="W45" s="247">
        <f>IF(W$6=0,0,W$6/AGR!W$5*1000)</f>
        <v>2.9645995624601182</v>
      </c>
      <c r="X45" s="247">
        <f>IF(X$6=0,0,X$6/AGR!X$5*1000)</f>
        <v>2.4523999037575939</v>
      </c>
      <c r="Y45" s="247">
        <f>IF(Y$6=0,0,Y$6/AGR!Y$5*1000)</f>
        <v>2.4176715844301899</v>
      </c>
      <c r="DA45" s="281"/>
    </row>
    <row r="46" spans="1:105" x14ac:dyDescent="0.25">
      <c r="A46" s="240" t="s">
        <v>124</v>
      </c>
      <c r="B46" s="248">
        <f>IF(B$7=0,0,B$7/AGR!B$5*1000)</f>
        <v>1.7144857412595422</v>
      </c>
      <c r="C46" s="248">
        <f>IF(C$7=0,0,C$7/AGR!C$5*1000)</f>
        <v>1.6209250244334186</v>
      </c>
      <c r="D46" s="248">
        <f>IF(D$7=0,0,D$7/AGR!D$5*1000)</f>
        <v>1.7562069998638363</v>
      </c>
      <c r="E46" s="248">
        <f>IF(E$7=0,0,E$7/AGR!E$5*1000)</f>
        <v>1.7507578483917425</v>
      </c>
      <c r="F46" s="248">
        <f>IF(F$7=0,0,F$7/AGR!F$5*1000)</f>
        <v>2.0064079350923296</v>
      </c>
      <c r="G46" s="248">
        <f>IF(G$7=0,0,G$7/AGR!G$5*1000)</f>
        <v>2.2714160422516656</v>
      </c>
      <c r="H46" s="248">
        <f>IF(H$7=0,0,H$7/AGR!H$5*1000)</f>
        <v>2.4174176713554689</v>
      </c>
      <c r="I46" s="248">
        <f>IF(I$7=0,0,I$7/AGR!I$5*1000)</f>
        <v>2.0310666677882323</v>
      </c>
      <c r="J46" s="248">
        <f>IF(J$7=0,0,J$7/AGR!J$5*1000)</f>
        <v>2.1457449520625045</v>
      </c>
      <c r="K46" s="248">
        <f>IF(K$7=0,0,K$7/AGR!K$5*1000)</f>
        <v>2.2695069123984113</v>
      </c>
      <c r="L46" s="248">
        <f>IF(L$7=0,0,L$7/AGR!L$5*1000)</f>
        <v>2.0238441019849605</v>
      </c>
      <c r="M46" s="248">
        <f>IF(M$7=0,0,M$7/AGR!M$5*1000)</f>
        <v>1.768178215657769</v>
      </c>
      <c r="N46" s="248">
        <f>IF(N$7=0,0,N$7/AGR!N$5*1000)</f>
        <v>1.7109657040804114</v>
      </c>
      <c r="O46" s="248">
        <f>IF(O$7=0,0,O$7/AGR!O$5*1000)</f>
        <v>1.5636403128224787</v>
      </c>
      <c r="P46" s="248">
        <f>IF(P$7=0,0,P$7/AGR!P$5*1000)</f>
        <v>1.6849353852484863</v>
      </c>
      <c r="Q46" s="248">
        <f>IF(Q$7=0,0,Q$7/AGR!Q$5*1000)</f>
        <v>1.7774681089288695</v>
      </c>
      <c r="R46" s="248">
        <f>IF(R$7=0,0,R$7/AGR!R$5*1000)</f>
        <v>1.7127329738902191</v>
      </c>
      <c r="S46" s="248">
        <f>IF(S$7=0,0,S$7/AGR!S$5*1000)</f>
        <v>1.6216865536444609</v>
      </c>
      <c r="T46" s="248">
        <f>IF(T$7=0,0,T$7/AGR!T$5*1000)</f>
        <v>1.7390955662337149</v>
      </c>
      <c r="U46" s="248">
        <f>IF(U$7=0,0,U$7/AGR!U$5*1000)</f>
        <v>1.7102059464314923</v>
      </c>
      <c r="V46" s="248">
        <f>IF(V$7=0,0,V$7/AGR!V$5*1000)</f>
        <v>1.8318793532276547</v>
      </c>
      <c r="W46" s="248">
        <f>IF(W$7=0,0,W$7/AGR!W$5*1000)</f>
        <v>1.9269897155990756</v>
      </c>
      <c r="X46" s="248">
        <f>IF(X$7=0,0,X$7/AGR!X$5*1000)</f>
        <v>1.5940599374424351</v>
      </c>
      <c r="Y46" s="248">
        <f>IF(Y$7=0,0,Y$7/AGR!Y$5*1000)</f>
        <v>1.5714865298796232</v>
      </c>
      <c r="DA46" s="282"/>
    </row>
    <row r="47" spans="1:105" x14ac:dyDescent="0.25">
      <c r="A47" s="240" t="s">
        <v>123</v>
      </c>
      <c r="B47" s="248">
        <f>IF(B$8=0,0,B$8/AGR!B$5*1000)</f>
        <v>2.373903334051676</v>
      </c>
      <c r="C47" s="248">
        <f>IF(C$8=0,0,C$8/AGR!C$5*1000)</f>
        <v>2.244357726138579</v>
      </c>
      <c r="D47" s="248">
        <f>IF(D$8=0,0,D$8/AGR!D$5*1000)</f>
        <v>2.4316712305806991</v>
      </c>
      <c r="E47" s="248">
        <f>IF(E$8=0,0,E$8/AGR!E$5*1000)</f>
        <v>2.4241262516193354</v>
      </c>
      <c r="F47" s="248">
        <f>IF(F$8=0,0,F$8/AGR!F$5*1000)</f>
        <v>2.7781032947432256</v>
      </c>
      <c r="G47" s="248">
        <f>IF(G$8=0,0,G$8/AGR!G$5*1000)</f>
        <v>3.1450375969638462</v>
      </c>
      <c r="H47" s="248">
        <f>IF(H$8=0,0,H$8/AGR!H$5*1000)</f>
        <v>3.3471936987998805</v>
      </c>
      <c r="I47" s="248">
        <f>IF(I$8=0,0,I$8/AGR!I$5*1000)</f>
        <v>2.8122461553990918</v>
      </c>
      <c r="J47" s="248">
        <f>IF(J$8=0,0,J$8/AGR!J$5*1000)</f>
        <v>2.9710314720865445</v>
      </c>
      <c r="K47" s="248">
        <f>IF(K$8=0,0,K$8/AGR!K$5*1000)</f>
        <v>3.1423941863978024</v>
      </c>
      <c r="L47" s="248">
        <f>IF(L$8=0,0,L$8/AGR!L$5*1000)</f>
        <v>2.802245679671485</v>
      </c>
      <c r="M47" s="248">
        <f>IF(M$8=0,0,M$8/AGR!M$5*1000)</f>
        <v>2.4482467601415272</v>
      </c>
      <c r="N47" s="248">
        <f>IF(N$8=0,0,N$8/AGR!N$5*1000)</f>
        <v>2.3690294364190323</v>
      </c>
      <c r="O47" s="248">
        <f>IF(O$8=0,0,O$8/AGR!O$5*1000)</f>
        <v>2.1650404331388189</v>
      </c>
      <c r="P47" s="248">
        <f>IF(P$8=0,0,P$8/AGR!P$5*1000)</f>
        <v>2.332987456497905</v>
      </c>
      <c r="Q47" s="248">
        <f>IF(Q$8=0,0,Q$8/AGR!Q$5*1000)</f>
        <v>2.4611096892861268</v>
      </c>
      <c r="R47" s="248">
        <f>IF(R$8=0,0,R$8/AGR!R$5*1000)</f>
        <v>2.3714764253864575</v>
      </c>
      <c r="S47" s="248">
        <f>IF(S$8=0,0,S$8/AGR!S$5*1000)</f>
        <v>2.2454121512000245</v>
      </c>
      <c r="T47" s="248">
        <f>IF(T$8=0,0,T$8/AGR!T$5*1000)</f>
        <v>2.4079784763236063</v>
      </c>
      <c r="U47" s="248">
        <f>IF(U$8=0,0,U$8/AGR!U$5*1000)</f>
        <v>2.3679774642897584</v>
      </c>
      <c r="V47" s="248">
        <f>IF(V$8=0,0,V$8/AGR!V$5*1000)</f>
        <v>2.5364483352382914</v>
      </c>
      <c r="W47" s="248">
        <f>IF(W$8=0,0,W$8/AGR!W$5*1000)</f>
        <v>2.668139606214107</v>
      </c>
      <c r="X47" s="248">
        <f>IF(X$8=0,0,X$8/AGR!X$5*1000)</f>
        <v>2.2071599133818345</v>
      </c>
      <c r="Y47" s="248">
        <f>IF(Y$8=0,0,Y$8/AGR!Y$5*1000)</f>
        <v>2.1759044259871709</v>
      </c>
      <c r="DA47" s="282"/>
    </row>
    <row r="48" spans="1:105" x14ac:dyDescent="0.25">
      <c r="A48" s="242" t="s">
        <v>122</v>
      </c>
      <c r="B48" s="249">
        <f>IF(B$9=0,0,B$9/AGR!B$5*1000)</f>
        <v>21.671803363136132</v>
      </c>
      <c r="C48" s="249">
        <f>IF(C$9=0,0,C$9/AGR!C$5*1000)</f>
        <v>20.505900781875418</v>
      </c>
      <c r="D48" s="249">
        <f>IF(D$9=0,0,D$9/AGR!D$5*1000)</f>
        <v>21.483434455764257</v>
      </c>
      <c r="E48" s="249">
        <f>IF(E$9=0,0,E$9/AGR!E$5*1000)</f>
        <v>22.33773713624635</v>
      </c>
      <c r="F48" s="249">
        <f>IF(F$9=0,0,F$9/AGR!F$5*1000)</f>
        <v>23.58306430127837</v>
      </c>
      <c r="G48" s="249">
        <f>IF(G$9=0,0,G$9/AGR!G$5*1000)</f>
        <v>27.056208889017491</v>
      </c>
      <c r="H48" s="249">
        <f>IF(H$9=0,0,H$9/AGR!H$5*1000)</f>
        <v>25.976715077617285</v>
      </c>
      <c r="I48" s="249">
        <f>IF(I$9=0,0,I$9/AGR!I$5*1000)</f>
        <v>23.921062751912949</v>
      </c>
      <c r="J48" s="249">
        <f>IF(J$9=0,0,J$9/AGR!J$5*1000)</f>
        <v>24.784728086069332</v>
      </c>
      <c r="K48" s="249">
        <f>IF(K$9=0,0,K$9/AGR!K$5*1000)</f>
        <v>27.672798034411752</v>
      </c>
      <c r="L48" s="249">
        <f>IF(L$9=0,0,L$9/AGR!L$5*1000)</f>
        <v>26.537729384045903</v>
      </c>
      <c r="M48" s="249">
        <f>IF(M$9=0,0,M$9/AGR!M$5*1000)</f>
        <v>24.146003459707938</v>
      </c>
      <c r="N48" s="249">
        <f>IF(N$9=0,0,N$9/AGR!N$5*1000)</f>
        <v>24.61130253992701</v>
      </c>
      <c r="O48" s="249">
        <f>IF(O$9=0,0,O$9/AGR!O$5*1000)</f>
        <v>25.037428791157915</v>
      </c>
      <c r="P48" s="249">
        <f>IF(P$9=0,0,P$9/AGR!P$5*1000)</f>
        <v>23.933170417518141</v>
      </c>
      <c r="Q48" s="249">
        <f>IF(Q$9=0,0,Q$9/AGR!Q$5*1000)</f>
        <v>24.301617758352357</v>
      </c>
      <c r="R48" s="249">
        <f>IF(R$9=0,0,R$9/AGR!R$5*1000)</f>
        <v>25.101451181615289</v>
      </c>
      <c r="S48" s="249">
        <f>IF(S$9=0,0,S$9/AGR!S$5*1000)</f>
        <v>23.101202911670981</v>
      </c>
      <c r="T48" s="249">
        <f>IF(T$9=0,0,T$9/AGR!T$5*1000)</f>
        <v>24.250124253215773</v>
      </c>
      <c r="U48" s="249">
        <f>IF(U$9=0,0,U$9/AGR!U$5*1000)</f>
        <v>24.204036485928022</v>
      </c>
      <c r="V48" s="249">
        <f>IF(V$9=0,0,V$9/AGR!V$5*1000)</f>
        <v>25.636387202013879</v>
      </c>
      <c r="W48" s="249">
        <f>IF(W$9=0,0,W$9/AGR!W$5*1000)</f>
        <v>24.24639552718256</v>
      </c>
      <c r="X48" s="249">
        <f>IF(X$9=0,0,X$9/AGR!X$5*1000)</f>
        <v>20.887885928474127</v>
      </c>
      <c r="Y48" s="249">
        <f>IF(Y$9=0,0,Y$9/AGR!Y$5*1000)</f>
        <v>21.526124989276035</v>
      </c>
      <c r="DA48" s="283"/>
    </row>
    <row r="49" spans="1:105" x14ac:dyDescent="0.25">
      <c r="A49" s="127" t="s">
        <v>168</v>
      </c>
      <c r="B49" s="262">
        <f>IF(B$16=0,0,B$16/AGR!B$5*1000)</f>
        <v>26.146477100722223</v>
      </c>
      <c r="C49" s="262">
        <f>IF(C$16=0,0,C$16/AGR!C$5*1000)</f>
        <v>24.966626584179824</v>
      </c>
      <c r="D49" s="262">
        <f>IF(D$16=0,0,D$16/AGR!D$5*1000)</f>
        <v>25.698368136279804</v>
      </c>
      <c r="E49" s="262">
        <f>IF(E$16=0,0,E$16/AGR!E$5*1000)</f>
        <v>26.361624310451155</v>
      </c>
      <c r="F49" s="262">
        <f>IF(F$16=0,0,F$16/AGR!F$5*1000)</f>
        <v>28.113522099497299</v>
      </c>
      <c r="G49" s="262">
        <f>IF(G$16=0,0,G$16/AGR!G$5*1000)</f>
        <v>32.279350446225344</v>
      </c>
      <c r="H49" s="262">
        <f>IF(H$16=0,0,H$16/AGR!H$5*1000)</f>
        <v>30.662839266953938</v>
      </c>
      <c r="I49" s="262">
        <f>IF(I$16=0,0,I$16/AGR!I$5*1000)</f>
        <v>28.68129171224146</v>
      </c>
      <c r="J49" s="262">
        <f>IF(J$16=0,0,J$16/AGR!J$5*1000)</f>
        <v>30.450415036431586</v>
      </c>
      <c r="K49" s="262">
        <f>IF(K$16=0,0,K$16/AGR!K$5*1000)</f>
        <v>34.284592894609489</v>
      </c>
      <c r="L49" s="262">
        <f>IF(L$16=0,0,L$16/AGR!L$5*1000)</f>
        <v>31.540584268513715</v>
      </c>
      <c r="M49" s="262">
        <f>IF(M$16=0,0,M$16/AGR!M$5*1000)</f>
        <v>28.644688321735845</v>
      </c>
      <c r="N49" s="262">
        <f>IF(N$16=0,0,N$16/AGR!N$5*1000)</f>
        <v>29.227335906413682</v>
      </c>
      <c r="O49" s="262">
        <f>IF(O$16=0,0,O$16/AGR!O$5*1000)</f>
        <v>28.687946820457416</v>
      </c>
      <c r="P49" s="262">
        <f>IF(P$16=0,0,P$16/AGR!P$5*1000)</f>
        <v>27.376526388707415</v>
      </c>
      <c r="Q49" s="262">
        <f>IF(Q$16=0,0,Q$16/AGR!Q$5*1000)</f>
        <v>28.002575370299731</v>
      </c>
      <c r="R49" s="262">
        <f>IF(R$16=0,0,R$16/AGR!R$5*1000)</f>
        <v>28.141558759451108</v>
      </c>
      <c r="S49" s="262">
        <f>IF(S$16=0,0,S$16/AGR!S$5*1000)</f>
        <v>25.926023825966819</v>
      </c>
      <c r="T49" s="262">
        <f>IF(T$16=0,0,T$16/AGR!T$5*1000)</f>
        <v>27.458794631249635</v>
      </c>
      <c r="U49" s="262">
        <f>IF(U$16=0,0,U$16/AGR!U$5*1000)</f>
        <v>27.191351892401297</v>
      </c>
      <c r="V49" s="262">
        <f>IF(V$16=0,0,V$16/AGR!V$5*1000)</f>
        <v>28.71838708483698</v>
      </c>
      <c r="W49" s="262">
        <f>IF(W$16=0,0,W$16/AGR!W$5*1000)</f>
        <v>26.623349510568222</v>
      </c>
      <c r="X49" s="262">
        <f>IF(X$16=0,0,X$16/AGR!X$5*1000)</f>
        <v>23.071995777111017</v>
      </c>
      <c r="Y49" s="262">
        <f>IF(Y$16=0,0,Y$16/AGR!Y$5*1000)</f>
        <v>23.740361353721955</v>
      </c>
      <c r="DA49" s="284"/>
    </row>
    <row r="50" spans="1:105" x14ac:dyDescent="0.25">
      <c r="A50" s="127" t="s">
        <v>121</v>
      </c>
      <c r="B50" s="262">
        <f>IF(B$17=0,0,B$17/AGR!B$5*1000)</f>
        <v>46.440816224126564</v>
      </c>
      <c r="C50" s="262">
        <f>IF(C$17=0,0,C$17/AGR!C$5*1000)</f>
        <v>47.080697572147677</v>
      </c>
      <c r="D50" s="262">
        <f>IF(D$17=0,0,D$17/AGR!D$5*1000)</f>
        <v>48.179823326670551</v>
      </c>
      <c r="E50" s="262">
        <f>IF(E$17=0,0,E$17/AGR!E$5*1000)</f>
        <v>52.305535885366865</v>
      </c>
      <c r="F50" s="262">
        <f>IF(F$17=0,0,F$17/AGR!F$5*1000)</f>
        <v>44.77341945374372</v>
      </c>
      <c r="G50" s="262">
        <f>IF(G$17=0,0,G$17/AGR!G$5*1000)</f>
        <v>51.283297499548453</v>
      </c>
      <c r="H50" s="262">
        <f>IF(H$17=0,0,H$17/AGR!H$5*1000)</f>
        <v>48.930033007265124</v>
      </c>
      <c r="I50" s="262">
        <f>IF(I$17=0,0,I$17/AGR!I$5*1000)</f>
        <v>44.07740062015904</v>
      </c>
      <c r="J50" s="262">
        <f>IF(J$17=0,0,J$17/AGR!J$5*1000)</f>
        <v>45.904016645365125</v>
      </c>
      <c r="K50" s="262">
        <f>IF(K$17=0,0,K$17/AGR!K$5*1000)</f>
        <v>51.830397336037109</v>
      </c>
      <c r="L50" s="262">
        <f>IF(L$17=0,0,L$17/AGR!L$5*1000)</f>
        <v>48.769041009888149</v>
      </c>
      <c r="M50" s="262">
        <f>IF(M$17=0,0,M$17/AGR!M$5*1000)</f>
        <v>44.124933964731994</v>
      </c>
      <c r="N50" s="262">
        <f>IF(N$17=0,0,N$17/AGR!N$5*1000)</f>
        <v>45.695979189495894</v>
      </c>
      <c r="O50" s="262">
        <f>IF(O$17=0,0,O$17/AGR!O$5*1000)</f>
        <v>46.628821061809774</v>
      </c>
      <c r="P50" s="262">
        <f>IF(P$17=0,0,P$17/AGR!P$5*1000)</f>
        <v>44.681287282477058</v>
      </c>
      <c r="Q50" s="262">
        <f>IF(Q$17=0,0,Q$17/AGR!Q$5*1000)</f>
        <v>45.31933423122927</v>
      </c>
      <c r="R50" s="262">
        <f>IF(R$17=0,0,R$17/AGR!R$5*1000)</f>
        <v>46.586984244564292</v>
      </c>
      <c r="S50" s="262">
        <f>IF(S$17=0,0,S$17/AGR!S$5*1000)</f>
        <v>42.776220099594937</v>
      </c>
      <c r="T50" s="262">
        <f>IF(T$17=0,0,T$17/AGR!T$5*1000)</f>
        <v>44.676510536284233</v>
      </c>
      <c r="U50" s="262">
        <f>IF(U$17=0,0,U$17/AGR!U$5*1000)</f>
        <v>44.534673463293146</v>
      </c>
      <c r="V50" s="262">
        <f>IF(V$17=0,0,V$17/AGR!V$5*1000)</f>
        <v>47.058151003385149</v>
      </c>
      <c r="W50" s="262">
        <f>IF(W$17=0,0,W$17/AGR!W$5*1000)</f>
        <v>44.804290970836433</v>
      </c>
      <c r="X50" s="262">
        <f>IF(X$17=0,0,X$17/AGR!X$5*1000)</f>
        <v>38.271155171660652</v>
      </c>
      <c r="Y50" s="262">
        <f>IF(Y$17=0,0,Y$17/AGR!Y$5*1000)</f>
        <v>39.462162579730425</v>
      </c>
      <c r="DA50" s="284"/>
    </row>
    <row r="51" spans="1:105" x14ac:dyDescent="0.25">
      <c r="A51" s="127" t="s">
        <v>167</v>
      </c>
      <c r="B51" s="262">
        <f>IF(B$25=0,0,B$25/AGR!B$5*1000)</f>
        <v>5.0242634724590927</v>
      </c>
      <c r="C51" s="262">
        <f>IF(C$25=0,0,C$25/AGR!C$5*1000)</f>
        <v>4.797545363155483</v>
      </c>
      <c r="D51" s="262">
        <f>IF(D$25=0,0,D$25/AGR!D$5*1000)</f>
        <v>4.9381556005245111</v>
      </c>
      <c r="E51" s="262">
        <f>IF(E$25=0,0,E$25/AGR!E$5*1000)</f>
        <v>5.0656058017862344</v>
      </c>
      <c r="F51" s="262">
        <f>IF(F$25=0,0,F$25/AGR!F$5*1000)</f>
        <v>5.4022475617862167</v>
      </c>
      <c r="G51" s="262">
        <f>IF(G$25=0,0,G$25/AGR!G$5*1000)</f>
        <v>6.2027461954787162</v>
      </c>
      <c r="H51" s="262">
        <f>IF(H$25=0,0,H$25/AGR!H$5*1000)</f>
        <v>5.8921201008217521</v>
      </c>
      <c r="I51" s="262">
        <f>IF(I$25=0,0,I$25/AGR!I$5*1000)</f>
        <v>5.5113492245109388</v>
      </c>
      <c r="J51" s="262">
        <f>IF(J$25=0,0,J$25/AGR!J$5*1000)</f>
        <v>5.8513010146417157</v>
      </c>
      <c r="K51" s="262">
        <f>IF(K$25=0,0,K$25/AGR!K$5*1000)</f>
        <v>6.5880702430752738</v>
      </c>
      <c r="L51" s="262">
        <f>IF(L$25=0,0,L$25/AGR!L$5*1000)</f>
        <v>6.0607861177571101</v>
      </c>
      <c r="M51" s="262">
        <f>IF(M$25=0,0,M$25/AGR!M$5*1000)</f>
        <v>5.5043155779826893</v>
      </c>
      <c r="N51" s="262">
        <f>IF(N$25=0,0,N$25/AGR!N$5*1000)</f>
        <v>5.6162761670034023</v>
      </c>
      <c r="O51" s="262">
        <f>IF(O$25=0,0,O$25/AGR!O$5*1000)</f>
        <v>5.5126280590164836</v>
      </c>
      <c r="P51" s="262">
        <f>IF(P$25=0,0,P$25/AGR!P$5*1000)</f>
        <v>5.2606276940382086</v>
      </c>
      <c r="Q51" s="262">
        <f>IF(Q$25=0,0,Q$25/AGR!Q$5*1000)</f>
        <v>5.3809282231713498</v>
      </c>
      <c r="R51" s="262">
        <f>IF(R$25=0,0,R$25/AGR!R$5*1000)</f>
        <v>5.4076350396461637</v>
      </c>
      <c r="S51" s="262">
        <f>IF(S$25=0,0,S$25/AGR!S$5*1000)</f>
        <v>4.9819015385178265</v>
      </c>
      <c r="T51" s="262">
        <f>IF(T$25=0,0,T$25/AGR!T$5*1000)</f>
        <v>5.2764362224436212</v>
      </c>
      <c r="U51" s="262">
        <f>IF(U$25=0,0,U$25/AGR!U$5*1000)</f>
        <v>5.225044871379616</v>
      </c>
      <c r="V51" s="262">
        <f>IF(V$25=0,0,V$25/AGR!V$5*1000)</f>
        <v>5.518477409497816</v>
      </c>
      <c r="W51" s="262">
        <f>IF(W$25=0,0,W$25/AGR!W$5*1000)</f>
        <v>5.115898480134625</v>
      </c>
      <c r="X51" s="262">
        <f>IF(X$25=0,0,X$25/AGR!X$5*1000)</f>
        <v>4.4334762642446917</v>
      </c>
      <c r="Y51" s="262">
        <f>IF(Y$25=0,0,Y$25/AGR!Y$5*1000)</f>
        <v>4.5619082797655386</v>
      </c>
      <c r="DA51" s="284"/>
    </row>
    <row r="52" spans="1:105" x14ac:dyDescent="0.25">
      <c r="A52" s="127" t="s">
        <v>170</v>
      </c>
      <c r="B52" s="262">
        <f>IF(B$26=0,0,B$26/AGR!B$5*1000)</f>
        <v>2.6376703711685274</v>
      </c>
      <c r="C52" s="262">
        <f>IF(C$26=0,0,C$26/AGR!C$5*1000)</f>
        <v>2.4937308068206439</v>
      </c>
      <c r="D52" s="262">
        <f>IF(D$26=0,0,D$26/AGR!D$5*1000)</f>
        <v>2.7018569228674418</v>
      </c>
      <c r="E52" s="262">
        <f>IF(E$26=0,0,E$26/AGR!E$5*1000)</f>
        <v>2.6934736129103731</v>
      </c>
      <c r="F52" s="262">
        <f>IF(F$26=0,0,F$26/AGR!F$5*1000)</f>
        <v>3.0867814386035857</v>
      </c>
      <c r="G52" s="262">
        <f>IF(G$26=0,0,G$26/AGR!G$5*1000)</f>
        <v>3.4944862188487162</v>
      </c>
      <c r="H52" s="262">
        <f>IF(H$26=0,0,H$26/AGR!H$5*1000)</f>
        <v>3.7191041097776436</v>
      </c>
      <c r="I52" s="262">
        <f>IF(I$26=0,0,I$26/AGR!I$5*1000)</f>
        <v>3.1247179504434355</v>
      </c>
      <c r="J52" s="262">
        <f>IF(J$26=0,0,J$26/AGR!J$5*1000)</f>
        <v>3.3011460800961605</v>
      </c>
      <c r="K52" s="262">
        <f>IF(K$26=0,0,K$26/AGR!K$5*1000)</f>
        <v>3.4915490959975553</v>
      </c>
      <c r="L52" s="262">
        <f>IF(L$26=0,0,L$26/AGR!L$5*1000)</f>
        <v>3.113606310746095</v>
      </c>
      <c r="M52" s="262">
        <f>IF(M$26=0,0,M$26/AGR!M$5*1000)</f>
        <v>2.7202741779350306</v>
      </c>
      <c r="N52" s="262">
        <f>IF(N$26=0,0,N$26/AGR!N$5*1000)</f>
        <v>2.6322549293544806</v>
      </c>
      <c r="O52" s="262">
        <f>IF(O$26=0,0,O$26/AGR!O$5*1000)</f>
        <v>2.4056004812653531</v>
      </c>
      <c r="P52" s="262">
        <f>IF(P$26=0,0,P$26/AGR!P$5*1000)</f>
        <v>2.5922082849976711</v>
      </c>
      <c r="Q52" s="262">
        <f>IF(Q$26=0,0,Q$26/AGR!Q$5*1000)</f>
        <v>2.7345663214290301</v>
      </c>
      <c r="R52" s="262">
        <f>IF(R$26=0,0,R$26/AGR!R$5*1000)</f>
        <v>2.6349738059849535</v>
      </c>
      <c r="S52" s="262">
        <f>IF(S$26=0,0,S$26/AGR!S$5*1000)</f>
        <v>2.494902390222248</v>
      </c>
      <c r="T52" s="262">
        <f>IF(T$26=0,0,T$26/AGR!T$5*1000)</f>
        <v>2.6755316403595635</v>
      </c>
      <c r="U52" s="262">
        <f>IF(U$26=0,0,U$26/AGR!U$5*1000)</f>
        <v>2.6310860714330664</v>
      </c>
      <c r="V52" s="262">
        <f>IF(V$26=0,0,V$26/AGR!V$5*1000)</f>
        <v>2.8182759280425462</v>
      </c>
      <c r="W52" s="262">
        <f>IF(W$26=0,0,W$26/AGR!W$5*1000)</f>
        <v>2.9645995624601182</v>
      </c>
      <c r="X52" s="262">
        <f>IF(X$26=0,0,X$26/AGR!X$5*1000)</f>
        <v>2.4523999037575939</v>
      </c>
      <c r="Y52" s="262">
        <f>IF(Y$26=0,0,Y$26/AGR!Y$5*1000)</f>
        <v>2.4176715844301899</v>
      </c>
      <c r="DA52" s="284"/>
    </row>
    <row r="53" spans="1:105" x14ac:dyDescent="0.25">
      <c r="A53" s="260" t="s">
        <v>33</v>
      </c>
      <c r="B53" s="263">
        <f>IF(B$27=0,0,B$27/AGR!B$5*1000)</f>
        <v>3.8246220381943661</v>
      </c>
      <c r="C53" s="263">
        <f>IF(C$27=0,0,C$27/AGR!C$5*1000)</f>
        <v>3.6159096698899331</v>
      </c>
      <c r="D53" s="263">
        <f>IF(D$27=0,0,D$27/AGR!D$5*1000)</f>
        <v>3.9176925381577932</v>
      </c>
      <c r="E53" s="263">
        <f>IF(E$27=0,0,E$27/AGR!E$5*1000)</f>
        <v>3.9055367387200408</v>
      </c>
      <c r="F53" s="263">
        <f>IF(F$27=0,0,F$27/AGR!F$5*1000)</f>
        <v>4.4758330859751965</v>
      </c>
      <c r="G53" s="263">
        <f>IF(G$27=0,0,G$27/AGR!G$5*1000)</f>
        <v>5.06700501733064</v>
      </c>
      <c r="H53" s="263">
        <f>IF(H$27=0,0,H$27/AGR!H$5*1000)</f>
        <v>5.3927009591775823</v>
      </c>
      <c r="I53" s="263">
        <f>IF(I$27=0,0,I$27/AGR!I$5*1000)</f>
        <v>4.5308410281429818</v>
      </c>
      <c r="J53" s="263">
        <f>IF(J$27=0,0,J$27/AGR!J$5*1000)</f>
        <v>4.7866618161394348</v>
      </c>
      <c r="K53" s="263">
        <f>IF(K$27=0,0,K$27/AGR!K$5*1000)</f>
        <v>5.0627461891964582</v>
      </c>
      <c r="L53" s="263">
        <f>IF(L$27=0,0,L$27/AGR!L$5*1000)</f>
        <v>4.5147291505818359</v>
      </c>
      <c r="M53" s="263">
        <f>IF(M$27=0,0,M$27/AGR!M$5*1000)</f>
        <v>3.9443975580057931</v>
      </c>
      <c r="N53" s="263">
        <f>IF(N$27=0,0,N$27/AGR!N$5*1000)</f>
        <v>3.8167696475639969</v>
      </c>
      <c r="O53" s="263">
        <f>IF(O$27=0,0,O$27/AGR!O$5*1000)</f>
        <v>3.4881206978347623</v>
      </c>
      <c r="P53" s="263">
        <f>IF(P$27=0,0,P$27/AGR!P$5*1000)</f>
        <v>3.7587020132466247</v>
      </c>
      <c r="Q53" s="263">
        <f>IF(Q$27=0,0,Q$27/AGR!Q$5*1000)</f>
        <v>3.9651211660720938</v>
      </c>
      <c r="R53" s="263">
        <f>IF(R$27=0,0,R$27/AGR!R$5*1000)</f>
        <v>3.8207120186781829</v>
      </c>
      <c r="S53" s="263">
        <f>IF(S$27=0,0,S$27/AGR!S$5*1000)</f>
        <v>3.6176084658222614</v>
      </c>
      <c r="T53" s="263">
        <f>IF(T$27=0,0,T$27/AGR!T$5*1000)</f>
        <v>3.8795208785213657</v>
      </c>
      <c r="U53" s="263">
        <f>IF(U$27=0,0,U$27/AGR!U$5*1000)</f>
        <v>3.8150748035779447</v>
      </c>
      <c r="V53" s="263">
        <f>IF(V$27=0,0,V$27/AGR!V$5*1000)</f>
        <v>4.0865000956616928</v>
      </c>
      <c r="W53" s="263">
        <f>IF(W$27=0,0,W$27/AGR!W$5*1000)</f>
        <v>4.2986693655671706</v>
      </c>
      <c r="X53" s="263">
        <f>IF(X$27=0,0,X$27/AGR!X$5*1000)</f>
        <v>3.55597986044851</v>
      </c>
      <c r="Y53" s="263">
        <f>IF(Y$27=0,0,Y$27/AGR!Y$5*1000)</f>
        <v>3.5056237974237763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271.89619814750796</v>
      </c>
      <c r="C5" s="80">
        <f t="shared" ref="C5:W5" si="1">SUM(C6:C9,C16:C17,C25:C27)</f>
        <v>273.5950656975412</v>
      </c>
      <c r="D5" s="80">
        <f t="shared" si="1"/>
        <v>256.27858763345296</v>
      </c>
      <c r="E5" s="80">
        <f t="shared" si="1"/>
        <v>255.39592780325577</v>
      </c>
      <c r="F5" s="80">
        <f t="shared" si="1"/>
        <v>221.42883885474853</v>
      </c>
      <c r="G5" s="80">
        <f t="shared" si="1"/>
        <v>218.14771364839785</v>
      </c>
      <c r="H5" s="80">
        <f t="shared" si="1"/>
        <v>229.62427953022797</v>
      </c>
      <c r="I5" s="80">
        <f t="shared" si="1"/>
        <v>211.48208951250959</v>
      </c>
      <c r="J5" s="80">
        <f t="shared" si="1"/>
        <v>211.46753643103682</v>
      </c>
      <c r="K5" s="80">
        <f t="shared" si="1"/>
        <v>205.45131407472988</v>
      </c>
      <c r="L5" s="80">
        <f t="shared" si="1"/>
        <v>219.09003659500357</v>
      </c>
      <c r="M5" s="80">
        <f t="shared" si="1"/>
        <v>219.05410803176733</v>
      </c>
      <c r="N5" s="80">
        <f t="shared" si="1"/>
        <v>223.45828279737987</v>
      </c>
      <c r="O5" s="80">
        <f t="shared" si="1"/>
        <v>240.92320843706216</v>
      </c>
      <c r="P5" s="80">
        <f t="shared" si="1"/>
        <v>244.36345155574014</v>
      </c>
      <c r="Q5" s="80">
        <f t="shared" si="1"/>
        <v>241.85709893456985</v>
      </c>
      <c r="R5" s="80">
        <f t="shared" si="1"/>
        <v>254.67601375088375</v>
      </c>
      <c r="S5" s="80">
        <f t="shared" si="1"/>
        <v>254.69716999293607</v>
      </c>
      <c r="T5" s="80">
        <f t="shared" si="1"/>
        <v>246.96062590885134</v>
      </c>
      <c r="U5" s="80">
        <f t="shared" si="1"/>
        <v>252.95632326317786</v>
      </c>
      <c r="V5" s="80">
        <f t="shared" si="1"/>
        <v>254.27019505679598</v>
      </c>
      <c r="W5" s="80">
        <f t="shared" si="1"/>
        <v>263.31864857989564</v>
      </c>
      <c r="X5" s="80">
        <f t="shared" ref="X5:Y5" si="2">SUM(X6:X9,X16:X17,X25:X27)</f>
        <v>250.78417229347622</v>
      </c>
      <c r="Y5" s="80">
        <f t="shared" si="2"/>
        <v>245.50192561320358</v>
      </c>
      <c r="DA5" s="103"/>
    </row>
    <row r="6" spans="1:105" x14ac:dyDescent="0.25">
      <c r="A6" s="238" t="s">
        <v>125</v>
      </c>
      <c r="B6" s="239">
        <v>7.7990547837114388</v>
      </c>
      <c r="C6" s="239">
        <v>7.682415636911319</v>
      </c>
      <c r="D6" s="239">
        <v>7.4671020749538419</v>
      </c>
      <c r="E6" s="239">
        <v>7.1302389548751783</v>
      </c>
      <c r="F6" s="239">
        <v>6.9493942295369466</v>
      </c>
      <c r="G6" s="239">
        <v>6.7717642693954083</v>
      </c>
      <c r="H6" s="239">
        <v>7.7555079493784316</v>
      </c>
      <c r="I6" s="239">
        <v>6.6591811167520207</v>
      </c>
      <c r="J6" s="239">
        <v>6.7296465122152718</v>
      </c>
      <c r="K6" s="239">
        <v>6.231729132520587</v>
      </c>
      <c r="L6" s="239">
        <v>6.3255318781375509</v>
      </c>
      <c r="M6" s="239">
        <v>6.117045789931943</v>
      </c>
      <c r="N6" s="239">
        <v>5.9437626651920459</v>
      </c>
      <c r="O6" s="239">
        <v>5.8692308937405988</v>
      </c>
      <c r="P6" s="239">
        <v>6.585244651806887</v>
      </c>
      <c r="Q6" s="239">
        <v>6.7209171515280168</v>
      </c>
      <c r="R6" s="239">
        <v>6.7081984889832666</v>
      </c>
      <c r="S6" s="239">
        <v>6.8724869610777661</v>
      </c>
      <c r="T6" s="239">
        <v>6.7842964521800022</v>
      </c>
      <c r="U6" s="239">
        <v>6.8730016613283818</v>
      </c>
      <c r="V6" s="239">
        <v>6.9817319900386643</v>
      </c>
      <c r="W6" s="239">
        <v>7.9128901901461361</v>
      </c>
      <c r="X6" s="239">
        <v>7.3060065366299334</v>
      </c>
      <c r="Y6" s="239">
        <v>6.8933814280659993</v>
      </c>
      <c r="DA6" s="267" t="s">
        <v>1016</v>
      </c>
    </row>
    <row r="7" spans="1:105" x14ac:dyDescent="0.25">
      <c r="A7" s="240" t="s">
        <v>124</v>
      </c>
      <c r="B7" s="241">
        <v>5.0269442759471952</v>
      </c>
      <c r="C7" s="241">
        <v>4.9517635639738922</v>
      </c>
      <c r="D7" s="241">
        <v>4.8129814541114886</v>
      </c>
      <c r="E7" s="241">
        <v>4.595853586668647</v>
      </c>
      <c r="F7" s="241">
        <v>4.4792886461616321</v>
      </c>
      <c r="G7" s="241">
        <v>4.3647958087430334</v>
      </c>
      <c r="H7" s="241">
        <v>4.9988758092346481</v>
      </c>
      <c r="I7" s="241">
        <v>4.2922294208352598</v>
      </c>
      <c r="J7" s="241">
        <v>4.3376484653477014</v>
      </c>
      <c r="K7" s="241">
        <v>4.016711763251644</v>
      </c>
      <c r="L7" s="241">
        <v>4.0771730868638523</v>
      </c>
      <c r="M7" s="241">
        <v>3.9427916808108172</v>
      </c>
      <c r="N7" s="241">
        <v>3.8311006315507501</v>
      </c>
      <c r="O7" s="241">
        <v>3.7830605712787579</v>
      </c>
      <c r="P7" s="241">
        <v>4.2445730702200608</v>
      </c>
      <c r="Q7" s="241">
        <v>4.3320218848252612</v>
      </c>
      <c r="R7" s="241">
        <v>4.3238239673018999</v>
      </c>
      <c r="S7" s="241">
        <v>4.42971743994738</v>
      </c>
      <c r="T7" s="241">
        <v>4.3728735292183014</v>
      </c>
      <c r="U7" s="241">
        <v>4.4300491941856084</v>
      </c>
      <c r="V7" s="241">
        <v>4.5001322130500938</v>
      </c>
      <c r="W7" s="241">
        <v>5.1003178142344474</v>
      </c>
      <c r="X7" s="241">
        <v>4.7091460129309306</v>
      </c>
      <c r="Y7" s="241">
        <v>4.4431851388081238</v>
      </c>
      <c r="DA7" s="268" t="s">
        <v>1017</v>
      </c>
    </row>
    <row r="8" spans="1:105" x14ac:dyDescent="0.25">
      <c r="A8" s="240" t="s">
        <v>123</v>
      </c>
      <c r="B8" s="241">
        <v>9.9897056958161343</v>
      </c>
      <c r="C8" s="241">
        <v>9.8403041617253848</v>
      </c>
      <c r="D8" s="241">
        <v>9.5645118797215005</v>
      </c>
      <c r="E8" s="241">
        <v>9.1330283829792425</v>
      </c>
      <c r="F8" s="241">
        <v>8.9013867760318526</v>
      </c>
      <c r="G8" s="241">
        <v>8.6738629191306913</v>
      </c>
      <c r="H8" s="241">
        <v>9.9339271340499344</v>
      </c>
      <c r="I8" s="241">
        <v>8.5296566540889955</v>
      </c>
      <c r="J8" s="241">
        <v>8.6199148433105073</v>
      </c>
      <c r="K8" s="241">
        <v>7.9821390843338857</v>
      </c>
      <c r="L8" s="241">
        <v>8.1022897754317391</v>
      </c>
      <c r="M8" s="241">
        <v>7.8352427138832317</v>
      </c>
      <c r="N8" s="241">
        <v>7.613286660719158</v>
      </c>
      <c r="O8" s="241">
        <v>7.5178199044985439</v>
      </c>
      <c r="P8" s="241">
        <v>8.4349524180662527</v>
      </c>
      <c r="Q8" s="241">
        <v>8.6087335211379248</v>
      </c>
      <c r="R8" s="241">
        <v>8.5924423551966598</v>
      </c>
      <c r="S8" s="241">
        <v>8.8028772772422208</v>
      </c>
      <c r="T8" s="241">
        <v>8.6899152256237446</v>
      </c>
      <c r="U8" s="241">
        <v>8.8035365499576699</v>
      </c>
      <c r="V8" s="241">
        <v>8.9428077839915172</v>
      </c>
      <c r="W8" s="241">
        <v>10.13551595610835</v>
      </c>
      <c r="X8" s="241">
        <v>9.3581667441384067</v>
      </c>
      <c r="Y8" s="241">
        <v>8.829640722515018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89.044288868641289</v>
      </c>
      <c r="C9" s="243">
        <f t="shared" ref="C9:W9" si="4">SUM(C10:C15)</f>
        <v>87.687252085780045</v>
      </c>
      <c r="D9" s="243">
        <f t="shared" si="4"/>
        <v>83.025460841616905</v>
      </c>
      <c r="E9" s="243">
        <f t="shared" si="4"/>
        <v>82.643456532360403</v>
      </c>
      <c r="F9" s="243">
        <f t="shared" si="4"/>
        <v>74.345001808448757</v>
      </c>
      <c r="G9" s="243">
        <f t="shared" si="4"/>
        <v>73.291078836686637</v>
      </c>
      <c r="H9" s="243">
        <f t="shared" si="4"/>
        <v>76.91355914207125</v>
      </c>
      <c r="I9" s="243">
        <f t="shared" si="4"/>
        <v>71.201186340936502</v>
      </c>
      <c r="J9" s="243">
        <f t="shared" si="4"/>
        <v>70.272223932964877</v>
      </c>
      <c r="K9" s="243">
        <f t="shared" si="4"/>
        <v>68.179137753180186</v>
      </c>
      <c r="L9" s="243">
        <f t="shared" si="4"/>
        <v>74.725253343065603</v>
      </c>
      <c r="M9" s="243">
        <f t="shared" si="4"/>
        <v>75.068190412169983</v>
      </c>
      <c r="N9" s="243">
        <f t="shared" si="4"/>
        <v>76.595246781493955</v>
      </c>
      <c r="O9" s="243">
        <f t="shared" si="4"/>
        <v>84.370827529404281</v>
      </c>
      <c r="P9" s="243">
        <f t="shared" si="4"/>
        <v>84.511514891369274</v>
      </c>
      <c r="Q9" s="243">
        <f t="shared" si="4"/>
        <v>83.104280773151487</v>
      </c>
      <c r="R9" s="243">
        <f t="shared" si="4"/>
        <v>88.975658225844654</v>
      </c>
      <c r="S9" s="243">
        <f t="shared" si="4"/>
        <v>88.726596218354587</v>
      </c>
      <c r="T9" s="243">
        <f t="shared" si="4"/>
        <v>85.7197556374432</v>
      </c>
      <c r="U9" s="243">
        <f t="shared" si="4"/>
        <v>88.17982357380032</v>
      </c>
      <c r="V9" s="243">
        <f t="shared" si="4"/>
        <v>88.68074446453214</v>
      </c>
      <c r="W9" s="243">
        <f t="shared" si="4"/>
        <v>91.394587051010504</v>
      </c>
      <c r="X9" s="243">
        <f t="shared" ref="X9:Y9" si="5">SUM(X10:X15)</f>
        <v>87.511061767633549</v>
      </c>
      <c r="Y9" s="243">
        <f t="shared" si="5"/>
        <v>86.066496863244041</v>
      </c>
      <c r="DA9" s="269"/>
    </row>
    <row r="10" spans="1:105" x14ac:dyDescent="0.25">
      <c r="A10" s="253" t="s">
        <v>166</v>
      </c>
      <c r="B10" s="254">
        <v>45.609632625695447</v>
      </c>
      <c r="C10" s="254">
        <v>45.741615183388113</v>
      </c>
      <c r="D10" s="254">
        <v>40.144981484214213</v>
      </c>
      <c r="E10" s="254">
        <v>38.492317500998553</v>
      </c>
      <c r="F10" s="254">
        <v>36.106679548438862</v>
      </c>
      <c r="G10" s="254">
        <v>35.758705840143548</v>
      </c>
      <c r="H10" s="254">
        <v>35.317095532431281</v>
      </c>
      <c r="I10" s="254">
        <v>35.267860246420483</v>
      </c>
      <c r="J10" s="254">
        <v>38.148635537967174</v>
      </c>
      <c r="K10" s="254">
        <v>37.963486911962427</v>
      </c>
      <c r="L10" s="254">
        <v>35.773603848282981</v>
      </c>
      <c r="M10" s="254">
        <v>35.487881494058982</v>
      </c>
      <c r="N10" s="254">
        <v>35.584625186333959</v>
      </c>
      <c r="O10" s="254">
        <v>33.61070731508233</v>
      </c>
      <c r="P10" s="254">
        <v>32.808946615975877</v>
      </c>
      <c r="Q10" s="254">
        <v>32.915834158452483</v>
      </c>
      <c r="R10" s="254">
        <v>31.600194804414791</v>
      </c>
      <c r="S10" s="254">
        <v>31.526252322117671</v>
      </c>
      <c r="T10" s="254">
        <v>31.79837741940435</v>
      </c>
      <c r="U10" s="254">
        <v>31.702833277844309</v>
      </c>
      <c r="V10" s="254">
        <v>31.681565109604609</v>
      </c>
      <c r="W10" s="254">
        <v>30.09327112342767</v>
      </c>
      <c r="X10" s="254">
        <v>30.016633372214621</v>
      </c>
      <c r="Y10" s="254">
        <v>29.683640137443572</v>
      </c>
      <c r="DA10" s="270" t="s">
        <v>1019</v>
      </c>
    </row>
    <row r="11" spans="1:105" x14ac:dyDescent="0.25">
      <c r="A11" s="253" t="s">
        <v>169</v>
      </c>
      <c r="B11" s="255">
        <v>19.179350754845888</v>
      </c>
      <c r="C11" s="255">
        <v>20.456569537391498</v>
      </c>
      <c r="D11" s="255">
        <v>20.718460767142751</v>
      </c>
      <c r="E11" s="255">
        <v>21.433900134903141</v>
      </c>
      <c r="F11" s="255">
        <v>16.15849937136031</v>
      </c>
      <c r="G11" s="255">
        <v>16.265672469750061</v>
      </c>
      <c r="H11" s="255">
        <v>15.60184064201488</v>
      </c>
      <c r="I11" s="255">
        <v>15.918964692959809</v>
      </c>
      <c r="J11" s="255">
        <v>13.724639565214961</v>
      </c>
      <c r="K11" s="255">
        <v>15.53106253527929</v>
      </c>
      <c r="L11" s="255">
        <v>21.356499007751491</v>
      </c>
      <c r="M11" s="255">
        <v>23.641652223395301</v>
      </c>
      <c r="N11" s="255">
        <v>28.65459644533459</v>
      </c>
      <c r="O11" s="255">
        <v>40.058553270988362</v>
      </c>
      <c r="P11" s="255">
        <v>38.97273084063977</v>
      </c>
      <c r="Q11" s="255">
        <v>37.544281632407461</v>
      </c>
      <c r="R11" s="255">
        <v>45.256771892135397</v>
      </c>
      <c r="S11" s="255">
        <v>44.42847056476127</v>
      </c>
      <c r="T11" s="255">
        <v>40.116112886117897</v>
      </c>
      <c r="U11" s="255">
        <v>42.483465043362969</v>
      </c>
      <c r="V11" s="255">
        <v>41.735436150874712</v>
      </c>
      <c r="W11" s="255">
        <v>40.638292697740191</v>
      </c>
      <c r="X11" s="255">
        <v>37.517381500172007</v>
      </c>
      <c r="Y11" s="255">
        <v>37.178496693460623</v>
      </c>
      <c r="DA11" s="271" t="s">
        <v>1020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10.942603149514619</v>
      </c>
      <c r="C14" s="254">
        <v>8.0578927466217305</v>
      </c>
      <c r="D14" s="254">
        <v>8.0900920602792699</v>
      </c>
      <c r="E14" s="254">
        <v>10.02402345020811</v>
      </c>
      <c r="F14" s="254">
        <v>9.1215724161162797</v>
      </c>
      <c r="G14" s="254">
        <v>9.0570577552410718</v>
      </c>
      <c r="H14" s="254">
        <v>8.0740214118414126</v>
      </c>
      <c r="I14" s="254">
        <v>8.0740214118384959</v>
      </c>
      <c r="J14" s="254">
        <v>6.0273053989416159</v>
      </c>
      <c r="K14" s="254">
        <v>4.657471174196842</v>
      </c>
      <c r="L14" s="254">
        <v>8.7508451832080638</v>
      </c>
      <c r="M14" s="254">
        <v>8.2029347000235973</v>
      </c>
      <c r="N14" s="254">
        <v>5.6888935132521361</v>
      </c>
      <c r="O14" s="254">
        <v>5.4148802548773514</v>
      </c>
      <c r="P14" s="254">
        <v>5.0603397039747708</v>
      </c>
      <c r="Q14" s="254">
        <v>4.206216648761175</v>
      </c>
      <c r="R14" s="254">
        <v>4.8347124412559142</v>
      </c>
      <c r="S14" s="254">
        <v>4.8540900462320202</v>
      </c>
      <c r="T14" s="254">
        <v>5.6274537417910739</v>
      </c>
      <c r="U14" s="254">
        <v>5.9545523551107618</v>
      </c>
      <c r="V14" s="254">
        <v>6.856597271731073</v>
      </c>
      <c r="W14" s="254">
        <v>8.2785305661388531</v>
      </c>
      <c r="X14" s="254">
        <v>9.5497942793480437</v>
      </c>
      <c r="Y14" s="254">
        <v>10.240077943992739</v>
      </c>
      <c r="DA14" s="270" t="s">
        <v>1023</v>
      </c>
    </row>
    <row r="15" spans="1:105" x14ac:dyDescent="0.25">
      <c r="A15" s="253" t="s">
        <v>24</v>
      </c>
      <c r="B15" s="255">
        <v>13.31270233858532</v>
      </c>
      <c r="C15" s="255">
        <v>13.43117461837871</v>
      </c>
      <c r="D15" s="255">
        <v>14.071926529980679</v>
      </c>
      <c r="E15" s="255">
        <v>12.69321544625061</v>
      </c>
      <c r="F15" s="255">
        <v>12.95825047253331</v>
      </c>
      <c r="G15" s="255">
        <v>12.209642771551961</v>
      </c>
      <c r="H15" s="255">
        <v>17.920601555783669</v>
      </c>
      <c r="I15" s="255">
        <v>11.940339989717719</v>
      </c>
      <c r="J15" s="255">
        <v>12.37164343084112</v>
      </c>
      <c r="K15" s="255">
        <v>10.027117131741621</v>
      </c>
      <c r="L15" s="255">
        <v>8.8443053038230808</v>
      </c>
      <c r="M15" s="255">
        <v>7.7357219946920939</v>
      </c>
      <c r="N15" s="255">
        <v>6.6671316365732567</v>
      </c>
      <c r="O15" s="255">
        <v>5.2866866884562418</v>
      </c>
      <c r="P15" s="255">
        <v>7.6694977307788417</v>
      </c>
      <c r="Q15" s="255">
        <v>8.4379483335303771</v>
      </c>
      <c r="R15" s="255">
        <v>7.2839790880385538</v>
      </c>
      <c r="S15" s="255">
        <v>7.9177832852436314</v>
      </c>
      <c r="T15" s="255">
        <v>8.1778115901298793</v>
      </c>
      <c r="U15" s="255">
        <v>8.0389728974822887</v>
      </c>
      <c r="V15" s="255">
        <v>8.4071459323217361</v>
      </c>
      <c r="W15" s="255">
        <v>12.38449266370378</v>
      </c>
      <c r="X15" s="255">
        <v>10.42725261589888</v>
      </c>
      <c r="Y15" s="255">
        <v>8.9642820883471011</v>
      </c>
      <c r="DA15" s="271" t="s">
        <v>1024</v>
      </c>
    </row>
    <row r="16" spans="1:105" x14ac:dyDescent="0.25">
      <c r="A16" s="256" t="s">
        <v>168</v>
      </c>
      <c r="B16" s="257">
        <v>55.321334706178817</v>
      </c>
      <c r="C16" s="257">
        <v>55.038439641360398</v>
      </c>
      <c r="D16" s="257">
        <v>50.822181762016498</v>
      </c>
      <c r="E16" s="257">
        <v>49.936895983167837</v>
      </c>
      <c r="F16" s="257">
        <v>45.291253974423761</v>
      </c>
      <c r="G16" s="257">
        <v>44.761157047686851</v>
      </c>
      <c r="H16" s="257">
        <v>45.755393624705412</v>
      </c>
      <c r="I16" s="257">
        <v>43.738786457828503</v>
      </c>
      <c r="J16" s="257">
        <v>44.420019421702143</v>
      </c>
      <c r="K16" s="257">
        <v>43.78722569319207</v>
      </c>
      <c r="L16" s="257">
        <v>45.852297537393497</v>
      </c>
      <c r="M16" s="257">
        <v>46.092596274390203</v>
      </c>
      <c r="N16" s="257">
        <v>47.225956291601143</v>
      </c>
      <c r="O16" s="257">
        <v>50.085864924874002</v>
      </c>
      <c r="P16" s="257">
        <v>49.766646913877878</v>
      </c>
      <c r="Q16" s="257">
        <v>49.248847734417147</v>
      </c>
      <c r="R16" s="257">
        <v>51.266747958240941</v>
      </c>
      <c r="S16" s="257">
        <v>51.10392995077671</v>
      </c>
      <c r="T16" s="257">
        <v>49.823497702551862</v>
      </c>
      <c r="U16" s="257">
        <v>50.827671163668853</v>
      </c>
      <c r="V16" s="257">
        <v>50.909370270898307</v>
      </c>
      <c r="W16" s="257">
        <v>50.849865700232463</v>
      </c>
      <c r="X16" s="257">
        <v>49.184917523453549</v>
      </c>
      <c r="Y16" s="257">
        <v>48.437346841476433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77.753038908246396</v>
      </c>
      <c r="C17" s="257">
        <f t="shared" ref="C17:W17" si="7">SUM(C18:C24)</f>
        <v>81.763052126528365</v>
      </c>
      <c r="D17" s="257">
        <f t="shared" si="7"/>
        <v>75.060558934494011</v>
      </c>
      <c r="E17" s="257">
        <f t="shared" si="7"/>
        <v>77.392890044977861</v>
      </c>
      <c r="F17" s="257">
        <f t="shared" si="7"/>
        <v>57.976480523083026</v>
      </c>
      <c r="G17" s="257">
        <f t="shared" si="7"/>
        <v>57.314921549032519</v>
      </c>
      <c r="H17" s="257">
        <f t="shared" si="7"/>
        <v>58.700902482278657</v>
      </c>
      <c r="I17" s="257">
        <f t="shared" si="7"/>
        <v>54.510224319486682</v>
      </c>
      <c r="J17" s="257">
        <f t="shared" si="7"/>
        <v>54.269254671113785</v>
      </c>
      <c r="K17" s="257">
        <f t="shared" si="7"/>
        <v>53.766913546990665</v>
      </c>
      <c r="L17" s="257">
        <f t="shared" si="7"/>
        <v>58.007477344426263</v>
      </c>
      <c r="M17" s="257">
        <f t="shared" si="7"/>
        <v>58.487731470360025</v>
      </c>
      <c r="N17" s="257">
        <f t="shared" si="7"/>
        <v>61.019686937703938</v>
      </c>
      <c r="O17" s="257">
        <f t="shared" si="7"/>
        <v>67.86902112469167</v>
      </c>
      <c r="P17" s="257">
        <f t="shared" si="7"/>
        <v>67.643939895516183</v>
      </c>
      <c r="Q17" s="257">
        <f t="shared" si="7"/>
        <v>66.395788568900002</v>
      </c>
      <c r="R17" s="257">
        <f t="shared" si="7"/>
        <v>71.123037974435491</v>
      </c>
      <c r="S17" s="257">
        <f t="shared" si="7"/>
        <v>70.686155102248861</v>
      </c>
      <c r="T17" s="257">
        <f t="shared" si="7"/>
        <v>67.88784726800391</v>
      </c>
      <c r="U17" s="257">
        <f t="shared" si="7"/>
        <v>69.802705616420084</v>
      </c>
      <c r="V17" s="257">
        <f t="shared" si="7"/>
        <v>69.932738681006356</v>
      </c>
      <c r="W17" s="257">
        <f t="shared" si="7"/>
        <v>71.280179580379539</v>
      </c>
      <c r="X17" s="257">
        <f t="shared" ref="X17:Y17" si="8">SUM(X18:X24)</f>
        <v>67.812524148538841</v>
      </c>
      <c r="Y17" s="257">
        <f t="shared" si="8"/>
        <v>67.062854440508289</v>
      </c>
      <c r="DA17" s="272"/>
    </row>
    <row r="18" spans="1:105" x14ac:dyDescent="0.25">
      <c r="A18" s="61" t="s">
        <v>29</v>
      </c>
      <c r="B18" s="55">
        <v>11.754139801910879</v>
      </c>
      <c r="C18" s="55">
        <v>8.9926334147342697</v>
      </c>
      <c r="D18" s="55">
        <v>9.5180212396006798</v>
      </c>
      <c r="E18" s="55">
        <v>9.6386892436760281</v>
      </c>
      <c r="F18" s="55">
        <v>5.6418316991488542</v>
      </c>
      <c r="G18" s="55">
        <v>4.7155884213723587</v>
      </c>
      <c r="H18" s="55">
        <v>4.6352469661833862</v>
      </c>
      <c r="I18" s="55">
        <v>3.0287087288248622</v>
      </c>
      <c r="J18" s="55">
        <v>3.234185064953913</v>
      </c>
      <c r="K18" s="55">
        <v>3.1826601596356632</v>
      </c>
      <c r="L18" s="55">
        <v>3.150851841071177</v>
      </c>
      <c r="M18" s="55">
        <v>2.665873669764077</v>
      </c>
      <c r="N18" s="55">
        <v>2.5910171238501309</v>
      </c>
      <c r="O18" s="55">
        <v>2.3809077014776672</v>
      </c>
      <c r="P18" s="55">
        <v>2.2427669371794372</v>
      </c>
      <c r="Q18" s="55">
        <v>2.1791295238779722</v>
      </c>
      <c r="R18" s="55">
        <v>1.9829401364081889</v>
      </c>
      <c r="S18" s="55">
        <v>1.5583790718205499</v>
      </c>
      <c r="T18" s="55">
        <v>1.5073320184471259</v>
      </c>
      <c r="U18" s="55">
        <v>1.4050924784987511</v>
      </c>
      <c r="V18" s="55">
        <v>1.214159462420235</v>
      </c>
      <c r="W18" s="55">
        <v>1.466610722307782</v>
      </c>
      <c r="X18" s="55">
        <v>1.405965077701927</v>
      </c>
      <c r="Y18" s="55">
        <v>1.151934828778858</v>
      </c>
      <c r="DA18" s="101" t="s">
        <v>1026</v>
      </c>
    </row>
    <row r="19" spans="1:105" x14ac:dyDescent="0.25">
      <c r="A19" s="61" t="s">
        <v>27</v>
      </c>
      <c r="B19" s="55">
        <v>2.7730976672006671</v>
      </c>
      <c r="C19" s="55">
        <v>3.5625141744273661</v>
      </c>
      <c r="D19" s="55">
        <v>1.782016674834022</v>
      </c>
      <c r="E19" s="55">
        <v>1.4859462995494841</v>
      </c>
      <c r="F19" s="55">
        <v>1.4849094021598419</v>
      </c>
      <c r="G19" s="55">
        <v>1.7818961053723279</v>
      </c>
      <c r="H19" s="55">
        <v>1.840806345380344</v>
      </c>
      <c r="I19" s="55">
        <v>0.6136021151262917</v>
      </c>
      <c r="J19" s="55">
        <v>0.5871250608779166</v>
      </c>
      <c r="K19" s="55">
        <v>0.58700449141413036</v>
      </c>
      <c r="L19" s="55">
        <v>0.88059113574611592</v>
      </c>
      <c r="M19" s="55">
        <v>0.8804464523900094</v>
      </c>
      <c r="N19" s="55">
        <v>0.88015708567626938</v>
      </c>
      <c r="O19" s="55">
        <v>1.1735508188659609</v>
      </c>
      <c r="P19" s="55">
        <v>1.17355081886631</v>
      </c>
      <c r="Q19" s="55">
        <v>1.173550818866814</v>
      </c>
      <c r="R19" s="55">
        <v>1.1735508188658199</v>
      </c>
      <c r="S19" s="55">
        <v>1.17355081886632</v>
      </c>
      <c r="T19" s="55">
        <v>1.7603141713535571</v>
      </c>
      <c r="U19" s="55">
        <v>1.7603141713532759</v>
      </c>
      <c r="V19" s="55">
        <v>2.0537079045434119</v>
      </c>
      <c r="W19" s="55">
        <v>2.0537079045424531</v>
      </c>
      <c r="X19" s="55">
        <v>0.88015708567676598</v>
      </c>
      <c r="Y19" s="55">
        <v>2.3470775238386361</v>
      </c>
      <c r="DA19" s="101" t="s">
        <v>1027</v>
      </c>
    </row>
    <row r="20" spans="1:105" x14ac:dyDescent="0.25">
      <c r="A20" s="61" t="s">
        <v>166</v>
      </c>
      <c r="B20" s="55">
        <v>28.637102576894701</v>
      </c>
      <c r="C20" s="55">
        <v>25.115768099426511</v>
      </c>
      <c r="D20" s="55">
        <v>23.1806088146169</v>
      </c>
      <c r="E20" s="55">
        <v>20.197172683798499</v>
      </c>
      <c r="F20" s="55">
        <v>29.408176490232361</v>
      </c>
      <c r="G20" s="55">
        <v>29.180694268389239</v>
      </c>
      <c r="H20" s="55">
        <v>29.611045014906459</v>
      </c>
      <c r="I20" s="55">
        <v>30.699012258380041</v>
      </c>
      <c r="J20" s="55">
        <v>33.105134948267548</v>
      </c>
      <c r="K20" s="55">
        <v>32.105335505278873</v>
      </c>
      <c r="L20" s="55">
        <v>30.954716421822081</v>
      </c>
      <c r="M20" s="55">
        <v>31.016473810282559</v>
      </c>
      <c r="N20" s="55">
        <v>30.09430475258236</v>
      </c>
      <c r="O20" s="55">
        <v>27.95634653701384</v>
      </c>
      <c r="P20" s="55">
        <v>27.588800931182099</v>
      </c>
      <c r="Q20" s="55">
        <v>27.93993639192778</v>
      </c>
      <c r="R20" s="55">
        <v>26.889122248434798</v>
      </c>
      <c r="S20" s="55">
        <v>27.06311437867355</v>
      </c>
      <c r="T20" s="55">
        <v>27.598534302082491</v>
      </c>
      <c r="U20" s="55">
        <v>27.5422560072106</v>
      </c>
      <c r="V20" s="55">
        <v>27.642431199279109</v>
      </c>
      <c r="W20" s="55">
        <v>26.111203360281781</v>
      </c>
      <c r="X20" s="55">
        <v>26.287564473645912</v>
      </c>
      <c r="Y20" s="55">
        <v>25.75970437822804</v>
      </c>
      <c r="DA20" s="101" t="s">
        <v>1028</v>
      </c>
    </row>
    <row r="21" spans="1:105" x14ac:dyDescent="0.25">
      <c r="A21" s="61" t="s">
        <v>129</v>
      </c>
      <c r="B21" s="55">
        <v>22.633781885443341</v>
      </c>
      <c r="C21" s="55">
        <v>32.911017120831843</v>
      </c>
      <c r="D21" s="55">
        <v>28.28316487070844</v>
      </c>
      <c r="E21" s="55">
        <v>31.497247806747541</v>
      </c>
      <c r="F21" s="55">
        <v>4.1168934921611458</v>
      </c>
      <c r="G21" s="55">
        <v>4.8331253488239359</v>
      </c>
      <c r="H21" s="55">
        <v>5.0820831758730858</v>
      </c>
      <c r="I21" s="55">
        <v>3.2037472968980958</v>
      </c>
      <c r="J21" s="55">
        <v>3.1879322649027819</v>
      </c>
      <c r="K21" s="55">
        <v>2.212535868969046</v>
      </c>
      <c r="L21" s="55">
        <v>2.1917356638441641</v>
      </c>
      <c r="M21" s="55">
        <v>2.193110884018858</v>
      </c>
      <c r="N21" s="55">
        <v>1.71784338715068</v>
      </c>
      <c r="O21" s="55">
        <v>1.697601865220677</v>
      </c>
      <c r="P21" s="55">
        <v>2.6411318311954122</v>
      </c>
      <c r="Q21" s="55">
        <v>1.9535217444010931</v>
      </c>
      <c r="R21" s="55">
        <v>1.2223773439843679</v>
      </c>
      <c r="S21" s="55">
        <v>1.4581631403099931</v>
      </c>
      <c r="T21" s="55">
        <v>0.98246588713926841</v>
      </c>
      <c r="U21" s="55">
        <v>0.74670157862919673</v>
      </c>
      <c r="V21" s="55">
        <v>1.4540374797896061</v>
      </c>
      <c r="W21" s="55">
        <v>5.026945442036717</v>
      </c>
      <c r="X21" s="55">
        <v>4.7911811335290206</v>
      </c>
      <c r="Y21" s="55">
        <v>4.0612185629469879</v>
      </c>
      <c r="DA21" s="101" t="s">
        <v>1029</v>
      </c>
    </row>
    <row r="22" spans="1:105" x14ac:dyDescent="0.25">
      <c r="A22" s="61" t="s">
        <v>169</v>
      </c>
      <c r="B22" s="55">
        <v>11.753863575008261</v>
      </c>
      <c r="C22" s="55">
        <v>10.963318166950881</v>
      </c>
      <c r="D22" s="55">
        <v>11.67683938099997</v>
      </c>
      <c r="E22" s="55">
        <v>10.977209811952051</v>
      </c>
      <c r="F22" s="55">
        <v>12.84564196502016</v>
      </c>
      <c r="G22" s="55">
        <v>12.955676453583219</v>
      </c>
      <c r="H22" s="55">
        <v>12.7678812565972</v>
      </c>
      <c r="I22" s="55">
        <v>13.5249090569164</v>
      </c>
      <c r="J22" s="55">
        <v>11.624962061387251</v>
      </c>
      <c r="K22" s="55">
        <v>12.81995583077749</v>
      </c>
      <c r="L22" s="55">
        <v>18.037171689842509</v>
      </c>
      <c r="M22" s="55">
        <v>20.168073505473181</v>
      </c>
      <c r="N22" s="55">
        <v>23.653230187174199</v>
      </c>
      <c r="O22" s="55">
        <v>32.521627165826366</v>
      </c>
      <c r="P22" s="55">
        <v>31.987155359207801</v>
      </c>
      <c r="Q22" s="55">
        <v>31.10560046986221</v>
      </c>
      <c r="R22" s="55">
        <v>37.587607372052787</v>
      </c>
      <c r="S22" s="55">
        <v>37.225542183662</v>
      </c>
      <c r="T22" s="55">
        <v>33.983972699878223</v>
      </c>
      <c r="U22" s="55">
        <v>36.024304793434069</v>
      </c>
      <c r="V22" s="55">
        <v>35.542568453212212</v>
      </c>
      <c r="W22" s="55">
        <v>34.416538335054653</v>
      </c>
      <c r="X22" s="55">
        <v>32.069717373671168</v>
      </c>
      <c r="Y22" s="55">
        <v>31.491241678726681</v>
      </c>
      <c r="DA22" s="101" t="s">
        <v>1030</v>
      </c>
    </row>
    <row r="23" spans="1:105" x14ac:dyDescent="0.25">
      <c r="A23" s="61" t="s">
        <v>164</v>
      </c>
      <c r="B23" s="55">
        <v>0.20105340178855521</v>
      </c>
      <c r="C23" s="55">
        <v>0.2178011501575004</v>
      </c>
      <c r="D23" s="55">
        <v>0.61990795373399632</v>
      </c>
      <c r="E23" s="55">
        <v>3.596624199254256</v>
      </c>
      <c r="F23" s="55">
        <v>4.4790274743606648</v>
      </c>
      <c r="G23" s="55">
        <v>3.8479409514914349</v>
      </c>
      <c r="H23" s="55">
        <v>4.7638397233381813</v>
      </c>
      <c r="I23" s="55">
        <v>3.4402448633409919</v>
      </c>
      <c r="J23" s="55">
        <v>2.5299152707243731</v>
      </c>
      <c r="K23" s="55">
        <v>2.8594216909154579</v>
      </c>
      <c r="L23" s="55">
        <v>2.7924105921002189</v>
      </c>
      <c r="M23" s="55">
        <v>1.5637531484313381</v>
      </c>
      <c r="N23" s="55">
        <v>2.0831344012702999</v>
      </c>
      <c r="O23" s="55">
        <v>2.138987036287161</v>
      </c>
      <c r="P23" s="55">
        <v>2.0105340178851172</v>
      </c>
      <c r="Q23" s="55">
        <v>2.044049619964138</v>
      </c>
      <c r="R23" s="55">
        <v>2.267440054689529</v>
      </c>
      <c r="S23" s="55">
        <v>2.207405508916445</v>
      </c>
      <c r="T23" s="55">
        <v>2.0552281891032531</v>
      </c>
      <c r="U23" s="55">
        <v>2.3240365872941928</v>
      </c>
      <c r="V23" s="55">
        <v>2.0258341817617742</v>
      </c>
      <c r="W23" s="55">
        <v>2.205173816156146</v>
      </c>
      <c r="X23" s="55">
        <v>2.3779390043140438</v>
      </c>
      <c r="Y23" s="55">
        <v>2.2516774679890812</v>
      </c>
      <c r="DA23" s="101" t="s">
        <v>1031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1032</v>
      </c>
    </row>
    <row r="25" spans="1:105" x14ac:dyDescent="0.25">
      <c r="A25" s="256" t="s">
        <v>167</v>
      </c>
      <c r="B25" s="257">
        <v>7.4413188476156948</v>
      </c>
      <c r="C25" s="257">
        <v>7.4032663966234802</v>
      </c>
      <c r="D25" s="257">
        <v>6.8361340345681283</v>
      </c>
      <c r="E25" s="257">
        <v>6.7170535064741994</v>
      </c>
      <c r="F25" s="257">
        <v>6.092164327235337</v>
      </c>
      <c r="G25" s="257">
        <v>6.0208605477271044</v>
      </c>
      <c r="H25" s="257">
        <v>6.1545961385050818</v>
      </c>
      <c r="I25" s="257">
        <v>5.8833406274293152</v>
      </c>
      <c r="J25" s="257">
        <v>5.9749738412809679</v>
      </c>
      <c r="K25" s="257">
        <v>5.8898562293573891</v>
      </c>
      <c r="L25" s="257">
        <v>6.1676307645805997</v>
      </c>
      <c r="M25" s="257">
        <v>6.1999535480088923</v>
      </c>
      <c r="N25" s="257">
        <v>6.352402748701512</v>
      </c>
      <c r="O25" s="257">
        <v>6.7370914430047453</v>
      </c>
      <c r="P25" s="257">
        <v>6.6941531622430803</v>
      </c>
      <c r="Q25" s="257">
        <v>6.6245035629724613</v>
      </c>
      <c r="R25" s="257">
        <v>6.8959330042160598</v>
      </c>
      <c r="S25" s="257">
        <v>6.8740322183057048</v>
      </c>
      <c r="T25" s="257">
        <v>6.701800209218872</v>
      </c>
      <c r="U25" s="257">
        <v>6.8368724185603922</v>
      </c>
      <c r="V25" s="257">
        <v>6.8478618335788326</v>
      </c>
      <c r="W25" s="257">
        <v>6.8398578241750991</v>
      </c>
      <c r="X25" s="257">
        <v>6.6159042570030389</v>
      </c>
      <c r="Y25" s="257">
        <v>6.5153479013896574</v>
      </c>
      <c r="DA25" s="272" t="s">
        <v>1033</v>
      </c>
    </row>
    <row r="26" spans="1:105" x14ac:dyDescent="0.25">
      <c r="A26" s="256" t="s">
        <v>170</v>
      </c>
      <c r="B26" s="257">
        <v>7.7337604245341467</v>
      </c>
      <c r="C26" s="257">
        <v>7.618097790729065</v>
      </c>
      <c r="D26" s="257">
        <v>7.4045868524792144</v>
      </c>
      <c r="E26" s="257">
        <v>7.0705439794902283</v>
      </c>
      <c r="F26" s="257">
        <v>6.89121330178713</v>
      </c>
      <c r="G26" s="257">
        <v>6.7150704749892816</v>
      </c>
      <c r="H26" s="257">
        <v>7.6905781680533094</v>
      </c>
      <c r="I26" s="257">
        <v>6.6034298782080949</v>
      </c>
      <c r="J26" s="257">
        <v>6.6733053313041548</v>
      </c>
      <c r="K26" s="257">
        <v>6.1795565588486836</v>
      </c>
      <c r="L26" s="257">
        <v>6.272573979790546</v>
      </c>
      <c r="M26" s="257">
        <v>6.0658333550935666</v>
      </c>
      <c r="N26" s="257">
        <v>5.8940009716165402</v>
      </c>
      <c r="O26" s="257">
        <v>5.8200931865827092</v>
      </c>
      <c r="P26" s="257">
        <v>6.5301124157231722</v>
      </c>
      <c r="Q26" s="257">
        <v>6.6646490535773264</v>
      </c>
      <c r="R26" s="257">
        <v>6.6520368727721557</v>
      </c>
      <c r="S26" s="257">
        <v>6.8149499076113571</v>
      </c>
      <c r="T26" s="257">
        <v>6.7274977372589291</v>
      </c>
      <c r="U26" s="257">
        <v>6.81546029874709</v>
      </c>
      <c r="V26" s="257">
        <v>6.923280327769378</v>
      </c>
      <c r="W26" s="257">
        <v>7.8466427911299199</v>
      </c>
      <c r="X26" s="257">
        <v>7.2448400198937426</v>
      </c>
      <c r="Y26" s="257">
        <v>6.8356694443201933</v>
      </c>
      <c r="DA26" s="272" t="s">
        <v>1034</v>
      </c>
    </row>
    <row r="27" spans="1:105" x14ac:dyDescent="0.25">
      <c r="A27" s="128" t="s">
        <v>33</v>
      </c>
      <c r="B27" s="258">
        <v>11.78675163681684</v>
      </c>
      <c r="C27" s="258">
        <v>11.61047429390927</v>
      </c>
      <c r="D27" s="258">
        <v>11.285069799491369</v>
      </c>
      <c r="E27" s="258">
        <v>10.77596683226219</v>
      </c>
      <c r="F27" s="258">
        <v>10.502655268040071</v>
      </c>
      <c r="G27" s="258">
        <v>10.23420219500631</v>
      </c>
      <c r="H27" s="258">
        <v>11.720939081951251</v>
      </c>
      <c r="I27" s="258">
        <v>10.06405469694425</v>
      </c>
      <c r="J27" s="258">
        <v>10.170549411797399</v>
      </c>
      <c r="K27" s="258">
        <v>9.418044313054784</v>
      </c>
      <c r="L27" s="258">
        <v>9.5598088853139469</v>
      </c>
      <c r="M27" s="258">
        <v>9.2447227871186524</v>
      </c>
      <c r="N27" s="258">
        <v>8.9828391088008122</v>
      </c>
      <c r="O27" s="258">
        <v>8.870198858986825</v>
      </c>
      <c r="P27" s="258">
        <v>9.9523141369173391</v>
      </c>
      <c r="Q27" s="258">
        <v>10.15735668406022</v>
      </c>
      <c r="R27" s="258">
        <v>10.13813490389264</v>
      </c>
      <c r="S27" s="258">
        <v>10.386424917371491</v>
      </c>
      <c r="T27" s="258">
        <v>10.25314214735255</v>
      </c>
      <c r="U27" s="258">
        <v>10.38720278650943</v>
      </c>
      <c r="V27" s="258">
        <v>10.551527491930679</v>
      </c>
      <c r="W27" s="258">
        <v>11.95879167247913</v>
      </c>
      <c r="X27" s="258">
        <v>11.04160528325423</v>
      </c>
      <c r="Y27" s="258">
        <v>10.41800283287585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</v>
      </c>
      <c r="C31" s="235">
        <f t="shared" si="9"/>
        <v>0.99999999999999989</v>
      </c>
      <c r="D31" s="235">
        <f t="shared" si="9"/>
        <v>1</v>
      </c>
      <c r="E31" s="235">
        <f t="shared" si="9"/>
        <v>1.0000000000000002</v>
      </c>
      <c r="F31" s="235">
        <f t="shared" si="9"/>
        <v>0.99999999999999989</v>
      </c>
      <c r="G31" s="235">
        <f t="shared" si="9"/>
        <v>0.99999999999999978</v>
      </c>
      <c r="H31" s="235">
        <f t="shared" si="9"/>
        <v>0.99999999999999989</v>
      </c>
      <c r="I31" s="235">
        <f t="shared" si="9"/>
        <v>1.0000000000000002</v>
      </c>
      <c r="J31" s="235">
        <f t="shared" si="9"/>
        <v>0.99999999999999989</v>
      </c>
      <c r="K31" s="235">
        <f t="shared" si="9"/>
        <v>1.0000000000000002</v>
      </c>
      <c r="L31" s="235">
        <f t="shared" si="9"/>
        <v>1.0000000000000002</v>
      </c>
      <c r="M31" s="235">
        <f t="shared" si="9"/>
        <v>0.99999999999999989</v>
      </c>
      <c r="N31" s="235">
        <f t="shared" si="9"/>
        <v>0.99999999999999989</v>
      </c>
      <c r="O31" s="235">
        <f t="shared" si="9"/>
        <v>0.99999999999999978</v>
      </c>
      <c r="P31" s="235">
        <f t="shared" si="9"/>
        <v>1</v>
      </c>
      <c r="Q31" s="235">
        <f t="shared" si="9"/>
        <v>1</v>
      </c>
      <c r="R31" s="235">
        <f t="shared" ref="R31:W31" si="10">SUM(R32:R40)</f>
        <v>1</v>
      </c>
      <c r="S31" s="235">
        <f t="shared" si="10"/>
        <v>1</v>
      </c>
      <c r="T31" s="235">
        <f t="shared" si="10"/>
        <v>1.0000000000000002</v>
      </c>
      <c r="U31" s="235">
        <f t="shared" si="10"/>
        <v>0.99999999999999989</v>
      </c>
      <c r="V31" s="235">
        <f t="shared" si="10"/>
        <v>0.99999999999999989</v>
      </c>
      <c r="W31" s="235">
        <f t="shared" si="10"/>
        <v>0.99999999999999978</v>
      </c>
      <c r="X31" s="235">
        <f t="shared" ref="X31:Y31" si="11">SUM(X32:X40)</f>
        <v>1</v>
      </c>
      <c r="Y31" s="235">
        <f t="shared" si="11"/>
        <v>1</v>
      </c>
      <c r="DA31" s="274"/>
    </row>
    <row r="32" spans="1:105" x14ac:dyDescent="0.25">
      <c r="A32" s="238" t="s">
        <v>125</v>
      </c>
      <c r="B32" s="244">
        <f t="shared" ref="B32:Y32" si="12">IF(B$6=0,0,B$6/B$5)</f>
        <v>2.8683942022169538E-2</v>
      </c>
      <c r="C32" s="244">
        <f t="shared" si="12"/>
        <v>2.8079510927306761E-2</v>
      </c>
      <c r="D32" s="244">
        <f t="shared" si="12"/>
        <v>2.9136660007014703E-2</v>
      </c>
      <c r="E32" s="244">
        <f t="shared" si="12"/>
        <v>2.7918373703937665E-2</v>
      </c>
      <c r="F32" s="244">
        <f t="shared" si="12"/>
        <v>3.1384323132794663E-2</v>
      </c>
      <c r="G32" s="244">
        <f t="shared" si="12"/>
        <v>3.1042105168747627E-2</v>
      </c>
      <c r="H32" s="244">
        <f t="shared" si="12"/>
        <v>3.3774773143523305E-2</v>
      </c>
      <c r="I32" s="244">
        <f t="shared" si="12"/>
        <v>3.1488156430183732E-2</v>
      </c>
      <c r="J32" s="244">
        <f t="shared" si="12"/>
        <v>3.1823544293333762E-2</v>
      </c>
      <c r="K32" s="244">
        <f t="shared" si="12"/>
        <v>3.0331902040080832E-2</v>
      </c>
      <c r="L32" s="244">
        <f t="shared" si="12"/>
        <v>2.8871837243016861E-2</v>
      </c>
      <c r="M32" s="244">
        <f t="shared" si="12"/>
        <v>2.7924816589355386E-2</v>
      </c>
      <c r="N32" s="244">
        <f t="shared" si="12"/>
        <v>2.6598981209309369E-2</v>
      </c>
      <c r="O32" s="244">
        <f t="shared" si="12"/>
        <v>2.4361417614417392E-2</v>
      </c>
      <c r="P32" s="244">
        <f t="shared" si="12"/>
        <v>2.6948566202850389E-2</v>
      </c>
      <c r="Q32" s="244">
        <f t="shared" si="12"/>
        <v>2.7788794214166284E-2</v>
      </c>
      <c r="R32" s="244">
        <f t="shared" si="12"/>
        <v>2.6340126775916243E-2</v>
      </c>
      <c r="S32" s="244">
        <f t="shared" si="12"/>
        <v>2.6982973392552307E-2</v>
      </c>
      <c r="T32" s="244">
        <f t="shared" si="12"/>
        <v>2.7471166414535904E-2</v>
      </c>
      <c r="U32" s="244">
        <f t="shared" si="12"/>
        <v>2.7170705095114992E-2</v>
      </c>
      <c r="V32" s="244">
        <f t="shared" si="12"/>
        <v>2.7457925174750285E-2</v>
      </c>
      <c r="W32" s="244">
        <f t="shared" si="12"/>
        <v>3.0050625858901985E-2</v>
      </c>
      <c r="X32" s="244">
        <f t="shared" si="12"/>
        <v>2.9132646090919145E-2</v>
      </c>
      <c r="Y32" s="244">
        <f t="shared" si="12"/>
        <v>2.8078726514458179E-2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1.8488468430956136E-2</v>
      </c>
      <c r="C33" s="245">
        <f t="shared" si="13"/>
        <v>1.8098877446306203E-2</v>
      </c>
      <c r="D33" s="245">
        <f t="shared" si="13"/>
        <v>1.8780271495000361E-2</v>
      </c>
      <c r="E33" s="245">
        <f t="shared" si="13"/>
        <v>1.7995015136690284E-2</v>
      </c>
      <c r="F33" s="245">
        <f t="shared" si="13"/>
        <v>2.0229021067576149E-2</v>
      </c>
      <c r="G33" s="245">
        <f t="shared" si="13"/>
        <v>2.0008441691843924E-2</v>
      </c>
      <c r="H33" s="245">
        <f t="shared" si="13"/>
        <v>2.1769805089694755E-2</v>
      </c>
      <c r="I33" s="245">
        <f t="shared" si="13"/>
        <v>2.0295947665021373E-2</v>
      </c>
      <c r="J33" s="245">
        <f t="shared" si="13"/>
        <v>2.0512124643596454E-2</v>
      </c>
      <c r="K33" s="245">
        <f t="shared" si="13"/>
        <v>1.9550674481403532E-2</v>
      </c>
      <c r="L33" s="245">
        <f t="shared" si="13"/>
        <v>1.8609577825762405E-2</v>
      </c>
      <c r="M33" s="245">
        <f t="shared" si="13"/>
        <v>1.799916795095681E-2</v>
      </c>
      <c r="N33" s="245">
        <f t="shared" si="13"/>
        <v>1.7144589959212159E-2</v>
      </c>
      <c r="O33" s="245">
        <f t="shared" si="13"/>
        <v>1.5702350121520277E-2</v>
      </c>
      <c r="P33" s="245">
        <f t="shared" si="13"/>
        <v>1.7369917813801459E-2</v>
      </c>
      <c r="Q33" s="245">
        <f t="shared" si="13"/>
        <v>1.7911493621269363E-2</v>
      </c>
      <c r="R33" s="245">
        <f t="shared" si="13"/>
        <v>1.6977743226071269E-2</v>
      </c>
      <c r="S33" s="245">
        <f t="shared" si="13"/>
        <v>1.7392095248134232E-2</v>
      </c>
      <c r="T33" s="245">
        <f t="shared" si="13"/>
        <v>1.7706764036272929E-2</v>
      </c>
      <c r="U33" s="245">
        <f t="shared" si="13"/>
        <v>1.7513099245898466E-2</v>
      </c>
      <c r="V33" s="245">
        <f t="shared" si="13"/>
        <v>1.7698229287333129E-2</v>
      </c>
      <c r="W33" s="245">
        <f t="shared" si="13"/>
        <v>1.9369375628125778E-2</v>
      </c>
      <c r="X33" s="245">
        <f t="shared" si="13"/>
        <v>1.8777684292691832E-2</v>
      </c>
      <c r="Y33" s="245">
        <f t="shared" si="13"/>
        <v>1.8098371846616425E-2</v>
      </c>
      <c r="DA33" s="276"/>
    </row>
    <row r="34" spans="1:105" x14ac:dyDescent="0.25">
      <c r="A34" s="240" t="s">
        <v>123</v>
      </c>
      <c r="B34" s="245">
        <f t="shared" ref="B34:Y34" si="14">IF(B$8=0,0,B$8/B$5)</f>
        <v>3.6740880394350209E-2</v>
      </c>
      <c r="C34" s="245">
        <f t="shared" si="14"/>
        <v>3.5966672632187821E-2</v>
      </c>
      <c r="D34" s="245">
        <f t="shared" si="14"/>
        <v>3.7320760848742134E-2</v>
      </c>
      <c r="E34" s="245">
        <f t="shared" si="14"/>
        <v>3.5760274102783936E-2</v>
      </c>
      <c r="F34" s="245">
        <f t="shared" si="14"/>
        <v>4.0199762696090942E-2</v>
      </c>
      <c r="G34" s="245">
        <f t="shared" si="14"/>
        <v>3.9761420250825512E-2</v>
      </c>
      <c r="H34" s="245">
        <f t="shared" si="14"/>
        <v>4.3261658368065656E-2</v>
      </c>
      <c r="I34" s="245">
        <f t="shared" si="14"/>
        <v>4.0332761387741299E-2</v>
      </c>
      <c r="J34" s="245">
        <f t="shared" si="14"/>
        <v>4.0762355247476054E-2</v>
      </c>
      <c r="K34" s="245">
        <f t="shared" si="14"/>
        <v>3.8851730495286591E-2</v>
      </c>
      <c r="L34" s="245">
        <f t="shared" si="14"/>
        <v>3.6981552887359895E-2</v>
      </c>
      <c r="M34" s="245">
        <f t="shared" si="14"/>
        <v>3.5768526709149692E-2</v>
      </c>
      <c r="N34" s="245">
        <f t="shared" si="14"/>
        <v>3.4070281778825283E-2</v>
      </c>
      <c r="O34" s="245">
        <f t="shared" si="14"/>
        <v>3.1204216286462371E-2</v>
      </c>
      <c r="P34" s="245">
        <f t="shared" si="14"/>
        <v>3.4518060554330529E-2</v>
      </c>
      <c r="Q34" s="245">
        <f t="shared" si="14"/>
        <v>3.5594297455237671E-2</v>
      </c>
      <c r="R34" s="245">
        <f t="shared" si="14"/>
        <v>3.373871857285124E-2</v>
      </c>
      <c r="S34" s="245">
        <f t="shared" si="14"/>
        <v>3.4562132266669335E-2</v>
      </c>
      <c r="T34" s="245">
        <f t="shared" si="14"/>
        <v>3.5187452224999763E-2</v>
      </c>
      <c r="U34" s="245">
        <f t="shared" si="14"/>
        <v>3.4802595311279876E-2</v>
      </c>
      <c r="V34" s="245">
        <f t="shared" si="14"/>
        <v>3.5170491696810843E-2</v>
      </c>
      <c r="W34" s="245">
        <f t="shared" si="14"/>
        <v>3.8491447570349543E-2</v>
      </c>
      <c r="X34" s="245">
        <f t="shared" si="14"/>
        <v>3.7315619476922808E-2</v>
      </c>
      <c r="Y34" s="245">
        <f t="shared" si="14"/>
        <v>3.5965667888187607E-2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0.32749368867722589</v>
      </c>
      <c r="C35" s="246">
        <f t="shared" si="15"/>
        <v>0.32050012255234944</v>
      </c>
      <c r="D35" s="246">
        <f t="shared" si="15"/>
        <v>0.3239656563129088</v>
      </c>
      <c r="E35" s="246">
        <f t="shared" si="15"/>
        <v>0.32358956246171938</v>
      </c>
      <c r="F35" s="246">
        <f t="shared" si="15"/>
        <v>0.3357512155732213</v>
      </c>
      <c r="G35" s="246">
        <f t="shared" si="15"/>
        <v>0.33596996095413767</v>
      </c>
      <c r="H35" s="246">
        <f t="shared" si="15"/>
        <v>0.33495394868270573</v>
      </c>
      <c r="I35" s="246">
        <f t="shared" si="15"/>
        <v>0.33667714606500904</v>
      </c>
      <c r="J35" s="246">
        <f t="shared" si="15"/>
        <v>0.33230738447592334</v>
      </c>
      <c r="K35" s="246">
        <f t="shared" si="15"/>
        <v>0.33185058007650919</v>
      </c>
      <c r="L35" s="246">
        <f t="shared" si="15"/>
        <v>0.34107097933074032</v>
      </c>
      <c r="M35" s="246">
        <f t="shared" si="15"/>
        <v>0.34269245661114722</v>
      </c>
      <c r="N35" s="246">
        <f t="shared" si="15"/>
        <v>0.34277201911081751</v>
      </c>
      <c r="O35" s="246">
        <f t="shared" si="15"/>
        <v>0.35019800739306933</v>
      </c>
      <c r="P35" s="246">
        <f t="shared" si="15"/>
        <v>0.34584351445900208</v>
      </c>
      <c r="Q35" s="246">
        <f t="shared" si="15"/>
        <v>0.34360902011660149</v>
      </c>
      <c r="R35" s="246">
        <f t="shared" si="15"/>
        <v>0.3493680339793519</v>
      </c>
      <c r="S35" s="246">
        <f t="shared" si="15"/>
        <v>0.34836113891966441</v>
      </c>
      <c r="T35" s="246">
        <f t="shared" si="15"/>
        <v>0.34709887587133342</v>
      </c>
      <c r="U35" s="246">
        <f t="shared" si="15"/>
        <v>0.34859703223175525</v>
      </c>
      <c r="V35" s="246">
        <f t="shared" si="15"/>
        <v>0.34876578611474163</v>
      </c>
      <c r="W35" s="246">
        <f t="shared" si="15"/>
        <v>0.34708740738231358</v>
      </c>
      <c r="X35" s="246">
        <f t="shared" si="15"/>
        <v>0.34894970032329276</v>
      </c>
      <c r="Y35" s="246">
        <f t="shared" si="15"/>
        <v>0.35057361219579458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0.20346490713403106</v>
      </c>
      <c r="C36" s="259">
        <f t="shared" si="16"/>
        <v>0.20116751558014312</v>
      </c>
      <c r="D36" s="259">
        <f t="shared" si="16"/>
        <v>0.19830834183738297</v>
      </c>
      <c r="E36" s="259">
        <f t="shared" si="16"/>
        <v>0.19552737748284194</v>
      </c>
      <c r="F36" s="259">
        <f t="shared" si="16"/>
        <v>0.20454089995085792</v>
      </c>
      <c r="G36" s="259">
        <f t="shared" si="16"/>
        <v>0.20518737647569926</v>
      </c>
      <c r="H36" s="259">
        <f t="shared" si="16"/>
        <v>0.19926200190290472</v>
      </c>
      <c r="I36" s="259">
        <f t="shared" si="16"/>
        <v>0.20682028704488126</v>
      </c>
      <c r="J36" s="259">
        <f t="shared" si="16"/>
        <v>0.21005597441283036</v>
      </c>
      <c r="K36" s="259">
        <f t="shared" si="16"/>
        <v>0.21312701693046907</v>
      </c>
      <c r="L36" s="259">
        <f t="shared" si="16"/>
        <v>0.20928517905245161</v>
      </c>
      <c r="M36" s="259">
        <f t="shared" si="16"/>
        <v>0.21041648882341815</v>
      </c>
      <c r="N36" s="259">
        <f t="shared" si="16"/>
        <v>0.21134126558389038</v>
      </c>
      <c r="O36" s="259">
        <f t="shared" si="16"/>
        <v>0.20789140759744712</v>
      </c>
      <c r="P36" s="259">
        <f t="shared" si="16"/>
        <v>0.20365830731657486</v>
      </c>
      <c r="Q36" s="259">
        <f t="shared" si="16"/>
        <v>0.20362787758295467</v>
      </c>
      <c r="R36" s="259">
        <f t="shared" si="16"/>
        <v>0.20130183130786905</v>
      </c>
      <c r="S36" s="259">
        <f t="shared" si="16"/>
        <v>0.20064584915566222</v>
      </c>
      <c r="T36" s="259">
        <f t="shared" si="16"/>
        <v>0.20174672589686748</v>
      </c>
      <c r="U36" s="259">
        <f t="shared" si="16"/>
        <v>0.20093457442764662</v>
      </c>
      <c r="V36" s="259">
        <f t="shared" si="16"/>
        <v>0.20021760812165482</v>
      </c>
      <c r="W36" s="259">
        <f t="shared" si="16"/>
        <v>0.19311152466591705</v>
      </c>
      <c r="X36" s="259">
        <f t="shared" si="16"/>
        <v>0.1961244885338923</v>
      </c>
      <c r="Y36" s="259">
        <f t="shared" si="16"/>
        <v>0.19729925425428671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0.28596589227063834</v>
      </c>
      <c r="C37" s="259">
        <f t="shared" si="17"/>
        <v>0.29884695441443837</v>
      </c>
      <c r="D37" s="259">
        <f t="shared" si="17"/>
        <v>0.29288657951342667</v>
      </c>
      <c r="E37" s="259">
        <f t="shared" si="17"/>
        <v>0.30303102602558907</v>
      </c>
      <c r="F37" s="259">
        <f t="shared" si="17"/>
        <v>0.26182895065946704</v>
      </c>
      <c r="G37" s="259">
        <f t="shared" si="17"/>
        <v>0.26273445909871196</v>
      </c>
      <c r="H37" s="259">
        <f t="shared" si="17"/>
        <v>0.25563891850796733</v>
      </c>
      <c r="I37" s="259">
        <f t="shared" si="17"/>
        <v>0.25775338443619022</v>
      </c>
      <c r="J37" s="259">
        <f t="shared" si="17"/>
        <v>0.25663161157983189</v>
      </c>
      <c r="K37" s="259">
        <f t="shared" si="17"/>
        <v>0.26170148285074363</v>
      </c>
      <c r="L37" s="259">
        <f t="shared" si="17"/>
        <v>0.26476547380224019</v>
      </c>
      <c r="M37" s="259">
        <f t="shared" si="17"/>
        <v>0.26700129934051775</v>
      </c>
      <c r="N37" s="259">
        <f t="shared" si="17"/>
        <v>0.2730697030954693</v>
      </c>
      <c r="O37" s="259">
        <f t="shared" si="17"/>
        <v>0.28170395689554961</v>
      </c>
      <c r="P37" s="259">
        <f t="shared" si="17"/>
        <v>0.27681692767417132</v>
      </c>
      <c r="Q37" s="259">
        <f t="shared" si="17"/>
        <v>0.27452486969118162</v>
      </c>
      <c r="R37" s="259">
        <f t="shared" si="17"/>
        <v>0.27926869486816241</v>
      </c>
      <c r="S37" s="259">
        <f t="shared" si="17"/>
        <v>0.27753019440384563</v>
      </c>
      <c r="T37" s="259">
        <f t="shared" si="17"/>
        <v>0.27489340463957229</v>
      </c>
      <c r="U37" s="259">
        <f t="shared" si="17"/>
        <v>0.27594766051290509</v>
      </c>
      <c r="V37" s="259">
        <f t="shared" si="17"/>
        <v>0.27503317353174472</v>
      </c>
      <c r="W37" s="259">
        <f t="shared" si="17"/>
        <v>0.27069932177155254</v>
      </c>
      <c r="X37" s="259">
        <f t="shared" si="17"/>
        <v>0.27040192978838518</v>
      </c>
      <c r="Y37" s="259">
        <f t="shared" si="17"/>
        <v>0.27316630724179347</v>
      </c>
      <c r="DA37" s="278"/>
    </row>
    <row r="38" spans="1:105" x14ac:dyDescent="0.25">
      <c r="A38" s="127" t="s">
        <v>167</v>
      </c>
      <c r="B38" s="259">
        <f t="shared" ref="B38:Y38" si="18">IF(B$25=0,0,B$25/B$5)</f>
        <v>2.7368234268500741E-2</v>
      </c>
      <c r="C38" s="259">
        <f t="shared" si="18"/>
        <v>2.7059210215464105E-2</v>
      </c>
      <c r="D38" s="259">
        <f t="shared" si="18"/>
        <v>2.667462037189635E-2</v>
      </c>
      <c r="E38" s="259">
        <f t="shared" si="18"/>
        <v>2.630055053833388E-2</v>
      </c>
      <c r="F38" s="259">
        <f t="shared" si="18"/>
        <v>2.7512966959247959E-2</v>
      </c>
      <c r="G38" s="259">
        <f t="shared" si="18"/>
        <v>2.7599925055512144E-2</v>
      </c>
      <c r="H38" s="259">
        <f t="shared" si="18"/>
        <v>2.6802897982287997E-2</v>
      </c>
      <c r="I38" s="259">
        <f t="shared" si="18"/>
        <v>2.7819569217379537E-2</v>
      </c>
      <c r="J38" s="259">
        <f t="shared" si="18"/>
        <v>2.8254804222536109E-2</v>
      </c>
      <c r="K38" s="259">
        <f t="shared" si="18"/>
        <v>2.8667892711628219E-2</v>
      </c>
      <c r="L38" s="259">
        <f t="shared" si="18"/>
        <v>2.8151123896070659E-2</v>
      </c>
      <c r="M38" s="259">
        <f t="shared" si="18"/>
        <v>2.8303297316431848E-2</v>
      </c>
      <c r="N38" s="259">
        <f t="shared" si="18"/>
        <v>2.8427689809383948E-2</v>
      </c>
      <c r="O38" s="259">
        <f t="shared" si="18"/>
        <v>2.7963646535799462E-2</v>
      </c>
      <c r="P38" s="259">
        <f t="shared" si="18"/>
        <v>2.7394248688274569E-2</v>
      </c>
      <c r="Q38" s="259">
        <f t="shared" si="18"/>
        <v>2.7390155559438856E-2</v>
      </c>
      <c r="R38" s="259">
        <f t="shared" si="18"/>
        <v>2.7077277135967148E-2</v>
      </c>
      <c r="S38" s="259">
        <f t="shared" si="18"/>
        <v>2.698904042984205E-2</v>
      </c>
      <c r="T38" s="259">
        <f t="shared" si="18"/>
        <v>2.7137120278000852E-2</v>
      </c>
      <c r="U38" s="259">
        <f t="shared" si="18"/>
        <v>2.7027877106860276E-2</v>
      </c>
      <c r="V38" s="259">
        <f t="shared" si="18"/>
        <v>2.6931437371372744E-2</v>
      </c>
      <c r="W38" s="259">
        <f t="shared" si="18"/>
        <v>2.5975592162055937E-2</v>
      </c>
      <c r="X38" s="259">
        <f t="shared" si="18"/>
        <v>2.6380868443567011E-2</v>
      </c>
      <c r="Y38" s="259">
        <f t="shared" si="18"/>
        <v>2.6538887159910932E-2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2.8443797586086363E-2</v>
      </c>
      <c r="C39" s="259">
        <f t="shared" si="19"/>
        <v>2.784442684047108E-2</v>
      </c>
      <c r="D39" s="259">
        <f t="shared" si="19"/>
        <v>2.8892725376923636E-2</v>
      </c>
      <c r="E39" s="259">
        <f t="shared" si="19"/>
        <v>2.7684638671831217E-2</v>
      </c>
      <c r="F39" s="259">
        <f t="shared" si="19"/>
        <v>3.1121570873194091E-2</v>
      </c>
      <c r="G39" s="259">
        <f t="shared" si="19"/>
        <v>3.0782217987452187E-2</v>
      </c>
      <c r="H39" s="259">
        <f t="shared" si="19"/>
        <v>3.3492007830299646E-2</v>
      </c>
      <c r="I39" s="259">
        <f t="shared" si="19"/>
        <v>3.1224534869263663E-2</v>
      </c>
      <c r="J39" s="259">
        <f t="shared" si="19"/>
        <v>3.1557114836302233E-2</v>
      </c>
      <c r="K39" s="259">
        <f t="shared" si="19"/>
        <v>3.0077960740620822E-2</v>
      </c>
      <c r="L39" s="259">
        <f t="shared" si="19"/>
        <v>2.8630119731942179E-2</v>
      </c>
      <c r="M39" s="259">
        <f t="shared" si="19"/>
        <v>2.7691027616856639E-2</v>
      </c>
      <c r="N39" s="259">
        <f t="shared" si="19"/>
        <v>2.6376292244941792E-2</v>
      </c>
      <c r="O39" s="259">
        <f t="shared" si="19"/>
        <v>2.415746172541583E-2</v>
      </c>
      <c r="P39" s="259">
        <f t="shared" si="19"/>
        <v>2.6722950482771485E-2</v>
      </c>
      <c r="Q39" s="259">
        <f t="shared" si="19"/>
        <v>2.7556144032722104E-2</v>
      </c>
      <c r="R39" s="259">
        <f t="shared" si="19"/>
        <v>2.6119604963186573E-2</v>
      </c>
      <c r="S39" s="259">
        <f t="shared" si="19"/>
        <v>2.6757069612514214E-2</v>
      </c>
      <c r="T39" s="259">
        <f t="shared" si="19"/>
        <v>2.7241175440419905E-2</v>
      </c>
      <c r="U39" s="259">
        <f t="shared" si="19"/>
        <v>2.6943229609074561E-2</v>
      </c>
      <c r="V39" s="259">
        <f t="shared" si="19"/>
        <v>2.7228045057435594E-2</v>
      </c>
      <c r="W39" s="259">
        <f t="shared" si="19"/>
        <v>2.9799039427885816E-2</v>
      </c>
      <c r="X39" s="259">
        <f t="shared" si="19"/>
        <v>2.8888745065679754E-2</v>
      </c>
      <c r="Y39" s="259">
        <f t="shared" si="19"/>
        <v>2.7843648994794513E-2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4.335018921604171E-2</v>
      </c>
      <c r="C40" s="261">
        <f t="shared" si="20"/>
        <v>4.2436709391333198E-2</v>
      </c>
      <c r="D40" s="261">
        <f t="shared" si="20"/>
        <v>4.4034384236704326E-2</v>
      </c>
      <c r="E40" s="261">
        <f t="shared" si="20"/>
        <v>4.2193181876272731E-2</v>
      </c>
      <c r="F40" s="261">
        <f t="shared" si="20"/>
        <v>4.7431289087549865E-2</v>
      </c>
      <c r="G40" s="261">
        <f t="shared" si="20"/>
        <v>4.6914093317069576E-2</v>
      </c>
      <c r="H40" s="261">
        <f t="shared" si="20"/>
        <v>5.1043988492550915E-2</v>
      </c>
      <c r="I40" s="261">
        <f t="shared" si="20"/>
        <v>4.7588212884330051E-2</v>
      </c>
      <c r="J40" s="261">
        <f t="shared" si="20"/>
        <v>4.8095086288169768E-2</v>
      </c>
      <c r="K40" s="261">
        <f t="shared" si="20"/>
        <v>4.5840759673258208E-2</v>
      </c>
      <c r="L40" s="261">
        <f t="shared" si="20"/>
        <v>4.3634156230416013E-2</v>
      </c>
      <c r="M40" s="261">
        <f t="shared" si="20"/>
        <v>4.2202919042166415E-2</v>
      </c>
      <c r="N40" s="261">
        <f t="shared" si="20"/>
        <v>4.0199177208150187E-2</v>
      </c>
      <c r="O40" s="261">
        <f t="shared" si="20"/>
        <v>3.6817535830318486E-2</v>
      </c>
      <c r="P40" s="261">
        <f t="shared" si="20"/>
        <v>4.0727506808223249E-2</v>
      </c>
      <c r="Q40" s="261">
        <f t="shared" si="20"/>
        <v>4.1997347726427964E-2</v>
      </c>
      <c r="R40" s="261">
        <f t="shared" si="20"/>
        <v>3.980796917062418E-2</v>
      </c>
      <c r="S40" s="261">
        <f t="shared" si="20"/>
        <v>4.0779506571115627E-2</v>
      </c>
      <c r="T40" s="261">
        <f t="shared" si="20"/>
        <v>4.1517315197997583E-2</v>
      </c>
      <c r="U40" s="261">
        <f t="shared" si="20"/>
        <v>4.1063226459464697E-2</v>
      </c>
      <c r="V40" s="261">
        <f t="shared" si="20"/>
        <v>4.1497303644156165E-2</v>
      </c>
      <c r="W40" s="261">
        <f t="shared" si="20"/>
        <v>4.5415665532897553E-2</v>
      </c>
      <c r="X40" s="261">
        <f t="shared" si="20"/>
        <v>4.4028317984649228E-2</v>
      </c>
      <c r="Y40" s="261">
        <f t="shared" si="20"/>
        <v>4.2435523904157717E-2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0.37765931621593601</v>
      </c>
      <c r="C44" s="237">
        <f>IF(C$5=0,0,C$5/AGR_fec!C$5)</f>
        <v>0.37354479717572547</v>
      </c>
      <c r="D44" s="237">
        <f>IF(D$5=0,0,D$5/AGR_fec!D$5)</f>
        <v>0.37636353988935062</v>
      </c>
      <c r="E44" s="237">
        <f>IF(E$5=0,0,E$5/AGR_fec!E$5)</f>
        <v>0.37280258498879876</v>
      </c>
      <c r="F44" s="237">
        <f>IF(F$5=0,0,F$5/AGR_fec!F$5)</f>
        <v>0.38728806729802451</v>
      </c>
      <c r="G44" s="237">
        <f>IF(G$5=0,0,G$5/AGR_fec!G$5)</f>
        <v>0.38720171264258257</v>
      </c>
      <c r="H44" s="237">
        <f>IF(H$5=0,0,H$5/AGR_fec!H$5)</f>
        <v>0.39108686070532667</v>
      </c>
      <c r="I44" s="237">
        <f>IF(I$5=0,0,I$5/AGR_fec!I$5)</f>
        <v>0.38906839339542515</v>
      </c>
      <c r="J44" s="237">
        <f>IF(J$5=0,0,J$5/AGR_fec!J$5)</f>
        <v>0.38799350538376237</v>
      </c>
      <c r="K44" s="237">
        <f>IF(K$5=0,0,K$5/AGR_fec!K$5)</f>
        <v>0.3857671299387363</v>
      </c>
      <c r="L44" s="237">
        <f>IF(L$5=0,0,L$5/AGR_fec!L$5)</f>
        <v>0.38772920273640826</v>
      </c>
      <c r="M44" s="237">
        <f>IF(M$5=0,0,M$5/AGR_fec!M$5)</f>
        <v>0.38783446490968704</v>
      </c>
      <c r="N44" s="237">
        <f>IF(N$5=0,0,N$5/AGR_fec!N$5)</f>
        <v>0.38636284393672726</v>
      </c>
      <c r="O44" s="237">
        <f>IF(O$5=0,0,O$5/AGR_fec!O$5)</f>
        <v>0.38689045798160876</v>
      </c>
      <c r="P44" s="237">
        <f>IF(P$5=0,0,P$5/AGR_fec!P$5)</f>
        <v>0.38902887184630353</v>
      </c>
      <c r="Q44" s="237">
        <f>IF(Q$5=0,0,Q$5/AGR_fec!Q$5)</f>
        <v>0.38957785185907601</v>
      </c>
      <c r="R44" s="237">
        <f>IF(R$5=0,0,R$5/AGR_fec!R$5)</f>
        <v>0.39023185727363829</v>
      </c>
      <c r="S44" s="237">
        <f>IF(S$5=0,0,S$5/AGR_fec!S$5)</f>
        <v>0.39089933932921939</v>
      </c>
      <c r="T44" s="237">
        <f>IF(T$5=0,0,T$5/AGR_fec!T$5)</f>
        <v>0.39106391109920613</v>
      </c>
      <c r="U44" s="237">
        <f>IF(U$5=0,0,U$5/AGR_fec!U$5)</f>
        <v>0.39129987122642312</v>
      </c>
      <c r="V44" s="237">
        <f>IF(V$5=0,0,V$5/AGR_fec!V$5)</f>
        <v>0.39175133416137592</v>
      </c>
      <c r="W44" s="237">
        <f>IF(W$5=0,0,W$5/AGR_fec!W$5)</f>
        <v>0.39415580385473509</v>
      </c>
      <c r="X44" s="237">
        <f>IF(X$5=0,0,X$5/AGR_fec!X$5)</f>
        <v>0.39306147648832013</v>
      </c>
      <c r="Y44" s="237">
        <f>IF(Y$5=0,0,Y$5/AGR_fec!Y$5)</f>
        <v>0.39231425000437065</v>
      </c>
      <c r="DA44" s="286"/>
    </row>
    <row r="45" spans="1:105" x14ac:dyDescent="0.25">
      <c r="A45" s="238" t="s">
        <v>125</v>
      </c>
      <c r="B45" s="250">
        <f>IF(B$6=0,0,B$6/AGR_fec!B$6)</f>
        <v>0.46191474249991998</v>
      </c>
      <c r="C45" s="250">
        <f>IF(C$6=0,0,C$6/AGR_fec!C$6)</f>
        <v>0.46191474249991987</v>
      </c>
      <c r="D45" s="250">
        <f>IF(D$6=0,0,D$6/AGR_fec!D$6)</f>
        <v>0.46191474249991993</v>
      </c>
      <c r="E45" s="250">
        <f>IF(E$6=0,0,E$6/AGR_fec!E$6)</f>
        <v>0.46191474249991987</v>
      </c>
      <c r="F45" s="250">
        <f>IF(F$6=0,0,F$6/AGR_fec!F$6)</f>
        <v>0.46191474249991982</v>
      </c>
      <c r="G45" s="250">
        <f>IF(G$6=0,0,G$6/AGR_fec!G$6)</f>
        <v>0.46191474249991993</v>
      </c>
      <c r="H45" s="250">
        <f>IF(H$6=0,0,H$6/AGR_fec!H$6)</f>
        <v>0.46191474249991993</v>
      </c>
      <c r="I45" s="250">
        <f>IF(I$6=0,0,I$6/AGR_fec!I$6)</f>
        <v>0.46191474249992004</v>
      </c>
      <c r="J45" s="250">
        <f>IF(J$6=0,0,J$6/AGR_fec!J$6)</f>
        <v>0.46191474249991998</v>
      </c>
      <c r="K45" s="250">
        <f>IF(K$6=0,0,K$6/AGR_fec!K$6)</f>
        <v>0.46191474249992009</v>
      </c>
      <c r="L45" s="250">
        <f>IF(L$6=0,0,L$6/AGR_fec!L$6)</f>
        <v>0.46191474249991982</v>
      </c>
      <c r="M45" s="250">
        <f>IF(M$6=0,0,M$6/AGR_fec!M$6)</f>
        <v>0.46191474249991982</v>
      </c>
      <c r="N45" s="250">
        <f>IF(N$6=0,0,N$6/AGR_fec!N$6)</f>
        <v>0.46191474249991987</v>
      </c>
      <c r="O45" s="250">
        <f>IF(O$6=0,0,O$6/AGR_fec!O$6)</f>
        <v>0.46191474249992004</v>
      </c>
      <c r="P45" s="250">
        <f>IF(P$6=0,0,P$6/AGR_fec!P$6)</f>
        <v>0.46191474249991998</v>
      </c>
      <c r="Q45" s="250">
        <f>IF(Q$6=0,0,Q$6/AGR_fec!Q$6)</f>
        <v>0.46191474249991993</v>
      </c>
      <c r="R45" s="250">
        <f>IF(R$6=0,0,R$6/AGR_fec!R$6)</f>
        <v>0.46191474249991982</v>
      </c>
      <c r="S45" s="250">
        <f>IF(S$6=0,0,S$6/AGR_fec!S$6)</f>
        <v>0.46191474249991993</v>
      </c>
      <c r="T45" s="250">
        <f>IF(T$6=0,0,T$6/AGR_fec!T$6)</f>
        <v>0.46191474249991971</v>
      </c>
      <c r="U45" s="250">
        <f>IF(U$6=0,0,U$6/AGR_fec!U$6)</f>
        <v>0.46191474249991976</v>
      </c>
      <c r="V45" s="250">
        <f>IF(V$6=0,0,V$6/AGR_fec!V$6)</f>
        <v>0.46191474249991982</v>
      </c>
      <c r="W45" s="250">
        <f>IF(W$6=0,0,W$6/AGR_fec!W$6)</f>
        <v>0.46191474249991987</v>
      </c>
      <c r="X45" s="250">
        <f>IF(X$6=0,0,X$6/AGR_fec!X$6)</f>
        <v>0.46191474249991982</v>
      </c>
      <c r="Y45" s="250">
        <f>IF(Y$6=0,0,Y$6/AGR_fec!Y$6)</f>
        <v>0.46191474249991993</v>
      </c>
      <c r="DA45" s="287"/>
    </row>
    <row r="46" spans="1:105" x14ac:dyDescent="0.25">
      <c r="A46" s="240" t="s">
        <v>124</v>
      </c>
      <c r="B46" s="251">
        <f>IF(B$7=0,0,B$7/AGR_fec!B$7)</f>
        <v>0.45804755244388062</v>
      </c>
      <c r="C46" s="251">
        <f>IF(C$7=0,0,C$7/AGR_fec!C$7)</f>
        <v>0.45804755244388035</v>
      </c>
      <c r="D46" s="251">
        <f>IF(D$7=0,0,D$7/AGR_fec!D$7)</f>
        <v>0.45804755244388062</v>
      </c>
      <c r="E46" s="251">
        <f>IF(E$7=0,0,E$7/AGR_fec!E$7)</f>
        <v>0.45804755244388023</v>
      </c>
      <c r="F46" s="251">
        <f>IF(F$7=0,0,F$7/AGR_fec!F$7)</f>
        <v>0.45804755244388035</v>
      </c>
      <c r="G46" s="251">
        <f>IF(G$7=0,0,G$7/AGR_fec!G$7)</f>
        <v>0.45804755244388051</v>
      </c>
      <c r="H46" s="251">
        <f>IF(H$7=0,0,H$7/AGR_fec!H$7)</f>
        <v>0.45804755244388023</v>
      </c>
      <c r="I46" s="251">
        <f>IF(I$7=0,0,I$7/AGR_fec!I$7)</f>
        <v>0.4580475524438804</v>
      </c>
      <c r="J46" s="251">
        <f>IF(J$7=0,0,J$7/AGR_fec!J$7)</f>
        <v>0.45804755244388051</v>
      </c>
      <c r="K46" s="251">
        <f>IF(K$7=0,0,K$7/AGR_fec!K$7)</f>
        <v>0.45804755244388046</v>
      </c>
      <c r="L46" s="251">
        <f>IF(L$7=0,0,L$7/AGR_fec!L$7)</f>
        <v>0.45804755244388046</v>
      </c>
      <c r="M46" s="251">
        <f>IF(M$7=0,0,M$7/AGR_fec!M$7)</f>
        <v>0.45804755244388046</v>
      </c>
      <c r="N46" s="251">
        <f>IF(N$7=0,0,N$7/AGR_fec!N$7)</f>
        <v>0.45804755244388046</v>
      </c>
      <c r="O46" s="251">
        <f>IF(O$7=0,0,O$7/AGR_fec!O$7)</f>
        <v>0.45804755244388046</v>
      </c>
      <c r="P46" s="251">
        <f>IF(P$7=0,0,P$7/AGR_fec!P$7)</f>
        <v>0.45804755244388046</v>
      </c>
      <c r="Q46" s="251">
        <f>IF(Q$7=0,0,Q$7/AGR_fec!Q$7)</f>
        <v>0.45804755244388046</v>
      </c>
      <c r="R46" s="251">
        <f>IF(R$7=0,0,R$7/AGR_fec!R$7)</f>
        <v>0.45804755244388046</v>
      </c>
      <c r="S46" s="251">
        <f>IF(S$7=0,0,S$7/AGR_fec!S$7)</f>
        <v>0.45804755244388035</v>
      </c>
      <c r="T46" s="251">
        <f>IF(T$7=0,0,T$7/AGR_fec!T$7)</f>
        <v>0.45804755244388046</v>
      </c>
      <c r="U46" s="251">
        <f>IF(U$7=0,0,U$7/AGR_fec!U$7)</f>
        <v>0.45804755244388046</v>
      </c>
      <c r="V46" s="251">
        <f>IF(V$7=0,0,V$7/AGR_fec!V$7)</f>
        <v>0.45804755244388035</v>
      </c>
      <c r="W46" s="251">
        <f>IF(W$7=0,0,W$7/AGR_fec!W$7)</f>
        <v>0.45804755244388073</v>
      </c>
      <c r="X46" s="251">
        <f>IF(X$7=0,0,X$7/AGR_fec!X$7)</f>
        <v>0.45804755244388035</v>
      </c>
      <c r="Y46" s="251">
        <f>IF(Y$7=0,0,Y$7/AGR_fec!Y$7)</f>
        <v>0.45804755244388035</v>
      </c>
      <c r="DA46" s="288"/>
    </row>
    <row r="47" spans="1:105" x14ac:dyDescent="0.25">
      <c r="A47" s="240" t="s">
        <v>123</v>
      </c>
      <c r="B47" s="251">
        <f>IF(B$8=0,0,B$8/AGR_fec!B$8)</f>
        <v>0.65740051014760137</v>
      </c>
      <c r="C47" s="251">
        <f>IF(C$8=0,0,C$8/AGR_fec!C$8)</f>
        <v>0.65740051014760148</v>
      </c>
      <c r="D47" s="251">
        <f>IF(D$8=0,0,D$8/AGR_fec!D$8)</f>
        <v>0.65740051014760115</v>
      </c>
      <c r="E47" s="251">
        <f>IF(E$8=0,0,E$8/AGR_fec!E$8)</f>
        <v>0.65740051014760104</v>
      </c>
      <c r="F47" s="251">
        <f>IF(F$8=0,0,F$8/AGR_fec!F$8)</f>
        <v>0.65740051014760126</v>
      </c>
      <c r="G47" s="251">
        <f>IF(G$8=0,0,G$8/AGR_fec!G$8)</f>
        <v>0.65740051014760115</v>
      </c>
      <c r="H47" s="251">
        <f>IF(H$8=0,0,H$8/AGR_fec!H$8)</f>
        <v>0.65740051014760104</v>
      </c>
      <c r="I47" s="251">
        <f>IF(I$8=0,0,I$8/AGR_fec!I$8)</f>
        <v>0.65740051014760137</v>
      </c>
      <c r="J47" s="251">
        <f>IF(J$8=0,0,J$8/AGR_fec!J$8)</f>
        <v>0.65740051014760126</v>
      </c>
      <c r="K47" s="251">
        <f>IF(K$8=0,0,K$8/AGR_fec!K$8)</f>
        <v>0.65740051014760126</v>
      </c>
      <c r="L47" s="251">
        <f>IF(L$8=0,0,L$8/AGR_fec!L$8)</f>
        <v>0.65740051014760115</v>
      </c>
      <c r="M47" s="251">
        <f>IF(M$8=0,0,M$8/AGR_fec!M$8)</f>
        <v>0.65740051014760115</v>
      </c>
      <c r="N47" s="251">
        <f>IF(N$8=0,0,N$8/AGR_fec!N$8)</f>
        <v>0.65740051014760126</v>
      </c>
      <c r="O47" s="251">
        <f>IF(O$8=0,0,O$8/AGR_fec!O$8)</f>
        <v>0.65740051014760104</v>
      </c>
      <c r="P47" s="251">
        <f>IF(P$8=0,0,P$8/AGR_fec!P$8)</f>
        <v>0.65740051014760115</v>
      </c>
      <c r="Q47" s="251">
        <f>IF(Q$8=0,0,Q$8/AGR_fec!Q$8)</f>
        <v>0.65740051014760137</v>
      </c>
      <c r="R47" s="251">
        <f>IF(R$8=0,0,R$8/AGR_fec!R$8)</f>
        <v>0.65740051014760126</v>
      </c>
      <c r="S47" s="251">
        <f>IF(S$8=0,0,S$8/AGR_fec!S$8)</f>
        <v>0.65740051014760126</v>
      </c>
      <c r="T47" s="251">
        <f>IF(T$8=0,0,T$8/AGR_fec!T$8)</f>
        <v>0.65740051014760126</v>
      </c>
      <c r="U47" s="251">
        <f>IF(U$8=0,0,U$8/AGR_fec!U$8)</f>
        <v>0.65740051014760148</v>
      </c>
      <c r="V47" s="251">
        <f>IF(V$8=0,0,V$8/AGR_fec!V$8)</f>
        <v>0.65740051014760126</v>
      </c>
      <c r="W47" s="251">
        <f>IF(W$8=0,0,W$8/AGR_fec!W$8)</f>
        <v>0.65740051014760115</v>
      </c>
      <c r="X47" s="251">
        <f>IF(X$8=0,0,X$8/AGR_fec!X$8)</f>
        <v>0.65740051014760126</v>
      </c>
      <c r="Y47" s="251">
        <f>IF(Y$8=0,0,Y$8/AGR_fec!Y$8)</f>
        <v>0.65740051014760148</v>
      </c>
      <c r="DA47" s="288"/>
    </row>
    <row r="48" spans="1:105" x14ac:dyDescent="0.25">
      <c r="A48" s="242" t="s">
        <v>122</v>
      </c>
      <c r="B48" s="252">
        <f>IF(B$9=0,0,B$9/AGR_fec!B$9)</f>
        <v>0.64187637569048839</v>
      </c>
      <c r="C48" s="252">
        <f>IF(C$9=0,0,C$9/AGR_fec!C$9)</f>
        <v>0.6411670607958162</v>
      </c>
      <c r="D48" s="252">
        <f>IF(D$9=0,0,D$9/AGR_fec!D$9)</f>
        <v>0.64592138924054376</v>
      </c>
      <c r="E48" s="252">
        <f>IF(E$9=0,0,E$9/AGR_fec!E$9)</f>
        <v>0.64556467988132127</v>
      </c>
      <c r="F48" s="252">
        <f>IF(F$9=0,0,F$9/AGR_fec!F$9)</f>
        <v>0.64680340190583652</v>
      </c>
      <c r="G48" s="252">
        <f>IF(G$9=0,0,G$9/AGR_fec!G$9)</f>
        <v>0.64569510675025876</v>
      </c>
      <c r="H48" s="252">
        <f>IF(H$9=0,0,H$9/AGR_fec!H$9)</f>
        <v>0.65585614149782967</v>
      </c>
      <c r="I48" s="252">
        <f>IF(I$9=0,0,I$9/AGR_fec!I$9)</f>
        <v>0.64514684565349689</v>
      </c>
      <c r="J48" s="252">
        <f>IF(J$9=0,0,J$9/AGR_fec!J$9)</f>
        <v>0.64244189295150267</v>
      </c>
      <c r="K48" s="252">
        <f>IF(K$9=0,0,K$9/AGR_fec!K$9)</f>
        <v>0.63763161132945345</v>
      </c>
      <c r="L48" s="252">
        <f>IF(L$9=0,0,L$9/AGR_fec!L$9)</f>
        <v>0.64022423303426934</v>
      </c>
      <c r="M48" s="252">
        <f>IF(M$9=0,0,M$9/AGR_fec!M$9)</f>
        <v>0.63862138803789392</v>
      </c>
      <c r="N48" s="252">
        <f>IF(N$9=0,0,N$9/AGR_fec!N$9)</f>
        <v>0.63664236047735367</v>
      </c>
      <c r="O48" s="252">
        <f>IF(O$9=0,0,O$9/AGR_fec!O$9)</f>
        <v>0.63797948284951567</v>
      </c>
      <c r="P48" s="252">
        <f>IF(P$9=0,0,P$9/AGR_fec!P$9)</f>
        <v>0.64205976703374323</v>
      </c>
      <c r="Q48" s="252">
        <f>IF(Q$9=0,0,Q$9/AGR_fec!Q$9)</f>
        <v>0.64270244491562678</v>
      </c>
      <c r="R48" s="252">
        <f>IF(R$9=0,0,R$9/AGR_fec!R$9)</f>
        <v>0.64313863691827711</v>
      </c>
      <c r="S48" s="252">
        <f>IF(S$9=0,0,S$9/AGR_fec!S$9)</f>
        <v>0.64405163098236518</v>
      </c>
      <c r="T48" s="252">
        <f>IF(T$9=0,0,T$9/AGR_fec!T$9)</f>
        <v>0.64392317215101813</v>
      </c>
      <c r="U48" s="252">
        <f>IF(U$9=0,0,U$9/AGR_fec!U$9)</f>
        <v>0.64421651885462072</v>
      </c>
      <c r="V48" s="252">
        <f>IF(V$9=0,0,V$9/AGR_fec!V$9)</f>
        <v>0.64499250666672525</v>
      </c>
      <c r="W48" s="252">
        <f>IF(W$9=0,0,W$9/AGR_fec!W$9)</f>
        <v>0.65232799087134674</v>
      </c>
      <c r="X48" s="252">
        <f>IF(X$9=0,0,X$9/AGR_fec!X$9)</f>
        <v>0.64959327995748917</v>
      </c>
      <c r="Y48" s="252">
        <f>IF(Y$9=0,0,Y$9/AGR_fec!Y$9)</f>
        <v>0.64773160544878583</v>
      </c>
      <c r="DA48" s="289"/>
    </row>
    <row r="49" spans="1:105" x14ac:dyDescent="0.25">
      <c r="A49" s="127" t="s">
        <v>168</v>
      </c>
      <c r="B49" s="264">
        <f>IF(B$16=0,0,B$16/AGR_fec!B$16)</f>
        <v>0.33053681754976144</v>
      </c>
      <c r="C49" s="264">
        <f>IF(C$16=0,0,C$16/AGR_fec!C$16)</f>
        <v>0.33053681754976155</v>
      </c>
      <c r="D49" s="264">
        <f>IF(D$16=0,0,D$16/AGR_fec!D$16)</f>
        <v>0.3305368175497615</v>
      </c>
      <c r="E49" s="264">
        <f>IF(E$16=0,0,E$16/AGR_fec!E$16)</f>
        <v>0.33053681754976155</v>
      </c>
      <c r="F49" s="264">
        <f>IF(F$16=0,0,F$16/AGR_fec!F$16)</f>
        <v>0.33053681754976139</v>
      </c>
      <c r="G49" s="264">
        <f>IF(G$16=0,0,G$16/AGR_fec!G$16)</f>
        <v>0.33053681754976144</v>
      </c>
      <c r="H49" s="264">
        <f>IF(H$16=0,0,H$16/AGR_fec!H$16)</f>
        <v>0.33053681754976161</v>
      </c>
      <c r="I49" s="264">
        <f>IF(I$16=0,0,I$16/AGR_fec!I$16)</f>
        <v>0.33053681754976139</v>
      </c>
      <c r="J49" s="264">
        <f>IF(J$16=0,0,J$16/AGR_fec!J$16)</f>
        <v>0.3305368175497615</v>
      </c>
      <c r="K49" s="264">
        <f>IF(K$16=0,0,K$16/AGR_fec!K$16)</f>
        <v>0.33053681754976161</v>
      </c>
      <c r="L49" s="264">
        <f>IF(L$16=0,0,L$16/AGR_fec!L$16)</f>
        <v>0.33053681754976155</v>
      </c>
      <c r="M49" s="264">
        <f>IF(M$16=0,0,M$16/AGR_fec!M$16)</f>
        <v>0.3305368175497615</v>
      </c>
      <c r="N49" s="264">
        <f>IF(N$16=0,0,N$16/AGR_fec!N$16)</f>
        <v>0.33053681754976155</v>
      </c>
      <c r="O49" s="264">
        <f>IF(O$16=0,0,O$16/AGR_fec!O$16)</f>
        <v>0.33053681754976155</v>
      </c>
      <c r="P49" s="264">
        <f>IF(P$16=0,0,P$16/AGR_fec!P$16)</f>
        <v>0.33053681754976161</v>
      </c>
      <c r="Q49" s="264">
        <f>IF(Q$16=0,0,Q$16/AGR_fec!Q$16)</f>
        <v>0.33053681754976161</v>
      </c>
      <c r="R49" s="264">
        <f>IF(R$16=0,0,R$16/AGR_fec!R$16)</f>
        <v>0.33053681754976161</v>
      </c>
      <c r="S49" s="264">
        <f>IF(S$16=0,0,S$16/AGR_fec!S$16)</f>
        <v>0.33053681754976144</v>
      </c>
      <c r="T49" s="264">
        <f>IF(T$16=0,0,T$16/AGR_fec!T$16)</f>
        <v>0.33053681754976144</v>
      </c>
      <c r="U49" s="264">
        <f>IF(U$16=0,0,U$16/AGR_fec!U$16)</f>
        <v>0.33053681754976139</v>
      </c>
      <c r="V49" s="264">
        <f>IF(V$16=0,0,V$16/AGR_fec!V$16)</f>
        <v>0.33053681754976139</v>
      </c>
      <c r="W49" s="264">
        <f>IF(W$16=0,0,W$16/AGR_fec!W$16)</f>
        <v>0.3305368175497615</v>
      </c>
      <c r="X49" s="264">
        <f>IF(X$16=0,0,X$16/AGR_fec!X$16)</f>
        <v>0.33053681754976144</v>
      </c>
      <c r="Y49" s="264">
        <f>IF(Y$16=0,0,Y$16/AGR_fec!Y$16)</f>
        <v>0.33053681754976161</v>
      </c>
      <c r="DA49" s="290"/>
    </row>
    <row r="50" spans="1:105" x14ac:dyDescent="0.25">
      <c r="A50" s="127" t="s">
        <v>121</v>
      </c>
      <c r="B50" s="264">
        <f>IF(B$17=0,0,B$17/AGR_fec!B$17)</f>
        <v>0.2615519132991338</v>
      </c>
      <c r="C50" s="264">
        <f>IF(C$17=0,0,C$17/AGR_fec!C$17)</f>
        <v>0.26039209752112824</v>
      </c>
      <c r="D50" s="264">
        <f>IF(D$17=0,0,D$17/AGR_fec!D$17)</f>
        <v>0.26038662550842301</v>
      </c>
      <c r="E50" s="264">
        <f>IF(E$17=0,0,E$17/AGR_fec!E$17)</f>
        <v>0.25818075877202268</v>
      </c>
      <c r="F50" s="264">
        <f>IF(F$17=0,0,F$17/AGR_fec!F$17)</f>
        <v>0.26567600880428588</v>
      </c>
      <c r="G50" s="264">
        <f>IF(G$17=0,0,G$17/AGR_fec!G$17)</f>
        <v>0.26640052959676719</v>
      </c>
      <c r="H50" s="264">
        <f>IF(H$17=0,0,H$17/AGR_fec!H$17)</f>
        <v>0.26574137724341224</v>
      </c>
      <c r="I50" s="264">
        <f>IF(I$17=0,0,I$17/AGR_fec!I$17)</f>
        <v>0.26804876649029957</v>
      </c>
      <c r="J50" s="264">
        <f>IF(J$17=0,0,J$17/AGR_fec!J$17)</f>
        <v>0.26787826801849235</v>
      </c>
      <c r="K50" s="264">
        <f>IF(K$17=0,0,K$17/AGR_fec!K$17)</f>
        <v>0.26847384159590393</v>
      </c>
      <c r="L50" s="264">
        <f>IF(L$17=0,0,L$17/AGR_fec!L$17)</f>
        <v>0.27043832465856021</v>
      </c>
      <c r="M50" s="264">
        <f>IF(M$17=0,0,M$17/AGR_fec!M$17)</f>
        <v>0.27227858157121004</v>
      </c>
      <c r="N50" s="264">
        <f>IF(N$17=0,0,N$17/AGR_fec!N$17)</f>
        <v>0.27316200928446777</v>
      </c>
      <c r="O50" s="264">
        <f>IF(O$17=0,0,O$17/AGR_fec!O$17)</f>
        <v>0.27556323898781765</v>
      </c>
      <c r="P50" s="264">
        <f>IF(P$17=0,0,P$17/AGR_fec!P$17)</f>
        <v>0.27527262332476199</v>
      </c>
      <c r="Q50" s="264">
        <f>IF(Q$17=0,0,Q$17/AGR_fec!Q$17)</f>
        <v>0.27534598898922014</v>
      </c>
      <c r="R50" s="264">
        <f>IF(R$17=0,0,R$17/AGR_fec!R$17)</f>
        <v>0.27699882218666072</v>
      </c>
      <c r="S50" s="264">
        <f>IF(S$17=0,0,S$17/AGR_fec!S$17)</f>
        <v>0.27709801301379283</v>
      </c>
      <c r="T50" s="264">
        <f>IF(T$17=0,0,T$17/AGR_fec!T$17)</f>
        <v>0.27680879828664851</v>
      </c>
      <c r="U50" s="264">
        <f>IF(U$17=0,0,U$17/AGR_fec!U$17)</f>
        <v>0.27715608263894265</v>
      </c>
      <c r="V50" s="264">
        <f>IF(V$17=0,0,V$17/AGR_fec!V$17)</f>
        <v>0.27709445716404651</v>
      </c>
      <c r="W50" s="264">
        <f>IF(W$17=0,0,W$17/AGR_fec!W$17)</f>
        <v>0.27532262455397227</v>
      </c>
      <c r="X50" s="264">
        <f>IF(X$17=0,0,X$17/AGR_fec!X$17)</f>
        <v>0.27473335928050807</v>
      </c>
      <c r="Y50" s="264">
        <f>IF(Y$17=0,0,Y$17/AGR_fec!Y$17)</f>
        <v>0.27531379504634557</v>
      </c>
      <c r="DA50" s="290"/>
    </row>
    <row r="51" spans="1:105" x14ac:dyDescent="0.25">
      <c r="A51" s="127" t="s">
        <v>167</v>
      </c>
      <c r="B51" s="264">
        <f>IF(B$25=0,0,B$25/AGR_fec!B$25)</f>
        <v>0.23137577228483308</v>
      </c>
      <c r="C51" s="264">
        <f>IF(C$25=0,0,C$25/AGR_fec!C$25)</f>
        <v>0.23137577228483297</v>
      </c>
      <c r="D51" s="264">
        <f>IF(D$25=0,0,D$25/AGR_fec!D$25)</f>
        <v>0.231375772284833</v>
      </c>
      <c r="E51" s="264">
        <f>IF(E$25=0,0,E$25/AGR_fec!E$25)</f>
        <v>0.231375772284833</v>
      </c>
      <c r="F51" s="264">
        <f>IF(F$25=0,0,F$25/AGR_fec!F$25)</f>
        <v>0.23137577228483297</v>
      </c>
      <c r="G51" s="264">
        <f>IF(G$25=0,0,G$25/AGR_fec!G$25)</f>
        <v>0.23137577228483303</v>
      </c>
      <c r="H51" s="264">
        <f>IF(H$25=0,0,H$25/AGR_fec!H$25)</f>
        <v>0.23137577228483305</v>
      </c>
      <c r="I51" s="264">
        <f>IF(I$25=0,0,I$25/AGR_fec!I$25)</f>
        <v>0.231375772284833</v>
      </c>
      <c r="J51" s="264">
        <f>IF(J$25=0,0,J$25/AGR_fec!J$25)</f>
        <v>0.23137577228483308</v>
      </c>
      <c r="K51" s="264">
        <f>IF(K$25=0,0,K$25/AGR_fec!K$25)</f>
        <v>0.231375772284833</v>
      </c>
      <c r="L51" s="264">
        <f>IF(L$25=0,0,L$25/AGR_fec!L$25)</f>
        <v>0.23137577228483303</v>
      </c>
      <c r="M51" s="264">
        <f>IF(M$25=0,0,M$25/AGR_fec!M$25)</f>
        <v>0.23137577228483308</v>
      </c>
      <c r="N51" s="264">
        <f>IF(N$25=0,0,N$25/AGR_fec!N$25)</f>
        <v>0.231375772284833</v>
      </c>
      <c r="O51" s="264">
        <f>IF(O$25=0,0,O$25/AGR_fec!O$25)</f>
        <v>0.231375772284833</v>
      </c>
      <c r="P51" s="264">
        <f>IF(P$25=0,0,P$25/AGR_fec!P$25)</f>
        <v>0.231375772284833</v>
      </c>
      <c r="Q51" s="264">
        <f>IF(Q$25=0,0,Q$25/AGR_fec!Q$25)</f>
        <v>0.23137577228483305</v>
      </c>
      <c r="R51" s="264">
        <f>IF(R$25=0,0,R$25/AGR_fec!R$25)</f>
        <v>0.23137577228483305</v>
      </c>
      <c r="S51" s="264">
        <f>IF(S$25=0,0,S$25/AGR_fec!S$25)</f>
        <v>0.23137577228483305</v>
      </c>
      <c r="T51" s="264">
        <f>IF(T$25=0,0,T$25/AGR_fec!T$25)</f>
        <v>0.23137577228483303</v>
      </c>
      <c r="U51" s="264">
        <f>IF(U$25=0,0,U$25/AGR_fec!U$25)</f>
        <v>0.23137577228483305</v>
      </c>
      <c r="V51" s="264">
        <f>IF(V$25=0,0,V$25/AGR_fec!V$25)</f>
        <v>0.23137577228483297</v>
      </c>
      <c r="W51" s="264">
        <f>IF(W$25=0,0,W$25/AGR_fec!W$25)</f>
        <v>0.23137577228483305</v>
      </c>
      <c r="X51" s="264">
        <f>IF(X$25=0,0,X$25/AGR_fec!X$25)</f>
        <v>0.23137577228483305</v>
      </c>
      <c r="Y51" s="264">
        <f>IF(Y$25=0,0,Y$25/AGR_fec!Y$25)</f>
        <v>0.231375772284833</v>
      </c>
      <c r="DA51" s="290"/>
    </row>
    <row r="52" spans="1:105" x14ac:dyDescent="0.25">
      <c r="A52" s="127" t="s">
        <v>170</v>
      </c>
      <c r="B52" s="264">
        <f>IF(B$26=0,0,B$26/AGR_fec!B$26)</f>
        <v>0.45804755244388046</v>
      </c>
      <c r="C52" s="264">
        <f>IF(C$26=0,0,C$26/AGR_fec!C$26)</f>
        <v>0.45804755244388046</v>
      </c>
      <c r="D52" s="264">
        <f>IF(D$26=0,0,D$26/AGR_fec!D$26)</f>
        <v>0.45804755244388051</v>
      </c>
      <c r="E52" s="264">
        <f>IF(E$26=0,0,E$26/AGR_fec!E$26)</f>
        <v>0.45804755244388046</v>
      </c>
      <c r="F52" s="264">
        <f>IF(F$26=0,0,F$26/AGR_fec!F$26)</f>
        <v>0.4580475524438804</v>
      </c>
      <c r="G52" s="264">
        <f>IF(G$26=0,0,G$26/AGR_fec!G$26)</f>
        <v>0.45804755244388046</v>
      </c>
      <c r="H52" s="264">
        <f>IF(H$26=0,0,H$26/AGR_fec!H$26)</f>
        <v>0.45804755244388062</v>
      </c>
      <c r="I52" s="264">
        <f>IF(I$26=0,0,I$26/AGR_fec!I$26)</f>
        <v>0.45804755244388057</v>
      </c>
      <c r="J52" s="264">
        <f>IF(J$26=0,0,J$26/AGR_fec!J$26)</f>
        <v>0.45804755244388046</v>
      </c>
      <c r="K52" s="264">
        <f>IF(K$26=0,0,K$26/AGR_fec!K$26)</f>
        <v>0.45804755244388057</v>
      </c>
      <c r="L52" s="264">
        <f>IF(L$26=0,0,L$26/AGR_fec!L$26)</f>
        <v>0.4580475524438804</v>
      </c>
      <c r="M52" s="264">
        <f>IF(M$26=0,0,M$26/AGR_fec!M$26)</f>
        <v>0.4580475524438804</v>
      </c>
      <c r="N52" s="264">
        <f>IF(N$26=0,0,N$26/AGR_fec!N$26)</f>
        <v>0.45804755244388035</v>
      </c>
      <c r="O52" s="264">
        <f>IF(O$26=0,0,O$26/AGR_fec!O$26)</f>
        <v>0.45804755244388062</v>
      </c>
      <c r="P52" s="264">
        <f>IF(P$26=0,0,P$26/AGR_fec!P$26)</f>
        <v>0.45804755244388062</v>
      </c>
      <c r="Q52" s="264">
        <f>IF(Q$26=0,0,Q$26/AGR_fec!Q$26)</f>
        <v>0.45804755244388057</v>
      </c>
      <c r="R52" s="264">
        <f>IF(R$26=0,0,R$26/AGR_fec!R$26)</f>
        <v>0.45804755244388046</v>
      </c>
      <c r="S52" s="264">
        <f>IF(S$26=0,0,S$26/AGR_fec!S$26)</f>
        <v>0.45804755244388051</v>
      </c>
      <c r="T52" s="264">
        <f>IF(T$26=0,0,T$26/AGR_fec!T$26)</f>
        <v>0.45804755244388035</v>
      </c>
      <c r="U52" s="264">
        <f>IF(U$26=0,0,U$26/AGR_fec!U$26)</f>
        <v>0.45804755244388029</v>
      </c>
      <c r="V52" s="264">
        <f>IF(V$26=0,0,V$26/AGR_fec!V$26)</f>
        <v>0.4580475524438804</v>
      </c>
      <c r="W52" s="264">
        <f>IF(W$26=0,0,W$26/AGR_fec!W$26)</f>
        <v>0.45804755244388046</v>
      </c>
      <c r="X52" s="264">
        <f>IF(X$26=0,0,X$26/AGR_fec!X$26)</f>
        <v>0.45804755244388035</v>
      </c>
      <c r="Y52" s="264">
        <f>IF(Y$26=0,0,Y$26/AGR_fec!Y$26)</f>
        <v>0.45804755244388051</v>
      </c>
      <c r="DA52" s="290"/>
    </row>
    <row r="53" spans="1:105" x14ac:dyDescent="0.25">
      <c r="A53" s="260" t="s">
        <v>33</v>
      </c>
      <c r="B53" s="265">
        <f>IF(B$27=0,0,B$27/AGR_fec!B$27)</f>
        <v>0.4814442260982621</v>
      </c>
      <c r="C53" s="265">
        <f>IF(C$27=0,0,C$27/AGR_fec!C$27)</f>
        <v>0.48144422609826221</v>
      </c>
      <c r="D53" s="265">
        <f>IF(D$27=0,0,D$27/AGR_fec!D$27)</f>
        <v>0.48144422609826215</v>
      </c>
      <c r="E53" s="265">
        <f>IF(E$27=0,0,E$27/AGR_fec!E$27)</f>
        <v>0.48144422609826237</v>
      </c>
      <c r="F53" s="265">
        <f>IF(F$27=0,0,F$27/AGR_fec!F$27)</f>
        <v>0.48144422609826204</v>
      </c>
      <c r="G53" s="265">
        <f>IF(G$27=0,0,G$27/AGR_fec!G$27)</f>
        <v>0.48144422609826182</v>
      </c>
      <c r="H53" s="265">
        <f>IF(H$27=0,0,H$27/AGR_fec!H$27)</f>
        <v>0.48144422609826237</v>
      </c>
      <c r="I53" s="265">
        <f>IF(I$27=0,0,I$27/AGR_fec!I$27)</f>
        <v>0.48144422609826198</v>
      </c>
      <c r="J53" s="265">
        <f>IF(J$27=0,0,J$27/AGR_fec!J$27)</f>
        <v>0.48144422609826193</v>
      </c>
      <c r="K53" s="265">
        <f>IF(K$27=0,0,K$27/AGR_fec!K$27)</f>
        <v>0.48144422609826226</v>
      </c>
      <c r="L53" s="265">
        <f>IF(L$27=0,0,L$27/AGR_fec!L$27)</f>
        <v>0.4814442260982621</v>
      </c>
      <c r="M53" s="265">
        <f>IF(M$27=0,0,M$27/AGR_fec!M$27)</f>
        <v>0.4814442260982621</v>
      </c>
      <c r="N53" s="265">
        <f>IF(N$27=0,0,N$27/AGR_fec!N$27)</f>
        <v>0.48144422609826215</v>
      </c>
      <c r="O53" s="265">
        <f>IF(O$27=0,0,O$27/AGR_fec!O$27)</f>
        <v>0.48144422609826215</v>
      </c>
      <c r="P53" s="265">
        <f>IF(P$27=0,0,P$27/AGR_fec!P$27)</f>
        <v>0.48144422609826198</v>
      </c>
      <c r="Q53" s="265">
        <f>IF(Q$27=0,0,Q$27/AGR_fec!Q$27)</f>
        <v>0.48144422609826221</v>
      </c>
      <c r="R53" s="265">
        <f>IF(R$27=0,0,R$27/AGR_fec!R$27)</f>
        <v>0.48144422609826226</v>
      </c>
      <c r="S53" s="265">
        <f>IF(S$27=0,0,S$27/AGR_fec!S$27)</f>
        <v>0.48144422609826237</v>
      </c>
      <c r="T53" s="265">
        <f>IF(T$27=0,0,T$27/AGR_fec!T$27)</f>
        <v>0.48144422609826193</v>
      </c>
      <c r="U53" s="265">
        <f>IF(U$27=0,0,U$27/AGR_fec!U$27)</f>
        <v>0.48144422609826221</v>
      </c>
      <c r="V53" s="265">
        <f>IF(V$27=0,0,V$27/AGR_fec!V$27)</f>
        <v>0.4814442260982621</v>
      </c>
      <c r="W53" s="265">
        <f>IF(W$27=0,0,W$27/AGR_fec!W$27)</f>
        <v>0.48144422609826226</v>
      </c>
      <c r="X53" s="265">
        <f>IF(X$27=0,0,X$27/AGR_fec!X$27)</f>
        <v>0.48144422609826226</v>
      </c>
      <c r="Y53" s="265">
        <f>IF(Y$27=0,0,Y$27/AGR_fec!Y$27)</f>
        <v>0.4814442260982621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1867.4171018372606</v>
      </c>
      <c r="C5" s="80">
        <f t="shared" ref="C5:W5" si="0">SUM(C6:C9,C16:C17,C25:C27)</f>
        <v>1917.1992607850389</v>
      </c>
      <c r="D5" s="80">
        <f t="shared" si="0"/>
        <v>1760.8314246303341</v>
      </c>
      <c r="E5" s="80">
        <f t="shared" si="0"/>
        <v>1740.0250278564563</v>
      </c>
      <c r="F5" s="80">
        <f t="shared" si="0"/>
        <v>1357.6977082202366</v>
      </c>
      <c r="G5" s="80">
        <f t="shared" si="0"/>
        <v>1345.8917011896383</v>
      </c>
      <c r="H5" s="80">
        <f t="shared" si="0"/>
        <v>1353.8886118200696</v>
      </c>
      <c r="I5" s="80">
        <f t="shared" si="0"/>
        <v>1282.7937634923196</v>
      </c>
      <c r="J5" s="80">
        <f t="shared" si="0"/>
        <v>1306.7065023124812</v>
      </c>
      <c r="K5" s="80">
        <f t="shared" si="0"/>
        <v>1269.0513690412913</v>
      </c>
      <c r="L5" s="80">
        <f t="shared" si="0"/>
        <v>1298.1948722839948</v>
      </c>
      <c r="M5" s="80">
        <f t="shared" si="0"/>
        <v>1284.4715993371842</v>
      </c>
      <c r="N5" s="80">
        <f t="shared" si="0"/>
        <v>1257.1185561050709</v>
      </c>
      <c r="O5" s="80">
        <f t="shared" si="0"/>
        <v>1283.489969252324</v>
      </c>
      <c r="P5" s="80">
        <f t="shared" si="0"/>
        <v>1263.8583852537699</v>
      </c>
      <c r="Q5" s="80">
        <f t="shared" si="0"/>
        <v>1235.8946462868628</v>
      </c>
      <c r="R5" s="80">
        <f t="shared" si="0"/>
        <v>1254.3464725633664</v>
      </c>
      <c r="S5" s="80">
        <f t="shared" si="0"/>
        <v>1259.7157546432936</v>
      </c>
      <c r="T5" s="80">
        <f t="shared" si="0"/>
        <v>1221.5125778943266</v>
      </c>
      <c r="U5" s="80">
        <f t="shared" si="0"/>
        <v>1256.4711366753147</v>
      </c>
      <c r="V5" s="80">
        <f t="shared" si="0"/>
        <v>1252.6637832038223</v>
      </c>
      <c r="W5" s="80">
        <f t="shared" si="0"/>
        <v>1207.0308606453518</v>
      </c>
      <c r="X5" s="80">
        <f t="shared" ref="X5:Y5" si="1">SUM(X6:X9,X16:X17,X25:X27)</f>
        <v>1146.5593587272981</v>
      </c>
      <c r="Y5" s="80">
        <f t="shared" si="1"/>
        <v>1127.4057146491803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306.1148748532321</v>
      </c>
      <c r="C9" s="243">
        <f t="shared" ref="C9:W9" si="2">SUM(C10:C15)</f>
        <v>311.30822410503453</v>
      </c>
      <c r="D9" s="243">
        <f t="shared" si="2"/>
        <v>283.87144234866486</v>
      </c>
      <c r="E9" s="243">
        <f t="shared" si="2"/>
        <v>275.97037175891103</v>
      </c>
      <c r="F9" s="243">
        <f t="shared" si="2"/>
        <v>245.37083719422142</v>
      </c>
      <c r="G9" s="243">
        <f t="shared" si="2"/>
        <v>244.25290028675619</v>
      </c>
      <c r="H9" s="243">
        <f t="shared" si="2"/>
        <v>238.54470485433302</v>
      </c>
      <c r="I9" s="243">
        <f t="shared" si="2"/>
        <v>237.78760318470606</v>
      </c>
      <c r="J9" s="243">
        <f t="shared" si="2"/>
        <v>242.93200722264206</v>
      </c>
      <c r="K9" s="243">
        <f t="shared" si="2"/>
        <v>241.19749110243785</v>
      </c>
      <c r="L9" s="243">
        <f t="shared" si="2"/>
        <v>239.0147116602777</v>
      </c>
      <c r="M9" s="243">
        <f t="shared" si="2"/>
        <v>234.59445831564884</v>
      </c>
      <c r="N9" s="243">
        <f t="shared" si="2"/>
        <v>228.37868376524483</v>
      </c>
      <c r="O9" s="243">
        <f t="shared" si="2"/>
        <v>229.16820093514212</v>
      </c>
      <c r="P9" s="243">
        <f t="shared" si="2"/>
        <v>218.46040451049407</v>
      </c>
      <c r="Q9" s="243">
        <f t="shared" si="2"/>
        <v>212.97563130931343</v>
      </c>
      <c r="R9" s="243">
        <f t="shared" si="2"/>
        <v>215.57395187039481</v>
      </c>
      <c r="S9" s="243">
        <f t="shared" si="2"/>
        <v>218.28247092178708</v>
      </c>
      <c r="T9" s="243">
        <f t="shared" si="2"/>
        <v>209.07578942281967</v>
      </c>
      <c r="U9" s="243">
        <f t="shared" si="2"/>
        <v>218.69412366709946</v>
      </c>
      <c r="V9" s="243">
        <f t="shared" si="2"/>
        <v>213.49104795052637</v>
      </c>
      <c r="W9" s="243">
        <f t="shared" si="2"/>
        <v>192.39213891430313</v>
      </c>
      <c r="X9" s="243">
        <f t="shared" ref="X9:Y9" si="3">SUM(X10:X15)</f>
        <v>181.95953965176309</v>
      </c>
      <c r="Y9" s="243">
        <f t="shared" si="3"/>
        <v>178.75690166377785</v>
      </c>
      <c r="DA9" s="269"/>
    </row>
    <row r="10" spans="1:105" x14ac:dyDescent="0.25">
      <c r="A10" s="253" t="s">
        <v>166</v>
      </c>
      <c r="B10" s="254">
        <v>239.00891459263471</v>
      </c>
      <c r="C10" s="254">
        <v>239.70054497953481</v>
      </c>
      <c r="D10" s="254">
        <v>210.37241254773531</v>
      </c>
      <c r="E10" s="254">
        <v>201.7119300558816</v>
      </c>
      <c r="F10" s="254">
        <v>189.2104319111443</v>
      </c>
      <c r="G10" s="254">
        <v>187.38693951406711</v>
      </c>
      <c r="H10" s="254">
        <v>185.07276169146911</v>
      </c>
      <c r="I10" s="254">
        <v>184.81475320528651</v>
      </c>
      <c r="J10" s="254">
        <v>199.9109277627187</v>
      </c>
      <c r="K10" s="254">
        <v>198.940690345924</v>
      </c>
      <c r="L10" s="254">
        <v>187.4650097933044</v>
      </c>
      <c r="M10" s="254">
        <v>185.96773419982691</v>
      </c>
      <c r="N10" s="254">
        <v>186.47470177560379</v>
      </c>
      <c r="O10" s="254">
        <v>176.13074720410691</v>
      </c>
      <c r="P10" s="254">
        <v>171.92926730995609</v>
      </c>
      <c r="Q10" s="254">
        <v>172.489391872249</v>
      </c>
      <c r="R10" s="254">
        <v>165.59502513650929</v>
      </c>
      <c r="S10" s="254">
        <v>165.20754311969151</v>
      </c>
      <c r="T10" s="254">
        <v>166.63356478203801</v>
      </c>
      <c r="U10" s="254">
        <v>166.1328832317752</v>
      </c>
      <c r="V10" s="254">
        <v>166.02143129687221</v>
      </c>
      <c r="W10" s="254">
        <v>149.71385090160359</v>
      </c>
      <c r="X10" s="254">
        <v>149.19885053488551</v>
      </c>
      <c r="Y10" s="254">
        <v>147.84159525106591</v>
      </c>
      <c r="DA10" s="270" t="s">
        <v>1040</v>
      </c>
    </row>
    <row r="11" spans="1:105" x14ac:dyDescent="0.25">
      <c r="A11" s="253" t="s">
        <v>169</v>
      </c>
      <c r="B11" s="255">
        <v>67.105960260597357</v>
      </c>
      <c r="C11" s="255">
        <v>71.607679125499715</v>
      </c>
      <c r="D11" s="255">
        <v>73.499029800929534</v>
      </c>
      <c r="E11" s="255">
        <v>74.258441703029433</v>
      </c>
      <c r="F11" s="255">
        <v>56.160405283077132</v>
      </c>
      <c r="G11" s="255">
        <v>56.865960772689093</v>
      </c>
      <c r="H11" s="255">
        <v>53.471943162863923</v>
      </c>
      <c r="I11" s="255">
        <v>52.972849979419543</v>
      </c>
      <c r="J11" s="255">
        <v>43.021079459923349</v>
      </c>
      <c r="K11" s="255">
        <v>42.256800756513861</v>
      </c>
      <c r="L11" s="255">
        <v>51.549701866973287</v>
      </c>
      <c r="M11" s="255">
        <v>48.626724115821922</v>
      </c>
      <c r="N11" s="255">
        <v>41.903981989641053</v>
      </c>
      <c r="O11" s="255">
        <v>53.037453731035221</v>
      </c>
      <c r="P11" s="255">
        <v>46.531137200537998</v>
      </c>
      <c r="Q11" s="255">
        <v>40.486239437064427</v>
      </c>
      <c r="R11" s="255">
        <v>49.97892673388553</v>
      </c>
      <c r="S11" s="255">
        <v>53.07492780209558</v>
      </c>
      <c r="T11" s="255">
        <v>42.442224640781653</v>
      </c>
      <c r="U11" s="255">
        <v>52.561240435324258</v>
      </c>
      <c r="V11" s="255">
        <v>47.46961665365415</v>
      </c>
      <c r="W11" s="255">
        <v>42.678288012699547</v>
      </c>
      <c r="X11" s="255">
        <v>32.760689116877593</v>
      </c>
      <c r="Y11" s="255">
        <v>30.915306412711931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519.24608612686006</v>
      </c>
      <c r="C16" s="257">
        <v>516.59083285121619</v>
      </c>
      <c r="D16" s="257">
        <v>477.01703345576641</v>
      </c>
      <c r="E16" s="257">
        <v>468.70774051819751</v>
      </c>
      <c r="F16" s="257">
        <v>425.10374138479523</v>
      </c>
      <c r="G16" s="257">
        <v>420.12825126081452</v>
      </c>
      <c r="H16" s="257">
        <v>429.46015646597561</v>
      </c>
      <c r="I16" s="257">
        <v>410.53228019152158</v>
      </c>
      <c r="J16" s="257">
        <v>416.92633326545229</v>
      </c>
      <c r="K16" s="257">
        <v>410.98693088842009</v>
      </c>
      <c r="L16" s="257">
        <v>430.36969665803559</v>
      </c>
      <c r="M16" s="257">
        <v>432.62514077104299</v>
      </c>
      <c r="N16" s="257">
        <v>443.26285868285828</v>
      </c>
      <c r="O16" s="257">
        <v>470.1059631089251</v>
      </c>
      <c r="P16" s="257">
        <v>467.10978263512999</v>
      </c>
      <c r="Q16" s="257">
        <v>462.24971917565858</v>
      </c>
      <c r="R16" s="257">
        <v>481.18973208351781</v>
      </c>
      <c r="S16" s="257">
        <v>479.66152215192812</v>
      </c>
      <c r="T16" s="257">
        <v>467.64338417726509</v>
      </c>
      <c r="U16" s="257">
        <v>477.06855698350307</v>
      </c>
      <c r="V16" s="257">
        <v>477.8353848609263</v>
      </c>
      <c r="W16" s="257">
        <v>453.11188138539768</v>
      </c>
      <c r="X16" s="257">
        <v>437.88341921587221</v>
      </c>
      <c r="Y16" s="257">
        <v>432.09862608487992</v>
      </c>
      <c r="DA16" s="272" t="s">
        <v>1046</v>
      </c>
    </row>
    <row r="17" spans="1:105" x14ac:dyDescent="0.25">
      <c r="A17" s="256" t="s">
        <v>121</v>
      </c>
      <c r="B17" s="257">
        <f>SUM(B18:B24)</f>
        <v>942.27867815369518</v>
      </c>
      <c r="C17" s="257">
        <f t="shared" ref="C17:W17" si="4">SUM(C18:C24)</f>
        <v>990.03297017038108</v>
      </c>
      <c r="D17" s="257">
        <f t="shared" si="4"/>
        <v>908.28015051850093</v>
      </c>
      <c r="E17" s="257">
        <f t="shared" si="4"/>
        <v>905.28081715726387</v>
      </c>
      <c r="F17" s="257">
        <f t="shared" si="4"/>
        <v>605.53590303636599</v>
      </c>
      <c r="G17" s="257">
        <f t="shared" si="4"/>
        <v>600.779404928904</v>
      </c>
      <c r="H17" s="257">
        <f t="shared" si="4"/>
        <v>603.35940243189179</v>
      </c>
      <c r="I17" s="257">
        <f t="shared" si="4"/>
        <v>555.58668121407891</v>
      </c>
      <c r="J17" s="257">
        <f t="shared" si="4"/>
        <v>566.73229233793688</v>
      </c>
      <c r="K17" s="257">
        <f t="shared" si="4"/>
        <v>537.89238322807739</v>
      </c>
      <c r="L17" s="257">
        <f t="shared" si="4"/>
        <v>546.11134017004997</v>
      </c>
      <c r="M17" s="257">
        <f t="shared" si="4"/>
        <v>534.11947407229525</v>
      </c>
      <c r="N17" s="257">
        <f t="shared" si="4"/>
        <v>500.3003613301974</v>
      </c>
      <c r="O17" s="257">
        <f t="shared" si="4"/>
        <v>493.88102666296152</v>
      </c>
      <c r="P17" s="257">
        <f t="shared" si="4"/>
        <v>488.52916061023524</v>
      </c>
      <c r="Q17" s="257">
        <f t="shared" si="4"/>
        <v>471.84416000015074</v>
      </c>
      <c r="R17" s="257">
        <f t="shared" si="4"/>
        <v>465.11817148660577</v>
      </c>
      <c r="S17" s="257">
        <f t="shared" si="4"/>
        <v>469.60080272076686</v>
      </c>
      <c r="T17" s="257">
        <f t="shared" si="4"/>
        <v>454.93183081312134</v>
      </c>
      <c r="U17" s="257">
        <f t="shared" si="4"/>
        <v>469.03575704207276</v>
      </c>
      <c r="V17" s="257">
        <f t="shared" si="4"/>
        <v>469.51729904255035</v>
      </c>
      <c r="W17" s="257">
        <f t="shared" si="4"/>
        <v>474.45761622753861</v>
      </c>
      <c r="X17" s="257">
        <f t="shared" ref="X17:Y17" si="5">SUM(X18:X24)</f>
        <v>442.57345165724405</v>
      </c>
      <c r="Y17" s="257">
        <f t="shared" si="5"/>
        <v>433.51883490710009</v>
      </c>
      <c r="DA17" s="272"/>
    </row>
    <row r="18" spans="1:105" x14ac:dyDescent="0.25">
      <c r="A18" s="61" t="s">
        <v>29</v>
      </c>
      <c r="B18" s="55">
        <v>199.37690507882289</v>
      </c>
      <c r="C18" s="55">
        <v>153.23317422688191</v>
      </c>
      <c r="D18" s="55">
        <v>163.39709403299841</v>
      </c>
      <c r="E18" s="55">
        <v>163.9767521381531</v>
      </c>
      <c r="F18" s="55">
        <v>96.594950822452475</v>
      </c>
      <c r="G18" s="55">
        <v>81.155579350770267</v>
      </c>
      <c r="H18" s="55">
        <v>78.812652421386801</v>
      </c>
      <c r="I18" s="55">
        <v>51.677936174486533</v>
      </c>
      <c r="J18" s="55">
        <v>54.815774474365341</v>
      </c>
      <c r="K18" s="55">
        <v>53.885535763159687</v>
      </c>
      <c r="L18" s="55">
        <v>53.101463205650738</v>
      </c>
      <c r="M18" s="55">
        <v>44.896313098320782</v>
      </c>
      <c r="N18" s="55">
        <v>43.641294907008131</v>
      </c>
      <c r="O18" s="55">
        <v>40.066474894361143</v>
      </c>
      <c r="P18" s="55">
        <v>37.746713095412709</v>
      </c>
      <c r="Q18" s="55">
        <v>36.665852447989451</v>
      </c>
      <c r="R18" s="55">
        <v>33.454022445511711</v>
      </c>
      <c r="S18" s="55">
        <v>26.16693356495988</v>
      </c>
      <c r="T18" s="55">
        <v>25.342700455643168</v>
      </c>
      <c r="U18" s="55">
        <v>23.662389916859041</v>
      </c>
      <c r="V18" s="55">
        <v>20.42451250942776</v>
      </c>
      <c r="W18" s="55">
        <v>24.598842692115799</v>
      </c>
      <c r="X18" s="55">
        <v>23.56649989315471</v>
      </c>
      <c r="Y18" s="55">
        <v>19.256313991827739</v>
      </c>
      <c r="DA18" s="101" t="s">
        <v>1047</v>
      </c>
    </row>
    <row r="19" spans="1:105" x14ac:dyDescent="0.25">
      <c r="A19" s="61" t="s">
        <v>27</v>
      </c>
      <c r="B19" s="55">
        <v>26.12339999996766</v>
      </c>
      <c r="C19" s="55">
        <v>33.559936919952086</v>
      </c>
      <c r="D19" s="55">
        <v>16.787123999961469</v>
      </c>
      <c r="E19" s="55">
        <v>13.998053519978679</v>
      </c>
      <c r="F19" s="55">
        <v>13.98828563996892</v>
      </c>
      <c r="G19" s="55">
        <v>16.785988199981229</v>
      </c>
      <c r="H19" s="55">
        <v>17.340940079976502</v>
      </c>
      <c r="I19" s="55">
        <v>5.7803133599875514</v>
      </c>
      <c r="J19" s="55">
        <v>5.5308916799897609</v>
      </c>
      <c r="K19" s="55">
        <v>5.5297558799898097</v>
      </c>
      <c r="L19" s="55">
        <v>8.2954288799872256</v>
      </c>
      <c r="M19" s="55">
        <v>8.2940659199914002</v>
      </c>
      <c r="N19" s="55">
        <v>8.2913399999853645</v>
      </c>
      <c r="O19" s="55">
        <v>11.05519571998064</v>
      </c>
      <c r="P19" s="55">
        <v>11.05519571998393</v>
      </c>
      <c r="Q19" s="55">
        <v>11.055195719988671</v>
      </c>
      <c r="R19" s="55">
        <v>11.055195719979309</v>
      </c>
      <c r="S19" s="55">
        <v>11.05519571998402</v>
      </c>
      <c r="T19" s="55">
        <v>16.582679999980328</v>
      </c>
      <c r="U19" s="55">
        <v>16.582679999977671</v>
      </c>
      <c r="V19" s="55">
        <v>19.34653571997714</v>
      </c>
      <c r="W19" s="55">
        <v>19.346535719968099</v>
      </c>
      <c r="X19" s="55">
        <v>8.2913399999900435</v>
      </c>
      <c r="Y19" s="55">
        <v>22.110164279956301</v>
      </c>
      <c r="DA19" s="101" t="s">
        <v>1048</v>
      </c>
    </row>
    <row r="20" spans="1:105" x14ac:dyDescent="0.25">
      <c r="A20" s="61" t="s">
        <v>166</v>
      </c>
      <c r="B20" s="55">
        <v>331.40689469597629</v>
      </c>
      <c r="C20" s="55">
        <v>290.65575650976962</v>
      </c>
      <c r="D20" s="55">
        <v>268.26085368750302</v>
      </c>
      <c r="E20" s="55">
        <v>233.7346197228963</v>
      </c>
      <c r="F20" s="55">
        <v>340.33025593736409</v>
      </c>
      <c r="G20" s="55">
        <v>337.69768595102761</v>
      </c>
      <c r="H20" s="55">
        <v>342.67798045360212</v>
      </c>
      <c r="I20" s="55">
        <v>355.26863429933809</v>
      </c>
      <c r="J20" s="55">
        <v>383.11382732373733</v>
      </c>
      <c r="K20" s="55">
        <v>371.54350774165141</v>
      </c>
      <c r="L20" s="55">
        <v>358.22780667159941</v>
      </c>
      <c r="M20" s="55">
        <v>358.94250272994759</v>
      </c>
      <c r="N20" s="55">
        <v>348.27057169305158</v>
      </c>
      <c r="O20" s="55">
        <v>323.52874973991243</v>
      </c>
      <c r="P20" s="55">
        <v>319.27527655557822</v>
      </c>
      <c r="Q20" s="55">
        <v>323.33884102935491</v>
      </c>
      <c r="R20" s="55">
        <v>311.17814665524611</v>
      </c>
      <c r="S20" s="55">
        <v>313.19169503812208</v>
      </c>
      <c r="T20" s="55">
        <v>319.38791735840948</v>
      </c>
      <c r="U20" s="55">
        <v>318.7366288807363</v>
      </c>
      <c r="V20" s="55">
        <v>319.89592037120218</v>
      </c>
      <c r="W20" s="55">
        <v>286.87612719338841</v>
      </c>
      <c r="X20" s="55">
        <v>288.55512096575359</v>
      </c>
      <c r="Y20" s="55">
        <v>283.3317836288889</v>
      </c>
      <c r="DA20" s="101" t="s">
        <v>1049</v>
      </c>
    </row>
    <row r="21" spans="1:105" x14ac:dyDescent="0.25">
      <c r="A21" s="61" t="s">
        <v>129</v>
      </c>
      <c r="B21" s="55">
        <v>292.32315863963828</v>
      </c>
      <c r="C21" s="55">
        <v>425.75416163939201</v>
      </c>
      <c r="D21" s="55">
        <v>366.11122859915957</v>
      </c>
      <c r="E21" s="55">
        <v>407.52408347937921</v>
      </c>
      <c r="F21" s="55">
        <v>53.607445919880888</v>
      </c>
      <c r="G21" s="55">
        <v>62.659672199929943</v>
      </c>
      <c r="H21" s="55">
        <v>65.519972639911188</v>
      </c>
      <c r="I21" s="55">
        <v>41.030307359911632</v>
      </c>
      <c r="J21" s="55">
        <v>40.825228319924413</v>
      </c>
      <c r="K21" s="55">
        <v>28.014384599948379</v>
      </c>
      <c r="L21" s="55">
        <v>27.980063279956909</v>
      </c>
      <c r="M21" s="55">
        <v>28.13053643997084</v>
      </c>
      <c r="N21" s="55">
        <v>21.834936719961451</v>
      </c>
      <c r="O21" s="55">
        <v>21.807860039961799</v>
      </c>
      <c r="P21" s="55">
        <v>34.042942439950487</v>
      </c>
      <c r="Q21" s="55">
        <v>24.891060239974479</v>
      </c>
      <c r="R21" s="55">
        <v>15.512829479970961</v>
      </c>
      <c r="S21" s="55">
        <v>18.570346199973152</v>
      </c>
      <c r="T21" s="55">
        <v>12.269173679985441</v>
      </c>
      <c r="U21" s="55">
        <v>9.2119355999875943</v>
      </c>
      <c r="V21" s="55">
        <v>18.384207119978271</v>
      </c>
      <c r="W21" s="55">
        <v>61.857558359897993</v>
      </c>
      <c r="X21" s="55">
        <v>58.800320279929387</v>
      </c>
      <c r="Y21" s="55">
        <v>49.572775439902003</v>
      </c>
      <c r="DA21" s="101" t="s">
        <v>1050</v>
      </c>
    </row>
    <row r="22" spans="1:105" x14ac:dyDescent="0.25">
      <c r="A22" s="61" t="s">
        <v>169</v>
      </c>
      <c r="B22" s="55">
        <v>93.048319739290051</v>
      </c>
      <c r="C22" s="55">
        <v>86.829940874385414</v>
      </c>
      <c r="D22" s="55">
        <v>93.723850198878324</v>
      </c>
      <c r="E22" s="55">
        <v>86.047308296856656</v>
      </c>
      <c r="F22" s="55">
        <v>101.01496471669959</v>
      </c>
      <c r="G22" s="55">
        <v>102.480479227195</v>
      </c>
      <c r="H22" s="55">
        <v>99.007856837015183</v>
      </c>
      <c r="I22" s="55">
        <v>101.8294900203551</v>
      </c>
      <c r="J22" s="55">
        <v>82.446570539920089</v>
      </c>
      <c r="K22" s="55">
        <v>78.919199243328165</v>
      </c>
      <c r="L22" s="55">
        <v>98.506578132855665</v>
      </c>
      <c r="M22" s="55">
        <v>93.856055884064631</v>
      </c>
      <c r="N22" s="55">
        <v>78.262218010190892</v>
      </c>
      <c r="O22" s="55">
        <v>97.422746268745527</v>
      </c>
      <c r="P22" s="55">
        <v>86.409032799309898</v>
      </c>
      <c r="Q22" s="55">
        <v>75.893210562843223</v>
      </c>
      <c r="R22" s="55">
        <v>93.917977185897712</v>
      </c>
      <c r="S22" s="55">
        <v>100.6166321977278</v>
      </c>
      <c r="T22" s="55">
        <v>81.349359319102902</v>
      </c>
      <c r="U22" s="55">
        <v>100.8421226445121</v>
      </c>
      <c r="V22" s="55">
        <v>91.466123321964957</v>
      </c>
      <c r="W22" s="55">
        <v>81.778552262168262</v>
      </c>
      <c r="X22" s="55">
        <v>63.360170518416354</v>
      </c>
      <c r="Y22" s="55">
        <v>59.247797566525158</v>
      </c>
      <c r="DA22" s="101" t="s">
        <v>1051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99.777462703473347</v>
      </c>
      <c r="C25" s="257">
        <v>99.267233658407235</v>
      </c>
      <c r="D25" s="257">
        <v>91.662798307401957</v>
      </c>
      <c r="E25" s="257">
        <v>90.066098422084053</v>
      </c>
      <c r="F25" s="257">
        <v>81.687226604854061</v>
      </c>
      <c r="G25" s="257">
        <v>80.731144713163701</v>
      </c>
      <c r="H25" s="257">
        <v>82.524348067869056</v>
      </c>
      <c r="I25" s="257">
        <v>78.887198902013068</v>
      </c>
      <c r="J25" s="257">
        <v>80.115869486450137</v>
      </c>
      <c r="K25" s="257">
        <v>78.974563822356089</v>
      </c>
      <c r="L25" s="257">
        <v>82.699123795631408</v>
      </c>
      <c r="M25" s="257">
        <v>83.132526178197267</v>
      </c>
      <c r="N25" s="257">
        <v>85.176652326770494</v>
      </c>
      <c r="O25" s="257">
        <v>90.334778545295251</v>
      </c>
      <c r="P25" s="257">
        <v>89.759037497910739</v>
      </c>
      <c r="Q25" s="257">
        <v>88.825135801739947</v>
      </c>
      <c r="R25" s="257">
        <v>92.464617122848139</v>
      </c>
      <c r="S25" s="257">
        <v>92.170958848811495</v>
      </c>
      <c r="T25" s="257">
        <v>89.861573481120658</v>
      </c>
      <c r="U25" s="257">
        <v>91.67269898263946</v>
      </c>
      <c r="V25" s="257">
        <v>91.820051349819209</v>
      </c>
      <c r="W25" s="257">
        <v>87.069224118112189</v>
      </c>
      <c r="X25" s="257">
        <v>84.142948202418822</v>
      </c>
      <c r="Y25" s="257">
        <v>83.031351993422277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1</v>
      </c>
      <c r="C31" s="235">
        <f t="shared" si="6"/>
        <v>1</v>
      </c>
      <c r="D31" s="235">
        <f t="shared" si="6"/>
        <v>1</v>
      </c>
      <c r="E31" s="235">
        <f t="shared" si="6"/>
        <v>1.0000000000000002</v>
      </c>
      <c r="F31" s="235">
        <f t="shared" si="6"/>
        <v>1.0000000000000002</v>
      </c>
      <c r="G31" s="235">
        <f t="shared" si="6"/>
        <v>1</v>
      </c>
      <c r="H31" s="235">
        <f t="shared" si="6"/>
        <v>0.99999999999999989</v>
      </c>
      <c r="I31" s="235">
        <f t="shared" si="6"/>
        <v>0.99999999999999989</v>
      </c>
      <c r="J31" s="235">
        <f t="shared" si="6"/>
        <v>1</v>
      </c>
      <c r="K31" s="235">
        <f t="shared" si="6"/>
        <v>1</v>
      </c>
      <c r="L31" s="235">
        <f t="shared" si="6"/>
        <v>1</v>
      </c>
      <c r="M31" s="235">
        <f t="shared" si="6"/>
        <v>1.0000000000000002</v>
      </c>
      <c r="N31" s="235">
        <f t="shared" si="6"/>
        <v>1</v>
      </c>
      <c r="O31" s="235">
        <f t="shared" si="6"/>
        <v>0.99999999999999989</v>
      </c>
      <c r="P31" s="235">
        <f t="shared" si="6"/>
        <v>1.0000000000000002</v>
      </c>
      <c r="Q31" s="235">
        <f t="shared" si="6"/>
        <v>0.99999999999999989</v>
      </c>
      <c r="R31" s="235">
        <f t="shared" ref="R31:W31" si="7">SUM(R32:R40)</f>
        <v>1</v>
      </c>
      <c r="S31" s="235">
        <f t="shared" si="7"/>
        <v>1</v>
      </c>
      <c r="T31" s="235">
        <f t="shared" si="7"/>
        <v>1.0000000000000002</v>
      </c>
      <c r="U31" s="235">
        <f t="shared" si="7"/>
        <v>1</v>
      </c>
      <c r="V31" s="235">
        <f t="shared" si="7"/>
        <v>1</v>
      </c>
      <c r="W31" s="235">
        <f t="shared" si="7"/>
        <v>0.99999999999999978</v>
      </c>
      <c r="X31" s="235">
        <f t="shared" ref="X31:Y31" si="8">SUM(X32:X40)</f>
        <v>1</v>
      </c>
      <c r="Y31" s="235">
        <f t="shared" si="8"/>
        <v>0.99999999999999989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0.16392421090717257</v>
      </c>
      <c r="C35" s="246">
        <f t="shared" si="12"/>
        <v>0.16237656172346041</v>
      </c>
      <c r="D35" s="246">
        <f t="shared" si="12"/>
        <v>0.1612144344869699</v>
      </c>
      <c r="E35" s="246">
        <f t="shared" si="12"/>
        <v>0.15860138063581763</v>
      </c>
      <c r="F35" s="246">
        <f t="shared" si="12"/>
        <v>0.18072567678991694</v>
      </c>
      <c r="G35" s="246">
        <f t="shared" si="12"/>
        <v>0.18148035244653057</v>
      </c>
      <c r="H35" s="246">
        <f t="shared" si="12"/>
        <v>0.17619226779199423</v>
      </c>
      <c r="I35" s="246">
        <f t="shared" si="12"/>
        <v>0.18536697788220088</v>
      </c>
      <c r="J35" s="246">
        <f t="shared" si="12"/>
        <v>0.18591168467649374</v>
      </c>
      <c r="K35" s="246">
        <f t="shared" si="12"/>
        <v>0.19006125125151649</v>
      </c>
      <c r="L35" s="246">
        <f t="shared" si="12"/>
        <v>0.18411312258518192</v>
      </c>
      <c r="M35" s="246">
        <f t="shared" si="12"/>
        <v>0.18263888313038978</v>
      </c>
      <c r="N35" s="246">
        <f t="shared" si="12"/>
        <v>0.18166837380304868</v>
      </c>
      <c r="O35" s="246">
        <f t="shared" si="12"/>
        <v>0.17855083126877905</v>
      </c>
      <c r="P35" s="246">
        <f t="shared" si="12"/>
        <v>0.17285196431768693</v>
      </c>
      <c r="Q35" s="246">
        <f t="shared" si="12"/>
        <v>0.17232506989910512</v>
      </c>
      <c r="R35" s="246">
        <f t="shared" si="12"/>
        <v>0.17186156822353127</v>
      </c>
      <c r="S35" s="246">
        <f t="shared" si="12"/>
        <v>0.17327914659890625</v>
      </c>
      <c r="T35" s="246">
        <f t="shared" si="12"/>
        <v>0.17116138892587554</v>
      </c>
      <c r="U35" s="246">
        <f t="shared" si="12"/>
        <v>0.17405423593396266</v>
      </c>
      <c r="V35" s="246">
        <f t="shared" si="12"/>
        <v>0.17042964825286164</v>
      </c>
      <c r="W35" s="246">
        <f t="shared" si="12"/>
        <v>0.15939289142237725</v>
      </c>
      <c r="X35" s="246">
        <f t="shared" si="12"/>
        <v>0.15870049663520389</v>
      </c>
      <c r="Y35" s="246">
        <f t="shared" si="12"/>
        <v>0.15855596555974741</v>
      </c>
      <c r="DA35" s="277"/>
    </row>
    <row r="36" spans="1:105" x14ac:dyDescent="0.25">
      <c r="A36" s="127" t="s">
        <v>168</v>
      </c>
      <c r="B36" s="259">
        <f t="shared" ref="B36:Y36" si="13">IF(B$16=0,0,B$16/B$5)</f>
        <v>0.27805576248391384</v>
      </c>
      <c r="C36" s="259">
        <f t="shared" si="13"/>
        <v>0.26945077823558455</v>
      </c>
      <c r="D36" s="259">
        <f t="shared" si="13"/>
        <v>0.27090443002282888</v>
      </c>
      <c r="E36" s="259">
        <f t="shared" si="13"/>
        <v>0.26936839011769875</v>
      </c>
      <c r="F36" s="259">
        <f t="shared" si="13"/>
        <v>0.31310632610704664</v>
      </c>
      <c r="G36" s="259">
        <f t="shared" si="13"/>
        <v>0.31215606046865563</v>
      </c>
      <c r="H36" s="259">
        <f t="shared" si="13"/>
        <v>0.31720494043349734</v>
      </c>
      <c r="I36" s="259">
        <f t="shared" si="13"/>
        <v>0.32002983790151512</v>
      </c>
      <c r="J36" s="259">
        <f t="shared" si="13"/>
        <v>0.31906654824753444</v>
      </c>
      <c r="K36" s="259">
        <f t="shared" si="13"/>
        <v>0.32385366023355022</v>
      </c>
      <c r="L36" s="259">
        <f t="shared" si="13"/>
        <v>0.33151393973761389</v>
      </c>
      <c r="M36" s="259">
        <f t="shared" si="13"/>
        <v>0.33681176056698114</v>
      </c>
      <c r="N36" s="259">
        <f t="shared" si="13"/>
        <v>0.35260227170317104</v>
      </c>
      <c r="O36" s="259">
        <f t="shared" si="13"/>
        <v>0.3662716299861522</v>
      </c>
      <c r="P36" s="259">
        <f t="shared" si="13"/>
        <v>0.36959028644759045</v>
      </c>
      <c r="Q36" s="259">
        <f t="shared" si="13"/>
        <v>0.37402032654194867</v>
      </c>
      <c r="R36" s="259">
        <f t="shared" si="13"/>
        <v>0.38361787800157371</v>
      </c>
      <c r="S36" s="259">
        <f t="shared" si="13"/>
        <v>0.3807696461554147</v>
      </c>
      <c r="T36" s="259">
        <f t="shared" si="13"/>
        <v>0.38283959792161965</v>
      </c>
      <c r="U36" s="259">
        <f t="shared" si="13"/>
        <v>0.37968922887146478</v>
      </c>
      <c r="V36" s="259">
        <f t="shared" si="13"/>
        <v>0.38145541626406004</v>
      </c>
      <c r="W36" s="259">
        <f t="shared" si="13"/>
        <v>0.37539378333967088</v>
      </c>
      <c r="X36" s="259">
        <f t="shared" si="13"/>
        <v>0.38191081506842423</v>
      </c>
      <c r="Y36" s="259">
        <f t="shared" si="13"/>
        <v>0.383268082173362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0.5045892946073125</v>
      </c>
      <c r="C37" s="259">
        <f t="shared" si="14"/>
        <v>0.5163954474742446</v>
      </c>
      <c r="D37" s="259">
        <f t="shared" si="14"/>
        <v>0.51582459161823724</v>
      </c>
      <c r="E37" s="259">
        <f t="shared" si="14"/>
        <v>0.52026884824322495</v>
      </c>
      <c r="F37" s="259">
        <f t="shared" si="14"/>
        <v>0.44600200719948485</v>
      </c>
      <c r="G37" s="259">
        <f t="shared" si="14"/>
        <v>0.44638019864293171</v>
      </c>
      <c r="H37" s="259">
        <f t="shared" si="14"/>
        <v>0.44564921897140353</v>
      </c>
      <c r="I37" s="259">
        <f t="shared" si="14"/>
        <v>0.43310678382278034</v>
      </c>
      <c r="J37" s="259">
        <f t="shared" si="14"/>
        <v>0.43371047081727193</v>
      </c>
      <c r="K37" s="259">
        <f t="shared" si="14"/>
        <v>0.42385390879364465</v>
      </c>
      <c r="L37" s="259">
        <f t="shared" si="14"/>
        <v>0.42066977141054518</v>
      </c>
      <c r="M37" s="259">
        <f t="shared" si="14"/>
        <v>0.41582816961302432</v>
      </c>
      <c r="N37" s="259">
        <f t="shared" si="14"/>
        <v>0.39797388949557588</v>
      </c>
      <c r="O37" s="259">
        <f t="shared" si="14"/>
        <v>0.38479539263611368</v>
      </c>
      <c r="P37" s="259">
        <f t="shared" si="14"/>
        <v>0.38653789562993129</v>
      </c>
      <c r="Q37" s="259">
        <f t="shared" si="14"/>
        <v>0.38178348083128705</v>
      </c>
      <c r="R37" s="259">
        <f t="shared" si="14"/>
        <v>0.37080518155091252</v>
      </c>
      <c r="S37" s="259">
        <f t="shared" si="14"/>
        <v>0.37278314650731742</v>
      </c>
      <c r="T37" s="259">
        <f t="shared" si="14"/>
        <v>0.37243319393185786</v>
      </c>
      <c r="U37" s="259">
        <f t="shared" si="14"/>
        <v>0.37329608564122274</v>
      </c>
      <c r="V37" s="259">
        <f t="shared" si="14"/>
        <v>0.37481509830332077</v>
      </c>
      <c r="W37" s="259">
        <f t="shared" si="14"/>
        <v>0.39307828134059875</v>
      </c>
      <c r="X37" s="259">
        <f t="shared" si="14"/>
        <v>0.38600134244118744</v>
      </c>
      <c r="Y37" s="259">
        <f t="shared" si="14"/>
        <v>0.3845277962264011</v>
      </c>
      <c r="DA37" s="278"/>
    </row>
    <row r="38" spans="1:105" x14ac:dyDescent="0.25">
      <c r="A38" s="127" t="s">
        <v>167</v>
      </c>
      <c r="B38" s="259">
        <f t="shared" ref="B38:Y38" si="15">IF(B$25=0,0,B$25/B$5)</f>
        <v>5.3430732001601124E-2</v>
      </c>
      <c r="C38" s="259">
        <f t="shared" si="15"/>
        <v>5.1777212566710522E-2</v>
      </c>
      <c r="D38" s="259">
        <f t="shared" si="15"/>
        <v>5.2056543871964053E-2</v>
      </c>
      <c r="E38" s="259">
        <f t="shared" si="15"/>
        <v>5.1761381003258805E-2</v>
      </c>
      <c r="F38" s="259">
        <f t="shared" si="15"/>
        <v>6.0165989903551716E-2</v>
      </c>
      <c r="G38" s="259">
        <f t="shared" si="15"/>
        <v>5.9983388441882182E-2</v>
      </c>
      <c r="H38" s="259">
        <f t="shared" si="15"/>
        <v>6.0953572803104761E-2</v>
      </c>
      <c r="I38" s="259">
        <f t="shared" si="15"/>
        <v>6.1496400393503618E-2</v>
      </c>
      <c r="J38" s="259">
        <f t="shared" si="15"/>
        <v>6.1311296258699959E-2</v>
      </c>
      <c r="K38" s="259">
        <f t="shared" si="15"/>
        <v>6.2231179721288714E-2</v>
      </c>
      <c r="L38" s="259">
        <f t="shared" si="15"/>
        <v>6.370316626665895E-2</v>
      </c>
      <c r="M38" s="259">
        <f t="shared" si="15"/>
        <v>6.4721186689604887E-2</v>
      </c>
      <c r="N38" s="259">
        <f t="shared" si="15"/>
        <v>6.7755464998204493E-2</v>
      </c>
      <c r="O38" s="259">
        <f t="shared" si="15"/>
        <v>7.0382146108955018E-2</v>
      </c>
      <c r="P38" s="259">
        <f t="shared" si="15"/>
        <v>7.1019853604791364E-2</v>
      </c>
      <c r="Q38" s="259">
        <f t="shared" si="15"/>
        <v>7.1871122727659095E-2</v>
      </c>
      <c r="R38" s="259">
        <f t="shared" si="15"/>
        <v>7.3715372223982598E-2</v>
      </c>
      <c r="S38" s="259">
        <f t="shared" si="15"/>
        <v>7.3168060738361573E-2</v>
      </c>
      <c r="T38" s="259">
        <f t="shared" si="15"/>
        <v>7.3565819220647116E-2</v>
      </c>
      <c r="U38" s="259">
        <f t="shared" si="15"/>
        <v>7.2960449553349863E-2</v>
      </c>
      <c r="V38" s="259">
        <f t="shared" si="15"/>
        <v>7.3299837179757493E-2</v>
      </c>
      <c r="W38" s="259">
        <f t="shared" si="15"/>
        <v>7.2135043897352966E-2</v>
      </c>
      <c r="X38" s="259">
        <f t="shared" si="15"/>
        <v>7.3387345855184541E-2</v>
      </c>
      <c r="Y38" s="259">
        <f t="shared" si="15"/>
        <v>7.3648156040489382E-2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2.593811427209427</v>
      </c>
      <c r="C44" s="237">
        <f>IF(C$5=0,0,C$5/AGR_fec!C$5)</f>
        <v>2.6175903691447102</v>
      </c>
      <c r="D44" s="237">
        <f>IF(D$5=0,0,D$5/AGR_fec!D$5)</f>
        <v>2.5859076025115981</v>
      </c>
      <c r="E44" s="237">
        <f>IF(E$5=0,0,E$5/AGR_fec!E$5)</f>
        <v>2.5399223625437308</v>
      </c>
      <c r="F44" s="237">
        <f>IF(F$5=0,0,F$5/AGR_fec!F$5)</f>
        <v>2.3746686480007093</v>
      </c>
      <c r="G44" s="237">
        <f>IF(G$5=0,0,G$5/AGR_fec!G$5)</f>
        <v>2.388893117495638</v>
      </c>
      <c r="H44" s="237">
        <f>IF(H$5=0,0,H$5/AGR_fec!H$5)</f>
        <v>2.3058887676191984</v>
      </c>
      <c r="I44" s="237">
        <f>IF(I$5=0,0,I$5/AGR_fec!I$5)</f>
        <v>2.3599847616887923</v>
      </c>
      <c r="J44" s="237">
        <f>IF(J$5=0,0,J$5/AGR_fec!J$5)</f>
        <v>2.3975010296926325</v>
      </c>
      <c r="K44" s="237">
        <f>IF(K$5=0,0,K$5/AGR_fec!K$5)</f>
        <v>2.3828433835269287</v>
      </c>
      <c r="L44" s="237">
        <f>IF(L$5=0,0,L$5/AGR_fec!L$5)</f>
        <v>2.2974484401480342</v>
      </c>
      <c r="M44" s="237">
        <f>IF(M$5=0,0,M$5/AGR_fec!M$5)</f>
        <v>2.2741520800348698</v>
      </c>
      <c r="N44" s="237">
        <f>IF(N$5=0,0,N$5/AGR_fec!N$5)</f>
        <v>2.1735775215940327</v>
      </c>
      <c r="O44" s="237">
        <f>IF(O$5=0,0,O$5/AGR_fec!O$5)</f>
        <v>2.0611132702416861</v>
      </c>
      <c r="P44" s="237">
        <f>IF(P$5=0,0,P$5/AGR_fec!P$5)</f>
        <v>2.0120742224686232</v>
      </c>
      <c r="Q44" s="237">
        <f>IF(Q$5=0,0,Q$5/AGR_fec!Q$5)</f>
        <v>1.9907506686616783</v>
      </c>
      <c r="R44" s="237">
        <f>IF(R$5=0,0,R$5/AGR_fec!R$5)</f>
        <v>1.9219947196591485</v>
      </c>
      <c r="S44" s="237">
        <f>IF(S$5=0,0,S$5/AGR_fec!S$5)</f>
        <v>1.9333628883521936</v>
      </c>
      <c r="T44" s="237">
        <f>IF(T$5=0,0,T$5/AGR_fec!T$5)</f>
        <v>1.934273872242839</v>
      </c>
      <c r="U44" s="237">
        <f>IF(U$5=0,0,U$5/AGR_fec!U$5)</f>
        <v>1.9436438181829678</v>
      </c>
      <c r="V44" s="237">
        <f>IF(V$5=0,0,V$5/AGR_fec!V$5)</f>
        <v>1.9299655164700671</v>
      </c>
      <c r="W44" s="237">
        <f>IF(W$5=0,0,W$5/AGR_fec!W$5)</f>
        <v>1.8067775363459977</v>
      </c>
      <c r="X44" s="237">
        <f>IF(X$5=0,0,X$5/AGR_fec!X$5)</f>
        <v>1.7970365127168624</v>
      </c>
      <c r="Y44" s="237">
        <f>IF(Y$5=0,0,Y$5/AGR_fec!Y$5)</f>
        <v>1.8016043103877271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2.2066312046761389</v>
      </c>
      <c r="C48" s="252">
        <f>IF(C$9=0,0,C$9/AGR_fec!C$9)</f>
        <v>2.2762781852911869</v>
      </c>
      <c r="D48" s="252">
        <f>IF(D$9=0,0,D$9/AGR_fec!D$9)</f>
        <v>2.2084627359955245</v>
      </c>
      <c r="E48" s="252">
        <f>IF(E$9=0,0,E$9/AGR_fec!E$9)</f>
        <v>2.1557269283807172</v>
      </c>
      <c r="F48" s="252">
        <f>IF(F$9=0,0,F$9/AGR_fec!F$9)</f>
        <v>2.1347325087786833</v>
      </c>
      <c r="G48" s="252">
        <f>IF(G$9=0,0,G$9/AGR_fec!G$9)</f>
        <v>2.1518703917041053</v>
      </c>
      <c r="H48" s="252">
        <f>IF(H$9=0,0,H$9/AGR_fec!H$9)</f>
        <v>2.03411480947738</v>
      </c>
      <c r="I48" s="252">
        <f>IF(I$9=0,0,I$9/AGR_fec!I$9)</f>
        <v>2.154569748255978</v>
      </c>
      <c r="J48" s="252">
        <f>IF(J$9=0,0,J$9/AGR_fec!J$9)</f>
        <v>2.2209301178158616</v>
      </c>
      <c r="K48" s="252">
        <f>IF(K$9=0,0,K$9/AGR_fec!K$9)</f>
        <v>2.2557508054301443</v>
      </c>
      <c r="L48" s="252">
        <f>IF(L$9=0,0,L$9/AGR_fec!L$9)</f>
        <v>2.0478085200203422</v>
      </c>
      <c r="M48" s="252">
        <f>IF(M$9=0,0,M$9/AGR_fec!M$9)</f>
        <v>1.9957459714021468</v>
      </c>
      <c r="N48" s="252">
        <f>IF(N$9=0,0,N$9/AGR_fec!N$9)</f>
        <v>1.8982319455121244</v>
      </c>
      <c r="O48" s="252">
        <f>IF(O$9=0,0,O$9/AGR_fec!O$9)</f>
        <v>1.7328810751228172</v>
      </c>
      <c r="P48" s="252">
        <f>IF(P$9=0,0,P$9/AGR_fec!P$9)</f>
        <v>1.6597103555225661</v>
      </c>
      <c r="Q48" s="252">
        <f>IF(Q$9=0,0,Q$9/AGR_fec!Q$9)</f>
        <v>1.647086740616696</v>
      </c>
      <c r="R48" s="252">
        <f>IF(R$9=0,0,R$9/AGR_fec!R$9)</f>
        <v>1.5582232301007046</v>
      </c>
      <c r="S48" s="252">
        <f>IF(S$9=0,0,S$9/AGR_fec!S$9)</f>
        <v>1.5844762157455023</v>
      </c>
      <c r="T48" s="252">
        <f>IF(T$9=0,0,T$9/AGR_fec!T$9)</f>
        <v>1.5705684709898218</v>
      </c>
      <c r="U48" s="252">
        <f>IF(U$9=0,0,U$9/AGR_fec!U$9)</f>
        <v>1.5977165901774426</v>
      </c>
      <c r="V48" s="252">
        <f>IF(V$9=0,0,V$9/AGR_fec!V$9)</f>
        <v>1.5527624063145884</v>
      </c>
      <c r="W48" s="252">
        <f>IF(W$9=0,0,W$9/AGR_fec!W$9)</f>
        <v>1.3731970512363161</v>
      </c>
      <c r="X48" s="252">
        <f>IF(X$9=0,0,X$9/AGR_fec!X$9)</f>
        <v>1.3506828941899593</v>
      </c>
      <c r="Y48" s="252">
        <f>IF(Y$9=0,0,Y$9/AGR_fec!Y$9)</f>
        <v>1.3453143687689453</v>
      </c>
      <c r="DA48" s="289"/>
    </row>
    <row r="49" spans="1:105" x14ac:dyDescent="0.25">
      <c r="A49" s="127" t="s">
        <v>168</v>
      </c>
      <c r="B49" s="264">
        <f>IF(B$16=0,0,B$16/AGR_fec!B$16)</f>
        <v>3.1024188000000006</v>
      </c>
      <c r="C49" s="264">
        <f>IF(C$16=0,0,C$16/AGR_fec!C$16)</f>
        <v>3.102418800000001</v>
      </c>
      <c r="D49" s="264">
        <f>IF(D$16=0,0,D$16/AGR_fec!D$16)</f>
        <v>3.1024188000000006</v>
      </c>
      <c r="E49" s="264">
        <f>IF(E$16=0,0,E$16/AGR_fec!E$16)</f>
        <v>3.102418800000001</v>
      </c>
      <c r="F49" s="264">
        <f>IF(F$16=0,0,F$16/AGR_fec!F$16)</f>
        <v>3.1024188000000006</v>
      </c>
      <c r="G49" s="264">
        <f>IF(G$16=0,0,G$16/AGR_fec!G$16)</f>
        <v>3.1024187999999997</v>
      </c>
      <c r="H49" s="264">
        <f>IF(H$16=0,0,H$16/AGR_fec!H$16)</f>
        <v>3.1024188000000006</v>
      </c>
      <c r="I49" s="264">
        <f>IF(I$16=0,0,I$16/AGR_fec!I$16)</f>
        <v>3.1024187999999984</v>
      </c>
      <c r="J49" s="264">
        <f>IF(J$16=0,0,J$16/AGR_fec!J$16)</f>
        <v>3.1024187999999997</v>
      </c>
      <c r="K49" s="264">
        <f>IF(K$16=0,0,K$16/AGR_fec!K$16)</f>
        <v>3.1024188000000015</v>
      </c>
      <c r="L49" s="264">
        <f>IF(L$16=0,0,L$16/AGR_fec!L$16)</f>
        <v>3.102418800000001</v>
      </c>
      <c r="M49" s="264">
        <f>IF(M$16=0,0,M$16/AGR_fec!M$16)</f>
        <v>3.1024187999999997</v>
      </c>
      <c r="N49" s="264">
        <f>IF(N$16=0,0,N$16/AGR_fec!N$16)</f>
        <v>3.1024187999999997</v>
      </c>
      <c r="O49" s="264">
        <f>IF(O$16=0,0,O$16/AGR_fec!O$16)</f>
        <v>3.1024188000000006</v>
      </c>
      <c r="P49" s="264">
        <f>IF(P$16=0,0,P$16/AGR_fec!P$16)</f>
        <v>3.102418800000001</v>
      </c>
      <c r="Q49" s="264">
        <f>IF(Q$16=0,0,Q$16/AGR_fec!Q$16)</f>
        <v>3.102418800000001</v>
      </c>
      <c r="R49" s="264">
        <f>IF(R$16=0,0,R$16/AGR_fec!R$16)</f>
        <v>3.1024188000000015</v>
      </c>
      <c r="S49" s="264">
        <f>IF(S$16=0,0,S$16/AGR_fec!S$16)</f>
        <v>3.1024187999999997</v>
      </c>
      <c r="T49" s="264">
        <f>IF(T$16=0,0,T$16/AGR_fec!T$16)</f>
        <v>3.1024187999999993</v>
      </c>
      <c r="U49" s="264">
        <f>IF(U$16=0,0,U$16/AGR_fec!U$16)</f>
        <v>3.1024187999999993</v>
      </c>
      <c r="V49" s="264">
        <f>IF(V$16=0,0,V$16/AGR_fec!V$16)</f>
        <v>3.1024188000000001</v>
      </c>
      <c r="W49" s="264">
        <f>IF(W$16=0,0,W$16/AGR_fec!W$16)</f>
        <v>2.9453403112218974</v>
      </c>
      <c r="X49" s="264">
        <f>IF(X$16=0,0,X$16/AGR_fec!X$16)</f>
        <v>2.942702745743258</v>
      </c>
      <c r="Y49" s="264">
        <f>IF(Y$16=0,0,Y$16/AGR_fec!Y$16)</f>
        <v>2.9486442599994223</v>
      </c>
      <c r="DA49" s="290"/>
    </row>
    <row r="50" spans="1:105" x14ac:dyDescent="0.25">
      <c r="A50" s="127" t="s">
        <v>121</v>
      </c>
      <c r="B50" s="264">
        <f>IF(B$17=0,0,B$17/AGR_fec!B$17)</f>
        <v>3.1697126516548151</v>
      </c>
      <c r="C50" s="264">
        <f>IF(C$17=0,0,C$17/AGR_fec!C$17)</f>
        <v>3.1529738067849702</v>
      </c>
      <c r="D50" s="264">
        <f>IF(D$17=0,0,D$17/AGR_fec!D$17)</f>
        <v>3.1508425565574867</v>
      </c>
      <c r="E50" s="264">
        <f>IF(E$17=0,0,E$17/AGR_fec!E$17)</f>
        <v>3.0199943191110479</v>
      </c>
      <c r="F50" s="264">
        <f>IF(F$17=0,0,F$17/AGR_fec!F$17)</f>
        <v>2.7748556044609969</v>
      </c>
      <c r="G50" s="264">
        <f>IF(G$17=0,0,G$17/AGR_fec!G$17)</f>
        <v>2.7924307897197549</v>
      </c>
      <c r="H50" s="264">
        <f>IF(H$17=0,0,H$17/AGR_fec!H$17)</f>
        <v>2.7314325980493703</v>
      </c>
      <c r="I50" s="264">
        <f>IF(I$17=0,0,I$17/AGR_fec!I$17)</f>
        <v>2.7320438768518276</v>
      </c>
      <c r="J50" s="264">
        <f>IF(J$17=0,0,J$17/AGR_fec!J$17)</f>
        <v>2.7974451799951474</v>
      </c>
      <c r="K50" s="264">
        <f>IF(K$17=0,0,K$17/AGR_fec!K$17)</f>
        <v>2.6858531569644235</v>
      </c>
      <c r="L50" s="264">
        <f>IF(L$17=0,0,L$17/AGR_fec!L$17)</f>
        <v>2.5460413497333438</v>
      </c>
      <c r="M50" s="264">
        <f>IF(M$17=0,0,M$17/AGR_fec!M$17)</f>
        <v>2.4864922802428202</v>
      </c>
      <c r="N50" s="264">
        <f>IF(N$17=0,0,N$17/AGR_fec!N$17)</f>
        <v>2.2396550819119025</v>
      </c>
      <c r="O50" s="264">
        <f>IF(O$17=0,0,O$17/AGR_fec!O$17)</f>
        <v>2.0052662190579471</v>
      </c>
      <c r="P50" s="264">
        <f>IF(P$17=0,0,P$17/AGR_fec!P$17)</f>
        <v>1.9880377136450245</v>
      </c>
      <c r="Q50" s="264">
        <f>IF(Q$17=0,0,Q$17/AGR_fec!Q$17)</f>
        <v>1.956756590807093</v>
      </c>
      <c r="R50" s="264">
        <f>IF(R$17=0,0,R$17/AGR_fec!R$17)</f>
        <v>1.8114691012736606</v>
      </c>
      <c r="S50" s="264">
        <f>IF(S$17=0,0,S$17/AGR_fec!S$17)</f>
        <v>1.8408901878363264</v>
      </c>
      <c r="T50" s="264">
        <f>IF(T$17=0,0,T$17/AGR_fec!T$17)</f>
        <v>1.8549584124031642</v>
      </c>
      <c r="U50" s="264">
        <f>IF(U$17=0,0,U$17/AGR_fec!U$17)</f>
        <v>1.8623363076171651</v>
      </c>
      <c r="V50" s="264">
        <f>IF(V$17=0,0,V$17/AGR_fec!V$17)</f>
        <v>1.8603681703468014</v>
      </c>
      <c r="W50" s="264">
        <f>IF(W$17=0,0,W$17/AGR_fec!W$17)</f>
        <v>1.832612051602406</v>
      </c>
      <c r="X50" s="264">
        <f>IF(X$17=0,0,X$17/AGR_fec!X$17)</f>
        <v>1.7930270643786985</v>
      </c>
      <c r="Y50" s="264">
        <f>IF(Y$17=0,0,Y$17/AGR_fec!Y$17)</f>
        <v>1.7797291310977974</v>
      </c>
      <c r="DA50" s="290"/>
    </row>
    <row r="51" spans="1:105" x14ac:dyDescent="0.25">
      <c r="A51" s="127" t="s">
        <v>167</v>
      </c>
      <c r="B51" s="264">
        <f>IF(B$25=0,0,B$25/AGR_fec!B$25)</f>
        <v>3.102418800000001</v>
      </c>
      <c r="C51" s="264">
        <f>IF(C$25=0,0,C$25/AGR_fec!C$25)</f>
        <v>3.1024187999999997</v>
      </c>
      <c r="D51" s="264">
        <f>IF(D$25=0,0,D$25/AGR_fec!D$25)</f>
        <v>3.1024187999999997</v>
      </c>
      <c r="E51" s="264">
        <f>IF(E$25=0,0,E$25/AGR_fec!E$25)</f>
        <v>3.1024188000000001</v>
      </c>
      <c r="F51" s="264">
        <f>IF(F$25=0,0,F$25/AGR_fec!F$25)</f>
        <v>3.1024188000000001</v>
      </c>
      <c r="G51" s="264">
        <f>IF(G$25=0,0,G$25/AGR_fec!G$25)</f>
        <v>3.1024188000000001</v>
      </c>
      <c r="H51" s="264">
        <f>IF(H$25=0,0,H$25/AGR_fec!H$25)</f>
        <v>3.1024188000000006</v>
      </c>
      <c r="I51" s="264">
        <f>IF(I$25=0,0,I$25/AGR_fec!I$25)</f>
        <v>3.1024188000000001</v>
      </c>
      <c r="J51" s="264">
        <f>IF(J$25=0,0,J$25/AGR_fec!J$25)</f>
        <v>3.1024188000000006</v>
      </c>
      <c r="K51" s="264">
        <f>IF(K$25=0,0,K$25/AGR_fec!K$25)</f>
        <v>3.1024187999999997</v>
      </c>
      <c r="L51" s="264">
        <f>IF(L$25=0,0,L$25/AGR_fec!L$25)</f>
        <v>3.1024188000000001</v>
      </c>
      <c r="M51" s="264">
        <f>IF(M$25=0,0,M$25/AGR_fec!M$25)</f>
        <v>3.1024188000000006</v>
      </c>
      <c r="N51" s="264">
        <f>IF(N$25=0,0,N$25/AGR_fec!N$25)</f>
        <v>3.1024187999999993</v>
      </c>
      <c r="O51" s="264">
        <f>IF(O$25=0,0,O$25/AGR_fec!O$25)</f>
        <v>3.1024188000000001</v>
      </c>
      <c r="P51" s="264">
        <f>IF(P$25=0,0,P$25/AGR_fec!P$25)</f>
        <v>3.1024188000000001</v>
      </c>
      <c r="Q51" s="264">
        <f>IF(Q$25=0,0,Q$25/AGR_fec!Q$25)</f>
        <v>3.1024188000000006</v>
      </c>
      <c r="R51" s="264">
        <f>IF(R$25=0,0,R$25/AGR_fec!R$25)</f>
        <v>3.1024188000000006</v>
      </c>
      <c r="S51" s="264">
        <f>IF(S$25=0,0,S$25/AGR_fec!S$25)</f>
        <v>3.1024188000000006</v>
      </c>
      <c r="T51" s="264">
        <f>IF(T$25=0,0,T$25/AGR_fec!T$25)</f>
        <v>3.1024188000000001</v>
      </c>
      <c r="U51" s="264">
        <f>IF(U$25=0,0,U$25/AGR_fec!U$25)</f>
        <v>3.1024188000000006</v>
      </c>
      <c r="V51" s="264">
        <f>IF(V$25=0,0,V$25/AGR_fec!V$25)</f>
        <v>3.1024187999999997</v>
      </c>
      <c r="W51" s="264">
        <f>IF(W$25=0,0,W$25/AGR_fec!W$25)</f>
        <v>2.9453403112218979</v>
      </c>
      <c r="X51" s="264">
        <f>IF(X$25=0,0,X$25/AGR_fec!X$25)</f>
        <v>2.9427027457432593</v>
      </c>
      <c r="Y51" s="264">
        <f>IF(Y$25=0,0,Y$25/AGR_fec!Y$25)</f>
        <v>2.9486442599994209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2025-11-06T10:20:57Z</dcterms:created>
  <dcterms:modified xsi:type="dcterms:W3CDTF">2025-11-06T10:20:57Z</dcterms:modified>
</cp:coreProperties>
</file>