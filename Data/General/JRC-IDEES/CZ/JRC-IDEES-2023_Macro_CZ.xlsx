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CZ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78" i="59" l="1"/>
  <c r="AA121" i="59"/>
  <c r="AA88" i="59"/>
  <c r="AA117" i="59"/>
  <c r="AA84" i="59"/>
  <c r="AA82" i="59"/>
  <c r="AA81" i="59"/>
  <c r="AA79" i="59"/>
  <c r="AA110" i="59"/>
  <c r="AA109" i="59"/>
  <c r="AA74" i="59"/>
  <c r="AA105" i="59"/>
  <c r="AA70" i="59"/>
  <c r="AA101" i="59"/>
  <c r="AA66" i="59"/>
  <c r="AA97" i="59"/>
  <c r="AA94" i="59"/>
  <c r="AA93" i="59"/>
  <c r="AA5" i="59"/>
  <c r="Z115" i="59"/>
  <c r="Z111" i="59"/>
  <c r="Z107" i="59"/>
  <c r="Z103" i="59"/>
  <c r="Z99" i="59"/>
  <c r="K75" i="57"/>
  <c r="J75" i="57"/>
  <c r="F75" i="57"/>
  <c r="E75" i="57"/>
  <c r="Q54" i="57"/>
  <c r="P54" i="57"/>
  <c r="I54" i="57"/>
  <c r="S54" i="57"/>
  <c r="K54" i="57"/>
  <c r="J54" i="57"/>
  <c r="U39" i="57"/>
  <c r="E39" i="57"/>
  <c r="Q39" i="57"/>
  <c r="O39" i="57"/>
  <c r="I39" i="57"/>
  <c r="H39" i="57"/>
  <c r="O16" i="57"/>
  <c r="M16" i="57"/>
  <c r="G16" i="57"/>
  <c r="Y75" i="57"/>
  <c r="T75" i="57"/>
  <c r="Q75" i="57"/>
  <c r="D75" i="57"/>
  <c r="U75" i="57"/>
  <c r="O75" i="57"/>
  <c r="L54" i="57"/>
  <c r="R54" i="57"/>
  <c r="S16" i="57"/>
  <c r="Y16" i="57"/>
  <c r="V16" i="57" l="1"/>
  <c r="W16" i="57"/>
  <c r="Q16" i="57"/>
  <c r="U16" i="57"/>
  <c r="K39" i="57"/>
  <c r="M39" i="57"/>
  <c r="W39" i="57"/>
  <c r="Y39" i="57"/>
  <c r="E54" i="57"/>
  <c r="AA89" i="59"/>
  <c r="AA80" i="59"/>
  <c r="N16" i="57"/>
  <c r="K16" i="57"/>
  <c r="G39" i="57"/>
  <c r="AA98" i="59"/>
  <c r="AA102" i="59"/>
  <c r="AA106" i="59"/>
  <c r="AA113" i="59"/>
  <c r="AA114" i="59"/>
  <c r="Z54" i="55"/>
  <c r="E16" i="57"/>
  <c r="F16" i="57"/>
  <c r="H16" i="57"/>
  <c r="P16" i="57"/>
  <c r="X16" i="57"/>
  <c r="J16" i="57"/>
  <c r="J39" i="57"/>
  <c r="R39" i="57"/>
  <c r="D39" i="57"/>
  <c r="L39" i="57"/>
  <c r="T39" i="57"/>
  <c r="F39" i="57"/>
  <c r="N39" i="57"/>
  <c r="V39" i="57"/>
  <c r="D54" i="57"/>
  <c r="T54" i="57"/>
  <c r="F54" i="57"/>
  <c r="N54" i="57"/>
  <c r="V54" i="57"/>
  <c r="H54" i="57"/>
  <c r="X54" i="57"/>
  <c r="V75" i="57"/>
  <c r="I16" i="57"/>
  <c r="S39" i="57"/>
  <c r="M54" i="57"/>
  <c r="U54" i="57"/>
  <c r="G54" i="57"/>
  <c r="O54" i="57"/>
  <c r="W54" i="57"/>
  <c r="Y54" i="57"/>
  <c r="G75" i="57"/>
  <c r="W75" i="57"/>
  <c r="I75" i="57"/>
  <c r="S75" i="57"/>
  <c r="M75" i="57"/>
  <c r="AA54" i="57"/>
  <c r="Z5" i="59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5" i="59" l="1"/>
  <c r="AA9" i="59"/>
  <c r="AA10" i="59" s="1"/>
  <c r="Z9" i="59"/>
  <c r="Z10" i="59" s="1"/>
  <c r="AA12" i="59"/>
  <c r="AA13" i="59" s="1"/>
  <c r="Z12" i="59"/>
  <c r="Z13" i="59" s="1"/>
  <c r="AA96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T1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5" i="4"/>
  <c r="B4" i="4"/>
  <c r="B7" i="4"/>
  <c r="B6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<sst xmlns="http://schemas.openxmlformats.org/spreadsheetml/2006/main" count="722" uniqueCount="281">
  <si>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</si>
  <si>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</si>
  <si>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</si>
  <si>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</si>
  <si>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</si>
  <si>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</si>
  <si>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</si>
  <si>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</si>
  <si>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</si>
  <si>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</si>
  <si>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</si>
  <si>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</si>
  <si>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</si>
  <si>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</si>
  <si>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</si>
  <si>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</si>
  <si>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</si>
  <si>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</si>
  <si>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</si>
  <si>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</si>
  <si>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</si>
  <si>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</si>
  <si>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</si>
  <si>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</si>
  <si>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</si>
  <si>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</si>
  <si>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</si>
  <si>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</si>
  <si>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</si>
  <si>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</si>
  <si>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</si>
  <si>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</si>
  <si>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</si>
  <si>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</si>
  <si>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</si>
  <si>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</si>
  <si>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</si>
  <si>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</si>
  <si>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</si>
  <si>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</si>
  <si>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</si>
  <si>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</si>
  <si>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</si>
  <si>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</si>
  <si>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</si>
  <si>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</si>
  <si>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</si>
  <si>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</si>
  <si>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</si>
  <si>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</si>
  <si>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</si>
  <si>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</si>
  <si>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</si>
  <si>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</si>
  <si>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</si>
  <si>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</si>
  <si>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</si>
  <si>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</si>
  <si>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</si>
  <si>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</si>
  <si>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</si>
  <si>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</si>
  <si>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</si>
  <si>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</si>
  <si>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</si>
  <si>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</si>
  <si>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</si>
  <si>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</si>
  <si>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</si>
  <si>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</si>
  <si>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</si>
  <si>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</si>
  <si>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</si>
  <si>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</si>
  <si>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</si>
  <si>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</si>
  <si>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</si>
  <si>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</si>
  <si>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</si>
  <si>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</si>
  <si>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</si>
  <si>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</si>
  <si>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</si>
  <si>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</si>
  <si>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</si>
  <si>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</si>
  <si>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</si>
  <si>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</si>
  <si>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</si>
  <si>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</si>
  <si>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</si>
  <si>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</si>
  <si>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</si>
  <si>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</si>
  <si>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</si>
  <si>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</si>
  <si>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</si>
  <si>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</si>
  <si>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</si>
  <si>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</si>
  <si>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</si>
  <si>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</si>
  <si>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</si>
  <si>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</si>
  <si>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</si>
  <si>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</si>
  <si>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</si>
  <si>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</si>
  <si>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</si>
  <si>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</si>
  <si>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</si>
  <si>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</si>
  <si>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</si>
  <si>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</si>
  <si>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</si>
  <si>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</si>
  <si>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</si>
  <si>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</si>
  <si>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</si>
  <si>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</si>
  <si>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</si>
  <si>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</si>
  <si>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</si>
  <si>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</si>
  <si>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</si>
  <si>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</si>
  <si>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</si>
  <si>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</si>
  <si>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</si>
  <si>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</si>
  <si>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</si>
  <si>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</si>
  <si>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</si>
  <si>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</si>
  <si>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</si>
  <si>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</si>
  <si>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</si>
  <si>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</si>
  <si>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</si>
  <si>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</si>
  <si>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</si>
  <si>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</si>
  <si>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</si>
  <si>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</si>
  <si>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</si>
  <si>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</si>
  <si>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</si>
  <si>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</si>
  <si>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</si>
  <si>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</si>
  <si>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</si>
  <si>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</si>
  <si>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</si>
  <si>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</si>
  <si>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</si>
  <si>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</si>
  <si>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</si>
  <si>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</si>
  <si>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</si>
  <si>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</si>
  <si>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</si>
  <si>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</si>
  <si>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</si>
  <si>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</si>
  <si>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</si>
  <si>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</si>
  <si>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</si>
  <si>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</si>
  <si>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</si>
  <si>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</si>
  <si>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</si>
  <si>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</si>
  <si>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</si>
  <si>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</si>
  <si>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</si>
  <si>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</si>
  <si>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</si>
  <si>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</si>
  <si>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</si>
  <si>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</si>
  <si>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</si>
  <si>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</si>
  <si>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</si>
  <si>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</si>
  <si>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</si>
  <si>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</si>
  <si>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</si>
  <si>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</si>
  <si>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</si>
  <si>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</si>
  <si>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</si>
  <si>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</si>
  <si>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</si>
  <si>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</si>
  <si>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</si>
  <si>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</si>
  <si>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</si>
  <si>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</si>
  <si>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</si>
  <si>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</si>
  <si>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</si>
  <si>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</si>
  <si>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</si>
  <si>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</si>
  <si>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</si>
  <si>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</si>
  <si>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</si>
  <si>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</si>
  <si>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</si>
  <si>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</si>
  <si>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</si>
  <si>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</si>
  <si>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</si>
  <si>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</si>
  <si>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</si>
  <si>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</si>
  <si>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</si>
  <si>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</si>
  <si>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</si>
  <si>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</si>
  <si>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</si>
  <si>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</si>
  <si>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</si>
  <si>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</si>
  <si>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</si>
  <si>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</si>
  <si>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</si>
  <si>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</si>
  <si>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</si>
  <si>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</si>
  <si>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</si>
  <si>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</si>
  <si>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</si>
  <si>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</si>
  <si>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</si>
  <si>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</si>
  <si>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</si>
  <si>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</si>
  <si>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</si>
  <si>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</si>
  <si>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</si>
  <si>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</si>
  <si>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</si>
  <si>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</si>
  <si>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</si>
  <si>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</si>
  <si>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</si>
  <si>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</si>
  <si>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</si>
  <si>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</si>
  <si>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</si>
  <si>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</si>
  <si>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</si>
  <si>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</si>
  <si>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</si>
  <si>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</si>
  <si>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</si>
  <si>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</si>
  <si>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</si>
  <si>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</si>
  <si>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</si>
  <si>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</si>
  <si>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</si>
  <si>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</si>
  <si>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</si>
  <si>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</si>
  <si>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</si>
  <si>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</si>
  <si>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</si>
  <si>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</si>
  <si>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</si>
  <si>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</si>
  <si>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</si>
  <si>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</si>
  <si>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</si>
  <si>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</si>
  <si>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</si>
  <si>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</si>
  <si>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</si>
  <si>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CZ</t>
  </si>
  <si>
    <t>Czechia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</si>
</sst>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45967.472696759258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67409.2</v>
      </c>
      <c r="E2" s="19">
        <v>76070.600000000006</v>
      </c>
      <c r="F2" s="19">
        <v>87795.9</v>
      </c>
      <c r="G2" s="19">
        <v>88965.6</v>
      </c>
      <c r="H2" s="19">
        <v>96822.8</v>
      </c>
      <c r="I2" s="19">
        <v>110418.8</v>
      </c>
      <c r="J2" s="19">
        <v>124559</v>
      </c>
      <c r="K2" s="19">
        <v>138897.5</v>
      </c>
      <c r="L2" s="19">
        <v>161852.20000000001</v>
      </c>
      <c r="M2" s="19">
        <v>149253.1</v>
      </c>
      <c r="N2" s="19">
        <v>159506.1</v>
      </c>
      <c r="O2" s="19">
        <v>166545.5</v>
      </c>
      <c r="P2" s="19">
        <v>163759.4</v>
      </c>
      <c r="Q2" s="19">
        <v>160470</v>
      </c>
      <c r="R2" s="19">
        <v>158991.5</v>
      </c>
      <c r="S2" s="19">
        <v>170527.3</v>
      </c>
      <c r="T2" s="19">
        <v>179145.9</v>
      </c>
      <c r="U2" s="19">
        <v>196738.7</v>
      </c>
      <c r="V2" s="19">
        <v>213505.4</v>
      </c>
      <c r="W2" s="19">
        <v>229406.7</v>
      </c>
      <c r="X2" s="19">
        <v>220310.6</v>
      </c>
      <c r="Y2" s="19">
        <v>246012.3</v>
      </c>
      <c r="Z2" s="19">
        <v>286976.8</v>
      </c>
      <c r="AA2" s="19">
        <v>319099.09999999998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33944.800000000003</v>
      </c>
      <c r="E3" s="23">
        <v>37780.9</v>
      </c>
      <c r="F3" s="23">
        <v>43670.8</v>
      </c>
      <c r="G3" s="23">
        <v>44363.4</v>
      </c>
      <c r="H3" s="23">
        <v>47168.2</v>
      </c>
      <c r="I3" s="23">
        <v>52851.7</v>
      </c>
      <c r="J3" s="23">
        <v>58608.800000000003</v>
      </c>
      <c r="K3" s="23">
        <v>64060.5</v>
      </c>
      <c r="L3" s="23">
        <v>76830.2</v>
      </c>
      <c r="M3" s="23">
        <v>72818.899999999994</v>
      </c>
      <c r="N3" s="23">
        <v>79324.7</v>
      </c>
      <c r="O3" s="23">
        <v>83023.899999999994</v>
      </c>
      <c r="P3" s="23">
        <v>82117</v>
      </c>
      <c r="Q3" s="23">
        <v>80619.3</v>
      </c>
      <c r="R3" s="23">
        <v>77984.800000000003</v>
      </c>
      <c r="S3" s="23">
        <v>82029.899999999994</v>
      </c>
      <c r="T3" s="23">
        <v>86638.8</v>
      </c>
      <c r="U3" s="23">
        <v>95735.9</v>
      </c>
      <c r="V3" s="23">
        <v>104680.8</v>
      </c>
      <c r="W3" s="23">
        <v>110951</v>
      </c>
      <c r="X3" s="23">
        <v>103743.6</v>
      </c>
      <c r="Y3" s="23">
        <v>116224.2</v>
      </c>
      <c r="Z3" s="23">
        <v>139367.5</v>
      </c>
      <c r="AA3" s="23">
        <v>150845.5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61440.1</v>
      </c>
      <c r="E4" s="27">
        <v>69457.5</v>
      </c>
      <c r="F4" s="27">
        <v>80320.3</v>
      </c>
      <c r="G4" s="27">
        <v>81356.899999999994</v>
      </c>
      <c r="H4" s="27">
        <v>87689.7</v>
      </c>
      <c r="I4" s="27">
        <v>99873.9</v>
      </c>
      <c r="J4" s="27">
        <v>113209.3</v>
      </c>
      <c r="K4" s="27">
        <v>125780.7</v>
      </c>
      <c r="L4" s="27">
        <v>146823.9</v>
      </c>
      <c r="M4" s="27">
        <v>135019.6</v>
      </c>
      <c r="N4" s="27">
        <v>144502.79999999999</v>
      </c>
      <c r="O4" s="27">
        <v>150546.4</v>
      </c>
      <c r="P4" s="27">
        <v>147400.9</v>
      </c>
      <c r="Q4" s="27">
        <v>143926.70000000001</v>
      </c>
      <c r="R4" s="27">
        <v>143913.5</v>
      </c>
      <c r="S4" s="27">
        <v>153657</v>
      </c>
      <c r="T4" s="27">
        <v>161310.79999999999</v>
      </c>
      <c r="U4" s="27">
        <v>177057.7</v>
      </c>
      <c r="V4" s="27">
        <v>192659.1</v>
      </c>
      <c r="W4" s="27">
        <v>207645.5</v>
      </c>
      <c r="X4" s="27">
        <v>200921</v>
      </c>
      <c r="Y4" s="27">
        <v>224220.1</v>
      </c>
      <c r="Z4" s="27">
        <v>261260.4</v>
      </c>
      <c r="AA4" s="27">
        <v>293132.59999999998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2177.5</v>
      </c>
      <c r="E6" s="19">
        <v>2424.9</v>
      </c>
      <c r="F6" s="19">
        <v>2323.3000000000002</v>
      </c>
      <c r="G6" s="19">
        <v>2162.8000000000002</v>
      </c>
      <c r="H6" s="19">
        <v>2331.5</v>
      </c>
      <c r="I6" s="19">
        <v>2518.9</v>
      </c>
      <c r="J6" s="19">
        <v>2694.1</v>
      </c>
      <c r="K6" s="19">
        <v>2901.2</v>
      </c>
      <c r="L6" s="19">
        <v>3108.2</v>
      </c>
      <c r="M6" s="19">
        <v>2625.2</v>
      </c>
      <c r="N6" s="19">
        <v>2428.6</v>
      </c>
      <c r="O6" s="19">
        <v>3270.8</v>
      </c>
      <c r="P6" s="19">
        <v>3654.5</v>
      </c>
      <c r="Q6" s="19">
        <v>3767.2</v>
      </c>
      <c r="R6" s="19">
        <v>3804.2</v>
      </c>
      <c r="S6" s="19">
        <v>3852.1</v>
      </c>
      <c r="T6" s="19">
        <v>3848.2</v>
      </c>
      <c r="U6" s="19">
        <v>4142.3</v>
      </c>
      <c r="V6" s="19">
        <v>4203</v>
      </c>
      <c r="W6" s="19">
        <v>4339.3</v>
      </c>
      <c r="X6" s="19">
        <v>4282.8</v>
      </c>
      <c r="Y6" s="19">
        <v>4327</v>
      </c>
      <c r="Z6" s="19">
        <v>5958.6</v>
      </c>
      <c r="AA6" s="19">
        <v>6832.6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18688.2</v>
      </c>
      <c r="E7" s="23">
        <v>21521</v>
      </c>
      <c r="F7" s="23">
        <v>23944.9</v>
      </c>
      <c r="G7" s="23">
        <v>23368.6</v>
      </c>
      <c r="H7" s="23">
        <v>26734.9</v>
      </c>
      <c r="I7" s="23">
        <v>30376.400000000001</v>
      </c>
      <c r="J7" s="23">
        <v>35527.199999999997</v>
      </c>
      <c r="K7" s="23">
        <v>39383.199999999997</v>
      </c>
      <c r="L7" s="23">
        <v>45116.7</v>
      </c>
      <c r="M7" s="23">
        <v>39821.1</v>
      </c>
      <c r="N7" s="23">
        <v>42219.199999999997</v>
      </c>
      <c r="O7" s="23">
        <v>45896.800000000003</v>
      </c>
      <c r="P7" s="23">
        <v>44782.1</v>
      </c>
      <c r="Q7" s="23">
        <v>43745.2</v>
      </c>
      <c r="R7" s="23">
        <v>45261.9</v>
      </c>
      <c r="S7" s="23">
        <v>48573.1</v>
      </c>
      <c r="T7" s="23">
        <v>50505.8</v>
      </c>
      <c r="U7" s="23">
        <v>53966.3</v>
      </c>
      <c r="V7" s="23">
        <v>56207.4</v>
      </c>
      <c r="W7" s="23">
        <v>59412.9</v>
      </c>
      <c r="X7" s="23">
        <v>54323.1</v>
      </c>
      <c r="Y7" s="23">
        <v>57979.4</v>
      </c>
      <c r="Z7" s="23">
        <v>69563.899999999994</v>
      </c>
      <c r="AA7" s="23">
        <v>79389.399999999994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3762.7</v>
      </c>
      <c r="E8" s="23">
        <v>4145.7</v>
      </c>
      <c r="F8" s="23">
        <v>5081.3999999999996</v>
      </c>
      <c r="G8" s="23">
        <v>5287.3</v>
      </c>
      <c r="H8" s="23">
        <v>5654.7</v>
      </c>
      <c r="I8" s="23">
        <v>6648.9</v>
      </c>
      <c r="J8" s="23">
        <v>7167.7</v>
      </c>
      <c r="K8" s="23">
        <v>8047</v>
      </c>
      <c r="L8" s="23">
        <v>9300.6</v>
      </c>
      <c r="M8" s="23">
        <v>9420.2000000000007</v>
      </c>
      <c r="N8" s="23">
        <v>10071</v>
      </c>
      <c r="O8" s="23">
        <v>9588.4</v>
      </c>
      <c r="P8" s="23">
        <v>8622.9</v>
      </c>
      <c r="Q8" s="23">
        <v>8207</v>
      </c>
      <c r="R8" s="23">
        <v>8040.9</v>
      </c>
      <c r="S8" s="23">
        <v>8579.2000000000007</v>
      </c>
      <c r="T8" s="23">
        <v>8659.1</v>
      </c>
      <c r="U8" s="23">
        <v>9451.5</v>
      </c>
      <c r="V8" s="23">
        <v>10502.2</v>
      </c>
      <c r="W8" s="23">
        <v>11284</v>
      </c>
      <c r="X8" s="23">
        <v>11049.4</v>
      </c>
      <c r="Y8" s="23">
        <v>12174.5</v>
      </c>
      <c r="Z8" s="23">
        <v>14286.7</v>
      </c>
      <c r="AA8" s="23">
        <v>16416.099999999999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13596.2</v>
      </c>
      <c r="E9" s="23">
        <v>15111.3</v>
      </c>
      <c r="F9" s="23">
        <v>17706.099999999999</v>
      </c>
      <c r="G9" s="23">
        <v>17921.900000000001</v>
      </c>
      <c r="H9" s="23">
        <v>18370.599999999999</v>
      </c>
      <c r="I9" s="23">
        <v>20553.400000000001</v>
      </c>
      <c r="J9" s="23">
        <v>23273.599999999999</v>
      </c>
      <c r="K9" s="23">
        <v>25459.7</v>
      </c>
      <c r="L9" s="23">
        <v>29555.4</v>
      </c>
      <c r="M9" s="23">
        <v>25063.200000000001</v>
      </c>
      <c r="N9" s="23">
        <v>26777.5</v>
      </c>
      <c r="O9" s="23">
        <v>27310.400000000001</v>
      </c>
      <c r="P9" s="23">
        <v>26769.9</v>
      </c>
      <c r="Q9" s="23">
        <v>25749.3</v>
      </c>
      <c r="R9" s="23">
        <v>25615.8</v>
      </c>
      <c r="S9" s="23">
        <v>27969.1</v>
      </c>
      <c r="T9" s="23">
        <v>29333.599999999999</v>
      </c>
      <c r="U9" s="23">
        <v>33019.199999999997</v>
      </c>
      <c r="V9" s="23">
        <v>35348.699999999997</v>
      </c>
      <c r="W9" s="23">
        <v>37355.599999999999</v>
      </c>
      <c r="X9" s="23">
        <v>34237.5</v>
      </c>
      <c r="Y9" s="23">
        <v>39443.300000000003</v>
      </c>
      <c r="Z9" s="23">
        <v>46431.199999999997</v>
      </c>
      <c r="AA9" s="23">
        <v>50938.6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2614.5</v>
      </c>
      <c r="E10" s="23">
        <v>2954.7</v>
      </c>
      <c r="F10" s="23">
        <v>3564.7</v>
      </c>
      <c r="G10" s="23">
        <v>3677.6</v>
      </c>
      <c r="H10" s="23">
        <v>3894</v>
      </c>
      <c r="I10" s="23">
        <v>4713</v>
      </c>
      <c r="J10" s="23">
        <v>5525.7</v>
      </c>
      <c r="K10" s="23">
        <v>6362</v>
      </c>
      <c r="L10" s="23">
        <v>7364.1</v>
      </c>
      <c r="M10" s="23">
        <v>6980.5</v>
      </c>
      <c r="N10" s="23">
        <v>7164.3</v>
      </c>
      <c r="O10" s="23">
        <v>7446.7</v>
      </c>
      <c r="P10" s="23">
        <v>7220.5</v>
      </c>
      <c r="Q10" s="23">
        <v>6972.8</v>
      </c>
      <c r="R10" s="23">
        <v>6943.7</v>
      </c>
      <c r="S10" s="23">
        <v>7550.5</v>
      </c>
      <c r="T10" s="23">
        <v>8111.4</v>
      </c>
      <c r="U10" s="23">
        <v>9216.1</v>
      </c>
      <c r="V10" s="23">
        <v>10599.4</v>
      </c>
      <c r="W10" s="23">
        <v>12571.8</v>
      </c>
      <c r="X10" s="23">
        <v>13030.2</v>
      </c>
      <c r="Y10" s="23">
        <v>15299.5</v>
      </c>
      <c r="Z10" s="23">
        <v>17551.900000000001</v>
      </c>
      <c r="AA10" s="23">
        <v>20220.400000000001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1923</v>
      </c>
      <c r="E11" s="23">
        <v>2295.1</v>
      </c>
      <c r="F11" s="23">
        <v>2110.8000000000002</v>
      </c>
      <c r="G11" s="23">
        <v>2705.6</v>
      </c>
      <c r="H11" s="23">
        <v>2858.9</v>
      </c>
      <c r="I11" s="23">
        <v>3116.5</v>
      </c>
      <c r="J11" s="23">
        <v>3471.2</v>
      </c>
      <c r="K11" s="23">
        <v>4523.7</v>
      </c>
      <c r="L11" s="23">
        <v>5970.3</v>
      </c>
      <c r="M11" s="23">
        <v>5938.3</v>
      </c>
      <c r="N11" s="23">
        <v>6610</v>
      </c>
      <c r="O11" s="23">
        <v>6753.6</v>
      </c>
      <c r="P11" s="23">
        <v>6533.1</v>
      </c>
      <c r="Q11" s="23">
        <v>6435.7</v>
      </c>
      <c r="R11" s="23">
        <v>5963.3</v>
      </c>
      <c r="S11" s="23">
        <v>6357.1</v>
      </c>
      <c r="T11" s="23">
        <v>6505.7</v>
      </c>
      <c r="U11" s="23">
        <v>7095</v>
      </c>
      <c r="V11" s="23">
        <v>7775.7</v>
      </c>
      <c r="W11" s="23">
        <v>8101.4</v>
      </c>
      <c r="X11" s="23">
        <v>7954.5</v>
      </c>
      <c r="Y11" s="23">
        <v>9036.2999999999993</v>
      </c>
      <c r="Z11" s="23">
        <v>9459.1</v>
      </c>
      <c r="AA11" s="23">
        <v>11068.8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4932</v>
      </c>
      <c r="E12" s="23">
        <v>5442</v>
      </c>
      <c r="F12" s="23">
        <v>6374.1</v>
      </c>
      <c r="G12" s="23">
        <v>6427.8</v>
      </c>
      <c r="H12" s="23">
        <v>6889.7</v>
      </c>
      <c r="I12" s="23">
        <v>8085.7</v>
      </c>
      <c r="J12" s="23">
        <v>9083.7999999999993</v>
      </c>
      <c r="K12" s="23">
        <v>9901.7999999999993</v>
      </c>
      <c r="L12" s="23">
        <v>12251.8</v>
      </c>
      <c r="M12" s="23">
        <v>12300.8</v>
      </c>
      <c r="N12" s="23">
        <v>14701.2</v>
      </c>
      <c r="O12" s="23">
        <v>15011.3</v>
      </c>
      <c r="P12" s="23">
        <v>14735</v>
      </c>
      <c r="Q12" s="23">
        <v>14406.2</v>
      </c>
      <c r="R12" s="23">
        <v>14358.1</v>
      </c>
      <c r="S12" s="23">
        <v>15161.2</v>
      </c>
      <c r="T12" s="23">
        <v>16335.5</v>
      </c>
      <c r="U12" s="23">
        <v>18166.400000000001</v>
      </c>
      <c r="V12" s="23">
        <v>21279.1</v>
      </c>
      <c r="W12" s="23">
        <v>23485.4</v>
      </c>
      <c r="X12" s="23">
        <v>24752.3</v>
      </c>
      <c r="Y12" s="23">
        <v>28395.4</v>
      </c>
      <c r="Z12" s="23">
        <v>32989.699999999997</v>
      </c>
      <c r="AA12" s="23">
        <v>35556.800000000003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3616.4</v>
      </c>
      <c r="E13" s="23">
        <v>4128.8999999999996</v>
      </c>
      <c r="F13" s="23">
        <v>5256.8</v>
      </c>
      <c r="G13" s="23">
        <v>5258.7</v>
      </c>
      <c r="H13" s="23">
        <v>5751.7</v>
      </c>
      <c r="I13" s="23">
        <v>6608.4</v>
      </c>
      <c r="J13" s="23">
        <v>7307.7</v>
      </c>
      <c r="K13" s="23">
        <v>8450.5</v>
      </c>
      <c r="L13" s="23">
        <v>10092.799999999999</v>
      </c>
      <c r="M13" s="23">
        <v>9213.5</v>
      </c>
      <c r="N13" s="23">
        <v>9652</v>
      </c>
      <c r="O13" s="23">
        <v>9633.7999999999993</v>
      </c>
      <c r="P13" s="23">
        <v>9980.2000000000007</v>
      </c>
      <c r="Q13" s="23">
        <v>9977.2000000000007</v>
      </c>
      <c r="R13" s="23">
        <v>9740.9</v>
      </c>
      <c r="S13" s="23">
        <v>10165.1</v>
      </c>
      <c r="T13" s="23">
        <v>11096.1</v>
      </c>
      <c r="U13" s="23">
        <v>12341.8</v>
      </c>
      <c r="V13" s="23">
        <v>13531.1</v>
      </c>
      <c r="W13" s="23">
        <v>14714.6</v>
      </c>
      <c r="X13" s="23">
        <v>13786.4</v>
      </c>
      <c r="Y13" s="23">
        <v>15710</v>
      </c>
      <c r="Z13" s="23">
        <v>18403.8</v>
      </c>
      <c r="AA13" s="23">
        <v>20967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8575.4999999999927</v>
      </c>
      <c r="E14" s="23">
        <v>9764.0999999999985</v>
      </c>
      <c r="F14" s="23">
        <v>12063.900000000009</v>
      </c>
      <c r="G14" s="23">
        <v>12522.299999999988</v>
      </c>
      <c r="H14" s="23">
        <v>13044.800000000003</v>
      </c>
      <c r="I14" s="23">
        <v>14936.800000000003</v>
      </c>
      <c r="J14" s="23">
        <v>16510.300000000017</v>
      </c>
      <c r="K14" s="23">
        <v>17883.700000000012</v>
      </c>
      <c r="L14" s="23">
        <v>20953.699999999983</v>
      </c>
      <c r="M14" s="23">
        <v>20678.199999999997</v>
      </c>
      <c r="N14" s="23">
        <v>21600.699999999997</v>
      </c>
      <c r="O14" s="23">
        <v>21972.499999999971</v>
      </c>
      <c r="P14" s="23">
        <v>21884.599999999991</v>
      </c>
      <c r="Q14" s="23">
        <v>21553.10000000002</v>
      </c>
      <c r="R14" s="23">
        <v>21161.699999999997</v>
      </c>
      <c r="S14" s="23">
        <v>22179.099999999977</v>
      </c>
      <c r="T14" s="23">
        <v>23415.100000000006</v>
      </c>
      <c r="U14" s="23">
        <v>25756.5</v>
      </c>
      <c r="V14" s="23">
        <v>29012.600000000006</v>
      </c>
      <c r="W14" s="23">
        <v>31884.199999999983</v>
      </c>
      <c r="X14" s="23">
        <v>33622.500000000029</v>
      </c>
      <c r="Y14" s="23">
        <v>37624.100000000006</v>
      </c>
      <c r="Z14" s="23">
        <v>41244.300000000017</v>
      </c>
      <c r="AA14" s="23">
        <v>45582.599999999977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1554.1</v>
      </c>
      <c r="E15" s="23">
        <v>1669.8</v>
      </c>
      <c r="F15" s="23">
        <v>1894.3</v>
      </c>
      <c r="G15" s="23">
        <v>2024.3</v>
      </c>
      <c r="H15" s="23">
        <v>2158.9</v>
      </c>
      <c r="I15" s="23">
        <v>2315.9</v>
      </c>
      <c r="J15" s="23">
        <v>2648</v>
      </c>
      <c r="K15" s="23">
        <v>2867.9</v>
      </c>
      <c r="L15" s="23">
        <v>3110.3</v>
      </c>
      <c r="M15" s="23">
        <v>2978.6</v>
      </c>
      <c r="N15" s="23">
        <v>3278.3</v>
      </c>
      <c r="O15" s="23">
        <v>3662.1</v>
      </c>
      <c r="P15" s="23">
        <v>3218.1</v>
      </c>
      <c r="Q15" s="23">
        <v>3113</v>
      </c>
      <c r="R15" s="23">
        <v>3023</v>
      </c>
      <c r="S15" s="23">
        <v>3270.5</v>
      </c>
      <c r="T15" s="23">
        <v>3500.3</v>
      </c>
      <c r="U15" s="23">
        <v>3902.6</v>
      </c>
      <c r="V15" s="23">
        <v>4199.8999999999996</v>
      </c>
      <c r="W15" s="23">
        <v>4496.3</v>
      </c>
      <c r="X15" s="23">
        <v>3882.3</v>
      </c>
      <c r="Y15" s="23">
        <v>4230.6000000000004</v>
      </c>
      <c r="Z15" s="23">
        <v>5371.2</v>
      </c>
      <c r="AA15" s="23">
        <v>6160.3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61440.1</v>
      </c>
      <c r="E16" s="30">
        <f t="shared" ref="E16:Y16" si="0">SUM(E6:E15)</f>
        <v>69457.5</v>
      </c>
      <c r="F16" s="30">
        <f t="shared" si="0"/>
        <v>80320.3</v>
      </c>
      <c r="G16" s="30">
        <f t="shared" si="0"/>
        <v>81356.899999999994</v>
      </c>
      <c r="H16" s="30">
        <f t="shared" si="0"/>
        <v>87689.7</v>
      </c>
      <c r="I16" s="30">
        <f t="shared" si="0"/>
        <v>99873.9</v>
      </c>
      <c r="J16" s="30">
        <f t="shared" si="0"/>
        <v>113209.3</v>
      </c>
      <c r="K16" s="30">
        <f t="shared" si="0"/>
        <v>125780.7</v>
      </c>
      <c r="L16" s="30">
        <f t="shared" si="0"/>
        <v>146823.89999999997</v>
      </c>
      <c r="M16" s="30">
        <f t="shared" si="0"/>
        <v>135019.6</v>
      </c>
      <c r="N16" s="30">
        <f t="shared" si="0"/>
        <v>144502.79999999999</v>
      </c>
      <c r="O16" s="30">
        <f t="shared" si="0"/>
        <v>150546.4</v>
      </c>
      <c r="P16" s="30">
        <f t="shared" si="0"/>
        <v>147400.9</v>
      </c>
      <c r="Q16" s="30">
        <f t="shared" si="0"/>
        <v>143926.70000000001</v>
      </c>
      <c r="R16" s="30">
        <f t="shared" si="0"/>
        <v>143913.5</v>
      </c>
      <c r="S16" s="30">
        <f t="shared" si="0"/>
        <v>153657</v>
      </c>
      <c r="T16" s="30">
        <f t="shared" si="0"/>
        <v>161310.79999999999</v>
      </c>
      <c r="U16" s="30">
        <f t="shared" si="0"/>
        <v>177057.7</v>
      </c>
      <c r="V16" s="30">
        <f t="shared" si="0"/>
        <v>192659.1</v>
      </c>
      <c r="W16" s="30">
        <f t="shared" si="0"/>
        <v>207645.5</v>
      </c>
      <c r="X16" s="30">
        <f t="shared" si="0"/>
        <v>200921</v>
      </c>
      <c r="Y16" s="30">
        <f t="shared" si="0"/>
        <v>224220.1</v>
      </c>
      <c r="Z16" s="30">
        <f t="shared" ref="Z16:AA16" si="1">SUM(Z6:Z15)</f>
        <v>261260.4</v>
      </c>
      <c r="AA16" s="30">
        <f t="shared" si="1"/>
        <v>293132.59999999998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2177.5</v>
      </c>
      <c r="E18" s="19">
        <v>2424.9</v>
      </c>
      <c r="F18" s="19">
        <v>2323.3000000000002</v>
      </c>
      <c r="G18" s="19">
        <v>2162.8000000000002</v>
      </c>
      <c r="H18" s="19">
        <v>2331.5</v>
      </c>
      <c r="I18" s="19">
        <v>2518.9</v>
      </c>
      <c r="J18" s="19">
        <v>2694.1</v>
      </c>
      <c r="K18" s="19">
        <v>2901.2</v>
      </c>
      <c r="L18" s="19">
        <v>3108.2</v>
      </c>
      <c r="M18" s="19">
        <v>2625.2</v>
      </c>
      <c r="N18" s="19">
        <v>2428.6</v>
      </c>
      <c r="O18" s="19">
        <v>3270.8</v>
      </c>
      <c r="P18" s="19">
        <v>3654.5</v>
      </c>
      <c r="Q18" s="19">
        <v>3767.2</v>
      </c>
      <c r="R18" s="19">
        <v>3804.2</v>
      </c>
      <c r="S18" s="19">
        <v>3852.1</v>
      </c>
      <c r="T18" s="19">
        <v>3848.2</v>
      </c>
      <c r="U18" s="19">
        <v>4142.3</v>
      </c>
      <c r="V18" s="19">
        <v>4203</v>
      </c>
      <c r="W18" s="19">
        <v>4339.3</v>
      </c>
      <c r="X18" s="19">
        <v>4282.8</v>
      </c>
      <c r="Y18" s="19">
        <v>4327</v>
      </c>
      <c r="Z18" s="19">
        <v>5958.6</v>
      </c>
      <c r="AA18" s="19">
        <v>6832.6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805.45325662897596</v>
      </c>
      <c r="E19" s="23">
        <v>886.8000000000003</v>
      </c>
      <c r="F19" s="23">
        <v>956.4216160018085</v>
      </c>
      <c r="G19" s="23">
        <v>863.8</v>
      </c>
      <c r="H19" s="23">
        <v>1010.3000000000003</v>
      </c>
      <c r="I19" s="23">
        <v>1233.9000000000005</v>
      </c>
      <c r="J19" s="23">
        <v>1469.9221617465241</v>
      </c>
      <c r="K19" s="23">
        <v>1611.4999999999991</v>
      </c>
      <c r="L19" s="23">
        <v>2038.5999999999988</v>
      </c>
      <c r="M19" s="23">
        <v>1657.3824750988645</v>
      </c>
      <c r="N19" s="23">
        <v>1778.980672077181</v>
      </c>
      <c r="O19" s="23">
        <v>1892.6000000000006</v>
      </c>
      <c r="P19" s="23">
        <v>1706.3815006342086</v>
      </c>
      <c r="Q19" s="23">
        <v>1296.1853108497085</v>
      </c>
      <c r="R19" s="23">
        <v>1423.1820936084553</v>
      </c>
      <c r="S19" s="23">
        <v>1376.3999999999996</v>
      </c>
      <c r="T19" s="23">
        <v>1167.1000000000004</v>
      </c>
      <c r="U19" s="23">
        <v>1245.9000000000001</v>
      </c>
      <c r="V19" s="23">
        <v>1292.2000000000005</v>
      </c>
      <c r="W19" s="23">
        <v>1172.4864496296045</v>
      </c>
      <c r="X19" s="23">
        <v>1005.9118266042749</v>
      </c>
      <c r="Y19" s="23">
        <v>1148.4118880756937</v>
      </c>
      <c r="Z19" s="23">
        <v>1461.4105102664596</v>
      </c>
      <c r="AA19" s="23">
        <v>1652.7116489046766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15663.4</v>
      </c>
      <c r="E20" s="23">
        <v>17889.599999999999</v>
      </c>
      <c r="F20" s="23">
        <v>19520.3</v>
      </c>
      <c r="G20" s="23">
        <v>19178.599999999999</v>
      </c>
      <c r="H20" s="23">
        <v>21918.3</v>
      </c>
      <c r="I20" s="23">
        <v>24899.5</v>
      </c>
      <c r="J20" s="23">
        <v>28894.5</v>
      </c>
      <c r="K20" s="23">
        <v>32166.7</v>
      </c>
      <c r="L20" s="23">
        <v>35485.800000000003</v>
      </c>
      <c r="M20" s="23">
        <v>30363.8</v>
      </c>
      <c r="N20" s="23">
        <v>33015</v>
      </c>
      <c r="O20" s="23">
        <v>36414</v>
      </c>
      <c r="P20" s="23">
        <v>35558.1</v>
      </c>
      <c r="Q20" s="23">
        <v>34921.1</v>
      </c>
      <c r="R20" s="23">
        <v>37314</v>
      </c>
      <c r="S20" s="23">
        <v>40472.9</v>
      </c>
      <c r="T20" s="23">
        <v>42567</v>
      </c>
      <c r="U20" s="23">
        <v>45608.9</v>
      </c>
      <c r="V20" s="23">
        <v>47624.6</v>
      </c>
      <c r="W20" s="23">
        <v>50760.1</v>
      </c>
      <c r="X20" s="23">
        <v>45817.599999999999</v>
      </c>
      <c r="Y20" s="23">
        <v>48319.199999999997</v>
      </c>
      <c r="Z20" s="23">
        <v>55659.3</v>
      </c>
      <c r="AA20" s="23">
        <v>65201.7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1622.6072869139723</v>
      </c>
      <c r="E21" s="23">
        <v>2082.0000000000009</v>
      </c>
      <c r="F21" s="23">
        <v>2636.3595841338019</v>
      </c>
      <c r="G21" s="23">
        <v>2489.4</v>
      </c>
      <c r="H21" s="23">
        <v>2730.5000000000009</v>
      </c>
      <c r="I21" s="23">
        <v>3131.5000000000014</v>
      </c>
      <c r="J21" s="23">
        <v>3933.2593010282521</v>
      </c>
      <c r="K21" s="23">
        <v>4270.5999999999985</v>
      </c>
      <c r="L21" s="23">
        <v>5996.7999999999965</v>
      </c>
      <c r="M21" s="23">
        <v>6247.6339385031824</v>
      </c>
      <c r="N21" s="23">
        <v>5754.3374813945638</v>
      </c>
      <c r="O21" s="23">
        <v>5798.8000000000029</v>
      </c>
      <c r="P21" s="23">
        <v>5822.8368729740578</v>
      </c>
      <c r="Q21" s="23">
        <v>5949.0325819904338</v>
      </c>
      <c r="R21" s="23">
        <v>4955.1376547559139</v>
      </c>
      <c r="S21" s="23">
        <v>5126.199999999998</v>
      </c>
      <c r="T21" s="23">
        <v>5128.0000000000018</v>
      </c>
      <c r="U21" s="23">
        <v>5315.8</v>
      </c>
      <c r="V21" s="23">
        <v>5322.9000000000024</v>
      </c>
      <c r="W21" s="23">
        <v>5531.5360722994628</v>
      </c>
      <c r="X21" s="23">
        <v>5514.5648352811158</v>
      </c>
      <c r="Y21" s="23">
        <v>6175.5639279096531</v>
      </c>
      <c r="Z21" s="23">
        <v>9937.0714660721278</v>
      </c>
      <c r="AA21" s="23">
        <v>9795.6690433900003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596.73945645705237</v>
      </c>
      <c r="E22" s="23">
        <v>662.60000000000025</v>
      </c>
      <c r="F22" s="23">
        <v>831.81879986439185</v>
      </c>
      <c r="G22" s="23">
        <v>836.8</v>
      </c>
      <c r="H22" s="23">
        <v>1075.8000000000004</v>
      </c>
      <c r="I22" s="23">
        <v>1111.5000000000005</v>
      </c>
      <c r="J22" s="23">
        <v>1229.5185372252204</v>
      </c>
      <c r="K22" s="23">
        <v>1334.3999999999994</v>
      </c>
      <c r="L22" s="23">
        <v>1595.4999999999991</v>
      </c>
      <c r="M22" s="23">
        <v>1552.2835863979528</v>
      </c>
      <c r="N22" s="23">
        <v>1670.8818465282527</v>
      </c>
      <c r="O22" s="23">
        <v>1791.4000000000008</v>
      </c>
      <c r="P22" s="23">
        <v>1694.781626391735</v>
      </c>
      <c r="Q22" s="23">
        <v>1578.8821071598557</v>
      </c>
      <c r="R22" s="23">
        <v>1569.5802516356318</v>
      </c>
      <c r="S22" s="23">
        <v>1597.5999999999992</v>
      </c>
      <c r="T22" s="23">
        <v>1643.7000000000005</v>
      </c>
      <c r="U22" s="23">
        <v>1795.7</v>
      </c>
      <c r="V22" s="23">
        <v>1967.7000000000007</v>
      </c>
      <c r="W22" s="23">
        <v>1948.7774780709365</v>
      </c>
      <c r="X22" s="23">
        <v>1985.0233381146095</v>
      </c>
      <c r="Y22" s="23">
        <v>2336.2241840146594</v>
      </c>
      <c r="Z22" s="23">
        <v>2506.1180236614032</v>
      </c>
      <c r="AA22" s="23">
        <v>2739.3193077053193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3762.7</v>
      </c>
      <c r="E23" s="23">
        <v>4145.7</v>
      </c>
      <c r="F23" s="23">
        <v>5081.3999999999996</v>
      </c>
      <c r="G23" s="23">
        <v>5287.3</v>
      </c>
      <c r="H23" s="23">
        <v>5654.7</v>
      </c>
      <c r="I23" s="23">
        <v>6648.9</v>
      </c>
      <c r="J23" s="23">
        <v>7167.7</v>
      </c>
      <c r="K23" s="23">
        <v>8047</v>
      </c>
      <c r="L23" s="23">
        <v>9300.6</v>
      </c>
      <c r="M23" s="23">
        <v>9420.2000000000007</v>
      </c>
      <c r="N23" s="23">
        <v>10071</v>
      </c>
      <c r="O23" s="23">
        <v>9588.4</v>
      </c>
      <c r="P23" s="23">
        <v>8622.9</v>
      </c>
      <c r="Q23" s="23">
        <v>8207</v>
      </c>
      <c r="R23" s="23">
        <v>8040.9</v>
      </c>
      <c r="S23" s="23">
        <v>8579.2000000000007</v>
      </c>
      <c r="T23" s="23">
        <v>8659.1</v>
      </c>
      <c r="U23" s="23">
        <v>9451.5</v>
      </c>
      <c r="V23" s="23">
        <v>10502.2</v>
      </c>
      <c r="W23" s="23">
        <v>11284</v>
      </c>
      <c r="X23" s="23">
        <v>11049.4</v>
      </c>
      <c r="Y23" s="23">
        <v>12174.5</v>
      </c>
      <c r="Z23" s="23">
        <v>14286.7</v>
      </c>
      <c r="AA23" s="23">
        <v>16416.099999999999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7188.6</v>
      </c>
      <c r="E24" s="23">
        <v>8040.1999999999989</v>
      </c>
      <c r="F24" s="23">
        <v>9414.5999999999985</v>
      </c>
      <c r="G24" s="23">
        <v>9380.0000000000018</v>
      </c>
      <c r="H24" s="23">
        <v>9567.9999999999982</v>
      </c>
      <c r="I24" s="23">
        <v>11176.2</v>
      </c>
      <c r="J24" s="23">
        <v>12844.999999999998</v>
      </c>
      <c r="K24" s="23">
        <v>13913.1</v>
      </c>
      <c r="L24" s="23">
        <v>16016.600000000002</v>
      </c>
      <c r="M24" s="23">
        <v>13959.5</v>
      </c>
      <c r="N24" s="23">
        <v>15035.5</v>
      </c>
      <c r="O24" s="23">
        <v>15371.900000000001</v>
      </c>
      <c r="P24" s="23">
        <v>15414.800000000001</v>
      </c>
      <c r="Q24" s="23">
        <v>14779</v>
      </c>
      <c r="R24" s="23">
        <v>14891.2</v>
      </c>
      <c r="S24" s="23">
        <v>16550.899999999998</v>
      </c>
      <c r="T24" s="23">
        <v>17105.5</v>
      </c>
      <c r="U24" s="23">
        <v>19382.999999999996</v>
      </c>
      <c r="V24" s="23">
        <v>20833.199999999997</v>
      </c>
      <c r="W24" s="23">
        <v>22037.1</v>
      </c>
      <c r="X24" s="23">
        <v>21306.5</v>
      </c>
      <c r="Y24" s="23">
        <v>25119.800000000003</v>
      </c>
      <c r="Z24" s="23">
        <v>28524.199999999997</v>
      </c>
      <c r="AA24" s="23">
        <v>30864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4443</v>
      </c>
      <c r="E25" s="23">
        <v>5047.6000000000004</v>
      </c>
      <c r="F25" s="23">
        <v>5843.5</v>
      </c>
      <c r="G25" s="23">
        <v>6110.7</v>
      </c>
      <c r="H25" s="23">
        <v>6264.7</v>
      </c>
      <c r="I25" s="23">
        <v>6814.6</v>
      </c>
      <c r="J25" s="23">
        <v>7687.7</v>
      </c>
      <c r="K25" s="23">
        <v>8507.1</v>
      </c>
      <c r="L25" s="23">
        <v>9611</v>
      </c>
      <c r="M25" s="23">
        <v>8101</v>
      </c>
      <c r="N25" s="23">
        <v>8734.9</v>
      </c>
      <c r="O25" s="23">
        <v>8692.5</v>
      </c>
      <c r="P25" s="23">
        <v>8484.1</v>
      </c>
      <c r="Q25" s="23">
        <v>8176.9</v>
      </c>
      <c r="R25" s="23">
        <v>8050.4</v>
      </c>
      <c r="S25" s="23">
        <v>8605.7000000000007</v>
      </c>
      <c r="T25" s="23">
        <v>9133.9</v>
      </c>
      <c r="U25" s="23">
        <v>10047.700000000001</v>
      </c>
      <c r="V25" s="23">
        <v>10676.1</v>
      </c>
      <c r="W25" s="23">
        <v>11180.3</v>
      </c>
      <c r="X25" s="23">
        <v>10503.7</v>
      </c>
      <c r="Y25" s="23">
        <v>11487.5</v>
      </c>
      <c r="Z25" s="23">
        <v>13758.5</v>
      </c>
      <c r="AA25" s="23">
        <v>14853.3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1964.6</v>
      </c>
      <c r="E26" s="23">
        <v>2023.5</v>
      </c>
      <c r="F26" s="23">
        <v>2448</v>
      </c>
      <c r="G26" s="23">
        <v>2431.1999999999998</v>
      </c>
      <c r="H26" s="23">
        <v>2537.9</v>
      </c>
      <c r="I26" s="23">
        <v>2562.6</v>
      </c>
      <c r="J26" s="23">
        <v>2740.9</v>
      </c>
      <c r="K26" s="23">
        <v>3039.5</v>
      </c>
      <c r="L26" s="23">
        <v>3927.8</v>
      </c>
      <c r="M26" s="23">
        <v>3002.7</v>
      </c>
      <c r="N26" s="23">
        <v>3007.1</v>
      </c>
      <c r="O26" s="23">
        <v>3246</v>
      </c>
      <c r="P26" s="23">
        <v>2871</v>
      </c>
      <c r="Q26" s="23">
        <v>2793.4</v>
      </c>
      <c r="R26" s="23">
        <v>2674.2</v>
      </c>
      <c r="S26" s="23">
        <v>2812.5</v>
      </c>
      <c r="T26" s="23">
        <v>3094.2</v>
      </c>
      <c r="U26" s="23">
        <v>3588.5</v>
      </c>
      <c r="V26" s="23">
        <v>3839.4</v>
      </c>
      <c r="W26" s="23">
        <v>4138.2</v>
      </c>
      <c r="X26" s="23">
        <v>2427.3000000000002</v>
      </c>
      <c r="Y26" s="23">
        <v>2836</v>
      </c>
      <c r="Z26" s="23">
        <v>4148.5</v>
      </c>
      <c r="AA26" s="23">
        <v>5221.3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2614.5</v>
      </c>
      <c r="E27" s="23">
        <v>2954.7</v>
      </c>
      <c r="F27" s="23">
        <v>3564.7</v>
      </c>
      <c r="G27" s="23">
        <v>3677.6</v>
      </c>
      <c r="H27" s="23">
        <v>3894</v>
      </c>
      <c r="I27" s="23">
        <v>4713</v>
      </c>
      <c r="J27" s="23">
        <v>5525.7</v>
      </c>
      <c r="K27" s="23">
        <v>6362</v>
      </c>
      <c r="L27" s="23">
        <v>7364.1</v>
      </c>
      <c r="M27" s="23">
        <v>6980.5</v>
      </c>
      <c r="N27" s="23">
        <v>7164.3</v>
      </c>
      <c r="O27" s="23">
        <v>7446.7</v>
      </c>
      <c r="P27" s="23">
        <v>7220.5</v>
      </c>
      <c r="Q27" s="23">
        <v>6972.8</v>
      </c>
      <c r="R27" s="23">
        <v>6943.7</v>
      </c>
      <c r="S27" s="23">
        <v>7550.5</v>
      </c>
      <c r="T27" s="23">
        <v>8111.4</v>
      </c>
      <c r="U27" s="23">
        <v>9216.1</v>
      </c>
      <c r="V27" s="23">
        <v>10599.4</v>
      </c>
      <c r="W27" s="23">
        <v>12571.8</v>
      </c>
      <c r="X27" s="23">
        <v>13030.2</v>
      </c>
      <c r="Y27" s="23">
        <v>15299.5</v>
      </c>
      <c r="Z27" s="23">
        <v>17551.900000000001</v>
      </c>
      <c r="AA27" s="23">
        <v>20220.400000000001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1923</v>
      </c>
      <c r="E28" s="23">
        <v>2295.1</v>
      </c>
      <c r="F28" s="23">
        <v>2110.8000000000002</v>
      </c>
      <c r="G28" s="23">
        <v>2705.6</v>
      </c>
      <c r="H28" s="23">
        <v>2858.9</v>
      </c>
      <c r="I28" s="23">
        <v>3116.5</v>
      </c>
      <c r="J28" s="23">
        <v>3471.2</v>
      </c>
      <c r="K28" s="23">
        <v>4523.7</v>
      </c>
      <c r="L28" s="23">
        <v>5970.3</v>
      </c>
      <c r="M28" s="23">
        <v>5938.3</v>
      </c>
      <c r="N28" s="23">
        <v>6610</v>
      </c>
      <c r="O28" s="23">
        <v>6753.6</v>
      </c>
      <c r="P28" s="23">
        <v>6533.1</v>
      </c>
      <c r="Q28" s="23">
        <v>6435.7</v>
      </c>
      <c r="R28" s="23">
        <v>5963.3</v>
      </c>
      <c r="S28" s="23">
        <v>6357.1</v>
      </c>
      <c r="T28" s="23">
        <v>6505.7</v>
      </c>
      <c r="U28" s="23">
        <v>7095</v>
      </c>
      <c r="V28" s="23">
        <v>7775.7</v>
      </c>
      <c r="W28" s="23">
        <v>8101.4</v>
      </c>
      <c r="X28" s="23">
        <v>7954.5</v>
      </c>
      <c r="Y28" s="23">
        <v>9036.2999999999993</v>
      </c>
      <c r="Z28" s="23">
        <v>9459.1</v>
      </c>
      <c r="AA28" s="23">
        <v>11068.8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4932</v>
      </c>
      <c r="E29" s="23">
        <v>5442</v>
      </c>
      <c r="F29" s="23">
        <v>6374.1</v>
      </c>
      <c r="G29" s="23">
        <v>6427.8</v>
      </c>
      <c r="H29" s="23">
        <v>6889.7</v>
      </c>
      <c r="I29" s="23">
        <v>8085.7</v>
      </c>
      <c r="J29" s="23">
        <v>9083.7999999999993</v>
      </c>
      <c r="K29" s="23">
        <v>9901.7999999999993</v>
      </c>
      <c r="L29" s="23">
        <v>12251.8</v>
      </c>
      <c r="M29" s="23">
        <v>12300.8</v>
      </c>
      <c r="N29" s="23">
        <v>14701.2</v>
      </c>
      <c r="O29" s="23">
        <v>15011.3</v>
      </c>
      <c r="P29" s="23">
        <v>14735</v>
      </c>
      <c r="Q29" s="23">
        <v>14406.2</v>
      </c>
      <c r="R29" s="23">
        <v>14358.1</v>
      </c>
      <c r="S29" s="23">
        <v>15161.2</v>
      </c>
      <c r="T29" s="23">
        <v>16335.5</v>
      </c>
      <c r="U29" s="23">
        <v>18166.400000000001</v>
      </c>
      <c r="V29" s="23">
        <v>21279.1</v>
      </c>
      <c r="W29" s="23">
        <v>23485.4</v>
      </c>
      <c r="X29" s="23">
        <v>24752.3</v>
      </c>
      <c r="Y29" s="23">
        <v>28395.4</v>
      </c>
      <c r="Z29" s="23">
        <v>32989.699999999997</v>
      </c>
      <c r="AA29" s="23">
        <v>35556.800000000003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2584.3000000000002</v>
      </c>
      <c r="E30" s="23">
        <v>2902.7</v>
      </c>
      <c r="F30" s="23">
        <v>3859.2000000000003</v>
      </c>
      <c r="G30" s="23">
        <v>3879.7</v>
      </c>
      <c r="H30" s="23">
        <v>4141.5</v>
      </c>
      <c r="I30" s="23">
        <v>4821.7</v>
      </c>
      <c r="J30" s="23">
        <v>5264</v>
      </c>
      <c r="K30" s="23">
        <v>5964.5</v>
      </c>
      <c r="L30" s="23">
        <v>7096.0999999999995</v>
      </c>
      <c r="M30" s="23">
        <v>6489.4</v>
      </c>
      <c r="N30" s="23">
        <v>6866.5</v>
      </c>
      <c r="O30" s="23">
        <v>6932.2999999999993</v>
      </c>
      <c r="P30" s="23">
        <v>7390.7000000000007</v>
      </c>
      <c r="Q30" s="23">
        <v>7320.3000000000011</v>
      </c>
      <c r="R30" s="23">
        <v>7154.5999999999995</v>
      </c>
      <c r="S30" s="23">
        <v>7543.5</v>
      </c>
      <c r="T30" s="23">
        <v>8258</v>
      </c>
      <c r="U30" s="23">
        <v>9075</v>
      </c>
      <c r="V30" s="23">
        <v>9874.7000000000007</v>
      </c>
      <c r="W30" s="23">
        <v>10707.900000000001</v>
      </c>
      <c r="X30" s="23">
        <v>10356.4</v>
      </c>
      <c r="Y30" s="23">
        <v>11688.3</v>
      </c>
      <c r="Z30" s="23">
        <v>13434.3</v>
      </c>
      <c r="AA30" s="23">
        <v>15093.3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1032.0999999999999</v>
      </c>
      <c r="E31" s="23">
        <v>1226.2</v>
      </c>
      <c r="F31" s="23">
        <v>1397.6</v>
      </c>
      <c r="G31" s="23">
        <v>1379</v>
      </c>
      <c r="H31" s="23">
        <v>1610.2</v>
      </c>
      <c r="I31" s="23">
        <v>1786.7</v>
      </c>
      <c r="J31" s="23">
        <v>2043.7</v>
      </c>
      <c r="K31" s="23">
        <v>2486</v>
      </c>
      <c r="L31" s="23">
        <v>2996.7</v>
      </c>
      <c r="M31" s="23">
        <v>2724.1</v>
      </c>
      <c r="N31" s="23">
        <v>2785.5</v>
      </c>
      <c r="O31" s="23">
        <v>2701.5</v>
      </c>
      <c r="P31" s="23">
        <v>2589.5</v>
      </c>
      <c r="Q31" s="23">
        <v>2656.9</v>
      </c>
      <c r="R31" s="23">
        <v>2586.3000000000002</v>
      </c>
      <c r="S31" s="23">
        <v>2621.6</v>
      </c>
      <c r="T31" s="23">
        <v>2838.1</v>
      </c>
      <c r="U31" s="23">
        <v>3266.8</v>
      </c>
      <c r="V31" s="23">
        <v>3656.4</v>
      </c>
      <c r="W31" s="23">
        <v>4006.7</v>
      </c>
      <c r="X31" s="23">
        <v>3430</v>
      </c>
      <c r="Y31" s="23">
        <v>4021.7</v>
      </c>
      <c r="Z31" s="23">
        <v>4969.5</v>
      </c>
      <c r="AA31" s="23">
        <v>5873.7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4048.4999999999927</v>
      </c>
      <c r="E32" s="23">
        <v>4524.1999999999989</v>
      </c>
      <c r="F32" s="23">
        <v>5769.2000000000089</v>
      </c>
      <c r="G32" s="23">
        <v>5850.4999999999891</v>
      </c>
      <c r="H32" s="23">
        <v>6001.7000000000025</v>
      </c>
      <c r="I32" s="23">
        <v>6840.3000000000029</v>
      </c>
      <c r="J32" s="23">
        <v>7543.5000000000182</v>
      </c>
      <c r="K32" s="23">
        <v>8189.8000000000102</v>
      </c>
      <c r="L32" s="23">
        <v>9474.6999999999825</v>
      </c>
      <c r="M32" s="23">
        <v>9123.4999999999964</v>
      </c>
      <c r="N32" s="23">
        <v>9498.6999999999971</v>
      </c>
      <c r="O32" s="23">
        <v>9273.1999999999716</v>
      </c>
      <c r="P32" s="23">
        <v>9050.9999999999927</v>
      </c>
      <c r="Q32" s="23">
        <v>8850.2000000000207</v>
      </c>
      <c r="R32" s="23">
        <v>8575.6999999999971</v>
      </c>
      <c r="S32" s="23">
        <v>9113.7999999999774</v>
      </c>
      <c r="T32" s="23">
        <v>9569.9000000000051</v>
      </c>
      <c r="U32" s="23">
        <v>10413.6</v>
      </c>
      <c r="V32" s="23">
        <v>11607.300000000007</v>
      </c>
      <c r="W32" s="23">
        <v>12342.599999999984</v>
      </c>
      <c r="X32" s="23">
        <v>12593.400000000031</v>
      </c>
      <c r="Y32" s="23">
        <v>13443.100000000006</v>
      </c>
      <c r="Z32" s="23">
        <v>14905.300000000017</v>
      </c>
      <c r="AA32" s="23">
        <v>16430.999999999978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2406.5</v>
      </c>
      <c r="E33" s="23">
        <v>2732.9</v>
      </c>
      <c r="F33" s="23">
        <v>3269.6</v>
      </c>
      <c r="G33" s="23">
        <v>3528.2</v>
      </c>
      <c r="H33" s="23">
        <v>3696.7</v>
      </c>
      <c r="I33" s="23">
        <v>4229.3</v>
      </c>
      <c r="J33" s="23">
        <v>4699</v>
      </c>
      <c r="K33" s="23">
        <v>5147.1000000000004</v>
      </c>
      <c r="L33" s="23">
        <v>5904.8</v>
      </c>
      <c r="M33" s="23">
        <v>5828.2</v>
      </c>
      <c r="N33" s="23">
        <v>6083.6</v>
      </c>
      <c r="O33" s="23">
        <v>6392.4</v>
      </c>
      <c r="P33" s="23">
        <v>6343.4</v>
      </c>
      <c r="Q33" s="23">
        <v>6297.2</v>
      </c>
      <c r="R33" s="23">
        <v>6146.4</v>
      </c>
      <c r="S33" s="23">
        <v>6397.4</v>
      </c>
      <c r="T33" s="23">
        <v>6658.7</v>
      </c>
      <c r="U33" s="23">
        <v>7387.4</v>
      </c>
      <c r="V33" s="23">
        <v>8438</v>
      </c>
      <c r="W33" s="23">
        <v>9557.7000000000007</v>
      </c>
      <c r="X33" s="23">
        <v>10045.9</v>
      </c>
      <c r="Y33" s="23">
        <v>11228.6</v>
      </c>
      <c r="Z33" s="23">
        <v>12606.7</v>
      </c>
      <c r="AA33" s="23">
        <v>13665.9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2120.5</v>
      </c>
      <c r="E34" s="23">
        <v>2507</v>
      </c>
      <c r="F34" s="23">
        <v>3025.1</v>
      </c>
      <c r="G34" s="23">
        <v>3143.6</v>
      </c>
      <c r="H34" s="23">
        <v>3346.4</v>
      </c>
      <c r="I34" s="23">
        <v>3867.2</v>
      </c>
      <c r="J34" s="23">
        <v>4267.8</v>
      </c>
      <c r="K34" s="23">
        <v>4546.8</v>
      </c>
      <c r="L34" s="23">
        <v>5574.2</v>
      </c>
      <c r="M34" s="23">
        <v>5726.5</v>
      </c>
      <c r="N34" s="23">
        <v>6018.4</v>
      </c>
      <c r="O34" s="23">
        <v>6306.9</v>
      </c>
      <c r="P34" s="23">
        <v>6490.2</v>
      </c>
      <c r="Q34" s="23">
        <v>6405.7</v>
      </c>
      <c r="R34" s="23">
        <v>6439.6</v>
      </c>
      <c r="S34" s="23">
        <v>6667.9</v>
      </c>
      <c r="T34" s="23">
        <v>7186.5</v>
      </c>
      <c r="U34" s="23">
        <v>7955.5</v>
      </c>
      <c r="V34" s="23">
        <v>8967.2999999999993</v>
      </c>
      <c r="W34" s="23">
        <v>9983.9</v>
      </c>
      <c r="X34" s="23">
        <v>10983.2</v>
      </c>
      <c r="Y34" s="23">
        <v>12952.4</v>
      </c>
      <c r="Z34" s="23">
        <v>13732.3</v>
      </c>
      <c r="AA34" s="23">
        <v>15485.7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707.3</v>
      </c>
      <c r="E35" s="23">
        <v>792.4</v>
      </c>
      <c r="F35" s="23">
        <v>869.09999999999991</v>
      </c>
      <c r="G35" s="23">
        <v>907.3</v>
      </c>
      <c r="H35" s="23">
        <v>1033.9000000000001</v>
      </c>
      <c r="I35" s="23">
        <v>1161.6000000000001</v>
      </c>
      <c r="J35" s="23">
        <v>1330.4</v>
      </c>
      <c r="K35" s="23">
        <v>1411.0000000000002</v>
      </c>
      <c r="L35" s="23">
        <v>1619.3000000000002</v>
      </c>
      <c r="M35" s="23">
        <v>1509.5</v>
      </c>
      <c r="N35" s="23">
        <v>1521.0000000000002</v>
      </c>
      <c r="O35" s="23">
        <v>1661.6999999999998</v>
      </c>
      <c r="P35" s="23">
        <v>1497.3</v>
      </c>
      <c r="Q35" s="23">
        <v>1454</v>
      </c>
      <c r="R35" s="23">
        <v>1423.2</v>
      </c>
      <c r="S35" s="23">
        <v>1555</v>
      </c>
      <c r="T35" s="23">
        <v>1662.6000000000004</v>
      </c>
      <c r="U35" s="23">
        <v>1797.5</v>
      </c>
      <c r="V35" s="23">
        <v>1926.2999999999997</v>
      </c>
      <c r="W35" s="23">
        <v>2189.6000000000004</v>
      </c>
      <c r="X35" s="23">
        <v>1850.8000000000002</v>
      </c>
      <c r="Y35" s="23">
        <v>2034.3000000000002</v>
      </c>
      <c r="Z35" s="23">
        <v>2749.7999999999997</v>
      </c>
      <c r="AA35" s="23">
        <v>3155.7000000000003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824.9</v>
      </c>
      <c r="E36" s="23">
        <v>849.1</v>
      </c>
      <c r="F36" s="23">
        <v>987.8</v>
      </c>
      <c r="G36" s="23">
        <v>1076.2</v>
      </c>
      <c r="H36" s="23">
        <v>1082.7</v>
      </c>
      <c r="I36" s="23">
        <v>1104.8</v>
      </c>
      <c r="J36" s="23">
        <v>1261.0999999999999</v>
      </c>
      <c r="K36" s="23">
        <v>1396.6</v>
      </c>
      <c r="L36" s="23">
        <v>1405</v>
      </c>
      <c r="M36" s="23">
        <v>1364.3</v>
      </c>
      <c r="N36" s="23">
        <v>1653.6</v>
      </c>
      <c r="O36" s="23">
        <v>1895.9</v>
      </c>
      <c r="P36" s="23">
        <v>1606.8</v>
      </c>
      <c r="Q36" s="23">
        <v>1537.7</v>
      </c>
      <c r="R36" s="23">
        <v>1478.7</v>
      </c>
      <c r="S36" s="23">
        <v>1588.5</v>
      </c>
      <c r="T36" s="23">
        <v>1682.6</v>
      </c>
      <c r="U36" s="23">
        <v>1797.8</v>
      </c>
      <c r="V36" s="23">
        <v>1913.8</v>
      </c>
      <c r="W36" s="23">
        <v>2070.6999999999998</v>
      </c>
      <c r="X36" s="23">
        <v>1843.4</v>
      </c>
      <c r="Y36" s="23">
        <v>1959.7</v>
      </c>
      <c r="Z36" s="23">
        <v>2304.5</v>
      </c>
      <c r="AA36" s="23">
        <v>2652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21.9</v>
      </c>
      <c r="E37" s="23">
        <v>28.3</v>
      </c>
      <c r="F37" s="23">
        <v>37.4</v>
      </c>
      <c r="G37" s="23">
        <v>40.799999999999997</v>
      </c>
      <c r="H37" s="23">
        <v>42.3</v>
      </c>
      <c r="I37" s="23">
        <v>49.5</v>
      </c>
      <c r="J37" s="23">
        <v>56.5</v>
      </c>
      <c r="K37" s="23">
        <v>60.3</v>
      </c>
      <c r="L37" s="23">
        <v>86</v>
      </c>
      <c r="M37" s="23">
        <v>104.8</v>
      </c>
      <c r="N37" s="23">
        <v>103.7</v>
      </c>
      <c r="O37" s="23">
        <v>104.5</v>
      </c>
      <c r="P37" s="23">
        <v>114</v>
      </c>
      <c r="Q37" s="23">
        <v>121.3</v>
      </c>
      <c r="R37" s="23">
        <v>121.1</v>
      </c>
      <c r="S37" s="23">
        <v>127</v>
      </c>
      <c r="T37" s="23">
        <v>155.1</v>
      </c>
      <c r="U37" s="23">
        <v>307.3</v>
      </c>
      <c r="V37" s="23">
        <v>359.8</v>
      </c>
      <c r="W37" s="23">
        <v>236</v>
      </c>
      <c r="X37" s="23">
        <v>188.1</v>
      </c>
      <c r="Y37" s="23">
        <v>236.6</v>
      </c>
      <c r="Z37" s="23">
        <v>316.89999999999998</v>
      </c>
      <c r="AA37" s="23">
        <v>352.6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61440.1</v>
      </c>
      <c r="E39" s="30">
        <f t="shared" ref="E39:Y39" si="2">SUM(E18:E38)</f>
        <v>69457.499999999985</v>
      </c>
      <c r="F39" s="30">
        <f t="shared" si="2"/>
        <v>80320.300000000032</v>
      </c>
      <c r="G39" s="30">
        <f t="shared" si="2"/>
        <v>81356.89999999998</v>
      </c>
      <c r="H39" s="30">
        <f t="shared" si="2"/>
        <v>87689.699999999983</v>
      </c>
      <c r="I39" s="30">
        <f t="shared" si="2"/>
        <v>99873.900000000009</v>
      </c>
      <c r="J39" s="30">
        <f t="shared" si="2"/>
        <v>113209.3</v>
      </c>
      <c r="K39" s="30">
        <f t="shared" si="2"/>
        <v>125780.70000000004</v>
      </c>
      <c r="L39" s="30">
        <f t="shared" si="2"/>
        <v>146823.89999999997</v>
      </c>
      <c r="M39" s="30">
        <f t="shared" si="2"/>
        <v>135019.59999999998</v>
      </c>
      <c r="N39" s="30">
        <f t="shared" si="2"/>
        <v>144502.79999999999</v>
      </c>
      <c r="O39" s="30">
        <f t="shared" si="2"/>
        <v>150546.4</v>
      </c>
      <c r="P39" s="30">
        <f t="shared" si="2"/>
        <v>147400.9</v>
      </c>
      <c r="Q39" s="30">
        <f t="shared" si="2"/>
        <v>143926.70000000001</v>
      </c>
      <c r="R39" s="30">
        <f t="shared" si="2"/>
        <v>143913.50000000003</v>
      </c>
      <c r="S39" s="30">
        <f t="shared" si="2"/>
        <v>153656.99999999997</v>
      </c>
      <c r="T39" s="30">
        <f t="shared" si="2"/>
        <v>161310.80000000002</v>
      </c>
      <c r="U39" s="30">
        <f t="shared" si="2"/>
        <v>177057.69999999998</v>
      </c>
      <c r="V39" s="30">
        <f t="shared" si="2"/>
        <v>192659.09999999998</v>
      </c>
      <c r="W39" s="30">
        <f t="shared" si="2"/>
        <v>207645.50000000003</v>
      </c>
      <c r="X39" s="30">
        <f t="shared" si="2"/>
        <v>200921</v>
      </c>
      <c r="Y39" s="30">
        <f t="shared" si="2"/>
        <v>224220.1</v>
      </c>
      <c r="Z39" s="30">
        <f t="shared" ref="Z39:AA39" si="3">SUM(Z18:Z38)</f>
        <v>261260.39999999997</v>
      </c>
      <c r="AA39" s="30">
        <f t="shared" si="3"/>
        <v>293132.59999999992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2052.1999999999998</v>
      </c>
      <c r="E41" s="19">
        <v>2399.1999999999998</v>
      </c>
      <c r="F41" s="19">
        <v>2664.7</v>
      </c>
      <c r="G41" s="19">
        <v>2487.5</v>
      </c>
      <c r="H41" s="19">
        <v>2667.6</v>
      </c>
      <c r="I41" s="19">
        <v>2713.9</v>
      </c>
      <c r="J41" s="19">
        <v>2828.3</v>
      </c>
      <c r="K41" s="19">
        <v>2941.4</v>
      </c>
      <c r="L41" s="19">
        <v>3319.7</v>
      </c>
      <c r="M41" s="19">
        <v>3290.6</v>
      </c>
      <c r="N41" s="19">
        <v>3245.6</v>
      </c>
      <c r="O41" s="19">
        <v>3343.4</v>
      </c>
      <c r="P41" s="19">
        <v>3279.7</v>
      </c>
      <c r="Q41" s="19">
        <v>3100.5</v>
      </c>
      <c r="R41" s="19">
        <v>3090.5</v>
      </c>
      <c r="S41" s="19">
        <v>3246.6</v>
      </c>
      <c r="T41" s="19">
        <v>3429.2</v>
      </c>
      <c r="U41" s="19">
        <v>3654.2</v>
      </c>
      <c r="V41" s="19">
        <v>3892.9</v>
      </c>
      <c r="W41" s="19">
        <v>4152.7</v>
      </c>
      <c r="X41" s="19">
        <v>4093.9</v>
      </c>
      <c r="Y41" s="19">
        <v>4201.6000000000004</v>
      </c>
      <c r="Z41" s="19">
        <v>4620</v>
      </c>
      <c r="AA41" s="19">
        <v>5765.1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867.5</v>
      </c>
      <c r="E42" s="23">
        <v>965.3</v>
      </c>
      <c r="F42" s="23">
        <v>980.3</v>
      </c>
      <c r="G42" s="23">
        <v>925.2</v>
      </c>
      <c r="H42" s="23">
        <v>840.5</v>
      </c>
      <c r="I42" s="23">
        <v>880.4</v>
      </c>
      <c r="J42" s="23">
        <v>943.2</v>
      </c>
      <c r="K42" s="23">
        <v>990.9</v>
      </c>
      <c r="L42" s="23">
        <v>1097.9000000000001</v>
      </c>
      <c r="M42" s="23">
        <v>959.1</v>
      </c>
      <c r="N42" s="23">
        <v>929.6</v>
      </c>
      <c r="O42" s="23">
        <v>956.6</v>
      </c>
      <c r="P42" s="23">
        <v>857.8</v>
      </c>
      <c r="Q42" s="23">
        <v>866</v>
      </c>
      <c r="R42" s="23">
        <v>897</v>
      </c>
      <c r="S42" s="23">
        <v>927.5</v>
      </c>
      <c r="T42" s="23">
        <v>976.7</v>
      </c>
      <c r="U42" s="23">
        <v>1047.4000000000001</v>
      </c>
      <c r="V42" s="23">
        <v>1042.7</v>
      </c>
      <c r="W42" s="23">
        <v>1064.8</v>
      </c>
      <c r="X42" s="23">
        <v>1010.7</v>
      </c>
      <c r="Y42" s="23">
        <v>1009.6</v>
      </c>
      <c r="Z42" s="23">
        <v>1125.5</v>
      </c>
      <c r="AA42" s="23">
        <v>1350.1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1026.9000000000001</v>
      </c>
      <c r="E43" s="23">
        <v>1194.0999999999999</v>
      </c>
      <c r="F43" s="23">
        <v>1387.1</v>
      </c>
      <c r="G43" s="23">
        <v>1352.1</v>
      </c>
      <c r="H43" s="23">
        <v>1561.1</v>
      </c>
      <c r="I43" s="23">
        <v>1697.8</v>
      </c>
      <c r="J43" s="23">
        <v>1895.5</v>
      </c>
      <c r="K43" s="23">
        <v>2115.3000000000002</v>
      </c>
      <c r="L43" s="23">
        <v>2308.9</v>
      </c>
      <c r="M43" s="23">
        <v>1922.8</v>
      </c>
      <c r="N43" s="23">
        <v>2043.7</v>
      </c>
      <c r="O43" s="23">
        <v>2008.9</v>
      </c>
      <c r="P43" s="23">
        <v>1881.3</v>
      </c>
      <c r="Q43" s="23">
        <v>1785.4</v>
      </c>
      <c r="R43" s="23">
        <v>1898.8</v>
      </c>
      <c r="S43" s="23">
        <v>2103.8000000000002</v>
      </c>
      <c r="T43" s="23">
        <v>2248.1</v>
      </c>
      <c r="U43" s="23">
        <v>2439.6</v>
      </c>
      <c r="V43" s="23">
        <v>2651.2</v>
      </c>
      <c r="W43" s="23">
        <v>2827.7</v>
      </c>
      <c r="X43" s="23">
        <v>2756.2</v>
      </c>
      <c r="Y43" s="23">
        <v>3086.3</v>
      </c>
      <c r="Z43" s="23">
        <v>3446.3</v>
      </c>
      <c r="AA43" s="23">
        <v>3470.3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240.1</v>
      </c>
      <c r="E44" s="23">
        <v>177.4</v>
      </c>
      <c r="F44" s="23">
        <v>136.30000000000001</v>
      </c>
      <c r="G44" s="23">
        <v>105.8</v>
      </c>
      <c r="H44" s="23">
        <v>159</v>
      </c>
      <c r="I44" s="23">
        <v>210.4</v>
      </c>
      <c r="J44" s="23">
        <v>233.6</v>
      </c>
      <c r="K44" s="23">
        <v>202.3</v>
      </c>
      <c r="L44" s="23">
        <v>265.39999999999998</v>
      </c>
      <c r="M44" s="23">
        <v>219.6</v>
      </c>
      <c r="N44" s="23">
        <v>211.9</v>
      </c>
      <c r="O44" s="23">
        <v>188.9</v>
      </c>
      <c r="P44" s="23">
        <v>180.2</v>
      </c>
      <c r="Q44" s="23">
        <v>183.6</v>
      </c>
      <c r="R44" s="23">
        <v>169.2</v>
      </c>
      <c r="S44" s="23">
        <v>177.7</v>
      </c>
      <c r="T44" s="23">
        <v>186.7</v>
      </c>
      <c r="U44" s="23">
        <v>139.4</v>
      </c>
      <c r="V44" s="23">
        <v>40.200000000000003</v>
      </c>
      <c r="W44" s="23">
        <v>41.5</v>
      </c>
      <c r="X44" s="23">
        <v>45.7</v>
      </c>
      <c r="Y44" s="23">
        <v>50.6</v>
      </c>
      <c r="Z44" s="23">
        <v>31.5</v>
      </c>
      <c r="AA44" s="23">
        <v>51.9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821.7</v>
      </c>
      <c r="E45" s="23">
        <v>763.3</v>
      </c>
      <c r="F45" s="23">
        <v>748.5</v>
      </c>
      <c r="G45" s="23">
        <v>794</v>
      </c>
      <c r="H45" s="23">
        <v>906.1</v>
      </c>
      <c r="I45" s="23">
        <v>971.3</v>
      </c>
      <c r="J45" s="23">
        <v>978.8</v>
      </c>
      <c r="K45" s="23">
        <v>1064.3</v>
      </c>
      <c r="L45" s="23">
        <v>1220.8</v>
      </c>
      <c r="M45" s="23">
        <v>914.8</v>
      </c>
      <c r="N45" s="23">
        <v>948.9</v>
      </c>
      <c r="O45" s="23">
        <v>1053</v>
      </c>
      <c r="P45" s="23">
        <v>1154.7</v>
      </c>
      <c r="Q45" s="23">
        <v>1039.0999999999999</v>
      </c>
      <c r="R45" s="23">
        <v>1237.2</v>
      </c>
      <c r="S45" s="23">
        <v>1484.3</v>
      </c>
      <c r="T45" s="23">
        <v>1441.3</v>
      </c>
      <c r="U45" s="23">
        <v>1814.1</v>
      </c>
      <c r="V45" s="23">
        <v>1761.6</v>
      </c>
      <c r="W45" s="23">
        <v>1870.5</v>
      </c>
      <c r="X45" s="23">
        <v>1497.7</v>
      </c>
      <c r="Y45" s="23">
        <v>1474.6</v>
      </c>
      <c r="Z45" s="23">
        <v>2744</v>
      </c>
      <c r="AA45" s="23">
        <v>2679.6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285.7</v>
      </c>
      <c r="E46" s="23">
        <v>303.8</v>
      </c>
      <c r="F46" s="23">
        <v>347.6</v>
      </c>
      <c r="G46" s="23">
        <v>362.1</v>
      </c>
      <c r="H46" s="23">
        <v>386.5</v>
      </c>
      <c r="I46" s="23">
        <v>475.2</v>
      </c>
      <c r="J46" s="23">
        <v>526.4</v>
      </c>
      <c r="K46" s="23">
        <v>524.29999999999995</v>
      </c>
      <c r="L46" s="23">
        <v>557.79999999999995</v>
      </c>
      <c r="M46" s="23">
        <v>573.9</v>
      </c>
      <c r="N46" s="23">
        <v>667.9</v>
      </c>
      <c r="O46" s="23">
        <v>637.70000000000005</v>
      </c>
      <c r="P46" s="23">
        <v>648.29999999999995</v>
      </c>
      <c r="Q46" s="23">
        <v>635</v>
      </c>
      <c r="R46" s="23">
        <v>670</v>
      </c>
      <c r="S46" s="23">
        <v>658</v>
      </c>
      <c r="T46" s="23">
        <v>659.2</v>
      </c>
      <c r="U46" s="23">
        <v>713.8</v>
      </c>
      <c r="V46" s="23">
        <v>684.1</v>
      </c>
      <c r="W46" s="23">
        <v>808.3</v>
      </c>
      <c r="X46" s="23">
        <v>883.7</v>
      </c>
      <c r="Y46" s="23">
        <v>867.6</v>
      </c>
      <c r="Z46" s="23">
        <v>990.1</v>
      </c>
      <c r="AA46" s="23">
        <v>1167.9000000000001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2107.1</v>
      </c>
      <c r="E47" s="23">
        <v>2335.4</v>
      </c>
      <c r="F47" s="23">
        <v>2534</v>
      </c>
      <c r="G47" s="23">
        <v>2535.9</v>
      </c>
      <c r="H47" s="23">
        <v>2801.3</v>
      </c>
      <c r="I47" s="23">
        <v>3132.3</v>
      </c>
      <c r="J47" s="23">
        <v>3894.2</v>
      </c>
      <c r="K47" s="23">
        <v>4112.3</v>
      </c>
      <c r="L47" s="23">
        <v>4610.3999999999996</v>
      </c>
      <c r="M47" s="23">
        <v>4011.6</v>
      </c>
      <c r="N47" s="23">
        <v>4106.7</v>
      </c>
      <c r="O47" s="23">
        <v>4426.2</v>
      </c>
      <c r="P47" s="23">
        <v>4238.6000000000004</v>
      </c>
      <c r="Q47" s="23">
        <v>4188.5</v>
      </c>
      <c r="R47" s="23">
        <v>4501.5</v>
      </c>
      <c r="S47" s="23">
        <v>5075.6000000000004</v>
      </c>
      <c r="T47" s="23">
        <v>5158.6000000000004</v>
      </c>
      <c r="U47" s="23">
        <v>5347.5</v>
      </c>
      <c r="V47" s="23">
        <v>5576.8</v>
      </c>
      <c r="W47" s="23">
        <v>5940.5</v>
      </c>
      <c r="X47" s="23">
        <v>5461.2</v>
      </c>
      <c r="Y47" s="23">
        <v>5905.2</v>
      </c>
      <c r="Z47" s="23">
        <v>6260.8</v>
      </c>
      <c r="AA47" s="23">
        <v>6907.6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2275.1999999999998</v>
      </c>
      <c r="E48" s="23">
        <v>2698.4</v>
      </c>
      <c r="F48" s="23">
        <v>2952.7</v>
      </c>
      <c r="G48" s="23">
        <v>2992.4</v>
      </c>
      <c r="H48" s="23">
        <v>3489.8</v>
      </c>
      <c r="I48" s="23">
        <v>4247.1000000000004</v>
      </c>
      <c r="J48" s="23">
        <v>4759.8</v>
      </c>
      <c r="K48" s="23">
        <v>5162.6000000000004</v>
      </c>
      <c r="L48" s="23">
        <v>5548.7</v>
      </c>
      <c r="M48" s="23">
        <v>4109.3</v>
      </c>
      <c r="N48" s="23">
        <v>4462.8</v>
      </c>
      <c r="O48" s="23">
        <v>5154</v>
      </c>
      <c r="P48" s="23">
        <v>5057.5</v>
      </c>
      <c r="Q48" s="23">
        <v>5110.3</v>
      </c>
      <c r="R48" s="23">
        <v>5598.5</v>
      </c>
      <c r="S48" s="23">
        <v>6093.4</v>
      </c>
      <c r="T48" s="23">
        <v>6246.7</v>
      </c>
      <c r="U48" s="23">
        <v>6531.4</v>
      </c>
      <c r="V48" s="23">
        <v>7001.7</v>
      </c>
      <c r="W48" s="23">
        <v>7136.3</v>
      </c>
      <c r="X48" s="23">
        <v>6443.6</v>
      </c>
      <c r="Y48" s="23">
        <v>6777.2</v>
      </c>
      <c r="Z48" s="23">
        <v>7924.7</v>
      </c>
      <c r="AA48" s="23">
        <v>8994.1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524.4</v>
      </c>
      <c r="E49" s="23">
        <v>625.4</v>
      </c>
      <c r="F49" s="23">
        <v>765.1</v>
      </c>
      <c r="G49" s="23">
        <v>875.7</v>
      </c>
      <c r="H49" s="23">
        <v>950.7</v>
      </c>
      <c r="I49" s="23">
        <v>1112.2</v>
      </c>
      <c r="J49" s="23">
        <v>1438.9</v>
      </c>
      <c r="K49" s="23">
        <v>1684.1</v>
      </c>
      <c r="L49" s="23">
        <v>1842.6</v>
      </c>
      <c r="M49" s="23">
        <v>1568.4</v>
      </c>
      <c r="N49" s="23">
        <v>1740.4</v>
      </c>
      <c r="O49" s="23">
        <v>1904.4</v>
      </c>
      <c r="P49" s="23">
        <v>2220.5</v>
      </c>
      <c r="Q49" s="23">
        <v>2058.3000000000002</v>
      </c>
      <c r="R49" s="23">
        <v>2116.6999999999998</v>
      </c>
      <c r="S49" s="23">
        <v>2305.9</v>
      </c>
      <c r="T49" s="23">
        <v>2485.6999999999998</v>
      </c>
      <c r="U49" s="23">
        <v>2795.6</v>
      </c>
      <c r="V49" s="23">
        <v>3026.4</v>
      </c>
      <c r="W49" s="23">
        <v>2667.7</v>
      </c>
      <c r="X49" s="23">
        <v>2887</v>
      </c>
      <c r="Y49" s="23">
        <v>2313.3000000000002</v>
      </c>
      <c r="Z49" s="23">
        <v>2995.8</v>
      </c>
      <c r="AA49" s="23">
        <v>3360.5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858.3</v>
      </c>
      <c r="E50" s="23">
        <v>952.6</v>
      </c>
      <c r="F50" s="23">
        <v>939.2</v>
      </c>
      <c r="G50" s="23">
        <v>1026.8</v>
      </c>
      <c r="H50" s="23">
        <v>1239</v>
      </c>
      <c r="I50" s="23">
        <v>1410</v>
      </c>
      <c r="J50" s="23">
        <v>1736.1</v>
      </c>
      <c r="K50" s="23">
        <v>2108.8000000000002</v>
      </c>
      <c r="L50" s="23">
        <v>2190.5</v>
      </c>
      <c r="M50" s="23">
        <v>2020.5</v>
      </c>
      <c r="N50" s="23">
        <v>2349.9</v>
      </c>
      <c r="O50" s="23">
        <v>2890.4</v>
      </c>
      <c r="P50" s="23">
        <v>2747.1</v>
      </c>
      <c r="Q50" s="23">
        <v>2719.9</v>
      </c>
      <c r="R50" s="23">
        <v>2911.5</v>
      </c>
      <c r="S50" s="23">
        <v>3145.9</v>
      </c>
      <c r="T50" s="23">
        <v>3172</v>
      </c>
      <c r="U50" s="23">
        <v>3430.5</v>
      </c>
      <c r="V50" s="23">
        <v>3600.5</v>
      </c>
      <c r="W50" s="23">
        <v>3988.7</v>
      </c>
      <c r="X50" s="23">
        <v>3744.8</v>
      </c>
      <c r="Y50" s="23">
        <v>4328.8</v>
      </c>
      <c r="Z50" s="23">
        <v>4758.5</v>
      </c>
      <c r="AA50" s="23">
        <v>5795.7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1298.5999999999999</v>
      </c>
      <c r="E51" s="23">
        <v>1464.5</v>
      </c>
      <c r="F51" s="23">
        <v>1597.2</v>
      </c>
      <c r="G51" s="23">
        <v>1417.4</v>
      </c>
      <c r="H51" s="23">
        <v>1693.5</v>
      </c>
      <c r="I51" s="23">
        <v>2010.9</v>
      </c>
      <c r="J51" s="23">
        <v>2639.3</v>
      </c>
      <c r="K51" s="23">
        <v>3156.3</v>
      </c>
      <c r="L51" s="23">
        <v>3508.8</v>
      </c>
      <c r="M51" s="23">
        <v>2849.9</v>
      </c>
      <c r="N51" s="23">
        <v>3182.7</v>
      </c>
      <c r="O51" s="23">
        <v>3645.7</v>
      </c>
      <c r="P51" s="23">
        <v>3561.8</v>
      </c>
      <c r="Q51" s="23">
        <v>3624.8</v>
      </c>
      <c r="R51" s="23">
        <v>3656.6</v>
      </c>
      <c r="S51" s="23">
        <v>3842.8</v>
      </c>
      <c r="T51" s="23">
        <v>3784.3</v>
      </c>
      <c r="U51" s="23">
        <v>4053.9</v>
      </c>
      <c r="V51" s="23">
        <v>4089.3</v>
      </c>
      <c r="W51" s="23">
        <v>4632.1000000000004</v>
      </c>
      <c r="X51" s="23">
        <v>4096.3</v>
      </c>
      <c r="Y51" s="23">
        <v>4319.8999999999996</v>
      </c>
      <c r="Z51" s="23">
        <v>4779.5</v>
      </c>
      <c r="AA51" s="23">
        <v>5787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2091.1</v>
      </c>
      <c r="E52" s="23">
        <v>2619.9</v>
      </c>
      <c r="F52" s="23">
        <v>2919.3</v>
      </c>
      <c r="G52" s="23">
        <v>2766.5</v>
      </c>
      <c r="H52" s="23">
        <v>3552.2</v>
      </c>
      <c r="I52" s="23">
        <v>4116.2</v>
      </c>
      <c r="J52" s="23">
        <v>4830.5</v>
      </c>
      <c r="K52" s="23">
        <v>5566.8</v>
      </c>
      <c r="L52" s="23">
        <v>6164.3</v>
      </c>
      <c r="M52" s="23">
        <v>5404.1</v>
      </c>
      <c r="N52" s="23">
        <v>6549.5</v>
      </c>
      <c r="O52" s="23">
        <v>7330.5</v>
      </c>
      <c r="P52" s="23">
        <v>6985.7</v>
      </c>
      <c r="Q52" s="23">
        <v>6865.5</v>
      </c>
      <c r="R52" s="23">
        <v>7879.8</v>
      </c>
      <c r="S52" s="23">
        <v>8674.5</v>
      </c>
      <c r="T52" s="23">
        <v>9734.7999999999993</v>
      </c>
      <c r="U52" s="23">
        <v>10419.4</v>
      </c>
      <c r="V52" s="23">
        <v>10767.9</v>
      </c>
      <c r="W52" s="23">
        <v>11786.4</v>
      </c>
      <c r="X52" s="23">
        <v>9237.5</v>
      </c>
      <c r="Y52" s="23">
        <v>10061.9</v>
      </c>
      <c r="Z52" s="23">
        <v>11482.4</v>
      </c>
      <c r="AA52" s="23">
        <v>14720.3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1214.6000000000022</v>
      </c>
      <c r="E53" s="23">
        <v>1390.2999999999993</v>
      </c>
      <c r="F53" s="23">
        <v>1548.2999999999956</v>
      </c>
      <c r="G53" s="23">
        <v>1537.1999999999971</v>
      </c>
      <c r="H53" s="23">
        <v>1670.9999999999964</v>
      </c>
      <c r="I53" s="23">
        <v>1921.7999999999993</v>
      </c>
      <c r="J53" s="23">
        <v>2189.9000000000015</v>
      </c>
      <c r="K53" s="23">
        <v>2537.3000000000029</v>
      </c>
      <c r="L53" s="23">
        <v>2850.0000000000073</v>
      </c>
      <c r="M53" s="23">
        <v>2519.1999999999935</v>
      </c>
      <c r="N53" s="23">
        <v>2575.3999999999978</v>
      </c>
      <c r="O53" s="23">
        <v>2874.3000000000029</v>
      </c>
      <c r="P53" s="23">
        <v>2744.9000000000015</v>
      </c>
      <c r="Q53" s="23">
        <v>2744.1999999999971</v>
      </c>
      <c r="R53" s="23">
        <v>2686.6999999999971</v>
      </c>
      <c r="S53" s="23">
        <v>2736.9000000000015</v>
      </c>
      <c r="T53" s="23">
        <v>3043.6999999999971</v>
      </c>
      <c r="U53" s="23">
        <v>3222.0999999999985</v>
      </c>
      <c r="V53" s="23">
        <v>3489.2999999999956</v>
      </c>
      <c r="W53" s="23">
        <v>3842.8999999999942</v>
      </c>
      <c r="X53" s="23">
        <v>3659.2999999999956</v>
      </c>
      <c r="Y53" s="23">
        <v>3922.5999999999985</v>
      </c>
      <c r="Z53" s="23">
        <v>4500.2000000000044</v>
      </c>
      <c r="AA53" s="23">
        <v>5151.6000000000058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15663.4</v>
      </c>
      <c r="E54" s="30">
        <f t="shared" ref="E54:Y54" si="4">SUM(E41:E53)</f>
        <v>17889.599999999999</v>
      </c>
      <c r="F54" s="30">
        <f t="shared" si="4"/>
        <v>19520.3</v>
      </c>
      <c r="G54" s="30">
        <f t="shared" si="4"/>
        <v>19178.599999999999</v>
      </c>
      <c r="H54" s="30">
        <f t="shared" si="4"/>
        <v>21918.3</v>
      </c>
      <c r="I54" s="30">
        <f t="shared" si="4"/>
        <v>24899.5</v>
      </c>
      <c r="J54" s="30">
        <f t="shared" si="4"/>
        <v>28894.5</v>
      </c>
      <c r="K54" s="30">
        <f t="shared" si="4"/>
        <v>32166.7</v>
      </c>
      <c r="L54" s="30">
        <f t="shared" si="4"/>
        <v>35485.800000000003</v>
      </c>
      <c r="M54" s="30">
        <f t="shared" si="4"/>
        <v>30363.8</v>
      </c>
      <c r="N54" s="30">
        <f t="shared" si="4"/>
        <v>33015</v>
      </c>
      <c r="O54" s="30">
        <f t="shared" si="4"/>
        <v>36414</v>
      </c>
      <c r="P54" s="30">
        <f t="shared" si="4"/>
        <v>35558.1</v>
      </c>
      <c r="Q54" s="30">
        <f t="shared" si="4"/>
        <v>34921.1</v>
      </c>
      <c r="R54" s="30">
        <f t="shared" si="4"/>
        <v>37314</v>
      </c>
      <c r="S54" s="30">
        <f t="shared" si="4"/>
        <v>40472.9</v>
      </c>
      <c r="T54" s="30">
        <f t="shared" si="4"/>
        <v>42567</v>
      </c>
      <c r="U54" s="30">
        <f t="shared" si="4"/>
        <v>45608.9</v>
      </c>
      <c r="V54" s="30">
        <f t="shared" si="4"/>
        <v>47624.6</v>
      </c>
      <c r="W54" s="30">
        <f t="shared" si="4"/>
        <v>50760.1</v>
      </c>
      <c r="X54" s="30">
        <f t="shared" si="4"/>
        <v>45817.599999999999</v>
      </c>
      <c r="Y54" s="30">
        <f t="shared" si="4"/>
        <v>48319.199999999997</v>
      </c>
      <c r="Z54" s="30">
        <f t="shared" ref="Z54:AA54" si="5">SUM(Z41:Z53)</f>
        <v>55659.3</v>
      </c>
      <c r="AA54" s="30">
        <f t="shared" si="5"/>
        <v>65201.7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2052.1999999999998</v>
      </c>
      <c r="E56" s="19">
        <v>2399.1999999999998</v>
      </c>
      <c r="F56" s="19">
        <v>2664.7</v>
      </c>
      <c r="G56" s="19">
        <v>2487.5</v>
      </c>
      <c r="H56" s="19">
        <v>2667.6</v>
      </c>
      <c r="I56" s="19">
        <v>2713.9</v>
      </c>
      <c r="J56" s="19">
        <v>2828.3</v>
      </c>
      <c r="K56" s="19">
        <v>2941.4</v>
      </c>
      <c r="L56" s="19">
        <v>3319.7</v>
      </c>
      <c r="M56" s="19">
        <v>3290.6</v>
      </c>
      <c r="N56" s="19">
        <v>3245.6</v>
      </c>
      <c r="O56" s="19">
        <v>3343.4</v>
      </c>
      <c r="P56" s="19">
        <v>3279.7</v>
      </c>
      <c r="Q56" s="19">
        <v>3100.5</v>
      </c>
      <c r="R56" s="19">
        <v>3090.5</v>
      </c>
      <c r="S56" s="19">
        <v>3246.6</v>
      </c>
      <c r="T56" s="19">
        <v>3429.2</v>
      </c>
      <c r="U56" s="19">
        <v>3654.2</v>
      </c>
      <c r="V56" s="19">
        <v>3892.9</v>
      </c>
      <c r="W56" s="19">
        <v>4152.7</v>
      </c>
      <c r="X56" s="19">
        <v>4093.9</v>
      </c>
      <c r="Y56" s="19">
        <v>4201.6000000000004</v>
      </c>
      <c r="Z56" s="19">
        <v>4620</v>
      </c>
      <c r="AA56" s="19">
        <v>5765.1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867.5</v>
      </c>
      <c r="E57" s="23">
        <v>965.3</v>
      </c>
      <c r="F57" s="23">
        <v>980.3</v>
      </c>
      <c r="G57" s="23">
        <v>925.2</v>
      </c>
      <c r="H57" s="23">
        <v>840.5</v>
      </c>
      <c r="I57" s="23">
        <v>880.4</v>
      </c>
      <c r="J57" s="23">
        <v>943.2</v>
      </c>
      <c r="K57" s="23">
        <v>990.9</v>
      </c>
      <c r="L57" s="23">
        <v>1097.9000000000001</v>
      </c>
      <c r="M57" s="23">
        <v>959.1</v>
      </c>
      <c r="N57" s="23">
        <v>929.6</v>
      </c>
      <c r="O57" s="23">
        <v>956.6</v>
      </c>
      <c r="P57" s="23">
        <v>857.8</v>
      </c>
      <c r="Q57" s="23">
        <v>866</v>
      </c>
      <c r="R57" s="23">
        <v>897</v>
      </c>
      <c r="S57" s="23">
        <v>927.5</v>
      </c>
      <c r="T57" s="23">
        <v>976.7</v>
      </c>
      <c r="U57" s="23">
        <v>1047.4000000000001</v>
      </c>
      <c r="V57" s="23">
        <v>1042.7</v>
      </c>
      <c r="W57" s="23">
        <v>1064.8</v>
      </c>
      <c r="X57" s="23">
        <v>1010.7</v>
      </c>
      <c r="Y57" s="23">
        <v>1009.6</v>
      </c>
      <c r="Z57" s="23">
        <v>1125.5</v>
      </c>
      <c r="AA57" s="23">
        <v>1350.1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453.2</v>
      </c>
      <c r="E58" s="23">
        <v>548.4</v>
      </c>
      <c r="F58" s="23">
        <v>622.1</v>
      </c>
      <c r="G58" s="23">
        <v>657.6</v>
      </c>
      <c r="H58" s="23">
        <v>715</v>
      </c>
      <c r="I58" s="23">
        <v>790.5</v>
      </c>
      <c r="J58" s="23">
        <v>853.2</v>
      </c>
      <c r="K58" s="23">
        <v>932.7</v>
      </c>
      <c r="L58" s="23">
        <v>1064.9000000000001</v>
      </c>
      <c r="M58" s="23">
        <v>843</v>
      </c>
      <c r="N58" s="23">
        <v>834.8</v>
      </c>
      <c r="O58" s="23">
        <v>856</v>
      </c>
      <c r="P58" s="23">
        <v>844.8</v>
      </c>
      <c r="Q58" s="23">
        <v>792.5</v>
      </c>
      <c r="R58" s="23">
        <v>832.1</v>
      </c>
      <c r="S58" s="23">
        <v>899.8</v>
      </c>
      <c r="T58" s="23">
        <v>971.3</v>
      </c>
      <c r="U58" s="23">
        <v>1063.7</v>
      </c>
      <c r="V58" s="23">
        <v>1203.5999999999999</v>
      </c>
      <c r="W58" s="23">
        <v>1274.7</v>
      </c>
      <c r="X58" s="23">
        <v>1250.9000000000001</v>
      </c>
      <c r="Y58" s="23">
        <v>1467.6</v>
      </c>
      <c r="Z58" s="23">
        <v>1602.7</v>
      </c>
      <c r="AA58" s="23">
        <v>1514.5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357.7</v>
      </c>
      <c r="E59" s="23">
        <v>414.9</v>
      </c>
      <c r="F59" s="23">
        <v>438.2</v>
      </c>
      <c r="G59" s="23">
        <v>391.2</v>
      </c>
      <c r="H59" s="23">
        <v>489.7</v>
      </c>
      <c r="I59" s="23">
        <v>520.9</v>
      </c>
      <c r="J59" s="23">
        <v>573.20000000000005</v>
      </c>
      <c r="K59" s="23">
        <v>607.4</v>
      </c>
      <c r="L59" s="23">
        <v>585.9</v>
      </c>
      <c r="M59" s="23">
        <v>532.4</v>
      </c>
      <c r="N59" s="23">
        <v>591</v>
      </c>
      <c r="O59" s="23">
        <v>574.1</v>
      </c>
      <c r="P59" s="23">
        <v>545.5</v>
      </c>
      <c r="Q59" s="23">
        <v>527.1</v>
      </c>
      <c r="R59" s="23">
        <v>591.79999999999995</v>
      </c>
      <c r="S59" s="23">
        <v>692.6</v>
      </c>
      <c r="T59" s="23">
        <v>742.3</v>
      </c>
      <c r="U59" s="23">
        <v>829</v>
      </c>
      <c r="V59" s="23">
        <v>852.6</v>
      </c>
      <c r="W59" s="23">
        <v>953.4</v>
      </c>
      <c r="X59" s="23">
        <v>960</v>
      </c>
      <c r="Y59" s="23">
        <v>986.5</v>
      </c>
      <c r="Z59" s="23">
        <v>1118.9000000000001</v>
      </c>
      <c r="AA59" s="23">
        <v>1208.8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216.00000000000011</v>
      </c>
      <c r="E60" s="23">
        <v>230.79999999999995</v>
      </c>
      <c r="F60" s="23">
        <v>326.79999999999995</v>
      </c>
      <c r="G60" s="23">
        <v>303.29999999999995</v>
      </c>
      <c r="H60" s="23">
        <v>356.39999999999986</v>
      </c>
      <c r="I60" s="23">
        <v>386.39999999999986</v>
      </c>
      <c r="J60" s="23">
        <v>469.09999999999991</v>
      </c>
      <c r="K60" s="23">
        <v>575.20000000000027</v>
      </c>
      <c r="L60" s="23">
        <v>658.09999999999991</v>
      </c>
      <c r="M60" s="23">
        <v>547.39999999999986</v>
      </c>
      <c r="N60" s="23">
        <v>617.90000000000009</v>
      </c>
      <c r="O60" s="23">
        <v>578.80000000000018</v>
      </c>
      <c r="P60" s="23">
        <v>491</v>
      </c>
      <c r="Q60" s="23">
        <v>465.80000000000018</v>
      </c>
      <c r="R60" s="23">
        <v>474.89999999999986</v>
      </c>
      <c r="S60" s="23">
        <v>511.40000000000009</v>
      </c>
      <c r="T60" s="23">
        <v>534.5</v>
      </c>
      <c r="U60" s="23">
        <v>546.89999999999986</v>
      </c>
      <c r="V60" s="23">
        <v>595</v>
      </c>
      <c r="W60" s="23">
        <v>599.59999999999991</v>
      </c>
      <c r="X60" s="23">
        <v>545.29999999999973</v>
      </c>
      <c r="Y60" s="23">
        <v>632.20000000000027</v>
      </c>
      <c r="Z60" s="23">
        <v>724.69999999999982</v>
      </c>
      <c r="AA60" s="23">
        <v>747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240.1</v>
      </c>
      <c r="E61" s="23">
        <v>177.4</v>
      </c>
      <c r="F61" s="23">
        <v>136.30000000000001</v>
      </c>
      <c r="G61" s="23">
        <v>105.8</v>
      </c>
      <c r="H61" s="23">
        <v>159</v>
      </c>
      <c r="I61" s="23">
        <v>210.4</v>
      </c>
      <c r="J61" s="23">
        <v>233.6</v>
      </c>
      <c r="K61" s="23">
        <v>202.3</v>
      </c>
      <c r="L61" s="23">
        <v>265.39999999999998</v>
      </c>
      <c r="M61" s="23">
        <v>219.6</v>
      </c>
      <c r="N61" s="23">
        <v>211.9</v>
      </c>
      <c r="O61" s="23">
        <v>188.9</v>
      </c>
      <c r="P61" s="23">
        <v>180.2</v>
      </c>
      <c r="Q61" s="23">
        <v>183.6</v>
      </c>
      <c r="R61" s="23">
        <v>169.2</v>
      </c>
      <c r="S61" s="23">
        <v>177.7</v>
      </c>
      <c r="T61" s="23">
        <v>186.7</v>
      </c>
      <c r="U61" s="23">
        <v>139.4</v>
      </c>
      <c r="V61" s="23">
        <v>40.200000000000003</v>
      </c>
      <c r="W61" s="23">
        <v>41.5</v>
      </c>
      <c r="X61" s="23">
        <v>45.7</v>
      </c>
      <c r="Y61" s="23">
        <v>50.6</v>
      </c>
      <c r="Z61" s="23">
        <v>31.5</v>
      </c>
      <c r="AA61" s="23">
        <v>51.9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821.7</v>
      </c>
      <c r="E62" s="23">
        <v>763.3</v>
      </c>
      <c r="F62" s="23">
        <v>748.5</v>
      </c>
      <c r="G62" s="23">
        <v>794</v>
      </c>
      <c r="H62" s="23">
        <v>906.1</v>
      </c>
      <c r="I62" s="23">
        <v>971.3</v>
      </c>
      <c r="J62" s="23">
        <v>978.8</v>
      </c>
      <c r="K62" s="23">
        <v>1064.3</v>
      </c>
      <c r="L62" s="23">
        <v>1220.8</v>
      </c>
      <c r="M62" s="23">
        <v>914.8</v>
      </c>
      <c r="N62" s="23">
        <v>948.9</v>
      </c>
      <c r="O62" s="23">
        <v>1053</v>
      </c>
      <c r="P62" s="23">
        <v>1154.7</v>
      </c>
      <c r="Q62" s="23">
        <v>1039.0999999999999</v>
      </c>
      <c r="R62" s="23">
        <v>1237.2</v>
      </c>
      <c r="S62" s="23">
        <v>1484.3</v>
      </c>
      <c r="T62" s="23">
        <v>1441.3</v>
      </c>
      <c r="U62" s="23">
        <v>1814.1</v>
      </c>
      <c r="V62" s="23">
        <v>1761.6</v>
      </c>
      <c r="W62" s="23">
        <v>1870.5</v>
      </c>
      <c r="X62" s="23">
        <v>1497.7</v>
      </c>
      <c r="Y62" s="23">
        <v>1474.6</v>
      </c>
      <c r="Z62" s="23">
        <v>2744</v>
      </c>
      <c r="AA62" s="23">
        <v>2679.6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285.7</v>
      </c>
      <c r="E63" s="23">
        <v>303.8</v>
      </c>
      <c r="F63" s="23">
        <v>347.6</v>
      </c>
      <c r="G63" s="23">
        <v>362.1</v>
      </c>
      <c r="H63" s="23">
        <v>386.5</v>
      </c>
      <c r="I63" s="23">
        <v>475.2</v>
      </c>
      <c r="J63" s="23">
        <v>526.4</v>
      </c>
      <c r="K63" s="23">
        <v>524.29999999999995</v>
      </c>
      <c r="L63" s="23">
        <v>557.79999999999995</v>
      </c>
      <c r="M63" s="23">
        <v>573.9</v>
      </c>
      <c r="N63" s="23">
        <v>667.9</v>
      </c>
      <c r="O63" s="23">
        <v>637.70000000000005</v>
      </c>
      <c r="P63" s="23">
        <v>648.29999999999995</v>
      </c>
      <c r="Q63" s="23">
        <v>635</v>
      </c>
      <c r="R63" s="23">
        <v>670</v>
      </c>
      <c r="S63" s="23">
        <v>658</v>
      </c>
      <c r="T63" s="23">
        <v>659.2</v>
      </c>
      <c r="U63" s="23">
        <v>713.8</v>
      </c>
      <c r="V63" s="23">
        <v>684.1</v>
      </c>
      <c r="W63" s="23">
        <v>808.3</v>
      </c>
      <c r="X63" s="23">
        <v>883.7</v>
      </c>
      <c r="Y63" s="23">
        <v>867.6</v>
      </c>
      <c r="Z63" s="23">
        <v>990.1</v>
      </c>
      <c r="AA63" s="23">
        <v>1167.9000000000001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802.2</v>
      </c>
      <c r="E64" s="23">
        <v>879.2</v>
      </c>
      <c r="F64" s="23">
        <v>1064</v>
      </c>
      <c r="G64" s="23">
        <v>1166.5999999999999</v>
      </c>
      <c r="H64" s="23">
        <v>1346</v>
      </c>
      <c r="I64" s="23">
        <v>1532.7</v>
      </c>
      <c r="J64" s="23">
        <v>2075.5</v>
      </c>
      <c r="K64" s="23">
        <v>2150.4</v>
      </c>
      <c r="L64" s="23">
        <v>2477.5</v>
      </c>
      <c r="M64" s="23">
        <v>2321.6999999999998</v>
      </c>
      <c r="N64" s="23">
        <v>2474.3000000000002</v>
      </c>
      <c r="O64" s="23">
        <v>2630.7</v>
      </c>
      <c r="P64" s="23">
        <v>2590.8000000000002</v>
      </c>
      <c r="Q64" s="23">
        <v>2594.4</v>
      </c>
      <c r="R64" s="23">
        <v>2824.6</v>
      </c>
      <c r="S64" s="23">
        <v>3197.9</v>
      </c>
      <c r="T64" s="23">
        <v>3339.8</v>
      </c>
      <c r="U64" s="23">
        <v>3408.5</v>
      </c>
      <c r="V64" s="23">
        <v>3400.9</v>
      </c>
      <c r="W64" s="23">
        <v>3629.8</v>
      </c>
      <c r="X64" s="23">
        <v>3329.5</v>
      </c>
      <c r="Y64" s="23">
        <v>3491.4</v>
      </c>
      <c r="Z64" s="23">
        <v>3581.7</v>
      </c>
      <c r="AA64" s="23">
        <v>4102.3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1304.8999999999999</v>
      </c>
      <c r="E65" s="23">
        <v>1456.2</v>
      </c>
      <c r="F65" s="23">
        <v>1470</v>
      </c>
      <c r="G65" s="23">
        <v>1369.3000000000002</v>
      </c>
      <c r="H65" s="23">
        <v>1455.3000000000002</v>
      </c>
      <c r="I65" s="23">
        <v>1599.6000000000001</v>
      </c>
      <c r="J65" s="23">
        <v>1818.6999999999998</v>
      </c>
      <c r="K65" s="23">
        <v>1961.9</v>
      </c>
      <c r="L65" s="23">
        <v>2132.8999999999996</v>
      </c>
      <c r="M65" s="23">
        <v>1689.9</v>
      </c>
      <c r="N65" s="23">
        <v>1632.3999999999996</v>
      </c>
      <c r="O65" s="23">
        <v>1795.5</v>
      </c>
      <c r="P65" s="23">
        <v>1647.8000000000002</v>
      </c>
      <c r="Q65" s="23">
        <v>1594.1</v>
      </c>
      <c r="R65" s="23">
        <v>1676.9</v>
      </c>
      <c r="S65" s="23">
        <v>1877.7000000000003</v>
      </c>
      <c r="T65" s="23">
        <v>1818.8000000000002</v>
      </c>
      <c r="U65" s="23">
        <v>1939</v>
      </c>
      <c r="V65" s="23">
        <v>2175.9</v>
      </c>
      <c r="W65" s="23">
        <v>2310.6999999999998</v>
      </c>
      <c r="X65" s="23">
        <v>2131.6999999999998</v>
      </c>
      <c r="Y65" s="23">
        <v>2413.7999999999997</v>
      </c>
      <c r="Z65" s="23">
        <v>2679.1000000000004</v>
      </c>
      <c r="AA65" s="23">
        <v>2805.3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974.9</v>
      </c>
      <c r="E66" s="23">
        <v>1044</v>
      </c>
      <c r="F66" s="23">
        <v>1082</v>
      </c>
      <c r="G66" s="23">
        <v>1055.7</v>
      </c>
      <c r="H66" s="23">
        <v>1310.3</v>
      </c>
      <c r="I66" s="23">
        <v>1702.8</v>
      </c>
      <c r="J66" s="23">
        <v>1796</v>
      </c>
      <c r="K66" s="23">
        <v>1874.7</v>
      </c>
      <c r="L66" s="23">
        <v>1799.3</v>
      </c>
      <c r="M66" s="23">
        <v>1072.5</v>
      </c>
      <c r="N66" s="23">
        <v>1019.6</v>
      </c>
      <c r="O66" s="23">
        <v>1308.5999999999999</v>
      </c>
      <c r="P66" s="23">
        <v>1148.0999999999999</v>
      </c>
      <c r="Q66" s="23">
        <v>1228.8</v>
      </c>
      <c r="R66" s="23">
        <v>1433.7</v>
      </c>
      <c r="S66" s="23">
        <v>1509.2</v>
      </c>
      <c r="T66" s="23">
        <v>1454.8</v>
      </c>
      <c r="U66" s="23">
        <v>1383.4</v>
      </c>
      <c r="V66" s="23">
        <v>1508.9</v>
      </c>
      <c r="W66" s="23">
        <v>1352.3</v>
      </c>
      <c r="X66" s="23">
        <v>1092.8</v>
      </c>
      <c r="Y66" s="23">
        <v>1037.8</v>
      </c>
      <c r="Z66" s="23">
        <v>1066</v>
      </c>
      <c r="AA66" s="23">
        <v>1104.8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1300.2999999999997</v>
      </c>
      <c r="E67" s="23">
        <v>1654.4</v>
      </c>
      <c r="F67" s="23">
        <v>1870.6999999999998</v>
      </c>
      <c r="G67" s="23">
        <v>1936.7</v>
      </c>
      <c r="H67" s="23">
        <v>2179.5</v>
      </c>
      <c r="I67" s="23">
        <v>2544.3000000000002</v>
      </c>
      <c r="J67" s="23">
        <v>2963.8</v>
      </c>
      <c r="K67" s="23">
        <v>3287.9000000000005</v>
      </c>
      <c r="L67" s="23">
        <v>3749.3999999999996</v>
      </c>
      <c r="M67" s="23">
        <v>3036.8</v>
      </c>
      <c r="N67" s="23">
        <v>3443.2000000000003</v>
      </c>
      <c r="O67" s="23">
        <v>3845.4</v>
      </c>
      <c r="P67" s="23">
        <v>3909.4</v>
      </c>
      <c r="Q67" s="23">
        <v>3881.5</v>
      </c>
      <c r="R67" s="23">
        <v>4164.8</v>
      </c>
      <c r="S67" s="23">
        <v>4584.2</v>
      </c>
      <c r="T67" s="23">
        <v>4791.8999999999996</v>
      </c>
      <c r="U67" s="23">
        <v>5148</v>
      </c>
      <c r="V67" s="23">
        <v>5492.7999999999993</v>
      </c>
      <c r="W67" s="23">
        <v>5784</v>
      </c>
      <c r="X67" s="23">
        <v>5350.8</v>
      </c>
      <c r="Y67" s="23">
        <v>5739.4</v>
      </c>
      <c r="Z67" s="23">
        <v>6858.7</v>
      </c>
      <c r="AA67" s="23">
        <v>7889.3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524.4</v>
      </c>
      <c r="E68" s="23">
        <v>625.4</v>
      </c>
      <c r="F68" s="23">
        <v>765.1</v>
      </c>
      <c r="G68" s="23">
        <v>875.7</v>
      </c>
      <c r="H68" s="23">
        <v>950.7</v>
      </c>
      <c r="I68" s="23">
        <v>1112.2</v>
      </c>
      <c r="J68" s="23">
        <v>1438.9</v>
      </c>
      <c r="K68" s="23">
        <v>1684.1</v>
      </c>
      <c r="L68" s="23">
        <v>1842.6</v>
      </c>
      <c r="M68" s="23">
        <v>1568.4</v>
      </c>
      <c r="N68" s="23">
        <v>1740.4</v>
      </c>
      <c r="O68" s="23">
        <v>1904.4</v>
      </c>
      <c r="P68" s="23">
        <v>2220.5</v>
      </c>
      <c r="Q68" s="23">
        <v>2058.3000000000002</v>
      </c>
      <c r="R68" s="23">
        <v>2116.6999999999998</v>
      </c>
      <c r="S68" s="23">
        <v>2305.9</v>
      </c>
      <c r="T68" s="23">
        <v>2485.6999999999998</v>
      </c>
      <c r="U68" s="23">
        <v>2795.6</v>
      </c>
      <c r="V68" s="23">
        <v>3026.4</v>
      </c>
      <c r="W68" s="23">
        <v>2667.7</v>
      </c>
      <c r="X68" s="23">
        <v>2887</v>
      </c>
      <c r="Y68" s="23">
        <v>2313.3000000000002</v>
      </c>
      <c r="Z68" s="23">
        <v>2995.8</v>
      </c>
      <c r="AA68" s="23">
        <v>3360.5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858.3</v>
      </c>
      <c r="E69" s="23">
        <v>952.6</v>
      </c>
      <c r="F69" s="23">
        <v>939.2</v>
      </c>
      <c r="G69" s="23">
        <v>1026.8</v>
      </c>
      <c r="H69" s="23">
        <v>1239</v>
      </c>
      <c r="I69" s="23">
        <v>1410</v>
      </c>
      <c r="J69" s="23">
        <v>1736.1</v>
      </c>
      <c r="K69" s="23">
        <v>2108.8000000000002</v>
      </c>
      <c r="L69" s="23">
        <v>2190.5</v>
      </c>
      <c r="M69" s="23">
        <v>2020.5</v>
      </c>
      <c r="N69" s="23">
        <v>2349.9</v>
      </c>
      <c r="O69" s="23">
        <v>2890.4</v>
      </c>
      <c r="P69" s="23">
        <v>2747.1</v>
      </c>
      <c r="Q69" s="23">
        <v>2719.9</v>
      </c>
      <c r="R69" s="23">
        <v>2911.5</v>
      </c>
      <c r="S69" s="23">
        <v>3145.9</v>
      </c>
      <c r="T69" s="23">
        <v>3172</v>
      </c>
      <c r="U69" s="23">
        <v>3430.5</v>
      </c>
      <c r="V69" s="23">
        <v>3600.5</v>
      </c>
      <c r="W69" s="23">
        <v>3988.7</v>
      </c>
      <c r="X69" s="23">
        <v>3744.8</v>
      </c>
      <c r="Y69" s="23">
        <v>4328.8</v>
      </c>
      <c r="Z69" s="23">
        <v>4758.5</v>
      </c>
      <c r="AA69" s="23">
        <v>5795.7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1298.5999999999999</v>
      </c>
      <c r="E70" s="23">
        <v>1464.5</v>
      </c>
      <c r="F70" s="23">
        <v>1597.2</v>
      </c>
      <c r="G70" s="23">
        <v>1417.4</v>
      </c>
      <c r="H70" s="23">
        <v>1693.5</v>
      </c>
      <c r="I70" s="23">
        <v>2010.9</v>
      </c>
      <c r="J70" s="23">
        <v>2639.3</v>
      </c>
      <c r="K70" s="23">
        <v>3156.3</v>
      </c>
      <c r="L70" s="23">
        <v>3508.8</v>
      </c>
      <c r="M70" s="23">
        <v>2849.9</v>
      </c>
      <c r="N70" s="23">
        <v>3182.7</v>
      </c>
      <c r="O70" s="23">
        <v>3645.7</v>
      </c>
      <c r="P70" s="23">
        <v>3561.8</v>
      </c>
      <c r="Q70" s="23">
        <v>3624.8</v>
      </c>
      <c r="R70" s="23">
        <v>3656.6</v>
      </c>
      <c r="S70" s="23">
        <v>3842.8</v>
      </c>
      <c r="T70" s="23">
        <v>3784.3</v>
      </c>
      <c r="U70" s="23">
        <v>4053.9</v>
      </c>
      <c r="V70" s="23">
        <v>4089.3</v>
      </c>
      <c r="W70" s="23">
        <v>4632.1000000000004</v>
      </c>
      <c r="X70" s="23">
        <v>4096.3</v>
      </c>
      <c r="Y70" s="23">
        <v>4319.8999999999996</v>
      </c>
      <c r="Z70" s="23">
        <v>4779.5</v>
      </c>
      <c r="AA70" s="23">
        <v>5787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1903.5</v>
      </c>
      <c r="E71" s="23">
        <v>2392.3000000000002</v>
      </c>
      <c r="F71" s="23">
        <v>2644.3</v>
      </c>
      <c r="G71" s="23">
        <v>2492.8000000000002</v>
      </c>
      <c r="H71" s="23">
        <v>3267.2</v>
      </c>
      <c r="I71" s="23">
        <v>3789.7</v>
      </c>
      <c r="J71" s="23">
        <v>4475.5</v>
      </c>
      <c r="K71" s="23">
        <v>5118.7</v>
      </c>
      <c r="L71" s="23">
        <v>5579.3</v>
      </c>
      <c r="M71" s="23">
        <v>4818</v>
      </c>
      <c r="N71" s="23">
        <v>5916</v>
      </c>
      <c r="O71" s="23">
        <v>6533.3</v>
      </c>
      <c r="P71" s="23">
        <v>6210.8</v>
      </c>
      <c r="Q71" s="23">
        <v>6104.7</v>
      </c>
      <c r="R71" s="23">
        <v>7069.6</v>
      </c>
      <c r="S71" s="23">
        <v>7775.7</v>
      </c>
      <c r="T71" s="23">
        <v>8796</v>
      </c>
      <c r="U71" s="23">
        <v>9557.9</v>
      </c>
      <c r="V71" s="23">
        <v>9854.1</v>
      </c>
      <c r="W71" s="23">
        <v>10783.9</v>
      </c>
      <c r="X71" s="23">
        <v>8269.2000000000007</v>
      </c>
      <c r="Y71" s="23">
        <v>9153.5</v>
      </c>
      <c r="Z71" s="23">
        <v>10344.9</v>
      </c>
      <c r="AA71" s="23">
        <v>13206.5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187.59999999999991</v>
      </c>
      <c r="E72" s="23">
        <v>227.59999999999991</v>
      </c>
      <c r="F72" s="23">
        <v>275</v>
      </c>
      <c r="G72" s="23">
        <v>273.69999999999982</v>
      </c>
      <c r="H72" s="23">
        <v>285</v>
      </c>
      <c r="I72" s="23">
        <v>326.5</v>
      </c>
      <c r="J72" s="23">
        <v>355</v>
      </c>
      <c r="K72" s="23">
        <v>448.10000000000036</v>
      </c>
      <c r="L72" s="23">
        <v>585</v>
      </c>
      <c r="M72" s="23">
        <v>586.10000000000036</v>
      </c>
      <c r="N72" s="23">
        <v>633.5</v>
      </c>
      <c r="O72" s="23">
        <v>797.19999999999982</v>
      </c>
      <c r="P72" s="23">
        <v>774.89999999999964</v>
      </c>
      <c r="Q72" s="23">
        <v>760.80000000000018</v>
      </c>
      <c r="R72" s="23">
        <v>810.19999999999982</v>
      </c>
      <c r="S72" s="23">
        <v>898.80000000000018</v>
      </c>
      <c r="T72" s="23">
        <v>938.79999999999927</v>
      </c>
      <c r="U72" s="23">
        <v>861.5</v>
      </c>
      <c r="V72" s="23">
        <v>913.79999999999927</v>
      </c>
      <c r="W72" s="23">
        <v>1002.5</v>
      </c>
      <c r="X72" s="23">
        <v>968.29999999999927</v>
      </c>
      <c r="Y72" s="23">
        <v>908.39999999999964</v>
      </c>
      <c r="Z72" s="23">
        <v>1137.5</v>
      </c>
      <c r="AA72" s="23">
        <v>1513.7999999999993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637.20000000000005</v>
      </c>
      <c r="E73" s="23">
        <v>749.8</v>
      </c>
      <c r="F73" s="23">
        <v>864.7</v>
      </c>
      <c r="G73" s="23">
        <v>847</v>
      </c>
      <c r="H73" s="23">
        <v>859.9</v>
      </c>
      <c r="I73" s="23">
        <v>990.4</v>
      </c>
      <c r="J73" s="23">
        <v>1079.5</v>
      </c>
      <c r="K73" s="23">
        <v>1176.7</v>
      </c>
      <c r="L73" s="23">
        <v>1326</v>
      </c>
      <c r="M73" s="23">
        <v>1168.4000000000001</v>
      </c>
      <c r="N73" s="23">
        <v>1193.8</v>
      </c>
      <c r="O73" s="23">
        <v>1312.5</v>
      </c>
      <c r="P73" s="23">
        <v>1249.5999999999999</v>
      </c>
      <c r="Q73" s="23">
        <v>1244.8</v>
      </c>
      <c r="R73" s="23">
        <v>1226.5</v>
      </c>
      <c r="S73" s="23">
        <v>1299.9000000000001</v>
      </c>
      <c r="T73" s="23">
        <v>1499.1</v>
      </c>
      <c r="U73" s="23">
        <v>1624.9</v>
      </c>
      <c r="V73" s="23">
        <v>1729.3</v>
      </c>
      <c r="W73" s="23">
        <v>1831.7</v>
      </c>
      <c r="X73" s="23">
        <v>1753.3</v>
      </c>
      <c r="Y73" s="23">
        <v>1842.7</v>
      </c>
      <c r="Z73" s="23">
        <v>2048.1</v>
      </c>
      <c r="AA73" s="23">
        <v>2323.6999999999998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577.40000000000214</v>
      </c>
      <c r="E74" s="23">
        <v>640.49999999999932</v>
      </c>
      <c r="F74" s="23">
        <v>683.59999999999559</v>
      </c>
      <c r="G74" s="23">
        <v>690.19999999999709</v>
      </c>
      <c r="H74" s="23">
        <v>811.09999999999638</v>
      </c>
      <c r="I74" s="23">
        <v>931.3999999999993</v>
      </c>
      <c r="J74" s="23">
        <v>1110.4000000000015</v>
      </c>
      <c r="K74" s="23">
        <v>1360.6000000000029</v>
      </c>
      <c r="L74" s="23">
        <v>1524.0000000000073</v>
      </c>
      <c r="M74" s="23">
        <v>1350.7999999999934</v>
      </c>
      <c r="N74" s="23">
        <v>1381.5999999999979</v>
      </c>
      <c r="O74" s="23">
        <v>1561.8000000000029</v>
      </c>
      <c r="P74" s="23">
        <v>1495.3000000000015</v>
      </c>
      <c r="Q74" s="23">
        <v>1499.3999999999971</v>
      </c>
      <c r="R74" s="23">
        <v>1460.1999999999971</v>
      </c>
      <c r="S74" s="23">
        <v>1437.0000000000014</v>
      </c>
      <c r="T74" s="23">
        <v>1544.5999999999972</v>
      </c>
      <c r="U74" s="23">
        <v>1597.1999999999985</v>
      </c>
      <c r="V74" s="23">
        <v>1759.9999999999957</v>
      </c>
      <c r="W74" s="23">
        <v>2011.1999999999941</v>
      </c>
      <c r="X74" s="23">
        <v>1905.9999999999957</v>
      </c>
      <c r="Y74" s="23">
        <v>2079.8999999999987</v>
      </c>
      <c r="Z74" s="23">
        <v>2452.1000000000045</v>
      </c>
      <c r="AA74" s="23">
        <v>2827.900000000006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15663.4</v>
      </c>
      <c r="E75" s="30">
        <f t="shared" ref="E75:Y75" si="6">SUM(E56:E74)</f>
        <v>17889.599999999999</v>
      </c>
      <c r="F75" s="30">
        <f t="shared" si="6"/>
        <v>19520.3</v>
      </c>
      <c r="G75" s="30">
        <f t="shared" si="6"/>
        <v>19178.600000000002</v>
      </c>
      <c r="H75" s="30">
        <f t="shared" si="6"/>
        <v>21918.299999999996</v>
      </c>
      <c r="I75" s="30">
        <f t="shared" si="6"/>
        <v>24899.5</v>
      </c>
      <c r="J75" s="30">
        <f t="shared" si="6"/>
        <v>28894.5</v>
      </c>
      <c r="K75" s="30">
        <f t="shared" si="6"/>
        <v>32166.700000000004</v>
      </c>
      <c r="L75" s="30">
        <f t="shared" si="6"/>
        <v>35485.800000000003</v>
      </c>
      <c r="M75" s="30">
        <f t="shared" si="6"/>
        <v>30363.8</v>
      </c>
      <c r="N75" s="30">
        <f t="shared" si="6"/>
        <v>33015</v>
      </c>
      <c r="O75" s="30">
        <f t="shared" si="6"/>
        <v>36414.000000000007</v>
      </c>
      <c r="P75" s="30">
        <f t="shared" si="6"/>
        <v>35558.1</v>
      </c>
      <c r="Q75" s="30">
        <f t="shared" si="6"/>
        <v>34921.1</v>
      </c>
      <c r="R75" s="30">
        <f t="shared" si="6"/>
        <v>37313.999999999993</v>
      </c>
      <c r="S75" s="30">
        <f t="shared" si="6"/>
        <v>40472.900000000009</v>
      </c>
      <c r="T75" s="30">
        <f t="shared" si="6"/>
        <v>42567</v>
      </c>
      <c r="U75" s="30">
        <f t="shared" si="6"/>
        <v>45608.899999999994</v>
      </c>
      <c r="V75" s="30">
        <f t="shared" si="6"/>
        <v>47624.6</v>
      </c>
      <c r="W75" s="30">
        <f t="shared" si="6"/>
        <v>50760.1</v>
      </c>
      <c r="X75" s="30">
        <f t="shared" si="6"/>
        <v>45817.599999999999</v>
      </c>
      <c r="Y75" s="30">
        <f t="shared" si="6"/>
        <v>48319.200000000004</v>
      </c>
      <c r="Z75" s="30">
        <f t="shared" ref="Z75:AA75" si="7">SUM(Z56:Z74)</f>
        <v>55659.3</v>
      </c>
      <c r="AA75" s="30">
        <f t="shared" si="7"/>
        <v>65201.7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186377.52929515418</v>
      </c>
      <c r="E2" s="19">
        <v>191817.43974638649</v>
      </c>
      <c r="F2" s="19">
        <v>194717.96321071155</v>
      </c>
      <c r="G2" s="19">
        <v>201146.58453225263</v>
      </c>
      <c r="H2" s="19">
        <v>210672.81829828149</v>
      </c>
      <c r="I2" s="19">
        <v>224104.20556559085</v>
      </c>
      <c r="J2" s="19">
        <v>238945.79072544057</v>
      </c>
      <c r="K2" s="19">
        <v>252063.42116855097</v>
      </c>
      <c r="L2" s="19">
        <v>258646.71512089352</v>
      </c>
      <c r="M2" s="19">
        <v>246237.1939664644</v>
      </c>
      <c r="N2" s="19">
        <v>252920.32980884053</v>
      </c>
      <c r="O2" s="19">
        <v>257403.93789799727</v>
      </c>
      <c r="P2" s="19">
        <v>255419.70738450481</v>
      </c>
      <c r="Q2" s="19">
        <v>255312.9724912364</v>
      </c>
      <c r="R2" s="19">
        <v>261043.76999560592</v>
      </c>
      <c r="S2" s="19">
        <v>273989.62345599994</v>
      </c>
      <c r="T2" s="19">
        <v>281060.92162755952</v>
      </c>
      <c r="U2" s="19">
        <v>295601.11100471311</v>
      </c>
      <c r="V2" s="19">
        <v>303968.2745895175</v>
      </c>
      <c r="W2" s="19">
        <v>314807.47578596749</v>
      </c>
      <c r="X2" s="19">
        <v>298106.35430765862</v>
      </c>
      <c r="Y2" s="19">
        <v>310117.67129508307</v>
      </c>
      <c r="Z2" s="19">
        <v>318946.48439547059</v>
      </c>
      <c r="AA2" s="19">
        <v>319099.09999999998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96791.139408445903</v>
      </c>
      <c r="E3" s="23">
        <v>99623.685781593391</v>
      </c>
      <c r="F3" s="23">
        <v>102857.12705653076</v>
      </c>
      <c r="G3" s="23">
        <v>107830.94106330886</v>
      </c>
      <c r="H3" s="23">
        <v>111081.94687866249</v>
      </c>
      <c r="I3" s="23">
        <v>114927.65722257715</v>
      </c>
      <c r="J3" s="23">
        <v>119174.06108191806</v>
      </c>
      <c r="K3" s="23">
        <v>124099.91857547741</v>
      </c>
      <c r="L3" s="23">
        <v>127899.51446309862</v>
      </c>
      <c r="M3" s="23">
        <v>127110.11713852111</v>
      </c>
      <c r="N3" s="23">
        <v>129384.00682627235</v>
      </c>
      <c r="O3" s="23">
        <v>130109.05474329097</v>
      </c>
      <c r="P3" s="23">
        <v>129222.08314462562</v>
      </c>
      <c r="Q3" s="23">
        <v>130243.49158715553</v>
      </c>
      <c r="R3" s="23">
        <v>132027.62043202858</v>
      </c>
      <c r="S3" s="23">
        <v>136809.46721999999</v>
      </c>
      <c r="T3" s="23">
        <v>141718.50788544529</v>
      </c>
      <c r="U3" s="23">
        <v>148086.48966342365</v>
      </c>
      <c r="V3" s="23">
        <v>153312.93533316941</v>
      </c>
      <c r="W3" s="23">
        <v>158022.26968403073</v>
      </c>
      <c r="X3" s="23">
        <v>147860.65056657951</v>
      </c>
      <c r="Y3" s="23">
        <v>154043.20037509734</v>
      </c>
      <c r="Z3" s="23">
        <v>154861.03142030994</v>
      </c>
      <c r="AA3" s="23">
        <v>150845.5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168085.79890787744</v>
      </c>
      <c r="E4" s="27">
        <v>173021.79503706092</v>
      </c>
      <c r="F4" s="27">
        <v>176409.70919128097</v>
      </c>
      <c r="G4" s="27">
        <v>181119.91435938227</v>
      </c>
      <c r="H4" s="27">
        <v>189755.68051937662</v>
      </c>
      <c r="I4" s="27">
        <v>202148.81846928853</v>
      </c>
      <c r="J4" s="27">
        <v>216541.60083427603</v>
      </c>
      <c r="K4" s="27">
        <v>227797.1007910386</v>
      </c>
      <c r="L4" s="27">
        <v>235751.3081251113</v>
      </c>
      <c r="M4" s="27">
        <v>222932.3129465376</v>
      </c>
      <c r="N4" s="27">
        <v>230315.70349946976</v>
      </c>
      <c r="O4" s="27">
        <v>234392.50545377814</v>
      </c>
      <c r="P4" s="27">
        <v>232465.10786001594</v>
      </c>
      <c r="Q4" s="27">
        <v>232437.49652578801</v>
      </c>
      <c r="R4" s="27">
        <v>239024.84292920507</v>
      </c>
      <c r="S4" s="27">
        <v>249422.18867999999</v>
      </c>
      <c r="T4" s="27">
        <v>255774.06664973529</v>
      </c>
      <c r="U4" s="27">
        <v>269090.17288005468</v>
      </c>
      <c r="V4" s="27">
        <v>277087.43043308763</v>
      </c>
      <c r="W4" s="27">
        <v>287061.05710416724</v>
      </c>
      <c r="X4" s="27">
        <v>272562.64022464026</v>
      </c>
      <c r="Y4" s="27">
        <v>283272.78291162394</v>
      </c>
      <c r="Z4" s="27">
        <v>291497.69166517741</v>
      </c>
      <c r="AA4" s="27">
        <v>293132.59999999998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5957.1326726665993</v>
      </c>
      <c r="E6" s="19">
        <v>6040.536310482943</v>
      </c>
      <c r="F6" s="19">
        <v>5102.7284181471323</v>
      </c>
      <c r="G6" s="19">
        <v>4814.9099925940154</v>
      </c>
      <c r="H6" s="19">
        <v>5045.2375721541603</v>
      </c>
      <c r="I6" s="19">
        <v>5098.3556148532398</v>
      </c>
      <c r="J6" s="19">
        <v>5153.1519654977374</v>
      </c>
      <c r="K6" s="19">
        <v>5254.2635620167575</v>
      </c>
      <c r="L6" s="19">
        <v>4990.7557006350526</v>
      </c>
      <c r="M6" s="19">
        <v>4334.4959394580519</v>
      </c>
      <c r="N6" s="19">
        <v>3870.8226935312832</v>
      </c>
      <c r="O6" s="19">
        <v>5092.4565903815537</v>
      </c>
      <c r="P6" s="19">
        <v>5763.4908380778425</v>
      </c>
      <c r="Q6" s="19">
        <v>6083.92005730659</v>
      </c>
      <c r="R6" s="19">
        <v>6318.366987609098</v>
      </c>
      <c r="S6" s="19">
        <v>6252.8828039999999</v>
      </c>
      <c r="T6" s="19">
        <v>6101.6978607849651</v>
      </c>
      <c r="U6" s="19">
        <v>6295.417952006891</v>
      </c>
      <c r="V6" s="19">
        <v>6044.8661397788492</v>
      </c>
      <c r="W6" s="19">
        <v>5998.8973760188055</v>
      </c>
      <c r="X6" s="19">
        <v>5809.9017800732099</v>
      </c>
      <c r="Y6" s="19">
        <v>5466.5988091995177</v>
      </c>
      <c r="Z6" s="19">
        <v>6648.2258526593632</v>
      </c>
      <c r="AA6" s="19">
        <v>6832.6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51126.561108302158</v>
      </c>
      <c r="E7" s="23">
        <v>53609.79089360527</v>
      </c>
      <c r="F7" s="23">
        <v>52590.849954672776</v>
      </c>
      <c r="G7" s="23">
        <v>52024.09175741284</v>
      </c>
      <c r="H7" s="23">
        <v>57852.850940503646</v>
      </c>
      <c r="I7" s="23">
        <v>61483.063837003428</v>
      </c>
      <c r="J7" s="23">
        <v>67954.812556561083</v>
      </c>
      <c r="K7" s="23">
        <v>71325.559325664683</v>
      </c>
      <c r="L7" s="23">
        <v>72442.708872930147</v>
      </c>
      <c r="M7" s="23">
        <v>65749.046264952398</v>
      </c>
      <c r="N7" s="23">
        <v>67291.047295864264</v>
      </c>
      <c r="O7" s="23">
        <v>71458.805685894622</v>
      </c>
      <c r="P7" s="23">
        <v>70625.591205331992</v>
      </c>
      <c r="Q7" s="23">
        <v>70647.244555873927</v>
      </c>
      <c r="R7" s="23">
        <v>75175.1471417024</v>
      </c>
      <c r="S7" s="23">
        <v>78845.798844000004</v>
      </c>
      <c r="T7" s="23">
        <v>80081.890706624748</v>
      </c>
      <c r="U7" s="23">
        <v>82017.336702650588</v>
      </c>
      <c r="V7" s="23">
        <v>80838.974319535017</v>
      </c>
      <c r="W7" s="23">
        <v>82135.80298934567</v>
      </c>
      <c r="X7" s="23">
        <v>73692.882083939228</v>
      </c>
      <c r="Y7" s="23">
        <v>73249.391957037791</v>
      </c>
      <c r="Z7" s="23">
        <v>77614.962976506329</v>
      </c>
      <c r="AA7" s="23">
        <v>79389.399999999994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10293.870543027606</v>
      </c>
      <c r="E8" s="23">
        <v>10327.127461903228</v>
      </c>
      <c r="F8" s="23">
        <v>11160.42017129636</v>
      </c>
      <c r="G8" s="23">
        <v>11770.794157500617</v>
      </c>
      <c r="H8" s="23">
        <v>12236.459317718261</v>
      </c>
      <c r="I8" s="23">
        <v>13457.642878874787</v>
      </c>
      <c r="J8" s="23">
        <v>13710.050608031674</v>
      </c>
      <c r="K8" s="23">
        <v>14573.645003291345</v>
      </c>
      <c r="L8" s="23">
        <v>14933.730927651493</v>
      </c>
      <c r="M8" s="23">
        <v>15553.793481975754</v>
      </c>
      <c r="N8" s="23">
        <v>16051.657476139981</v>
      </c>
      <c r="O8" s="23">
        <v>14928.61403057799</v>
      </c>
      <c r="P8" s="23">
        <v>13599.12577580009</v>
      </c>
      <c r="Q8" s="23">
        <v>13254.069842406878</v>
      </c>
      <c r="R8" s="23">
        <v>13355.069951807474</v>
      </c>
      <c r="S8" s="23">
        <v>13926.100608000001</v>
      </c>
      <c r="T8" s="23">
        <v>13729.85082540489</v>
      </c>
      <c r="U8" s="23">
        <v>14364.27655490745</v>
      </c>
      <c r="V8" s="23">
        <v>15104.542748795013</v>
      </c>
      <c r="W8" s="23">
        <v>15599.649250108589</v>
      </c>
      <c r="X8" s="23">
        <v>14989.242721757009</v>
      </c>
      <c r="Y8" s="23">
        <v>15380.889115460948</v>
      </c>
      <c r="Z8" s="23">
        <v>15940.188683447206</v>
      </c>
      <c r="AA8" s="23">
        <v>16416.099999999999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37196.035473758726</v>
      </c>
      <c r="E9" s="23">
        <v>37642.936347313662</v>
      </c>
      <c r="F9" s="23">
        <v>38888.399967526762</v>
      </c>
      <c r="G9" s="23">
        <v>39898.435082425873</v>
      </c>
      <c r="H9" s="23">
        <v>39752.966477810507</v>
      </c>
      <c r="I9" s="23">
        <v>41600.91400783063</v>
      </c>
      <c r="J9" s="23">
        <v>44516.683710407233</v>
      </c>
      <c r="K9" s="23">
        <v>46109.187236273974</v>
      </c>
      <c r="L9" s="23">
        <v>47456.335189031997</v>
      </c>
      <c r="M9" s="23">
        <v>41382.118935633502</v>
      </c>
      <c r="N9" s="23">
        <v>42679.30275715801</v>
      </c>
      <c r="O9" s="23">
        <v>42520.798112375072</v>
      </c>
      <c r="P9" s="23">
        <v>42218.65464119854</v>
      </c>
      <c r="Q9" s="23">
        <v>41584.381697707737</v>
      </c>
      <c r="R9" s="23">
        <v>42545.088344776072</v>
      </c>
      <c r="S9" s="23">
        <v>45400.561883999995</v>
      </c>
      <c r="T9" s="23">
        <v>46511.294727176828</v>
      </c>
      <c r="U9" s="23">
        <v>50182.18488301328</v>
      </c>
      <c r="V9" s="23">
        <v>50839.438428551177</v>
      </c>
      <c r="W9" s="23">
        <v>51642.525480978053</v>
      </c>
      <c r="X9" s="23">
        <v>46445.435741864319</v>
      </c>
      <c r="Y9" s="23">
        <v>49831.452926022495</v>
      </c>
      <c r="Z9" s="23">
        <v>51804.971672875741</v>
      </c>
      <c r="AA9" s="23">
        <v>50938.6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7152.6628577206993</v>
      </c>
      <c r="E10" s="23">
        <v>7360.2922333225906</v>
      </c>
      <c r="F10" s="23">
        <v>7829.2497706577196</v>
      </c>
      <c r="G10" s="23">
        <v>8187.2170282798907</v>
      </c>
      <c r="H10" s="23">
        <v>8426.401503739351</v>
      </c>
      <c r="I10" s="23">
        <v>9539.3028753834278</v>
      </c>
      <c r="J10" s="23">
        <v>10569.307678167421</v>
      </c>
      <c r="K10" s="23">
        <v>11521.999442144841</v>
      </c>
      <c r="L10" s="23">
        <v>11824.343367558908</v>
      </c>
      <c r="M10" s="23">
        <v>11525.578586540811</v>
      </c>
      <c r="N10" s="23">
        <v>11418.815376458113</v>
      </c>
      <c r="O10" s="23">
        <v>11594.104344990314</v>
      </c>
      <c r="P10" s="23">
        <v>11387.408837417175</v>
      </c>
      <c r="Q10" s="23">
        <v>11260.872206303726</v>
      </c>
      <c r="R10" s="23">
        <v>11532.738776053124</v>
      </c>
      <c r="S10" s="23">
        <v>12256.27362</v>
      </c>
      <c r="T10" s="23">
        <v>12861.418852443005</v>
      </c>
      <c r="U10" s="23">
        <v>14006.518452910392</v>
      </c>
      <c r="V10" s="23">
        <v>15244.338368301673</v>
      </c>
      <c r="W10" s="23">
        <v>17379.97788395207</v>
      </c>
      <c r="X10" s="23">
        <v>17676.329077871938</v>
      </c>
      <c r="Y10" s="23">
        <v>19328.918068256993</v>
      </c>
      <c r="Z10" s="23">
        <v>19583.290595658691</v>
      </c>
      <c r="AA10" s="23">
        <v>20220.400000000001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5260.8799676408125</v>
      </c>
      <c r="E11" s="23">
        <v>5717.1986004327609</v>
      </c>
      <c r="F11" s="23">
        <v>4636.0087569513053</v>
      </c>
      <c r="G11" s="23">
        <v>6023.3125929176831</v>
      </c>
      <c r="H11" s="23">
        <v>6186.5021209656998</v>
      </c>
      <c r="I11" s="23">
        <v>6307.9222175116602</v>
      </c>
      <c r="J11" s="23">
        <v>6639.5535067873298</v>
      </c>
      <c r="K11" s="23">
        <v>8192.7175222305268</v>
      </c>
      <c r="L11" s="23">
        <v>9586.3550477773169</v>
      </c>
      <c r="M11" s="23">
        <v>9804.7909634632615</v>
      </c>
      <c r="N11" s="23">
        <v>10535.344644750796</v>
      </c>
      <c r="O11" s="23">
        <v>10514.985578085136</v>
      </c>
      <c r="P11" s="23">
        <v>10303.314268503587</v>
      </c>
      <c r="Q11" s="23">
        <v>10393.47109598854</v>
      </c>
      <c r="R11" s="23">
        <v>9904.399836288665</v>
      </c>
      <c r="S11" s="23">
        <v>10319.099004000002</v>
      </c>
      <c r="T11" s="23">
        <v>10315.424295231212</v>
      </c>
      <c r="U11" s="23">
        <v>10782.896064864663</v>
      </c>
      <c r="V11" s="23">
        <v>11183.218092571591</v>
      </c>
      <c r="W11" s="23">
        <v>11199.840343391503</v>
      </c>
      <c r="X11" s="23">
        <v>10790.805946948805</v>
      </c>
      <c r="Y11" s="23">
        <v>11416.183688368292</v>
      </c>
      <c r="Z11" s="23">
        <v>10553.860497917327</v>
      </c>
      <c r="AA11" s="23">
        <v>11068.8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13492.802912326828</v>
      </c>
      <c r="E12" s="23">
        <v>13556.269785000692</v>
      </c>
      <c r="F12" s="23">
        <v>13999.613140839167</v>
      </c>
      <c r="G12" s="23">
        <v>14309.819886441561</v>
      </c>
      <c r="H12" s="23">
        <v>14908.931289243197</v>
      </c>
      <c r="I12" s="23">
        <v>16365.784268934391</v>
      </c>
      <c r="J12" s="23">
        <v>17375.079553167419</v>
      </c>
      <c r="K12" s="23">
        <v>17932.809505851899</v>
      </c>
      <c r="L12" s="23">
        <v>19672.395821710488</v>
      </c>
      <c r="M12" s="23">
        <v>20309.98310684352</v>
      </c>
      <c r="N12" s="23">
        <v>23431.499045599154</v>
      </c>
      <c r="O12" s="23">
        <v>23371.772537359244</v>
      </c>
      <c r="P12" s="23">
        <v>23238.483376406351</v>
      </c>
      <c r="Q12" s="23">
        <v>23265.600214899718</v>
      </c>
      <c r="R12" s="23">
        <v>23847.259619575783</v>
      </c>
      <c r="S12" s="23">
        <v>24610.266288000003</v>
      </c>
      <c r="T12" s="23">
        <v>25901.534588860457</v>
      </c>
      <c r="U12" s="23">
        <v>27609.077247745936</v>
      </c>
      <c r="V12" s="23">
        <v>30604.166327615538</v>
      </c>
      <c r="W12" s="23">
        <v>32467.564914790877</v>
      </c>
      <c r="X12" s="23">
        <v>33578.133891591038</v>
      </c>
      <c r="Y12" s="23">
        <v>35873.875624391956</v>
      </c>
      <c r="Z12" s="23">
        <v>36807.803244298419</v>
      </c>
      <c r="AA12" s="23">
        <v>35556.800000000003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9893.6278289007987</v>
      </c>
      <c r="E13" s="23">
        <v>10285.277896966069</v>
      </c>
      <c r="F13" s="23">
        <v>11545.656070466941</v>
      </c>
      <c r="G13" s="23">
        <v>11707.123718353127</v>
      </c>
      <c r="H13" s="23">
        <v>12446.361974591071</v>
      </c>
      <c r="I13" s="23">
        <v>13375.669238634382</v>
      </c>
      <c r="J13" s="23">
        <v>13977.836241515837</v>
      </c>
      <c r="K13" s="23">
        <v>15304.409978913074</v>
      </c>
      <c r="L13" s="23">
        <v>16205.745812807882</v>
      </c>
      <c r="M13" s="23">
        <v>15212.508890064286</v>
      </c>
      <c r="N13" s="23">
        <v>15383.834570519619</v>
      </c>
      <c r="O13" s="23">
        <v>14999.299345853557</v>
      </c>
      <c r="P13" s="23">
        <v>15739.715764724173</v>
      </c>
      <c r="Q13" s="23">
        <v>16112.892120343842</v>
      </c>
      <c r="R13" s="23">
        <v>16178.587085221981</v>
      </c>
      <c r="S13" s="23">
        <v>16500.396924000001</v>
      </c>
      <c r="T13" s="23">
        <v>17593.952921640263</v>
      </c>
      <c r="U13" s="23">
        <v>18756.91989476345</v>
      </c>
      <c r="V13" s="23">
        <v>19460.787110150271</v>
      </c>
      <c r="W13" s="23">
        <v>20342.307590893994</v>
      </c>
      <c r="X13" s="23">
        <v>18702.164448678737</v>
      </c>
      <c r="Y13" s="23">
        <v>19847.531151496285</v>
      </c>
      <c r="Z13" s="23">
        <v>20533.786283216257</v>
      </c>
      <c r="AA13" s="23">
        <v>20967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23460.570027303045</v>
      </c>
      <c r="E14" s="23">
        <v>24322.817678744072</v>
      </c>
      <c r="F14" s="23">
        <v>26496.279156236917</v>
      </c>
      <c r="G14" s="23">
        <v>27877.634270510436</v>
      </c>
      <c r="H14" s="23">
        <v>28228.228643035214</v>
      </c>
      <c r="I14" s="23">
        <v>30232.688136861281</v>
      </c>
      <c r="J14" s="23">
        <v>31580.151032239854</v>
      </c>
      <c r="K14" s="23">
        <v>32388.554137611733</v>
      </c>
      <c r="L14" s="23">
        <v>33644.809769125735</v>
      </c>
      <c r="M14" s="23">
        <v>34141.998299292049</v>
      </c>
      <c r="N14" s="23">
        <v>34428.26309650053</v>
      </c>
      <c r="O14" s="23">
        <v>34209.979953576658</v>
      </c>
      <c r="P14" s="23">
        <v>34514.0762334104</v>
      </c>
      <c r="Q14" s="23">
        <v>34807.638932664791</v>
      </c>
      <c r="R14" s="23">
        <v>35147.307365986919</v>
      </c>
      <c r="S14" s="23">
        <v>36002.002283999966</v>
      </c>
      <c r="T14" s="23">
        <v>37126.933522183383</v>
      </c>
      <c r="U14" s="23">
        <v>39144.42036570637</v>
      </c>
      <c r="V14" s="23">
        <v>41726.691260277868</v>
      </c>
      <c r="W14" s="23">
        <v>44078.548087585252</v>
      </c>
      <c r="X14" s="23">
        <v>45611.147520433282</v>
      </c>
      <c r="Y14" s="23">
        <v>47533.131559326001</v>
      </c>
      <c r="Z14" s="23">
        <v>46017.759462766204</v>
      </c>
      <c r="AA14" s="23">
        <v>45582.599999999977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4251.6555162301547</v>
      </c>
      <c r="E15" s="23">
        <v>4159.5478292896278</v>
      </c>
      <c r="F15" s="23">
        <v>4160.5037844859089</v>
      </c>
      <c r="G15" s="23">
        <v>4506.5758729462104</v>
      </c>
      <c r="H15" s="23">
        <v>4671.7406796155337</v>
      </c>
      <c r="I15" s="23">
        <v>4687.4753934013324</v>
      </c>
      <c r="J15" s="23">
        <v>5064.9739819004526</v>
      </c>
      <c r="K15" s="23">
        <v>5193.9550770397973</v>
      </c>
      <c r="L15" s="23">
        <v>4994.1276158822484</v>
      </c>
      <c r="M15" s="23">
        <v>4917.9984783139398</v>
      </c>
      <c r="N15" s="23">
        <v>5225.1165429480388</v>
      </c>
      <c r="O15" s="23">
        <v>5701.6892746839576</v>
      </c>
      <c r="P15" s="23">
        <v>5075.246919145794</v>
      </c>
      <c r="Q15" s="23">
        <v>5027.4058022922636</v>
      </c>
      <c r="R15" s="23">
        <v>5020.8778201835612</v>
      </c>
      <c r="S15" s="23">
        <v>5308.8064199999999</v>
      </c>
      <c r="T15" s="23">
        <v>5550.0683493855877</v>
      </c>
      <c r="U15" s="23">
        <v>5931.1247614856702</v>
      </c>
      <c r="V15" s="23">
        <v>6040.4076375106324</v>
      </c>
      <c r="W15" s="23">
        <v>6215.9431871023789</v>
      </c>
      <c r="X15" s="23">
        <v>5266.5970114827269</v>
      </c>
      <c r="Y15" s="23">
        <v>5344.8100120636655</v>
      </c>
      <c r="Z15" s="23">
        <v>5992.8423958319017</v>
      </c>
      <c r="AA15" s="23">
        <v>6160.3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168085.79890787741</v>
      </c>
      <c r="E16" s="30">
        <f t="shared" ref="E16:S16" si="0">SUM(E6:E15)</f>
        <v>173021.79503706089</v>
      </c>
      <c r="F16" s="30">
        <f t="shared" si="0"/>
        <v>176409.70919128097</v>
      </c>
      <c r="G16" s="30">
        <f t="shared" si="0"/>
        <v>181119.91435938227</v>
      </c>
      <c r="H16" s="30">
        <f t="shared" si="0"/>
        <v>189755.68051937665</v>
      </c>
      <c r="I16" s="30">
        <f t="shared" si="0"/>
        <v>202148.81846928858</v>
      </c>
      <c r="J16" s="30">
        <f t="shared" si="0"/>
        <v>216541.60083427603</v>
      </c>
      <c r="K16" s="30">
        <f t="shared" si="0"/>
        <v>227797.10079103865</v>
      </c>
      <c r="L16" s="30">
        <f t="shared" si="0"/>
        <v>235751.30812511127</v>
      </c>
      <c r="M16" s="30">
        <f t="shared" si="0"/>
        <v>222932.31294653754</v>
      </c>
      <c r="N16" s="30">
        <f t="shared" si="0"/>
        <v>230315.70349946979</v>
      </c>
      <c r="O16" s="30">
        <f t="shared" si="0"/>
        <v>234392.50545377808</v>
      </c>
      <c r="P16" s="30">
        <f t="shared" si="0"/>
        <v>232465.10786001594</v>
      </c>
      <c r="Q16" s="30">
        <f t="shared" si="0"/>
        <v>232437.49652578801</v>
      </c>
      <c r="R16" s="30">
        <f t="shared" si="0"/>
        <v>239024.8429292051</v>
      </c>
      <c r="S16" s="30">
        <f t="shared" si="0"/>
        <v>249422.18867999996</v>
      </c>
      <c r="T16" s="30">
        <f t="shared" ref="T16:Y16" si="1">SUM(T6:T15)</f>
        <v>255774.06664973532</v>
      </c>
      <c r="U16" s="30">
        <f t="shared" si="1"/>
        <v>269090.17288005468</v>
      </c>
      <c r="V16" s="30">
        <f t="shared" si="1"/>
        <v>277087.43043308757</v>
      </c>
      <c r="W16" s="30">
        <f t="shared" si="1"/>
        <v>287061.05710416718</v>
      </c>
      <c r="X16" s="30">
        <f t="shared" si="1"/>
        <v>272562.64022464026</v>
      </c>
      <c r="Y16" s="30">
        <f t="shared" si="1"/>
        <v>283272.78291162394</v>
      </c>
      <c r="Z16" s="30">
        <f t="shared" ref="Z16:AA16" si="2">SUM(Z6:Z15)</f>
        <v>291497.69166517747</v>
      </c>
      <c r="AA16" s="30">
        <f t="shared" si="2"/>
        <v>293132.59999999998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5957.1326726665993</v>
      </c>
      <c r="E18" s="19">
        <v>6040.536310482943</v>
      </c>
      <c r="F18" s="19">
        <v>5102.7284181471323</v>
      </c>
      <c r="G18" s="19">
        <v>4814.9099925940154</v>
      </c>
      <c r="H18" s="19">
        <v>5045.2375721541603</v>
      </c>
      <c r="I18" s="19">
        <v>5098.3556148532398</v>
      </c>
      <c r="J18" s="19">
        <v>5153.1519654977374</v>
      </c>
      <c r="K18" s="19">
        <v>5254.2635620167575</v>
      </c>
      <c r="L18" s="19">
        <v>4990.7557006350526</v>
      </c>
      <c r="M18" s="19">
        <v>4334.4959394580519</v>
      </c>
      <c r="N18" s="19">
        <v>3870.8226935312832</v>
      </c>
      <c r="O18" s="19">
        <v>5092.4565903815537</v>
      </c>
      <c r="P18" s="19">
        <v>5763.4908380778425</v>
      </c>
      <c r="Q18" s="19">
        <v>6083.92005730659</v>
      </c>
      <c r="R18" s="19">
        <v>6318.366987609098</v>
      </c>
      <c r="S18" s="19">
        <v>6252.8828039999999</v>
      </c>
      <c r="T18" s="19">
        <v>6101.6978607849651</v>
      </c>
      <c r="U18" s="19">
        <v>6295.417952006891</v>
      </c>
      <c r="V18" s="19">
        <v>6044.8661397788492</v>
      </c>
      <c r="W18" s="19">
        <v>5998.8973760188055</v>
      </c>
      <c r="X18" s="19">
        <v>5809.9017800732099</v>
      </c>
      <c r="Y18" s="19">
        <v>5466.5988091995177</v>
      </c>
      <c r="Z18" s="19">
        <v>6648.2258526593632</v>
      </c>
      <c r="AA18" s="19">
        <v>6832.6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2203.5324506866532</v>
      </c>
      <c r="E19" s="23">
        <v>2209.0591777542477</v>
      </c>
      <c r="F19" s="23">
        <v>2100.6154003799043</v>
      </c>
      <c r="G19" s="23">
        <v>1923.0253613846448</v>
      </c>
      <c r="H19" s="23">
        <v>2186.2335488515332</v>
      </c>
      <c r="I19" s="23">
        <v>2497.4635726576739</v>
      </c>
      <c r="J19" s="23">
        <v>2811.6002661121652</v>
      </c>
      <c r="K19" s="23">
        <v>2918.5322384496071</v>
      </c>
      <c r="L19" s="23">
        <v>3273.3268680633846</v>
      </c>
      <c r="M19" s="23">
        <v>2736.5220205869896</v>
      </c>
      <c r="N19" s="23">
        <v>2835.4273066086989</v>
      </c>
      <c r="O19" s="23">
        <v>2946.6746187342951</v>
      </c>
      <c r="P19" s="23">
        <v>2691.1244069423401</v>
      </c>
      <c r="Q19" s="23">
        <v>2093.3021370420256</v>
      </c>
      <c r="R19" s="23">
        <v>2363.7523678071775</v>
      </c>
      <c r="S19" s="23">
        <v>2234.2275359999994</v>
      </c>
      <c r="T19" s="23">
        <v>1850.551315763769</v>
      </c>
      <c r="U19" s="23">
        <v>1893.5039051747547</v>
      </c>
      <c r="V19" s="23">
        <v>1858.4763325772619</v>
      </c>
      <c r="W19" s="23">
        <v>1620.9125633398567</v>
      </c>
      <c r="X19" s="23">
        <v>1364.5859979417369</v>
      </c>
      <c r="Y19" s="23">
        <v>1450.8682828345636</v>
      </c>
      <c r="Z19" s="23">
        <v>1630.548641577147</v>
      </c>
      <c r="AA19" s="23">
        <v>1652.7116489046766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42851.413044797249</v>
      </c>
      <c r="E20" s="23">
        <v>44563.808148796095</v>
      </c>
      <c r="F20" s="23">
        <v>42872.977893839561</v>
      </c>
      <c r="G20" s="23">
        <v>42696.149798392624</v>
      </c>
      <c r="H20" s="23">
        <v>47429.993857064772</v>
      </c>
      <c r="I20" s="23">
        <v>50397.596423850977</v>
      </c>
      <c r="J20" s="23">
        <v>55268.085619343889</v>
      </c>
      <c r="K20" s="23">
        <v>58256.004315567508</v>
      </c>
      <c r="L20" s="23">
        <v>56978.623847112598</v>
      </c>
      <c r="M20" s="23">
        <v>50133.99657417203</v>
      </c>
      <c r="N20" s="23">
        <v>52620.938494167553</v>
      </c>
      <c r="O20" s="23">
        <v>56694.605075869484</v>
      </c>
      <c r="P20" s="23">
        <v>56078.47409206615</v>
      </c>
      <c r="Q20" s="23">
        <v>56396.575895415473</v>
      </c>
      <c r="R20" s="23">
        <v>61974.54018601701</v>
      </c>
      <c r="S20" s="23">
        <v>65697.230196000004</v>
      </c>
      <c r="T20" s="23">
        <v>67494.146052708704</v>
      </c>
      <c r="U20" s="23">
        <v>69315.860230134727</v>
      </c>
      <c r="V20" s="23">
        <v>68494.963588035156</v>
      </c>
      <c r="W20" s="23">
        <v>70173.675638110333</v>
      </c>
      <c r="X20" s="23">
        <v>62154.608153236732</v>
      </c>
      <c r="Y20" s="23">
        <v>61044.992184301664</v>
      </c>
      <c r="Z20" s="23">
        <v>62101.097103501379</v>
      </c>
      <c r="AA20" s="23">
        <v>65201.7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4439.0754919780165</v>
      </c>
      <c r="E21" s="23">
        <v>5186.3567975691749</v>
      </c>
      <c r="F21" s="23">
        <v>5790.3098912814121</v>
      </c>
      <c r="G21" s="23">
        <v>5541.9996927887651</v>
      </c>
      <c r="H21" s="23">
        <v>5908.6515937237564</v>
      </c>
      <c r="I21" s="23">
        <v>6338.2828250081093</v>
      </c>
      <c r="J21" s="23">
        <v>7523.3595255951877</v>
      </c>
      <c r="K21" s="23">
        <v>7734.3368150933265</v>
      </c>
      <c r="L21" s="23">
        <v>9628.9054068490659</v>
      </c>
      <c r="M21" s="23">
        <v>10315.535554495797</v>
      </c>
      <c r="N21" s="23">
        <v>9171.547438532376</v>
      </c>
      <c r="O21" s="23">
        <v>9028.4142339197042</v>
      </c>
      <c r="P21" s="23">
        <v>9183.1623940368918</v>
      </c>
      <c r="Q21" s="23">
        <v>9607.5171605282485</v>
      </c>
      <c r="R21" s="23">
        <v>8229.9506274298237</v>
      </c>
      <c r="S21" s="23">
        <v>8321.0528879999965</v>
      </c>
      <c r="T21" s="23">
        <v>8130.9460605231834</v>
      </c>
      <c r="U21" s="23">
        <v>8078.8892038911317</v>
      </c>
      <c r="V21" s="23">
        <v>7655.5360398355579</v>
      </c>
      <c r="W21" s="23">
        <v>7647.1129512756934</v>
      </c>
      <c r="X21" s="23">
        <v>7480.8723388504905</v>
      </c>
      <c r="Y21" s="23">
        <v>7802.0176599136594</v>
      </c>
      <c r="Z21" s="23">
        <v>11087.150575716511</v>
      </c>
      <c r="AA21" s="23">
        <v>9795.6690433900003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1632.5401208402361</v>
      </c>
      <c r="E22" s="23">
        <v>1650.5667694857518</v>
      </c>
      <c r="F22" s="23">
        <v>1826.9467691718994</v>
      </c>
      <c r="G22" s="23">
        <v>1862.9169048468057</v>
      </c>
      <c r="H22" s="23">
        <v>2327.9719408635847</v>
      </c>
      <c r="I22" s="23">
        <v>2249.7210154866721</v>
      </c>
      <c r="J22" s="23">
        <v>2351.7671455098352</v>
      </c>
      <c r="K22" s="23">
        <v>2416.6859565542391</v>
      </c>
      <c r="L22" s="23">
        <v>2561.8527509050969</v>
      </c>
      <c r="M22" s="23">
        <v>2562.9921156975884</v>
      </c>
      <c r="N22" s="23">
        <v>2663.1340565556352</v>
      </c>
      <c r="O22" s="23">
        <v>2789.1117573711385</v>
      </c>
      <c r="P22" s="23">
        <v>2672.8303122866137</v>
      </c>
      <c r="Q22" s="23">
        <v>2549.849362888177</v>
      </c>
      <c r="R22" s="23">
        <v>2606.9039604483878</v>
      </c>
      <c r="S22" s="23">
        <v>2593.288223999999</v>
      </c>
      <c r="T22" s="23">
        <v>2606.2472776290865</v>
      </c>
      <c r="U22" s="23">
        <v>2729.0833634499613</v>
      </c>
      <c r="V22" s="23">
        <v>2829.9983590870443</v>
      </c>
      <c r="W22" s="23">
        <v>2694.1018366197973</v>
      </c>
      <c r="X22" s="23">
        <v>2692.8155939102771</v>
      </c>
      <c r="Y22" s="23">
        <v>2951.5138299879018</v>
      </c>
      <c r="Z22" s="23">
        <v>2796.1666557112962</v>
      </c>
      <c r="AA22" s="23">
        <v>2739.3193077053193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10293.870543027606</v>
      </c>
      <c r="E23" s="23">
        <v>10327.127461903228</v>
      </c>
      <c r="F23" s="23">
        <v>11160.42017129636</v>
      </c>
      <c r="G23" s="23">
        <v>11770.794157500617</v>
      </c>
      <c r="H23" s="23">
        <v>12236.459317718261</v>
      </c>
      <c r="I23" s="23">
        <v>13457.642878874787</v>
      </c>
      <c r="J23" s="23">
        <v>13710.050608031674</v>
      </c>
      <c r="K23" s="23">
        <v>14573.645003291345</v>
      </c>
      <c r="L23" s="23">
        <v>14933.730927651493</v>
      </c>
      <c r="M23" s="23">
        <v>15553.793481975754</v>
      </c>
      <c r="N23" s="23">
        <v>16051.657476139981</v>
      </c>
      <c r="O23" s="23">
        <v>14928.61403057799</v>
      </c>
      <c r="P23" s="23">
        <v>13599.12577580009</v>
      </c>
      <c r="Q23" s="23">
        <v>13254.069842406878</v>
      </c>
      <c r="R23" s="23">
        <v>13355.069951807474</v>
      </c>
      <c r="S23" s="23">
        <v>13926.100608000001</v>
      </c>
      <c r="T23" s="23">
        <v>13729.85082540489</v>
      </c>
      <c r="U23" s="23">
        <v>14364.27655490745</v>
      </c>
      <c r="V23" s="23">
        <v>15104.542748795013</v>
      </c>
      <c r="W23" s="23">
        <v>15599.649250108589</v>
      </c>
      <c r="X23" s="23">
        <v>14989.242721757009</v>
      </c>
      <c r="Y23" s="23">
        <v>15380.889115460948</v>
      </c>
      <c r="Z23" s="23">
        <v>15940.188683447206</v>
      </c>
      <c r="AA23" s="23">
        <v>16416.099999999999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19666.334755789263</v>
      </c>
      <c r="E24" s="23">
        <v>20028.50428617467</v>
      </c>
      <c r="F24" s="23">
        <v>20677.547869619928</v>
      </c>
      <c r="G24" s="23">
        <v>20882.123049071513</v>
      </c>
      <c r="H24" s="23">
        <v>20704.624958340552</v>
      </c>
      <c r="I24" s="23">
        <v>22621.081433452211</v>
      </c>
      <c r="J24" s="23">
        <v>24569.331872171941</v>
      </c>
      <c r="K24" s="23">
        <v>25197.537006995502</v>
      </c>
      <c r="L24" s="23">
        <v>25717.437022968727</v>
      </c>
      <c r="M24" s="23">
        <v>23048.680506957444</v>
      </c>
      <c r="N24" s="23">
        <v>23964.322905620364</v>
      </c>
      <c r="O24" s="23">
        <v>23933.207001860774</v>
      </c>
      <c r="P24" s="23">
        <v>24310.592029224885</v>
      </c>
      <c r="Q24" s="23">
        <v>23867.66153295129</v>
      </c>
      <c r="R24" s="23">
        <v>24732.681374765947</v>
      </c>
      <c r="S24" s="23">
        <v>26866.082915999996</v>
      </c>
      <c r="T24" s="23">
        <v>27122.444976263509</v>
      </c>
      <c r="U24" s="23">
        <v>29458.051363674662</v>
      </c>
      <c r="V24" s="23">
        <v>29962.86111426141</v>
      </c>
      <c r="W24" s="23">
        <v>30465.351868979789</v>
      </c>
      <c r="X24" s="23">
        <v>28903.678032392323</v>
      </c>
      <c r="Y24" s="23">
        <v>31735.583260302763</v>
      </c>
      <c r="Z24" s="23">
        <v>31825.483144769943</v>
      </c>
      <c r="AA24" s="23">
        <v>30864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12155.012842552331</v>
      </c>
      <c r="E25" s="23">
        <v>12573.801427190278</v>
      </c>
      <c r="F25" s="23">
        <v>12834.241600930902</v>
      </c>
      <c r="G25" s="23">
        <v>13603.879457991605</v>
      </c>
      <c r="H25" s="23">
        <v>13556.46571660912</v>
      </c>
      <c r="I25" s="23">
        <v>13793.026389685532</v>
      </c>
      <c r="J25" s="23">
        <v>14704.68296097285</v>
      </c>
      <c r="K25" s="23">
        <v>15406.916292717759</v>
      </c>
      <c r="L25" s="23">
        <v>15432.132114665559</v>
      </c>
      <c r="M25" s="23">
        <v>13375.648181300352</v>
      </c>
      <c r="N25" s="23">
        <v>13922.115270413575</v>
      </c>
      <c r="O25" s="23">
        <v>13533.746762838344</v>
      </c>
      <c r="P25" s="23">
        <v>13380.225097642968</v>
      </c>
      <c r="Q25" s="23">
        <v>13205.45920487106</v>
      </c>
      <c r="R25" s="23">
        <v>13370.848429905967</v>
      </c>
      <c r="S25" s="23">
        <v>13969.116468000002</v>
      </c>
      <c r="T25" s="23">
        <v>14482.692711039914</v>
      </c>
      <c r="U25" s="23">
        <v>15270.374177722435</v>
      </c>
      <c r="V25" s="23">
        <v>15354.650343776582</v>
      </c>
      <c r="W25" s="23">
        <v>15456.288418201793</v>
      </c>
      <c r="X25" s="23">
        <v>14248.96453893597</v>
      </c>
      <c r="Y25" s="23">
        <v>14512.954430478267</v>
      </c>
      <c r="Z25" s="23">
        <v>15350.856810964631</v>
      </c>
      <c r="AA25" s="23">
        <v>14853.3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5374.6878754171294</v>
      </c>
      <c r="E26" s="23">
        <v>5040.6306339487137</v>
      </c>
      <c r="F26" s="23">
        <v>5376.6104969759299</v>
      </c>
      <c r="G26" s="23">
        <v>5412.4325753627554</v>
      </c>
      <c r="H26" s="23">
        <v>5491.8758028608372</v>
      </c>
      <c r="I26" s="23">
        <v>5186.8061846928858</v>
      </c>
      <c r="J26" s="23">
        <v>5242.6688772624439</v>
      </c>
      <c r="K26" s="23">
        <v>5504.7339365607113</v>
      </c>
      <c r="L26" s="23">
        <v>6306.7660513977098</v>
      </c>
      <c r="M26" s="23">
        <v>4957.7902473757022</v>
      </c>
      <c r="N26" s="23">
        <v>4792.8645811240722</v>
      </c>
      <c r="O26" s="23">
        <v>5053.8443476759585</v>
      </c>
      <c r="P26" s="23">
        <v>4527.8375143306848</v>
      </c>
      <c r="Q26" s="23">
        <v>4511.2609598853869</v>
      </c>
      <c r="R26" s="23">
        <v>4441.5585401041608</v>
      </c>
      <c r="S26" s="23">
        <v>4565.3625000000002</v>
      </c>
      <c r="T26" s="23">
        <v>4906.1570398734057</v>
      </c>
      <c r="U26" s="23">
        <v>5453.7593416161862</v>
      </c>
      <c r="V26" s="23">
        <v>5521.9269705131846</v>
      </c>
      <c r="W26" s="23">
        <v>5720.8851937964691</v>
      </c>
      <c r="X26" s="23">
        <v>3292.7931705360284</v>
      </c>
      <c r="Y26" s="23">
        <v>3582.9152352414681</v>
      </c>
      <c r="Z26" s="23">
        <v>4628.6317171411683</v>
      </c>
      <c r="AA26" s="23">
        <v>5221.3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7152.6628577206993</v>
      </c>
      <c r="E27" s="23">
        <v>7360.2922333225906</v>
      </c>
      <c r="F27" s="23">
        <v>7829.2497706577196</v>
      </c>
      <c r="G27" s="23">
        <v>8187.2170282798907</v>
      </c>
      <c r="H27" s="23">
        <v>8426.401503739351</v>
      </c>
      <c r="I27" s="23">
        <v>9539.3028753834278</v>
      </c>
      <c r="J27" s="23">
        <v>10569.307678167421</v>
      </c>
      <c r="K27" s="23">
        <v>11521.999442144841</v>
      </c>
      <c r="L27" s="23">
        <v>11824.343367558908</v>
      </c>
      <c r="M27" s="23">
        <v>11525.578586540811</v>
      </c>
      <c r="N27" s="23">
        <v>11418.815376458113</v>
      </c>
      <c r="O27" s="23">
        <v>11594.104344990314</v>
      </c>
      <c r="P27" s="23">
        <v>11387.408837417175</v>
      </c>
      <c r="Q27" s="23">
        <v>11260.872206303726</v>
      </c>
      <c r="R27" s="23">
        <v>11532.738776053124</v>
      </c>
      <c r="S27" s="23">
        <v>12256.27362</v>
      </c>
      <c r="T27" s="23">
        <v>12861.418852443005</v>
      </c>
      <c r="U27" s="23">
        <v>14006.518452910392</v>
      </c>
      <c r="V27" s="23">
        <v>15244.338368301673</v>
      </c>
      <c r="W27" s="23">
        <v>17379.97788395207</v>
      </c>
      <c r="X27" s="23">
        <v>17676.329077871938</v>
      </c>
      <c r="Y27" s="23">
        <v>19328.918068256993</v>
      </c>
      <c r="Z27" s="23">
        <v>19583.290595658691</v>
      </c>
      <c r="AA27" s="23">
        <v>20220.400000000001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5260.8799676408125</v>
      </c>
      <c r="E28" s="23">
        <v>5717.1986004327609</v>
      </c>
      <c r="F28" s="23">
        <v>4636.0087569513053</v>
      </c>
      <c r="G28" s="23">
        <v>6023.3125929176831</v>
      </c>
      <c r="H28" s="23">
        <v>6186.5021209656998</v>
      </c>
      <c r="I28" s="23">
        <v>6307.9222175116602</v>
      </c>
      <c r="J28" s="23">
        <v>6639.5535067873298</v>
      </c>
      <c r="K28" s="23">
        <v>8192.7175222305268</v>
      </c>
      <c r="L28" s="23">
        <v>9586.3550477773169</v>
      </c>
      <c r="M28" s="23">
        <v>9804.7909634632615</v>
      </c>
      <c r="N28" s="23">
        <v>10535.344644750796</v>
      </c>
      <c r="O28" s="23">
        <v>10514.985578085136</v>
      </c>
      <c r="P28" s="23">
        <v>10303.314268503587</v>
      </c>
      <c r="Q28" s="23">
        <v>10393.47109598854</v>
      </c>
      <c r="R28" s="23">
        <v>9904.399836288665</v>
      </c>
      <c r="S28" s="23">
        <v>10319.099004000002</v>
      </c>
      <c r="T28" s="23">
        <v>10315.424295231212</v>
      </c>
      <c r="U28" s="23">
        <v>10782.896064864663</v>
      </c>
      <c r="V28" s="23">
        <v>11183.218092571591</v>
      </c>
      <c r="W28" s="23">
        <v>11199.840343391503</v>
      </c>
      <c r="X28" s="23">
        <v>10790.805946948805</v>
      </c>
      <c r="Y28" s="23">
        <v>11416.183688368292</v>
      </c>
      <c r="Z28" s="23">
        <v>10553.860497917327</v>
      </c>
      <c r="AA28" s="23">
        <v>11068.8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13492.802912326828</v>
      </c>
      <c r="E29" s="23">
        <v>13556.269785000692</v>
      </c>
      <c r="F29" s="23">
        <v>13999.613140839167</v>
      </c>
      <c r="G29" s="23">
        <v>14309.819886441561</v>
      </c>
      <c r="H29" s="23">
        <v>14908.931289243197</v>
      </c>
      <c r="I29" s="23">
        <v>16365.784268934391</v>
      </c>
      <c r="J29" s="23">
        <v>17375.079553167419</v>
      </c>
      <c r="K29" s="23">
        <v>17932.809505851899</v>
      </c>
      <c r="L29" s="23">
        <v>19672.395821710488</v>
      </c>
      <c r="M29" s="23">
        <v>20309.98310684352</v>
      </c>
      <c r="N29" s="23">
        <v>23431.499045599154</v>
      </c>
      <c r="O29" s="23">
        <v>23371.772537359244</v>
      </c>
      <c r="P29" s="23">
        <v>23238.483376406351</v>
      </c>
      <c r="Q29" s="23">
        <v>23265.600214899718</v>
      </c>
      <c r="R29" s="23">
        <v>23847.259619575783</v>
      </c>
      <c r="S29" s="23">
        <v>24610.266288000003</v>
      </c>
      <c r="T29" s="23">
        <v>25901.534588860457</v>
      </c>
      <c r="U29" s="23">
        <v>27609.077247745936</v>
      </c>
      <c r="V29" s="23">
        <v>30604.166327615538</v>
      </c>
      <c r="W29" s="23">
        <v>32467.564914790877</v>
      </c>
      <c r="X29" s="23">
        <v>33578.133891591038</v>
      </c>
      <c r="Y29" s="23">
        <v>35873.875624391956</v>
      </c>
      <c r="Z29" s="23">
        <v>36807.803244298419</v>
      </c>
      <c r="AA29" s="23">
        <v>35556.800000000003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7070.0426939023164</v>
      </c>
      <c r="E30" s="23">
        <v>7230.7578656599608</v>
      </c>
      <c r="F30" s="23">
        <v>8476.0683128797027</v>
      </c>
      <c r="G30" s="23">
        <v>8637.1399566612708</v>
      </c>
      <c r="H30" s="23">
        <v>8961.9778705024455</v>
      </c>
      <c r="I30" s="23">
        <v>9759.3160777076755</v>
      </c>
      <c r="J30" s="23">
        <v>10068.739819004524</v>
      </c>
      <c r="K30" s="23">
        <v>10802.100860212655</v>
      </c>
      <c r="L30" s="23">
        <v>11394.022755059648</v>
      </c>
      <c r="M30" s="23">
        <v>10714.718097485556</v>
      </c>
      <c r="N30" s="23">
        <v>10944.167020148463</v>
      </c>
      <c r="O30" s="23">
        <v>10793.211697903278</v>
      </c>
      <c r="P30" s="23">
        <v>11655.830274177566</v>
      </c>
      <c r="Q30" s="23">
        <v>11822.074749283671</v>
      </c>
      <c r="R30" s="23">
        <v>11883.020989839664</v>
      </c>
      <c r="S30" s="23">
        <v>12244.91094</v>
      </c>
      <c r="T30" s="23">
        <v>13093.8675054213</v>
      </c>
      <c r="U30" s="23">
        <v>13792.076362036196</v>
      </c>
      <c r="V30" s="23">
        <v>14202.055596115681</v>
      </c>
      <c r="W30" s="23">
        <v>14803.215544597464</v>
      </c>
      <c r="X30" s="23">
        <v>14049.142335656623</v>
      </c>
      <c r="Y30" s="23">
        <v>14766.638978869127</v>
      </c>
      <c r="Z30" s="23">
        <v>14989.135127778618</v>
      </c>
      <c r="AA30" s="23">
        <v>15093.3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2823.5851349984828</v>
      </c>
      <c r="E31" s="23">
        <v>3054.5200313061096</v>
      </c>
      <c r="F31" s="23">
        <v>3069.5877575872382</v>
      </c>
      <c r="G31" s="23">
        <v>3069.9837616918562</v>
      </c>
      <c r="H31" s="23">
        <v>3484.3841040886246</v>
      </c>
      <c r="I31" s="23">
        <v>3616.353160926707</v>
      </c>
      <c r="J31" s="23">
        <v>3909.0964225113121</v>
      </c>
      <c r="K31" s="23">
        <v>4502.3091187004202</v>
      </c>
      <c r="L31" s="23">
        <v>4811.7230577482342</v>
      </c>
      <c r="M31" s="23">
        <v>4497.7907925787295</v>
      </c>
      <c r="N31" s="23">
        <v>4439.6675503711558</v>
      </c>
      <c r="O31" s="23">
        <v>4206.0876479502776</v>
      </c>
      <c r="P31" s="23">
        <v>4083.8854905466064</v>
      </c>
      <c r="Q31" s="23">
        <v>4290.8173710601723</v>
      </c>
      <c r="R31" s="23">
        <v>4295.5660953823171</v>
      </c>
      <c r="S31" s="23">
        <v>4255.4859839999999</v>
      </c>
      <c r="T31" s="23">
        <v>4500.0854162189626</v>
      </c>
      <c r="U31" s="23">
        <v>4964.8435327272564</v>
      </c>
      <c r="V31" s="23">
        <v>5258.7315140345909</v>
      </c>
      <c r="W31" s="23">
        <v>5539.0920462965332</v>
      </c>
      <c r="X31" s="23">
        <v>4653.0221130221134</v>
      </c>
      <c r="Y31" s="23">
        <v>5080.8921726271547</v>
      </c>
      <c r="Z31" s="23">
        <v>5544.6511554376375</v>
      </c>
      <c r="AA31" s="23">
        <v>5873.7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11075.752755586996</v>
      </c>
      <c r="E32" s="23">
        <v>11269.988195755257</v>
      </c>
      <c r="F32" s="23">
        <v>12671.054444098687</v>
      </c>
      <c r="G32" s="23">
        <v>13024.612036097295</v>
      </c>
      <c r="H32" s="23">
        <v>12987.348203644708</v>
      </c>
      <c r="I32" s="23">
        <v>13845.044230529447</v>
      </c>
      <c r="J32" s="23">
        <v>14428.863758484198</v>
      </c>
      <c r="K32" s="23">
        <v>14832.265173102474</v>
      </c>
      <c r="L32" s="23">
        <v>15213.27875838326</v>
      </c>
      <c r="M32" s="23">
        <v>15063.908922613715</v>
      </c>
      <c r="N32" s="23">
        <v>15139.497454931068</v>
      </c>
      <c r="O32" s="23">
        <v>14437.864881351987</v>
      </c>
      <c r="P32" s="23">
        <v>14274.279812680945</v>
      </c>
      <c r="Q32" s="23">
        <v>14292.819412607485</v>
      </c>
      <c r="R32" s="23">
        <v>14243.315224131047</v>
      </c>
      <c r="S32" s="23">
        <v>14793.884711999963</v>
      </c>
      <c r="T32" s="23">
        <v>15174.013397933079</v>
      </c>
      <c r="U32" s="23">
        <v>15826.46461748762</v>
      </c>
      <c r="V32" s="23">
        <v>16693.926896087338</v>
      </c>
      <c r="W32" s="23">
        <v>17063.118648917938</v>
      </c>
      <c r="X32" s="23">
        <v>17083.780955723858</v>
      </c>
      <c r="Y32" s="23">
        <v>16983.599364906415</v>
      </c>
      <c r="Z32" s="23">
        <v>16630.383110402396</v>
      </c>
      <c r="AA32" s="23">
        <v>16430.999999999978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6583.6233188391143</v>
      </c>
      <c r="E33" s="23">
        <v>6807.7783343308329</v>
      </c>
      <c r="F33" s="23">
        <v>7181.1134317453025</v>
      </c>
      <c r="G33" s="23">
        <v>7854.6169021038477</v>
      </c>
      <c r="H33" s="23">
        <v>7999.4551717702261</v>
      </c>
      <c r="I33" s="23">
        <v>8560.274485648024</v>
      </c>
      <c r="J33" s="23">
        <v>8988.0335124434387</v>
      </c>
      <c r="K33" s="23">
        <v>9321.7358265739895</v>
      </c>
      <c r="L33" s="23">
        <v>9481.1834055433574</v>
      </c>
      <c r="M33" s="23">
        <v>9623.0036699487355</v>
      </c>
      <c r="N33" s="23">
        <v>9696.3423117709444</v>
      </c>
      <c r="O33" s="23">
        <v>9952.6169464213781</v>
      </c>
      <c r="P33" s="23">
        <v>10004.13949439403</v>
      </c>
      <c r="Q33" s="23">
        <v>10169.797564469915</v>
      </c>
      <c r="R33" s="23">
        <v>10208.509240481721</v>
      </c>
      <c r="S33" s="23">
        <v>10384.515576</v>
      </c>
      <c r="T33" s="23">
        <v>10558.020774806104</v>
      </c>
      <c r="U33" s="23">
        <v>11227.282084507569</v>
      </c>
      <c r="V33" s="23">
        <v>12135.755528778</v>
      </c>
      <c r="W33" s="23">
        <v>13213.113048366082</v>
      </c>
      <c r="X33" s="23">
        <v>13627.928526299957</v>
      </c>
      <c r="Y33" s="23">
        <v>14185.868127797019</v>
      </c>
      <c r="Z33" s="23">
        <v>14065.751830416675</v>
      </c>
      <c r="AA33" s="23">
        <v>13665.9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5801.1939528769335</v>
      </c>
      <c r="E34" s="23">
        <v>6245.0511486579808</v>
      </c>
      <c r="F34" s="23">
        <v>6644.1112803929273</v>
      </c>
      <c r="G34" s="23">
        <v>6998.4053323092958</v>
      </c>
      <c r="H34" s="23">
        <v>7241.4252676202796</v>
      </c>
      <c r="I34" s="23">
        <v>7827.369420683809</v>
      </c>
      <c r="J34" s="23">
        <v>8163.2537613122176</v>
      </c>
      <c r="K34" s="23">
        <v>8234.5531379352669</v>
      </c>
      <c r="L34" s="23">
        <v>8950.347605199122</v>
      </c>
      <c r="M34" s="23">
        <v>9455.0857067295965</v>
      </c>
      <c r="N34" s="23">
        <v>9592.4233297985156</v>
      </c>
      <c r="O34" s="23">
        <v>9819.4981258032967</v>
      </c>
      <c r="P34" s="23">
        <v>10235.656926335427</v>
      </c>
      <c r="Q34" s="23">
        <v>10345.021955587394</v>
      </c>
      <c r="R34" s="23">
        <v>10695.482901374153</v>
      </c>
      <c r="S34" s="23">
        <v>10823.601995999999</v>
      </c>
      <c r="T34" s="23">
        <v>11394.899349444197</v>
      </c>
      <c r="U34" s="23">
        <v>12090.673663711181</v>
      </c>
      <c r="V34" s="23">
        <v>12897.008835412531</v>
      </c>
      <c r="W34" s="23">
        <v>13802.316390301234</v>
      </c>
      <c r="X34" s="23">
        <v>14899.438038409469</v>
      </c>
      <c r="Y34" s="23">
        <v>16363.664066622563</v>
      </c>
      <c r="Z34" s="23">
        <v>15321.624521947129</v>
      </c>
      <c r="AA34" s="23">
        <v>15485.7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1935.0080088987763</v>
      </c>
      <c r="E35" s="23">
        <v>1973.904479535933</v>
      </c>
      <c r="F35" s="23">
        <v>1908.8285060954986</v>
      </c>
      <c r="G35" s="23">
        <v>2019.8667635844965</v>
      </c>
      <c r="H35" s="23">
        <v>2237.3026488741953</v>
      </c>
      <c r="I35" s="23">
        <v>2351.1254445248019</v>
      </c>
      <c r="J35" s="23">
        <v>2544.7286199095024</v>
      </c>
      <c r="K35" s="23">
        <v>2555.4135826573993</v>
      </c>
      <c r="L35" s="23">
        <v>2600.0677903733163</v>
      </c>
      <c r="M35" s="23">
        <v>2492.3516762958748</v>
      </c>
      <c r="N35" s="23">
        <v>2424.244962884412</v>
      </c>
      <c r="O35" s="23">
        <v>2587.1759558019526</v>
      </c>
      <c r="P35" s="23">
        <v>2361.383180148845</v>
      </c>
      <c r="Q35" s="23">
        <v>2348.1683381088828</v>
      </c>
      <c r="R35" s="23">
        <v>2363.7821083973686</v>
      </c>
      <c r="S35" s="23">
        <v>2524.1381999999999</v>
      </c>
      <c r="T35" s="23">
        <v>2636.2150780471616</v>
      </c>
      <c r="U35" s="23">
        <v>2731.8189819019353</v>
      </c>
      <c r="V35" s="23">
        <v>2770.4557804082788</v>
      </c>
      <c r="W35" s="23">
        <v>3027.0287130483666</v>
      </c>
      <c r="X35" s="23">
        <v>2510.732748332749</v>
      </c>
      <c r="Y35" s="23">
        <v>2570.0720955753591</v>
      </c>
      <c r="Z35" s="23">
        <v>3068.0514633710459</v>
      </c>
      <c r="AA35" s="23">
        <v>3155.7000000000003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2256.7342097279807</v>
      </c>
      <c r="E36" s="23">
        <v>2115.1467611988401</v>
      </c>
      <c r="F36" s="23">
        <v>2169.5326180199445</v>
      </c>
      <c r="G36" s="23">
        <v>2395.8785528156459</v>
      </c>
      <c r="H36" s="23">
        <v>2342.903160785464</v>
      </c>
      <c r="I36" s="23">
        <v>2236.1599441382582</v>
      </c>
      <c r="J36" s="23">
        <v>2412.1747313348415</v>
      </c>
      <c r="K36" s="23">
        <v>2529.3342378024968</v>
      </c>
      <c r="L36" s="23">
        <v>2255.9718677666333</v>
      </c>
      <c r="M36" s="23">
        <v>2252.6103954756286</v>
      </c>
      <c r="N36" s="23">
        <v>2635.5893955461293</v>
      </c>
      <c r="O36" s="23">
        <v>2951.8125381265709</v>
      </c>
      <c r="P36" s="23">
        <v>2534.0749975710705</v>
      </c>
      <c r="Q36" s="23">
        <v>2483.3414398280806</v>
      </c>
      <c r="R36" s="23">
        <v>2455.9616383411949</v>
      </c>
      <c r="S36" s="23">
        <v>2578.51674</v>
      </c>
      <c r="T36" s="23">
        <v>2667.9270361615254</v>
      </c>
      <c r="U36" s="23">
        <v>2732.2749183105975</v>
      </c>
      <c r="V36" s="23">
        <v>2752.4779486815992</v>
      </c>
      <c r="W36" s="23">
        <v>2862.6545287309332</v>
      </c>
      <c r="X36" s="23">
        <v>2500.6941583513017</v>
      </c>
      <c r="Y36" s="23">
        <v>2475.8247484142116</v>
      </c>
      <c r="Z36" s="23">
        <v>2571.2141236957509</v>
      </c>
      <c r="AA36" s="23">
        <v>2652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59.913297603397709</v>
      </c>
      <c r="E37" s="23">
        <v>70.496588554854753</v>
      </c>
      <c r="F37" s="23">
        <v>82.142660370465592</v>
      </c>
      <c r="G37" s="23">
        <v>90.830556546067967</v>
      </c>
      <c r="H37" s="23">
        <v>91.534869955874314</v>
      </c>
      <c r="I37" s="23">
        <v>100.19000473827279</v>
      </c>
      <c r="J37" s="23">
        <v>108.07063065610859</v>
      </c>
      <c r="K37" s="23">
        <v>109.20725657990158</v>
      </c>
      <c r="L37" s="23">
        <v>138.08795774229927</v>
      </c>
      <c r="M37" s="23">
        <v>173.03640654243634</v>
      </c>
      <c r="N37" s="23">
        <v>165.28218451749737</v>
      </c>
      <c r="O37" s="23">
        <v>162.70078075543364</v>
      </c>
      <c r="P37" s="23">
        <v>179.78874142587881</v>
      </c>
      <c r="Q37" s="23">
        <v>195.89602435530088</v>
      </c>
      <c r="R37" s="23">
        <v>201.13407344499811</v>
      </c>
      <c r="S37" s="23">
        <v>206.15147999999999</v>
      </c>
      <c r="T37" s="23">
        <v>245.92623517690041</v>
      </c>
      <c r="U37" s="23">
        <v>467.03086127313759</v>
      </c>
      <c r="V37" s="23">
        <v>517.47390842075424</v>
      </c>
      <c r="W37" s="23">
        <v>326.25994532307931</v>
      </c>
      <c r="X37" s="23">
        <v>255.17010479867625</v>
      </c>
      <c r="Y37" s="23">
        <v>298.91316807409424</v>
      </c>
      <c r="Z37" s="23">
        <v>353.57680876510454</v>
      </c>
      <c r="AA37" s="23">
        <v>352.6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168085.79890787747</v>
      </c>
      <c r="E39" s="30">
        <f t="shared" ref="E39:S39" si="3">SUM(E18:E38)</f>
        <v>173021.79503706089</v>
      </c>
      <c r="F39" s="30">
        <f t="shared" si="3"/>
        <v>176409.70919128097</v>
      </c>
      <c r="G39" s="30">
        <f t="shared" si="3"/>
        <v>181119.91435938227</v>
      </c>
      <c r="H39" s="30">
        <f t="shared" si="3"/>
        <v>189755.68051937665</v>
      </c>
      <c r="I39" s="30">
        <f t="shared" si="3"/>
        <v>202148.81846928858</v>
      </c>
      <c r="J39" s="30">
        <f t="shared" si="3"/>
        <v>216541.60083427603</v>
      </c>
      <c r="K39" s="30">
        <f t="shared" si="3"/>
        <v>227797.10079103863</v>
      </c>
      <c r="L39" s="30">
        <f t="shared" si="3"/>
        <v>235751.30812511127</v>
      </c>
      <c r="M39" s="30">
        <f t="shared" si="3"/>
        <v>222932.31294653751</v>
      </c>
      <c r="N39" s="30">
        <f t="shared" si="3"/>
        <v>230315.70349946973</v>
      </c>
      <c r="O39" s="30">
        <f t="shared" si="3"/>
        <v>234392.50545377811</v>
      </c>
      <c r="P39" s="30">
        <f t="shared" si="3"/>
        <v>232465.10786001591</v>
      </c>
      <c r="Q39" s="30">
        <f t="shared" si="3"/>
        <v>232437.49652578801</v>
      </c>
      <c r="R39" s="30">
        <f t="shared" si="3"/>
        <v>239024.84292920504</v>
      </c>
      <c r="S39" s="30">
        <f t="shared" si="3"/>
        <v>249422.18867999996</v>
      </c>
      <c r="T39" s="30">
        <f t="shared" ref="T39:Y39" si="4">SUM(T18:T38)</f>
        <v>255774.06664973535</v>
      </c>
      <c r="U39" s="30">
        <f t="shared" si="4"/>
        <v>269090.17288005463</v>
      </c>
      <c r="V39" s="30">
        <f t="shared" si="4"/>
        <v>277087.43043308763</v>
      </c>
      <c r="W39" s="30">
        <f t="shared" si="4"/>
        <v>287061.05710416718</v>
      </c>
      <c r="X39" s="30">
        <f t="shared" si="4"/>
        <v>272562.64022464026</v>
      </c>
      <c r="Y39" s="30">
        <f t="shared" si="4"/>
        <v>283272.78291162394</v>
      </c>
      <c r="Z39" s="30">
        <f t="shared" ref="Z39:AA39" si="5">SUM(Z18:Z38)</f>
        <v>291497.69166517747</v>
      </c>
      <c r="AA39" s="30">
        <f t="shared" si="5"/>
        <v>293132.59999999992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5614.3410658307203</v>
      </c>
      <c r="E41" s="19">
        <v>5976.5164403112194</v>
      </c>
      <c r="F41" s="19">
        <v>5852.5547350048037</v>
      </c>
      <c r="G41" s="19">
        <v>5537.7698384398054</v>
      </c>
      <c r="H41" s="19">
        <v>5772.5394584938604</v>
      </c>
      <c r="I41" s="19">
        <v>5493.0435123070411</v>
      </c>
      <c r="J41" s="19">
        <v>5409.8436227375569</v>
      </c>
      <c r="K41" s="19">
        <v>5327.0683997366923</v>
      </c>
      <c r="L41" s="19">
        <v>5330.3557362454749</v>
      </c>
      <c r="M41" s="19">
        <v>5433.1450321425673</v>
      </c>
      <c r="N41" s="19">
        <v>5172.9976670201486</v>
      </c>
      <c r="O41" s="19">
        <v>5205.490817011645</v>
      </c>
      <c r="P41" s="19">
        <v>5172.3959232846901</v>
      </c>
      <c r="Q41" s="19">
        <v>5007.2186604584531</v>
      </c>
      <c r="R41" s="19">
        <v>5132.9880593044318</v>
      </c>
      <c r="S41" s="19">
        <v>5270.0109839999996</v>
      </c>
      <c r="T41" s="19">
        <v>5437.3323382890194</v>
      </c>
      <c r="U41" s="19">
        <v>5553.609415113242</v>
      </c>
      <c r="V41" s="19">
        <v>5598.8720903033745</v>
      </c>
      <c r="W41" s="19">
        <v>5740.9308260303023</v>
      </c>
      <c r="X41" s="19">
        <v>5553.6464223035664</v>
      </c>
      <c r="Y41" s="19">
        <v>5308.1723033817179</v>
      </c>
      <c r="Z41" s="19">
        <v>5154.7013458339643</v>
      </c>
      <c r="AA41" s="19">
        <v>5765.1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2373.2778845181515</v>
      </c>
      <c r="E42" s="23">
        <v>2404.60625201418</v>
      </c>
      <c r="F42" s="23">
        <v>2153.0601593895035</v>
      </c>
      <c r="G42" s="23">
        <v>2059.716444029953</v>
      </c>
      <c r="H42" s="23">
        <v>1818.7957020783065</v>
      </c>
      <c r="I42" s="23">
        <v>1781.9652559914216</v>
      </c>
      <c r="J42" s="23">
        <v>1804.1100678733033</v>
      </c>
      <c r="K42" s="23">
        <v>1794.584917827935</v>
      </c>
      <c r="L42" s="23">
        <v>1762.8694047124461</v>
      </c>
      <c r="M42" s="23">
        <v>1583.5803197981936</v>
      </c>
      <c r="N42" s="23">
        <v>1481.6424178154825</v>
      </c>
      <c r="O42" s="23">
        <v>1489.3738456521323</v>
      </c>
      <c r="P42" s="23">
        <v>1352.8314245185861</v>
      </c>
      <c r="Q42" s="23">
        <v>1398.5651862464185</v>
      </c>
      <c r="R42" s="23">
        <v>1489.8205109840076</v>
      </c>
      <c r="S42" s="23">
        <v>1505.5551</v>
      </c>
      <c r="T42" s="23">
        <v>1548.6534745150138</v>
      </c>
      <c r="U42" s="23">
        <v>1591.825981443164</v>
      </c>
      <c r="V42" s="23">
        <v>1499.6388113127305</v>
      </c>
      <c r="W42" s="23">
        <v>1472.0406346610798</v>
      </c>
      <c r="X42" s="23">
        <v>1371.0814721957581</v>
      </c>
      <c r="Y42" s="23">
        <v>1275.4976098377242</v>
      </c>
      <c r="Z42" s="23">
        <v>1255.7611179082526</v>
      </c>
      <c r="AA42" s="23">
        <v>1350.1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2809.3591465264435</v>
      </c>
      <c r="E43" s="23">
        <v>2974.5574697297548</v>
      </c>
      <c r="F43" s="23">
        <v>3046.5263155046209</v>
      </c>
      <c r="G43" s="23">
        <v>3010.0979290671198</v>
      </c>
      <c r="H43" s="23">
        <v>3378.1344087024913</v>
      </c>
      <c r="I43" s="23">
        <v>3436.4159604977685</v>
      </c>
      <c r="J43" s="23">
        <v>3625.6262019230767</v>
      </c>
      <c r="K43" s="23">
        <v>3830.9470952481902</v>
      </c>
      <c r="L43" s="23">
        <v>3707.3405305952879</v>
      </c>
      <c r="M43" s="23">
        <v>3174.7557490438608</v>
      </c>
      <c r="N43" s="23">
        <v>3257.3500530222695</v>
      </c>
      <c r="O43" s="23">
        <v>3127.7473536802936</v>
      </c>
      <c r="P43" s="23">
        <v>2966.9873617939102</v>
      </c>
      <c r="Q43" s="23">
        <v>2883.3698424068771</v>
      </c>
      <c r="R43" s="23">
        <v>3153.7025487808623</v>
      </c>
      <c r="S43" s="23">
        <v>3414.9723120000003</v>
      </c>
      <c r="T43" s="23">
        <v>3564.5826518451954</v>
      </c>
      <c r="U43" s="23">
        <v>3707.6748752422595</v>
      </c>
      <c r="V43" s="23">
        <v>3813.0261979018996</v>
      </c>
      <c r="W43" s="23">
        <v>3909.1747770765733</v>
      </c>
      <c r="X43" s="23">
        <v>3738.9677982249414</v>
      </c>
      <c r="Y43" s="23">
        <v>3899.1365622446201</v>
      </c>
      <c r="Z43" s="23">
        <v>3845.1617420232878</v>
      </c>
      <c r="AA43" s="23">
        <v>3470.3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656.8576600262918</v>
      </c>
      <c r="E44" s="23">
        <v>441.91147737212839</v>
      </c>
      <c r="F44" s="23">
        <v>299.35948151054714</v>
      </c>
      <c r="G44" s="23">
        <v>235.53610006308801</v>
      </c>
      <c r="H44" s="23">
        <v>344.0672416781091</v>
      </c>
      <c r="I44" s="23">
        <v>425.85812115015347</v>
      </c>
      <c r="J44" s="23">
        <v>446.81945701357466</v>
      </c>
      <c r="K44" s="23">
        <v>366.37857389907288</v>
      </c>
      <c r="L44" s="23">
        <v>426.1458602884444</v>
      </c>
      <c r="M44" s="23">
        <v>362.58392057937994</v>
      </c>
      <c r="N44" s="23">
        <v>337.73669141039238</v>
      </c>
      <c r="O44" s="23">
        <v>294.1069615760901</v>
      </c>
      <c r="P44" s="23">
        <v>284.19237899073119</v>
      </c>
      <c r="Q44" s="23">
        <v>296.50873925501435</v>
      </c>
      <c r="R44" s="23">
        <v>281.02299939631445</v>
      </c>
      <c r="S44" s="23">
        <v>288.449748</v>
      </c>
      <c r="T44" s="23">
        <v>296.03112899759708</v>
      </c>
      <c r="U44" s="23">
        <v>211.85845122510699</v>
      </c>
      <c r="V44" s="23">
        <v>57.816706833002563</v>
      </c>
      <c r="W44" s="23">
        <v>57.371981910626232</v>
      </c>
      <c r="X44" s="23">
        <v>61.995075966504551</v>
      </c>
      <c r="Y44" s="23">
        <v>63.926484803673581</v>
      </c>
      <c r="Z44" s="23">
        <v>35.145690994322479</v>
      </c>
      <c r="AA44" s="23">
        <v>51.9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2247.9797552836485</v>
      </c>
      <c r="E45" s="23">
        <v>1901.4150545554992</v>
      </c>
      <c r="F45" s="23">
        <v>1643.9513713180081</v>
      </c>
      <c r="G45" s="23">
        <v>1767.6338700386757</v>
      </c>
      <c r="H45" s="23">
        <v>1960.7504885819792</v>
      </c>
      <c r="I45" s="23">
        <v>1965.9505374198861</v>
      </c>
      <c r="J45" s="23">
        <v>1872.204128959276</v>
      </c>
      <c r="K45" s="23">
        <v>1927.5171339633378</v>
      </c>
      <c r="L45" s="23">
        <v>1960.206730369755</v>
      </c>
      <c r="M45" s="23">
        <v>1510.4361135975264</v>
      </c>
      <c r="N45" s="23">
        <v>1512.4037115588549</v>
      </c>
      <c r="O45" s="23">
        <v>1639.463369717432</v>
      </c>
      <c r="P45" s="23">
        <v>1821.0706993373883</v>
      </c>
      <c r="Q45" s="23">
        <v>1678.1167263610314</v>
      </c>
      <c r="R45" s="23">
        <v>2054.8561161531929</v>
      </c>
      <c r="S45" s="23">
        <v>2409.3751320000001</v>
      </c>
      <c r="T45" s="23">
        <v>2285.322261511712</v>
      </c>
      <c r="U45" s="23">
        <v>2757.0474631812522</v>
      </c>
      <c r="V45" s="23">
        <v>2533.5798695775447</v>
      </c>
      <c r="W45" s="23">
        <v>2585.8865581644909</v>
      </c>
      <c r="X45" s="23">
        <v>2031.7292182720757</v>
      </c>
      <c r="Y45" s="23">
        <v>1862.9643180137757</v>
      </c>
      <c r="Z45" s="23">
        <v>3061.5801932832028</v>
      </c>
      <c r="AA45" s="23">
        <v>2679.6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781.60863585802406</v>
      </c>
      <c r="E46" s="23">
        <v>756.7796326135998</v>
      </c>
      <c r="F46" s="23">
        <v>763.44354932550391</v>
      </c>
      <c r="G46" s="23">
        <v>806.12118934635328</v>
      </c>
      <c r="H46" s="23">
        <v>836.3647101169131</v>
      </c>
      <c r="I46" s="23">
        <v>961.82404548741886</v>
      </c>
      <c r="J46" s="23">
        <v>1006.8739819004525</v>
      </c>
      <c r="K46" s="23">
        <v>949.54170190451737</v>
      </c>
      <c r="L46" s="23">
        <v>895.6449166122618</v>
      </c>
      <c r="M46" s="23">
        <v>947.57245910977304</v>
      </c>
      <c r="N46" s="23">
        <v>1064.5320254506894</v>
      </c>
      <c r="O46" s="23">
        <v>992.86399892574207</v>
      </c>
      <c r="P46" s="23">
        <v>1022.430184792958</v>
      </c>
      <c r="Q46" s="23">
        <v>1025.5068051575931</v>
      </c>
      <c r="R46" s="23">
        <v>1112.7979290515998</v>
      </c>
      <c r="S46" s="23">
        <v>1068.0919200000001</v>
      </c>
      <c r="T46" s="23">
        <v>1045.2261394494699</v>
      </c>
      <c r="U46" s="23">
        <v>1084.8246950106266</v>
      </c>
      <c r="V46" s="23">
        <v>983.89077473773762</v>
      </c>
      <c r="W46" s="23">
        <v>1117.4403127315466</v>
      </c>
      <c r="X46" s="23">
        <v>1198.7975630547062</v>
      </c>
      <c r="Y46" s="23">
        <v>1096.099174222672</v>
      </c>
      <c r="Z46" s="23">
        <v>1104.6904334437679</v>
      </c>
      <c r="AA46" s="23">
        <v>1167.9000000000001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5764.5346748912925</v>
      </c>
      <c r="E47" s="23">
        <v>5817.5877353713004</v>
      </c>
      <c r="F47" s="23">
        <v>5565.4946892716534</v>
      </c>
      <c r="G47" s="23">
        <v>5645.5198123817099</v>
      </c>
      <c r="H47" s="23">
        <v>6061.858893791743</v>
      </c>
      <c r="I47" s="23">
        <v>6339.9020574079168</v>
      </c>
      <c r="J47" s="23">
        <v>7448.6486708144794</v>
      </c>
      <c r="K47" s="23">
        <v>7447.6451282509015</v>
      </c>
      <c r="L47" s="23">
        <v>7402.7990741290287</v>
      </c>
      <c r="M47" s="23">
        <v>6623.5958824965419</v>
      </c>
      <c r="N47" s="23">
        <v>6545.4613997879114</v>
      </c>
      <c r="O47" s="23">
        <v>6891.3511557866068</v>
      </c>
      <c r="P47" s="23">
        <v>6684.6715737520171</v>
      </c>
      <c r="Q47" s="23">
        <v>6764.3074856733529</v>
      </c>
      <c r="R47" s="23">
        <v>7476.5072800384723</v>
      </c>
      <c r="S47" s="23">
        <v>8238.9169440000005</v>
      </c>
      <c r="T47" s="23">
        <v>8179.4653564381597</v>
      </c>
      <c r="U47" s="23">
        <v>8127.0664844064531</v>
      </c>
      <c r="V47" s="23">
        <v>8020.7017578678769</v>
      </c>
      <c r="W47" s="23">
        <v>8212.4881575921718</v>
      </c>
      <c r="X47" s="23">
        <v>7408.4794063079789</v>
      </c>
      <c r="Y47" s="23">
        <v>7460.4481830563873</v>
      </c>
      <c r="Z47" s="23">
        <v>6985.4013389604506</v>
      </c>
      <c r="AA47" s="23">
        <v>6907.6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6224.417109920113</v>
      </c>
      <c r="E48" s="23">
        <v>6721.8372634777406</v>
      </c>
      <c r="F48" s="23">
        <v>6485.0971464137374</v>
      </c>
      <c r="G48" s="23">
        <v>6661.7979756973973</v>
      </c>
      <c r="H48" s="23">
        <v>7551.7349686054422</v>
      </c>
      <c r="I48" s="23">
        <v>8596.3024065438058</v>
      </c>
      <c r="J48" s="23">
        <v>9104.3289875565606</v>
      </c>
      <c r="K48" s="23">
        <v>9349.8073436053073</v>
      </c>
      <c r="L48" s="23">
        <v>8909.4029200546029</v>
      </c>
      <c r="M48" s="23">
        <v>6784.9094027178789</v>
      </c>
      <c r="N48" s="23">
        <v>7113.0311770943808</v>
      </c>
      <c r="O48" s="23">
        <v>8024.4959235742108</v>
      </c>
      <c r="P48" s="23">
        <v>7976.1540329945792</v>
      </c>
      <c r="Q48" s="23">
        <v>8252.9880730659042</v>
      </c>
      <c r="R48" s="23">
        <v>9298.5062773065401</v>
      </c>
      <c r="S48" s="23">
        <v>9891.0506159999986</v>
      </c>
      <c r="T48" s="23">
        <v>9904.7544376501864</v>
      </c>
      <c r="U48" s="23">
        <v>9926.343531790988</v>
      </c>
      <c r="V48" s="23">
        <v>10070.030752055573</v>
      </c>
      <c r="W48" s="23">
        <v>9865.6307110554699</v>
      </c>
      <c r="X48" s="23">
        <v>8741.1700546557713</v>
      </c>
      <c r="Y48" s="23">
        <v>8562.1061820445957</v>
      </c>
      <c r="Z48" s="23">
        <v>8841.8748388161075</v>
      </c>
      <c r="AA48" s="23">
        <v>8994.1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1434.6362220649205</v>
      </c>
      <c r="E49" s="23">
        <v>1557.8998756963308</v>
      </c>
      <c r="F49" s="23">
        <v>1680.4104130867174</v>
      </c>
      <c r="G49" s="23">
        <v>1949.5176070439147</v>
      </c>
      <c r="H49" s="23">
        <v>2057.2624318451467</v>
      </c>
      <c r="I49" s="23">
        <v>2251.137843836505</v>
      </c>
      <c r="J49" s="23">
        <v>2752.2624858597287</v>
      </c>
      <c r="K49" s="23">
        <v>3050.0156020930722</v>
      </c>
      <c r="L49" s="23">
        <v>2958.6147783251231</v>
      </c>
      <c r="M49" s="23">
        <v>2589.6020994385226</v>
      </c>
      <c r="N49" s="23">
        <v>2773.9355249204668</v>
      </c>
      <c r="O49" s="23">
        <v>2965.0465729248599</v>
      </c>
      <c r="P49" s="23">
        <v>3501.9377222470516</v>
      </c>
      <c r="Q49" s="23">
        <v>3324.0955229226365</v>
      </c>
      <c r="R49" s="23">
        <v>3515.6110095873451</v>
      </c>
      <c r="S49" s="23">
        <v>3743.0291160000002</v>
      </c>
      <c r="T49" s="23">
        <v>3941.3207142438514</v>
      </c>
      <c r="U49" s="23">
        <v>4248.7194135215859</v>
      </c>
      <c r="V49" s="23">
        <v>4352.6487950099236</v>
      </c>
      <c r="W49" s="23">
        <v>3687.981593806689</v>
      </c>
      <c r="X49" s="23">
        <v>3916.4066589780882</v>
      </c>
      <c r="Y49" s="23">
        <v>2922.5521204809902</v>
      </c>
      <c r="Z49" s="23">
        <v>3342.5225739933744</v>
      </c>
      <c r="AA49" s="23">
        <v>3360.5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2348.1088279906967</v>
      </c>
      <c r="E50" s="23">
        <v>2372.9699737581145</v>
      </c>
      <c r="F50" s="23">
        <v>2062.7910860946872</v>
      </c>
      <c r="G50" s="23">
        <v>2285.9023397427104</v>
      </c>
      <c r="H50" s="23">
        <v>2681.1277511897938</v>
      </c>
      <c r="I50" s="23">
        <v>2853.8971046659522</v>
      </c>
      <c r="J50" s="23">
        <v>3320.7331306561082</v>
      </c>
      <c r="K50" s="23">
        <v>3819.1751687511855</v>
      </c>
      <c r="L50" s="23">
        <v>3517.228737610541</v>
      </c>
      <c r="M50" s="23">
        <v>3336.0692692651969</v>
      </c>
      <c r="N50" s="23">
        <v>3745.386744432662</v>
      </c>
      <c r="O50" s="23">
        <v>4500.1946095263675</v>
      </c>
      <c r="P50" s="23">
        <v>4332.4355400967688</v>
      </c>
      <c r="Q50" s="23">
        <v>4392.5605659025796</v>
      </c>
      <c r="R50" s="23">
        <v>4835.6883140801983</v>
      </c>
      <c r="S50" s="23">
        <v>5106.5507160000006</v>
      </c>
      <c r="T50" s="23">
        <v>5029.5165569382862</v>
      </c>
      <c r="U50" s="23">
        <v>5213.6328330540136</v>
      </c>
      <c r="V50" s="23">
        <v>5178.334650552878</v>
      </c>
      <c r="W50" s="23">
        <v>5514.2078131786711</v>
      </c>
      <c r="X50" s="23">
        <v>5080.0691570977297</v>
      </c>
      <c r="Y50" s="23">
        <v>5468.8728738763284</v>
      </c>
      <c r="Z50" s="23">
        <v>5309.2308125867785</v>
      </c>
      <c r="AA50" s="23">
        <v>5795.7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3552.6670441905144</v>
      </c>
      <c r="E51" s="23">
        <v>3648.136181575434</v>
      </c>
      <c r="F51" s="23">
        <v>3507.9747899387075</v>
      </c>
      <c r="G51" s="23">
        <v>3155.4713443234496</v>
      </c>
      <c r="H51" s="23">
        <v>3664.6407156092941</v>
      </c>
      <c r="I51" s="23">
        <v>4070.1430409735913</v>
      </c>
      <c r="J51" s="23">
        <v>5048.333017533937</v>
      </c>
      <c r="K51" s="23">
        <v>5716.2664003838045</v>
      </c>
      <c r="L51" s="23">
        <v>5633.9886758858102</v>
      </c>
      <c r="M51" s="23">
        <v>4705.5005248596308</v>
      </c>
      <c r="N51" s="23">
        <v>5072.7445387062571</v>
      </c>
      <c r="O51" s="23">
        <v>5676.1553722496119</v>
      </c>
      <c r="P51" s="23">
        <v>5617.2942036025888</v>
      </c>
      <c r="Q51" s="23">
        <v>5853.9481375358173</v>
      </c>
      <c r="R51" s="23">
        <v>6073.2192647314623</v>
      </c>
      <c r="S51" s="23">
        <v>6237.7866720000002</v>
      </c>
      <c r="T51" s="23">
        <v>6000.3781546095697</v>
      </c>
      <c r="U51" s="23">
        <v>6161.0686902543848</v>
      </c>
      <c r="V51" s="23">
        <v>5881.339782392969</v>
      </c>
      <c r="W51" s="23">
        <v>6403.680901402694</v>
      </c>
      <c r="X51" s="23">
        <v>5556.9021812164683</v>
      </c>
      <c r="Y51" s="23">
        <v>5457.628887418764</v>
      </c>
      <c r="Z51" s="23">
        <v>5332.6612732496606</v>
      </c>
      <c r="AA51" s="23">
        <v>5787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5720.7624026696321</v>
      </c>
      <c r="E52" s="23">
        <v>6526.2901892178079</v>
      </c>
      <c r="F52" s="23">
        <v>6411.7397973128409</v>
      </c>
      <c r="G52" s="23">
        <v>6158.8905559974764</v>
      </c>
      <c r="H52" s="23">
        <v>7686.7651313772276</v>
      </c>
      <c r="I52" s="23">
        <v>8331.3555051248168</v>
      </c>
      <c r="J52" s="23">
        <v>9239.5607324660632</v>
      </c>
      <c r="K52" s="23">
        <v>10081.840065157483</v>
      </c>
      <c r="L52" s="23">
        <v>9897.8557896611092</v>
      </c>
      <c r="M52" s="23">
        <v>8922.7676011066815</v>
      </c>
      <c r="N52" s="23">
        <v>10438.916755037117</v>
      </c>
      <c r="O52" s="23">
        <v>11413.187304571353</v>
      </c>
      <c r="P52" s="23">
        <v>11017.107113848786</v>
      </c>
      <c r="Q52" s="23">
        <v>11087.585780802294</v>
      </c>
      <c r="R52" s="23">
        <v>13087.500181105666</v>
      </c>
      <c r="S52" s="23">
        <v>14080.79538</v>
      </c>
      <c r="T52" s="23">
        <v>15435.478492586009</v>
      </c>
      <c r="U52" s="23">
        <v>15835.279388055091</v>
      </c>
      <c r="V52" s="23">
        <v>15486.679539977318</v>
      </c>
      <c r="W52" s="23">
        <v>16294.195845576025</v>
      </c>
      <c r="X52" s="23">
        <v>12531.280399137544</v>
      </c>
      <c r="Y52" s="23">
        <v>12711.895206444331</v>
      </c>
      <c r="Z52" s="23">
        <v>12811.329595974872</v>
      </c>
      <c r="AA52" s="23">
        <v>14720.3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3322.8626150268033</v>
      </c>
      <c r="E53" s="23">
        <v>3463.3006031029863</v>
      </c>
      <c r="F53" s="23">
        <v>3400.5743596682228</v>
      </c>
      <c r="G53" s="23">
        <v>3422.1747922209661</v>
      </c>
      <c r="H53" s="23">
        <v>3615.9519549944598</v>
      </c>
      <c r="I53" s="23">
        <v>3889.8010324446986</v>
      </c>
      <c r="J53" s="23">
        <v>4188.7411340497765</v>
      </c>
      <c r="K53" s="23">
        <v>4595.2167847460141</v>
      </c>
      <c r="L53" s="23">
        <v>4576.1706926227198</v>
      </c>
      <c r="M53" s="23">
        <v>4159.4782000162641</v>
      </c>
      <c r="N53" s="23">
        <v>4104.7997879109198</v>
      </c>
      <c r="O53" s="23">
        <v>4475.127790673143</v>
      </c>
      <c r="P53" s="23">
        <v>4328.9659328060961</v>
      </c>
      <c r="Q53" s="23">
        <v>4431.8043696275026</v>
      </c>
      <c r="R53" s="23">
        <v>4462.3196954969108</v>
      </c>
      <c r="S53" s="23">
        <v>4442.6455560000022</v>
      </c>
      <c r="T53" s="23">
        <v>4826.0843456346302</v>
      </c>
      <c r="U53" s="23">
        <v>4896.9090078365634</v>
      </c>
      <c r="V53" s="23">
        <v>5018.4038595123275</v>
      </c>
      <c r="W53" s="23">
        <v>5312.6455249239807</v>
      </c>
      <c r="X53" s="23">
        <v>4964.0827458255981</v>
      </c>
      <c r="Y53" s="23">
        <v>4955.6922784760845</v>
      </c>
      <c r="Z53" s="23">
        <v>5021.0361464333391</v>
      </c>
      <c r="AA53" s="23">
        <v>5151.6000000000058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42851.413044797249</v>
      </c>
      <c r="E54" s="30">
        <f t="shared" ref="E54:S54" si="6">SUM(E41:E53)</f>
        <v>44563.808148796095</v>
      </c>
      <c r="F54" s="30">
        <f t="shared" si="6"/>
        <v>42872.977893839554</v>
      </c>
      <c r="G54" s="30">
        <f t="shared" si="6"/>
        <v>42696.149798392617</v>
      </c>
      <c r="H54" s="30">
        <f t="shared" si="6"/>
        <v>47429.993857064772</v>
      </c>
      <c r="I54" s="30">
        <f t="shared" si="6"/>
        <v>50397.596423850977</v>
      </c>
      <c r="J54" s="30">
        <f t="shared" si="6"/>
        <v>55268.085619343896</v>
      </c>
      <c r="K54" s="30">
        <f t="shared" si="6"/>
        <v>58256.004315567523</v>
      </c>
      <c r="L54" s="30">
        <f t="shared" si="6"/>
        <v>56978.623847112605</v>
      </c>
      <c r="M54" s="30">
        <f t="shared" si="6"/>
        <v>50133.996574172015</v>
      </c>
      <c r="N54" s="30">
        <f t="shared" si="6"/>
        <v>52620.938494167553</v>
      </c>
      <c r="O54" s="30">
        <f t="shared" si="6"/>
        <v>56694.605075869484</v>
      </c>
      <c r="P54" s="30">
        <f t="shared" si="6"/>
        <v>56078.474092066157</v>
      </c>
      <c r="Q54" s="30">
        <f t="shared" si="6"/>
        <v>56396.575895415481</v>
      </c>
      <c r="R54" s="30">
        <f t="shared" si="6"/>
        <v>61974.54018601701</v>
      </c>
      <c r="S54" s="30">
        <f t="shared" si="6"/>
        <v>65697.230196000004</v>
      </c>
      <c r="T54" s="30">
        <f t="shared" ref="T54:Y54" si="7">SUM(T41:T53)</f>
        <v>67494.146052708704</v>
      </c>
      <c r="U54" s="30">
        <f t="shared" si="7"/>
        <v>69315.860230134727</v>
      </c>
      <c r="V54" s="30">
        <f t="shared" si="7"/>
        <v>68494.963588035156</v>
      </c>
      <c r="W54" s="30">
        <f t="shared" si="7"/>
        <v>70173.675638110319</v>
      </c>
      <c r="X54" s="30">
        <f t="shared" si="7"/>
        <v>62154.608153236724</v>
      </c>
      <c r="Y54" s="30">
        <f t="shared" si="7"/>
        <v>61044.992184301671</v>
      </c>
      <c r="Z54" s="30">
        <f t="shared" ref="Z54:AA54" si="8">SUM(Z41:Z53)</f>
        <v>62101.097103501379</v>
      </c>
      <c r="AA54" s="30">
        <f t="shared" si="8"/>
        <v>65201.7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5614.3410658307203</v>
      </c>
      <c r="E56" s="19">
        <v>5976.5164403112194</v>
      </c>
      <c r="F56" s="19">
        <v>5852.5547350048037</v>
      </c>
      <c r="G56" s="19">
        <v>5537.7698384398054</v>
      </c>
      <c r="H56" s="19">
        <v>5772.5394584938604</v>
      </c>
      <c r="I56" s="19">
        <v>5493.0435123070411</v>
      </c>
      <c r="J56" s="19">
        <v>5409.8436227375569</v>
      </c>
      <c r="K56" s="19">
        <v>5327.0683997366923</v>
      </c>
      <c r="L56" s="19">
        <v>5330.3557362454749</v>
      </c>
      <c r="M56" s="19">
        <v>5433.1450321425673</v>
      </c>
      <c r="N56" s="19">
        <v>5172.9976670201486</v>
      </c>
      <c r="O56" s="19">
        <v>5205.490817011645</v>
      </c>
      <c r="P56" s="19">
        <v>5172.3959232846901</v>
      </c>
      <c r="Q56" s="19">
        <v>5007.2186604584531</v>
      </c>
      <c r="R56" s="19">
        <v>5132.9880593044318</v>
      </c>
      <c r="S56" s="19">
        <v>5270.0109839999996</v>
      </c>
      <c r="T56" s="19">
        <v>5437.3323382890194</v>
      </c>
      <c r="U56" s="19">
        <v>5553.609415113242</v>
      </c>
      <c r="V56" s="19">
        <v>5598.8720903033745</v>
      </c>
      <c r="W56" s="19">
        <v>5740.9308260303023</v>
      </c>
      <c r="X56" s="19">
        <v>5553.6464223035664</v>
      </c>
      <c r="Y56" s="19">
        <v>5308.1723033817179</v>
      </c>
      <c r="Z56" s="19">
        <v>5154.7013458339643</v>
      </c>
      <c r="AA56" s="19">
        <v>5765.1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2373.2778845181515</v>
      </c>
      <c r="E57" s="23">
        <v>2404.60625201418</v>
      </c>
      <c r="F57" s="23">
        <v>2153.0601593895035</v>
      </c>
      <c r="G57" s="23">
        <v>2059.716444029953</v>
      </c>
      <c r="H57" s="23">
        <v>1818.7957020783065</v>
      </c>
      <c r="I57" s="23">
        <v>1781.9652559914216</v>
      </c>
      <c r="J57" s="23">
        <v>1804.1100678733033</v>
      </c>
      <c r="K57" s="23">
        <v>1794.584917827935</v>
      </c>
      <c r="L57" s="23">
        <v>1762.8694047124461</v>
      </c>
      <c r="M57" s="23">
        <v>1583.5803197981936</v>
      </c>
      <c r="N57" s="23">
        <v>1481.6424178154825</v>
      </c>
      <c r="O57" s="23">
        <v>1489.3738456521323</v>
      </c>
      <c r="P57" s="23">
        <v>1352.8314245185861</v>
      </c>
      <c r="Q57" s="23">
        <v>1398.5651862464185</v>
      </c>
      <c r="R57" s="23">
        <v>1489.8205109840076</v>
      </c>
      <c r="S57" s="23">
        <v>1505.5551</v>
      </c>
      <c r="T57" s="23">
        <v>1548.6534745150138</v>
      </c>
      <c r="U57" s="23">
        <v>1591.825981443164</v>
      </c>
      <c r="V57" s="23">
        <v>1499.6388113127305</v>
      </c>
      <c r="W57" s="23">
        <v>1472.0406346610798</v>
      </c>
      <c r="X57" s="23">
        <v>1371.0814721957581</v>
      </c>
      <c r="Y57" s="23">
        <v>1275.4976098377242</v>
      </c>
      <c r="Z57" s="23">
        <v>1255.7611179082526</v>
      </c>
      <c r="AA57" s="23">
        <v>1350.1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1239.8496106785317</v>
      </c>
      <c r="E58" s="23">
        <v>1366.0893697343586</v>
      </c>
      <c r="F58" s="23">
        <v>1366.3355351996431</v>
      </c>
      <c r="G58" s="23">
        <v>1463.9748525660366</v>
      </c>
      <c r="H58" s="23">
        <v>1547.2206150933837</v>
      </c>
      <c r="I58" s="23">
        <v>1600.0040150627201</v>
      </c>
      <c r="J58" s="23">
        <v>1631.9621606334842</v>
      </c>
      <c r="K58" s="23">
        <v>1689.1808990393736</v>
      </c>
      <c r="L58" s="23">
        <v>1709.8821651136568</v>
      </c>
      <c r="M58" s="23">
        <v>1391.886361786964</v>
      </c>
      <c r="N58" s="23">
        <v>1330.5454931071049</v>
      </c>
      <c r="O58" s="23">
        <v>1332.7451514512077</v>
      </c>
      <c r="P58" s="23">
        <v>1332.329199619144</v>
      </c>
      <c r="Q58" s="23">
        <v>1279.8647922636105</v>
      </c>
      <c r="R58" s="23">
        <v>1382.0285921848301</v>
      </c>
      <c r="S58" s="23">
        <v>1460.5913519999999</v>
      </c>
      <c r="T58" s="23">
        <v>1540.0912458241353</v>
      </c>
      <c r="U58" s="23">
        <v>1616.5985263138184</v>
      </c>
      <c r="V58" s="23">
        <v>1731.049461298554</v>
      </c>
      <c r="W58" s="23">
        <v>1762.2184419632592</v>
      </c>
      <c r="X58" s="23">
        <v>1696.9286767286771</v>
      </c>
      <c r="Y58" s="23">
        <v>1854.1207331595126</v>
      </c>
      <c r="Z58" s="23">
        <v>1788.1904430666871</v>
      </c>
      <c r="AA58" s="23">
        <v>1514.5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978.58386085549591</v>
      </c>
      <c r="E59" s="23">
        <v>1033.5347912158741</v>
      </c>
      <c r="F59" s="23">
        <v>962.43084958123063</v>
      </c>
      <c r="G59" s="23">
        <v>870.90474805935753</v>
      </c>
      <c r="H59" s="23">
        <v>1059.6838254702518</v>
      </c>
      <c r="I59" s="23">
        <v>1054.3226963265918</v>
      </c>
      <c r="J59" s="23">
        <v>1096.3908936651585</v>
      </c>
      <c r="K59" s="23">
        <v>1100.0412545046804</v>
      </c>
      <c r="L59" s="23">
        <v>940.7643539675945</v>
      </c>
      <c r="M59" s="23">
        <v>879.05136300756783</v>
      </c>
      <c r="N59" s="23">
        <v>941.96500530222704</v>
      </c>
      <c r="O59" s="23">
        <v>893.84227972913357</v>
      </c>
      <c r="P59" s="23">
        <v>860.30489866506036</v>
      </c>
      <c r="Q59" s="23">
        <v>851.25139684813769</v>
      </c>
      <c r="R59" s="23">
        <v>982.91614091453243</v>
      </c>
      <c r="S59" s="23">
        <v>1124.256024</v>
      </c>
      <c r="T59" s="23">
        <v>1176.9893254146562</v>
      </c>
      <c r="U59" s="23">
        <v>1259.9042759369704</v>
      </c>
      <c r="V59" s="23">
        <v>1226.2319464133825</v>
      </c>
      <c r="W59" s="23">
        <v>1318.0348808094229</v>
      </c>
      <c r="X59" s="23">
        <v>1302.3035651607081</v>
      </c>
      <c r="Y59" s="23">
        <v>1246.3137798186558</v>
      </c>
      <c r="Z59" s="23">
        <v>1248.3972588427755</v>
      </c>
      <c r="AA59" s="23">
        <v>1208.8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590.92567499241613</v>
      </c>
      <c r="E60" s="23">
        <v>574.93330877952201</v>
      </c>
      <c r="F60" s="23">
        <v>717.7599307237474</v>
      </c>
      <c r="G60" s="23">
        <v>675.2183284417257</v>
      </c>
      <c r="H60" s="23">
        <v>771.22996813885561</v>
      </c>
      <c r="I60" s="23">
        <v>782.08924910845644</v>
      </c>
      <c r="J60" s="23">
        <v>897.27314762443416</v>
      </c>
      <c r="K60" s="23">
        <v>1041.7249417041364</v>
      </c>
      <c r="L60" s="23">
        <v>1056.6940115140364</v>
      </c>
      <c r="M60" s="23">
        <v>903.81802424932857</v>
      </c>
      <c r="N60" s="23">
        <v>984.8395546129376</v>
      </c>
      <c r="O60" s="23">
        <v>901.15992249995236</v>
      </c>
      <c r="P60" s="23">
        <v>774.35326350970604</v>
      </c>
      <c r="Q60" s="23">
        <v>752.25365329512931</v>
      </c>
      <c r="R60" s="23">
        <v>788.75781568149944</v>
      </c>
      <c r="S60" s="23">
        <v>830.12493600000016</v>
      </c>
      <c r="T60" s="23">
        <v>847.50208060640409</v>
      </c>
      <c r="U60" s="23">
        <v>831.17207299147037</v>
      </c>
      <c r="V60" s="23">
        <v>855.74479018996317</v>
      </c>
      <c r="W60" s="23">
        <v>828.92145430389121</v>
      </c>
      <c r="X60" s="23">
        <v>739.73555633555611</v>
      </c>
      <c r="Y60" s="23">
        <v>798.7020492664517</v>
      </c>
      <c r="Z60" s="23">
        <v>808.57404011382528</v>
      </c>
      <c r="AA60" s="23">
        <v>747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656.8576600262918</v>
      </c>
      <c r="E61" s="23">
        <v>441.91147737212839</v>
      </c>
      <c r="F61" s="23">
        <v>299.35948151054714</v>
      </c>
      <c r="G61" s="23">
        <v>235.53610006308801</v>
      </c>
      <c r="H61" s="23">
        <v>344.0672416781091</v>
      </c>
      <c r="I61" s="23">
        <v>425.85812115015347</v>
      </c>
      <c r="J61" s="23">
        <v>446.81945701357466</v>
      </c>
      <c r="K61" s="23">
        <v>366.37857389907288</v>
      </c>
      <c r="L61" s="23">
        <v>426.1458602884444</v>
      </c>
      <c r="M61" s="23">
        <v>362.58392057937994</v>
      </c>
      <c r="N61" s="23">
        <v>337.73669141039238</v>
      </c>
      <c r="O61" s="23">
        <v>294.1069615760901</v>
      </c>
      <c r="P61" s="23">
        <v>284.19237899073119</v>
      </c>
      <c r="Q61" s="23">
        <v>296.50873925501435</v>
      </c>
      <c r="R61" s="23">
        <v>281.02299939631445</v>
      </c>
      <c r="S61" s="23">
        <v>288.449748</v>
      </c>
      <c r="T61" s="23">
        <v>296.03112899759708</v>
      </c>
      <c r="U61" s="23">
        <v>211.85845122510699</v>
      </c>
      <c r="V61" s="23">
        <v>57.816706833002563</v>
      </c>
      <c r="W61" s="23">
        <v>57.371981910626232</v>
      </c>
      <c r="X61" s="23">
        <v>61.995075966504551</v>
      </c>
      <c r="Y61" s="23">
        <v>63.926484803673581</v>
      </c>
      <c r="Z61" s="23">
        <v>35.145690994322479</v>
      </c>
      <c r="AA61" s="23">
        <v>51.9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2247.9797552836485</v>
      </c>
      <c r="E62" s="23">
        <v>1901.4150545554992</v>
      </c>
      <c r="F62" s="23">
        <v>1643.9513713180081</v>
      </c>
      <c r="G62" s="23">
        <v>1767.6338700386757</v>
      </c>
      <c r="H62" s="23">
        <v>1960.7504885819792</v>
      </c>
      <c r="I62" s="23">
        <v>1965.9505374198861</v>
      </c>
      <c r="J62" s="23">
        <v>1872.204128959276</v>
      </c>
      <c r="K62" s="23">
        <v>1927.5171339633378</v>
      </c>
      <c r="L62" s="23">
        <v>1960.206730369755</v>
      </c>
      <c r="M62" s="23">
        <v>1510.4361135975264</v>
      </c>
      <c r="N62" s="23">
        <v>1512.4037115588549</v>
      </c>
      <c r="O62" s="23">
        <v>1639.463369717432</v>
      </c>
      <c r="P62" s="23">
        <v>1821.0706993373883</v>
      </c>
      <c r="Q62" s="23">
        <v>1678.1167263610314</v>
      </c>
      <c r="R62" s="23">
        <v>2054.8561161531929</v>
      </c>
      <c r="S62" s="23">
        <v>2409.3751320000001</v>
      </c>
      <c r="T62" s="23">
        <v>2285.322261511712</v>
      </c>
      <c r="U62" s="23">
        <v>2757.0474631812522</v>
      </c>
      <c r="V62" s="23">
        <v>2533.5798695775447</v>
      </c>
      <c r="W62" s="23">
        <v>2585.8865581644909</v>
      </c>
      <c r="X62" s="23">
        <v>2031.7292182720757</v>
      </c>
      <c r="Y62" s="23">
        <v>1862.9643180137757</v>
      </c>
      <c r="Z62" s="23">
        <v>3061.5801932832028</v>
      </c>
      <c r="AA62" s="23">
        <v>2679.6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781.60863585802406</v>
      </c>
      <c r="E63" s="23">
        <v>756.7796326135998</v>
      </c>
      <c r="F63" s="23">
        <v>763.44354932550391</v>
      </c>
      <c r="G63" s="23">
        <v>806.12118934635328</v>
      </c>
      <c r="H63" s="23">
        <v>836.3647101169131</v>
      </c>
      <c r="I63" s="23">
        <v>961.82404548741886</v>
      </c>
      <c r="J63" s="23">
        <v>1006.8739819004525</v>
      </c>
      <c r="K63" s="23">
        <v>949.54170190451737</v>
      </c>
      <c r="L63" s="23">
        <v>895.6449166122618</v>
      </c>
      <c r="M63" s="23">
        <v>947.57245910977304</v>
      </c>
      <c r="N63" s="23">
        <v>1064.5320254506894</v>
      </c>
      <c r="O63" s="23">
        <v>992.86399892574207</v>
      </c>
      <c r="P63" s="23">
        <v>1022.430184792958</v>
      </c>
      <c r="Q63" s="23">
        <v>1025.5068051575931</v>
      </c>
      <c r="R63" s="23">
        <v>1112.7979290515998</v>
      </c>
      <c r="S63" s="23">
        <v>1068.0919200000001</v>
      </c>
      <c r="T63" s="23">
        <v>1045.2261394494699</v>
      </c>
      <c r="U63" s="23">
        <v>1084.8246950106266</v>
      </c>
      <c r="V63" s="23">
        <v>983.89077473773762</v>
      </c>
      <c r="W63" s="23">
        <v>1117.4403127315466</v>
      </c>
      <c r="X63" s="23">
        <v>1198.7975630547062</v>
      </c>
      <c r="Y63" s="23">
        <v>1096.099174222672</v>
      </c>
      <c r="Z63" s="23">
        <v>1104.6904334437679</v>
      </c>
      <c r="AA63" s="23">
        <v>1167.9000000000001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2194.6322985134998</v>
      </c>
      <c r="E64" s="23">
        <v>2190.1272317112475</v>
      </c>
      <c r="F64" s="23">
        <v>2336.8927977052244</v>
      </c>
      <c r="G64" s="23">
        <v>2597.1305702608552</v>
      </c>
      <c r="H64" s="23">
        <v>2912.6698572247478</v>
      </c>
      <c r="I64" s="23">
        <v>3102.2468739868832</v>
      </c>
      <c r="J64" s="23">
        <v>3969.9220164027147</v>
      </c>
      <c r="K64" s="23">
        <v>3894.5154983320131</v>
      </c>
      <c r="L64" s="23">
        <v>3978.0571547272839</v>
      </c>
      <c r="M64" s="23">
        <v>3833.3838269997559</v>
      </c>
      <c r="N64" s="23">
        <v>3943.6616118769889</v>
      </c>
      <c r="O64" s="23">
        <v>4095.855922806883</v>
      </c>
      <c r="P64" s="23">
        <v>4085.9357130365511</v>
      </c>
      <c r="Q64" s="23">
        <v>4189.8816618911178</v>
      </c>
      <c r="R64" s="23">
        <v>4691.3567617897743</v>
      </c>
      <c r="S64" s="23">
        <v>5190.9591959999998</v>
      </c>
      <c r="T64" s="23">
        <v>5295.5798855178082</v>
      </c>
      <c r="U64" s="23">
        <v>5180.1974964187739</v>
      </c>
      <c r="V64" s="23">
        <v>4891.2646335412537</v>
      </c>
      <c r="W64" s="23">
        <v>5018.043853956412</v>
      </c>
      <c r="X64" s="23">
        <v>4516.687208544352</v>
      </c>
      <c r="Y64" s="23">
        <v>4410.9274514534773</v>
      </c>
      <c r="Z64" s="23">
        <v>3996.232426487772</v>
      </c>
      <c r="AA64" s="23">
        <v>4102.3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3569.9023763777932</v>
      </c>
      <c r="E65" s="23">
        <v>3627.4605036600528</v>
      </c>
      <c r="F65" s="23">
        <v>3228.6018915664285</v>
      </c>
      <c r="G65" s="23">
        <v>3048.3892421208552</v>
      </c>
      <c r="H65" s="23">
        <v>3149.1890365669956</v>
      </c>
      <c r="I65" s="23">
        <v>3237.6551834210341</v>
      </c>
      <c r="J65" s="23">
        <v>3478.7266544117642</v>
      </c>
      <c r="K65" s="23">
        <v>3553.129629918888</v>
      </c>
      <c r="L65" s="23">
        <v>3424.7419194017448</v>
      </c>
      <c r="M65" s="23">
        <v>2790.212055496786</v>
      </c>
      <c r="N65" s="23">
        <v>2601.7997879109221</v>
      </c>
      <c r="O65" s="23">
        <v>2795.4952329797238</v>
      </c>
      <c r="P65" s="23">
        <v>2598.7358607154661</v>
      </c>
      <c r="Q65" s="23">
        <v>2574.4258237822351</v>
      </c>
      <c r="R65" s="23">
        <v>2785.1505182486981</v>
      </c>
      <c r="S65" s="23">
        <v>3047.9577480000003</v>
      </c>
      <c r="T65" s="23">
        <v>2883.8854709203515</v>
      </c>
      <c r="U65" s="23">
        <v>2946.8689879876788</v>
      </c>
      <c r="V65" s="23">
        <v>3129.4371243266237</v>
      </c>
      <c r="W65" s="23">
        <v>3194.4443036357598</v>
      </c>
      <c r="X65" s="23">
        <v>2891.7921977636265</v>
      </c>
      <c r="Y65" s="23">
        <v>3049.5207316029105</v>
      </c>
      <c r="Z65" s="23">
        <v>2989.1689124726786</v>
      </c>
      <c r="AA65" s="23">
        <v>2805.3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2667.0992618060468</v>
      </c>
      <c r="E66" s="23">
        <v>2600.6515353805075</v>
      </c>
      <c r="F66" s="23">
        <v>2376.4266984182827</v>
      </c>
      <c r="G66" s="23">
        <v>2350.2406506295088</v>
      </c>
      <c r="H66" s="23">
        <v>2835.4170237158892</v>
      </c>
      <c r="I66" s="23">
        <v>3446.5361629965842</v>
      </c>
      <c r="J66" s="23">
        <v>3435.3071266968327</v>
      </c>
      <c r="K66" s="23">
        <v>3395.2047082975378</v>
      </c>
      <c r="L66" s="23">
        <v>2889.0890972758029</v>
      </c>
      <c r="M66" s="23">
        <v>1770.8162787859062</v>
      </c>
      <c r="N66" s="23">
        <v>1625.088865323436</v>
      </c>
      <c r="O66" s="23">
        <v>2037.4185808283298</v>
      </c>
      <c r="P66" s="23">
        <v>1810.6618774653634</v>
      </c>
      <c r="Q66" s="23">
        <v>1984.4767908309457</v>
      </c>
      <c r="R66" s="23">
        <v>2381.2214789272816</v>
      </c>
      <c r="S66" s="23">
        <v>2449.7938079999999</v>
      </c>
      <c r="T66" s="23">
        <v>2306.7278332389087</v>
      </c>
      <c r="U66" s="23">
        <v>2102.474759145</v>
      </c>
      <c r="V66" s="23">
        <v>2170.140023390984</v>
      </c>
      <c r="W66" s="23">
        <v>1869.497135849153</v>
      </c>
      <c r="X66" s="23">
        <v>1482.4555583412728</v>
      </c>
      <c r="Y66" s="23">
        <v>1311.1246231077557</v>
      </c>
      <c r="Z66" s="23">
        <v>1189.3748126967544</v>
      </c>
      <c r="AA66" s="23">
        <v>1104.8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3557.3178481140653</v>
      </c>
      <c r="E67" s="23">
        <v>4121.1857280972336</v>
      </c>
      <c r="F67" s="23">
        <v>4108.6704479954542</v>
      </c>
      <c r="G67" s="23">
        <v>4311.5573250678881</v>
      </c>
      <c r="H67" s="23">
        <v>4716.3179448895526</v>
      </c>
      <c r="I67" s="23">
        <v>5149.7662435472221</v>
      </c>
      <c r="J67" s="23">
        <v>5669.0218608597288</v>
      </c>
      <c r="K67" s="23">
        <v>5954.6026353077696</v>
      </c>
      <c r="L67" s="23">
        <v>6020.3138227787995</v>
      </c>
      <c r="M67" s="23">
        <v>5014.0931239319725</v>
      </c>
      <c r="N67" s="23">
        <v>5487.9423117709448</v>
      </c>
      <c r="O67" s="23">
        <v>5987.0773427458807</v>
      </c>
      <c r="P67" s="23">
        <v>6165.4921555292158</v>
      </c>
      <c r="Q67" s="23">
        <v>6268.5112822349574</v>
      </c>
      <c r="R67" s="23">
        <v>6917.2847983792581</v>
      </c>
      <c r="S67" s="23">
        <v>7441.2568080000001</v>
      </c>
      <c r="T67" s="23">
        <v>7598.0266044112768</v>
      </c>
      <c r="U67" s="23">
        <v>7823.8687726459875</v>
      </c>
      <c r="V67" s="23">
        <v>7899.8907286645872</v>
      </c>
      <c r="W67" s="23">
        <v>7996.1335752063169</v>
      </c>
      <c r="X67" s="23">
        <v>7258.7144963144974</v>
      </c>
      <c r="Y67" s="23">
        <v>7250.98155893684</v>
      </c>
      <c r="Z67" s="23">
        <v>7652.5000261193518</v>
      </c>
      <c r="AA67" s="23">
        <v>7889.3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1434.6362220649205</v>
      </c>
      <c r="E68" s="23">
        <v>1557.8998756963308</v>
      </c>
      <c r="F68" s="23">
        <v>1680.4104130867174</v>
      </c>
      <c r="G68" s="23">
        <v>1949.5176070439147</v>
      </c>
      <c r="H68" s="23">
        <v>2057.2624318451467</v>
      </c>
      <c r="I68" s="23">
        <v>2251.137843836505</v>
      </c>
      <c r="J68" s="23">
        <v>2752.2624858597287</v>
      </c>
      <c r="K68" s="23">
        <v>3050.0156020930722</v>
      </c>
      <c r="L68" s="23">
        <v>2958.6147783251231</v>
      </c>
      <c r="M68" s="23">
        <v>2589.6020994385226</v>
      </c>
      <c r="N68" s="23">
        <v>2773.9355249204668</v>
      </c>
      <c r="O68" s="23">
        <v>2965.0465729248599</v>
      </c>
      <c r="P68" s="23">
        <v>3501.9377222470516</v>
      </c>
      <c r="Q68" s="23">
        <v>3324.0955229226365</v>
      </c>
      <c r="R68" s="23">
        <v>3515.6110095873451</v>
      </c>
      <c r="S68" s="23">
        <v>3743.0291160000002</v>
      </c>
      <c r="T68" s="23">
        <v>3941.3207142438514</v>
      </c>
      <c r="U68" s="23">
        <v>4248.7194135215859</v>
      </c>
      <c r="V68" s="23">
        <v>4352.6487950099236</v>
      </c>
      <c r="W68" s="23">
        <v>3687.981593806689</v>
      </c>
      <c r="X68" s="23">
        <v>3916.4066589780882</v>
      </c>
      <c r="Y68" s="23">
        <v>2922.5521204809902</v>
      </c>
      <c r="Z68" s="23">
        <v>3342.5225739933744</v>
      </c>
      <c r="AA68" s="23">
        <v>3360.5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2348.1088279906967</v>
      </c>
      <c r="E69" s="23">
        <v>2372.9699737581145</v>
      </c>
      <c r="F69" s="23">
        <v>2062.7910860946872</v>
      </c>
      <c r="G69" s="23">
        <v>2285.9023397427104</v>
      </c>
      <c r="H69" s="23">
        <v>2681.1277511897938</v>
      </c>
      <c r="I69" s="23">
        <v>2853.8971046659522</v>
      </c>
      <c r="J69" s="23">
        <v>3320.7331306561082</v>
      </c>
      <c r="K69" s="23">
        <v>3819.1751687511855</v>
      </c>
      <c r="L69" s="23">
        <v>3517.228737610541</v>
      </c>
      <c r="M69" s="23">
        <v>3336.0692692651969</v>
      </c>
      <c r="N69" s="23">
        <v>3745.386744432662</v>
      </c>
      <c r="O69" s="23">
        <v>4500.1946095263675</v>
      </c>
      <c r="P69" s="23">
        <v>4332.4355400967688</v>
      </c>
      <c r="Q69" s="23">
        <v>4392.5605659025796</v>
      </c>
      <c r="R69" s="23">
        <v>4835.6883140801983</v>
      </c>
      <c r="S69" s="23">
        <v>5106.5507160000006</v>
      </c>
      <c r="T69" s="23">
        <v>5029.5165569382862</v>
      </c>
      <c r="U69" s="23">
        <v>5213.6328330540136</v>
      </c>
      <c r="V69" s="23">
        <v>5178.334650552878</v>
      </c>
      <c r="W69" s="23">
        <v>5514.2078131786711</v>
      </c>
      <c r="X69" s="23">
        <v>5080.0691570977297</v>
      </c>
      <c r="Y69" s="23">
        <v>5468.8728738763284</v>
      </c>
      <c r="Z69" s="23">
        <v>5309.2308125867785</v>
      </c>
      <c r="AA69" s="23">
        <v>5795.7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3552.6670441905144</v>
      </c>
      <c r="E70" s="23">
        <v>3648.136181575434</v>
      </c>
      <c r="F70" s="23">
        <v>3507.9747899387075</v>
      </c>
      <c r="G70" s="23">
        <v>3155.4713443234496</v>
      </c>
      <c r="H70" s="23">
        <v>3664.6407156092941</v>
      </c>
      <c r="I70" s="23">
        <v>4070.1430409735913</v>
      </c>
      <c r="J70" s="23">
        <v>5048.333017533937</v>
      </c>
      <c r="K70" s="23">
        <v>5716.2664003838045</v>
      </c>
      <c r="L70" s="23">
        <v>5633.9886758858102</v>
      </c>
      <c r="M70" s="23">
        <v>4705.5005248596308</v>
      </c>
      <c r="N70" s="23">
        <v>5072.7445387062571</v>
      </c>
      <c r="O70" s="23">
        <v>5676.1553722496119</v>
      </c>
      <c r="P70" s="23">
        <v>5617.2942036025888</v>
      </c>
      <c r="Q70" s="23">
        <v>5853.9481375358173</v>
      </c>
      <c r="R70" s="23">
        <v>6073.2192647314623</v>
      </c>
      <c r="S70" s="23">
        <v>6237.7866720000002</v>
      </c>
      <c r="T70" s="23">
        <v>6000.3781546095697</v>
      </c>
      <c r="U70" s="23">
        <v>6161.0686902543848</v>
      </c>
      <c r="V70" s="23">
        <v>5881.339782392969</v>
      </c>
      <c r="W70" s="23">
        <v>6403.680901402694</v>
      </c>
      <c r="X70" s="23">
        <v>5556.9021812164683</v>
      </c>
      <c r="Y70" s="23">
        <v>5457.628887418764</v>
      </c>
      <c r="Z70" s="23">
        <v>5332.6612732496606</v>
      </c>
      <c r="AA70" s="23">
        <v>5787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5207.5325108706638</v>
      </c>
      <c r="E71" s="23">
        <v>5959.3282261406021</v>
      </c>
      <c r="F71" s="23">
        <v>5807.7496475300049</v>
      </c>
      <c r="G71" s="23">
        <v>5549.5689058342705</v>
      </c>
      <c r="H71" s="23">
        <v>7070.0408302560882</v>
      </c>
      <c r="I71" s="23">
        <v>7670.506281952169</v>
      </c>
      <c r="J71" s="23">
        <v>8560.5328761312212</v>
      </c>
      <c r="K71" s="23">
        <v>9270.3015631101534</v>
      </c>
      <c r="L71" s="23">
        <v>8958.5365422280265</v>
      </c>
      <c r="M71" s="23">
        <v>7955.0515908536099</v>
      </c>
      <c r="N71" s="23">
        <v>9429.2131495228004</v>
      </c>
      <c r="O71" s="23">
        <v>10171.990535018896</v>
      </c>
      <c r="P71" s="23">
        <v>9795.0168004197203</v>
      </c>
      <c r="Q71" s="23">
        <v>9858.9155802292262</v>
      </c>
      <c r="R71" s="23">
        <v>11741.845133168941</v>
      </c>
      <c r="S71" s="23">
        <v>12621.827267999999</v>
      </c>
      <c r="T71" s="23">
        <v>13946.919178697719</v>
      </c>
      <c r="U71" s="23">
        <v>14525.982001179698</v>
      </c>
      <c r="V71" s="23">
        <v>14172.428129430113</v>
      </c>
      <c r="W71" s="23">
        <v>14908.282306650655</v>
      </c>
      <c r="X71" s="23">
        <v>11217.717334403051</v>
      </c>
      <c r="Y71" s="23">
        <v>11564.250566213956</v>
      </c>
      <c r="Z71" s="23">
        <v>11542.179643402114</v>
      </c>
      <c r="AA71" s="23">
        <v>13206.5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513.22989179896831</v>
      </c>
      <c r="E72" s="23">
        <v>566.96196307720618</v>
      </c>
      <c r="F72" s="23">
        <v>603.99014978283526</v>
      </c>
      <c r="G72" s="23">
        <v>609.3216501632055</v>
      </c>
      <c r="H72" s="23">
        <v>616.72430112113898</v>
      </c>
      <c r="I72" s="23">
        <v>660.84922317264784</v>
      </c>
      <c r="J72" s="23">
        <v>679.02785633484166</v>
      </c>
      <c r="K72" s="23">
        <v>811.53850204732908</v>
      </c>
      <c r="L72" s="23">
        <v>939.31924743308218</v>
      </c>
      <c r="M72" s="23">
        <v>967.71601025307257</v>
      </c>
      <c r="N72" s="23">
        <v>1009.7036055143161</v>
      </c>
      <c r="O72" s="23">
        <v>1241.1967695524563</v>
      </c>
      <c r="P72" s="23">
        <v>1222.090313429065</v>
      </c>
      <c r="Q72" s="23">
        <v>1228.6702005730663</v>
      </c>
      <c r="R72" s="23">
        <v>1345.6550479367254</v>
      </c>
      <c r="S72" s="23">
        <v>1458.9681120000002</v>
      </c>
      <c r="T72" s="23">
        <v>1488.5593138882909</v>
      </c>
      <c r="U72" s="23">
        <v>1309.297386875392</v>
      </c>
      <c r="V72" s="23">
        <v>1314.2514105472062</v>
      </c>
      <c r="W72" s="23">
        <v>1385.9135389253686</v>
      </c>
      <c r="X72" s="23">
        <v>1313.5630647344924</v>
      </c>
      <c r="Y72" s="23">
        <v>1147.6446402303766</v>
      </c>
      <c r="Z72" s="23">
        <v>1269.1499525727563</v>
      </c>
      <c r="AA72" s="23">
        <v>1513.7999999999993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1743.2307412276268</v>
      </c>
      <c r="E73" s="23">
        <v>1867.7859398738549</v>
      </c>
      <c r="F73" s="23">
        <v>1899.1646636989735</v>
      </c>
      <c r="G73" s="23">
        <v>1885.6245439833228</v>
      </c>
      <c r="H73" s="23">
        <v>1860.7762334528682</v>
      </c>
      <c r="I73" s="23">
        <v>2004.609710965361</v>
      </c>
      <c r="J73" s="23">
        <v>2064.8185096153848</v>
      </c>
      <c r="K73" s="23">
        <v>2131.0809090807666</v>
      </c>
      <c r="L73" s="23">
        <v>2129.1236275149863</v>
      </c>
      <c r="M73" s="23">
        <v>1929.1577996582312</v>
      </c>
      <c r="N73" s="23">
        <v>1902.7374337221634</v>
      </c>
      <c r="O73" s="23">
        <v>2043.4906673828389</v>
      </c>
      <c r="P73" s="23">
        <v>1970.7369411033169</v>
      </c>
      <c r="Q73" s="23">
        <v>2010.3163323782235</v>
      </c>
      <c r="R73" s="23">
        <v>2037.0845671369957</v>
      </c>
      <c r="S73" s="23">
        <v>2110.0496760000001</v>
      </c>
      <c r="T73" s="23">
        <v>2376.9698204622268</v>
      </c>
      <c r="U73" s="23">
        <v>2469.5035681181948</v>
      </c>
      <c r="V73" s="23">
        <v>2487.125152395804</v>
      </c>
      <c r="W73" s="23">
        <v>2532.2472112215441</v>
      </c>
      <c r="X73" s="23">
        <v>2378.4675424961142</v>
      </c>
      <c r="Y73" s="23">
        <v>2328.0105444215278</v>
      </c>
      <c r="Z73" s="23">
        <v>2285.1393563641864</v>
      </c>
      <c r="AA73" s="23">
        <v>2323.6999999999998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1579.6318737991767</v>
      </c>
      <c r="E74" s="23">
        <v>1595.5146632291314</v>
      </c>
      <c r="F74" s="23">
        <v>1501.4096959692492</v>
      </c>
      <c r="G74" s="23">
        <v>1536.5502482376432</v>
      </c>
      <c r="H74" s="23">
        <v>1755.1757215415917</v>
      </c>
      <c r="I74" s="23">
        <v>1885.1913214793376</v>
      </c>
      <c r="J74" s="23">
        <v>2123.9226244343918</v>
      </c>
      <c r="K74" s="23">
        <v>2464.1358756652476</v>
      </c>
      <c r="L74" s="23">
        <v>2447.0470651077335</v>
      </c>
      <c r="M74" s="23">
        <v>2230.3204003580331</v>
      </c>
      <c r="N74" s="23">
        <v>2202.0623541887562</v>
      </c>
      <c r="O74" s="23">
        <v>2431.6371232903039</v>
      </c>
      <c r="P74" s="23">
        <v>2358.2289917027792</v>
      </c>
      <c r="Q74" s="23">
        <v>2421.4880372492794</v>
      </c>
      <c r="R74" s="23">
        <v>2425.2351283599146</v>
      </c>
      <c r="S74" s="23">
        <v>2332.5958800000021</v>
      </c>
      <c r="T74" s="23">
        <v>2449.1145251724029</v>
      </c>
      <c r="U74" s="23">
        <v>2427.4054397183681</v>
      </c>
      <c r="V74" s="23">
        <v>2531.2787071165235</v>
      </c>
      <c r="W74" s="23">
        <v>2780.398313702437</v>
      </c>
      <c r="X74" s="23">
        <v>2585.6152033294834</v>
      </c>
      <c r="Y74" s="23">
        <v>2627.6817340545572</v>
      </c>
      <c r="Z74" s="23">
        <v>2735.8967900691528</v>
      </c>
      <c r="AA74" s="23">
        <v>2827.900000000006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42851.413044797249</v>
      </c>
      <c r="E75" s="30">
        <f t="shared" ref="E75:S75" si="9">SUM(E56:E74)</f>
        <v>44563.808148796095</v>
      </c>
      <c r="F75" s="30">
        <f t="shared" si="9"/>
        <v>42872.977893839554</v>
      </c>
      <c r="G75" s="30">
        <f t="shared" si="9"/>
        <v>42696.149798392624</v>
      </c>
      <c r="H75" s="30">
        <f t="shared" si="9"/>
        <v>47429.993857064772</v>
      </c>
      <c r="I75" s="30">
        <f t="shared" si="9"/>
        <v>50397.596423850984</v>
      </c>
      <c r="J75" s="30">
        <f t="shared" si="9"/>
        <v>55268.085619343881</v>
      </c>
      <c r="K75" s="30">
        <f t="shared" si="9"/>
        <v>58256.004315567508</v>
      </c>
      <c r="L75" s="30">
        <f t="shared" si="9"/>
        <v>56978.623847112605</v>
      </c>
      <c r="M75" s="30">
        <f t="shared" si="9"/>
        <v>50133.996574172023</v>
      </c>
      <c r="N75" s="30">
        <f t="shared" si="9"/>
        <v>52620.938494167553</v>
      </c>
      <c r="O75" s="30">
        <f t="shared" si="9"/>
        <v>56694.605075869484</v>
      </c>
      <c r="P75" s="30">
        <f t="shared" si="9"/>
        <v>56078.47409206615</v>
      </c>
      <c r="Q75" s="30">
        <f t="shared" si="9"/>
        <v>56396.575895415466</v>
      </c>
      <c r="R75" s="30">
        <f t="shared" si="9"/>
        <v>61974.540186017002</v>
      </c>
      <c r="S75" s="30">
        <f t="shared" si="9"/>
        <v>65697.230196000004</v>
      </c>
      <c r="T75" s="30">
        <f t="shared" ref="T75:Y75" si="10">SUM(T56:T74)</f>
        <v>67494.146052708704</v>
      </c>
      <c r="U75" s="30">
        <f t="shared" si="10"/>
        <v>69315.860230134713</v>
      </c>
      <c r="V75" s="30">
        <f t="shared" si="10"/>
        <v>68494.963588035156</v>
      </c>
      <c r="W75" s="30">
        <f t="shared" si="10"/>
        <v>70173.675638110319</v>
      </c>
      <c r="X75" s="30">
        <f t="shared" si="10"/>
        <v>62154.608153236739</v>
      </c>
      <c r="Y75" s="30">
        <f t="shared" si="10"/>
        <v>61044.992184301678</v>
      </c>
      <c r="Z75" s="30">
        <f t="shared" ref="Z75:AA75" si="11">SUM(Z56:Z74)</f>
        <v>62101.097103501372</v>
      </c>
      <c r="AA75" s="30">
        <f t="shared" si="11"/>
        <v>65201.7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10278098</v>
      </c>
      <c r="E3" s="42">
        <v>10232027</v>
      </c>
      <c r="F3" s="42">
        <v>10201182</v>
      </c>
      <c r="G3" s="42">
        <v>10192649</v>
      </c>
      <c r="H3" s="42">
        <v>10195347</v>
      </c>
      <c r="I3" s="42">
        <v>10198855</v>
      </c>
      <c r="J3" s="42">
        <v>10223577</v>
      </c>
      <c r="K3" s="42">
        <v>10254233</v>
      </c>
      <c r="L3" s="42">
        <v>10343422</v>
      </c>
      <c r="M3" s="42">
        <v>10425783</v>
      </c>
      <c r="N3" s="42">
        <v>10462088</v>
      </c>
      <c r="O3" s="42">
        <v>10486731</v>
      </c>
      <c r="P3" s="42">
        <v>10505445</v>
      </c>
      <c r="Q3" s="42">
        <v>10516125</v>
      </c>
      <c r="R3" s="42">
        <v>10512419</v>
      </c>
      <c r="S3" s="42">
        <v>10538275</v>
      </c>
      <c r="T3" s="42">
        <v>10553843</v>
      </c>
      <c r="U3" s="42">
        <v>10578820</v>
      </c>
      <c r="V3" s="42">
        <v>10610055</v>
      </c>
      <c r="W3" s="42">
        <v>10649800</v>
      </c>
      <c r="X3" s="42">
        <v>10693939</v>
      </c>
      <c r="Y3" s="42">
        <v>10494836</v>
      </c>
      <c r="Z3" s="42">
        <v>10516707</v>
      </c>
      <c r="AA3" s="42">
        <v>10827529</v>
      </c>
    </row>
    <row r="4" spans="1:27" x14ac:dyDescent="0.25">
      <c r="A4" s="43" t="s">
        <v>239</v>
      </c>
      <c r="B4" s="44"/>
      <c r="C4" s="44"/>
      <c r="D4" s="45">
        <v>3946356</v>
      </c>
      <c r="E4" s="45">
        <v>3955534</v>
      </c>
      <c r="F4" s="45">
        <v>3970766</v>
      </c>
      <c r="G4" s="45">
        <v>3994954</v>
      </c>
      <c r="H4" s="45">
        <v>4023912</v>
      </c>
      <c r="I4" s="45">
        <v>4053599</v>
      </c>
      <c r="J4" s="45">
        <v>4061810</v>
      </c>
      <c r="K4" s="45">
        <v>4077230</v>
      </c>
      <c r="L4" s="45">
        <v>4134062</v>
      </c>
      <c r="M4" s="45">
        <v>4160328</v>
      </c>
      <c r="N4" s="45">
        <v>4192734</v>
      </c>
      <c r="O4" s="45">
        <v>4245124</v>
      </c>
      <c r="P4" s="45">
        <v>4315060</v>
      </c>
      <c r="Q4" s="45">
        <v>4374428</v>
      </c>
      <c r="R4" s="45">
        <v>4396662</v>
      </c>
      <c r="S4" s="45">
        <v>4418564</v>
      </c>
      <c r="T4" s="45">
        <v>4449344</v>
      </c>
      <c r="U4" s="45">
        <v>4467407</v>
      </c>
      <c r="V4" s="45">
        <v>4499599</v>
      </c>
      <c r="W4" s="45">
        <v>4555090</v>
      </c>
      <c r="X4" s="45">
        <v>4568107</v>
      </c>
      <c r="Y4" s="45">
        <v>4618080</v>
      </c>
      <c r="Z4" s="45">
        <v>4612591</v>
      </c>
      <c r="AA4" s="45">
        <v>4748916</v>
      </c>
    </row>
    <row r="5" spans="1:27" x14ac:dyDescent="0.25">
      <c r="A5" s="46" t="s">
        <v>240</v>
      </c>
      <c r="B5" s="47"/>
      <c r="C5" s="47"/>
      <c r="D5" s="48">
        <f>D3/D4</f>
        <v>2.6044528167251002</v>
      </c>
      <c r="E5" s="48">
        <f t="shared" ref="E5:S5" si="0">E3/E4</f>
        <v>2.5867624952787662</v>
      </c>
      <c r="F5" s="48">
        <f t="shared" si="0"/>
        <v>2.5690715594925515</v>
      </c>
      <c r="G5" s="48">
        <f t="shared" si="0"/>
        <v>2.5513808169005201</v>
      </c>
      <c r="H5" s="48">
        <f t="shared" si="0"/>
        <v>2.5336903490931215</v>
      </c>
      <c r="I5" s="48">
        <f t="shared" si="0"/>
        <v>2.5159999792776739</v>
      </c>
      <c r="J5" s="48">
        <f t="shared" si="0"/>
        <v>2.5170003028206636</v>
      </c>
      <c r="K5" s="48">
        <f t="shared" si="0"/>
        <v>2.5149998896309502</v>
      </c>
      <c r="L5" s="48">
        <f t="shared" si="0"/>
        <v>2.5019997281124473</v>
      </c>
      <c r="M5" s="48">
        <f t="shared" si="0"/>
        <v>2.5060002480573647</v>
      </c>
      <c r="N5" s="48">
        <f t="shared" si="0"/>
        <v>2.4952901853539959</v>
      </c>
      <c r="O5" s="48">
        <f t="shared" si="0"/>
        <v>2.4703002786255479</v>
      </c>
      <c r="P5" s="48">
        <f t="shared" si="0"/>
        <v>2.434599982387267</v>
      </c>
      <c r="Q5" s="48">
        <f t="shared" si="0"/>
        <v>2.404000020116916</v>
      </c>
      <c r="R5" s="48">
        <f t="shared" si="0"/>
        <v>2.3910000359363535</v>
      </c>
      <c r="S5" s="48">
        <f t="shared" si="0"/>
        <v>2.3849999683154981</v>
      </c>
      <c r="T5" s="48">
        <f t="shared" ref="T5:Y5" si="1">T3/T4</f>
        <v>2.3719997824398384</v>
      </c>
      <c r="U5" s="48">
        <f t="shared" si="1"/>
        <v>2.3680000501409428</v>
      </c>
      <c r="V5" s="48">
        <f t="shared" si="1"/>
        <v>2.3580001240110509</v>
      </c>
      <c r="W5" s="48">
        <f t="shared" si="1"/>
        <v>2.3379999077954552</v>
      </c>
      <c r="X5" s="48">
        <f t="shared" si="1"/>
        <v>2.3410001123003465</v>
      </c>
      <c r="Y5" s="48">
        <f t="shared" si="1"/>
        <v>2.2725539618196309</v>
      </c>
      <c r="Z5" s="48">
        <f t="shared" ref="Z5:AA5" si="2">Z3/Z4</f>
        <v>2.2799998959370122</v>
      </c>
      <c r="AA5" s="48">
        <f t="shared" si="2"/>
        <v>2.280000109498673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4027.1</v>
      </c>
      <c r="E8" s="42">
        <v>3670.12</v>
      </c>
      <c r="F8" s="42">
        <v>3506.54</v>
      </c>
      <c r="G8" s="42">
        <v>3488</v>
      </c>
      <c r="H8" s="42">
        <v>3770.14</v>
      </c>
      <c r="I8" s="42">
        <v>3975.4</v>
      </c>
      <c r="J8" s="42">
        <v>3743.85</v>
      </c>
      <c r="K8" s="42">
        <v>3925.69</v>
      </c>
      <c r="L8" s="42">
        <v>3468.94</v>
      </c>
      <c r="M8" s="42">
        <v>3326.76</v>
      </c>
      <c r="N8" s="42">
        <v>3329.49</v>
      </c>
      <c r="O8" s="42">
        <v>3733.16</v>
      </c>
      <c r="P8" s="42">
        <v>3383.51</v>
      </c>
      <c r="Q8" s="42">
        <v>3590.22</v>
      </c>
      <c r="R8" s="42">
        <v>3295.16</v>
      </c>
      <c r="S8" s="42">
        <v>3582.03</v>
      </c>
      <c r="T8" s="42">
        <v>4117.0200000000004</v>
      </c>
      <c r="U8" s="42">
        <v>3639.54</v>
      </c>
      <c r="V8" s="42">
        <v>3428.93</v>
      </c>
      <c r="W8" s="42">
        <v>3305.01</v>
      </c>
      <c r="X8" s="42">
        <v>3097.45</v>
      </c>
      <c r="Y8" s="42">
        <v>3560.09</v>
      </c>
      <c r="Z8" s="42">
        <v>3273.97</v>
      </c>
      <c r="AA8" s="42">
        <v>3460.67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3590.6695238095231</v>
      </c>
      <c r="E9" s="45">
        <f t="shared" si="3"/>
        <v>3590.6695238095231</v>
      </c>
      <c r="F9" s="45">
        <f t="shared" si="3"/>
        <v>3590.6695238095231</v>
      </c>
      <c r="G9" s="45">
        <f t="shared" si="3"/>
        <v>3590.6695238095231</v>
      </c>
      <c r="H9" s="45">
        <f t="shared" si="3"/>
        <v>3590.6695238095231</v>
      </c>
      <c r="I9" s="45">
        <f t="shared" si="3"/>
        <v>3590.6695238095231</v>
      </c>
      <c r="J9" s="45">
        <f t="shared" si="3"/>
        <v>3590.6695238095231</v>
      </c>
      <c r="K9" s="45">
        <f t="shared" si="3"/>
        <v>3590.6695238095231</v>
      </c>
      <c r="L9" s="45">
        <f t="shared" si="3"/>
        <v>3590.6695238095231</v>
      </c>
      <c r="M9" s="45">
        <f t="shared" si="3"/>
        <v>3590.6695238095231</v>
      </c>
      <c r="N9" s="45">
        <f t="shared" si="3"/>
        <v>3590.6695238095231</v>
      </c>
      <c r="O9" s="45">
        <f t="shared" si="3"/>
        <v>3590.6695238095231</v>
      </c>
      <c r="P9" s="45">
        <f t="shared" si="3"/>
        <v>3590.6695238095231</v>
      </c>
      <c r="Q9" s="45">
        <f t="shared" si="3"/>
        <v>3590.6695238095231</v>
      </c>
      <c r="R9" s="45">
        <f t="shared" si="3"/>
        <v>3590.6695238095231</v>
      </c>
      <c r="S9" s="45">
        <f t="shared" si="3"/>
        <v>3590.6695238095231</v>
      </c>
      <c r="T9" s="45">
        <f t="shared" si="3"/>
        <v>3590.6695238095231</v>
      </c>
      <c r="U9" s="45">
        <f t="shared" si="3"/>
        <v>3590.6695238095231</v>
      </c>
      <c r="V9" s="45">
        <f t="shared" si="3"/>
        <v>3590.6695238095231</v>
      </c>
      <c r="W9" s="45">
        <f t="shared" si="3"/>
        <v>3590.6695238095231</v>
      </c>
      <c r="X9" s="45">
        <f>AVERAGE($D8:$X8)</f>
        <v>3590.6695238095231</v>
      </c>
      <c r="Y9" s="45">
        <f t="shared" ref="Y9:AA9" si="4">AVERAGE($D8:$X8)</f>
        <v>3590.6695238095231</v>
      </c>
      <c r="Z9" s="45">
        <f t="shared" si="4"/>
        <v>3590.6695238095231</v>
      </c>
      <c r="AA9" s="45">
        <f t="shared" si="4"/>
        <v>3590.6695238095231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1.1215457098729169</v>
      </c>
      <c r="E10" s="53">
        <f t="shared" si="5"/>
        <v>1.0221269252610539</v>
      </c>
      <c r="F10" s="53">
        <f t="shared" si="5"/>
        <v>0.9765699618826893</v>
      </c>
      <c r="G10" s="53">
        <f t="shared" si="5"/>
        <v>0.97140657943352138</v>
      </c>
      <c r="H10" s="53">
        <f t="shared" si="5"/>
        <v>1.0499824545256584</v>
      </c>
      <c r="I10" s="53">
        <f t="shared" si="5"/>
        <v>1.1071472809289051</v>
      </c>
      <c r="J10" s="53">
        <f t="shared" si="5"/>
        <v>1.0426607002328523</v>
      </c>
      <c r="K10" s="53">
        <f t="shared" si="5"/>
        <v>1.0933030661744212</v>
      </c>
      <c r="L10" s="53">
        <f t="shared" si="5"/>
        <v>0.96609837719613523</v>
      </c>
      <c r="M10" s="53">
        <f t="shared" si="5"/>
        <v>0.92650130510213935</v>
      </c>
      <c r="N10" s="53">
        <f t="shared" si="5"/>
        <v>0.92726160899028531</v>
      </c>
      <c r="O10" s="53">
        <f t="shared" si="5"/>
        <v>1.0396835395865953</v>
      </c>
      <c r="P10" s="53">
        <f t="shared" si="5"/>
        <v>0.94230615698942499</v>
      </c>
      <c r="Q10" s="53">
        <f t="shared" si="5"/>
        <v>0.99987480780212645</v>
      </c>
      <c r="R10" s="53">
        <f t="shared" si="5"/>
        <v>0.91770071797195019</v>
      </c>
      <c r="S10" s="53">
        <f t="shared" si="5"/>
        <v>0.99759389613768834</v>
      </c>
      <c r="T10" s="53">
        <f t="shared" ref="T10:Y10" si="6">IF(T8=0,0,T8/T9)</f>
        <v>1.1465883932509739</v>
      </c>
      <c r="U10" s="53">
        <f t="shared" si="6"/>
        <v>1.0136104077154469</v>
      </c>
      <c r="V10" s="53">
        <f t="shared" si="6"/>
        <v>0.95495560849110794</v>
      </c>
      <c r="W10" s="53">
        <f t="shared" si="6"/>
        <v>0.92044393896031618</v>
      </c>
      <c r="X10" s="53">
        <f t="shared" si="6"/>
        <v>0.86263856349379608</v>
      </c>
      <c r="Y10" s="53">
        <f t="shared" si="6"/>
        <v>0.991483615073247</v>
      </c>
      <c r="Z10" s="53">
        <f t="shared" ref="Z10:AA10" si="7">IF(Z8=0,0,Z8/Z9)</f>
        <v>0.91179931160205441</v>
      </c>
      <c r="AA10" s="53">
        <f t="shared" si="7"/>
        <v>0.9637951855642789</v>
      </c>
    </row>
    <row r="11" spans="1:27" x14ac:dyDescent="0.25">
      <c r="A11" s="43" t="s">
        <v>251</v>
      </c>
      <c r="B11" s="44"/>
      <c r="C11" s="44"/>
      <c r="D11" s="45">
        <v>0.12</v>
      </c>
      <c r="E11" s="45">
        <v>0.93</v>
      </c>
      <c r="F11" s="45">
        <v>1.33</v>
      </c>
      <c r="G11" s="45">
        <v>11.28</v>
      </c>
      <c r="H11" s="45">
        <v>3.9</v>
      </c>
      <c r="I11" s="45">
        <v>2.17</v>
      </c>
      <c r="J11" s="45">
        <v>3.78</v>
      </c>
      <c r="K11" s="45">
        <v>2.61</v>
      </c>
      <c r="L11" s="45">
        <v>8.9</v>
      </c>
      <c r="M11" s="45">
        <v>3.34</v>
      </c>
      <c r="N11" s="45">
        <v>2.12</v>
      </c>
      <c r="O11" s="45">
        <v>3.31</v>
      </c>
      <c r="P11" s="45">
        <v>26.16</v>
      </c>
      <c r="Q11" s="45">
        <v>3.5</v>
      </c>
      <c r="R11" s="45">
        <v>42.55</v>
      </c>
      <c r="S11" s="45">
        <v>6.63</v>
      </c>
      <c r="T11" s="45">
        <v>0.92</v>
      </c>
      <c r="U11" s="45">
        <v>2.85</v>
      </c>
      <c r="V11" s="45">
        <v>19.649999999999999</v>
      </c>
      <c r="W11" s="45">
        <v>5.37</v>
      </c>
      <c r="X11" s="45">
        <v>16.53</v>
      </c>
      <c r="Y11" s="45">
        <v>6.27</v>
      </c>
      <c r="Z11" s="45">
        <v>9.1199999999999992</v>
      </c>
      <c r="AA11" s="45">
        <v>38.229999999999997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7.9976190476190467</v>
      </c>
      <c r="E12" s="45">
        <f t="shared" ref="E12" si="9">AVERAGE($D11:$X11)</f>
        <v>7.9976190476190467</v>
      </c>
      <c r="F12" s="45">
        <f t="shared" ref="F12" si="10">AVERAGE($D11:$X11)</f>
        <v>7.9976190476190467</v>
      </c>
      <c r="G12" s="45">
        <f t="shared" ref="G12" si="11">AVERAGE($D11:$X11)</f>
        <v>7.9976190476190467</v>
      </c>
      <c r="H12" s="45">
        <f t="shared" ref="H12" si="12">AVERAGE($D11:$X11)</f>
        <v>7.9976190476190467</v>
      </c>
      <c r="I12" s="45">
        <f t="shared" ref="I12" si="13">AVERAGE($D11:$X11)</f>
        <v>7.9976190476190467</v>
      </c>
      <c r="J12" s="45">
        <f t="shared" ref="J12" si="14">AVERAGE($D11:$X11)</f>
        <v>7.9976190476190467</v>
      </c>
      <c r="K12" s="45">
        <f t="shared" ref="K12" si="15">AVERAGE($D11:$X11)</f>
        <v>7.9976190476190467</v>
      </c>
      <c r="L12" s="45">
        <f t="shared" ref="L12" si="16">AVERAGE($D11:$X11)</f>
        <v>7.9976190476190467</v>
      </c>
      <c r="M12" s="45">
        <f t="shared" ref="M12" si="17">AVERAGE($D11:$X11)</f>
        <v>7.9976190476190467</v>
      </c>
      <c r="N12" s="45">
        <f t="shared" ref="N12" si="18">AVERAGE($D11:$X11)</f>
        <v>7.9976190476190467</v>
      </c>
      <c r="O12" s="45">
        <f t="shared" ref="O12" si="19">AVERAGE($D11:$X11)</f>
        <v>7.9976190476190467</v>
      </c>
      <c r="P12" s="45">
        <f t="shared" ref="P12" si="20">AVERAGE($D11:$X11)</f>
        <v>7.9976190476190467</v>
      </c>
      <c r="Q12" s="45">
        <f t="shared" ref="Q12" si="21">AVERAGE($D11:$X11)</f>
        <v>7.9976190476190467</v>
      </c>
      <c r="R12" s="45">
        <f t="shared" ref="R12" si="22">AVERAGE($D11:$X11)</f>
        <v>7.9976190476190467</v>
      </c>
      <c r="S12" s="45">
        <f t="shared" ref="S12" si="23">AVERAGE($D11:$X11)</f>
        <v>7.9976190476190467</v>
      </c>
      <c r="T12" s="45">
        <f t="shared" ref="T12" si="24">AVERAGE($D11:$X11)</f>
        <v>7.9976190476190467</v>
      </c>
      <c r="U12" s="45">
        <f t="shared" ref="U12" si="25">AVERAGE($D11:$X11)</f>
        <v>7.9976190476190467</v>
      </c>
      <c r="V12" s="45">
        <f t="shared" ref="V12" si="26">AVERAGE($D11:$X11)</f>
        <v>7.9976190476190467</v>
      </c>
      <c r="W12" s="45">
        <f t="shared" ref="W12" si="27">AVERAGE($D11:$X11)</f>
        <v>7.9976190476190467</v>
      </c>
      <c r="X12" s="45">
        <f>AVERAGE($D11:$X11)</f>
        <v>7.9976190476190467</v>
      </c>
      <c r="Y12" s="45">
        <f t="shared" ref="Y12:AA12" si="28">AVERAGE($D11:$X11)</f>
        <v>7.9976190476190467</v>
      </c>
      <c r="Z12" s="45">
        <f t="shared" si="28"/>
        <v>7.9976190476190467</v>
      </c>
      <c r="AA12" s="45">
        <f t="shared" si="28"/>
        <v>7.9976190476190467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1.50044656147663E-2</v>
      </c>
      <c r="E13" s="55">
        <f t="shared" si="29"/>
        <v>0.11628460851443884</v>
      </c>
      <c r="F13" s="55">
        <f t="shared" ref="F13" si="30">IF(F11=0,0,F11/F12)</f>
        <v>0.16629949389699317</v>
      </c>
      <c r="G13" s="55">
        <f t="shared" ref="G13" si="31">IF(G11=0,0,G11/G12)</f>
        <v>1.4104197677880321</v>
      </c>
      <c r="H13" s="55">
        <f t="shared" ref="H13" si="32">IF(H11=0,0,H11/H12)</f>
        <v>0.48764513247990476</v>
      </c>
      <c r="I13" s="55">
        <f t="shared" ref="I13" si="33">IF(I11=0,0,I11/I12)</f>
        <v>0.27133075320035727</v>
      </c>
      <c r="J13" s="55">
        <f t="shared" ref="J13" si="34">IF(J11=0,0,J11/J12)</f>
        <v>0.47264066686513845</v>
      </c>
      <c r="K13" s="55">
        <f t="shared" ref="K13" si="35">IF(K11=0,0,K11/K12)</f>
        <v>0.32634712712116704</v>
      </c>
      <c r="L13" s="55">
        <f t="shared" ref="L13" si="36">IF(L11=0,0,L11/L12)</f>
        <v>1.1128311997618341</v>
      </c>
      <c r="M13" s="55">
        <f t="shared" ref="M13" si="37">IF(M11=0,0,M11/M12)</f>
        <v>0.41762429294432868</v>
      </c>
      <c r="N13" s="55">
        <f t="shared" ref="N13" si="38">IF(N11=0,0,N11/N12)</f>
        <v>0.26507889252753802</v>
      </c>
      <c r="O13" s="55">
        <f t="shared" ref="O13" si="39">IF(O11=0,0,O11/O12)</f>
        <v>0.41387317654063716</v>
      </c>
      <c r="P13" s="55">
        <f t="shared" ref="P13" si="40">IF(P11=0,0,P11/P12)</f>
        <v>3.2709735040190537</v>
      </c>
      <c r="Q13" s="55">
        <f t="shared" ref="Q13" si="41">IF(Q11=0,0,Q11/Q12)</f>
        <v>0.43763024709735043</v>
      </c>
      <c r="R13" s="55">
        <f t="shared" ref="R13" si="42">IF(R11=0,0,R11/R12)</f>
        <v>5.3203334325692175</v>
      </c>
      <c r="S13" s="55">
        <f t="shared" ref="S13:Y13" si="43">IF(S11=0,0,S11/S12)</f>
        <v>0.82899672521583812</v>
      </c>
      <c r="T13" s="55">
        <f t="shared" si="43"/>
        <v>0.11503423637987498</v>
      </c>
      <c r="U13" s="55">
        <f t="shared" si="43"/>
        <v>0.35635605835069967</v>
      </c>
      <c r="V13" s="55">
        <f t="shared" si="43"/>
        <v>2.4569812444179817</v>
      </c>
      <c r="W13" s="55">
        <f t="shared" si="43"/>
        <v>0.67144983626079202</v>
      </c>
      <c r="X13" s="55">
        <f t="shared" si="43"/>
        <v>2.0668651384340579</v>
      </c>
      <c r="Y13" s="55">
        <f t="shared" si="43"/>
        <v>0.78398332837153917</v>
      </c>
      <c r="Z13" s="55">
        <f t="shared" ref="Z13:AA13" si="44">IF(Z11=0,0,Z11/Z12)</f>
        <v>1.1403393867222389</v>
      </c>
      <c r="AA13" s="55">
        <f t="shared" si="44"/>
        <v>4.7801726704376302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186377.52929515418</v>
      </c>
      <c r="E16" s="42">
        <v>191817.43974638649</v>
      </c>
      <c r="F16" s="42">
        <v>194717.96321071155</v>
      </c>
      <c r="G16" s="42">
        <v>201146.58453225263</v>
      </c>
      <c r="H16" s="42">
        <v>210672.81829828149</v>
      </c>
      <c r="I16" s="42">
        <v>224104.20556559085</v>
      </c>
      <c r="J16" s="42">
        <v>238945.79072544057</v>
      </c>
      <c r="K16" s="42">
        <v>252063.42116855097</v>
      </c>
      <c r="L16" s="42">
        <v>258646.71512089352</v>
      </c>
      <c r="M16" s="42">
        <v>246237.1939664644</v>
      </c>
      <c r="N16" s="42">
        <v>252920.32980884053</v>
      </c>
      <c r="O16" s="42">
        <v>257403.93789799727</v>
      </c>
      <c r="P16" s="42">
        <v>255419.70738450481</v>
      </c>
      <c r="Q16" s="42">
        <v>255312.9724912364</v>
      </c>
      <c r="R16" s="42">
        <v>261043.76999560592</v>
      </c>
      <c r="S16" s="42">
        <v>273989.62345599994</v>
      </c>
      <c r="T16" s="42">
        <v>281060.92162755952</v>
      </c>
      <c r="U16" s="42">
        <v>295601.11100471311</v>
      </c>
      <c r="V16" s="42">
        <v>303968.2745895175</v>
      </c>
      <c r="W16" s="42">
        <v>314807.47578596749</v>
      </c>
      <c r="X16" s="42">
        <v>298106.35430765862</v>
      </c>
      <c r="Y16" s="42">
        <v>310117.67129508307</v>
      </c>
      <c r="Z16" s="42">
        <v>318946.48439547059</v>
      </c>
      <c r="AA16" s="42">
        <v>319099.09999999998</v>
      </c>
    </row>
    <row r="17" spans="1:27" x14ac:dyDescent="0.25">
      <c r="A17" s="46" t="s">
        <v>141</v>
      </c>
      <c r="B17" s="47"/>
      <c r="C17" s="47"/>
      <c r="D17" s="57">
        <v>96791.139408445903</v>
      </c>
      <c r="E17" s="57">
        <v>99623.685781593391</v>
      </c>
      <c r="F17" s="57">
        <v>102857.12705653076</v>
      </c>
      <c r="G17" s="57">
        <v>107830.94106330886</v>
      </c>
      <c r="H17" s="57">
        <v>111081.94687866249</v>
      </c>
      <c r="I17" s="57">
        <v>114927.65722257715</v>
      </c>
      <c r="J17" s="57">
        <v>119174.06108191806</v>
      </c>
      <c r="K17" s="57">
        <v>124099.91857547741</v>
      </c>
      <c r="L17" s="57">
        <v>127899.51446309862</v>
      </c>
      <c r="M17" s="57">
        <v>127110.11713852111</v>
      </c>
      <c r="N17" s="57">
        <v>129384.00682627235</v>
      </c>
      <c r="O17" s="57">
        <v>130109.05474329097</v>
      </c>
      <c r="P17" s="57">
        <v>129222.08314462562</v>
      </c>
      <c r="Q17" s="57">
        <v>130243.49158715553</v>
      </c>
      <c r="R17" s="57">
        <v>132027.62043202858</v>
      </c>
      <c r="S17" s="57">
        <v>136809.46721999999</v>
      </c>
      <c r="T17" s="57">
        <v>141718.50788544529</v>
      </c>
      <c r="U17" s="57">
        <v>148086.48966342365</v>
      </c>
      <c r="V17" s="57">
        <v>153312.93533316941</v>
      </c>
      <c r="W17" s="57">
        <v>158022.26968403073</v>
      </c>
      <c r="X17" s="57">
        <v>147860.65056657951</v>
      </c>
      <c r="Y17" s="57">
        <v>154043.20037509734</v>
      </c>
      <c r="Z17" s="57">
        <v>154861.03142030994</v>
      </c>
      <c r="AA17" s="57">
        <v>150845.5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18133.464897411388</v>
      </c>
      <c r="E20" s="42">
        <f t="shared" ref="E20:S20" si="45">1000000*E16/E$3</f>
        <v>18746.768333037675</v>
      </c>
      <c r="F20" s="42">
        <f t="shared" si="45"/>
        <v>19087.784455831839</v>
      </c>
      <c r="G20" s="42">
        <f t="shared" si="45"/>
        <v>19734.475751323589</v>
      </c>
      <c r="H20" s="42">
        <f t="shared" si="45"/>
        <v>20663.624131506411</v>
      </c>
      <c r="I20" s="42">
        <f t="shared" si="45"/>
        <v>21973.467175049635</v>
      </c>
      <c r="J20" s="42">
        <f t="shared" si="45"/>
        <v>23372.034144746071</v>
      </c>
      <c r="K20" s="42">
        <f t="shared" si="45"/>
        <v>24581.401765353974</v>
      </c>
      <c r="L20" s="42">
        <f t="shared" si="45"/>
        <v>25005.913431830733</v>
      </c>
      <c r="M20" s="42">
        <f t="shared" si="45"/>
        <v>23618.10081472676</v>
      </c>
      <c r="N20" s="42">
        <f t="shared" si="45"/>
        <v>24174.938101155381</v>
      </c>
      <c r="O20" s="42">
        <f t="shared" si="45"/>
        <v>24545.679477999125</v>
      </c>
      <c r="P20" s="42">
        <f t="shared" si="45"/>
        <v>24313.078349799063</v>
      </c>
      <c r="Q20" s="42">
        <f t="shared" si="45"/>
        <v>24278.23675462553</v>
      </c>
      <c r="R20" s="42">
        <f t="shared" si="45"/>
        <v>24831.941154134547</v>
      </c>
      <c r="S20" s="42">
        <f t="shared" si="45"/>
        <v>25999.475574133332</v>
      </c>
      <c r="T20" s="42">
        <f t="shared" ref="T20:Y20" si="46">1000000*T16/T$3</f>
        <v>26631.144847195425</v>
      </c>
      <c r="U20" s="42">
        <f t="shared" si="46"/>
        <v>27942.730002468437</v>
      </c>
      <c r="V20" s="42">
        <f t="shared" si="46"/>
        <v>28649.076238484864</v>
      </c>
      <c r="W20" s="42">
        <f t="shared" si="46"/>
        <v>29559.942514034767</v>
      </c>
      <c r="X20" s="42">
        <f t="shared" si="46"/>
        <v>27876.197377566736</v>
      </c>
      <c r="Y20" s="42">
        <f t="shared" si="46"/>
        <v>29549.549063471128</v>
      </c>
      <c r="Z20" s="42">
        <f t="shared" ref="Z20:AA20" si="47">1000000*Z16/Z$3</f>
        <v>30327.600112418324</v>
      </c>
      <c r="AA20" s="42">
        <f t="shared" si="47"/>
        <v>29471.091695990839</v>
      </c>
    </row>
    <row r="21" spans="1:27" x14ac:dyDescent="0.25">
      <c r="A21" s="46" t="s">
        <v>141</v>
      </c>
      <c r="B21" s="47"/>
      <c r="C21" s="47"/>
      <c r="D21" s="57">
        <f>1000000*D17/D$3</f>
        <v>9417.2228566458416</v>
      </c>
      <c r="E21" s="57">
        <f t="shared" ref="E21:S21" si="48">1000000*E17/E$3</f>
        <v>9736.4564989511255</v>
      </c>
      <c r="F21" s="57">
        <f t="shared" si="48"/>
        <v>10082.863638402958</v>
      </c>
      <c r="G21" s="57">
        <f t="shared" si="48"/>
        <v>10579.285234222119</v>
      </c>
      <c r="H21" s="57">
        <f t="shared" si="48"/>
        <v>10895.357154461</v>
      </c>
      <c r="I21" s="57">
        <f t="shared" si="48"/>
        <v>11268.682339593724</v>
      </c>
      <c r="J21" s="57">
        <f t="shared" si="48"/>
        <v>11656.787157950495</v>
      </c>
      <c r="K21" s="57">
        <f t="shared" si="48"/>
        <v>12102.311169979988</v>
      </c>
      <c r="L21" s="57">
        <f t="shared" si="48"/>
        <v>12365.299845940601</v>
      </c>
      <c r="M21" s="57">
        <f t="shared" si="48"/>
        <v>12191.901283435604</v>
      </c>
      <c r="N21" s="57">
        <f t="shared" si="48"/>
        <v>12366.9392597608</v>
      </c>
      <c r="O21" s="57">
        <f t="shared" si="48"/>
        <v>12407.017472202822</v>
      </c>
      <c r="P21" s="57">
        <f t="shared" si="48"/>
        <v>12300.486380598406</v>
      </c>
      <c r="Q21" s="57">
        <f t="shared" si="48"/>
        <v>12385.122047061586</v>
      </c>
      <c r="R21" s="57">
        <f t="shared" si="48"/>
        <v>12559.204540080507</v>
      </c>
      <c r="S21" s="57">
        <f t="shared" si="48"/>
        <v>12982.150040685025</v>
      </c>
      <c r="T21" s="57">
        <f t="shared" ref="T21:Y21" si="49">1000000*T17/T$3</f>
        <v>13428.142515048337</v>
      </c>
      <c r="U21" s="57">
        <f t="shared" si="49"/>
        <v>13998.393928947051</v>
      </c>
      <c r="V21" s="57">
        <f t="shared" si="49"/>
        <v>14449.777624448639</v>
      </c>
      <c r="W21" s="57">
        <f t="shared" si="49"/>
        <v>14838.050450152185</v>
      </c>
      <c r="X21" s="57">
        <f t="shared" si="49"/>
        <v>13826.584438772234</v>
      </c>
      <c r="Y21" s="57">
        <f t="shared" si="49"/>
        <v>14677.999768180975</v>
      </c>
      <c r="Z21" s="57">
        <f t="shared" ref="Z21:AA21" si="50">1000000*Z17/Z$3</f>
        <v>14725.239699110181</v>
      </c>
      <c r="AA21" s="57">
        <f t="shared" si="50"/>
        <v>13931.664371436918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168085.79890787744</v>
      </c>
      <c r="E23" s="60">
        <v>173021.79503706092</v>
      </c>
      <c r="F23" s="60">
        <v>176409.70919128097</v>
      </c>
      <c r="G23" s="60">
        <v>181119.91435938227</v>
      </c>
      <c r="H23" s="60">
        <v>189755.68051937662</v>
      </c>
      <c r="I23" s="60">
        <v>202148.81846928853</v>
      </c>
      <c r="J23" s="60">
        <v>216541.60083427603</v>
      </c>
      <c r="K23" s="60">
        <v>227797.1007910386</v>
      </c>
      <c r="L23" s="60">
        <v>235751.3081251113</v>
      </c>
      <c r="M23" s="60">
        <v>222932.3129465376</v>
      </c>
      <c r="N23" s="60">
        <v>230315.70349946976</v>
      </c>
      <c r="O23" s="60">
        <v>234392.50545377814</v>
      </c>
      <c r="P23" s="60">
        <v>232465.10786001594</v>
      </c>
      <c r="Q23" s="60">
        <v>232437.49652578801</v>
      </c>
      <c r="R23" s="60">
        <v>239024.84292920507</v>
      </c>
      <c r="S23" s="60">
        <v>249422.18867999999</v>
      </c>
      <c r="T23" s="60">
        <v>255774.06664973529</v>
      </c>
      <c r="U23" s="60">
        <v>269090.17288005468</v>
      </c>
      <c r="V23" s="60">
        <v>277087.43043308763</v>
      </c>
      <c r="W23" s="60">
        <v>287061.05710416724</v>
      </c>
      <c r="X23" s="60">
        <v>272562.64022464026</v>
      </c>
      <c r="Y23" s="60">
        <v>283272.78291162394</v>
      </c>
      <c r="Z23" s="60">
        <v>291497.69166517741</v>
      </c>
      <c r="AA23" s="60">
        <v>293132.59999999998</v>
      </c>
    </row>
    <row r="24" spans="1:27" x14ac:dyDescent="0.25">
      <c r="A24" s="61" t="s">
        <v>33</v>
      </c>
      <c r="B24" s="62"/>
      <c r="C24" s="62"/>
      <c r="D24" s="63">
        <v>5957.1326726665993</v>
      </c>
      <c r="E24" s="63">
        <v>6040.536310482943</v>
      </c>
      <c r="F24" s="63">
        <v>5102.7284181471323</v>
      </c>
      <c r="G24" s="63">
        <v>4814.9099925940154</v>
      </c>
      <c r="H24" s="63">
        <v>5045.2375721541603</v>
      </c>
      <c r="I24" s="63">
        <v>5098.3556148532398</v>
      </c>
      <c r="J24" s="63">
        <v>5153.1519654977374</v>
      </c>
      <c r="K24" s="63">
        <v>5254.2635620167575</v>
      </c>
      <c r="L24" s="63">
        <v>4990.7557006350526</v>
      </c>
      <c r="M24" s="63">
        <v>4334.4959394580519</v>
      </c>
      <c r="N24" s="63">
        <v>3870.8226935312832</v>
      </c>
      <c r="O24" s="63">
        <v>5092.4565903815537</v>
      </c>
      <c r="P24" s="63">
        <v>5763.4908380778425</v>
      </c>
      <c r="Q24" s="63">
        <v>6083.92005730659</v>
      </c>
      <c r="R24" s="63">
        <v>6318.366987609098</v>
      </c>
      <c r="S24" s="63">
        <v>6252.8828039999999</v>
      </c>
      <c r="T24" s="63">
        <v>6101.6978607849651</v>
      </c>
      <c r="U24" s="63">
        <v>6295.417952006891</v>
      </c>
      <c r="V24" s="63">
        <v>6044.8661397788492</v>
      </c>
      <c r="W24" s="63">
        <v>5998.8973760188055</v>
      </c>
      <c r="X24" s="63">
        <v>5809.9017800732099</v>
      </c>
      <c r="Y24" s="63">
        <v>5466.5988091995177</v>
      </c>
      <c r="Z24" s="63">
        <v>6648.2258526593632</v>
      </c>
      <c r="AA24" s="63">
        <v>6832.6</v>
      </c>
    </row>
    <row r="25" spans="1:27" x14ac:dyDescent="0.25">
      <c r="A25" s="64" t="s">
        <v>56</v>
      </c>
      <c r="B25" s="65"/>
      <c r="C25" s="65"/>
      <c r="D25" s="66">
        <v>2203.5324506866532</v>
      </c>
      <c r="E25" s="66">
        <v>2209.0591777542477</v>
      </c>
      <c r="F25" s="66">
        <v>2100.6154003799043</v>
      </c>
      <c r="G25" s="66">
        <v>1923.0253613846448</v>
      </c>
      <c r="H25" s="66">
        <v>2186.2335488515332</v>
      </c>
      <c r="I25" s="66">
        <v>2497.4635726576739</v>
      </c>
      <c r="J25" s="66">
        <v>2811.6002661121652</v>
      </c>
      <c r="K25" s="66">
        <v>2918.5322384496071</v>
      </c>
      <c r="L25" s="66">
        <v>3273.3268680633846</v>
      </c>
      <c r="M25" s="66">
        <v>2736.5220205869896</v>
      </c>
      <c r="N25" s="66">
        <v>2835.4273066086989</v>
      </c>
      <c r="O25" s="66">
        <v>2946.6746187342951</v>
      </c>
      <c r="P25" s="66">
        <v>2691.1244069423401</v>
      </c>
      <c r="Q25" s="66">
        <v>2093.3021370420256</v>
      </c>
      <c r="R25" s="66">
        <v>2363.7523678071775</v>
      </c>
      <c r="S25" s="66">
        <v>2234.2275359999994</v>
      </c>
      <c r="T25" s="66">
        <v>1850.551315763769</v>
      </c>
      <c r="U25" s="66">
        <v>1893.5039051747547</v>
      </c>
      <c r="V25" s="66">
        <v>1858.4763325772619</v>
      </c>
      <c r="W25" s="66">
        <v>1620.9125633398567</v>
      </c>
      <c r="X25" s="66">
        <v>1364.5859979417369</v>
      </c>
      <c r="Y25" s="66">
        <v>1450.8682828345636</v>
      </c>
      <c r="Z25" s="66">
        <v>1630.548641577147</v>
      </c>
      <c r="AA25" s="66">
        <v>1652.7116489046766</v>
      </c>
    </row>
    <row r="26" spans="1:27" x14ac:dyDescent="0.25">
      <c r="A26" s="67" t="s">
        <v>146</v>
      </c>
      <c r="B26" s="44"/>
      <c r="C26" s="44"/>
      <c r="D26" s="45">
        <v>103920.40657852049</v>
      </c>
      <c r="E26" s="45">
        <v>106290.42180378437</v>
      </c>
      <c r="F26" s="45">
        <v>110884.06711230587</v>
      </c>
      <c r="G26" s="45">
        <v>115909.58560495924</v>
      </c>
      <c r="H26" s="45">
        <v>118704.28035140575</v>
      </c>
      <c r="I26" s="45">
        <v>126244.66847552311</v>
      </c>
      <c r="J26" s="45">
        <v>134199.27547412977</v>
      </c>
      <c r="K26" s="45">
        <v>141524.45473228529</v>
      </c>
      <c r="L26" s="45">
        <v>148393.01243990741</v>
      </c>
      <c r="M26" s="45">
        <v>142088.28977620698</v>
      </c>
      <c r="N26" s="45">
        <v>147967.37244467865</v>
      </c>
      <c r="O26" s="45">
        <v>148133.37802758536</v>
      </c>
      <c r="P26" s="45">
        <v>147507.95934479544</v>
      </c>
      <c r="Q26" s="45">
        <v>147423.59947033806</v>
      </c>
      <c r="R26" s="45">
        <v>149208.39793689441</v>
      </c>
      <c r="S26" s="45">
        <v>155323.29052799995</v>
      </c>
      <c r="T26" s="45">
        <v>160915.9890597222</v>
      </c>
      <c r="U26" s="45">
        <v>171569.63047365809</v>
      </c>
      <c r="V26" s="45">
        <v>180460.3242911823</v>
      </c>
      <c r="W26" s="45">
        <v>188801.20763901639</v>
      </c>
      <c r="X26" s="45">
        <v>183349.04443611062</v>
      </c>
      <c r="Y26" s="45">
        <v>194755.09859396811</v>
      </c>
      <c r="Z26" s="45">
        <v>196826.37759834499</v>
      </c>
      <c r="AA26" s="45">
        <v>196061.71930770529</v>
      </c>
    </row>
    <row r="27" spans="1:27" x14ac:dyDescent="0.25">
      <c r="A27" s="68" t="s">
        <v>148</v>
      </c>
      <c r="B27" s="69"/>
      <c r="C27" s="69"/>
      <c r="D27" s="70">
        <v>42925.278754171282</v>
      </c>
      <c r="E27" s="70">
        <v>43911.15421941899</v>
      </c>
      <c r="F27" s="70">
        <v>46615.959760239246</v>
      </c>
      <c r="G27" s="70">
        <v>48913.813067449293</v>
      </c>
      <c r="H27" s="70">
        <v>49513.87281137937</v>
      </c>
      <c r="I27" s="70">
        <v>51563.646155764509</v>
      </c>
      <c r="J27" s="70">
        <v>54072.231490384656</v>
      </c>
      <c r="K27" s="70">
        <v>55855.617949547603</v>
      </c>
      <c r="L27" s="70">
        <v>57983.775725562329</v>
      </c>
      <c r="M27" s="70">
        <v>54967.788404263971</v>
      </c>
      <c r="N27" s="70">
        <v>55567.487910922595</v>
      </c>
      <c r="O27" s="70">
        <v>55384.747019892908</v>
      </c>
      <c r="P27" s="70">
        <v>54783.522025532904</v>
      </c>
      <c r="Q27" s="70">
        <v>54872.527435530123</v>
      </c>
      <c r="R27" s="70">
        <v>55323.496444394419</v>
      </c>
      <c r="S27" s="70">
        <v>57060.619451999963</v>
      </c>
      <c r="T27" s="70">
        <v>59151.99835114387</v>
      </c>
      <c r="U27" s="70">
        <v>62600.372866946927</v>
      </c>
      <c r="V27" s="70">
        <v>65373.724354975915</v>
      </c>
      <c r="W27" s="70">
        <v>68282.750412631882</v>
      </c>
      <c r="X27" s="70">
        <v>65663.637978238025</v>
      </c>
      <c r="Y27" s="70">
        <v>68199.073320621086</v>
      </c>
      <c r="Z27" s="70">
        <v>69065.299454243039</v>
      </c>
      <c r="AA27" s="70">
        <v>68812.89999999998</v>
      </c>
    </row>
    <row r="28" spans="1:27" x14ac:dyDescent="0.25">
      <c r="A28" s="68" t="s">
        <v>150</v>
      </c>
      <c r="B28" s="71"/>
      <c r="C28" s="71"/>
      <c r="D28" s="70">
        <v>38116.621073920513</v>
      </c>
      <c r="E28" s="70">
        <v>39104.681865475803</v>
      </c>
      <c r="F28" s="70">
        <v>40262.203017305546</v>
      </c>
      <c r="G28" s="70">
        <v>42714.18233535398</v>
      </c>
      <c r="H28" s="70">
        <v>44402.634919280652</v>
      </c>
      <c r="I28" s="70">
        <v>47925.028549340394</v>
      </c>
      <c r="J28" s="70">
        <v>51082.022341628952</v>
      </c>
      <c r="K28" s="70">
        <v>55590.477943522739</v>
      </c>
      <c r="L28" s="70">
        <v>59682.899875363517</v>
      </c>
      <c r="M28" s="70">
        <v>59278.508348929943</v>
      </c>
      <c r="N28" s="70">
        <v>63570.365217391314</v>
      </c>
      <c r="O28" s="70">
        <v>63594.675125170259</v>
      </c>
      <c r="P28" s="70">
        <v>63382.785986048235</v>
      </c>
      <c r="Q28" s="70">
        <v>63712.073101719208</v>
      </c>
      <c r="R28" s="70">
        <v>64120.081028925742</v>
      </c>
      <c r="S28" s="70">
        <v>66470.704056000017</v>
      </c>
      <c r="T28" s="70">
        <v>69586.183929513354</v>
      </c>
      <c r="U28" s="70">
        <v>74354.717439868167</v>
      </c>
      <c r="V28" s="70">
        <v>79762.461755741417</v>
      </c>
      <c r="W28" s="70">
        <v>84578.605207082452</v>
      </c>
      <c r="X28" s="70">
        <v>83503.2976282405</v>
      </c>
      <c r="Y28" s="70">
        <v>89241.246449001817</v>
      </c>
      <c r="Z28" s="70">
        <v>90403.53155355154</v>
      </c>
      <c r="AA28" s="70">
        <v>90817.600000000006</v>
      </c>
    </row>
    <row r="29" spans="1:27" x14ac:dyDescent="0.25">
      <c r="A29" s="68" t="s">
        <v>152</v>
      </c>
      <c r="B29" s="71"/>
      <c r="C29" s="71"/>
      <c r="D29" s="70">
        <v>22878.506750428674</v>
      </c>
      <c r="E29" s="70">
        <v>23274.585718889553</v>
      </c>
      <c r="F29" s="70">
        <v>24005.904334761079</v>
      </c>
      <c r="G29" s="70">
        <v>24281.590202155963</v>
      </c>
      <c r="H29" s="70">
        <v>24787.772620745731</v>
      </c>
      <c r="I29" s="70">
        <v>26755.993770418223</v>
      </c>
      <c r="J29" s="70">
        <v>29045.021642116168</v>
      </c>
      <c r="K29" s="70">
        <v>30078.35883921499</v>
      </c>
      <c r="L29" s="70">
        <v>30726.336838981559</v>
      </c>
      <c r="M29" s="70">
        <v>27841.993023013063</v>
      </c>
      <c r="N29" s="70">
        <v>28829.519316364756</v>
      </c>
      <c r="O29" s="70">
        <v>29153.955882522216</v>
      </c>
      <c r="P29" s="70">
        <v>29341.651333214279</v>
      </c>
      <c r="Q29" s="70">
        <v>28838.998933088747</v>
      </c>
      <c r="R29" s="70">
        <v>29764.820463574251</v>
      </c>
      <c r="S29" s="70">
        <v>31791.967019999996</v>
      </c>
      <c r="T29" s="70">
        <v>32177.806779064995</v>
      </c>
      <c r="U29" s="70">
        <v>34614.540166842991</v>
      </c>
      <c r="V29" s="70">
        <v>35324.138180464979</v>
      </c>
      <c r="W29" s="70">
        <v>35939.852019302023</v>
      </c>
      <c r="X29" s="70">
        <v>34182.108829632081</v>
      </c>
      <c r="Y29" s="70">
        <v>37314.778824345223</v>
      </c>
      <c r="Z29" s="70">
        <v>37357.546590550388</v>
      </c>
      <c r="AA29" s="70">
        <v>36431.219307705331</v>
      </c>
    </row>
    <row r="30" spans="1:27" x14ac:dyDescent="0.25">
      <c r="A30" s="64" t="s">
        <v>154</v>
      </c>
      <c r="B30" s="65"/>
      <c r="C30" s="65"/>
      <c r="D30" s="66">
        <v>5095.9331520043088</v>
      </c>
      <c r="E30" s="66">
        <v>5628.2682749413034</v>
      </c>
      <c r="F30" s="66">
        <v>6089.6693727919592</v>
      </c>
      <c r="G30" s="66">
        <v>5777.5357928518533</v>
      </c>
      <c r="H30" s="66">
        <v>6252.7188354018654</v>
      </c>
      <c r="I30" s="66">
        <v>6764.1409461582625</v>
      </c>
      <c r="J30" s="66">
        <v>7970.1789826087625</v>
      </c>
      <c r="K30" s="66">
        <v>8100.7153889923993</v>
      </c>
      <c r="L30" s="66">
        <v>10055.051267137511</v>
      </c>
      <c r="M30" s="66">
        <v>10678.119475075177</v>
      </c>
      <c r="N30" s="66">
        <v>9509.2841299427691</v>
      </c>
      <c r="O30" s="66">
        <v>9322.521195495794</v>
      </c>
      <c r="P30" s="66">
        <v>9467.3547730276223</v>
      </c>
      <c r="Q30" s="66">
        <v>9904.0258997832625</v>
      </c>
      <c r="R30" s="66">
        <v>8510.9736268261386</v>
      </c>
      <c r="S30" s="66">
        <v>8609.5026359999974</v>
      </c>
      <c r="T30" s="66">
        <v>8426.9771895207814</v>
      </c>
      <c r="U30" s="66">
        <v>8290.7476551162381</v>
      </c>
      <c r="V30" s="66">
        <v>7713.35274666856</v>
      </c>
      <c r="W30" s="66">
        <v>7704.4849331863197</v>
      </c>
      <c r="X30" s="66">
        <v>7542.8674148169948</v>
      </c>
      <c r="Y30" s="66">
        <v>7865.9441447173331</v>
      </c>
      <c r="Z30" s="66">
        <v>11122.296266710833</v>
      </c>
      <c r="AA30" s="66">
        <v>9847.5690433899999</v>
      </c>
    </row>
    <row r="31" spans="1:27" x14ac:dyDescent="0.25">
      <c r="A31" s="64" t="s">
        <v>37</v>
      </c>
      <c r="B31" s="65"/>
      <c r="C31" s="65"/>
      <c r="D31" s="66">
        <v>10293.870543027606</v>
      </c>
      <c r="E31" s="66">
        <v>10327.127461903228</v>
      </c>
      <c r="F31" s="66">
        <v>11160.42017129636</v>
      </c>
      <c r="G31" s="66">
        <v>11770.794157500617</v>
      </c>
      <c r="H31" s="66">
        <v>12236.459317718261</v>
      </c>
      <c r="I31" s="66">
        <v>13457.642878874787</v>
      </c>
      <c r="J31" s="66">
        <v>13710.050608031674</v>
      </c>
      <c r="K31" s="66">
        <v>14573.645003291345</v>
      </c>
      <c r="L31" s="66">
        <v>14933.730927651493</v>
      </c>
      <c r="M31" s="66">
        <v>15553.793481975754</v>
      </c>
      <c r="N31" s="66">
        <v>16051.657476139981</v>
      </c>
      <c r="O31" s="66">
        <v>14928.61403057799</v>
      </c>
      <c r="P31" s="66">
        <v>13599.12577580009</v>
      </c>
      <c r="Q31" s="66">
        <v>13254.069842406878</v>
      </c>
      <c r="R31" s="66">
        <v>13355.069951807474</v>
      </c>
      <c r="S31" s="66">
        <v>13926.100608000001</v>
      </c>
      <c r="T31" s="66">
        <v>13729.85082540489</v>
      </c>
      <c r="U31" s="66">
        <v>14364.27655490745</v>
      </c>
      <c r="V31" s="66">
        <v>15104.542748795013</v>
      </c>
      <c r="W31" s="66">
        <v>15599.649250108589</v>
      </c>
      <c r="X31" s="66">
        <v>14989.242721757009</v>
      </c>
      <c r="Y31" s="66">
        <v>15380.889115460948</v>
      </c>
      <c r="Z31" s="66">
        <v>15940.188683447206</v>
      </c>
      <c r="AA31" s="66">
        <v>16416.099999999999</v>
      </c>
    </row>
    <row r="32" spans="1:27" x14ac:dyDescent="0.25">
      <c r="A32" s="64" t="s">
        <v>58</v>
      </c>
      <c r="B32" s="65"/>
      <c r="C32" s="65"/>
      <c r="D32" s="66">
        <v>40614.923510971785</v>
      </c>
      <c r="E32" s="66">
        <v>42526.382008194836</v>
      </c>
      <c r="F32" s="66">
        <v>41072.208716359768</v>
      </c>
      <c r="G32" s="66">
        <v>40924.06345009189</v>
      </c>
      <c r="H32" s="66">
        <v>45330.75089384507</v>
      </c>
      <c r="I32" s="66">
        <v>48086.546981221487</v>
      </c>
      <c r="J32" s="66">
        <v>52697.343537895918</v>
      </c>
      <c r="K32" s="66">
        <v>55425.48986600319</v>
      </c>
      <c r="L32" s="66">
        <v>54105.430921716419</v>
      </c>
      <c r="M32" s="66">
        <v>47541.092253234616</v>
      </c>
      <c r="N32" s="66">
        <v>50081.139448568407</v>
      </c>
      <c r="O32" s="66">
        <v>53968.860991003086</v>
      </c>
      <c r="P32" s="66">
        <v>53436.052721372638</v>
      </c>
      <c r="Q32" s="66">
        <v>53678.579118911184</v>
      </c>
      <c r="R32" s="66">
        <v>59268.282058260782</v>
      </c>
      <c r="S32" s="66">
        <v>63076.184568000004</v>
      </c>
      <c r="T32" s="66">
        <v>64749.000398538708</v>
      </c>
      <c r="U32" s="66">
        <v>66676.596339191252</v>
      </c>
      <c r="V32" s="66">
        <v>65905.868174085626</v>
      </c>
      <c r="W32" s="66">
        <v>67335.905342497281</v>
      </c>
      <c r="X32" s="66">
        <v>59506.997873940738</v>
      </c>
      <c r="Y32" s="66">
        <v>58353.383965443427</v>
      </c>
      <c r="Z32" s="66">
        <v>59330.054622437907</v>
      </c>
      <c r="AA32" s="66">
        <v>62321.899999999987</v>
      </c>
    </row>
    <row r="33" spans="1:27" x14ac:dyDescent="0.25">
      <c r="A33" s="72" t="s">
        <v>158</v>
      </c>
      <c r="B33" s="65"/>
      <c r="C33" s="65"/>
      <c r="D33" s="66">
        <v>2667.0992618060468</v>
      </c>
      <c r="E33" s="66">
        <v>2600.6515353805075</v>
      </c>
      <c r="F33" s="66">
        <v>2376.4266984182827</v>
      </c>
      <c r="G33" s="66">
        <v>2350.2406506295088</v>
      </c>
      <c r="H33" s="66">
        <v>2835.4170237158892</v>
      </c>
      <c r="I33" s="66">
        <v>3446.5361629965842</v>
      </c>
      <c r="J33" s="66">
        <v>3435.3071266968327</v>
      </c>
      <c r="K33" s="66">
        <v>3395.2047082975378</v>
      </c>
      <c r="L33" s="66">
        <v>2889.0890972758029</v>
      </c>
      <c r="M33" s="66">
        <v>1770.8162787859062</v>
      </c>
      <c r="N33" s="66">
        <v>1625.088865323436</v>
      </c>
      <c r="O33" s="66">
        <v>2037.4185808283298</v>
      </c>
      <c r="P33" s="66">
        <v>1810.6618774653634</v>
      </c>
      <c r="Q33" s="66">
        <v>1984.4767908309457</v>
      </c>
      <c r="R33" s="66">
        <v>2381.2214789272816</v>
      </c>
      <c r="S33" s="66">
        <v>2449.7938079999999</v>
      </c>
      <c r="T33" s="66">
        <v>2306.7278332389087</v>
      </c>
      <c r="U33" s="66">
        <v>2102.474759145</v>
      </c>
      <c r="V33" s="66">
        <v>2170.140023390984</v>
      </c>
      <c r="W33" s="66">
        <v>1869.497135849153</v>
      </c>
      <c r="X33" s="66">
        <v>1482.4555583412728</v>
      </c>
      <c r="Y33" s="66">
        <v>1311.1246231077557</v>
      </c>
      <c r="Z33" s="66">
        <v>1189.3748126967544</v>
      </c>
      <c r="AA33" s="66">
        <v>1104.8</v>
      </c>
    </row>
    <row r="34" spans="1:27" x14ac:dyDescent="0.25">
      <c r="A34" s="73" t="s">
        <v>5</v>
      </c>
      <c r="B34" s="65"/>
      <c r="C34" s="65"/>
      <c r="D34" s="66">
        <v>2535.643610605804</v>
      </c>
      <c r="E34" s="66">
        <v>2487.0972434819137</v>
      </c>
      <c r="F34" s="66">
        <v>2245.2494732886439</v>
      </c>
      <c r="G34" s="66">
        <v>2230.3986876437716</v>
      </c>
      <c r="H34" s="66">
        <v>2690.8352584765407</v>
      </c>
      <c r="I34" s="66">
        <v>3250.1285825524169</v>
      </c>
      <c r="J34" s="66">
        <v>3235.5524870283098</v>
      </c>
      <c r="K34" s="66">
        <v>3182.9570294612063</v>
      </c>
      <c r="L34" s="66">
        <v>2694.0148598128326</v>
      </c>
      <c r="M34" s="66">
        <v>1545.3962219286971</v>
      </c>
      <c r="N34" s="66">
        <v>1371.5038566116414</v>
      </c>
      <c r="O34" s="66">
        <v>1776.2294211011549</v>
      </c>
      <c r="P34" s="66">
        <v>1498.3978358267282</v>
      </c>
      <c r="Q34" s="66">
        <v>1697.6473750354526</v>
      </c>
      <c r="R34" s="66">
        <v>2081.7380476789713</v>
      </c>
      <c r="S34" s="66">
        <v>1996.4821401272384</v>
      </c>
      <c r="T34" s="66">
        <v>1877.9582375423179</v>
      </c>
      <c r="U34" s="66">
        <v>1633.4971116313109</v>
      </c>
      <c r="V34" s="66">
        <v>1783.0065532465931</v>
      </c>
      <c r="W34" s="66">
        <v>1487.0382196672053</v>
      </c>
      <c r="X34" s="66">
        <v>1138.0474968830824</v>
      </c>
      <c r="Y34" s="66">
        <v>1067.5648934941978</v>
      </c>
      <c r="Z34" s="66">
        <v>915.92614600377703</v>
      </c>
      <c r="AA34" s="66">
        <v>810.06693005173179</v>
      </c>
    </row>
    <row r="35" spans="1:27" x14ac:dyDescent="0.25">
      <c r="A35" s="74" t="s">
        <v>264</v>
      </c>
      <c r="B35" s="44"/>
      <c r="C35" s="44"/>
      <c r="D35" s="45">
        <v>2348.6643287199568</v>
      </c>
      <c r="E35" s="45">
        <v>2289.0687975072433</v>
      </c>
      <c r="F35" s="45">
        <v>2086.0930744017683</v>
      </c>
      <c r="G35" s="45">
        <v>2097.6104464933396</v>
      </c>
      <c r="H35" s="45">
        <v>2515.3851357033877</v>
      </c>
      <c r="I35" s="45">
        <v>2992.5108596344257</v>
      </c>
      <c r="J35" s="45">
        <v>2996.0488464717073</v>
      </c>
      <c r="K35" s="45">
        <v>2920.6468235191965</v>
      </c>
      <c r="L35" s="45">
        <v>2460.5616633956442</v>
      </c>
      <c r="M35" s="45">
        <v>1445.8512878542551</v>
      </c>
      <c r="N35" s="45">
        <v>1275.0937206173558</v>
      </c>
      <c r="O35" s="45">
        <v>1649.7195796355236</v>
      </c>
      <c r="P35" s="45">
        <v>1402.9746104456829</v>
      </c>
      <c r="Q35" s="45">
        <v>1592.7350782290398</v>
      </c>
      <c r="R35" s="45">
        <v>1961.8621199266649</v>
      </c>
      <c r="S35" s="45">
        <v>1877.3080923076761</v>
      </c>
      <c r="T35" s="45">
        <v>1787.351056466968</v>
      </c>
      <c r="U35" s="45">
        <v>1557.2882340560652</v>
      </c>
      <c r="V35" s="45">
        <v>1705.1498858736165</v>
      </c>
      <c r="W35" s="45">
        <v>1419.00673777204</v>
      </c>
      <c r="X35" s="45">
        <v>1093.044586300244</v>
      </c>
      <c r="Y35" s="45">
        <v>1025.4914993868058</v>
      </c>
      <c r="Z35" s="45">
        <v>885.50862846034317</v>
      </c>
      <c r="AA35" s="45">
        <v>779.51173249533304</v>
      </c>
    </row>
    <row r="36" spans="1:27" x14ac:dyDescent="0.25">
      <c r="A36" s="74" t="s">
        <v>15</v>
      </c>
      <c r="B36" s="44"/>
      <c r="C36" s="44"/>
      <c r="D36" s="45">
        <v>186.97928188584729</v>
      </c>
      <c r="E36" s="45">
        <v>198.02844597467038</v>
      </c>
      <c r="F36" s="45">
        <v>159.15639888687565</v>
      </c>
      <c r="G36" s="45">
        <v>132.78824115043199</v>
      </c>
      <c r="H36" s="45">
        <v>175.450122773153</v>
      </c>
      <c r="I36" s="45">
        <v>257.61772291799116</v>
      </c>
      <c r="J36" s="45">
        <v>239.50364055660248</v>
      </c>
      <c r="K36" s="45">
        <v>262.31020594200982</v>
      </c>
      <c r="L36" s="45">
        <v>233.45319641718834</v>
      </c>
      <c r="M36" s="45">
        <v>99.544934074441926</v>
      </c>
      <c r="N36" s="45">
        <v>96.410135994285611</v>
      </c>
      <c r="O36" s="45">
        <v>126.50984146563133</v>
      </c>
      <c r="P36" s="45">
        <v>95.423225381045313</v>
      </c>
      <c r="Q36" s="45">
        <v>104.91229680641277</v>
      </c>
      <c r="R36" s="45">
        <v>119.87592775230632</v>
      </c>
      <c r="S36" s="45">
        <v>119.17404781956225</v>
      </c>
      <c r="T36" s="45">
        <v>90.607181075349899</v>
      </c>
      <c r="U36" s="45">
        <v>76.208877575245651</v>
      </c>
      <c r="V36" s="45">
        <v>77.856667372976517</v>
      </c>
      <c r="W36" s="45">
        <v>68.031481895165371</v>
      </c>
      <c r="X36" s="45">
        <v>45.002910582838467</v>
      </c>
      <c r="Y36" s="45">
        <v>42.073394107392005</v>
      </c>
      <c r="Z36" s="45">
        <v>30.41751754343386</v>
      </c>
      <c r="AA36" s="45">
        <v>30.555197556398753</v>
      </c>
    </row>
    <row r="37" spans="1:27" x14ac:dyDescent="0.25">
      <c r="A37" s="73" t="s">
        <v>263</v>
      </c>
      <c r="B37" s="65"/>
      <c r="C37" s="65"/>
      <c r="D37" s="66">
        <v>131.45565120024276</v>
      </c>
      <c r="E37" s="66">
        <v>113.55429189859387</v>
      </c>
      <c r="F37" s="66">
        <v>131.17722512963883</v>
      </c>
      <c r="G37" s="66">
        <v>119.84196298573715</v>
      </c>
      <c r="H37" s="66">
        <v>144.58176523934844</v>
      </c>
      <c r="I37" s="66">
        <v>196.40758044416725</v>
      </c>
      <c r="J37" s="66">
        <v>199.75463966852294</v>
      </c>
      <c r="K37" s="66">
        <v>212.24767883633149</v>
      </c>
      <c r="L37" s="66">
        <v>195.07423746297036</v>
      </c>
      <c r="M37" s="66">
        <v>225.42005685720915</v>
      </c>
      <c r="N37" s="66">
        <v>253.5850087117947</v>
      </c>
      <c r="O37" s="66">
        <v>261.18915972717491</v>
      </c>
      <c r="P37" s="66">
        <v>312.26404163863526</v>
      </c>
      <c r="Q37" s="66">
        <v>286.82941579549311</v>
      </c>
      <c r="R37" s="66">
        <v>299.48343124831035</v>
      </c>
      <c r="S37" s="66">
        <v>453.31166787276129</v>
      </c>
      <c r="T37" s="66">
        <v>428.76959569659084</v>
      </c>
      <c r="U37" s="66">
        <v>468.97764751368913</v>
      </c>
      <c r="V37" s="66">
        <v>387.13347014439091</v>
      </c>
      <c r="W37" s="66">
        <v>382.45891618194742</v>
      </c>
      <c r="X37" s="66">
        <v>344.40806145819033</v>
      </c>
      <c r="Y37" s="66">
        <v>243.55972961355792</v>
      </c>
      <c r="Z37" s="66">
        <v>273.44866669297733</v>
      </c>
      <c r="AA37" s="66">
        <v>294.73306994826817</v>
      </c>
    </row>
    <row r="38" spans="1:27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</row>
    <row r="39" spans="1:27" x14ac:dyDescent="0.25">
      <c r="A39" s="74" t="s">
        <v>19</v>
      </c>
      <c r="B39" s="44"/>
      <c r="C39" s="44"/>
      <c r="D39" s="45">
        <v>46.006349988716785</v>
      </c>
      <c r="E39" s="45">
        <v>31.103079551852147</v>
      </c>
      <c r="F39" s="45">
        <v>28.998924327415207</v>
      </c>
      <c r="G39" s="45">
        <v>32.888191928963735</v>
      </c>
      <c r="H39" s="45">
        <v>37.264654240292046</v>
      </c>
      <c r="I39" s="45">
        <v>58.773013623274082</v>
      </c>
      <c r="J39" s="45">
        <v>61.808670573885003</v>
      </c>
      <c r="K39" s="45">
        <v>65.674303650899333</v>
      </c>
      <c r="L39" s="45">
        <v>58.522271238891001</v>
      </c>
      <c r="M39" s="45">
        <v>25</v>
      </c>
      <c r="N39" s="45">
        <v>37</v>
      </c>
      <c r="O39" s="45">
        <v>78.356747918152521</v>
      </c>
      <c r="P39" s="45">
        <v>93.679212491590576</v>
      </c>
      <c r="Q39" s="45">
        <v>86.048824738647994</v>
      </c>
      <c r="R39" s="45">
        <v>89.84502937449308</v>
      </c>
      <c r="S39" s="45">
        <v>238.86318601433618</v>
      </c>
      <c r="T39" s="45">
        <v>284.48218655928554</v>
      </c>
      <c r="U39" s="45">
        <v>279.81946247015287</v>
      </c>
      <c r="V39" s="45">
        <v>249.78422544357068</v>
      </c>
      <c r="W39" s="45">
        <v>254.12854435918416</v>
      </c>
      <c r="X39" s="45">
        <v>232.69331535098851</v>
      </c>
      <c r="Y39" s="45">
        <v>199.59241983300961</v>
      </c>
      <c r="Z39" s="45">
        <v>226.96122506820265</v>
      </c>
      <c r="AA39" s="45">
        <v>182.78913870623103</v>
      </c>
    </row>
    <row r="40" spans="1:27" x14ac:dyDescent="0.25">
      <c r="A40" s="75" t="s">
        <v>267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</row>
    <row r="41" spans="1:27" x14ac:dyDescent="0.25">
      <c r="A41" s="75" t="s">
        <v>268</v>
      </c>
      <c r="B41" s="76"/>
      <c r="C41" s="76"/>
      <c r="D41" s="45">
        <v>46.006349988716785</v>
      </c>
      <c r="E41" s="45">
        <v>31.103079551852147</v>
      </c>
      <c r="F41" s="45">
        <v>28.998924327415207</v>
      </c>
      <c r="G41" s="45">
        <v>32.888191928963735</v>
      </c>
      <c r="H41" s="45">
        <v>37.264654240292046</v>
      </c>
      <c r="I41" s="45">
        <v>58.773013623274082</v>
      </c>
      <c r="J41" s="45">
        <v>61.808670573885003</v>
      </c>
      <c r="K41" s="45">
        <v>65.674303650899333</v>
      </c>
      <c r="L41" s="45">
        <v>58.522271238891001</v>
      </c>
      <c r="M41" s="45">
        <v>25</v>
      </c>
      <c r="N41" s="45">
        <v>37</v>
      </c>
      <c r="O41" s="45">
        <v>78.356747918152521</v>
      </c>
      <c r="P41" s="45">
        <v>93.679212491590576</v>
      </c>
      <c r="Q41" s="45">
        <v>86.048824738647994</v>
      </c>
      <c r="R41" s="45">
        <v>89.84502937449308</v>
      </c>
      <c r="S41" s="45">
        <v>238.86318601433618</v>
      </c>
      <c r="T41" s="45">
        <v>284.48218655928554</v>
      </c>
      <c r="U41" s="45">
        <v>279.81946247015287</v>
      </c>
      <c r="V41" s="45">
        <v>249.78422544357068</v>
      </c>
      <c r="W41" s="45">
        <v>254.12854435918416</v>
      </c>
      <c r="X41" s="45">
        <v>232.69331535098851</v>
      </c>
      <c r="Y41" s="45">
        <v>199.59241983300961</v>
      </c>
      <c r="Z41" s="45">
        <v>226.96122506820265</v>
      </c>
      <c r="AA41" s="45">
        <v>182.78913870623103</v>
      </c>
    </row>
    <row r="42" spans="1:27" x14ac:dyDescent="0.25">
      <c r="A42" s="74" t="s">
        <v>13</v>
      </c>
      <c r="B42" s="44"/>
      <c r="C42" s="44"/>
      <c r="D42" s="45">
        <v>85.449301211525977</v>
      </c>
      <c r="E42" s="45">
        <v>82.451212346741727</v>
      </c>
      <c r="F42" s="45">
        <v>102.17830080222362</v>
      </c>
      <c r="G42" s="45">
        <v>86.953771056773419</v>
      </c>
      <c r="H42" s="45">
        <v>107.3171109990564</v>
      </c>
      <c r="I42" s="45">
        <v>137.63456682089316</v>
      </c>
      <c r="J42" s="45">
        <v>137.94596909463795</v>
      </c>
      <c r="K42" s="45">
        <v>146.57337518543216</v>
      </c>
      <c r="L42" s="45">
        <v>136.55196622407937</v>
      </c>
      <c r="M42" s="45">
        <v>200.42005685720915</v>
      </c>
      <c r="N42" s="45">
        <v>216.5850087117947</v>
      </c>
      <c r="O42" s="45">
        <v>182.8324118090224</v>
      </c>
      <c r="P42" s="45">
        <v>218.58482914704467</v>
      </c>
      <c r="Q42" s="45">
        <v>200.78059105684514</v>
      </c>
      <c r="R42" s="45">
        <v>209.63840187381726</v>
      </c>
      <c r="S42" s="45">
        <v>214.44848185842508</v>
      </c>
      <c r="T42" s="45">
        <v>144.2874091373053</v>
      </c>
      <c r="U42" s="45">
        <v>189.15818504353626</v>
      </c>
      <c r="V42" s="45">
        <v>137.34924470082024</v>
      </c>
      <c r="W42" s="45">
        <v>128.33037182276325</v>
      </c>
      <c r="X42" s="45">
        <v>111.71474610720179</v>
      </c>
      <c r="Y42" s="45">
        <v>43.967309780548305</v>
      </c>
      <c r="Z42" s="45">
        <v>46.487441624774675</v>
      </c>
      <c r="AA42" s="45">
        <v>111.94393124203714</v>
      </c>
    </row>
    <row r="43" spans="1:27" x14ac:dyDescent="0.25">
      <c r="A43" s="72" t="s">
        <v>265</v>
      </c>
      <c r="B43" s="65"/>
      <c r="C43" s="65"/>
      <c r="D43" s="66">
        <v>3029.5883911416727</v>
      </c>
      <c r="E43" s="66">
        <v>2658.1946871690989</v>
      </c>
      <c r="F43" s="66">
        <v>2407.3949206435118</v>
      </c>
      <c r="G43" s="66">
        <v>2573.7550593850292</v>
      </c>
      <c r="H43" s="66">
        <v>2797.1151986988925</v>
      </c>
      <c r="I43" s="66">
        <v>2927.7745829073051</v>
      </c>
      <c r="J43" s="66">
        <v>2879.0781108597284</v>
      </c>
      <c r="K43" s="66">
        <v>2877.0588358678551</v>
      </c>
      <c r="L43" s="66">
        <v>2855.851646982017</v>
      </c>
      <c r="M43" s="66">
        <v>2458.0085727072992</v>
      </c>
      <c r="N43" s="66">
        <v>2576.935737009544</v>
      </c>
      <c r="O43" s="66">
        <v>2632.3273686431739</v>
      </c>
      <c r="P43" s="66">
        <v>2843.5008841303461</v>
      </c>
      <c r="Q43" s="66">
        <v>2703.6235315186245</v>
      </c>
      <c r="R43" s="66">
        <v>3167.654045204793</v>
      </c>
      <c r="S43" s="66">
        <v>3477.467052</v>
      </c>
      <c r="T43" s="66">
        <v>3330.5484009611819</v>
      </c>
      <c r="U43" s="66">
        <v>3841.872158191879</v>
      </c>
      <c r="V43" s="66">
        <v>3517.4706443152822</v>
      </c>
      <c r="W43" s="66">
        <v>3703.3268708960377</v>
      </c>
      <c r="X43" s="66">
        <v>3230.5267813267819</v>
      </c>
      <c r="Y43" s="66">
        <v>2959.0634922364479</v>
      </c>
      <c r="Z43" s="66">
        <v>4166.2706267269705</v>
      </c>
      <c r="AA43" s="66">
        <v>3847.5</v>
      </c>
    </row>
    <row r="44" spans="1:27" x14ac:dyDescent="0.25">
      <c r="A44" s="73" t="s">
        <v>266</v>
      </c>
      <c r="B44" s="65"/>
      <c r="C44" s="65"/>
      <c r="D44" s="66">
        <v>2247.9797552836485</v>
      </c>
      <c r="E44" s="66">
        <v>1901.4150545554992</v>
      </c>
      <c r="F44" s="66">
        <v>1643.9513713180081</v>
      </c>
      <c r="G44" s="66">
        <v>1767.6338700386757</v>
      </c>
      <c r="H44" s="66">
        <v>1960.7504885819792</v>
      </c>
      <c r="I44" s="66">
        <v>1965.9505374198861</v>
      </c>
      <c r="J44" s="66">
        <v>1872.204128959276</v>
      </c>
      <c r="K44" s="66">
        <v>1927.5171339633378</v>
      </c>
      <c r="L44" s="66">
        <v>1960.206730369755</v>
      </c>
      <c r="M44" s="66">
        <v>1510.4361135975264</v>
      </c>
      <c r="N44" s="66">
        <v>1512.4037115588549</v>
      </c>
      <c r="O44" s="66">
        <v>1639.463369717432</v>
      </c>
      <c r="P44" s="66">
        <v>1821.0706993373883</v>
      </c>
      <c r="Q44" s="66">
        <v>1678.1167263610314</v>
      </c>
      <c r="R44" s="66">
        <v>2054.8561161531929</v>
      </c>
      <c r="S44" s="66">
        <v>2409.3751320000001</v>
      </c>
      <c r="T44" s="66">
        <v>2285.322261511712</v>
      </c>
      <c r="U44" s="66">
        <v>2757.0474631812522</v>
      </c>
      <c r="V44" s="66">
        <v>2533.5798695775447</v>
      </c>
      <c r="W44" s="66">
        <v>2585.8865581644909</v>
      </c>
      <c r="X44" s="66">
        <v>2031.7292182720757</v>
      </c>
      <c r="Y44" s="66">
        <v>1862.9643180137757</v>
      </c>
      <c r="Z44" s="66">
        <v>3061.5801932832028</v>
      </c>
      <c r="AA44" s="66">
        <v>2679.6</v>
      </c>
    </row>
    <row r="45" spans="1:27" x14ac:dyDescent="0.25">
      <c r="A45" s="74" t="s">
        <v>20</v>
      </c>
      <c r="B45" s="44"/>
      <c r="C45" s="44"/>
      <c r="D45" s="45">
        <v>940.24209932260396</v>
      </c>
      <c r="E45" s="45">
        <v>786.12077537774849</v>
      </c>
      <c r="F45" s="45">
        <v>1044.2326139222469</v>
      </c>
      <c r="G45" s="45">
        <v>1082.8016952817632</v>
      </c>
      <c r="H45" s="45">
        <v>1425.5220806651807</v>
      </c>
      <c r="I45" s="45">
        <v>1427.4111216679783</v>
      </c>
      <c r="J45" s="45">
        <v>1266.3294206362043</v>
      </c>
      <c r="K45" s="45">
        <v>1117.3040702626163</v>
      </c>
      <c r="L45" s="45">
        <v>1073.0844366784061</v>
      </c>
      <c r="M45" s="45">
        <v>812.12582967514663</v>
      </c>
      <c r="N45" s="45">
        <v>856.3866595987497</v>
      </c>
      <c r="O45" s="45">
        <v>900.50534327884054</v>
      </c>
      <c r="P45" s="45">
        <v>1003.6122173301443</v>
      </c>
      <c r="Q45" s="45">
        <v>841.94668552665644</v>
      </c>
      <c r="R45" s="45">
        <v>1111.8566390691212</v>
      </c>
      <c r="S45" s="45">
        <v>1355.0200090722378</v>
      </c>
      <c r="T45" s="45">
        <v>1137.7900386174801</v>
      </c>
      <c r="U45" s="45">
        <v>1605.4024680241362</v>
      </c>
      <c r="V45" s="45">
        <v>1403.3329489950904</v>
      </c>
      <c r="W45" s="45">
        <v>1402.8754001505047</v>
      </c>
      <c r="X45" s="45">
        <v>907.26788981769914</v>
      </c>
      <c r="Y45" s="45">
        <v>1158.3288269347761</v>
      </c>
      <c r="Z45" s="45">
        <v>2037.4581857141097</v>
      </c>
      <c r="AA45" s="45">
        <v>1573.1084790223601</v>
      </c>
    </row>
    <row r="46" spans="1:27" x14ac:dyDescent="0.25">
      <c r="A46" s="74" t="s">
        <v>12</v>
      </c>
      <c r="B46" s="44"/>
      <c r="C46" s="44"/>
      <c r="D46" s="45">
        <v>1307.7376559610445</v>
      </c>
      <c r="E46" s="45">
        <v>1115.2942791777507</v>
      </c>
      <c r="F46" s="45">
        <v>599.71875739576126</v>
      </c>
      <c r="G46" s="45">
        <v>684.83217475691254</v>
      </c>
      <c r="H46" s="45">
        <v>535.22840791679846</v>
      </c>
      <c r="I46" s="45">
        <v>538.53941575190788</v>
      </c>
      <c r="J46" s="45">
        <v>605.87470832307167</v>
      </c>
      <c r="K46" s="45">
        <v>810.21306370072148</v>
      </c>
      <c r="L46" s="45">
        <v>887.12229369134889</v>
      </c>
      <c r="M46" s="45">
        <v>698.31028392237977</v>
      </c>
      <c r="N46" s="45">
        <v>656.01705196010516</v>
      </c>
      <c r="O46" s="45">
        <v>738.95802643859145</v>
      </c>
      <c r="P46" s="45">
        <v>817.45848200724402</v>
      </c>
      <c r="Q46" s="45">
        <v>836.17004083437496</v>
      </c>
      <c r="R46" s="45">
        <v>942.99947708407171</v>
      </c>
      <c r="S46" s="45">
        <v>1054.3551229277623</v>
      </c>
      <c r="T46" s="45">
        <v>1147.5322228942318</v>
      </c>
      <c r="U46" s="45">
        <v>1151.644995157116</v>
      </c>
      <c r="V46" s="45">
        <v>1130.2469205824543</v>
      </c>
      <c r="W46" s="45">
        <v>1183.0111580139862</v>
      </c>
      <c r="X46" s="45">
        <v>1124.4613284543766</v>
      </c>
      <c r="Y46" s="45">
        <v>704.63549107899962</v>
      </c>
      <c r="Z46" s="45">
        <v>1024.1220075690931</v>
      </c>
      <c r="AA46" s="45">
        <v>1106.4915209776398</v>
      </c>
    </row>
    <row r="47" spans="1:27" x14ac:dyDescent="0.25">
      <c r="A47" s="73" t="s">
        <v>11</v>
      </c>
      <c r="B47" s="65"/>
      <c r="C47" s="65"/>
      <c r="D47" s="66">
        <v>781.60863585802406</v>
      </c>
      <c r="E47" s="66">
        <v>756.7796326135998</v>
      </c>
      <c r="F47" s="66">
        <v>763.44354932550391</v>
      </c>
      <c r="G47" s="66">
        <v>806.12118934635328</v>
      </c>
      <c r="H47" s="66">
        <v>836.3647101169131</v>
      </c>
      <c r="I47" s="66">
        <v>961.82404548741886</v>
      </c>
      <c r="J47" s="66">
        <v>1006.8739819004525</v>
      </c>
      <c r="K47" s="66">
        <v>949.54170190451737</v>
      </c>
      <c r="L47" s="66">
        <v>895.6449166122618</v>
      </c>
      <c r="M47" s="66">
        <v>947.57245910977304</v>
      </c>
      <c r="N47" s="66">
        <v>1064.5320254506894</v>
      </c>
      <c r="O47" s="66">
        <v>992.86399892574207</v>
      </c>
      <c r="P47" s="66">
        <v>1022.430184792958</v>
      </c>
      <c r="Q47" s="66">
        <v>1025.5068051575931</v>
      </c>
      <c r="R47" s="66">
        <v>1112.7979290515998</v>
      </c>
      <c r="S47" s="66">
        <v>1068.0919200000001</v>
      </c>
      <c r="T47" s="66">
        <v>1045.2261394494699</v>
      </c>
      <c r="U47" s="66">
        <v>1084.8246950106266</v>
      </c>
      <c r="V47" s="66">
        <v>983.89077473773762</v>
      </c>
      <c r="W47" s="66">
        <v>1117.4403127315466</v>
      </c>
      <c r="X47" s="66">
        <v>1198.7975630547062</v>
      </c>
      <c r="Y47" s="66">
        <v>1096.099174222672</v>
      </c>
      <c r="Z47" s="66">
        <v>1104.6904334437679</v>
      </c>
      <c r="AA47" s="66">
        <v>1167.9000000000001</v>
      </c>
    </row>
    <row r="48" spans="1:27" x14ac:dyDescent="0.25">
      <c r="A48" s="72" t="s">
        <v>4</v>
      </c>
      <c r="B48" s="65"/>
      <c r="C48" s="65"/>
      <c r="D48" s="66">
        <v>3569.9023763777932</v>
      </c>
      <c r="E48" s="66">
        <v>3627.4605036600528</v>
      </c>
      <c r="F48" s="66">
        <v>3228.6018915664285</v>
      </c>
      <c r="G48" s="66">
        <v>3048.3892421208552</v>
      </c>
      <c r="H48" s="66">
        <v>3149.1890365669956</v>
      </c>
      <c r="I48" s="66">
        <v>3237.6551834210341</v>
      </c>
      <c r="J48" s="66">
        <v>3478.7266544117642</v>
      </c>
      <c r="K48" s="66">
        <v>3553.129629918888</v>
      </c>
      <c r="L48" s="66">
        <v>3424.7419194017448</v>
      </c>
      <c r="M48" s="66">
        <v>2790.212055496786</v>
      </c>
      <c r="N48" s="66">
        <v>2601.7997879109221</v>
      </c>
      <c r="O48" s="66">
        <v>2795.4952329797238</v>
      </c>
      <c r="P48" s="66">
        <v>2598.7358607154661</v>
      </c>
      <c r="Q48" s="66">
        <v>2574.4258237822351</v>
      </c>
      <c r="R48" s="66">
        <v>2785.1505182486981</v>
      </c>
      <c r="S48" s="66">
        <v>3047.9577480000003</v>
      </c>
      <c r="T48" s="66">
        <v>2883.8854709203515</v>
      </c>
      <c r="U48" s="66">
        <v>2946.8689879876788</v>
      </c>
      <c r="V48" s="66">
        <v>3129.4371243266237</v>
      </c>
      <c r="W48" s="66">
        <v>3194.4443036357598</v>
      </c>
      <c r="X48" s="66">
        <v>2891.7921977636265</v>
      </c>
      <c r="Y48" s="66">
        <v>3049.5207316029105</v>
      </c>
      <c r="Z48" s="66">
        <v>2989.1689124726786</v>
      </c>
      <c r="AA48" s="66">
        <v>2805.3</v>
      </c>
    </row>
    <row r="49" spans="1:27" x14ac:dyDescent="0.25">
      <c r="A49" s="77" t="s">
        <v>10</v>
      </c>
      <c r="B49" s="44"/>
      <c r="C49" s="44"/>
      <c r="D49" s="45">
        <v>1379.469511761883</v>
      </c>
      <c r="E49" s="45">
        <v>1184.2540490020149</v>
      </c>
      <c r="F49" s="45">
        <v>1049.0943670443073</v>
      </c>
      <c r="G49" s="45">
        <v>1011.307547595016</v>
      </c>
      <c r="H49" s="45">
        <v>1120.0688833135102</v>
      </c>
      <c r="I49" s="45">
        <v>1177.8306497681187</v>
      </c>
      <c r="J49" s="45">
        <v>1325.884212004268</v>
      </c>
      <c r="K49" s="45">
        <v>1410.9542508554712</v>
      </c>
      <c r="L49" s="45">
        <v>1445.4151742298204</v>
      </c>
      <c r="M49" s="45">
        <v>1191.072942887228</v>
      </c>
      <c r="N49" s="45">
        <v>996.11792092008409</v>
      </c>
      <c r="O49" s="45">
        <v>1125.8792954343078</v>
      </c>
      <c r="P49" s="45">
        <v>947.23806010026215</v>
      </c>
      <c r="Q49" s="45">
        <v>890.9186258710406</v>
      </c>
      <c r="R49" s="45">
        <v>979.56112227620531</v>
      </c>
      <c r="S49" s="45">
        <v>1088.7889445723704</v>
      </c>
      <c r="T49" s="45">
        <v>1036.1617240579833</v>
      </c>
      <c r="U49" s="45">
        <v>1045.2485768262165</v>
      </c>
      <c r="V49" s="45">
        <v>1162.6496983345583</v>
      </c>
      <c r="W49" s="45">
        <v>1237.4817513592479</v>
      </c>
      <c r="X49" s="45">
        <v>1211.3373170374016</v>
      </c>
      <c r="Y49" s="45">
        <v>1380.70433741231</v>
      </c>
      <c r="Z49" s="45">
        <v>1343.7516732935619</v>
      </c>
      <c r="AA49" s="45">
        <v>1231.4108040192393</v>
      </c>
    </row>
    <row r="50" spans="1:27" x14ac:dyDescent="0.25">
      <c r="A50" s="77" t="s">
        <v>18</v>
      </c>
      <c r="B50" s="44"/>
      <c r="C50" s="44"/>
      <c r="D50" s="45">
        <v>914.75095138019253</v>
      </c>
      <c r="E50" s="45">
        <v>909.95624573432929</v>
      </c>
      <c r="F50" s="45">
        <v>997.50206084066076</v>
      </c>
      <c r="G50" s="45">
        <v>927.18995469596359</v>
      </c>
      <c r="H50" s="45">
        <v>1102.4664449951163</v>
      </c>
      <c r="I50" s="45">
        <v>1110.4162836436208</v>
      </c>
      <c r="J50" s="45">
        <v>1241.1870501735991</v>
      </c>
      <c r="K50" s="45">
        <v>1102.4476096328688</v>
      </c>
      <c r="L50" s="45">
        <v>1057.1217587199617</v>
      </c>
      <c r="M50" s="45">
        <v>846.94367563580681</v>
      </c>
      <c r="N50" s="45">
        <v>883.03623959240429</v>
      </c>
      <c r="O50" s="45">
        <v>931.84759607337446</v>
      </c>
      <c r="P50" s="45">
        <v>968.55253018167934</v>
      </c>
      <c r="Q50" s="45">
        <v>993.33200113086002</v>
      </c>
      <c r="R50" s="45">
        <v>1056.7175323252804</v>
      </c>
      <c r="S50" s="45">
        <v>1159.8144799545362</v>
      </c>
      <c r="T50" s="45">
        <v>1067.5785256867437</v>
      </c>
      <c r="U50" s="45">
        <v>1098.4743614199217</v>
      </c>
      <c r="V50" s="45">
        <v>1075.2303530058296</v>
      </c>
      <c r="W50" s="45">
        <v>1043.6611360501886</v>
      </c>
      <c r="X50" s="45">
        <v>911.11529908688294</v>
      </c>
      <c r="Y50" s="45">
        <v>967.022889411341</v>
      </c>
      <c r="Z50" s="45">
        <v>883.70775020765711</v>
      </c>
      <c r="AA50" s="45">
        <v>820.68130800111089</v>
      </c>
    </row>
    <row r="51" spans="1:27" x14ac:dyDescent="0.25">
      <c r="A51" s="77" t="s">
        <v>9</v>
      </c>
      <c r="B51" s="44"/>
      <c r="C51" s="44"/>
      <c r="D51" s="45">
        <v>1275.6819132357177</v>
      </c>
      <c r="E51" s="45">
        <v>1533.2502089237084</v>
      </c>
      <c r="F51" s="45">
        <v>1182.0054636814607</v>
      </c>
      <c r="G51" s="45">
        <v>1109.8917398298759</v>
      </c>
      <c r="H51" s="45">
        <v>926.65370825836908</v>
      </c>
      <c r="I51" s="45">
        <v>949.40825000929453</v>
      </c>
      <c r="J51" s="45">
        <v>911.65539223389737</v>
      </c>
      <c r="K51" s="45">
        <v>1039.7277694305478</v>
      </c>
      <c r="L51" s="45">
        <v>922.20498645196267</v>
      </c>
      <c r="M51" s="45">
        <v>752.19543697375116</v>
      </c>
      <c r="N51" s="45">
        <v>722.6456273984337</v>
      </c>
      <c r="O51" s="45">
        <v>737.76834147204158</v>
      </c>
      <c r="P51" s="45">
        <v>682.94527043352457</v>
      </c>
      <c r="Q51" s="45">
        <v>690.17519678033443</v>
      </c>
      <c r="R51" s="45">
        <v>748.87186364721219</v>
      </c>
      <c r="S51" s="45">
        <v>799.3543234730937</v>
      </c>
      <c r="T51" s="45">
        <v>780.14522117562456</v>
      </c>
      <c r="U51" s="45">
        <v>803.14604974154054</v>
      </c>
      <c r="V51" s="45">
        <v>891.55707298623588</v>
      </c>
      <c r="W51" s="45">
        <v>913.30141622632323</v>
      </c>
      <c r="X51" s="45">
        <v>769.33958163934199</v>
      </c>
      <c r="Y51" s="45">
        <v>701.79350477925948</v>
      </c>
      <c r="Z51" s="45">
        <v>761.70948897145956</v>
      </c>
      <c r="AA51" s="45">
        <v>753.20788797964997</v>
      </c>
    </row>
    <row r="52" spans="1:27" x14ac:dyDescent="0.25">
      <c r="A52" s="72" t="s">
        <v>3</v>
      </c>
      <c r="B52" s="65"/>
      <c r="C52" s="65"/>
      <c r="D52" s="66">
        <v>1569.509535847912</v>
      </c>
      <c r="E52" s="66">
        <v>1608.4680999953962</v>
      </c>
      <c r="F52" s="66">
        <v>1680.190780304978</v>
      </c>
      <c r="G52" s="66">
        <v>1546.1230765010832</v>
      </c>
      <c r="H52" s="66">
        <v>1830.9137936091074</v>
      </c>
      <c r="I52" s="66">
        <v>1836.4119454350482</v>
      </c>
      <c r="J52" s="66">
        <v>1993.6640412895927</v>
      </c>
      <c r="K52" s="66">
        <v>2141.7661962088168</v>
      </c>
      <c r="L52" s="66">
        <v>1997.4583654816311</v>
      </c>
      <c r="M52" s="66">
        <v>1782.8693872568965</v>
      </c>
      <c r="N52" s="66">
        <v>1926.8045599151646</v>
      </c>
      <c r="O52" s="66">
        <v>1795.0022022290859</v>
      </c>
      <c r="P52" s="66">
        <v>1634.6581621747664</v>
      </c>
      <c r="Q52" s="66">
        <v>1603.505050143267</v>
      </c>
      <c r="R52" s="66">
        <v>1771.673956596032</v>
      </c>
      <c r="S52" s="66">
        <v>1954.3809600000002</v>
      </c>
      <c r="T52" s="66">
        <v>2024.4914060210604</v>
      </c>
      <c r="U52" s="66">
        <v>2091.0763489284409</v>
      </c>
      <c r="V52" s="66">
        <v>2081.9767366033457</v>
      </c>
      <c r="W52" s="66">
        <v>2146.9563351133143</v>
      </c>
      <c r="X52" s="66">
        <v>2042.0391214962642</v>
      </c>
      <c r="Y52" s="66">
        <v>2045.0158290851075</v>
      </c>
      <c r="Z52" s="66">
        <v>2056.9712989566005</v>
      </c>
      <c r="AA52" s="66">
        <v>1955.8</v>
      </c>
    </row>
    <row r="53" spans="1:27" x14ac:dyDescent="0.25">
      <c r="A53" s="73" t="s">
        <v>21</v>
      </c>
      <c r="B53" s="65"/>
      <c r="C53" s="65"/>
      <c r="D53" s="66">
        <v>978.58386085549591</v>
      </c>
      <c r="E53" s="66">
        <v>1033.5347912158741</v>
      </c>
      <c r="F53" s="66">
        <v>962.43084958123063</v>
      </c>
      <c r="G53" s="66">
        <v>870.90474805935753</v>
      </c>
      <c r="H53" s="66">
        <v>1059.6838254702518</v>
      </c>
      <c r="I53" s="66">
        <v>1054.3226963265918</v>
      </c>
      <c r="J53" s="66">
        <v>1096.3908936651585</v>
      </c>
      <c r="K53" s="66">
        <v>1100.0412545046804</v>
      </c>
      <c r="L53" s="66">
        <v>940.7643539675945</v>
      </c>
      <c r="M53" s="66">
        <v>879.05136300756783</v>
      </c>
      <c r="N53" s="66">
        <v>941.96500530222704</v>
      </c>
      <c r="O53" s="66">
        <v>893.84227972913357</v>
      </c>
      <c r="P53" s="66">
        <v>860.30489866506036</v>
      </c>
      <c r="Q53" s="66">
        <v>851.25139684813769</v>
      </c>
      <c r="R53" s="66">
        <v>982.91614091453243</v>
      </c>
      <c r="S53" s="66">
        <v>1124.256024</v>
      </c>
      <c r="T53" s="66">
        <v>1176.9893254146562</v>
      </c>
      <c r="U53" s="66">
        <v>1259.9042759369704</v>
      </c>
      <c r="V53" s="66">
        <v>1226.2319464133825</v>
      </c>
      <c r="W53" s="66">
        <v>1318.0348808094229</v>
      </c>
      <c r="X53" s="66">
        <v>1302.3035651607081</v>
      </c>
      <c r="Y53" s="66">
        <v>1246.3137798186558</v>
      </c>
      <c r="Z53" s="66">
        <v>1248.3972588427755</v>
      </c>
      <c r="AA53" s="66">
        <v>1208.8</v>
      </c>
    </row>
    <row r="54" spans="1:27" x14ac:dyDescent="0.25">
      <c r="A54" s="74" t="s">
        <v>8</v>
      </c>
      <c r="B54" s="44"/>
      <c r="C54" s="44"/>
      <c r="D54" s="45">
        <v>87.407642573411906</v>
      </c>
      <c r="E54" s="45">
        <v>92.243428101945</v>
      </c>
      <c r="F54" s="45">
        <v>87.549842591221235</v>
      </c>
      <c r="G54" s="45">
        <v>76.625840256358288</v>
      </c>
      <c r="H54" s="45">
        <v>93.628590408035606</v>
      </c>
      <c r="I54" s="45">
        <v>92.366126127593844</v>
      </c>
      <c r="J54" s="45">
        <v>90.390054208857251</v>
      </c>
      <c r="K54" s="45">
        <v>94.557485842404958</v>
      </c>
      <c r="L54" s="45">
        <v>79.430690585385392</v>
      </c>
      <c r="M54" s="45">
        <v>83.099434669447845</v>
      </c>
      <c r="N54" s="45">
        <v>90.654898975537705</v>
      </c>
      <c r="O54" s="45">
        <v>84.362858948845883</v>
      </c>
      <c r="P54" s="45">
        <v>80.144682961090666</v>
      </c>
      <c r="Q54" s="45">
        <v>71.724727124742614</v>
      </c>
      <c r="R54" s="45">
        <v>75.781655638756064</v>
      </c>
      <c r="S54" s="45">
        <v>81.141958946539091</v>
      </c>
      <c r="T54" s="45">
        <v>82.629033575455054</v>
      </c>
      <c r="U54" s="45">
        <v>82.050186884579588</v>
      </c>
      <c r="V54" s="45">
        <v>68.815828240320528</v>
      </c>
      <c r="W54" s="45">
        <v>99.757608189701543</v>
      </c>
      <c r="X54" s="45">
        <v>106.50205883218766</v>
      </c>
      <c r="Y54" s="45">
        <v>99.143183365764685</v>
      </c>
      <c r="Z54" s="45">
        <v>99.087789406622392</v>
      </c>
      <c r="AA54" s="45">
        <v>92.227031142922399</v>
      </c>
    </row>
    <row r="55" spans="1:27" x14ac:dyDescent="0.25">
      <c r="A55" s="74" t="s">
        <v>17</v>
      </c>
      <c r="B55" s="44"/>
      <c r="C55" s="44"/>
      <c r="D55" s="45">
        <v>891.17621828208405</v>
      </c>
      <c r="E55" s="45">
        <v>941.29136311392904</v>
      </c>
      <c r="F55" s="45">
        <v>874.88100699000938</v>
      </c>
      <c r="G55" s="45">
        <v>794.27890780299924</v>
      </c>
      <c r="H55" s="45">
        <v>966.05523506221618</v>
      </c>
      <c r="I55" s="45">
        <v>961.95657019899795</v>
      </c>
      <c r="J55" s="45">
        <v>1006.0008394563013</v>
      </c>
      <c r="K55" s="45">
        <v>1005.4837686622755</v>
      </c>
      <c r="L55" s="45">
        <v>861.33366338220912</v>
      </c>
      <c r="M55" s="45">
        <v>795.95192833811996</v>
      </c>
      <c r="N55" s="45">
        <v>851.31010632668938</v>
      </c>
      <c r="O55" s="45">
        <v>809.47942078028768</v>
      </c>
      <c r="P55" s="45">
        <v>780.1602157039697</v>
      </c>
      <c r="Q55" s="45">
        <v>779.52666972339512</v>
      </c>
      <c r="R55" s="45">
        <v>907.13448527577634</v>
      </c>
      <c r="S55" s="45">
        <v>1043.114065053461</v>
      </c>
      <c r="T55" s="45">
        <v>1094.3602918392012</v>
      </c>
      <c r="U55" s="45">
        <v>1177.8540890523909</v>
      </c>
      <c r="V55" s="45">
        <v>1157.4161181730619</v>
      </c>
      <c r="W55" s="45">
        <v>1218.2772726197213</v>
      </c>
      <c r="X55" s="45">
        <v>1195.8015063285204</v>
      </c>
      <c r="Y55" s="45">
        <v>1147.170596452891</v>
      </c>
      <c r="Z55" s="45">
        <v>1149.309469436153</v>
      </c>
      <c r="AA55" s="45">
        <v>1116.5729688570775</v>
      </c>
    </row>
    <row r="56" spans="1:27" x14ac:dyDescent="0.25">
      <c r="A56" s="73" t="s">
        <v>16</v>
      </c>
      <c r="B56" s="65"/>
      <c r="C56" s="65"/>
      <c r="D56" s="66">
        <v>590.92567499241613</v>
      </c>
      <c r="E56" s="66">
        <v>574.93330877952201</v>
      </c>
      <c r="F56" s="66">
        <v>717.7599307237474</v>
      </c>
      <c r="G56" s="66">
        <v>675.2183284417257</v>
      </c>
      <c r="H56" s="66">
        <v>771.22996813885561</v>
      </c>
      <c r="I56" s="66">
        <v>782.08924910845644</v>
      </c>
      <c r="J56" s="66">
        <v>897.27314762443416</v>
      </c>
      <c r="K56" s="66">
        <v>1041.7249417041364</v>
      </c>
      <c r="L56" s="66">
        <v>1056.6940115140364</v>
      </c>
      <c r="M56" s="66">
        <v>903.81802424932857</v>
      </c>
      <c r="N56" s="66">
        <v>984.8395546129376</v>
      </c>
      <c r="O56" s="66">
        <v>901.15992249995236</v>
      </c>
      <c r="P56" s="66">
        <v>774.35326350970604</v>
      </c>
      <c r="Q56" s="66">
        <v>752.25365329512931</v>
      </c>
      <c r="R56" s="66">
        <v>788.75781568149944</v>
      </c>
      <c r="S56" s="66">
        <v>830.12493600000016</v>
      </c>
      <c r="T56" s="66">
        <v>847.50208060640409</v>
      </c>
      <c r="U56" s="66">
        <v>831.17207299147037</v>
      </c>
      <c r="V56" s="66">
        <v>855.74479018996317</v>
      </c>
      <c r="W56" s="66">
        <v>828.92145430389121</v>
      </c>
      <c r="X56" s="66">
        <v>739.73555633555611</v>
      </c>
      <c r="Y56" s="66">
        <v>798.7020492664517</v>
      </c>
      <c r="Z56" s="66">
        <v>808.57404011382528</v>
      </c>
      <c r="AA56" s="66">
        <v>747</v>
      </c>
    </row>
    <row r="57" spans="1:27" x14ac:dyDescent="0.25">
      <c r="A57" s="72" t="s">
        <v>2</v>
      </c>
      <c r="B57" s="65"/>
      <c r="C57" s="65"/>
      <c r="D57" s="66">
        <v>5614.3410658307203</v>
      </c>
      <c r="E57" s="66">
        <v>5976.5164403112194</v>
      </c>
      <c r="F57" s="66">
        <v>5852.5547350048037</v>
      </c>
      <c r="G57" s="66">
        <v>5537.7698384398054</v>
      </c>
      <c r="H57" s="66">
        <v>5772.5394584938604</v>
      </c>
      <c r="I57" s="66">
        <v>5493.0435123070411</v>
      </c>
      <c r="J57" s="66">
        <v>5409.8436227375569</v>
      </c>
      <c r="K57" s="66">
        <v>5327.0683997366923</v>
      </c>
      <c r="L57" s="66">
        <v>5330.3557362454749</v>
      </c>
      <c r="M57" s="66">
        <v>5433.1450321425673</v>
      </c>
      <c r="N57" s="66">
        <v>5172.9976670201486</v>
      </c>
      <c r="O57" s="66">
        <v>5205.490817011645</v>
      </c>
      <c r="P57" s="66">
        <v>5172.3959232846901</v>
      </c>
      <c r="Q57" s="66">
        <v>5007.2186604584531</v>
      </c>
      <c r="R57" s="66">
        <v>5132.9880593044318</v>
      </c>
      <c r="S57" s="66">
        <v>5270.0109839999996</v>
      </c>
      <c r="T57" s="66">
        <v>5437.3323382890194</v>
      </c>
      <c r="U57" s="66">
        <v>5553.609415113242</v>
      </c>
      <c r="V57" s="66">
        <v>5598.8720903033745</v>
      </c>
      <c r="W57" s="66">
        <v>5740.9308260303023</v>
      </c>
      <c r="X57" s="66">
        <v>5553.6464223035664</v>
      </c>
      <c r="Y57" s="66">
        <v>5308.1723033817179</v>
      </c>
      <c r="Z57" s="66">
        <v>5154.7013458339643</v>
      </c>
      <c r="AA57" s="66">
        <v>5765.1</v>
      </c>
    </row>
    <row r="58" spans="1:27" x14ac:dyDescent="0.25">
      <c r="A58" s="72" t="s">
        <v>269</v>
      </c>
      <c r="B58" s="65"/>
      <c r="C58" s="65"/>
      <c r="D58" s="66">
        <v>5720.7624026696321</v>
      </c>
      <c r="E58" s="66">
        <v>6526.2901892178079</v>
      </c>
      <c r="F58" s="66">
        <v>6411.7397973128409</v>
      </c>
      <c r="G58" s="66">
        <v>6158.8905559974764</v>
      </c>
      <c r="H58" s="66">
        <v>7686.7651313772276</v>
      </c>
      <c r="I58" s="66">
        <v>8331.3555051248168</v>
      </c>
      <c r="J58" s="66">
        <v>9239.5607324660632</v>
      </c>
      <c r="K58" s="66">
        <v>10081.840065157483</v>
      </c>
      <c r="L58" s="66">
        <v>9897.8557896611092</v>
      </c>
      <c r="M58" s="66">
        <v>8922.7676011066815</v>
      </c>
      <c r="N58" s="66">
        <v>10438.916755037117</v>
      </c>
      <c r="O58" s="66">
        <v>11413.187304571353</v>
      </c>
      <c r="P58" s="66">
        <v>11017.107113848786</v>
      </c>
      <c r="Q58" s="66">
        <v>11087.585780802294</v>
      </c>
      <c r="R58" s="66">
        <v>13087.500181105666</v>
      </c>
      <c r="S58" s="66">
        <v>14080.79538</v>
      </c>
      <c r="T58" s="66">
        <v>15435.478492586009</v>
      </c>
      <c r="U58" s="66">
        <v>15835.279388055091</v>
      </c>
      <c r="V58" s="66">
        <v>15486.679539977318</v>
      </c>
      <c r="W58" s="66">
        <v>16294.195845576025</v>
      </c>
      <c r="X58" s="66">
        <v>12531.280399137544</v>
      </c>
      <c r="Y58" s="66">
        <v>12711.895206444331</v>
      </c>
      <c r="Z58" s="66">
        <v>12811.329595974872</v>
      </c>
      <c r="AA58" s="66">
        <v>14720.3</v>
      </c>
    </row>
    <row r="59" spans="1:27" x14ac:dyDescent="0.25">
      <c r="A59" s="72" t="s">
        <v>270</v>
      </c>
      <c r="B59" s="65"/>
      <c r="C59" s="65"/>
      <c r="D59" s="66">
        <v>10892.729942360196</v>
      </c>
      <c r="E59" s="66">
        <v>11700.191759127112</v>
      </c>
      <c r="F59" s="66">
        <v>11359.846737115568</v>
      </c>
      <c r="G59" s="66">
        <v>11702.448616177964</v>
      </c>
      <c r="H59" s="66">
        <v>13119.348843533786</v>
      </c>
      <c r="I59" s="66">
        <v>14324.94423302327</v>
      </c>
      <c r="J59" s="66">
        <v>16790.3504949095</v>
      </c>
      <c r="K59" s="66">
        <v>18540.059806535832</v>
      </c>
      <c r="L59" s="66">
        <v>18130.146014600276</v>
      </c>
      <c r="M59" s="66">
        <v>15645.265017495323</v>
      </c>
      <c r="N59" s="66">
        <v>17080.009119830331</v>
      </c>
      <c r="O59" s="66">
        <v>19128.473897446718</v>
      </c>
      <c r="P59" s="66">
        <v>19617.159621475625</v>
      </c>
      <c r="Q59" s="66">
        <v>19839.115508595991</v>
      </c>
      <c r="R59" s="66">
        <v>21341.803386778265</v>
      </c>
      <c r="S59" s="66">
        <v>22528.623312000003</v>
      </c>
      <c r="T59" s="66">
        <v>22569.242030202982</v>
      </c>
      <c r="U59" s="66">
        <v>23447.289709475972</v>
      </c>
      <c r="V59" s="66">
        <v>23312.213956620359</v>
      </c>
      <c r="W59" s="66">
        <v>23602.003883594371</v>
      </c>
      <c r="X59" s="66">
        <v>21812.092493606782</v>
      </c>
      <c r="Y59" s="66">
        <v>21100.035440712923</v>
      </c>
      <c r="Z59" s="66">
        <v>21636.914685949167</v>
      </c>
      <c r="AA59" s="66">
        <v>22832.5</v>
      </c>
    </row>
    <row r="60" spans="1:27" x14ac:dyDescent="0.25">
      <c r="A60" s="72" t="s">
        <v>1</v>
      </c>
      <c r="B60" s="65"/>
      <c r="C60" s="65"/>
      <c r="D60" s="66">
        <v>2373.2778845181515</v>
      </c>
      <c r="E60" s="66">
        <v>2404.60625201418</v>
      </c>
      <c r="F60" s="66">
        <v>2153.0601593895035</v>
      </c>
      <c r="G60" s="66">
        <v>2059.716444029953</v>
      </c>
      <c r="H60" s="66">
        <v>1818.7957020783065</v>
      </c>
      <c r="I60" s="66">
        <v>1781.9652559914216</v>
      </c>
      <c r="J60" s="66">
        <v>1804.1100678733033</v>
      </c>
      <c r="K60" s="66">
        <v>1794.584917827935</v>
      </c>
      <c r="L60" s="66">
        <v>1762.8694047124461</v>
      </c>
      <c r="M60" s="66">
        <v>1583.5803197981936</v>
      </c>
      <c r="N60" s="66">
        <v>1481.6424178154825</v>
      </c>
      <c r="O60" s="66">
        <v>1489.3738456521323</v>
      </c>
      <c r="P60" s="66">
        <v>1352.8314245185861</v>
      </c>
      <c r="Q60" s="66">
        <v>1398.5651862464185</v>
      </c>
      <c r="R60" s="66">
        <v>1489.8205109840076</v>
      </c>
      <c r="S60" s="66">
        <v>1505.5551</v>
      </c>
      <c r="T60" s="66">
        <v>1548.6534745150138</v>
      </c>
      <c r="U60" s="66">
        <v>1591.825981443164</v>
      </c>
      <c r="V60" s="66">
        <v>1499.6388113127305</v>
      </c>
      <c r="W60" s="66">
        <v>1472.0406346610798</v>
      </c>
      <c r="X60" s="66">
        <v>1371.0814721957581</v>
      </c>
      <c r="Y60" s="66">
        <v>1275.4976098377242</v>
      </c>
      <c r="Z60" s="66">
        <v>1255.7611179082526</v>
      </c>
      <c r="AA60" s="66">
        <v>1350.1</v>
      </c>
    </row>
    <row r="61" spans="1:27" x14ac:dyDescent="0.25">
      <c r="A61" s="72" t="s">
        <v>0</v>
      </c>
      <c r="B61" s="65"/>
      <c r="C61" s="65"/>
      <c r="D61" s="66">
        <v>1239.8496106785317</v>
      </c>
      <c r="E61" s="66">
        <v>1366.0893697343586</v>
      </c>
      <c r="F61" s="66">
        <v>1366.3355351996431</v>
      </c>
      <c r="G61" s="66">
        <v>1463.9748525660366</v>
      </c>
      <c r="H61" s="66">
        <v>1547.2206150933837</v>
      </c>
      <c r="I61" s="66">
        <v>1600.0040150627201</v>
      </c>
      <c r="J61" s="66">
        <v>1631.9621606334842</v>
      </c>
      <c r="K61" s="66">
        <v>1689.1808990393736</v>
      </c>
      <c r="L61" s="66">
        <v>1709.8821651136568</v>
      </c>
      <c r="M61" s="66">
        <v>1391.886361786964</v>
      </c>
      <c r="N61" s="66">
        <v>1330.5454931071049</v>
      </c>
      <c r="O61" s="66">
        <v>1332.7451514512077</v>
      </c>
      <c r="P61" s="66">
        <v>1332.329199619144</v>
      </c>
      <c r="Q61" s="66">
        <v>1279.8647922636105</v>
      </c>
      <c r="R61" s="66">
        <v>1382.0285921848301</v>
      </c>
      <c r="S61" s="66">
        <v>1460.5913519999999</v>
      </c>
      <c r="T61" s="66">
        <v>1540.0912458241353</v>
      </c>
      <c r="U61" s="66">
        <v>1616.5985263138184</v>
      </c>
      <c r="V61" s="66">
        <v>1731.049461298554</v>
      </c>
      <c r="W61" s="66">
        <v>1762.2184419632592</v>
      </c>
      <c r="X61" s="66">
        <v>1696.9286767286771</v>
      </c>
      <c r="Y61" s="66">
        <v>1854.1207331595126</v>
      </c>
      <c r="Z61" s="66">
        <v>1788.1904430666871</v>
      </c>
      <c r="AA61" s="66">
        <v>1514.5</v>
      </c>
    </row>
    <row r="62" spans="1:27" x14ac:dyDescent="0.25">
      <c r="A62" s="78" t="s">
        <v>271</v>
      </c>
      <c r="B62" s="79"/>
      <c r="C62" s="79"/>
      <c r="D62" s="80">
        <v>3937.8630397411266</v>
      </c>
      <c r="E62" s="80">
        <v>4057.9131715851026</v>
      </c>
      <c r="F62" s="80">
        <v>4236.057461404198</v>
      </c>
      <c r="G62" s="80">
        <v>4482.755114244178</v>
      </c>
      <c r="H62" s="80">
        <v>4773.4460906776158</v>
      </c>
      <c r="I62" s="80">
        <v>5106.8565849522438</v>
      </c>
      <c r="J62" s="80">
        <v>6034.7405260180994</v>
      </c>
      <c r="K62" s="80">
        <v>6025.5964074127796</v>
      </c>
      <c r="L62" s="80">
        <v>6107.1807822422707</v>
      </c>
      <c r="M62" s="80">
        <v>5762.5416266579869</v>
      </c>
      <c r="N62" s="80">
        <v>5846.3990455991525</v>
      </c>
      <c r="O62" s="80">
        <v>6139.3465901897216</v>
      </c>
      <c r="P62" s="80">
        <v>6056.6726541398675</v>
      </c>
      <c r="Q62" s="80">
        <v>6200.1979942693415</v>
      </c>
      <c r="R62" s="80">
        <v>6728.4413289267704</v>
      </c>
      <c r="S62" s="80">
        <v>7301.0088720000003</v>
      </c>
      <c r="T62" s="80">
        <v>7672.5497059800346</v>
      </c>
      <c r="U62" s="80">
        <v>7649.7010645369683</v>
      </c>
      <c r="V62" s="80">
        <v>7378.3897859370572</v>
      </c>
      <c r="W62" s="80">
        <v>7550.2910651779566</v>
      </c>
      <c r="X62" s="80">
        <v>6895.1547510404662</v>
      </c>
      <c r="Y62" s="80">
        <v>6738.9379958750051</v>
      </c>
      <c r="Z62" s="80">
        <v>6281.3717828519584</v>
      </c>
      <c r="AA62" s="80">
        <v>6426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3.5441023045209886E-2</v>
      </c>
      <c r="E66" s="83">
        <f t="shared" ref="E66:S66" si="55">E24/E$23</f>
        <v>3.4911996544649604E-2</v>
      </c>
      <c r="F66" s="83">
        <f t="shared" si="55"/>
        <v>2.8925439770518788E-2</v>
      </c>
      <c r="G66" s="83">
        <f t="shared" si="55"/>
        <v>2.6584100426638682E-2</v>
      </c>
      <c r="H66" s="83">
        <f t="shared" si="55"/>
        <v>2.658807134703392E-2</v>
      </c>
      <c r="I66" s="83">
        <f t="shared" si="55"/>
        <v>2.5220803433129182E-2</v>
      </c>
      <c r="J66" s="83">
        <f t="shared" si="55"/>
        <v>2.3797514868478118E-2</v>
      </c>
      <c r="K66" s="83">
        <f t="shared" si="55"/>
        <v>2.3065541851810333E-2</v>
      </c>
      <c r="L66" s="83">
        <f t="shared" si="55"/>
        <v>2.1169577977427381E-2</v>
      </c>
      <c r="M66" s="83">
        <f t="shared" si="55"/>
        <v>1.9443103075405345E-2</v>
      </c>
      <c r="N66" s="83">
        <f t="shared" si="55"/>
        <v>1.6806594751105172E-2</v>
      </c>
      <c r="O66" s="83">
        <f t="shared" si="55"/>
        <v>2.1726192057731037E-2</v>
      </c>
      <c r="P66" s="83">
        <f t="shared" si="55"/>
        <v>2.4792928672755728E-2</v>
      </c>
      <c r="Q66" s="83">
        <f t="shared" si="55"/>
        <v>2.6174434625403063E-2</v>
      </c>
      <c r="R66" s="83">
        <f t="shared" si="55"/>
        <v>2.6433934273018166E-2</v>
      </c>
      <c r="S66" s="83">
        <f t="shared" si="55"/>
        <v>2.5069472916951392E-2</v>
      </c>
      <c r="T66" s="83">
        <f t="shared" ref="T66:Y66" si="56">T24/T$23</f>
        <v>2.3855811266201642E-2</v>
      </c>
      <c r="U66" s="83">
        <f t="shared" si="56"/>
        <v>2.3395198288467544E-2</v>
      </c>
      <c r="V66" s="83">
        <f t="shared" si="56"/>
        <v>2.1815735669895687E-2</v>
      </c>
      <c r="W66" s="83">
        <f t="shared" si="56"/>
        <v>2.0897635633808583E-2</v>
      </c>
      <c r="X66" s="83">
        <f t="shared" si="56"/>
        <v>2.1315840554247692E-2</v>
      </c>
      <c r="Y66" s="83">
        <f t="shared" si="56"/>
        <v>1.9298002275442747E-2</v>
      </c>
      <c r="Z66" s="83">
        <f t="shared" ref="Z66:AA66" si="57">Z24/Z$23</f>
        <v>2.2807130357298696E-2</v>
      </c>
      <c r="AA66" s="83">
        <f t="shared" si="57"/>
        <v>2.3308905253117535E-2</v>
      </c>
    </row>
    <row r="67" spans="1:27" x14ac:dyDescent="0.25">
      <c r="A67" s="64" t="s">
        <v>56</v>
      </c>
      <c r="B67" s="65"/>
      <c r="C67" s="65"/>
      <c r="D67" s="83">
        <f t="shared" si="51"/>
        <v>1.3109569428255747E-2</v>
      </c>
      <c r="E67" s="83">
        <f t="shared" ref="E67:S67" si="58">E25/E$23</f>
        <v>1.276751970629522E-2</v>
      </c>
      <c r="F67" s="83">
        <f t="shared" si="58"/>
        <v>1.1907595165877225E-2</v>
      </c>
      <c r="G67" s="83">
        <f t="shared" si="58"/>
        <v>1.061741536366307E-2</v>
      </c>
      <c r="H67" s="83">
        <f t="shared" si="58"/>
        <v>1.1521307519583263E-2</v>
      </c>
      <c r="I67" s="83">
        <f t="shared" si="58"/>
        <v>1.2354579124275719E-2</v>
      </c>
      <c r="J67" s="83">
        <f t="shared" si="58"/>
        <v>1.2984111391436251E-2</v>
      </c>
      <c r="K67" s="83">
        <f t="shared" si="58"/>
        <v>1.2811981488415943E-2</v>
      </c>
      <c r="L67" s="83">
        <f t="shared" si="58"/>
        <v>1.3884660467403458E-2</v>
      </c>
      <c r="M67" s="83">
        <f t="shared" si="58"/>
        <v>1.227512505665003E-2</v>
      </c>
      <c r="N67" s="83">
        <f t="shared" si="58"/>
        <v>1.231104637472202E-2</v>
      </c>
      <c r="O67" s="83">
        <f t="shared" si="58"/>
        <v>1.2571539405791176E-2</v>
      </c>
      <c r="P67" s="83">
        <f t="shared" si="58"/>
        <v>1.1576465955324619E-2</v>
      </c>
      <c r="Q67" s="83">
        <f t="shared" si="58"/>
        <v>9.0058711194636459E-3</v>
      </c>
      <c r="R67" s="83">
        <f t="shared" si="58"/>
        <v>9.889149340461147E-3</v>
      </c>
      <c r="S67" s="83">
        <f t="shared" si="58"/>
        <v>8.9576133856576635E-3</v>
      </c>
      <c r="T67" s="83">
        <f t="shared" ref="T67:Y67" si="59">T25/T$23</f>
        <v>7.235101431522257E-3</v>
      </c>
      <c r="U67" s="83">
        <f t="shared" si="59"/>
        <v>7.0366891696887514E-3</v>
      </c>
      <c r="V67" s="83">
        <f t="shared" si="59"/>
        <v>6.7071838288458759E-3</v>
      </c>
      <c r="W67" s="83">
        <f t="shared" si="59"/>
        <v>5.6465776991536272E-3</v>
      </c>
      <c r="X67" s="83">
        <f t="shared" si="59"/>
        <v>5.0065041812666416E-3</v>
      </c>
      <c r="Y67" s="83">
        <f t="shared" si="59"/>
        <v>5.1218061542015799E-3</v>
      </c>
      <c r="Z67" s="83">
        <f t="shared" ref="Z67:AA67" si="60">Z25/Z$23</f>
        <v>5.5936931516083564E-3</v>
      </c>
      <c r="AA67" s="83">
        <f t="shared" si="60"/>
        <v>5.6381025136906533E-3</v>
      </c>
    </row>
    <row r="68" spans="1:27" x14ac:dyDescent="0.25">
      <c r="A68" s="64" t="s">
        <v>146</v>
      </c>
      <c r="B68" s="65"/>
      <c r="C68" s="65"/>
      <c r="D68" s="83">
        <f t="shared" si="51"/>
        <v>0.61825809945714694</v>
      </c>
      <c r="E68" s="83">
        <f t="shared" ref="E68:S68" si="61">E26/E$23</f>
        <v>0.61431810819565924</v>
      </c>
      <c r="F68" s="83">
        <f t="shared" si="61"/>
        <v>0.62855988834534227</v>
      </c>
      <c r="G68" s="83">
        <f t="shared" si="61"/>
        <v>0.63996047047023663</v>
      </c>
      <c r="H68" s="83">
        <f t="shared" si="61"/>
        <v>0.62556377772988159</v>
      </c>
      <c r="I68" s="83">
        <f t="shared" si="61"/>
        <v>0.62451351153804957</v>
      </c>
      <c r="J68" s="83">
        <f t="shared" si="61"/>
        <v>0.61973900145328364</v>
      </c>
      <c r="K68" s="83">
        <f t="shared" si="61"/>
        <v>0.62127417004357577</v>
      </c>
      <c r="L68" s="83">
        <f t="shared" si="61"/>
        <v>0.62944724939195862</v>
      </c>
      <c r="M68" s="83">
        <f t="shared" si="61"/>
        <v>0.63736067642325955</v>
      </c>
      <c r="N68" s="83">
        <f t="shared" si="61"/>
        <v>0.64245455345175495</v>
      </c>
      <c r="O68" s="83">
        <f t="shared" si="61"/>
        <v>0.6319885430671206</v>
      </c>
      <c r="P68" s="83">
        <f t="shared" si="61"/>
        <v>0.63453806337947571</v>
      </c>
      <c r="Q68" s="83">
        <f t="shared" si="61"/>
        <v>0.63425050464687827</v>
      </c>
      <c r="R68" s="83">
        <f t="shared" si="61"/>
        <v>0.62423803362183272</v>
      </c>
      <c r="S68" s="83">
        <f t="shared" si="61"/>
        <v>0.62273244954671747</v>
      </c>
      <c r="T68" s="83">
        <f t="shared" ref="T68:Y68" si="62">T26/T$23</f>
        <v>0.62913332523302845</v>
      </c>
      <c r="U68" s="83">
        <f t="shared" si="62"/>
        <v>0.63759158737518895</v>
      </c>
      <c r="V68" s="83">
        <f t="shared" si="62"/>
        <v>0.65127575079505706</v>
      </c>
      <c r="W68" s="83">
        <f t="shared" si="62"/>
        <v>0.65770400744572322</v>
      </c>
      <c r="X68" s="83">
        <f t="shared" si="62"/>
        <v>0.67268589812968604</v>
      </c>
      <c r="Y68" s="83">
        <f t="shared" si="62"/>
        <v>0.68751786384902436</v>
      </c>
      <c r="Z68" s="83">
        <f t="shared" ref="Z68:AA68" si="63">Z26/Z$23</f>
        <v>0.67522448110644184</v>
      </c>
      <c r="AA68" s="83">
        <f t="shared" si="63"/>
        <v>0.66884993108137858</v>
      </c>
    </row>
    <row r="69" spans="1:27" x14ac:dyDescent="0.25">
      <c r="A69" s="68" t="s">
        <v>148</v>
      </c>
      <c r="B69" s="69"/>
      <c r="C69" s="69"/>
      <c r="D69" s="84">
        <f t="shared" si="51"/>
        <v>0.25537718851369046</v>
      </c>
      <c r="E69" s="84">
        <f t="shared" ref="E69:S69" si="64">E27/E$23</f>
        <v>0.25378972753122409</v>
      </c>
      <c r="F69" s="84">
        <f t="shared" si="64"/>
        <v>0.26424826600498263</v>
      </c>
      <c r="G69" s="84">
        <f t="shared" si="64"/>
        <v>0.27006314154054528</v>
      </c>
      <c r="H69" s="84">
        <f t="shared" si="64"/>
        <v>0.26093486464202759</v>
      </c>
      <c r="I69" s="84">
        <f t="shared" si="64"/>
        <v>0.25507765292033263</v>
      </c>
      <c r="J69" s="84">
        <f t="shared" si="64"/>
        <v>0.24970828368340781</v>
      </c>
      <c r="K69" s="84">
        <f t="shared" si="64"/>
        <v>0.24519898521792305</v>
      </c>
      <c r="L69" s="84">
        <f t="shared" si="64"/>
        <v>0.24595314523044262</v>
      </c>
      <c r="M69" s="84">
        <f t="shared" si="64"/>
        <v>0.24656716506344256</v>
      </c>
      <c r="N69" s="84">
        <f t="shared" si="64"/>
        <v>0.24126660521457027</v>
      </c>
      <c r="O69" s="84">
        <f t="shared" si="64"/>
        <v>0.23629060542131838</v>
      </c>
      <c r="P69" s="84">
        <f t="shared" si="64"/>
        <v>0.2356634186087059</v>
      </c>
      <c r="Q69" s="84">
        <f t="shared" si="64"/>
        <v>0.23607433506083317</v>
      </c>
      <c r="R69" s="84">
        <f t="shared" si="64"/>
        <v>0.23145500595844032</v>
      </c>
      <c r="S69" s="84">
        <f t="shared" si="64"/>
        <v>0.22877122422017857</v>
      </c>
      <c r="T69" s="84">
        <f t="shared" ref="T69:Y69" si="65">T27/T$23</f>
        <v>0.23126659839266817</v>
      </c>
      <c r="U69" s="84">
        <f t="shared" si="65"/>
        <v>0.23263715726568232</v>
      </c>
      <c r="V69" s="84">
        <f t="shared" si="65"/>
        <v>0.23593175718146719</v>
      </c>
      <c r="W69" s="84">
        <f t="shared" si="65"/>
        <v>0.2378683862640894</v>
      </c>
      <c r="X69" s="84">
        <f t="shared" si="65"/>
        <v>0.2409120997805109</v>
      </c>
      <c r="Y69" s="84">
        <f t="shared" si="65"/>
        <v>0.24075406263756013</v>
      </c>
      <c r="Z69" s="84">
        <f t="shared" ref="Z69:AA69" si="66">Z27/Z$23</f>
        <v>0.23693257761222145</v>
      </c>
      <c r="AA69" s="84">
        <f t="shared" si="66"/>
        <v>0.23475007556307276</v>
      </c>
    </row>
    <row r="70" spans="1:27" x14ac:dyDescent="0.25">
      <c r="A70" s="68" t="s">
        <v>150</v>
      </c>
      <c r="B70" s="71"/>
      <c r="C70" s="71"/>
      <c r="D70" s="84">
        <f t="shared" si="51"/>
        <v>0.22676883663926325</v>
      </c>
      <c r="E70" s="84">
        <f t="shared" ref="E70:S70" si="67">E28/E$23</f>
        <v>0.22601015009178271</v>
      </c>
      <c r="F70" s="84">
        <f t="shared" si="67"/>
        <v>0.2282312192559042</v>
      </c>
      <c r="G70" s="84">
        <f t="shared" si="67"/>
        <v>0.23583371539476064</v>
      </c>
      <c r="H70" s="84">
        <f t="shared" si="67"/>
        <v>0.23399897593445981</v>
      </c>
      <c r="I70" s="84">
        <f t="shared" si="67"/>
        <v>0.23707795530163539</v>
      </c>
      <c r="J70" s="84">
        <f t="shared" si="67"/>
        <v>0.23589934749176961</v>
      </c>
      <c r="K70" s="84">
        <f t="shared" si="67"/>
        <v>0.24403505466259928</v>
      </c>
      <c r="L70" s="84">
        <f t="shared" si="67"/>
        <v>0.25316041870567391</v>
      </c>
      <c r="M70" s="84">
        <f t="shared" si="67"/>
        <v>0.26590361695635301</v>
      </c>
      <c r="N70" s="84">
        <f t="shared" si="67"/>
        <v>0.2760140287939058</v>
      </c>
      <c r="O70" s="84">
        <f t="shared" si="67"/>
        <v>0.27131701588347512</v>
      </c>
      <c r="P70" s="84">
        <f t="shared" si="67"/>
        <v>0.27265505163129944</v>
      </c>
      <c r="Q70" s="84">
        <f t="shared" si="67"/>
        <v>0.27410410993929546</v>
      </c>
      <c r="R70" s="84">
        <f t="shared" si="67"/>
        <v>0.26825697380718277</v>
      </c>
      <c r="S70" s="84">
        <f t="shared" si="67"/>
        <v>0.26649876022569757</v>
      </c>
      <c r="T70" s="84">
        <f t="shared" ref="T70:Y70" si="68">T28/T$23</f>
        <v>0.27206113911777763</v>
      </c>
      <c r="U70" s="84">
        <f t="shared" si="68"/>
        <v>0.27631896268843431</v>
      </c>
      <c r="V70" s="84">
        <f t="shared" si="68"/>
        <v>0.28786026717658286</v>
      </c>
      <c r="W70" s="84">
        <f t="shared" si="68"/>
        <v>0.2946362911789564</v>
      </c>
      <c r="X70" s="84">
        <f t="shared" si="68"/>
        <v>0.30636369518367917</v>
      </c>
      <c r="Y70" s="84">
        <f t="shared" si="68"/>
        <v>0.31503643072142057</v>
      </c>
      <c r="Z70" s="84">
        <f t="shared" ref="Z70:AA70" si="69">Z28/Z$23</f>
        <v>0.31013463961626025</v>
      </c>
      <c r="AA70" s="84">
        <f t="shared" si="69"/>
        <v>0.30981746827203804</v>
      </c>
    </row>
    <row r="71" spans="1:27" x14ac:dyDescent="0.25">
      <c r="A71" s="68" t="s">
        <v>152</v>
      </c>
      <c r="B71" s="71"/>
      <c r="C71" s="71"/>
      <c r="D71" s="84">
        <f t="shared" si="51"/>
        <v>0.13611207430419311</v>
      </c>
      <c r="E71" s="84">
        <f t="shared" ref="E71:S71" si="70">E29/E$23</f>
        <v>0.13451823057265233</v>
      </c>
      <c r="F71" s="84">
        <f t="shared" si="70"/>
        <v>0.13608040308445543</v>
      </c>
      <c r="G71" s="84">
        <f t="shared" si="70"/>
        <v>0.13406361353493065</v>
      </c>
      <c r="H71" s="84">
        <f t="shared" si="70"/>
        <v>0.13062993715339427</v>
      </c>
      <c r="I71" s="84">
        <f t="shared" si="70"/>
        <v>0.1323579033160816</v>
      </c>
      <c r="J71" s="84">
        <f t="shared" si="70"/>
        <v>0.13413137027810629</v>
      </c>
      <c r="K71" s="84">
        <f t="shared" si="70"/>
        <v>0.13204013016305366</v>
      </c>
      <c r="L71" s="84">
        <f t="shared" si="70"/>
        <v>0.13033368545584206</v>
      </c>
      <c r="M71" s="84">
        <f t="shared" si="70"/>
        <v>0.12488989440346397</v>
      </c>
      <c r="N71" s="84">
        <f t="shared" si="70"/>
        <v>0.12517391944327899</v>
      </c>
      <c r="O71" s="84">
        <f t="shared" si="70"/>
        <v>0.12438092176232714</v>
      </c>
      <c r="P71" s="84">
        <f t="shared" si="70"/>
        <v>0.12621959313947026</v>
      </c>
      <c r="Q71" s="84">
        <f t="shared" si="70"/>
        <v>0.12407205964674971</v>
      </c>
      <c r="R71" s="84">
        <f t="shared" si="70"/>
        <v>0.12452605385620968</v>
      </c>
      <c r="S71" s="84">
        <f t="shared" si="70"/>
        <v>0.12746246510084147</v>
      </c>
      <c r="T71" s="84">
        <f t="shared" ref="T71:Y71" si="71">T29/T$23</f>
        <v>0.12580558772258274</v>
      </c>
      <c r="U71" s="84">
        <f t="shared" si="71"/>
        <v>0.12863546742107232</v>
      </c>
      <c r="V71" s="84">
        <f t="shared" si="71"/>
        <v>0.12748372643700709</v>
      </c>
      <c r="W71" s="84">
        <f t="shared" si="71"/>
        <v>0.1251993300026773</v>
      </c>
      <c r="X71" s="84">
        <f t="shared" si="71"/>
        <v>0.12541010316549592</v>
      </c>
      <c r="Y71" s="84">
        <f t="shared" si="71"/>
        <v>0.13172737049004377</v>
      </c>
      <c r="Z71" s="84">
        <f t="shared" ref="Z71:AA71" si="72">Z29/Z$23</f>
        <v>0.12815726387796009</v>
      </c>
      <c r="AA71" s="84">
        <f t="shared" si="72"/>
        <v>0.12428238724626785</v>
      </c>
    </row>
    <row r="72" spans="1:27" x14ac:dyDescent="0.25">
      <c r="A72" s="64" t="s">
        <v>154</v>
      </c>
      <c r="B72" s="65"/>
      <c r="C72" s="65"/>
      <c r="D72" s="83">
        <f t="shared" si="51"/>
        <v>3.0317452069804126E-2</v>
      </c>
      <c r="E72" s="83">
        <f t="shared" ref="E72:S72" si="73">E30/E$23</f>
        <v>3.2529244502033629E-2</v>
      </c>
      <c r="F72" s="83">
        <f t="shared" si="73"/>
        <v>3.4520035210697693E-2</v>
      </c>
      <c r="G72" s="83">
        <f t="shared" si="73"/>
        <v>3.189895386869461E-2</v>
      </c>
      <c r="H72" s="83">
        <f t="shared" si="73"/>
        <v>3.2951418467619356E-2</v>
      </c>
      <c r="I72" s="83">
        <f t="shared" si="73"/>
        <v>3.3461194566348183E-2</v>
      </c>
      <c r="J72" s="83">
        <f t="shared" si="73"/>
        <v>3.680668726887501E-2</v>
      </c>
      <c r="K72" s="83">
        <f t="shared" si="73"/>
        <v>3.5561099596360959E-2</v>
      </c>
      <c r="L72" s="83">
        <f t="shared" si="73"/>
        <v>4.2651094270074533E-2</v>
      </c>
      <c r="M72" s="83">
        <f t="shared" si="73"/>
        <v>4.7898482431463149E-2</v>
      </c>
      <c r="N72" s="83">
        <f t="shared" si="73"/>
        <v>4.1288040656614025E-2</v>
      </c>
      <c r="O72" s="83">
        <f t="shared" si="73"/>
        <v>3.977311978233955E-2</v>
      </c>
      <c r="P72" s="83">
        <f t="shared" si="73"/>
        <v>4.0725917365321773E-2</v>
      </c>
      <c r="Q72" s="83">
        <f t="shared" si="73"/>
        <v>4.2609415639978082E-2</v>
      </c>
      <c r="R72" s="83">
        <f t="shared" si="73"/>
        <v>3.5607067125432393E-2</v>
      </c>
      <c r="S72" s="83">
        <f t="shared" si="73"/>
        <v>3.4517789622340658E-2</v>
      </c>
      <c r="T72" s="83">
        <f t="shared" ref="T72:Y72" si="74">T30/T$23</f>
        <v>3.2946957054332399E-2</v>
      </c>
      <c r="U72" s="83">
        <f t="shared" si="74"/>
        <v>3.081029517496274E-2</v>
      </c>
      <c r="V72" s="83">
        <f t="shared" si="74"/>
        <v>2.7837252431886176E-2</v>
      </c>
      <c r="W72" s="83">
        <f t="shared" si="74"/>
        <v>2.6839185401559208E-2</v>
      </c>
      <c r="X72" s="83">
        <f t="shared" si="74"/>
        <v>2.7673885931690147E-2</v>
      </c>
      <c r="Y72" s="83">
        <f t="shared" si="74"/>
        <v>2.7768090050399822E-2</v>
      </c>
      <c r="Z72" s="83">
        <f t="shared" ref="Z72:AA72" si="75">Z30/Z$23</f>
        <v>3.8155692428213879E-2</v>
      </c>
      <c r="AA72" s="83">
        <f t="shared" si="75"/>
        <v>3.3594247256668146E-2</v>
      </c>
    </row>
    <row r="73" spans="1:27" x14ac:dyDescent="0.25">
      <c r="A73" s="64" t="s">
        <v>37</v>
      </c>
      <c r="B73" s="65"/>
      <c r="C73" s="65"/>
      <c r="D73" s="83">
        <f t="shared" si="51"/>
        <v>6.1241762301819165E-2</v>
      </c>
      <c r="E73" s="83">
        <f t="shared" ref="E73:S73" si="76">E31/E$23</f>
        <v>5.9686858870532343E-2</v>
      </c>
      <c r="F73" s="83">
        <f t="shared" si="76"/>
        <v>6.326420593548579E-2</v>
      </c>
      <c r="G73" s="83">
        <f t="shared" si="76"/>
        <v>6.4988956068876766E-2</v>
      </c>
      <c r="H73" s="83">
        <f t="shared" si="76"/>
        <v>6.4485338642964907E-2</v>
      </c>
      <c r="I73" s="83">
        <f t="shared" si="76"/>
        <v>6.6572948488043432E-2</v>
      </c>
      <c r="J73" s="83">
        <f t="shared" si="76"/>
        <v>6.3313703026164805E-2</v>
      </c>
      <c r="K73" s="83">
        <f t="shared" si="76"/>
        <v>6.3976428816185635E-2</v>
      </c>
      <c r="L73" s="83">
        <f t="shared" si="76"/>
        <v>6.3345272806402772E-2</v>
      </c>
      <c r="M73" s="83">
        <f t="shared" si="76"/>
        <v>6.976912981522683E-2</v>
      </c>
      <c r="N73" s="83">
        <f t="shared" si="76"/>
        <v>6.9694151255200606E-2</v>
      </c>
      <c r="O73" s="83">
        <f t="shared" si="76"/>
        <v>6.369066281226253E-2</v>
      </c>
      <c r="P73" s="83">
        <f t="shared" si="76"/>
        <v>5.8499642810864796E-2</v>
      </c>
      <c r="Q73" s="83">
        <f t="shared" si="76"/>
        <v>5.7022081378924123E-2</v>
      </c>
      <c r="R73" s="83">
        <f t="shared" si="76"/>
        <v>5.5873146021742225E-2</v>
      </c>
      <c r="S73" s="83">
        <f t="shared" si="76"/>
        <v>5.583344722336113E-2</v>
      </c>
      <c r="T73" s="83">
        <f t="shared" ref="T73:Y73" si="77">T31/T$23</f>
        <v>5.3679604837369853E-2</v>
      </c>
      <c r="U73" s="83">
        <f t="shared" si="77"/>
        <v>5.3380903513374454E-2</v>
      </c>
      <c r="V73" s="83">
        <f t="shared" si="77"/>
        <v>5.4511829443820721E-2</v>
      </c>
      <c r="W73" s="83">
        <f t="shared" si="77"/>
        <v>5.434261758622267E-2</v>
      </c>
      <c r="X73" s="83">
        <f t="shared" si="77"/>
        <v>5.4993753763917165E-2</v>
      </c>
      <c r="Y73" s="83">
        <f t="shared" si="77"/>
        <v>5.4297094685088441E-2</v>
      </c>
      <c r="Z73" s="83">
        <f t="shared" ref="Z73:AA73" si="78">Z31/Z$23</f>
        <v>5.4683756129899522E-2</v>
      </c>
      <c r="AA73" s="83">
        <f t="shared" si="78"/>
        <v>5.6002300665296184E-2</v>
      </c>
    </row>
    <row r="74" spans="1:27" x14ac:dyDescent="0.25">
      <c r="A74" s="64" t="s">
        <v>58</v>
      </c>
      <c r="B74" s="65"/>
      <c r="C74" s="65"/>
      <c r="D74" s="83">
        <f t="shared" si="51"/>
        <v>0.24163209369776414</v>
      </c>
      <c r="E74" s="83">
        <f t="shared" ref="E74:S74" si="79">E32/E$23</f>
        <v>0.24578627218082999</v>
      </c>
      <c r="F74" s="83">
        <f t="shared" si="79"/>
        <v>0.23282283557207836</v>
      </c>
      <c r="G74" s="83">
        <f t="shared" si="79"/>
        <v>0.22595010380189021</v>
      </c>
      <c r="H74" s="83">
        <f t="shared" si="79"/>
        <v>0.238890086292917</v>
      </c>
      <c r="I74" s="83">
        <f t="shared" si="79"/>
        <v>0.23787696285015408</v>
      </c>
      <c r="J74" s="83">
        <f t="shared" si="79"/>
        <v>0.24335898199176209</v>
      </c>
      <c r="K74" s="83">
        <f t="shared" si="79"/>
        <v>0.2433107782036513</v>
      </c>
      <c r="L74" s="83">
        <f t="shared" si="79"/>
        <v>0.22950214508673311</v>
      </c>
      <c r="M74" s="83">
        <f t="shared" si="79"/>
        <v>0.21325348319799498</v>
      </c>
      <c r="N74" s="83">
        <f t="shared" si="79"/>
        <v>0.21744561351060332</v>
      </c>
      <c r="O74" s="83">
        <f t="shared" si="79"/>
        <v>0.23024994287475486</v>
      </c>
      <c r="P74" s="83">
        <f t="shared" si="79"/>
        <v>0.22986698181625756</v>
      </c>
      <c r="Q74" s="83">
        <f t="shared" si="79"/>
        <v>0.23093769258935276</v>
      </c>
      <c r="R74" s="83">
        <f t="shared" si="79"/>
        <v>0.24795866961751334</v>
      </c>
      <c r="S74" s="83">
        <f t="shared" si="79"/>
        <v>0.25288922730497149</v>
      </c>
      <c r="T74" s="83">
        <f t="shared" ref="T74:Y74" si="80">T32/T$23</f>
        <v>0.2531492001775455</v>
      </c>
      <c r="U74" s="83">
        <f t="shared" si="80"/>
        <v>0.24778532647831752</v>
      </c>
      <c r="V74" s="83">
        <f t="shared" si="80"/>
        <v>0.23785224783049436</v>
      </c>
      <c r="W74" s="83">
        <f t="shared" si="80"/>
        <v>0.23456997623353271</v>
      </c>
      <c r="X74" s="83">
        <f t="shared" si="80"/>
        <v>0.21832411743919253</v>
      </c>
      <c r="Y74" s="83">
        <f t="shared" si="80"/>
        <v>0.20599714298584287</v>
      </c>
      <c r="Z74" s="83">
        <f t="shared" ref="Z74:AA74" si="81">Z32/Z$23</f>
        <v>0.20353524682653784</v>
      </c>
      <c r="AA74" s="83">
        <f t="shared" si="81"/>
        <v>0.21260651322984886</v>
      </c>
    </row>
    <row r="75" spans="1:27" x14ac:dyDescent="0.25">
      <c r="A75" s="85" t="s">
        <v>158</v>
      </c>
      <c r="B75" s="86"/>
      <c r="C75" s="86"/>
      <c r="D75" s="87">
        <f t="shared" si="51"/>
        <v>1.586748719484506E-2</v>
      </c>
      <c r="E75" s="87">
        <f t="shared" ref="E75:S75" si="82">E33/E$23</f>
        <v>1.5030774214447684E-2</v>
      </c>
      <c r="F75" s="87">
        <f t="shared" si="82"/>
        <v>1.3471065222614955E-2</v>
      </c>
      <c r="G75" s="87">
        <f t="shared" si="82"/>
        <v>1.2976158137785488E-2</v>
      </c>
      <c r="H75" s="87">
        <f t="shared" si="82"/>
        <v>1.4942461885489403E-2</v>
      </c>
      <c r="I75" s="87">
        <f t="shared" si="82"/>
        <v>1.7049499418767069E-2</v>
      </c>
      <c r="J75" s="87">
        <f t="shared" si="82"/>
        <v>1.586442103254768E-2</v>
      </c>
      <c r="K75" s="87">
        <f t="shared" si="82"/>
        <v>1.4904512377495118E-2</v>
      </c>
      <c r="L75" s="87">
        <f t="shared" si="82"/>
        <v>1.2254816824781252E-2</v>
      </c>
      <c r="M75" s="87">
        <f t="shared" si="82"/>
        <v>7.9432911962411378E-3</v>
      </c>
      <c r="N75" s="87">
        <f t="shared" si="82"/>
        <v>7.055918639638818E-3</v>
      </c>
      <c r="O75" s="87">
        <f t="shared" si="82"/>
        <v>8.6923367147935787E-3</v>
      </c>
      <c r="P75" s="87">
        <f t="shared" si="82"/>
        <v>7.7889619398524698E-3</v>
      </c>
      <c r="Q75" s="87">
        <f t="shared" si="82"/>
        <v>8.5376792492289459E-3</v>
      </c>
      <c r="R75" s="87">
        <f t="shared" si="82"/>
        <v>9.9622342587734995E-3</v>
      </c>
      <c r="S75" s="87">
        <f t="shared" si="82"/>
        <v>9.8218759965377437E-3</v>
      </c>
      <c r="T75" s="87">
        <f t="shared" ref="T75:Y75" si="83">T33/T$23</f>
        <v>9.0186149966400286E-3</v>
      </c>
      <c r="U75" s="87">
        <f t="shared" si="83"/>
        <v>7.813272170597494E-3</v>
      </c>
      <c r="V75" s="87">
        <f t="shared" si="83"/>
        <v>7.831968487343707E-3</v>
      </c>
      <c r="W75" s="87">
        <f t="shared" si="83"/>
        <v>6.5125418080334025E-3</v>
      </c>
      <c r="X75" s="87">
        <f t="shared" si="83"/>
        <v>5.4389536185864094E-3</v>
      </c>
      <c r="Y75" s="87">
        <f t="shared" si="83"/>
        <v>4.6284878117528261E-3</v>
      </c>
      <c r="Z75" s="87">
        <f t="shared" ref="Z75:AA75" si="84">Z33/Z$23</f>
        <v>4.080220347209145E-3</v>
      </c>
      <c r="AA75" s="87">
        <f t="shared" si="84"/>
        <v>3.7689427924427377E-3</v>
      </c>
    </row>
    <row r="76" spans="1:27" x14ac:dyDescent="0.25">
      <c r="A76" s="88" t="s">
        <v>5</v>
      </c>
      <c r="B76" s="44"/>
      <c r="C76" s="44"/>
      <c r="D76" s="89">
        <f t="shared" si="51"/>
        <v>1.5085412492196981E-2</v>
      </c>
      <c r="E76" s="89">
        <f t="shared" ref="E76:S76" si="85">E34/E$23</f>
        <v>1.4374473706906015E-2</v>
      </c>
      <c r="F76" s="89">
        <f t="shared" si="85"/>
        <v>1.2727471087513221E-2</v>
      </c>
      <c r="G76" s="89">
        <f t="shared" si="85"/>
        <v>1.2314486209496343E-2</v>
      </c>
      <c r="H76" s="89">
        <f t="shared" si="85"/>
        <v>1.4180525458376305E-2</v>
      </c>
      <c r="I76" s="89">
        <f t="shared" si="85"/>
        <v>1.6077900465424649E-2</v>
      </c>
      <c r="J76" s="89">
        <f t="shared" si="85"/>
        <v>1.4941944063231287E-2</v>
      </c>
      <c r="K76" s="89">
        <f t="shared" si="85"/>
        <v>1.3972772341738346E-2</v>
      </c>
      <c r="L76" s="89">
        <f t="shared" si="85"/>
        <v>1.1427359115153418E-2</v>
      </c>
      <c r="M76" s="89">
        <f t="shared" si="85"/>
        <v>6.9321320068091944E-3</v>
      </c>
      <c r="N76" s="89">
        <f t="shared" si="85"/>
        <v>5.9548864266426322E-3</v>
      </c>
      <c r="O76" s="89">
        <f t="shared" si="85"/>
        <v>7.5780128620683423E-3</v>
      </c>
      <c r="P76" s="89">
        <f t="shared" si="85"/>
        <v>6.445689203082563E-3</v>
      </c>
      <c r="Q76" s="89">
        <f t="shared" si="85"/>
        <v>7.3036726019250747E-3</v>
      </c>
      <c r="R76" s="89">
        <f t="shared" si="85"/>
        <v>8.7092957458633092E-3</v>
      </c>
      <c r="S76" s="89">
        <f t="shared" si="85"/>
        <v>8.0044287586965874E-3</v>
      </c>
      <c r="T76" s="89">
        <f t="shared" ref="T76:Y76" si="86">T34/T$23</f>
        <v>7.3422542877032582E-3</v>
      </c>
      <c r="U76" s="89">
        <f t="shared" si="86"/>
        <v>6.0704450636308903E-3</v>
      </c>
      <c r="V76" s="89">
        <f t="shared" si="86"/>
        <v>6.4348157202936051E-3</v>
      </c>
      <c r="W76" s="89">
        <f t="shared" si="86"/>
        <v>5.1802157863844161E-3</v>
      </c>
      <c r="X76" s="89">
        <f t="shared" si="86"/>
        <v>4.1753612892255817E-3</v>
      </c>
      <c r="Y76" s="89">
        <f t="shared" si="86"/>
        <v>3.7686814896977202E-3</v>
      </c>
      <c r="Z76" s="89">
        <f t="shared" ref="Z76:AA76" si="87">Z34/Z$23</f>
        <v>3.1421385904346578E-3</v>
      </c>
      <c r="AA76" s="89">
        <f t="shared" si="87"/>
        <v>2.7634829085940349E-3</v>
      </c>
    </row>
    <row r="77" spans="1:27" x14ac:dyDescent="0.25">
      <c r="A77" s="88" t="s">
        <v>263</v>
      </c>
      <c r="B77" s="44"/>
      <c r="C77" s="44"/>
      <c r="D77" s="89">
        <f>D37/D$23</f>
        <v>7.8207470264807721E-4</v>
      </c>
      <c r="E77" s="89">
        <f t="shared" ref="E77:S77" si="88">E37/E$23</f>
        <v>6.5630050754167E-4</v>
      </c>
      <c r="F77" s="89">
        <f t="shared" si="88"/>
        <v>7.4359413510173306E-4</v>
      </c>
      <c r="G77" s="89">
        <f t="shared" si="88"/>
        <v>6.6167192828914441E-4</v>
      </c>
      <c r="H77" s="89">
        <f t="shared" si="88"/>
        <v>7.6193642711309864E-4</v>
      </c>
      <c r="I77" s="89">
        <f t="shared" si="88"/>
        <v>9.715989533424183E-4</v>
      </c>
      <c r="J77" s="89">
        <f t="shared" si="88"/>
        <v>9.2247696931639243E-4</v>
      </c>
      <c r="K77" s="89">
        <f t="shared" si="88"/>
        <v>9.3174003575677289E-4</v>
      </c>
      <c r="L77" s="89">
        <f t="shared" si="88"/>
        <v>8.274577096278339E-4</v>
      </c>
      <c r="M77" s="89">
        <f t="shared" si="88"/>
        <v>1.0111591894319428E-3</v>
      </c>
      <c r="N77" s="89">
        <f t="shared" si="88"/>
        <v>1.1010322129961863E-3</v>
      </c>
      <c r="O77" s="89">
        <f t="shared" si="88"/>
        <v>1.1143238527252359E-3</v>
      </c>
      <c r="P77" s="89">
        <f t="shared" si="88"/>
        <v>1.3432727367699072E-3</v>
      </c>
      <c r="Q77" s="89">
        <f t="shared" si="88"/>
        <v>1.2340066473038721E-3</v>
      </c>
      <c r="R77" s="89">
        <f t="shared" si="88"/>
        <v>1.2529385129101916E-3</v>
      </c>
      <c r="S77" s="89">
        <f t="shared" si="88"/>
        <v>1.8174472378411546E-3</v>
      </c>
      <c r="T77" s="89">
        <f t="shared" ref="T77:Y77" si="89">T37/T$23</f>
        <v>1.6763607089367698E-3</v>
      </c>
      <c r="U77" s="89">
        <f t="shared" si="89"/>
        <v>1.7428271069666044E-3</v>
      </c>
      <c r="V77" s="89">
        <f t="shared" si="89"/>
        <v>1.3971527670501016E-3</v>
      </c>
      <c r="W77" s="89">
        <f t="shared" si="89"/>
        <v>1.3323260216489856E-3</v>
      </c>
      <c r="X77" s="89">
        <f t="shared" si="89"/>
        <v>1.2635923293608275E-3</v>
      </c>
      <c r="Y77" s="89">
        <f t="shared" si="89"/>
        <v>8.5980632205510618E-4</v>
      </c>
      <c r="Z77" s="89">
        <f t="shared" ref="Z77:AA77" si="90">Z37/Z$23</f>
        <v>9.3808175677448683E-4</v>
      </c>
      <c r="AA77" s="89">
        <f t="shared" si="90"/>
        <v>1.0054598838487026E-3</v>
      </c>
    </row>
    <row r="78" spans="1:27" x14ac:dyDescent="0.25">
      <c r="A78" s="68" t="s">
        <v>265</v>
      </c>
      <c r="B78" s="44"/>
      <c r="C78" s="44"/>
      <c r="D78" s="89">
        <f>D43/D$23</f>
        <v>1.8024059205632804E-2</v>
      </c>
      <c r="E78" s="89">
        <f t="shared" ref="E78:S78" si="91">E43/E$23</f>
        <v>1.53633516898823E-2</v>
      </c>
      <c r="F78" s="89">
        <f t="shared" si="91"/>
        <v>1.3646612375700787E-2</v>
      </c>
      <c r="G78" s="89">
        <f t="shared" si="91"/>
        <v>1.4210226790843803E-2</v>
      </c>
      <c r="H78" s="89">
        <f t="shared" si="91"/>
        <v>1.4740613777900943E-2</v>
      </c>
      <c r="I78" s="89">
        <f t="shared" si="91"/>
        <v>1.4483263395141275E-2</v>
      </c>
      <c r="J78" s="89">
        <f t="shared" si="91"/>
        <v>1.3295727471152987E-2</v>
      </c>
      <c r="K78" s="89">
        <f t="shared" si="91"/>
        <v>1.2629918580513546E-2</v>
      </c>
      <c r="L78" s="89">
        <f t="shared" si="91"/>
        <v>1.2113831603710296E-2</v>
      </c>
      <c r="M78" s="89">
        <f t="shared" si="91"/>
        <v>1.1025806623630938E-2</v>
      </c>
      <c r="N78" s="89">
        <f t="shared" si="91"/>
        <v>1.1188710530176579E-2</v>
      </c>
      <c r="O78" s="89">
        <f t="shared" si="91"/>
        <v>1.1230424639845258E-2</v>
      </c>
      <c r="P78" s="89">
        <f t="shared" si="91"/>
        <v>1.2231947023389951E-2</v>
      </c>
      <c r="Q78" s="89">
        <f t="shared" si="91"/>
        <v>1.1631615259712059E-2</v>
      </c>
      <c r="R78" s="89">
        <f t="shared" si="91"/>
        <v>1.3252405090557872E-2</v>
      </c>
      <c r="S78" s="89">
        <f t="shared" si="91"/>
        <v>1.39420918018704E-2</v>
      </c>
      <c r="T78" s="89">
        <f t="shared" ref="T78:Y78" si="92">T43/T$23</f>
        <v>1.3021446797114639E-2</v>
      </c>
      <c r="U78" s="89">
        <f t="shared" si="92"/>
        <v>1.4277266676343362E-2</v>
      </c>
      <c r="V78" s="89">
        <f t="shared" si="92"/>
        <v>1.2694443190069921E-2</v>
      </c>
      <c r="W78" s="89">
        <f t="shared" si="92"/>
        <v>1.290083339152546E-2</v>
      </c>
      <c r="X78" s="89">
        <f t="shared" si="92"/>
        <v>1.1852419607706513E-2</v>
      </c>
      <c r="Y78" s="89">
        <f t="shared" si="92"/>
        <v>1.0445985886189507E-2</v>
      </c>
      <c r="Z78" s="89">
        <f t="shared" ref="Z78:AA78" si="93">Z43/Z$23</f>
        <v>1.4292636771588806E-2</v>
      </c>
      <c r="AA78" s="89">
        <f t="shared" si="93"/>
        <v>1.3125459263145758E-2</v>
      </c>
    </row>
    <row r="79" spans="1:27" x14ac:dyDescent="0.25">
      <c r="A79" s="88" t="s">
        <v>266</v>
      </c>
      <c r="B79" s="44"/>
      <c r="C79" s="44"/>
      <c r="D79" s="89">
        <f>D44/D$23</f>
        <v>1.3374001669919157E-2</v>
      </c>
      <c r="E79" s="89">
        <f t="shared" ref="E79:S79" si="94">E44/E$23</f>
        <v>1.098945398265126E-2</v>
      </c>
      <c r="F79" s="89">
        <f t="shared" si="94"/>
        <v>9.3189392967904759E-3</v>
      </c>
      <c r="G79" s="89">
        <f t="shared" si="94"/>
        <v>9.759467236337669E-3</v>
      </c>
      <c r="H79" s="89">
        <f t="shared" si="94"/>
        <v>1.0333026569825193E-2</v>
      </c>
      <c r="I79" s="89">
        <f t="shared" si="94"/>
        <v>9.7252635573458132E-3</v>
      </c>
      <c r="J79" s="89">
        <f t="shared" si="94"/>
        <v>8.6459327988071648E-3</v>
      </c>
      <c r="K79" s="89">
        <f t="shared" si="94"/>
        <v>8.4615525275340345E-3</v>
      </c>
      <c r="L79" s="89">
        <f t="shared" si="94"/>
        <v>8.3147226030639426E-3</v>
      </c>
      <c r="M79" s="89">
        <f t="shared" si="94"/>
        <v>6.7753126212786877E-3</v>
      </c>
      <c r="N79" s="89">
        <f t="shared" si="94"/>
        <v>6.5666547637831252E-3</v>
      </c>
      <c r="O79" s="89">
        <f t="shared" si="94"/>
        <v>6.9945212904460024E-3</v>
      </c>
      <c r="P79" s="89">
        <f t="shared" si="94"/>
        <v>7.8337377858615533E-3</v>
      </c>
      <c r="Q79" s="89">
        <f t="shared" si="94"/>
        <v>7.2196472232045877E-3</v>
      </c>
      <c r="R79" s="89">
        <f t="shared" si="94"/>
        <v>8.5968307351290893E-3</v>
      </c>
      <c r="S79" s="89">
        <f t="shared" si="94"/>
        <v>9.65982675699773E-3</v>
      </c>
      <c r="T79" s="89">
        <f t="shared" ref="T79:Y79" si="95">T44/T$23</f>
        <v>8.9349256218430508E-3</v>
      </c>
      <c r="U79" s="89">
        <f t="shared" si="95"/>
        <v>1.024581252326219E-2</v>
      </c>
      <c r="V79" s="89">
        <f t="shared" si="95"/>
        <v>9.1436116954766219E-3</v>
      </c>
      <c r="W79" s="89">
        <f t="shared" si="95"/>
        <v>9.0081412792475633E-3</v>
      </c>
      <c r="X79" s="89">
        <f t="shared" si="95"/>
        <v>7.4541735308902507E-3</v>
      </c>
      <c r="Y79" s="89">
        <f t="shared" si="95"/>
        <v>6.5765736434869118E-3</v>
      </c>
      <c r="Z79" s="89">
        <f t="shared" ref="Z79:AA79" si="96">Z44/Z$23</f>
        <v>1.0502931175180013E-2</v>
      </c>
      <c r="AA79" s="89">
        <f t="shared" si="96"/>
        <v>9.1412555273620195E-3</v>
      </c>
    </row>
    <row r="80" spans="1:27" x14ac:dyDescent="0.25">
      <c r="A80" s="88" t="s">
        <v>11</v>
      </c>
      <c r="B80" s="44"/>
      <c r="C80" s="44"/>
      <c r="D80" s="89">
        <f>D47/D$23</f>
        <v>4.6500575357136462E-3</v>
      </c>
      <c r="E80" s="89">
        <f t="shared" ref="E80:S80" si="97">E47/E$23</f>
        <v>4.3738977072310409E-3</v>
      </c>
      <c r="F80" s="89">
        <f t="shared" si="97"/>
        <v>4.3276730789103129E-3</v>
      </c>
      <c r="G80" s="89">
        <f t="shared" si="97"/>
        <v>4.4507595545061332E-3</v>
      </c>
      <c r="H80" s="89">
        <f t="shared" si="97"/>
        <v>4.4075872080757495E-3</v>
      </c>
      <c r="I80" s="89">
        <f t="shared" si="97"/>
        <v>4.7579998377954612E-3</v>
      </c>
      <c r="J80" s="89">
        <f t="shared" si="97"/>
        <v>4.6497946723458227E-3</v>
      </c>
      <c r="K80" s="89">
        <f t="shared" si="97"/>
        <v>4.1683660529795111E-3</v>
      </c>
      <c r="L80" s="89">
        <f t="shared" si="97"/>
        <v>3.7991090006463521E-3</v>
      </c>
      <c r="M80" s="89">
        <f t="shared" si="97"/>
        <v>4.2504940023522508E-3</v>
      </c>
      <c r="N80" s="89">
        <f t="shared" si="97"/>
        <v>4.6220557663934547E-3</v>
      </c>
      <c r="O80" s="89">
        <f t="shared" si="97"/>
        <v>4.2359033493992553E-3</v>
      </c>
      <c r="P80" s="89">
        <f t="shared" si="97"/>
        <v>4.3982092375283999E-3</v>
      </c>
      <c r="Q80" s="89">
        <f t="shared" si="97"/>
        <v>4.4119680365074711E-3</v>
      </c>
      <c r="R80" s="89">
        <f t="shared" si="97"/>
        <v>4.6555743554287819E-3</v>
      </c>
      <c r="S80" s="89">
        <f t="shared" si="97"/>
        <v>4.2822650448726711E-3</v>
      </c>
      <c r="T80" s="89">
        <f t="shared" ref="T80:Y80" si="98">T47/T$23</f>
        <v>4.0865211752715881E-3</v>
      </c>
      <c r="U80" s="89">
        <f t="shared" si="98"/>
        <v>4.0314541530811704E-3</v>
      </c>
      <c r="V80" s="89">
        <f t="shared" si="98"/>
        <v>3.5508314945932999E-3</v>
      </c>
      <c r="W80" s="89">
        <f t="shared" si="98"/>
        <v>3.8926921122778963E-3</v>
      </c>
      <c r="X80" s="89">
        <f t="shared" si="98"/>
        <v>4.3982460768162614E-3</v>
      </c>
      <c r="Y80" s="89">
        <f t="shared" si="98"/>
        <v>3.8694122427025946E-3</v>
      </c>
      <c r="Z80" s="89">
        <f t="shared" ref="Z80:AA80" si="99">Z47/Z$23</f>
        <v>3.7897055964087943E-3</v>
      </c>
      <c r="AA80" s="89">
        <f t="shared" si="99"/>
        <v>3.9842037357837382E-3</v>
      </c>
    </row>
    <row r="81" spans="1:27" x14ac:dyDescent="0.25">
      <c r="A81" s="68" t="s">
        <v>4</v>
      </c>
      <c r="B81" s="44"/>
      <c r="C81" s="44"/>
      <c r="D81" s="89">
        <f>D48/D$23</f>
        <v>2.1238572202844721E-2</v>
      </c>
      <c r="E81" s="89">
        <f t="shared" ref="E81:S81" si="100">E48/E$23</f>
        <v>2.0965338516358924E-2</v>
      </c>
      <c r="F81" s="89">
        <f t="shared" si="100"/>
        <v>1.8301724470650631E-2</v>
      </c>
      <c r="G81" s="89">
        <f t="shared" si="100"/>
        <v>1.6830778950525406E-2</v>
      </c>
      <c r="H81" s="89">
        <f t="shared" si="100"/>
        <v>1.6596019829010711E-2</v>
      </c>
      <c r="I81" s="89">
        <f t="shared" si="100"/>
        <v>1.6016196423690277E-2</v>
      </c>
      <c r="J81" s="89">
        <f t="shared" si="100"/>
        <v>1.6064934594596025E-2</v>
      </c>
      <c r="K81" s="89">
        <f t="shared" si="100"/>
        <v>1.5597782489682441E-2</v>
      </c>
      <c r="L81" s="89">
        <f t="shared" si="100"/>
        <v>1.452692647450449E-2</v>
      </c>
      <c r="M81" s="89">
        <f t="shared" si="100"/>
        <v>1.2515960645713657E-2</v>
      </c>
      <c r="N81" s="89">
        <f t="shared" si="100"/>
        <v>1.1296666915796786E-2</v>
      </c>
      <c r="O81" s="89">
        <f t="shared" si="100"/>
        <v>1.1926555533709211E-2</v>
      </c>
      <c r="P81" s="89">
        <f t="shared" si="100"/>
        <v>1.1179036220267315E-2</v>
      </c>
      <c r="Q81" s="89">
        <f t="shared" si="100"/>
        <v>1.1075776766923718E-2</v>
      </c>
      <c r="R81" s="89">
        <f t="shared" si="100"/>
        <v>1.1652138263609739E-2</v>
      </c>
      <c r="S81" s="89">
        <f t="shared" si="100"/>
        <v>1.2220074581698199E-2</v>
      </c>
      <c r="T81" s="89">
        <f t="shared" ref="T81:Y81" si="101">T48/T$23</f>
        <v>1.1275128509684413E-2</v>
      </c>
      <c r="U81" s="89">
        <f t="shared" si="101"/>
        <v>1.0951232281905842E-2</v>
      </c>
      <c r="V81" s="89">
        <f t="shared" si="101"/>
        <v>1.1294042170860344E-2</v>
      </c>
      <c r="W81" s="89">
        <f t="shared" si="101"/>
        <v>1.1128100536732074E-2</v>
      </c>
      <c r="X81" s="89">
        <f t="shared" si="101"/>
        <v>1.0609642595846128E-2</v>
      </c>
      <c r="Y81" s="89">
        <f t="shared" si="101"/>
        <v>1.0765314973992071E-2</v>
      </c>
      <c r="Z81" s="89">
        <f t="shared" ref="Z81:AA81" si="102">Z48/Z$23</f>
        <v>1.0254520011452179E-2</v>
      </c>
      <c r="AA81" s="89">
        <f t="shared" si="102"/>
        <v>9.5700717013392587E-3</v>
      </c>
    </row>
    <row r="82" spans="1:27" x14ac:dyDescent="0.25">
      <c r="A82" s="68" t="s">
        <v>3</v>
      </c>
      <c r="B82" s="44"/>
      <c r="C82" s="44"/>
      <c r="D82" s="89">
        <f>D52/D$23</f>
        <v>9.3375499063315347E-3</v>
      </c>
      <c r="E82" s="89">
        <f t="shared" ref="E82:S82" si="103">E52/E$23</f>
        <v>9.2963322895295679E-3</v>
      </c>
      <c r="F82" s="89">
        <f t="shared" si="103"/>
        <v>9.5243668163590024E-3</v>
      </c>
      <c r="G82" s="89">
        <f t="shared" si="103"/>
        <v>8.5364609516832626E-3</v>
      </c>
      <c r="H82" s="89">
        <f t="shared" si="103"/>
        <v>9.6487956966439612E-3</v>
      </c>
      <c r="I82" s="89">
        <f t="shared" si="103"/>
        <v>9.0844554983834612E-3</v>
      </c>
      <c r="J82" s="89">
        <f t="shared" si="103"/>
        <v>9.2068407807485778E-3</v>
      </c>
      <c r="K82" s="89">
        <f t="shared" si="103"/>
        <v>9.4020783792744065E-3</v>
      </c>
      <c r="L82" s="89">
        <f t="shared" si="103"/>
        <v>8.472735024747333E-3</v>
      </c>
      <c r="M82" s="89">
        <f t="shared" si="103"/>
        <v>7.9973574207004017E-3</v>
      </c>
      <c r="N82" s="89">
        <f t="shared" si="103"/>
        <v>8.3659278574532824E-3</v>
      </c>
      <c r="O82" s="89">
        <f t="shared" si="103"/>
        <v>7.6581040795395986E-3</v>
      </c>
      <c r="P82" s="89">
        <f t="shared" si="103"/>
        <v>7.0318430891534583E-3</v>
      </c>
      <c r="Q82" s="89">
        <f t="shared" si="103"/>
        <v>6.8986504936193226E-3</v>
      </c>
      <c r="R82" s="89">
        <f t="shared" si="103"/>
        <v>7.4120912909490773E-3</v>
      </c>
      <c r="S82" s="89">
        <f t="shared" si="103"/>
        <v>7.8356339118946759E-3</v>
      </c>
      <c r="T82" s="89">
        <f t="shared" ref="T82:Y82" si="104">T52/T$23</f>
        <v>7.9151550919095322E-3</v>
      </c>
      <c r="U82" s="89">
        <f t="shared" si="104"/>
        <v>7.7709130978206534E-3</v>
      </c>
      <c r="V82" s="89">
        <f t="shared" si="104"/>
        <v>7.5137899014373049E-3</v>
      </c>
      <c r="W82" s="89">
        <f t="shared" si="104"/>
        <v>7.4790929733608473E-3</v>
      </c>
      <c r="X82" s="89">
        <f t="shared" si="104"/>
        <v>7.4919993430253668E-3</v>
      </c>
      <c r="Y82" s="89">
        <f t="shared" si="104"/>
        <v>7.2192457322068811E-3</v>
      </c>
      <c r="Z82" s="89">
        <f t="shared" ref="Z82:AA82" si="105">Z52/Z$23</f>
        <v>7.0565611933534507E-3</v>
      </c>
      <c r="AA82" s="89">
        <f t="shared" si="105"/>
        <v>6.6720658159481411E-3</v>
      </c>
    </row>
    <row r="83" spans="1:27" x14ac:dyDescent="0.25">
      <c r="A83" s="88" t="s">
        <v>21</v>
      </c>
      <c r="B83" s="44"/>
      <c r="C83" s="44"/>
      <c r="D83" s="89">
        <f>D53/D$23</f>
        <v>5.8219306283681174E-3</v>
      </c>
      <c r="E83" s="89">
        <f t="shared" ref="E83:S83" si="106">E53/E$23</f>
        <v>5.9734369938451567E-3</v>
      </c>
      <c r="F83" s="89">
        <f t="shared" si="106"/>
        <v>5.4556569136320456E-3</v>
      </c>
      <c r="G83" s="89">
        <f t="shared" si="106"/>
        <v>4.8084427995658636E-3</v>
      </c>
      <c r="H83" s="89">
        <f t="shared" si="106"/>
        <v>5.5844643099474634E-3</v>
      </c>
      <c r="I83" s="89">
        <f t="shared" si="106"/>
        <v>5.2155768423982644E-3</v>
      </c>
      <c r="J83" s="89">
        <f t="shared" si="106"/>
        <v>5.0631882716349278E-3</v>
      </c>
      <c r="K83" s="89">
        <f t="shared" si="106"/>
        <v>4.8290397493415127E-3</v>
      </c>
      <c r="L83" s="89">
        <f t="shared" si="106"/>
        <v>3.9904947355301141E-3</v>
      </c>
      <c r="M83" s="89">
        <f t="shared" si="106"/>
        <v>3.9431312194673955E-3</v>
      </c>
      <c r="N83" s="89">
        <f t="shared" si="106"/>
        <v>4.0898861475348585E-3</v>
      </c>
      <c r="O83" s="89">
        <f t="shared" si="106"/>
        <v>3.81344223442075E-3</v>
      </c>
      <c r="P83" s="89">
        <f t="shared" si="106"/>
        <v>3.7007915148414968E-3</v>
      </c>
      <c r="Q83" s="89">
        <f t="shared" si="106"/>
        <v>3.6622808693591944E-3</v>
      </c>
      <c r="R83" s="89">
        <f t="shared" si="106"/>
        <v>4.1121923933473926E-3</v>
      </c>
      <c r="S83" s="89">
        <f t="shared" si="106"/>
        <v>4.5074418998158235E-3</v>
      </c>
      <c r="T83" s="89">
        <f t="shared" ref="T83:Y83" si="107">T53/T$23</f>
        <v>4.6016757712440829E-3</v>
      </c>
      <c r="U83" s="89">
        <f t="shared" si="107"/>
        <v>4.6820895109334409E-3</v>
      </c>
      <c r="V83" s="89">
        <f t="shared" si="107"/>
        <v>4.4254333171908303E-3</v>
      </c>
      <c r="W83" s="89">
        <f t="shared" si="107"/>
        <v>4.5914792278185651E-3</v>
      </c>
      <c r="X83" s="89">
        <f t="shared" si="107"/>
        <v>4.7779973223306673E-3</v>
      </c>
      <c r="Y83" s="89">
        <f t="shared" si="107"/>
        <v>4.3996947642071333E-3</v>
      </c>
      <c r="Z83" s="89">
        <f t="shared" ref="Z83:AA83" si="108">Z53/Z$23</f>
        <v>4.2827003250396926E-3</v>
      </c>
      <c r="AA83" s="89">
        <f t="shared" si="108"/>
        <v>4.1237310350332925E-3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3.5156192779634168E-3</v>
      </c>
      <c r="E84" s="89">
        <f t="shared" ref="E84:S84" si="110">E56/E$23</f>
        <v>3.3228952956844103E-3</v>
      </c>
      <c r="F84" s="89">
        <f t="shared" si="110"/>
        <v>4.0687099027269559E-3</v>
      </c>
      <c r="G84" s="89">
        <f t="shared" si="110"/>
        <v>3.7280181521173981E-3</v>
      </c>
      <c r="H84" s="89">
        <f t="shared" si="110"/>
        <v>4.0643313866964978E-3</v>
      </c>
      <c r="I84" s="89">
        <f t="shared" si="110"/>
        <v>3.8688786559851964E-3</v>
      </c>
      <c r="J84" s="89">
        <f t="shared" si="110"/>
        <v>4.1436525091136491E-3</v>
      </c>
      <c r="K84" s="89">
        <f t="shared" si="110"/>
        <v>4.5730386299328938E-3</v>
      </c>
      <c r="L84" s="89">
        <f t="shared" si="110"/>
        <v>4.4822402892172181E-3</v>
      </c>
      <c r="M84" s="89">
        <f t="shared" si="110"/>
        <v>4.0542262012330053E-3</v>
      </c>
      <c r="N84" s="89">
        <f t="shared" si="110"/>
        <v>4.2760417099184248E-3</v>
      </c>
      <c r="O84" s="89">
        <f t="shared" si="110"/>
        <v>3.8446618451188483E-3</v>
      </c>
      <c r="P84" s="89">
        <f t="shared" si="110"/>
        <v>3.3310515743119615E-3</v>
      </c>
      <c r="Q84" s="89">
        <f t="shared" si="110"/>
        <v>3.2363696242601278E-3</v>
      </c>
      <c r="R84" s="89">
        <f t="shared" si="110"/>
        <v>3.2998988976016838E-3</v>
      </c>
      <c r="S84" s="89">
        <f t="shared" si="110"/>
        <v>3.3281920120788516E-3</v>
      </c>
      <c r="T84" s="89">
        <f t="shared" ref="T84:Y84" si="111">T56/T$23</f>
        <v>3.3134793206654489E-3</v>
      </c>
      <c r="U84" s="89">
        <f t="shared" si="111"/>
        <v>3.0888235868872117E-3</v>
      </c>
      <c r="V84" s="89">
        <f t="shared" si="111"/>
        <v>3.0883565842464746E-3</v>
      </c>
      <c r="W84" s="89">
        <f t="shared" si="111"/>
        <v>2.8876137455422818E-3</v>
      </c>
      <c r="X84" s="89">
        <f t="shared" si="111"/>
        <v>2.7140020206946999E-3</v>
      </c>
      <c r="Y84" s="89">
        <f t="shared" si="111"/>
        <v>2.8195509679997477E-3</v>
      </c>
      <c r="Z84" s="89">
        <f t="shared" ref="Z84:AA84" si="112">Z56/Z$23</f>
        <v>2.7738608683137585E-3</v>
      </c>
      <c r="AA84" s="89">
        <f t="shared" si="112"/>
        <v>2.548334780914849E-3</v>
      </c>
    </row>
    <row r="85" spans="1:27" x14ac:dyDescent="0.25">
      <c r="A85" s="68" t="s">
        <v>2</v>
      </c>
      <c r="B85" s="44"/>
      <c r="C85" s="44"/>
      <c r="D85" s="89">
        <f t="shared" si="109"/>
        <v>3.340163834368759E-2</v>
      </c>
      <c r="E85" s="89">
        <f t="shared" ref="E85:S85" si="113">E57/E$23</f>
        <v>3.4541986106611952E-2</v>
      </c>
      <c r="F85" s="89">
        <f t="shared" si="113"/>
        <v>3.3175921902682134E-2</v>
      </c>
      <c r="G85" s="89">
        <f t="shared" si="113"/>
        <v>3.0575157116360139E-2</v>
      </c>
      <c r="H85" s="89">
        <f t="shared" si="113"/>
        <v>3.0420904621637431E-2</v>
      </c>
      <c r="I85" s="89">
        <f t="shared" si="113"/>
        <v>2.7173265487780093E-2</v>
      </c>
      <c r="J85" s="89">
        <f t="shared" si="113"/>
        <v>2.4982929847636191E-2</v>
      </c>
      <c r="K85" s="89">
        <f t="shared" si="113"/>
        <v>2.338514573380495E-2</v>
      </c>
      <c r="L85" s="89">
        <f t="shared" si="113"/>
        <v>2.2610079149239327E-2</v>
      </c>
      <c r="M85" s="89">
        <f t="shared" si="113"/>
        <v>2.4371276466527821E-2</v>
      </c>
      <c r="N85" s="89">
        <f t="shared" si="113"/>
        <v>2.2460464433907167E-2</v>
      </c>
      <c r="O85" s="89">
        <f t="shared" si="113"/>
        <v>2.2208435405961222E-2</v>
      </c>
      <c r="P85" s="89">
        <f t="shared" si="113"/>
        <v>2.2250203356967292E-2</v>
      </c>
      <c r="Q85" s="89">
        <f t="shared" si="113"/>
        <v>2.1542215586128215E-2</v>
      </c>
      <c r="R85" s="89">
        <f t="shared" si="113"/>
        <v>2.1474705291720377E-2</v>
      </c>
      <c r="S85" s="89">
        <f t="shared" si="113"/>
        <v>2.1128877955446219E-2</v>
      </c>
      <c r="T85" s="89">
        <f t="shared" ref="T85:Y85" si="114">T57/T$23</f>
        <v>2.1258341041021433E-2</v>
      </c>
      <c r="U85" s="89">
        <f t="shared" si="114"/>
        <v>2.0638469832150765E-2</v>
      </c>
      <c r="V85" s="89">
        <f t="shared" si="114"/>
        <v>2.0206156885400169E-2</v>
      </c>
      <c r="W85" s="89">
        <f t="shared" si="114"/>
        <v>1.9998988660963033E-2</v>
      </c>
      <c r="X85" s="89">
        <f t="shared" si="114"/>
        <v>2.037567003946825E-2</v>
      </c>
      <c r="Y85" s="89">
        <f t="shared" si="114"/>
        <v>1.8738730381442161E-2</v>
      </c>
      <c r="Z85" s="89">
        <f t="shared" ref="Z85:AA85" si="115">Z57/Z$23</f>
        <v>1.7683506570456146E-2</v>
      </c>
      <c r="AA85" s="89">
        <f t="shared" si="115"/>
        <v>1.9667208628450061E-2</v>
      </c>
    </row>
    <row r="86" spans="1:27" x14ac:dyDescent="0.25">
      <c r="A86" s="68" t="s">
        <v>269</v>
      </c>
      <c r="B86" s="44"/>
      <c r="C86" s="44"/>
      <c r="D86" s="89">
        <f t="shared" si="109"/>
        <v>3.403477533402452E-2</v>
      </c>
      <c r="E86" s="89">
        <f t="shared" ref="E86:S86" si="116">E58/E$23</f>
        <v>3.7719468739876902E-2</v>
      </c>
      <c r="F86" s="89">
        <f t="shared" si="116"/>
        <v>3.6345730780388025E-2</v>
      </c>
      <c r="G86" s="89">
        <f t="shared" si="116"/>
        <v>3.4004491321571989E-2</v>
      </c>
      <c r="H86" s="89">
        <f t="shared" si="116"/>
        <v>4.0508748461906018E-2</v>
      </c>
      <c r="I86" s="89">
        <f t="shared" si="116"/>
        <v>4.121397081720049E-2</v>
      </c>
      <c r="J86" s="89">
        <f t="shared" si="116"/>
        <v>4.2668756012094411E-2</v>
      </c>
      <c r="K86" s="89">
        <f t="shared" si="116"/>
        <v>4.425798234546318E-2</v>
      </c>
      <c r="L86" s="89">
        <f t="shared" si="116"/>
        <v>4.1984309094091635E-2</v>
      </c>
      <c r="M86" s="89">
        <f t="shared" si="116"/>
        <v>4.002455939730231E-2</v>
      </c>
      <c r="N86" s="89">
        <f t="shared" si="116"/>
        <v>4.532438125766422E-2</v>
      </c>
      <c r="O86" s="89">
        <f t="shared" si="116"/>
        <v>4.8692628983489479E-2</v>
      </c>
      <c r="P86" s="89">
        <f t="shared" si="116"/>
        <v>4.7392519312975709E-2</v>
      </c>
      <c r="Q86" s="89">
        <f t="shared" si="116"/>
        <v>4.7701364652979604E-2</v>
      </c>
      <c r="R86" s="89">
        <f t="shared" si="116"/>
        <v>5.4753723590907043E-2</v>
      </c>
      <c r="S86" s="89">
        <f t="shared" si="116"/>
        <v>5.6453659774692987E-2</v>
      </c>
      <c r="T86" s="89">
        <f t="shared" ref="T86:Y86" si="117">T58/T$23</f>
        <v>6.0348098205451839E-2</v>
      </c>
      <c r="U86" s="89">
        <f t="shared" si="117"/>
        <v>5.8847483052134983E-2</v>
      </c>
      <c r="V86" s="89">
        <f t="shared" si="117"/>
        <v>5.5890949350432963E-2</v>
      </c>
      <c r="W86" s="89">
        <f t="shared" si="117"/>
        <v>5.6762125834655695E-2</v>
      </c>
      <c r="X86" s="89">
        <f t="shared" si="117"/>
        <v>4.5975781526072436E-2</v>
      </c>
      <c r="Y86" s="89">
        <f t="shared" si="117"/>
        <v>4.487510263352839E-2</v>
      </c>
      <c r="Z86" s="89">
        <f t="shared" ref="Z86:AA86" si="118">Z58/Z$23</f>
        <v>4.3950020745585634E-2</v>
      </c>
      <c r="AA86" s="89">
        <f t="shared" si="118"/>
        <v>5.0217205455824428E-2</v>
      </c>
    </row>
    <row r="87" spans="1:27" x14ac:dyDescent="0.25">
      <c r="A87" s="68" t="s">
        <v>270</v>
      </c>
      <c r="B87" s="44"/>
      <c r="C87" s="44"/>
      <c r="D87" s="89">
        <f t="shared" si="109"/>
        <v>6.4804582023792273E-2</v>
      </c>
      <c r="E87" s="89">
        <f t="shared" ref="E87:S87" si="119">E59/E$23</f>
        <v>6.7622646942374826E-2</v>
      </c>
      <c r="F87" s="89">
        <f t="shared" si="119"/>
        <v>6.4394679800747756E-2</v>
      </c>
      <c r="G87" s="89">
        <f t="shared" si="119"/>
        <v>6.4611606391098989E-2</v>
      </c>
      <c r="H87" s="89">
        <f t="shared" si="119"/>
        <v>6.9138108580597268E-2</v>
      </c>
      <c r="I87" s="89">
        <f t="shared" si="119"/>
        <v>7.0863358695314807E-2</v>
      </c>
      <c r="J87" s="89">
        <f t="shared" si="119"/>
        <v>7.7538682776061671E-2</v>
      </c>
      <c r="K87" s="89">
        <f t="shared" si="119"/>
        <v>8.1388480108633532E-2</v>
      </c>
      <c r="L87" s="89">
        <f t="shared" si="119"/>
        <v>7.6903692110072003E-2</v>
      </c>
      <c r="M87" s="89">
        <f t="shared" si="119"/>
        <v>7.0179440614547811E-2</v>
      </c>
      <c r="N87" s="89">
        <f t="shared" si="119"/>
        <v>7.4159116639954392E-2</v>
      </c>
      <c r="O87" s="89">
        <f t="shared" si="119"/>
        <v>8.1608726611861845E-2</v>
      </c>
      <c r="P87" s="89">
        <f t="shared" si="119"/>
        <v>8.4387544445115328E-2</v>
      </c>
      <c r="Q87" s="89">
        <f t="shared" si="119"/>
        <v>8.5352474558229988E-2</v>
      </c>
      <c r="R87" s="89">
        <f t="shared" si="119"/>
        <v>8.9286967518683105E-2</v>
      </c>
      <c r="S87" s="89">
        <f t="shared" si="119"/>
        <v>9.0323252438873611E-2</v>
      </c>
      <c r="T87" s="89">
        <f t="shared" ref="T87:Y87" si="120">T59/T$23</f>
        <v>8.8238977179457292E-2</v>
      </c>
      <c r="U87" s="89">
        <f t="shared" si="120"/>
        <v>8.7135436640146127E-2</v>
      </c>
      <c r="V87" s="89">
        <f t="shared" si="120"/>
        <v>8.4133061973195145E-2</v>
      </c>
      <c r="W87" s="89">
        <f t="shared" si="120"/>
        <v>8.2219455755121101E-2</v>
      </c>
      <c r="X87" s="89">
        <f t="shared" si="120"/>
        <v>8.0025980360440174E-2</v>
      </c>
      <c r="Y87" s="89">
        <f t="shared" si="120"/>
        <v>7.4486631662371031E-2</v>
      </c>
      <c r="Z87" s="89">
        <f t="shared" ref="Z87:AA87" si="121">Z59/Z$23</f>
        <v>7.4226710209430904E-2</v>
      </c>
      <c r="AA87" s="89">
        <f t="shared" si="121"/>
        <v>7.7891370662969597E-2</v>
      </c>
    </row>
    <row r="88" spans="1:27" x14ac:dyDescent="0.25">
      <c r="A88" s="68" t="s">
        <v>1</v>
      </c>
      <c r="B88" s="44"/>
      <c r="C88" s="44"/>
      <c r="D88" s="89">
        <f t="shared" si="109"/>
        <v>1.4119443164968807E-2</v>
      </c>
      <c r="E88" s="89">
        <f t="shared" ref="E88:S88" si="122">E60/E$23</f>
        <v>1.3897707231040564E-2</v>
      </c>
      <c r="F88" s="89">
        <f t="shared" si="122"/>
        <v>1.2204884692910759E-2</v>
      </c>
      <c r="G88" s="89">
        <f t="shared" si="122"/>
        <v>1.1372114719218653E-2</v>
      </c>
      <c r="H88" s="89">
        <f t="shared" si="122"/>
        <v>9.5849341484803823E-3</v>
      </c>
      <c r="I88" s="89">
        <f t="shared" si="122"/>
        <v>8.8151158611008487E-3</v>
      </c>
      <c r="J88" s="89">
        <f t="shared" si="122"/>
        <v>8.3314710010573331E-3</v>
      </c>
      <c r="K88" s="89">
        <f t="shared" si="122"/>
        <v>7.8779971808075489E-3</v>
      </c>
      <c r="L88" s="89">
        <f t="shared" si="122"/>
        <v>7.4776654209566702E-3</v>
      </c>
      <c r="M88" s="89">
        <f t="shared" si="122"/>
        <v>7.1034131340931232E-3</v>
      </c>
      <c r="N88" s="89">
        <f t="shared" si="122"/>
        <v>6.4330933379837625E-3</v>
      </c>
      <c r="O88" s="89">
        <f t="shared" si="122"/>
        <v>6.3541871476169472E-3</v>
      </c>
      <c r="P88" s="89">
        <f t="shared" si="122"/>
        <v>5.8195031373621193E-3</v>
      </c>
      <c r="Q88" s="89">
        <f t="shared" si="122"/>
        <v>6.0169516844338121E-3</v>
      </c>
      <c r="R88" s="89">
        <f t="shared" si="122"/>
        <v>6.2329107415218174E-3</v>
      </c>
      <c r="S88" s="89">
        <f t="shared" si="122"/>
        <v>6.03617147282584E-3</v>
      </c>
      <c r="T88" s="89">
        <f t="shared" ref="T88:Y88" si="123">T60/T$23</f>
        <v>6.0547712862375003E-3</v>
      </c>
      <c r="U88" s="89">
        <f t="shared" si="123"/>
        <v>5.9155857101950383E-3</v>
      </c>
      <c r="V88" s="89">
        <f t="shared" si="123"/>
        <v>5.4121502695694103E-3</v>
      </c>
      <c r="W88" s="89">
        <f t="shared" si="123"/>
        <v>5.1279705074273214E-3</v>
      </c>
      <c r="X88" s="89">
        <f t="shared" si="123"/>
        <v>5.0303353059162562E-3</v>
      </c>
      <c r="Y88" s="89">
        <f t="shared" si="123"/>
        <v>4.5027185341546096E-3</v>
      </c>
      <c r="Z88" s="89">
        <f t="shared" ref="Z88:AA88" si="124">Z60/Z$23</f>
        <v>4.3079624772832019E-3</v>
      </c>
      <c r="AA88" s="89">
        <f t="shared" si="124"/>
        <v>4.6057654453991129E-3</v>
      </c>
    </row>
    <row r="89" spans="1:27" x14ac:dyDescent="0.25">
      <c r="A89" s="68" t="s">
        <v>0</v>
      </c>
      <c r="B89" s="44"/>
      <c r="C89" s="44"/>
      <c r="D89" s="89">
        <f t="shared" si="109"/>
        <v>7.3762900776528683E-3</v>
      </c>
      <c r="E89" s="89">
        <f t="shared" ref="E89:S89" si="125">E61/E$23</f>
        <v>7.8954756505776914E-3</v>
      </c>
      <c r="F89" s="89">
        <f t="shared" si="125"/>
        <v>7.7452399953685438E-3</v>
      </c>
      <c r="G89" s="89">
        <f t="shared" si="125"/>
        <v>8.0829038471229853E-3</v>
      </c>
      <c r="H89" s="89">
        <f t="shared" si="125"/>
        <v>8.1537512387429775E-3</v>
      </c>
      <c r="I89" s="89">
        <f t="shared" si="125"/>
        <v>7.9149807907771715E-3</v>
      </c>
      <c r="J89" s="89">
        <f t="shared" si="125"/>
        <v>7.5364833101167483E-3</v>
      </c>
      <c r="K89" s="89">
        <f t="shared" si="125"/>
        <v>7.4152870829944512E-3</v>
      </c>
      <c r="L89" s="89">
        <f t="shared" si="125"/>
        <v>7.2529063728725366E-3</v>
      </c>
      <c r="M89" s="89">
        <f t="shared" si="125"/>
        <v>6.2435379752272995E-3</v>
      </c>
      <c r="N89" s="89">
        <f t="shared" si="125"/>
        <v>5.7770506869071047E-3</v>
      </c>
      <c r="O89" s="89">
        <f t="shared" si="125"/>
        <v>5.6859546292704439E-3</v>
      </c>
      <c r="P89" s="89">
        <f t="shared" si="125"/>
        <v>5.7313082891624137E-3</v>
      </c>
      <c r="Q89" s="89">
        <f t="shared" si="125"/>
        <v>5.5062750691845224E-3</v>
      </c>
      <c r="R89" s="89">
        <f t="shared" si="125"/>
        <v>5.7819454047049095E-3</v>
      </c>
      <c r="S89" s="89">
        <f t="shared" si="125"/>
        <v>5.8558998288395581E-3</v>
      </c>
      <c r="T89" s="89">
        <f t="shared" ref="T89:Y89" si="126">T61/T$23</f>
        <v>6.0212955363187094E-3</v>
      </c>
      <c r="U89" s="89">
        <f t="shared" si="126"/>
        <v>6.0076460950300378E-3</v>
      </c>
      <c r="V89" s="89">
        <f t="shared" si="126"/>
        <v>6.2473041761328682E-3</v>
      </c>
      <c r="W89" s="89">
        <f t="shared" si="126"/>
        <v>6.1388279543741608E-3</v>
      </c>
      <c r="X89" s="89">
        <f t="shared" si="126"/>
        <v>6.2258300526077419E-3</v>
      </c>
      <c r="Y89" s="89">
        <f t="shared" si="126"/>
        <v>6.5453543192604043E-3</v>
      </c>
      <c r="Z89" s="89">
        <f t="shared" ref="Z89:AA89" si="127">Z61/Z$23</f>
        <v>6.1344926364653813E-3</v>
      </c>
      <c r="AA89" s="89">
        <f t="shared" si="127"/>
        <v>5.1666037827249513E-3</v>
      </c>
    </row>
    <row r="90" spans="1:27" x14ac:dyDescent="0.25">
      <c r="A90" s="90" t="s">
        <v>272</v>
      </c>
      <c r="B90" s="47"/>
      <c r="C90" s="47"/>
      <c r="D90" s="91">
        <f t="shared" si="109"/>
        <v>2.3427696243983977E-2</v>
      </c>
      <c r="E90" s="91">
        <f t="shared" ref="E90:S90" si="128">E62/E$23</f>
        <v>2.3453190800129579E-2</v>
      </c>
      <c r="F90" s="91">
        <f t="shared" si="128"/>
        <v>2.4012609514655697E-2</v>
      </c>
      <c r="G90" s="91">
        <f t="shared" si="128"/>
        <v>2.4750205575679508E-2</v>
      </c>
      <c r="H90" s="91">
        <f t="shared" si="128"/>
        <v>2.5155748052507879E-2</v>
      </c>
      <c r="I90" s="91">
        <f t="shared" si="128"/>
        <v>2.5262856461998582E-2</v>
      </c>
      <c r="J90" s="91">
        <f t="shared" si="128"/>
        <v>2.7868735165750516E-2</v>
      </c>
      <c r="K90" s="91">
        <f t="shared" si="128"/>
        <v>2.6451593924982135E-2</v>
      </c>
      <c r="L90" s="91">
        <f t="shared" si="128"/>
        <v>2.5905183011757624E-2</v>
      </c>
      <c r="M90" s="91">
        <f t="shared" si="128"/>
        <v>2.5848839724010437E-2</v>
      </c>
      <c r="N90" s="91">
        <f t="shared" si="128"/>
        <v>2.5384283211121173E-2</v>
      </c>
      <c r="O90" s="91">
        <f t="shared" si="128"/>
        <v>2.6192589128667305E-2</v>
      </c>
      <c r="P90" s="91">
        <f t="shared" si="128"/>
        <v>2.6054115002011522E-2</v>
      </c>
      <c r="Q90" s="91">
        <f t="shared" si="128"/>
        <v>2.6674689268912574E-2</v>
      </c>
      <c r="R90" s="91">
        <f t="shared" si="128"/>
        <v>2.8149548166085881E-2</v>
      </c>
      <c r="S90" s="91">
        <f t="shared" si="128"/>
        <v>2.9271689542292249E-2</v>
      </c>
      <c r="T90" s="91">
        <f t="shared" ref="T90:Y90" si="129">T62/T$23</f>
        <v>2.9997371533710081E-2</v>
      </c>
      <c r="U90" s="91">
        <f t="shared" si="129"/>
        <v>2.8428020921993223E-2</v>
      </c>
      <c r="V90" s="91">
        <f t="shared" si="129"/>
        <v>2.6628381426052544E-2</v>
      </c>
      <c r="W90" s="91">
        <f t="shared" si="129"/>
        <v>2.630203881133952E-2</v>
      </c>
      <c r="X90" s="91">
        <f t="shared" si="129"/>
        <v>2.5297504989523246E-2</v>
      </c>
      <c r="Y90" s="91">
        <f t="shared" si="129"/>
        <v>2.3789571050945032E-2</v>
      </c>
      <c r="Z90" s="91">
        <f t="shared" ref="Z90:AA90" si="130">Z62/Z$23</f>
        <v>2.1548615863712987E-2</v>
      </c>
      <c r="AA90" s="91">
        <f t="shared" si="130"/>
        <v>2.1921819681604844E-2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2.9187587537001125E-2</v>
      </c>
      <c r="F93" s="92">
        <f t="shared" ref="F93:F94" si="132">IF(E16=0,"",F16/E16-1)</f>
        <v>1.5121270871720549E-2</v>
      </c>
      <c r="G93" s="92">
        <f t="shared" ref="G93:G94" si="133">IF(F16=0,"",G16/F16-1)</f>
        <v>3.3015039884042086E-2</v>
      </c>
      <c r="H93" s="92">
        <f t="shared" ref="H93:H94" si="134">IF(G16=0,"",H16/G16-1)</f>
        <v>4.7359659564596646E-2</v>
      </c>
      <c r="I93" s="92">
        <f t="shared" ref="I93:I94" si="135">IF(H16=0,"",I16/H16-1)</f>
        <v>6.3754723441789674E-2</v>
      </c>
      <c r="J93" s="92">
        <f t="shared" ref="J93:J94" si="136">IF(I16=0,"",J16/I16-1)</f>
        <v>6.6226267920286297E-2</v>
      </c>
      <c r="K93" s="92">
        <f t="shared" ref="K93:K94" si="137">IF(J16=0,"",K16/J16-1)</f>
        <v>5.4897934813102234E-2</v>
      </c>
      <c r="L93" s="92">
        <f t="shared" ref="L93:L94" si="138">IF(K16=0,"",L16/K16-1)</f>
        <v>2.6117609297782396E-2</v>
      </c>
      <c r="M93" s="92">
        <f t="shared" ref="M93:M94" si="139">IF(L16=0,"",M16/L16-1)</f>
        <v>-4.7978653618812928E-2</v>
      </c>
      <c r="N93" s="92">
        <f t="shared" ref="N93:N94" si="140">IF(M16=0,"",N16/M16-1)</f>
        <v>2.7141049387064964E-2</v>
      </c>
      <c r="O93" s="92">
        <f t="shared" ref="O93:O94" si="141">IF(N16=0,"",O16/N16-1)</f>
        <v>1.7727353481412411E-2</v>
      </c>
      <c r="P93" s="92">
        <f t="shared" ref="P93:P94" si="142">IF(O16=0,"",P16/O16-1)</f>
        <v>-7.7086253213373146E-3</v>
      </c>
      <c r="Q93" s="92">
        <f t="shared" ref="Q93:Q94" si="143">IF(P16=0,"",Q16/P16-1)</f>
        <v>-4.1788041479406957E-4</v>
      </c>
      <c r="R93" s="92">
        <f t="shared" ref="R93:R94" si="144">IF(Q16=0,"",R16/Q16-1)</f>
        <v>2.2446166555701419E-2</v>
      </c>
      <c r="S93" s="92">
        <f t="shared" ref="S93:S94" si="145">IF(R16=0,"",S16/R16-1)</f>
        <v>4.959265436831517E-2</v>
      </c>
      <c r="T93" s="92">
        <f t="shared" ref="T93:T94" si="146">IF(S16=0,"",T16/S16-1)</f>
        <v>2.5808634948889519E-2</v>
      </c>
      <c r="U93" s="92">
        <f t="shared" ref="U93:U94" si="147">IF(T16=0,"",U16/T16-1)</f>
        <v>5.1733230265362584E-2</v>
      </c>
      <c r="V93" s="92">
        <f t="shared" ref="V93:V94" si="148">IF(U16=0,"",V16/U16-1)</f>
        <v>2.8305589097298745E-2</v>
      </c>
      <c r="W93" s="92">
        <f t="shared" ref="W93:W94" si="149">IF(V16=0,"",W16/V16-1)</f>
        <v>3.565898846215898E-2</v>
      </c>
      <c r="X93" s="92">
        <f t="shared" ref="X93:X94" si="150">IF(W16=0,"",X16/W16-1)</f>
        <v>-5.3051857922407408E-2</v>
      </c>
      <c r="Y93" s="92">
        <f t="shared" ref="Y93:Y94" si="151">IF(X16=0,"",Y16/X16-1)</f>
        <v>4.0292052865898542E-2</v>
      </c>
      <c r="Z93" s="92">
        <f t="shared" ref="Z93:Z94" si="152">IF(Y16=0,"",Z16/Y16-1)</f>
        <v>2.8469235769498447E-2</v>
      </c>
      <c r="AA93" s="92">
        <f t="shared" ref="AA93:AA94" si="153">IF(Z16=0,"",AA16/Z16-1)</f>
        <v>4.7849909623143283E-4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2.9264521426847878E-2</v>
      </c>
      <c r="F94" s="93">
        <f t="shared" si="132"/>
        <v>3.245655136697212E-2</v>
      </c>
      <c r="G94" s="93">
        <f t="shared" si="133"/>
        <v>4.8356532494286508E-2</v>
      </c>
      <c r="H94" s="93">
        <f t="shared" si="134"/>
        <v>3.0149099908577615E-2</v>
      </c>
      <c r="I94" s="93">
        <f t="shared" si="135"/>
        <v>3.4620480212823601E-2</v>
      </c>
      <c r="J94" s="93">
        <f t="shared" si="136"/>
        <v>3.6948494052367442E-2</v>
      </c>
      <c r="K94" s="93">
        <f t="shared" si="137"/>
        <v>4.1333302304545905E-2</v>
      </c>
      <c r="L94" s="93">
        <f t="shared" si="138"/>
        <v>3.0617231108901244E-2</v>
      </c>
      <c r="M94" s="93">
        <f t="shared" si="139"/>
        <v>-6.1720118945820523E-3</v>
      </c>
      <c r="N94" s="93">
        <f t="shared" si="140"/>
        <v>1.788913218664745E-2</v>
      </c>
      <c r="O94" s="93">
        <f t="shared" si="141"/>
        <v>5.6038449790178912E-3</v>
      </c>
      <c r="P94" s="93">
        <f t="shared" si="142"/>
        <v>-6.8171396711425025E-3</v>
      </c>
      <c r="Q94" s="93">
        <f t="shared" si="143"/>
        <v>7.9042870821603994E-3</v>
      </c>
      <c r="R94" s="93">
        <f t="shared" si="144"/>
        <v>1.3698410746913581E-2</v>
      </c>
      <c r="S94" s="93">
        <f t="shared" si="145"/>
        <v>3.6218533457802016E-2</v>
      </c>
      <c r="T94" s="93">
        <f t="shared" si="146"/>
        <v>3.5882316956553861E-2</v>
      </c>
      <c r="U94" s="93">
        <f t="shared" si="147"/>
        <v>4.4934016544442956E-2</v>
      </c>
      <c r="V94" s="93">
        <f t="shared" si="148"/>
        <v>3.5293197114906416E-2</v>
      </c>
      <c r="W94" s="93">
        <f t="shared" si="149"/>
        <v>3.0717136428360048E-2</v>
      </c>
      <c r="X94" s="93">
        <f t="shared" si="150"/>
        <v>-6.4304981429323949E-2</v>
      </c>
      <c r="Y94" s="93">
        <f t="shared" si="151"/>
        <v>4.1813354566121896E-2</v>
      </c>
      <c r="Z94" s="93">
        <f t="shared" si="152"/>
        <v>5.309101883245626E-3</v>
      </c>
      <c r="AA94" s="93">
        <f t="shared" si="153"/>
        <v>-2.5929902335542043E-2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3.3821635252611726E-2</v>
      </c>
      <c r="F95" s="92">
        <f t="shared" ref="F95:F96" si="155">IF(E20=0,"",F20/E20-1)</f>
        <v>1.8190661810931319E-2</v>
      </c>
      <c r="G95" s="92">
        <f t="shared" ref="G95:G96" si="156">IF(F20=0,"",G20/F20-1)</f>
        <v>3.3879851115678816E-2</v>
      </c>
      <c r="H95" s="92">
        <f t="shared" ref="H95:H96" si="157">IF(G20=0,"",H20/G20-1)</f>
        <v>4.7082496231018567E-2</v>
      </c>
      <c r="I95" s="92">
        <f t="shared" ref="I95:I96" si="158">IF(H20=0,"",I20/H20-1)</f>
        <v>6.3388834175805098E-2</v>
      </c>
      <c r="J95" s="92">
        <f t="shared" ref="J95:J96" si="159">IF(I20=0,"",J20/I20-1)</f>
        <v>6.3647987755181212E-2</v>
      </c>
      <c r="K95" s="92">
        <f t="shared" ref="K95:K96" si="160">IF(J20=0,"",K20/J20-1)</f>
        <v>5.1744217602889497E-2</v>
      </c>
      <c r="L95" s="92">
        <f t="shared" ref="L95:L96" si="161">IF(K20=0,"",L20/K20-1)</f>
        <v>1.7269628092368761E-2</v>
      </c>
      <c r="M95" s="92">
        <f t="shared" ref="M95:M96" si="162">IF(L20=0,"",M20/L20-1)</f>
        <v>-5.5499377012854345E-2</v>
      </c>
      <c r="N95" s="92">
        <f t="shared" ref="N95:N96" si="163">IF(M20=0,"",N20/M20-1)</f>
        <v>2.3576717315111573E-2</v>
      </c>
      <c r="O95" s="92">
        <f t="shared" ref="O95:O96" si="164">IF(N20=0,"",O20/N20-1)</f>
        <v>1.5335773572302314E-2</v>
      </c>
      <c r="P95" s="92">
        <f t="shared" ref="P95:P96" si="165">IF(O20=0,"",P20/O20-1)</f>
        <v>-9.4762554203703386E-3</v>
      </c>
      <c r="Q95" s="92">
        <f t="shared" ref="Q95:Q96" si="166">IF(P20=0,"",Q20/P20-1)</f>
        <v>-1.4330392339569897E-3</v>
      </c>
      <c r="R95" s="92">
        <f t="shared" ref="R95:R96" si="167">IF(Q20=0,"",R20/Q20-1)</f>
        <v>2.2806615039847378E-2</v>
      </c>
      <c r="S95" s="92">
        <f t="shared" ref="S95:S96" si="168">IF(R20=0,"",S20/R20-1)</f>
        <v>4.701744469962188E-2</v>
      </c>
      <c r="T95" s="92">
        <f t="shared" ref="T95:T96" si="169">IF(S20=0,"",T20/S20-1)</f>
        <v>2.4295462085802022E-2</v>
      </c>
      <c r="U95" s="92">
        <f t="shared" ref="U95:U96" si="170">IF(T20=0,"",U20/T20-1)</f>
        <v>4.925004774667574E-2</v>
      </c>
      <c r="V95" s="92">
        <f t="shared" ref="V95:V96" si="171">IF(U20=0,"",V20/U20-1)</f>
        <v>2.5278354547105142E-2</v>
      </c>
      <c r="W95" s="92">
        <f t="shared" ref="W95:W96" si="172">IF(V20=0,"",W20/V20-1)</f>
        <v>3.1793914329646622E-2</v>
      </c>
      <c r="X95" s="92">
        <f t="shared" ref="X95:X96" si="173">IF(W20=0,"",X20/W20-1)</f>
        <v>-5.6960365726983597E-2</v>
      </c>
      <c r="Y95" s="92">
        <f t="shared" ref="Y95:Y96" si="174">IF(X20=0,"",Y20/X20-1)</f>
        <v>6.0027975237792575E-2</v>
      </c>
      <c r="Z95" s="92">
        <f t="shared" ref="Z95:Z96" si="175">IF(Y20=0,"",Z20/Y20-1)</f>
        <v>2.6330386540788675E-2</v>
      </c>
      <c r="AA95" s="92">
        <f t="shared" ref="AA95:AA96" si="176">IF(Z20=0,"",AA20/Z20-1)</f>
        <v>-2.8241879121743252E-2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3.3898915547060371E-2</v>
      </c>
      <c r="F96" s="93">
        <f t="shared" si="155"/>
        <v>3.5578358460200521E-2</v>
      </c>
      <c r="G96" s="93">
        <f t="shared" si="156"/>
        <v>4.9234187193450074E-2</v>
      </c>
      <c r="H96" s="93">
        <f t="shared" si="157"/>
        <v>2.9876491014387607E-2</v>
      </c>
      <c r="I96" s="93">
        <f t="shared" si="158"/>
        <v>3.4264611966379643E-2</v>
      </c>
      <c r="J96" s="93">
        <f t="shared" si="159"/>
        <v>3.4441011527418963E-2</v>
      </c>
      <c r="K96" s="93">
        <f t="shared" si="160"/>
        <v>3.8220137846955771E-2</v>
      </c>
      <c r="L96" s="93">
        <f t="shared" si="161"/>
        <v>2.1730450677302171E-2</v>
      </c>
      <c r="M96" s="93">
        <f t="shared" si="162"/>
        <v>-1.4022996988780845E-2</v>
      </c>
      <c r="N96" s="93">
        <f t="shared" si="163"/>
        <v>1.4356905642191276E-2</v>
      </c>
      <c r="O96" s="93">
        <f t="shared" si="164"/>
        <v>3.240754369387755E-3</v>
      </c>
      <c r="P96" s="93">
        <f t="shared" si="165"/>
        <v>-8.5863578287926901E-3</v>
      </c>
      <c r="Q96" s="93">
        <f t="shared" si="166"/>
        <v>6.8806764094040407E-3</v>
      </c>
      <c r="R96" s="93">
        <f t="shared" si="167"/>
        <v>1.4055775337330934E-2</v>
      </c>
      <c r="S96" s="93">
        <f t="shared" si="168"/>
        <v>3.3676137629159664E-2</v>
      </c>
      <c r="T96" s="93">
        <f t="shared" si="169"/>
        <v>3.4354284380137878E-2</v>
      </c>
      <c r="U96" s="93">
        <f t="shared" si="170"/>
        <v>4.2466887230282024E-2</v>
      </c>
      <c r="V96" s="93">
        <f t="shared" si="171"/>
        <v>3.2245391706557047E-2</v>
      </c>
      <c r="W96" s="93">
        <f t="shared" si="172"/>
        <v>2.687050526276602E-2</v>
      </c>
      <c r="X96" s="93">
        <f t="shared" si="173"/>
        <v>-6.8167042212043172E-2</v>
      </c>
      <c r="Y96" s="93">
        <f t="shared" si="174"/>
        <v>6.1578138344942079E-2</v>
      </c>
      <c r="Z96" s="93">
        <f t="shared" si="175"/>
        <v>3.2184174734499749E-3</v>
      </c>
      <c r="AA96" s="93">
        <f t="shared" si="176"/>
        <v>-5.3892184024767809E-2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2.936593193032766E-2</v>
      </c>
      <c r="F97" s="89">
        <f t="shared" ref="F97:F106" si="178">IF(E23=0,"",F23/E23-1)</f>
        <v>1.9580851958531431E-2</v>
      </c>
      <c r="G97" s="89">
        <f t="shared" ref="G97:G106" si="179">IF(F23=0,"",G23/F23-1)</f>
        <v>2.6700373747535755E-2</v>
      </c>
      <c r="H97" s="89">
        <f t="shared" ref="H97:H106" si="180">IF(G23=0,"",H23/G23-1)</f>
        <v>4.7679826873477049E-2</v>
      </c>
      <c r="I97" s="89">
        <f t="shared" ref="I97:I106" si="181">IF(H23=0,"",I23/H23-1)</f>
        <v>6.5311024766114389E-2</v>
      </c>
      <c r="J97" s="89">
        <f t="shared" ref="J97:J106" si="182">IF(I23=0,"",J23/I23-1)</f>
        <v>7.119894379780467E-2</v>
      </c>
      <c r="K97" s="89">
        <f t="shared" ref="K97:K106" si="183">IF(J23=0,"",K23/J23-1)</f>
        <v>5.1978464707927552E-2</v>
      </c>
      <c r="L97" s="89">
        <f t="shared" ref="L97:L106" si="184">IF(K23=0,"",L23/K23-1)</f>
        <v>3.4917948061899295E-2</v>
      </c>
      <c r="M97" s="89">
        <f t="shared" ref="M97:M106" si="185">IF(L23=0,"",M23/L23-1)</f>
        <v>-5.4375075500199377E-2</v>
      </c>
      <c r="N97" s="89">
        <f t="shared" ref="N97:N106" si="186">IF(M23=0,"",N23/M23-1)</f>
        <v>3.3119427396345325E-2</v>
      </c>
      <c r="O97" s="89">
        <f t="shared" ref="O97:O106" si="187">IF(N23=0,"",O23/N23-1)</f>
        <v>1.7700929169676805E-2</v>
      </c>
      <c r="P97" s="89">
        <f t="shared" ref="P97:P106" si="188">IF(O23=0,"",P23/O23-1)</f>
        <v>-8.2229488951910401E-3</v>
      </c>
      <c r="Q97" s="89">
        <f t="shared" ref="Q97:Q106" si="189">IF(P23=0,"",Q23/P23-1)</f>
        <v>-1.187762519807567E-4</v>
      </c>
      <c r="R97" s="89">
        <f t="shared" ref="R97:R106" si="190">IF(Q23=0,"",R23/Q23-1)</f>
        <v>2.8340291484279634E-2</v>
      </c>
      <c r="S97" s="89">
        <f t="shared" ref="S97:S106" si="191">IF(R23=0,"",S23/R23-1)</f>
        <v>4.3499017187407674E-2</v>
      </c>
      <c r="T97" s="89">
        <f t="shared" ref="T97:T106" si="192">IF(S23=0,"",T23/S23-1)</f>
        <v>2.5466370908502123E-2</v>
      </c>
      <c r="U97" s="89">
        <f t="shared" ref="U97:U106" si="193">IF(T23=0,"",U23/T23-1)</f>
        <v>5.2061987381053942E-2</v>
      </c>
      <c r="V97" s="89">
        <f t="shared" ref="V97:V106" si="194">IF(U23=0,"",V23/U23-1)</f>
        <v>2.9719619514301909E-2</v>
      </c>
      <c r="W97" s="89">
        <f t="shared" ref="W97:W106" si="195">IF(V23=0,"",W23/V23-1)</f>
        <v>3.5994511391191031E-2</v>
      </c>
      <c r="X97" s="89">
        <f t="shared" ref="X97:X106" si="196">IF(W23=0,"",X23/W23-1)</f>
        <v>-5.0506387128177677E-2</v>
      </c>
      <c r="Y97" s="89">
        <f t="shared" ref="Y97:Y106" si="197">IF(X23=0,"",Y23/X23-1)</f>
        <v>3.9294243254162087E-2</v>
      </c>
      <c r="Z97" s="89">
        <f t="shared" ref="Z97:Z108" si="198">IF(Y23=0,"",Z23/Y23-1)</f>
        <v>2.9035294774929055E-2</v>
      </c>
      <c r="AA97" s="89">
        <f t="shared" ref="AA97:AA108" si="199">IF(Z23=0,"",AA23/Z23-1)</f>
        <v>5.6086493360656409E-3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1.4000634600439321E-2</v>
      </c>
      <c r="F98" s="83">
        <f t="shared" si="178"/>
        <v>-0.15525242199244926</v>
      </c>
      <c r="G98" s="83">
        <f t="shared" si="179"/>
        <v>-5.6404809734637462E-2</v>
      </c>
      <c r="H98" s="83">
        <f t="shared" si="180"/>
        <v>4.7836320910342955E-2</v>
      </c>
      <c r="I98" s="83">
        <f t="shared" si="181"/>
        <v>1.0528353113092415E-2</v>
      </c>
      <c r="J98" s="83">
        <f t="shared" si="182"/>
        <v>1.0747847891358742E-2</v>
      </c>
      <c r="K98" s="83">
        <f t="shared" si="183"/>
        <v>1.9621310839657014E-2</v>
      </c>
      <c r="L98" s="83">
        <f t="shared" si="184"/>
        <v>-5.0151245416505508E-2</v>
      </c>
      <c r="M98" s="83">
        <f t="shared" si="185"/>
        <v>-0.13149506819047352</v>
      </c>
      <c r="N98" s="83">
        <f t="shared" si="186"/>
        <v>-0.10697281815535453</v>
      </c>
      <c r="O98" s="83">
        <f t="shared" si="187"/>
        <v>0.31560058250454137</v>
      </c>
      <c r="P98" s="83">
        <f t="shared" si="188"/>
        <v>0.13177024404365345</v>
      </c>
      <c r="Q98" s="83">
        <f t="shared" si="189"/>
        <v>5.5596378693231863E-2</v>
      </c>
      <c r="R98" s="83">
        <f t="shared" si="190"/>
        <v>3.8535504755843109E-2</v>
      </c>
      <c r="S98" s="83">
        <f t="shared" si="191"/>
        <v>-1.0364099416434458E-2</v>
      </c>
      <c r="T98" s="83">
        <f t="shared" si="192"/>
        <v>-2.4178438642464384E-2</v>
      </c>
      <c r="U98" s="83">
        <f t="shared" si="193"/>
        <v>3.1748555179525795E-2</v>
      </c>
      <c r="V98" s="83">
        <f t="shared" si="194"/>
        <v>-3.9799075158809649E-2</v>
      </c>
      <c r="W98" s="83">
        <f t="shared" si="195"/>
        <v>-7.6045958168604599E-3</v>
      </c>
      <c r="X98" s="83">
        <f t="shared" si="196"/>
        <v>-3.1505055695922435E-2</v>
      </c>
      <c r="Y98" s="83">
        <f t="shared" si="197"/>
        <v>-5.9089289951708368E-2</v>
      </c>
      <c r="Z98" s="83">
        <f t="shared" si="198"/>
        <v>0.2161539715465004</v>
      </c>
      <c r="AA98" s="83">
        <f t="shared" si="199"/>
        <v>2.7732834507552928E-2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2.5081214782529671E-3</v>
      </c>
      <c r="F99" s="83">
        <f t="shared" si="178"/>
        <v>-4.9090480900827904E-2</v>
      </c>
      <c r="G99" s="83">
        <f t="shared" si="179"/>
        <v>-8.454191041498671E-2</v>
      </c>
      <c r="H99" s="83">
        <f t="shared" si="180"/>
        <v>0.13687192730384456</v>
      </c>
      <c r="I99" s="83">
        <f t="shared" si="181"/>
        <v>0.14235900092633536</v>
      </c>
      <c r="J99" s="83">
        <f t="shared" si="182"/>
        <v>0.12578229244008665</v>
      </c>
      <c r="K99" s="83">
        <f t="shared" si="183"/>
        <v>3.8032423608106214E-2</v>
      </c>
      <c r="L99" s="83">
        <f t="shared" si="184"/>
        <v>0.12156611633053349</v>
      </c>
      <c r="M99" s="83">
        <f t="shared" si="185"/>
        <v>-0.1639936581689404</v>
      </c>
      <c r="N99" s="83">
        <f t="shared" si="186"/>
        <v>3.6142696926112716E-2</v>
      </c>
      <c r="O99" s="83">
        <f t="shared" si="187"/>
        <v>3.9234760794715218E-2</v>
      </c>
      <c r="P99" s="83">
        <f t="shared" si="188"/>
        <v>-8.6724950955638036E-2</v>
      </c>
      <c r="Q99" s="83">
        <f t="shared" si="189"/>
        <v>-0.22214590613429175</v>
      </c>
      <c r="R99" s="83">
        <f t="shared" si="190"/>
        <v>0.12919789550653027</v>
      </c>
      <c r="S99" s="83">
        <f t="shared" si="191"/>
        <v>-5.479627797362574E-2</v>
      </c>
      <c r="T99" s="83">
        <f t="shared" si="192"/>
        <v>-0.17172656502261929</v>
      </c>
      <c r="U99" s="83">
        <f t="shared" si="193"/>
        <v>2.3210698911777072E-2</v>
      </c>
      <c r="V99" s="83">
        <f t="shared" si="194"/>
        <v>-1.8498811912542656E-2</v>
      </c>
      <c r="W99" s="83">
        <f t="shared" si="195"/>
        <v>-0.12782716953299111</v>
      </c>
      <c r="X99" s="83">
        <f t="shared" si="196"/>
        <v>-0.15813719456277409</v>
      </c>
      <c r="Y99" s="83">
        <f t="shared" si="197"/>
        <v>6.3229642560432175E-2</v>
      </c>
      <c r="Z99" s="83">
        <f t="shared" si="198"/>
        <v>0.12384332945203114</v>
      </c>
      <c r="AA99" s="83">
        <f t="shared" si="199"/>
        <v>1.3592361958667087E-2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2.2806061901549102E-2</v>
      </c>
      <c r="F100" s="83">
        <f t="shared" si="178"/>
        <v>4.321786695890184E-2</v>
      </c>
      <c r="G100" s="83">
        <f t="shared" si="179"/>
        <v>4.5322277794549226E-2</v>
      </c>
      <c r="H100" s="83">
        <f t="shared" si="180"/>
        <v>2.4110989025285079E-2</v>
      </c>
      <c r="I100" s="83">
        <f t="shared" si="181"/>
        <v>6.3522461884232051E-2</v>
      </c>
      <c r="J100" s="83">
        <f t="shared" si="182"/>
        <v>6.3009448990306804E-2</v>
      </c>
      <c r="K100" s="83">
        <f t="shared" si="183"/>
        <v>5.4584342816125231E-2</v>
      </c>
      <c r="L100" s="83">
        <f t="shared" si="184"/>
        <v>4.8532656215599213E-2</v>
      </c>
      <c r="M100" s="83">
        <f t="shared" si="185"/>
        <v>-4.248665459401979E-2</v>
      </c>
      <c r="N100" s="83">
        <f t="shared" si="186"/>
        <v>4.1376264558686593E-2</v>
      </c>
      <c r="O100" s="83">
        <f t="shared" si="187"/>
        <v>1.1219066755325802E-3</v>
      </c>
      <c r="P100" s="83">
        <f t="shared" si="188"/>
        <v>-4.221997034817182E-3</v>
      </c>
      <c r="Q100" s="83">
        <f t="shared" si="189"/>
        <v>-5.7190049155375622E-4</v>
      </c>
      <c r="R100" s="83">
        <f t="shared" si="190"/>
        <v>1.2106599438412635E-2</v>
      </c>
      <c r="S100" s="83">
        <f t="shared" si="191"/>
        <v>4.0982228049199598E-2</v>
      </c>
      <c r="T100" s="83">
        <f t="shared" si="192"/>
        <v>3.6006824943707105E-2</v>
      </c>
      <c r="U100" s="83">
        <f t="shared" si="193"/>
        <v>6.6206232681961241E-2</v>
      </c>
      <c r="V100" s="83">
        <f t="shared" si="194"/>
        <v>5.1819741016981613E-2</v>
      </c>
      <c r="W100" s="83">
        <f t="shared" si="195"/>
        <v>4.6220039671299951E-2</v>
      </c>
      <c r="X100" s="83">
        <f t="shared" si="196"/>
        <v>-2.887779835248816E-2</v>
      </c>
      <c r="Y100" s="83">
        <f t="shared" si="197"/>
        <v>6.2209509697401355E-2</v>
      </c>
      <c r="Z100" s="83">
        <f t="shared" si="198"/>
        <v>1.0635300535546621E-2</v>
      </c>
      <c r="AA100" s="83">
        <f t="shared" si="199"/>
        <v>-3.8849380858906324E-3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2.2967246663527119E-2</v>
      </c>
      <c r="F101" s="84">
        <f t="shared" si="178"/>
        <v>6.1597231703467648E-2</v>
      </c>
      <c r="G101" s="84">
        <f t="shared" si="179"/>
        <v>4.9293274643033014E-2</v>
      </c>
      <c r="H101" s="84">
        <f t="shared" si="180"/>
        <v>1.2267695080377949E-2</v>
      </c>
      <c r="I101" s="84">
        <f t="shared" si="181"/>
        <v>4.1397960369483622E-2</v>
      </c>
      <c r="J101" s="84">
        <f t="shared" si="182"/>
        <v>4.8650270522805128E-2</v>
      </c>
      <c r="K101" s="84">
        <f t="shared" si="183"/>
        <v>3.2981558371232955E-2</v>
      </c>
      <c r="L101" s="84">
        <f t="shared" si="184"/>
        <v>3.8101051499188854E-2</v>
      </c>
      <c r="M101" s="84">
        <f t="shared" si="185"/>
        <v>-5.2014331311797446E-2</v>
      </c>
      <c r="N101" s="84">
        <f t="shared" si="186"/>
        <v>1.0910017013020301E-2</v>
      </c>
      <c r="O101" s="84">
        <f t="shared" si="187"/>
        <v>-3.2886296987660879E-3</v>
      </c>
      <c r="P101" s="84">
        <f t="shared" si="188"/>
        <v>-1.0855425486444137E-2</v>
      </c>
      <c r="Q101" s="84">
        <f t="shared" si="189"/>
        <v>1.6246748421129276E-3</v>
      </c>
      <c r="R101" s="84">
        <f t="shared" si="190"/>
        <v>8.2184843662276297E-3</v>
      </c>
      <c r="S101" s="84">
        <f t="shared" si="191"/>
        <v>3.1399371320493419E-2</v>
      </c>
      <c r="T101" s="84">
        <f t="shared" si="192"/>
        <v>3.6651878637651292E-2</v>
      </c>
      <c r="U101" s="84">
        <f t="shared" si="193"/>
        <v>5.8296838854580812E-2</v>
      </c>
      <c r="V101" s="84">
        <f t="shared" si="194"/>
        <v>4.4302475544731434E-2</v>
      </c>
      <c r="W101" s="84">
        <f t="shared" si="195"/>
        <v>4.4498398804083905E-2</v>
      </c>
      <c r="X101" s="84">
        <f t="shared" si="196"/>
        <v>-3.8356867855594445E-2</v>
      </c>
      <c r="Y101" s="84">
        <f t="shared" si="197"/>
        <v>3.8612471383680402E-2</v>
      </c>
      <c r="Z101" s="84">
        <f t="shared" si="198"/>
        <v>1.2701435539301364E-2</v>
      </c>
      <c r="AA101" s="84">
        <f t="shared" si="199"/>
        <v>-3.6545045954702315E-3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2.5922045651400216E-2</v>
      </c>
      <c r="F102" s="84">
        <f t="shared" si="178"/>
        <v>2.9600577133237937E-2</v>
      </c>
      <c r="G102" s="84">
        <f t="shared" si="179"/>
        <v>6.090027704133627E-2</v>
      </c>
      <c r="H102" s="84">
        <f t="shared" si="180"/>
        <v>3.9529085929128627E-2</v>
      </c>
      <c r="I102" s="84">
        <f t="shared" si="181"/>
        <v>7.93284821151512E-2</v>
      </c>
      <c r="J102" s="84">
        <f t="shared" si="182"/>
        <v>6.5873592313843377E-2</v>
      </c>
      <c r="K102" s="84">
        <f t="shared" si="183"/>
        <v>8.8259144709305071E-2</v>
      </c>
      <c r="L102" s="84">
        <f t="shared" si="184"/>
        <v>7.3617318706964197E-2</v>
      </c>
      <c r="M102" s="84">
        <f t="shared" si="185"/>
        <v>-6.7756681943751396E-3</v>
      </c>
      <c r="N102" s="84">
        <f t="shared" si="186"/>
        <v>7.240156657111374E-2</v>
      </c>
      <c r="O102" s="84">
        <f t="shared" si="187"/>
        <v>3.8240944024492407E-4</v>
      </c>
      <c r="P102" s="84">
        <f t="shared" si="188"/>
        <v>-3.3318691966737202E-3</v>
      </c>
      <c r="Q102" s="84">
        <f t="shared" si="189"/>
        <v>5.1952136616943978E-3</v>
      </c>
      <c r="R102" s="84">
        <f t="shared" si="190"/>
        <v>6.4039342520707532E-3</v>
      </c>
      <c r="S102" s="84">
        <f t="shared" si="191"/>
        <v>3.6659701443824799E-2</v>
      </c>
      <c r="T102" s="84">
        <f t="shared" si="192"/>
        <v>4.6869969526554423E-2</v>
      </c>
      <c r="U102" s="84">
        <f t="shared" si="193"/>
        <v>6.8527015580924111E-2</v>
      </c>
      <c r="V102" s="84">
        <f t="shared" si="194"/>
        <v>7.2729000957425072E-2</v>
      </c>
      <c r="W102" s="84">
        <f t="shared" si="195"/>
        <v>6.038107833343509E-2</v>
      </c>
      <c r="X102" s="84">
        <f t="shared" si="196"/>
        <v>-1.2713706689879367E-2</v>
      </c>
      <c r="Y102" s="84">
        <f t="shared" si="197"/>
        <v>6.8715236209075936E-2</v>
      </c>
      <c r="Z102" s="84">
        <f t="shared" si="198"/>
        <v>1.3024079680620915E-2</v>
      </c>
      <c r="AA102" s="84">
        <f t="shared" si="199"/>
        <v>4.5802242382886327E-3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1.7312273601661321E-2</v>
      </c>
      <c r="F103" s="84">
        <f t="shared" si="178"/>
        <v>3.1421337621403422E-2</v>
      </c>
      <c r="G103" s="84">
        <f t="shared" si="179"/>
        <v>1.1484085896138696E-2</v>
      </c>
      <c r="H103" s="84">
        <f t="shared" si="180"/>
        <v>2.0846345497784746E-2</v>
      </c>
      <c r="I103" s="84">
        <f t="shared" si="181"/>
        <v>7.9402904802556629E-2</v>
      </c>
      <c r="J103" s="84">
        <f t="shared" si="182"/>
        <v>8.5551966088014408E-2</v>
      </c>
      <c r="K103" s="84">
        <f t="shared" si="183"/>
        <v>3.5577084769682354E-2</v>
      </c>
      <c r="L103" s="84">
        <f t="shared" si="184"/>
        <v>2.1542997183801038E-2</v>
      </c>
      <c r="M103" s="84">
        <f t="shared" si="185"/>
        <v>-9.3872036588143359E-2</v>
      </c>
      <c r="N103" s="84">
        <f t="shared" si="186"/>
        <v>3.546895125415217E-2</v>
      </c>
      <c r="O103" s="84">
        <f t="shared" si="187"/>
        <v>1.1253623849818872E-2</v>
      </c>
      <c r="P103" s="84">
        <f t="shared" si="188"/>
        <v>6.4380782988213703E-3</v>
      </c>
      <c r="Q103" s="84">
        <f t="shared" si="189"/>
        <v>-1.7131019465033925E-2</v>
      </c>
      <c r="R103" s="84">
        <f t="shared" si="190"/>
        <v>3.2103109148606812E-2</v>
      </c>
      <c r="S103" s="84">
        <f t="shared" si="191"/>
        <v>6.8105452169837211E-2</v>
      </c>
      <c r="T103" s="84">
        <f t="shared" si="192"/>
        <v>1.2136391523754009E-2</v>
      </c>
      <c r="U103" s="84">
        <f t="shared" si="193"/>
        <v>7.572714338515274E-2</v>
      </c>
      <c r="V103" s="84">
        <f t="shared" si="194"/>
        <v>2.0499998272451636E-2</v>
      </c>
      <c r="W103" s="84">
        <f t="shared" si="195"/>
        <v>1.7430399453525647E-2</v>
      </c>
      <c r="X103" s="84">
        <f t="shared" si="196"/>
        <v>-4.8907913942603853E-2</v>
      </c>
      <c r="Y103" s="84">
        <f t="shared" si="197"/>
        <v>9.1646481214098241E-2</v>
      </c>
      <c r="Z103" s="84">
        <f t="shared" si="198"/>
        <v>1.146134790359854E-3</v>
      </c>
      <c r="AA103" s="84">
        <f t="shared" si="199"/>
        <v>-2.4796255840831116E-2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0.10446273666828199</v>
      </c>
      <c r="F104" s="83">
        <f t="shared" si="178"/>
        <v>8.1979229722390468E-2</v>
      </c>
      <c r="G104" s="83">
        <f t="shared" si="179"/>
        <v>-5.1256244113134897E-2</v>
      </c>
      <c r="H104" s="83">
        <f t="shared" si="180"/>
        <v>8.2246663558177113E-2</v>
      </c>
      <c r="I104" s="83">
        <f t="shared" si="181"/>
        <v>8.1791957102054447E-2</v>
      </c>
      <c r="J104" s="83">
        <f t="shared" si="182"/>
        <v>0.17829877379114589</v>
      </c>
      <c r="K104" s="83">
        <f t="shared" si="183"/>
        <v>1.6378102256984661E-2</v>
      </c>
      <c r="L104" s="83">
        <f t="shared" si="184"/>
        <v>0.24125472681101079</v>
      </c>
      <c r="M104" s="83">
        <f t="shared" si="185"/>
        <v>6.1965691808455681E-2</v>
      </c>
      <c r="N104" s="83">
        <f t="shared" si="186"/>
        <v>-0.10946078547451155</v>
      </c>
      <c r="O104" s="83">
        <f t="shared" si="187"/>
        <v>-1.9640062479455933E-2</v>
      </c>
      <c r="P104" s="83">
        <f t="shared" si="188"/>
        <v>1.553588074455714E-2</v>
      </c>
      <c r="Q104" s="83">
        <f t="shared" si="189"/>
        <v>4.6123879079688734E-2</v>
      </c>
      <c r="R104" s="83">
        <f t="shared" si="190"/>
        <v>-0.14065515246558569</v>
      </c>
      <c r="S104" s="83">
        <f t="shared" si="191"/>
        <v>1.1576702442515074E-2</v>
      </c>
      <c r="T104" s="83">
        <f t="shared" si="192"/>
        <v>-2.1200463510632983E-2</v>
      </c>
      <c r="U104" s="83">
        <f t="shared" si="193"/>
        <v>-1.6165883844321938E-2</v>
      </c>
      <c r="V104" s="83">
        <f t="shared" si="194"/>
        <v>-6.9643285800812693E-2</v>
      </c>
      <c r="W104" s="83">
        <f t="shared" si="195"/>
        <v>-1.1496704187514695E-3</v>
      </c>
      <c r="X104" s="83">
        <f t="shared" si="196"/>
        <v>-2.0977069819836158E-2</v>
      </c>
      <c r="Y104" s="83">
        <f t="shared" si="197"/>
        <v>4.2832083892353046E-2</v>
      </c>
      <c r="Z104" s="83">
        <f t="shared" si="198"/>
        <v>0.41398108886654428</v>
      </c>
      <c r="AA104" s="83">
        <f t="shared" si="199"/>
        <v>-0.11461007626061059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3.2307496715264783E-3</v>
      </c>
      <c r="F105" s="83">
        <f t="shared" si="178"/>
        <v>8.0689689603149484E-2</v>
      </c>
      <c r="G105" s="83">
        <f t="shared" si="179"/>
        <v>5.4690950415476891E-2</v>
      </c>
      <c r="H105" s="83">
        <f t="shared" si="180"/>
        <v>3.9561065633019421E-2</v>
      </c>
      <c r="I105" s="83">
        <f t="shared" si="181"/>
        <v>9.9798767719373238E-2</v>
      </c>
      <c r="J105" s="83">
        <f t="shared" si="182"/>
        <v>1.8755716095952168E-2</v>
      </c>
      <c r="K105" s="83">
        <f t="shared" si="183"/>
        <v>6.2989876547483892E-2</v>
      </c>
      <c r="L105" s="83">
        <f t="shared" si="184"/>
        <v>2.4708020833417166E-2</v>
      </c>
      <c r="M105" s="83">
        <f t="shared" si="185"/>
        <v>4.1520940569254927E-2</v>
      </c>
      <c r="N105" s="83">
        <f t="shared" si="186"/>
        <v>3.2009168357620688E-2</v>
      </c>
      <c r="O105" s="83">
        <f t="shared" si="187"/>
        <v>-6.996432905644423E-2</v>
      </c>
      <c r="P105" s="83">
        <f t="shared" si="188"/>
        <v>-8.9056375364433338E-2</v>
      </c>
      <c r="Q105" s="83">
        <f t="shared" si="189"/>
        <v>-2.5373390840111698E-2</v>
      </c>
      <c r="R105" s="83">
        <f t="shared" si="190"/>
        <v>7.6203091278004287E-3</v>
      </c>
      <c r="S105" s="83">
        <f t="shared" si="191"/>
        <v>4.2757593801689087E-2</v>
      </c>
      <c r="T105" s="83">
        <f t="shared" si="192"/>
        <v>-1.4092227833136017E-2</v>
      </c>
      <c r="U105" s="83">
        <f t="shared" si="193"/>
        <v>4.6207765661128386E-2</v>
      </c>
      <c r="V105" s="83">
        <f t="shared" si="194"/>
        <v>5.153522288838519E-2</v>
      </c>
      <c r="W105" s="83">
        <f t="shared" si="195"/>
        <v>3.2778648751421002E-2</v>
      </c>
      <c r="X105" s="83">
        <f t="shared" si="196"/>
        <v>-3.9129503398759424E-2</v>
      </c>
      <c r="Y105" s="83">
        <f t="shared" si="197"/>
        <v>2.6128497681571439E-2</v>
      </c>
      <c r="Z105" s="83">
        <f t="shared" si="198"/>
        <v>3.636327937791628E-2</v>
      </c>
      <c r="AA105" s="83">
        <f t="shared" si="199"/>
        <v>2.9856065445887259E-2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4.7062959424426509E-2</v>
      </c>
      <c r="F106" s="83">
        <f t="shared" si="178"/>
        <v>-3.4194615745935075E-2</v>
      </c>
      <c r="G106" s="83">
        <f t="shared" si="179"/>
        <v>-3.6069466653462223E-3</v>
      </c>
      <c r="H106" s="83">
        <f t="shared" si="180"/>
        <v>0.10767961615364197</v>
      </c>
      <c r="I106" s="83">
        <f t="shared" si="181"/>
        <v>6.0793082687509381E-2</v>
      </c>
      <c r="J106" s="83">
        <f t="shared" si="182"/>
        <v>9.5885374312175475E-2</v>
      </c>
      <c r="K106" s="83">
        <f t="shared" si="183"/>
        <v>5.177009209478256E-2</v>
      </c>
      <c r="L106" s="83">
        <f t="shared" si="184"/>
        <v>-2.3816820518468118E-2</v>
      </c>
      <c r="M106" s="83">
        <f t="shared" si="185"/>
        <v>-0.1213249493933346</v>
      </c>
      <c r="N106" s="83">
        <f t="shared" si="186"/>
        <v>5.3428456834854643E-2</v>
      </c>
      <c r="O106" s="83">
        <f t="shared" si="187"/>
        <v>7.7628456246033206E-2</v>
      </c>
      <c r="P106" s="83">
        <f t="shared" si="188"/>
        <v>-9.8725127758259035E-3</v>
      </c>
      <c r="Q106" s="83">
        <f t="shared" si="189"/>
        <v>4.538628607227535E-3</v>
      </c>
      <c r="R106" s="83">
        <f t="shared" si="190"/>
        <v>0.10413284090413488</v>
      </c>
      <c r="S106" s="83">
        <f t="shared" si="191"/>
        <v>6.4248572381363278E-2</v>
      </c>
      <c r="T106" s="83">
        <f t="shared" si="192"/>
        <v>2.652056147650006E-2</v>
      </c>
      <c r="U106" s="83">
        <f t="shared" si="193"/>
        <v>2.9770281066702653E-2</v>
      </c>
      <c r="V106" s="83">
        <f t="shared" si="194"/>
        <v>-1.1559200790406954E-2</v>
      </c>
      <c r="W106" s="83">
        <f t="shared" si="195"/>
        <v>2.1698176627221066E-2</v>
      </c>
      <c r="X106" s="83">
        <f t="shared" si="196"/>
        <v>-0.11626646183392941</v>
      </c>
      <c r="Y106" s="83">
        <f t="shared" si="197"/>
        <v>-1.9386189014964583E-2</v>
      </c>
      <c r="Z106" s="83">
        <f t="shared" si="198"/>
        <v>1.6737172561797964E-2</v>
      </c>
      <c r="AA106" s="83">
        <f t="shared" si="199"/>
        <v>5.0427146858391669E-2</v>
      </c>
    </row>
    <row r="107" spans="1:27" x14ac:dyDescent="0.25">
      <c r="A107" s="85" t="s">
        <v>158</v>
      </c>
      <c r="B107" s="86"/>
      <c r="C107" s="86"/>
      <c r="D107" s="87"/>
      <c r="E107" s="87">
        <f t="shared" ref="E107:E108" si="200">IF(D33=0,"",E33/D33-1)</f>
        <v>-2.49138558047306E-2</v>
      </c>
      <c r="F107" s="87">
        <f t="shared" ref="F107:F108" si="201">IF(E33=0,"",F33/E33-1)</f>
        <v>-8.6218716314647614E-2</v>
      </c>
      <c r="G107" s="87">
        <f t="shared" ref="G107:G108" si="202">IF(F33=0,"",G33/F33-1)</f>
        <v>-1.1019085001108153E-2</v>
      </c>
      <c r="H107" s="87">
        <f t="shared" ref="H107:H108" si="203">IF(G33=0,"",H33/G33-1)</f>
        <v>0.2064368910291916</v>
      </c>
      <c r="I107" s="87">
        <f t="shared" ref="I107:I108" si="204">IF(H33=0,"",I33/H33-1)</f>
        <v>0.21553060243667699</v>
      </c>
      <c r="J107" s="87">
        <f t="shared" ref="J107:J108" si="205">IF(I33=0,"",J33/I33-1)</f>
        <v>-3.2580642618263989E-3</v>
      </c>
      <c r="K107" s="87">
        <f t="shared" ref="K107:K108" si="206">IF(J33=0,"",K33/J33-1)</f>
        <v>-1.1673604985023567E-2</v>
      </c>
      <c r="L107" s="87">
        <f t="shared" ref="L107:L108" si="207">IF(K33=0,"",L33/K33-1)</f>
        <v>-0.14906777484869749</v>
      </c>
      <c r="M107" s="87">
        <f t="shared" ref="M107:M108" si="208">IF(L33=0,"",M33/L33-1)</f>
        <v>-0.38706761226032982</v>
      </c>
      <c r="N107" s="87">
        <f t="shared" ref="N107:N108" si="209">IF(M33=0,"",N33/M33-1)</f>
        <v>-8.2293920158890033E-2</v>
      </c>
      <c r="O107" s="87">
        <f t="shared" ref="O107:O108" si="210">IF(N33=0,"",O33/N33-1)</f>
        <v>0.25372748795668421</v>
      </c>
      <c r="P107" s="87">
        <f t="shared" ref="P107:P108" si="211">IF(O33=0,"",P33/O33-1)</f>
        <v>-0.11129608098046129</v>
      </c>
      <c r="Q107" s="87">
        <f t="shared" ref="Q107:Q108" si="212">IF(P33=0,"",Q33/P33-1)</f>
        <v>9.5995235515144994E-2</v>
      </c>
      <c r="R107" s="87">
        <f t="shared" ref="R107:R108" si="213">IF(Q33=0,"",R33/Q33-1)</f>
        <v>0.19992407567044901</v>
      </c>
      <c r="S107" s="87">
        <f t="shared" ref="S107:S108" si="214">IF(R33=0,"",S33/R33-1)</f>
        <v>2.8797123526539625E-2</v>
      </c>
      <c r="T107" s="87">
        <f t="shared" ref="T107:T108" si="215">IF(S33=0,"",T33/S33-1)</f>
        <v>-5.8399190288545011E-2</v>
      </c>
      <c r="U107" s="87">
        <f t="shared" ref="U107:U108" si="216">IF(T33=0,"",U33/T33-1)</f>
        <v>-8.8546672542254012E-2</v>
      </c>
      <c r="V107" s="87">
        <f t="shared" ref="V107:V108" si="217">IF(U33=0,"",V33/U33-1)</f>
        <v>3.2183627390371505E-2</v>
      </c>
      <c r="W107" s="87">
        <f t="shared" ref="W107:W108" si="218">IF(V33=0,"",W33/V33-1)</f>
        <v>-0.13853617015553543</v>
      </c>
      <c r="X107" s="87">
        <f t="shared" ref="X107:X108" si="219">IF(W33=0,"",X33/W33-1)</f>
        <v>-0.20702977826819735</v>
      </c>
      <c r="Y107" s="87">
        <f t="shared" ref="Y107:Y108" si="220">IF(X33=0,"",Y33/X33-1)</f>
        <v>-0.11557239221742344</v>
      </c>
      <c r="Z107" s="87">
        <f t="shared" si="198"/>
        <v>-9.285906790646492E-2</v>
      </c>
      <c r="AA107" s="87">
        <f t="shared" si="199"/>
        <v>-7.1108629335265516E-2</v>
      </c>
    </row>
    <row r="108" spans="1:27" x14ac:dyDescent="0.25">
      <c r="A108" s="88" t="s">
        <v>5</v>
      </c>
      <c r="B108" s="44"/>
      <c r="C108" s="44"/>
      <c r="D108" s="89"/>
      <c r="E108" s="89">
        <f t="shared" si="200"/>
        <v>-1.9145579812887004E-2</v>
      </c>
      <c r="F108" s="89">
        <f t="shared" si="201"/>
        <v>-9.7240978746245155E-2</v>
      </c>
      <c r="G108" s="89">
        <f t="shared" si="202"/>
        <v>-6.614314276230604E-3</v>
      </c>
      <c r="H108" s="89">
        <f t="shared" si="203"/>
        <v>0.2064368910291916</v>
      </c>
      <c r="I108" s="89">
        <f t="shared" si="204"/>
        <v>0.20785119501984273</v>
      </c>
      <c r="J108" s="89">
        <f t="shared" si="205"/>
        <v>-4.4847750339341852E-3</v>
      </c>
      <c r="K108" s="89">
        <f t="shared" si="206"/>
        <v>-1.6255479636928971E-2</v>
      </c>
      <c r="L108" s="89">
        <f t="shared" si="207"/>
        <v>-0.15361255748122338</v>
      </c>
      <c r="M108" s="89">
        <f t="shared" si="208"/>
        <v>-0.42635942919926439</v>
      </c>
      <c r="N108" s="89">
        <f t="shared" si="209"/>
        <v>-0.11252283579419731</v>
      </c>
      <c r="O108" s="89">
        <f t="shared" si="210"/>
        <v>0.29509619133657061</v>
      </c>
      <c r="P108" s="89">
        <f t="shared" si="211"/>
        <v>-0.15641649776422906</v>
      </c>
      <c r="Q108" s="89">
        <f t="shared" si="212"/>
        <v>0.13297505805511944</v>
      </c>
      <c r="R108" s="89">
        <f t="shared" si="213"/>
        <v>0.22624879482731064</v>
      </c>
      <c r="S108" s="89">
        <f t="shared" si="214"/>
        <v>-4.0954195772512691E-2</v>
      </c>
      <c r="T108" s="89">
        <f t="shared" si="215"/>
        <v>-5.9366372582409843E-2</v>
      </c>
      <c r="U108" s="89">
        <f t="shared" si="216"/>
        <v>-0.13017388833466981</v>
      </c>
      <c r="V108" s="89">
        <f t="shared" si="217"/>
        <v>9.15272151696509E-2</v>
      </c>
      <c r="W108" s="89">
        <f t="shared" si="218"/>
        <v>-0.16599396846886116</v>
      </c>
      <c r="X108" s="89">
        <f t="shared" si="219"/>
        <v>-0.23468846877535265</v>
      </c>
      <c r="Y108" s="89">
        <f t="shared" si="220"/>
        <v>-6.1932918952789295E-2</v>
      </c>
      <c r="Z108" s="89">
        <f t="shared" si="198"/>
        <v>-0.14204171419884271</v>
      </c>
      <c r="AA108" s="89">
        <f t="shared" si="199"/>
        <v>-0.11557614815770167</v>
      </c>
    </row>
    <row r="109" spans="1:27" x14ac:dyDescent="0.25">
      <c r="A109" s="88" t="s">
        <v>263</v>
      </c>
      <c r="B109" s="44"/>
      <c r="C109" s="44"/>
      <c r="D109" s="89"/>
      <c r="E109" s="89">
        <f t="shared" ref="E109" si="221">IF(D37=0,"",E37/D37-1)</f>
        <v>-0.13617793634737119</v>
      </c>
      <c r="F109" s="89">
        <f t="shared" ref="F109" si="222">IF(E37=0,"",F37/E37-1)</f>
        <v>0.15519389832294994</v>
      </c>
      <c r="G109" s="89">
        <f t="shared" ref="G109" si="223">IF(F37=0,"",G37/F37-1)</f>
        <v>-8.6411815257559699E-2</v>
      </c>
      <c r="H109" s="89">
        <f t="shared" ref="H109" si="224">IF(G37=0,"",H37/G37-1)</f>
        <v>0.20643689102919383</v>
      </c>
      <c r="I109" s="89">
        <f t="shared" ref="I109" si="225">IF(H37=0,"",I37/H37-1)</f>
        <v>0.35845332998268176</v>
      </c>
      <c r="J109" s="89">
        <f t="shared" ref="J109" si="226">IF(I37=0,"",J37/I37-1)</f>
        <v>1.7041395331007347E-2</v>
      </c>
      <c r="K109" s="89">
        <f t="shared" ref="K109" si="227">IF(J37=0,"",K37/J37-1)</f>
        <v>6.2541922373066106E-2</v>
      </c>
      <c r="L109" s="89">
        <f t="shared" ref="L109" si="228">IF(K37=0,"",L37/K37-1)</f>
        <v>-8.0912269418050631E-2</v>
      </c>
      <c r="M109" s="89">
        <f t="shared" ref="M109" si="229">IF(L37=0,"",M37/L37-1)</f>
        <v>0.1555603640383274</v>
      </c>
      <c r="N109" s="89">
        <f t="shared" ref="N109" si="230">IF(M37=0,"",N37/M37-1)</f>
        <v>0.12494430285955627</v>
      </c>
      <c r="O109" s="89">
        <f t="shared" ref="O109" si="231">IF(N37=0,"",O37/N37-1)</f>
        <v>2.9986595240819147E-2</v>
      </c>
      <c r="P109" s="89">
        <f t="shared" ref="P109" si="232">IF(O37=0,"",P37/O37-1)</f>
        <v>0.19554747970708508</v>
      </c>
      <c r="Q109" s="89">
        <f t="shared" ref="Q109" si="233">IF(P37=0,"",Q37/P37-1)</f>
        <v>-8.1452304625507121E-2</v>
      </c>
      <c r="R109" s="89">
        <f t="shared" ref="R109" si="234">IF(Q37=0,"",R37/Q37-1)</f>
        <v>4.4116867922080472E-2</v>
      </c>
      <c r="S109" s="89">
        <f t="shared" ref="S109" si="235">IF(R37=0,"",S37/R37-1)</f>
        <v>0.51364523233643444</v>
      </c>
      <c r="T109" s="89">
        <f t="shared" ref="T109" si="236">IF(S37=0,"",T37/S37-1)</f>
        <v>-5.4139511324158285E-2</v>
      </c>
      <c r="U109" s="89">
        <f t="shared" ref="U109" si="237">IF(T37=0,"",U37/T37-1)</f>
        <v>9.3775426757522817E-2</v>
      </c>
      <c r="V109" s="89">
        <f t="shared" ref="V109" si="238">IF(U37=0,"",V37/U37-1)</f>
        <v>-0.17451615829283051</v>
      </c>
      <c r="W109" s="89">
        <f t="shared" ref="W109" si="239">IF(V37=0,"",W37/V37-1)</f>
        <v>-1.2074786405577353E-2</v>
      </c>
      <c r="X109" s="89">
        <f t="shared" ref="X109" si="240">IF(W37=0,"",X37/W37-1)</f>
        <v>-9.9490044848778325E-2</v>
      </c>
      <c r="Y109" s="89">
        <f t="shared" ref="Y109" si="241">IF(X37=0,"",Y37/X37-1)</f>
        <v>-0.29281640916780627</v>
      </c>
      <c r="Z109" s="89">
        <f t="shared" ref="Z109" si="242">IF(Y37=0,"",Z37/Y37-1)</f>
        <v>0.12271707283811839</v>
      </c>
      <c r="AA109" s="89">
        <f t="shared" ref="AA109" si="243">IF(Z37=0,"",AA37/Z37-1)</f>
        <v>7.7836924614405056E-2</v>
      </c>
    </row>
    <row r="110" spans="1:27" x14ac:dyDescent="0.25">
      <c r="A110" s="68" t="s">
        <v>265</v>
      </c>
      <c r="B110" s="44"/>
      <c r="C110" s="44"/>
      <c r="D110" s="89"/>
      <c r="E110" s="89">
        <f t="shared" ref="E110:E111" si="244">IF(D43=0,"",E43/D43-1)</f>
        <v>-0.12258883254850916</v>
      </c>
      <c r="F110" s="89">
        <f t="shared" ref="F110:F111" si="245">IF(E43=0,"",F43/E43-1)</f>
        <v>-9.434966059340133E-2</v>
      </c>
      <c r="G110" s="89">
        <f t="shared" ref="G110:G111" si="246">IF(F43=0,"",G43/F43-1)</f>
        <v>6.9103800674734428E-2</v>
      </c>
      <c r="H110" s="89">
        <f t="shared" ref="H110:H111" si="247">IF(G43=0,"",H43/G43-1)</f>
        <v>8.6783759200159682E-2</v>
      </c>
      <c r="I110" s="89">
        <f t="shared" ref="I110:I111" si="248">IF(H43=0,"",I43/H43-1)</f>
        <v>4.6712192715262502E-2</v>
      </c>
      <c r="J110" s="89">
        <f t="shared" ref="J110:J111" si="249">IF(I43=0,"",J43/I43-1)</f>
        <v>-1.6632589247776219E-2</v>
      </c>
      <c r="K110" s="89">
        <f t="shared" ref="K110:K111" si="250">IF(J43=0,"",K43/J43-1)</f>
        <v>-7.0136165609979706E-4</v>
      </c>
      <c r="L110" s="89">
        <f t="shared" ref="L110:L111" si="251">IF(K43=0,"",L43/K43-1)</f>
        <v>-7.3711349317752139E-3</v>
      </c>
      <c r="M110" s="89">
        <f t="shared" ref="M110:M111" si="252">IF(L43=0,"",M43/L43-1)</f>
        <v>-0.13930803257765401</v>
      </c>
      <c r="N110" s="89">
        <f t="shared" ref="N110:N111" si="253">IF(M43=0,"",N43/M43-1)</f>
        <v>4.8383543337790824E-2</v>
      </c>
      <c r="O110" s="89">
        <f t="shared" ref="O110:O111" si="254">IF(N43=0,"",O43/N43-1)</f>
        <v>2.1495154434045149E-2</v>
      </c>
      <c r="P110" s="89">
        <f t="shared" ref="P110:P111" si="255">IF(O43=0,"",P43/O43-1)</f>
        <v>8.0223120422905803E-2</v>
      </c>
      <c r="Q110" s="89">
        <f t="shared" ref="Q110:Q111" si="256">IF(P43=0,"",Q43/P43-1)</f>
        <v>-4.9191949751934638E-2</v>
      </c>
      <c r="R110" s="89">
        <f t="shared" ref="R110:R111" si="257">IF(Q43=0,"",R43/Q43-1)</f>
        <v>0.17163281362088267</v>
      </c>
      <c r="S110" s="89">
        <f t="shared" ref="S110:S111" si="258">IF(R43=0,"",S43/R43-1)</f>
        <v>9.7805190331375691E-2</v>
      </c>
      <c r="T110" s="89">
        <f t="shared" ref="T110:T111" si="259">IF(S43=0,"",T43/S43-1)</f>
        <v>-4.2248754292099067E-2</v>
      </c>
      <c r="U110" s="89">
        <f t="shared" ref="U110:U111" si="260">IF(T43=0,"",U43/T43-1)</f>
        <v>0.15352539452155423</v>
      </c>
      <c r="V110" s="89">
        <f t="shared" ref="V110:V111" si="261">IF(U43=0,"",V43/U43-1)</f>
        <v>-8.4438393709922788E-2</v>
      </c>
      <c r="W110" s="89">
        <f t="shared" ref="W110:W111" si="262">IF(V43=0,"",W43/V43-1)</f>
        <v>5.28380320333659E-2</v>
      </c>
      <c r="X110" s="89">
        <f t="shared" ref="X110:X111" si="263">IF(W43=0,"",X43/W43-1)</f>
        <v>-0.12766901384939311</v>
      </c>
      <c r="Y110" s="89">
        <f t="shared" ref="Y110:Y111" si="264">IF(X43=0,"",Y43/X43-1)</f>
        <v>-8.4030657371255035E-2</v>
      </c>
      <c r="Z110" s="89">
        <f t="shared" ref="Z110:Z111" si="265">IF(Y43=0,"",Z43/Y43-1)</f>
        <v>0.40796932463862756</v>
      </c>
      <c r="AA110" s="89">
        <f t="shared" ref="AA110:AA111" si="266">IF(Z43=0,"",AA43/Z43-1)</f>
        <v>-7.65122228695444E-2</v>
      </c>
    </row>
    <row r="111" spans="1:27" x14ac:dyDescent="0.25">
      <c r="A111" s="88" t="s">
        <v>266</v>
      </c>
      <c r="B111" s="44"/>
      <c r="C111" s="44"/>
      <c r="D111" s="89"/>
      <c r="E111" s="89">
        <f t="shared" si="244"/>
        <v>-0.15416718051556477</v>
      </c>
      <c r="F111" s="89">
        <f t="shared" si="245"/>
        <v>-0.13540635571420745</v>
      </c>
      <c r="G111" s="89">
        <f t="shared" si="246"/>
        <v>7.5234888865056471E-2</v>
      </c>
      <c r="H111" s="89">
        <f t="shared" si="247"/>
        <v>0.10925148121260997</v>
      </c>
      <c r="I111" s="89">
        <f t="shared" si="248"/>
        <v>2.6520706577346509E-3</v>
      </c>
      <c r="J111" s="89">
        <f t="shared" si="249"/>
        <v>-4.7685029036205084E-2</v>
      </c>
      <c r="K111" s="89">
        <f t="shared" si="250"/>
        <v>2.954432379914107E-2</v>
      </c>
      <c r="L111" s="89">
        <f t="shared" si="251"/>
        <v>1.6959432334176627E-2</v>
      </c>
      <c r="M111" s="89">
        <f t="shared" si="252"/>
        <v>-0.22945060324703004</v>
      </c>
      <c r="N111" s="89">
        <f t="shared" si="253"/>
        <v>1.3026687746773291E-3</v>
      </c>
      <c r="O111" s="89">
        <f t="shared" si="254"/>
        <v>8.4011733895849261E-2</v>
      </c>
      <c r="P111" s="89">
        <f t="shared" si="255"/>
        <v>0.11077242283934474</v>
      </c>
      <c r="Q111" s="89">
        <f t="shared" si="256"/>
        <v>-7.8499957760218675E-2</v>
      </c>
      <c r="R111" s="89">
        <f t="shared" si="257"/>
        <v>0.22450130189043205</v>
      </c>
      <c r="S111" s="89">
        <f t="shared" si="258"/>
        <v>0.17252741593921761</v>
      </c>
      <c r="T111" s="89">
        <f t="shared" si="259"/>
        <v>-5.1487569885106721E-2</v>
      </c>
      <c r="U111" s="89">
        <f t="shared" si="260"/>
        <v>0.20641517811912435</v>
      </c>
      <c r="V111" s="89">
        <f t="shared" si="261"/>
        <v>-8.1053226898697206E-2</v>
      </c>
      <c r="W111" s="89">
        <f t="shared" si="262"/>
        <v>2.0645367929793323E-2</v>
      </c>
      <c r="X111" s="89">
        <f t="shared" si="263"/>
        <v>-0.21430071560670705</v>
      </c>
      <c r="Y111" s="89">
        <f t="shared" si="264"/>
        <v>-8.3064661737664802E-2</v>
      </c>
      <c r="Z111" s="89">
        <f t="shared" si="265"/>
        <v>0.64339175134999227</v>
      </c>
      <c r="AA111" s="89">
        <f t="shared" si="266"/>
        <v>-0.12476569913838242</v>
      </c>
    </row>
    <row r="112" spans="1:27" x14ac:dyDescent="0.25">
      <c r="A112" s="88" t="s">
        <v>11</v>
      </c>
      <c r="B112" s="44"/>
      <c r="C112" s="44"/>
      <c r="D112" s="89"/>
      <c r="E112" s="89">
        <f t="shared" ref="E112:E113" si="267">IF(D47=0,"",E47/D47-1)</f>
        <v>-3.1766541598107878E-2</v>
      </c>
      <c r="F112" s="89">
        <f t="shared" ref="F112:F113" si="268">IF(E47=0,"",F47/E47-1)</f>
        <v>8.8056237571956242E-3</v>
      </c>
      <c r="G112" s="89">
        <f t="shared" ref="G112:G113" si="269">IF(F47=0,"",G47/F47-1)</f>
        <v>5.5901500587115738E-2</v>
      </c>
      <c r="H112" s="89">
        <f t="shared" ref="H112:H113" si="270">IF(G47=0,"",H47/G47-1)</f>
        <v>3.7517337554521912E-2</v>
      </c>
      <c r="I112" s="89">
        <f t="shared" ref="I112:I113" si="271">IF(H47=0,"",I47/H47-1)</f>
        <v>0.1500055344910094</v>
      </c>
      <c r="J112" s="89">
        <f t="shared" ref="J112:J113" si="272">IF(I47=0,"",J47/I47-1)</f>
        <v>4.6838022634591026E-2</v>
      </c>
      <c r="K112" s="89">
        <f t="shared" ref="K112:K113" si="273">IF(J47=0,"",K47/J47-1)</f>
        <v>-5.6940869489667145E-2</v>
      </c>
      <c r="L112" s="89">
        <f t="shared" ref="L112:L113" si="274">IF(K47=0,"",L47/K47-1)</f>
        <v>-5.6760840713107719E-2</v>
      </c>
      <c r="M112" s="89">
        <f t="shared" ref="M112:M113" si="275">IF(L47=0,"",M47/L47-1)</f>
        <v>5.7977823057294708E-2</v>
      </c>
      <c r="N112" s="89">
        <f t="shared" ref="N112:N113" si="276">IF(M47=0,"",N47/M47-1)</f>
        <v>0.12343073631624724</v>
      </c>
      <c r="O112" s="89">
        <f t="shared" ref="O112:O113" si="277">IF(N47=0,"",O47/N47-1)</f>
        <v>-6.7323504424026459E-2</v>
      </c>
      <c r="P112" s="89">
        <f t="shared" ref="P112:P113" si="278">IF(O47=0,"",P47/O47-1)</f>
        <v>2.9778686606832361E-2</v>
      </c>
      <c r="Q112" s="89">
        <f t="shared" ref="Q112:Q113" si="279">IF(P47=0,"",Q47/P47-1)</f>
        <v>3.0091251318622447E-3</v>
      </c>
      <c r="R112" s="89">
        <f t="shared" ref="R112:R113" si="280">IF(Q47=0,"",R47/Q47-1)</f>
        <v>8.5119985021057332E-2</v>
      </c>
      <c r="S112" s="89">
        <f t="shared" ref="S112:S113" si="281">IF(R47=0,"",S47/R47-1)</f>
        <v>-4.0174417910447735E-2</v>
      </c>
      <c r="T112" s="89">
        <f t="shared" ref="T112:T113" si="282">IF(S47=0,"",T47/S47-1)</f>
        <v>-2.1408064345744826E-2</v>
      </c>
      <c r="U112" s="89">
        <f t="shared" ref="U112:U113" si="283">IF(T47=0,"",U47/T47-1)</f>
        <v>3.7885156203626424E-2</v>
      </c>
      <c r="V112" s="89">
        <f t="shared" ref="V112:V113" si="284">IF(U47=0,"",V47/U47-1)</f>
        <v>-9.3041687506846604E-2</v>
      </c>
      <c r="W112" s="89">
        <f t="shared" ref="W112:W113" si="285">IF(V47=0,"",W47/V47-1)</f>
        <v>0.13573614208285201</v>
      </c>
      <c r="X112" s="89">
        <f t="shared" ref="X112:X113" si="286">IF(W47=0,"",X47/W47-1)</f>
        <v>7.2806797281444569E-2</v>
      </c>
      <c r="Y112" s="89">
        <f t="shared" ref="Y112:Y113" si="287">IF(X47=0,"",Y47/X47-1)</f>
        <v>-8.5667832499045193E-2</v>
      </c>
      <c r="Z112" s="89">
        <f t="shared" ref="Z112:Z113" si="288">IF(Y47=0,"",Z47/Y47-1)</f>
        <v>7.8380309219634459E-3</v>
      </c>
      <c r="AA112" s="89">
        <f t="shared" ref="AA112:AA113" si="289">IF(Z47=0,"",AA47/Z47-1)</f>
        <v>5.7219257669483214E-2</v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1.612316562579541E-2</v>
      </c>
      <c r="F113" s="89">
        <f t="shared" si="268"/>
        <v>-0.10995532871858482</v>
      </c>
      <c r="G113" s="89">
        <f t="shared" si="269"/>
        <v>-5.5817550598701748E-2</v>
      </c>
      <c r="H113" s="89">
        <f t="shared" si="270"/>
        <v>3.3066575965217337E-2</v>
      </c>
      <c r="I113" s="89">
        <f t="shared" si="271"/>
        <v>2.809172324265341E-2</v>
      </c>
      <c r="J113" s="89">
        <f t="shared" si="272"/>
        <v>7.4458661387160063E-2</v>
      </c>
      <c r="K113" s="89">
        <f t="shared" si="273"/>
        <v>2.1387991325149125E-2</v>
      </c>
      <c r="L113" s="89">
        <f t="shared" si="274"/>
        <v>-3.613369730056093E-2</v>
      </c>
      <c r="M113" s="89">
        <f t="shared" si="275"/>
        <v>-0.18527815492029909</v>
      </c>
      <c r="N113" s="89">
        <f t="shared" si="276"/>
        <v>-6.7526146342421267E-2</v>
      </c>
      <c r="O113" s="89">
        <f t="shared" si="277"/>
        <v>7.4446714143338033E-2</v>
      </c>
      <c r="P113" s="89">
        <f t="shared" si="278"/>
        <v>-7.0384442063430641E-2</v>
      </c>
      <c r="Q113" s="89">
        <f t="shared" si="279"/>
        <v>-9.3545624627422441E-3</v>
      </c>
      <c r="R113" s="89">
        <f t="shared" si="280"/>
        <v>8.1853084489680761E-2</v>
      </c>
      <c r="S113" s="89">
        <f t="shared" si="281"/>
        <v>9.4360153258989943E-2</v>
      </c>
      <c r="T113" s="89">
        <f t="shared" si="282"/>
        <v>-5.3830233436572117E-2</v>
      </c>
      <c r="U113" s="89">
        <f t="shared" si="283"/>
        <v>2.1839812191718933E-2</v>
      </c>
      <c r="V113" s="89">
        <f t="shared" si="284"/>
        <v>6.1953258554468205E-2</v>
      </c>
      <c r="W113" s="89">
        <f t="shared" si="285"/>
        <v>2.0772802496590748E-2</v>
      </c>
      <c r="X113" s="89">
        <f t="shared" si="286"/>
        <v>-9.4743272101400988E-2</v>
      </c>
      <c r="Y113" s="89">
        <f t="shared" si="287"/>
        <v>5.4543522857992244E-2</v>
      </c>
      <c r="Z113" s="89">
        <f t="shared" si="288"/>
        <v>-1.9790591519772804E-2</v>
      </c>
      <c r="AA113" s="89">
        <f t="shared" si="289"/>
        <v>-6.1511717088138629E-2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2.482212643992443E-2</v>
      </c>
      <c r="F114" s="89">
        <f t="shared" ref="F114:F115" si="291">IF(E52=0,"",F52/E52-1)</f>
        <v>4.4590676252632688E-2</v>
      </c>
      <c r="G114" s="89">
        <f t="shared" ref="G114:G115" si="292">IF(F52=0,"",G52/F52-1)</f>
        <v>-7.9793143359327079E-2</v>
      </c>
      <c r="H114" s="89">
        <f t="shared" ref="H114:H115" si="293">IF(G52=0,"",H52/G52-1)</f>
        <v>0.18419666677022439</v>
      </c>
      <c r="I114" s="89">
        <f t="shared" ref="I114:I115" si="294">IF(H52=0,"",I52/H52-1)</f>
        <v>3.0029550518064774E-3</v>
      </c>
      <c r="J114" s="89">
        <f t="shared" ref="J114:J115" si="295">IF(I52=0,"",J52/I52-1)</f>
        <v>8.5630076762156504E-2</v>
      </c>
      <c r="K114" s="89">
        <f t="shared" ref="K114:K115" si="296">IF(J52=0,"",K52/J52-1)</f>
        <v>7.4286415289621655E-2</v>
      </c>
      <c r="L114" s="89">
        <f t="shared" ref="L114:L115" si="297">IF(K52=0,"",L52/K52-1)</f>
        <v>-6.7377957025667845E-2</v>
      </c>
      <c r="M114" s="89">
        <f t="shared" ref="M114:M115" si="298">IF(L52=0,"",M52/L52-1)</f>
        <v>-0.10743101429951074</v>
      </c>
      <c r="N114" s="89">
        <f t="shared" ref="N114:N115" si="299">IF(M52=0,"",N52/M52-1)</f>
        <v>8.0732314821853057E-2</v>
      </c>
      <c r="O114" s="89">
        <f t="shared" ref="O114:O115" si="300">IF(N52=0,"",O52/N52-1)</f>
        <v>-6.8404632430329015E-2</v>
      </c>
      <c r="P114" s="89">
        <f t="shared" ref="P114:P115" si="301">IF(O52=0,"",P52/O52-1)</f>
        <v>-8.9328046425346752E-2</v>
      </c>
      <c r="Q114" s="89">
        <f t="shared" ref="Q114:Q115" si="302">IF(P52=0,"",Q52/P52-1)</f>
        <v>-1.9057875678455627E-2</v>
      </c>
      <c r="R114" s="89">
        <f t="shared" ref="R114:R115" si="303">IF(Q52=0,"",R52/Q52-1)</f>
        <v>0.10487581965378889</v>
      </c>
      <c r="S114" s="89">
        <f t="shared" ref="S114:S115" si="304">IF(R52=0,"",S52/R52-1)</f>
        <v>0.1031267647886005</v>
      </c>
      <c r="T114" s="89">
        <f t="shared" ref="T114:T115" si="305">IF(S52=0,"",T52/S52-1)</f>
        <v>3.5873479867026603E-2</v>
      </c>
      <c r="U114" s="89">
        <f t="shared" ref="U114:U115" si="306">IF(T52=0,"",U52/T52-1)</f>
        <v>3.2889713786558694E-2</v>
      </c>
      <c r="V114" s="89">
        <f t="shared" ref="V114:V115" si="307">IF(U52=0,"",V52/U52-1)</f>
        <v>-4.3516404026846534E-3</v>
      </c>
      <c r="W114" s="89">
        <f t="shared" ref="W114:W115" si="308">IF(V52=0,"",W52/V52-1)</f>
        <v>3.1210530534543812E-2</v>
      </c>
      <c r="X114" s="89">
        <f t="shared" ref="X114:X115" si="309">IF(W52=0,"",X52/W52-1)</f>
        <v>-4.8867884223417479E-2</v>
      </c>
      <c r="Y114" s="89">
        <f t="shared" ref="Y114:Y115" si="310">IF(X52=0,"",Y52/X52-1)</f>
        <v>1.4577133011350885E-3</v>
      </c>
      <c r="Z114" s="89">
        <f t="shared" ref="Z114:Z115" si="311">IF(Y52=0,"",Z52/Y52-1)</f>
        <v>5.8461502847348967E-3</v>
      </c>
      <c r="AA114" s="89">
        <f t="shared" ref="AA114:AA115" si="312">IF(Z52=0,"",AA52/Z52-1)</f>
        <v>-4.91845943635284E-2</v>
      </c>
    </row>
    <row r="115" spans="1:27" x14ac:dyDescent="0.25">
      <c r="A115" s="88" t="s">
        <v>21</v>
      </c>
      <c r="B115" s="44"/>
      <c r="C115" s="44"/>
      <c r="D115" s="89"/>
      <c r="E115" s="89">
        <f t="shared" si="290"/>
        <v>5.6153522001005651E-2</v>
      </c>
      <c r="F115" s="89">
        <f t="shared" si="291"/>
        <v>-6.8796853515685874E-2</v>
      </c>
      <c r="G115" s="89">
        <f t="shared" si="292"/>
        <v>-9.5098885869771999E-2</v>
      </c>
      <c r="H115" s="89">
        <f t="shared" si="293"/>
        <v>0.2167620257342171</v>
      </c>
      <c r="I115" s="89">
        <f t="shared" si="294"/>
        <v>-5.0591780442443834E-3</v>
      </c>
      <c r="J115" s="89">
        <f t="shared" si="295"/>
        <v>3.9900684567579114E-2</v>
      </c>
      <c r="K115" s="89">
        <f t="shared" si="296"/>
        <v>3.3294337454035094E-3</v>
      </c>
      <c r="L115" s="89">
        <f t="shared" si="297"/>
        <v>-0.14479175202279493</v>
      </c>
      <c r="M115" s="89">
        <f t="shared" si="298"/>
        <v>-6.5598776887918153E-2</v>
      </c>
      <c r="N115" s="89">
        <f t="shared" si="299"/>
        <v>7.1569927472050932E-2</v>
      </c>
      <c r="O115" s="89">
        <f t="shared" si="300"/>
        <v>-5.1087593808915921E-2</v>
      </c>
      <c r="P115" s="89">
        <f t="shared" si="301"/>
        <v>-3.7520468459196432E-2</v>
      </c>
      <c r="Q115" s="89">
        <f t="shared" si="302"/>
        <v>-1.0523596728289064E-2</v>
      </c>
      <c r="R115" s="89">
        <f t="shared" si="303"/>
        <v>0.15467198591849551</v>
      </c>
      <c r="S115" s="89">
        <f t="shared" si="304"/>
        <v>0.1437964819195674</v>
      </c>
      <c r="T115" s="89">
        <f t="shared" si="305"/>
        <v>4.69050645839868E-2</v>
      </c>
      <c r="U115" s="89">
        <f t="shared" si="306"/>
        <v>7.0446646143628389E-2</v>
      </c>
      <c r="V115" s="89">
        <f t="shared" si="307"/>
        <v>-2.6726101471912456E-2</v>
      </c>
      <c r="W115" s="89">
        <f t="shared" si="308"/>
        <v>7.4865880524933148E-2</v>
      </c>
      <c r="X115" s="89">
        <f t="shared" si="309"/>
        <v>-1.1935431965999221E-2</v>
      </c>
      <c r="Y115" s="89">
        <f t="shared" si="310"/>
        <v>-4.2992883410514993E-2</v>
      </c>
      <c r="Z115" s="89">
        <f t="shared" si="311"/>
        <v>1.6717130612347031E-3</v>
      </c>
      <c r="AA115" s="89">
        <f t="shared" si="312"/>
        <v>-3.1718476280123364E-2</v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-2.7063244820254906E-2</v>
      </c>
      <c r="F116" s="89">
        <f t="shared" ref="F116:F122" si="314">IF(E56=0,"",F56/E56-1)</f>
        <v>0.24842293838814133</v>
      </c>
      <c r="G116" s="89">
        <f t="shared" ref="G116:G122" si="315">IF(F56=0,"",G56/F56-1)</f>
        <v>-5.9269959858479715E-2</v>
      </c>
      <c r="H116" s="89">
        <f t="shared" ref="H116:H122" si="316">IF(G56=0,"",H56/G56-1)</f>
        <v>0.14219347380380842</v>
      </c>
      <c r="I116" s="89">
        <f t="shared" ref="I116:I122" si="317">IF(H56=0,"",I56/H56-1)</f>
        <v>1.40804707003368E-2</v>
      </c>
      <c r="J116" s="89">
        <f t="shared" ref="J116:J122" si="318">IF(I56=0,"",J56/I56-1)</f>
        <v>0.14727717923150307</v>
      </c>
      <c r="K116" s="89">
        <f t="shared" ref="K116:K122" si="319">IF(J56=0,"",K56/J56-1)</f>
        <v>0.16098976600619785</v>
      </c>
      <c r="L116" s="89">
        <f t="shared" ref="L116:L122" si="320">IF(K56=0,"",L56/K56-1)</f>
        <v>1.4369503129504135E-2</v>
      </c>
      <c r="M116" s="89">
        <f t="shared" ref="M116:M122" si="321">IF(L56=0,"",M56/L56-1)</f>
        <v>-0.14467384654301807</v>
      </c>
      <c r="N116" s="89">
        <f t="shared" ref="N116:N122" si="322">IF(M56=0,"",N56/M56-1)</f>
        <v>8.9643632003136853E-2</v>
      </c>
      <c r="O116" s="89">
        <f t="shared" ref="O116:O122" si="323">IF(N56=0,"",O56/N56-1)</f>
        <v>-8.4967781524446506E-2</v>
      </c>
      <c r="P116" s="89">
        <f t="shared" ref="P116:P122" si="324">IF(O56=0,"",P56/O56-1)</f>
        <v>-0.14071493396917356</v>
      </c>
      <c r="Q116" s="89">
        <f t="shared" ref="Q116:Q122" si="325">IF(P56=0,"",Q56/P56-1)</f>
        <v>-2.8539442210667065E-2</v>
      </c>
      <c r="R116" s="89">
        <f t="shared" ref="R116:R122" si="326">IF(Q56=0,"",R56/Q56-1)</f>
        <v>4.8526400937329184E-2</v>
      </c>
      <c r="S116" s="89">
        <f t="shared" ref="S116:S122" si="327">IF(R56=0,"",S56/R56-1)</f>
        <v>5.2445908612339887E-2</v>
      </c>
      <c r="T116" s="89">
        <f t="shared" ref="T116:T122" si="328">IF(S56=0,"",T56/S56-1)</f>
        <v>2.093316783150323E-2</v>
      </c>
      <c r="U116" s="89">
        <f t="shared" ref="U116:U122" si="329">IF(T56=0,"",U56/T56-1)</f>
        <v>-1.9268398259564501E-2</v>
      </c>
      <c r="V116" s="89">
        <f t="shared" ref="V116:V122" si="330">IF(U56=0,"",V56/U56-1)</f>
        <v>2.956393507069266E-2</v>
      </c>
      <c r="W116" s="89">
        <f t="shared" ref="W116:W122" si="331">IF(V56=0,"",W56/V56-1)</f>
        <v>-3.1345018039919958E-2</v>
      </c>
      <c r="X116" s="89">
        <f t="shared" ref="X116:X122" si="332">IF(W56=0,"",X56/W56-1)</f>
        <v>-0.10759270073813121</v>
      </c>
      <c r="Y116" s="89">
        <f t="shared" ref="Y116:Y122" si="333">IF(X56=0,"",Y56/X56-1)</f>
        <v>7.9712935826688147E-2</v>
      </c>
      <c r="Z116" s="89">
        <f t="shared" ref="Z116:Z122" si="334">IF(Y56=0,"",Z56/Y56-1)</f>
        <v>1.2360041966137825E-2</v>
      </c>
      <c r="AA116" s="89">
        <f t="shared" ref="AA116:AA122" si="335">IF(Z56=0,"",AA56/Z56-1)</f>
        <v>-7.6151393761240915E-2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6.4508972688660515E-2</v>
      </c>
      <c r="F117" s="89">
        <f t="shared" si="314"/>
        <v>-2.0741464788802677E-2</v>
      </c>
      <c r="G117" s="89">
        <f t="shared" si="315"/>
        <v>-5.3785895359890201E-2</v>
      </c>
      <c r="H117" s="89">
        <f t="shared" si="316"/>
        <v>4.2394253806727011E-2</v>
      </c>
      <c r="I117" s="89">
        <f t="shared" si="317"/>
        <v>-4.8418195873145886E-2</v>
      </c>
      <c r="J117" s="89">
        <f t="shared" si="318"/>
        <v>-1.5146410069950655E-2</v>
      </c>
      <c r="K117" s="89">
        <f t="shared" si="319"/>
        <v>-1.5300853180480245E-2</v>
      </c>
      <c r="L117" s="89">
        <f t="shared" si="320"/>
        <v>6.1710048794294536E-4</v>
      </c>
      <c r="M117" s="89">
        <f t="shared" si="321"/>
        <v>1.928375909287694E-2</v>
      </c>
      <c r="N117" s="89">
        <f t="shared" si="322"/>
        <v>-4.7881542565748392E-2</v>
      </c>
      <c r="O117" s="89">
        <f t="shared" si="323"/>
        <v>6.2812999508299328E-3</v>
      </c>
      <c r="P117" s="89">
        <f t="shared" si="324"/>
        <v>-6.3576893880592511E-3</v>
      </c>
      <c r="Q117" s="89">
        <f t="shared" si="325"/>
        <v>-3.193438114098246E-2</v>
      </c>
      <c r="R117" s="89">
        <f t="shared" si="326"/>
        <v>2.5117616659956932E-2</v>
      </c>
      <c r="S117" s="89">
        <f t="shared" si="327"/>
        <v>2.6694573046432524E-2</v>
      </c>
      <c r="T117" s="89">
        <f t="shared" si="328"/>
        <v>3.1749716423175478E-2</v>
      </c>
      <c r="U117" s="89">
        <f t="shared" si="329"/>
        <v>2.1384949381411555E-2</v>
      </c>
      <c r="V117" s="89">
        <f t="shared" si="330"/>
        <v>8.1501365700940021E-3</v>
      </c>
      <c r="W117" s="89">
        <f t="shared" si="331"/>
        <v>2.5372741765784967E-2</v>
      </c>
      <c r="X117" s="89">
        <f t="shared" si="332"/>
        <v>-3.262265465341585E-2</v>
      </c>
      <c r="Y117" s="89">
        <f t="shared" si="333"/>
        <v>-4.4200530652441117E-2</v>
      </c>
      <c r="Z117" s="89">
        <f t="shared" si="334"/>
        <v>-2.8912203443354878E-2</v>
      </c>
      <c r="AA117" s="89">
        <f t="shared" si="335"/>
        <v>0.11841591068304291</v>
      </c>
    </row>
    <row r="118" spans="1:27" x14ac:dyDescent="0.25">
      <c r="A118" s="68" t="s">
        <v>269</v>
      </c>
      <c r="B118" s="44"/>
      <c r="C118" s="44"/>
      <c r="D118" s="89"/>
      <c r="E118" s="89">
        <f t="shared" si="313"/>
        <v>0.1408077682394695</v>
      </c>
      <c r="F118" s="89">
        <f t="shared" si="314"/>
        <v>-1.7552145029379407E-2</v>
      </c>
      <c r="G118" s="89">
        <f t="shared" si="315"/>
        <v>-3.9435355973324704E-2</v>
      </c>
      <c r="H118" s="89">
        <f t="shared" si="316"/>
        <v>0.24807626657562865</v>
      </c>
      <c r="I118" s="89">
        <f t="shared" si="317"/>
        <v>8.3857170439146644E-2</v>
      </c>
      <c r="J118" s="89">
        <f t="shared" si="318"/>
        <v>0.10901049976592492</v>
      </c>
      <c r="K118" s="89">
        <f t="shared" si="319"/>
        <v>9.1160105667340785E-2</v>
      </c>
      <c r="L118" s="89">
        <f t="shared" si="320"/>
        <v>-1.8249076984688251E-2</v>
      </c>
      <c r="M118" s="89">
        <f t="shared" si="321"/>
        <v>-9.8515093498630746E-2</v>
      </c>
      <c r="N118" s="89">
        <f t="shared" si="322"/>
        <v>0.16991915756523679</v>
      </c>
      <c r="O118" s="89">
        <f t="shared" si="323"/>
        <v>9.3330617763966561E-2</v>
      </c>
      <c r="P118" s="89">
        <f t="shared" si="324"/>
        <v>-3.4703731758079837E-2</v>
      </c>
      <c r="Q118" s="89">
        <f t="shared" si="325"/>
        <v>6.3972026617509226E-3</v>
      </c>
      <c r="R118" s="89">
        <f t="shared" si="326"/>
        <v>0.18037419866154658</v>
      </c>
      <c r="S118" s="89">
        <f t="shared" si="327"/>
        <v>7.5896480240615238E-2</v>
      </c>
      <c r="T118" s="89">
        <f t="shared" si="328"/>
        <v>9.6207854459000819E-2</v>
      </c>
      <c r="U118" s="89">
        <f t="shared" si="329"/>
        <v>2.5901425450536752E-2</v>
      </c>
      <c r="V118" s="89">
        <f t="shared" si="330"/>
        <v>-2.2014126782046506E-2</v>
      </c>
      <c r="W118" s="89">
        <f t="shared" si="331"/>
        <v>5.2142636742381399E-2</v>
      </c>
      <c r="X118" s="89">
        <f t="shared" si="332"/>
        <v>-0.23093594075464219</v>
      </c>
      <c r="Y118" s="89">
        <f t="shared" si="333"/>
        <v>1.441311674098511E-2</v>
      </c>
      <c r="Z118" s="89">
        <f t="shared" si="334"/>
        <v>7.8221530240536463E-3</v>
      </c>
      <c r="AA118" s="89">
        <f t="shared" si="335"/>
        <v>0.14900642355067473</v>
      </c>
    </row>
    <row r="119" spans="1:27" x14ac:dyDescent="0.25">
      <c r="A119" s="68" t="s">
        <v>270</v>
      </c>
      <c r="B119" s="44"/>
      <c r="C119" s="44"/>
      <c r="D119" s="89"/>
      <c r="E119" s="89">
        <f t="shared" si="313"/>
        <v>7.4128507824913425E-2</v>
      </c>
      <c r="F119" s="89">
        <f t="shared" si="314"/>
        <v>-2.9088841364163787E-2</v>
      </c>
      <c r="G119" s="89">
        <f t="shared" si="315"/>
        <v>3.0159023003631491E-2</v>
      </c>
      <c r="H119" s="89">
        <f t="shared" si="316"/>
        <v>0.12107724407326503</v>
      </c>
      <c r="I119" s="89">
        <f t="shared" si="317"/>
        <v>9.1894453289401934E-2</v>
      </c>
      <c r="J119" s="89">
        <f t="shared" si="318"/>
        <v>0.1721058191767848</v>
      </c>
      <c r="K119" s="89">
        <f t="shared" si="319"/>
        <v>0.10420921898901447</v>
      </c>
      <c r="L119" s="89">
        <f t="shared" si="320"/>
        <v>-2.2109626193926868E-2</v>
      </c>
      <c r="M119" s="89">
        <f t="shared" si="321"/>
        <v>-0.13705796936791725</v>
      </c>
      <c r="N119" s="89">
        <f t="shared" si="322"/>
        <v>9.170468513832164E-2</v>
      </c>
      <c r="O119" s="89">
        <f t="shared" si="323"/>
        <v>0.11993347095102358</v>
      </c>
      <c r="P119" s="89">
        <f t="shared" si="324"/>
        <v>2.554755421937438E-2</v>
      </c>
      <c r="Q119" s="89">
        <f t="shared" si="325"/>
        <v>1.1314374323456278E-2</v>
      </c>
      <c r="R119" s="89">
        <f t="shared" si="326"/>
        <v>7.5743693186885341E-2</v>
      </c>
      <c r="S119" s="89">
        <f t="shared" si="327"/>
        <v>5.5610104905989388E-2</v>
      </c>
      <c r="T119" s="89">
        <f t="shared" si="328"/>
        <v>1.8029827051768699E-3</v>
      </c>
      <c r="U119" s="89">
        <f t="shared" si="329"/>
        <v>3.8904615321061931E-2</v>
      </c>
      <c r="V119" s="89">
        <f t="shared" si="330"/>
        <v>-5.7608258578826232E-3</v>
      </c>
      <c r="W119" s="89">
        <f t="shared" si="331"/>
        <v>1.2430819634430934E-2</v>
      </c>
      <c r="X119" s="89">
        <f t="shared" si="332"/>
        <v>-7.5837263599119464E-2</v>
      </c>
      <c r="Y119" s="89">
        <f t="shared" si="333"/>
        <v>-3.2645059299219681E-2</v>
      </c>
      <c r="Z119" s="89">
        <f t="shared" si="334"/>
        <v>2.5444471254314704E-2</v>
      </c>
      <c r="AA119" s="89">
        <f t="shared" si="335"/>
        <v>5.5256737450984028E-2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1.3200463249750882E-2</v>
      </c>
      <c r="F120" s="89">
        <f t="shared" si="314"/>
        <v>-0.10461009673162625</v>
      </c>
      <c r="G120" s="89">
        <f t="shared" si="315"/>
        <v>-4.335397455221035E-2</v>
      </c>
      <c r="H120" s="89">
        <f t="shared" si="316"/>
        <v>-0.1169679169431066</v>
      </c>
      <c r="I120" s="89">
        <f t="shared" si="317"/>
        <v>-2.0249908246868675E-2</v>
      </c>
      <c r="J120" s="89">
        <f t="shared" si="318"/>
        <v>1.2427184989957096E-2</v>
      </c>
      <c r="K120" s="89">
        <f t="shared" si="319"/>
        <v>-5.2796945236254222E-3</v>
      </c>
      <c r="L120" s="89">
        <f t="shared" si="320"/>
        <v>-1.7672896278363659E-2</v>
      </c>
      <c r="M120" s="89">
        <f t="shared" si="321"/>
        <v>-0.10170298743343242</v>
      </c>
      <c r="N120" s="89">
        <f t="shared" si="322"/>
        <v>-6.437179138201321E-2</v>
      </c>
      <c r="O120" s="89">
        <f t="shared" si="323"/>
        <v>5.2181469318683948E-3</v>
      </c>
      <c r="P120" s="89">
        <f t="shared" si="324"/>
        <v>-9.167773526582923E-2</v>
      </c>
      <c r="Q120" s="89">
        <f t="shared" si="325"/>
        <v>3.3805957563491029E-2</v>
      </c>
      <c r="R120" s="89">
        <f t="shared" si="326"/>
        <v>6.5249246610025624E-2</v>
      </c>
      <c r="S120" s="89">
        <f t="shared" si="327"/>
        <v>1.0561399108138136E-2</v>
      </c>
      <c r="T120" s="89">
        <f t="shared" si="328"/>
        <v>2.8626235276951295E-2</v>
      </c>
      <c r="U120" s="89">
        <f t="shared" si="329"/>
        <v>2.787744814356885E-2</v>
      </c>
      <c r="V120" s="89">
        <f t="shared" si="330"/>
        <v>-5.7912844246238437E-2</v>
      </c>
      <c r="W120" s="89">
        <f t="shared" si="331"/>
        <v>-1.8403215790002259E-2</v>
      </c>
      <c r="X120" s="89">
        <f t="shared" si="332"/>
        <v>-6.8584494264702367E-2</v>
      </c>
      <c r="Y120" s="89">
        <f t="shared" si="333"/>
        <v>-6.9714210494696838E-2</v>
      </c>
      <c r="Z120" s="89">
        <f t="shared" si="334"/>
        <v>-1.5473562456916445E-2</v>
      </c>
      <c r="AA120" s="89">
        <f t="shared" si="335"/>
        <v>7.5124863117986607E-2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0.10181860603782389</v>
      </c>
      <c r="F121" s="89">
        <f t="shared" si="314"/>
        <v>1.8019718968487197E-4</v>
      </c>
      <c r="G121" s="89">
        <f t="shared" si="315"/>
        <v>7.146071726234271E-2</v>
      </c>
      <c r="H121" s="89">
        <f t="shared" si="316"/>
        <v>5.686283639465195E-2</v>
      </c>
      <c r="I121" s="89">
        <f t="shared" si="317"/>
        <v>3.4114979760756725E-2</v>
      </c>
      <c r="J121" s="89">
        <f t="shared" si="318"/>
        <v>1.9973790859213247E-2</v>
      </c>
      <c r="K121" s="89">
        <f t="shared" si="319"/>
        <v>3.5061314401847676E-2</v>
      </c>
      <c r="L121" s="89">
        <f t="shared" si="320"/>
        <v>1.2255209661709898E-2</v>
      </c>
      <c r="M121" s="89">
        <f t="shared" si="321"/>
        <v>-0.18597527350988863</v>
      </c>
      <c r="N121" s="89">
        <f t="shared" si="322"/>
        <v>-4.407031375830639E-2</v>
      </c>
      <c r="O121" s="89">
        <f t="shared" si="323"/>
        <v>1.653200402014221E-3</v>
      </c>
      <c r="P121" s="89">
        <f t="shared" si="324"/>
        <v>-3.1210155340710699E-4</v>
      </c>
      <c r="Q121" s="89">
        <f t="shared" si="325"/>
        <v>-3.9377961070380163E-2</v>
      </c>
      <c r="R121" s="89">
        <f t="shared" si="326"/>
        <v>7.9823900570410444E-2</v>
      </c>
      <c r="S121" s="89">
        <f t="shared" si="327"/>
        <v>5.684597283980275E-2</v>
      </c>
      <c r="T121" s="89">
        <f t="shared" si="328"/>
        <v>5.4429936008641544E-2</v>
      </c>
      <c r="U121" s="89">
        <f t="shared" si="329"/>
        <v>4.9677108870742614E-2</v>
      </c>
      <c r="V121" s="89">
        <f t="shared" si="330"/>
        <v>7.0797376789466515E-2</v>
      </c>
      <c r="W121" s="89">
        <f t="shared" si="331"/>
        <v>1.8005829042760935E-2</v>
      </c>
      <c r="X121" s="89">
        <f t="shared" si="332"/>
        <v>-3.7049757101533798E-2</v>
      </c>
      <c r="Y121" s="89">
        <f t="shared" si="333"/>
        <v>9.2633272444820003E-2</v>
      </c>
      <c r="Z121" s="89">
        <f t="shared" si="334"/>
        <v>-3.5558790165987286E-2</v>
      </c>
      <c r="AA121" s="89">
        <f t="shared" si="335"/>
        <v>-0.15305441550024002</v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3.0486111536237814E-2</v>
      </c>
      <c r="F122" s="91">
        <f t="shared" si="314"/>
        <v>4.3900468611926646E-2</v>
      </c>
      <c r="G122" s="91">
        <f t="shared" si="315"/>
        <v>5.8237560535404853E-2</v>
      </c>
      <c r="H122" s="91">
        <f t="shared" si="316"/>
        <v>6.484649931238784E-2</v>
      </c>
      <c r="I122" s="91">
        <f t="shared" si="317"/>
        <v>6.9846917288071575E-2</v>
      </c>
      <c r="J122" s="91">
        <f t="shared" si="318"/>
        <v>0.1816937534137808</v>
      </c>
      <c r="K122" s="91">
        <f t="shared" si="319"/>
        <v>-1.5152463582975839E-3</v>
      </c>
      <c r="L122" s="91">
        <f t="shared" si="320"/>
        <v>1.3539634803473533E-2</v>
      </c>
      <c r="M122" s="91">
        <f t="shared" si="321"/>
        <v>-5.6431791995806724E-2</v>
      </c>
      <c r="N122" s="91">
        <f t="shared" si="322"/>
        <v>1.4552158470011678E-2</v>
      </c>
      <c r="O122" s="91">
        <f t="shared" si="323"/>
        <v>5.0107346813947684E-2</v>
      </c>
      <c r="P122" s="91">
        <f t="shared" si="324"/>
        <v>-1.3466243489488217E-2</v>
      </c>
      <c r="Q122" s="91">
        <f t="shared" si="325"/>
        <v>2.3697060799772851E-2</v>
      </c>
      <c r="R122" s="91">
        <f t="shared" si="326"/>
        <v>8.5197817093207062E-2</v>
      </c>
      <c r="S122" s="91">
        <f t="shared" si="327"/>
        <v>8.509660931598817E-2</v>
      </c>
      <c r="T122" s="91">
        <f t="shared" si="328"/>
        <v>5.0888971715254971E-2</v>
      </c>
      <c r="U122" s="91">
        <f t="shared" si="329"/>
        <v>-2.9779724235944327E-3</v>
      </c>
      <c r="V122" s="91">
        <f t="shared" si="330"/>
        <v>-3.5466912538278828E-2</v>
      </c>
      <c r="W122" s="91">
        <f t="shared" si="331"/>
        <v>2.3297939554310032E-2</v>
      </c>
      <c r="X122" s="91">
        <f t="shared" si="332"/>
        <v>-8.6769676623327574E-2</v>
      </c>
      <c r="Y122" s="91">
        <f t="shared" si="333"/>
        <v>-2.2656018727047145E-2</v>
      </c>
      <c r="Z122" s="91">
        <f t="shared" si="334"/>
        <v>-6.7898860815031825E-2</v>
      </c>
      <c r="AA122" s="91">
        <f t="shared" si="335"/>
        <v>2.3024941389852893E-2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2025-11-06T10:20:41Z</dcterms:created>
  <dcterms:modified xsi:type="dcterms:W3CDTF">2025-11-06T10:20:41Z</dcterms:modified>
</cp:coreProperties>
</file>