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U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53" i="3"/>
  <c r="Y45" i="3"/>
  <c r="X45" i="3"/>
  <c r="X48" i="13"/>
  <c r="X83" i="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Y44" i="3"/>
  <c r="X44" i="3"/>
  <c r="Y42" i="3"/>
  <c r="Y31" i="3"/>
  <c r="Y30" i="3"/>
  <c r="Y25" i="3"/>
  <c r="Y10" i="3"/>
  <c r="X25" i="9" l="1"/>
  <c r="X27" i="9"/>
  <c r="Y41" i="12"/>
  <c r="Y69" i="11"/>
  <c r="X90" i="8"/>
  <c r="Y29" i="9"/>
  <c r="X91" i="8"/>
  <c r="Y91" i="8"/>
  <c r="Y44" i="12"/>
  <c r="X75" i="3"/>
  <c r="X227" i="3" s="1"/>
  <c r="X31" i="9"/>
  <c r="Y75" i="3"/>
  <c r="Y53" i="9"/>
  <c r="X84" i="3"/>
  <c r="X236" i="3" s="1"/>
  <c r="Y44" i="11"/>
  <c r="X28" i="8"/>
  <c r="X26" i="8" s="1"/>
  <c r="X29" i="9"/>
  <c r="Y43" i="9"/>
  <c r="X41" i="12"/>
  <c r="X46" i="3"/>
  <c r="X198" i="3" s="1"/>
  <c r="Y54" i="3"/>
  <c r="Y206" i="3" s="1"/>
  <c r="Y55" i="3"/>
  <c r="Y207" i="3" s="1"/>
  <c r="Y15" i="14"/>
  <c r="Y27" i="14" s="1"/>
  <c r="X55" i="3"/>
  <c r="X207" i="3" s="1"/>
  <c r="X4" i="12"/>
  <c r="Y57" i="8"/>
  <c r="Y79" i="8" s="1"/>
  <c r="X19" i="12"/>
  <c r="X69" i="12" s="1"/>
  <c r="X3" i="20"/>
  <c r="X21" i="20" s="1"/>
  <c r="Y7" i="18"/>
  <c r="Y21" i="18" s="1"/>
  <c r="Y39" i="12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89" i="3" s="1"/>
  <c r="X181" i="3" s="1"/>
  <c r="Y39" i="13"/>
  <c r="Y79" i="11"/>
  <c r="X4" i="9"/>
  <c r="X57" i="8"/>
  <c r="X79" i="8" s="1"/>
  <c r="X7" i="15"/>
  <c r="X21" i="15" s="1"/>
  <c r="X13" i="14"/>
  <c r="X19" i="14" s="1"/>
  <c r="Y15" i="3"/>
  <c r="Y197" i="3" s="1"/>
  <c r="X23" i="3"/>
  <c r="X205" i="3" s="1"/>
  <c r="X14" i="20"/>
  <c r="Y15" i="18"/>
  <c r="Y29" i="13"/>
  <c r="X18" i="11"/>
  <c r="X120" i="11" s="1"/>
  <c r="X243" i="3"/>
  <c r="X237" i="3"/>
  <c r="Y194" i="3"/>
  <c r="Y196" i="3"/>
  <c r="Y65" i="10"/>
  <c r="X46" i="10"/>
  <c r="X36" i="9"/>
  <c r="X47" i="9"/>
  <c r="X10" i="8"/>
  <c r="X21" i="3" s="1"/>
  <c r="X203" i="3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11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Y10" i="19"/>
  <c r="Y11" i="20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Y25" i="14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22" i="15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3" i="18"/>
  <c r="Y28" i="11"/>
  <c r="Y80" i="11" s="1"/>
  <c r="Y101" i="11"/>
  <c r="X4" i="10"/>
  <c r="X23" i="10"/>
  <c r="Y18" i="15"/>
  <c r="X7" i="18"/>
  <c r="X110" i="11"/>
  <c r="X111" i="11"/>
  <c r="Y120" i="11"/>
  <c r="Y123" i="11"/>
  <c r="Y121" i="11"/>
  <c r="Y28" i="3"/>
  <c r="Y84" i="3"/>
  <c r="Y192" i="3"/>
  <c r="Y237" i="3"/>
  <c r="Y242" i="3"/>
  <c r="X23" i="20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Y13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25" i="14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22" i="18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7" i="11"/>
  <c r="X11" i="10"/>
  <c r="X9" i="10" s="1"/>
  <c r="X34" i="10"/>
  <c r="X45" i="10"/>
  <c r="X56" i="10"/>
  <c r="Y28" i="9"/>
  <c r="Y39" i="9"/>
  <c r="Y13" i="9"/>
  <c r="Y50" i="9"/>
  <c r="X22" i="20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Y95" i="8"/>
  <c r="Y54" i="9"/>
  <c r="X54" i="9"/>
  <c r="X43" i="9"/>
  <c r="X32" i="9"/>
  <c r="Y97" i="8"/>
  <c r="Y28" i="8"/>
  <c r="Y63" i="8" s="1"/>
  <c r="X98" i="8"/>
  <c r="X54" i="8"/>
  <c r="X76" i="8" s="1"/>
  <c r="X113" i="8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41" i="3" l="1"/>
  <c r="Y3" i="19"/>
  <c r="Y28" i="19" s="1"/>
  <c r="Y20" i="16"/>
  <c r="X22" i="3"/>
  <c r="X112" i="8"/>
  <c r="Y73" i="3"/>
  <c r="Y3" i="16"/>
  <c r="Y19" i="16" s="1"/>
  <c r="X41" i="9"/>
  <c r="Y96" i="11"/>
  <c r="X235" i="3"/>
  <c r="X52" i="3"/>
  <c r="Y227" i="3"/>
  <c r="X76" i="11"/>
  <c r="Y36" i="8"/>
  <c r="X4" i="8"/>
  <c r="X108" i="8" s="1"/>
  <c r="X233" i="3"/>
  <c r="X100" i="8"/>
  <c r="X44" i="10"/>
  <c r="X43" i="11"/>
  <c r="X111" i="8"/>
  <c r="X11" i="17"/>
  <c r="Y25" i="19"/>
  <c r="X10" i="20"/>
  <c r="X60" i="3"/>
  <c r="X59" i="3" s="1"/>
  <c r="X153" i="3" s="1"/>
  <c r="X24" i="19"/>
  <c r="X86" i="3"/>
  <c r="X238" i="3" s="1"/>
  <c r="Y57" i="3"/>
  <c r="Y209" i="3" s="1"/>
  <c r="X3" i="16"/>
  <c r="X28" i="16" s="1"/>
  <c r="Y10" i="17"/>
  <c r="X23" i="15"/>
  <c r="Y17" i="15"/>
  <c r="Y13" i="15"/>
  <c r="X82" i="3"/>
  <c r="X43" i="3"/>
  <c r="Y52" i="3"/>
  <c r="Y204" i="3" s="1"/>
  <c r="Y3" i="12"/>
  <c r="Y13" i="3"/>
  <c r="X118" i="11"/>
  <c r="Y198" i="3"/>
  <c r="X122" i="11"/>
  <c r="Y21" i="14"/>
  <c r="X116" i="11"/>
  <c r="X22" i="10"/>
  <c r="X36" i="8"/>
  <c r="X96" i="8"/>
  <c r="X63" i="8"/>
  <c r="X61" i="8"/>
  <c r="X25" i="8"/>
  <c r="X29" i="19"/>
  <c r="X9" i="20"/>
  <c r="Y22" i="13"/>
  <c r="X13" i="20"/>
  <c r="Y43" i="11"/>
  <c r="X22" i="17"/>
  <c r="X20" i="19"/>
  <c r="X48" i="9"/>
  <c r="X13" i="11"/>
  <c r="Y20" i="14"/>
  <c r="X80" i="11"/>
  <c r="X192" i="3"/>
  <c r="X224" i="3"/>
  <c r="Y111" i="11"/>
  <c r="Y42" i="13"/>
  <c r="Y12" i="14"/>
  <c r="Y18" i="14" s="1"/>
  <c r="X183" i="3"/>
  <c r="X182" i="3"/>
  <c r="X13" i="3"/>
  <c r="X37" i="9"/>
  <c r="X3" i="12"/>
  <c r="X51" i="12" s="1"/>
  <c r="Y23" i="10"/>
  <c r="Y22" i="10"/>
  <c r="Y117" i="11"/>
  <c r="Y29" i="19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Y27" i="16"/>
  <c r="Y28" i="16"/>
  <c r="X85" i="8"/>
  <c r="X15" i="8"/>
  <c r="X24" i="9" s="1"/>
  <c r="X49" i="10"/>
  <c r="X8" i="10"/>
  <c r="X60" i="10" s="1"/>
  <c r="Y44" i="10"/>
  <c r="Y55" i="10"/>
  <c r="Y33" i="10"/>
  <c r="Y81" i="3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X49" i="12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X13" i="18"/>
  <c r="X17" i="18"/>
  <c r="X19" i="18"/>
  <c r="Y27" i="19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9" i="20"/>
  <c r="Y22" i="20"/>
  <c r="Y13" i="17"/>
  <c r="Y21" i="17"/>
  <c r="Y17" i="17"/>
  <c r="Y9" i="17"/>
  <c r="X33" i="10"/>
  <c r="X193" i="3"/>
  <c r="X39" i="3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X46" i="9"/>
  <c r="X10" i="9"/>
  <c r="X57" i="9" s="1"/>
  <c r="Y22" i="17"/>
  <c r="Y53" i="12"/>
  <c r="Y49" i="12"/>
  <c r="X23" i="18"/>
  <c r="X28" i="19"/>
  <c r="X29" i="16" l="1"/>
  <c r="X212" i="3"/>
  <c r="X234" i="3"/>
  <c r="Y23" i="16"/>
  <c r="Y225" i="3"/>
  <c r="Y29" i="16"/>
  <c r="X204" i="3"/>
  <c r="X38" i="10"/>
  <c r="X35" i="9"/>
  <c r="Y37" i="12"/>
  <c r="Y55" i="12"/>
  <c r="X107" i="8"/>
  <c r="X94" i="8"/>
  <c r="Y51" i="12"/>
  <c r="Y56" i="3"/>
  <c r="Y208" i="3" s="1"/>
  <c r="X105" i="8"/>
  <c r="X109" i="8"/>
  <c r="X95" i="11"/>
  <c r="X106" i="8"/>
  <c r="Y47" i="12"/>
  <c r="X23" i="16"/>
  <c r="Y50" i="12"/>
  <c r="X195" i="3"/>
  <c r="Y48" i="12"/>
  <c r="X9" i="17"/>
  <c r="Y54" i="12"/>
  <c r="Y195" i="3"/>
  <c r="Y52" i="12"/>
  <c r="X74" i="8"/>
  <c r="Y17" i="12"/>
  <c r="Y67" i="12" s="1"/>
  <c r="X27" i="16"/>
  <c r="X19" i="16"/>
  <c r="Y24" i="14"/>
  <c r="Y95" i="11"/>
  <c r="X209" i="3"/>
  <c r="X62" i="10"/>
  <c r="X225" i="3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6" i="1"/>
  <c r="B24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L20" i="19"/>
  <c r="L10" i="20"/>
  <c r="Q25" i="19"/>
  <c r="Q21" i="19"/>
  <c r="Q14" i="20"/>
  <c r="Q3" i="20"/>
  <c r="Q22" i="20" s="1"/>
  <c r="C19" i="20"/>
  <c r="E14" i="18"/>
  <c r="M14" i="18"/>
  <c r="E19" i="18"/>
  <c r="U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J11" i="20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M23" i="20"/>
  <c r="R3" i="20"/>
  <c r="F20" i="19" l="1"/>
  <c r="F24" i="19"/>
  <c r="R25" i="19"/>
  <c r="N29" i="3"/>
  <c r="N241" i="3" s="1"/>
  <c r="I21" i="18"/>
  <c r="R21" i="19"/>
  <c r="W24" i="19"/>
  <c r="P10" i="20"/>
  <c r="N13" i="20"/>
  <c r="H20" i="19"/>
  <c r="H25" i="19"/>
  <c r="K23" i="18"/>
  <c r="F22" i="20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1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U123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7" i="19"/>
  <c r="E23" i="19"/>
  <c r="N27" i="19"/>
  <c r="N19" i="19"/>
  <c r="J17" i="18"/>
  <c r="J13" i="18"/>
  <c r="N9" i="20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121" i="3" l="1"/>
  <c r="M9" i="20"/>
  <c r="W9" i="20"/>
  <c r="M19" i="19"/>
  <c r="W29" i="19"/>
  <c r="M27" i="19"/>
  <c r="H27" i="19"/>
  <c r="H19" i="19"/>
  <c r="H23" i="19"/>
  <c r="Q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9" i="3" s="1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G26" i="8"/>
  <c r="G25" i="8" s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P10" i="16"/>
  <c r="P4" i="16"/>
  <c r="S4" i="16"/>
  <c r="S3" i="16" s="1"/>
  <c r="K10" i="16"/>
  <c r="K3" i="16" s="1"/>
  <c r="G4" i="16"/>
  <c r="Q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8" i="1"/>
  <c r="B6" i="1"/>
  <c r="B15" i="1"/>
  <c r="B22" i="1"/>
  <c r="B17" i="1"/>
  <c r="B12" i="1"/>
  <c r="B20" i="1"/>
  <c r="B9" i="1"/>
  <c r="B13" i="1"/>
  <c r="B4" i="1"/>
  <c r="B21" i="1"/>
  <c r="B8" i="1"/>
  <c r="B11" i="1"/>
  <c r="B7" i="1"/>
  <c r="B1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F31" i="7" s="1"/>
  <c r="L67" i="4"/>
  <c r="L13" i="7" s="1"/>
  <c r="M9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H226" i="4" s="1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7" i="4" l="1"/>
  <c r="Y268" i="4"/>
  <c r="Y265" i="4"/>
  <c r="Y184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157" i="3" l="1"/>
  <c r="H40" i="6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 s="1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<sst xmlns="http://schemas.openxmlformats.org/spreadsheetml/2006/main" count="2657" uniqueCount="1169">
  <si>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</si>
  <si>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</si>
  <si>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</si>
  <si>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</si>
  <si>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</si>
  <si>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</si>
  <si>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</si>
  <si>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</si>
  <si>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</si>
  <si>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</si>
  <si>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</si>
  <si>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</si>
  <si>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</si>
  <si>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</si>
  <si>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</si>
  <si>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</si>
  <si>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</si>
  <si>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</si>
  <si>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</si>
  <si>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</si>
  <si>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</si>
  <si>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</si>
  <si>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</si>
  <si>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</si>
  <si>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</si>
  <si>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</si>
  <si>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</si>
  <si>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</si>
  <si>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</si>
  <si>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</si>
  <si>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</si>
  <si>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</si>
  <si>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</si>
  <si>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</si>
  <si>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</si>
  <si>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</si>
  <si>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</si>
  <si>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</si>
  <si>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</si>
  <si>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</si>
  <si>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</si>
  <si>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</si>
  <si>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</si>
  <si>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</si>
  <si>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</si>
  <si>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</si>
  <si>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</si>
  <si>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</si>
  <si>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</si>
  <si>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</si>
  <si>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</si>
  <si>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</si>
  <si>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</si>
  <si>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</si>
  <si>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</si>
  <si>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</si>
  <si>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</si>
  <si>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</si>
  <si>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</si>
  <si>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</si>
  <si>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</si>
  <si>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</si>
  <si>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</si>
  <si>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</si>
  <si>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</si>
  <si>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</si>
  <si>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</si>
  <si>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</si>
  <si>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</si>
  <si>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</si>
  <si>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</si>
  <si>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</si>
  <si>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</si>
  <si>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</si>
  <si>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</si>
  <si>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</si>
  <si>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</si>
  <si>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</si>
  <si>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</si>
  <si>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</si>
  <si>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</si>
  <si>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</si>
  <si>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</si>
  <si>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</si>
  <si>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</si>
  <si>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</si>
  <si>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</si>
  <si>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</si>
  <si>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</si>
  <si>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</si>
  <si>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</si>
  <si>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</si>
  <si>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</si>
  <si>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</si>
  <si>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</si>
  <si>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</si>
  <si>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</si>
  <si>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</si>
  <si>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</si>
  <si>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</si>
  <si>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</si>
  <si>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</si>
  <si>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</si>
  <si>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</si>
  <si>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</si>
  <si>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</si>
  <si>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</si>
  <si>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</si>
  <si>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</si>
  <si>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</si>
  <si>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</si>
  <si>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</si>
  <si>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</si>
  <si>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</si>
  <si>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</si>
  <si>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</si>
  <si>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</si>
  <si>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</si>
  <si>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</si>
  <si>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</si>
  <si>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</si>
  <si>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</si>
  <si>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</si>
  <si>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</si>
  <si>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</si>
  <si>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</si>
  <si>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</si>
  <si>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</si>
  <si>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</si>
  <si>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</si>
  <si>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</si>
  <si>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</si>
  <si>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</si>
  <si>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</si>
  <si>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</si>
  <si>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</si>
  <si>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</si>
  <si>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</si>
  <si>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</si>
  <si>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</si>
  <si>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</si>
  <si>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</si>
  <si>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</si>
  <si>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</si>
  <si>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</si>
  <si>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</si>
  <si>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</si>
  <si>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</si>
  <si>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</si>
  <si>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</si>
  <si>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</si>
  <si>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</si>
  <si>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</si>
  <si>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</si>
  <si>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</si>
  <si>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</si>
  <si>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</si>
  <si>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</si>
  <si>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</si>
  <si>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</si>
  <si>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</si>
  <si>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</si>
  <si>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</si>
  <si>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</si>
  <si>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</si>
  <si>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</si>
  <si>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</si>
  <si>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</si>
  <si>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</si>
  <si>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</si>
  <si>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</si>
  <si>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</si>
  <si>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</si>
  <si>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</si>
  <si>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</si>
  <si>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</si>
  <si>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</si>
  <si>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</si>
  <si>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</si>
  <si>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</si>
  <si>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</si>
  <si>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</si>
  <si>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</si>
  <si>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</si>
  <si>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</si>
  <si>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</si>
  <si>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</si>
  <si>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LU</t>
  </si>
  <si>
    <t>Luxembourg</t>
  </si>
  <si>
    <t>Aviation - LU - Luxembourg</t>
  </si>
  <si>
    <t>Activity.Mpkm.LU.Tr.Avia.Passenger</t>
  </si>
  <si>
    <t>Activity.Mpkm.LU.Tr.Avia.Passenger.Domestic</t>
  </si>
  <si>
    <t>Activity.Mpkm.LU.Tr.Avia.Passenger.IntraEEAwCHUK</t>
  </si>
  <si>
    <t>Activity.Mpkm.LU.Tr.Avia.Passenger.ExtraEEAwCHUK</t>
  </si>
  <si>
    <t>Activity.Mtkm.LU.Tr.Avia.Freight</t>
  </si>
  <si>
    <t>Activity.Mtkm.LU.Tr.Avia.Freight.Domestic</t>
  </si>
  <si>
    <t>Activity.Mtkm.LU.Tr.Avia.Freight.IntraEEAwCHUK</t>
  </si>
  <si>
    <t>Activity.Mtkm.LU.Tr.Avia.Freight.ExtraEEAwCHUK</t>
  </si>
  <si>
    <t>VehicleKm.Mkm.LU.Tr.Avia</t>
  </si>
  <si>
    <t>VehicleKm.Mkm.LU.Tr.Avia.Passenger</t>
  </si>
  <si>
    <t>VehicleKm.Mkm.LU.Tr.Avia.Passenger.Domestic</t>
  </si>
  <si>
    <t>VehicleKm.Mkm.LU.Tr.Avia.Passenger.IntraEEAwCHUK</t>
  </si>
  <si>
    <t>VehicleKm.Mkm.LU.Tr.Avia.Passenger.ExtraEEAwCHUK</t>
  </si>
  <si>
    <t>VehicleKm.Mkm.LU.Tr.Avia.Freight</t>
  </si>
  <si>
    <t>VehicleKm.Mkm.LU.Tr.Avia.Freight.Domestic</t>
  </si>
  <si>
    <t>VehicleKm.Mkm.LU.Tr.Avia.Freight.IntraEEAwCHUK</t>
  </si>
  <si>
    <t>VehicleKm.Mkm.LU.Tr.Avia.Freight.ExtraEEAwCHUK</t>
  </si>
  <si>
    <t>Flights.number.LU.Tr.Avia</t>
  </si>
  <si>
    <t>Flights.number.LU.Tr.Avia.Passenger</t>
  </si>
  <si>
    <t>Flights.number.LU.Tr.Avia.Passenger.Domestic</t>
  </si>
  <si>
    <t>Flights.number.LU.Tr.Avia.Passenger.IntraEEAwCHUK</t>
  </si>
  <si>
    <t>Flights.number.LU.Tr.Avia.Passenger.ExtraEEAwCHUK</t>
  </si>
  <si>
    <t>Flights.number.LU.Tr.Avia.Freight</t>
  </si>
  <si>
    <t>Flights.number.LU.Tr.Avia.Freight.Domestic</t>
  </si>
  <si>
    <t>Flights.number.LU.Tr.Avia.Freight.IntraEEAwCHUK</t>
  </si>
  <si>
    <t>Flights.number.LU.Tr.Avia.Freight.ExtraEEAwCHUK</t>
  </si>
  <si>
    <t>VolCarried.passenger.LU.Tr.Avia.Passenger</t>
  </si>
  <si>
    <t>VolCarried.passenger.LU.Tr.Avia.Passenger.Domestic</t>
  </si>
  <si>
    <t>VolCarried.passenger.LU.Tr.Avia.Passenger.IntraEEAwCHUK</t>
  </si>
  <si>
    <t>VolCarried.passenger.LU.Tr.Avia.Passenger.ExtraEEAwCHUK</t>
  </si>
  <si>
    <t>VolCarried.t.LU.Tr.Avia.Freight</t>
  </si>
  <si>
    <t>VolCarried.t.LU.Tr.Avia.Freight.Domestic</t>
  </si>
  <si>
    <t>VolCarried.t.LU.Tr.Avia.Freight.IntraEEAwCHUK</t>
  </si>
  <si>
    <t>VolCarried.t.LU.Tr.Avia.Freight.ExtraEEAwCHUK</t>
  </si>
  <si>
    <t>Stock.number.LU.Tr.Avia</t>
  </si>
  <si>
    <t>Stock.number.LU.Tr.Avia.Passenger</t>
  </si>
  <si>
    <t>Stock.number.LU.Tr.Avia.Passenger.Domestic</t>
  </si>
  <si>
    <t>Stock.number.LU.Tr.Avia.Passenger.IntraEEAwCHUK</t>
  </si>
  <si>
    <t>Stock.number.LU.Tr.Avia.Passenger.ExtraEEAwCHUK</t>
  </si>
  <si>
    <t>Stock.number.LU.Tr.Avia.Freight</t>
  </si>
  <si>
    <t>Stock.number.LU.Tr.Avia.Freight.Domestic</t>
  </si>
  <si>
    <t>Stock.number.LU.Tr.Avia.Freight.IntraEEAwCHUK</t>
  </si>
  <si>
    <t>Stock.number.LU.Tr.Avia.Freight.ExtraEEAwCHUK</t>
  </si>
  <si>
    <t>StockNew.number.LU.Tr.Avia</t>
  </si>
  <si>
    <t>StockNew.number.LU.Tr.Avia.Passenger</t>
  </si>
  <si>
    <t>StockNew.number.LU.Tr.Avia.Passenger.Domestic</t>
  </si>
  <si>
    <t>StockNew.number.LU.Tr.Avia.Passenger.IntraEEAwCHUK</t>
  </si>
  <si>
    <t>StockNew.number.LU.Tr.Avia.Passenger.ExtraEEAwCHUK</t>
  </si>
  <si>
    <t>StockNew.number.LU.Tr.Avia.Freight</t>
  </si>
  <si>
    <t>StockNew.number.LU.Tr.Avia.Freight.Domestic</t>
  </si>
  <si>
    <t>StockNew.number.LU.Tr.Avia.Freight.IntraEEAwCHUK</t>
  </si>
  <si>
    <t>StockNew.number.LU.Tr.Avia.Freight.ExtraEEAwCHUK</t>
  </si>
  <si>
    <t>Load.passenger_per_movement.LU.Tr.Avia.Passenger</t>
  </si>
  <si>
    <t>Load.passenger_per_movement.LU.Tr.Avia.Passenger.Domestic</t>
  </si>
  <si>
    <t>Load.passenger_per_movement.LU.Tr.Avia.Passenger.IntraEEAwCHUK</t>
  </si>
  <si>
    <t>Load.passenger_per_movement.LU.Tr.Avia.Passenger.ExtraEEAwCHUK</t>
  </si>
  <si>
    <t>Load.t_per_movement.LU.Tr.Avia.Freight</t>
  </si>
  <si>
    <t>Load.t_per_movement.LU.Tr.Avia.Freight.Domestic</t>
  </si>
  <si>
    <t>Load.t_per_movement.LU.Tr.Avia.Freight.IntraEEAwCHUK</t>
  </si>
  <si>
    <t>Load.t_per_movement.LU.Tr.Avia.Freight.ExtraEEAwCHUK</t>
  </si>
  <si>
    <t>VehicleKm_per_flight.km.LU.Tr.Avia</t>
  </si>
  <si>
    <t>VehicleKm_per_flight.km.LU.Tr.Avia.Passenger</t>
  </si>
  <si>
    <t>VehicleKm_per_flight.km.LU.Tr.Avia.Passenger.Domestic</t>
  </si>
  <si>
    <t>VehicleKm_per_flight.km.LU.Tr.Avia.Passenger.IntraEEAwCHUK</t>
  </si>
  <si>
    <t>VehicleKm_per_flight.km.LU.Tr.Avia.Passenger.ExtraEEAwCHUK</t>
  </si>
  <si>
    <t>VehicleKm_per_flight.km.LU.Tr.Avia.Freight</t>
  </si>
  <si>
    <t>VehicleKm_per_flight.km.LU.Tr.Avia.Freight.Domestic</t>
  </si>
  <si>
    <t>VehicleKm_per_flight.km.LU.Tr.Avia.Freight.IntraEEAwCHUK</t>
  </si>
  <si>
    <t>VehicleKm_per_flight.km.LU.Tr.Avia.Freight.ExtraEEAwCHUK</t>
  </si>
  <si>
    <t>Activity_per_flight.pkm.LU.Tr.Avia.Passenger</t>
  </si>
  <si>
    <t>Activity_per_flight.pkm.LU.Tr.Avia.Passenger.Domestic</t>
  </si>
  <si>
    <t>Activity_per_flight.pkm.LU.Tr.Avia.Passenger.IntraEEAwCHUK</t>
  </si>
  <si>
    <t>Activity_per_flight.pkm.LU.Tr.Avia.Passenger.ExtraEEAwCHUK</t>
  </si>
  <si>
    <t>Activity_per_flight.tkm.LU.Tr.Avia.Freight</t>
  </si>
  <si>
    <t>Activity_per_flight.tkm.LU.Tr.Avia.Freight.Domestic</t>
  </si>
  <si>
    <t>Activity_per_flight.tkm.LU.Tr.Avia.Freight.IntraEEAwCHUK</t>
  </si>
  <si>
    <t>Activity_per_flight.tkm.LU.Tr.Avia.Freight.ExtraEEAwCHUK</t>
  </si>
  <si>
    <t>Flights_per_vehicle.number.LU.Tr.Avia</t>
  </si>
  <si>
    <t>Flights_per_vehicle.number.LU.Tr.Avia.Passenger</t>
  </si>
  <si>
    <t>Flights_per_vehicle.number.LU.Tr.Avia.Passenger.Domestic</t>
  </si>
  <si>
    <t>Flights_per_vehicle.number.LU.Tr.Avia.Passenger.IntraEEAwCHUK</t>
  </si>
  <si>
    <t>Flights_per_vehicle.number.LU.Tr.Avia.Passenger.ExtraEEAwCHUK</t>
  </si>
  <si>
    <t>Flights_per_vehicle.number.LU.Tr.Avia.Freight</t>
  </si>
  <si>
    <t>Flights_per_vehicle.number.LU.Tr.Avia.Freight.Domestic</t>
  </si>
  <si>
    <t>Flights_per_vehicle.number.LU.Tr.Avia.Freight.IntraEEAwCHUK</t>
  </si>
  <si>
    <t>Flights_per_vehicle.number.LU.Tr.Avia.Freight.ExtraEEAwCHUK</t>
  </si>
  <si>
    <t>Aviation / energy consumption - LU - Luxembourg</t>
  </si>
  <si>
    <t>FEC.ktoe.LU.Tr.Avia</t>
  </si>
  <si>
    <t>FEC.ktoe.LU.Tr.Avia.Domestic</t>
  </si>
  <si>
    <t>FEC.ktoe.LU.Tr.Avia.International</t>
  </si>
  <si>
    <t>FEC.ktoe.LU.Tr.Avia.Passenger</t>
  </si>
  <si>
    <t>FEC.ktoe.LU.Tr.Avia.Passenger.Domestic</t>
  </si>
  <si>
    <t>FEC.ktoe.LU.Tr.Avia.Passenger.IntraEEAwCHUK</t>
  </si>
  <si>
    <t>FEC.ktoe.LU.Tr.Avia.Passenger.ExtraEEAwCHUK</t>
  </si>
  <si>
    <t>FEC.ktoe.LU.Tr.Avia.Freight</t>
  </si>
  <si>
    <t>FEC.ktoe.LU.Tr.Avia.Freight.Domestic</t>
  </si>
  <si>
    <t>FEC.ktoe.LU.Tr.Avia.Freight.IntraEEAwCHUK</t>
  </si>
  <si>
    <t>FEC.ktoe.LU.Tr.Avia.Freight.ExtraEEAwCHUK</t>
  </si>
  <si>
    <t>Eff.kgoe_per_100km.LU.Tr.Avia</t>
  </si>
  <si>
    <t>Eff.kgoe_per_100km.LU.Tr.Avia.Passenger</t>
  </si>
  <si>
    <t>Eff.kgoe_per_100km.LU.Tr.Avia.Passenger.Domestic</t>
  </si>
  <si>
    <t>Eff.kgoe_per_100km.LU.Tr.Avia.Passenger.IntraEEAwCHUK</t>
  </si>
  <si>
    <t>Eff.kgoe_per_100km.LU.Tr.Avia.Passenger.ExtraEEAwCHUK</t>
  </si>
  <si>
    <t>Eff.kgoe_per_100km.LU.Tr.Avia.Freight</t>
  </si>
  <si>
    <t>Eff.kgoe_per_100km.LU.Tr.Avia.Freight.Domestic</t>
  </si>
  <si>
    <t>Eff.kgoe_per_100km.LU.Tr.Avia.Freight.IntraEEAwCHUK</t>
  </si>
  <si>
    <t>Eff.kgoe_per_100km.LU.Tr.Avia.Freight.ExtraEEAwCHUK</t>
  </si>
  <si>
    <t>Eff.kgoe_per_kpkm.LU.Tr.Avia.Passenger</t>
  </si>
  <si>
    <t>Eff.kgoe_per_kpkm.LU.Tr.Avia.Passenger.Domestic</t>
  </si>
  <si>
    <t>Eff.kgoe_per_kpkm.LU.Tr.Avia.Passenger.IntraEEAwCHUK</t>
  </si>
  <si>
    <t>Eff.kgoe_per_kpkm.LU.Tr.Avia.Passenger.ExtraEEAwCHUK</t>
  </si>
  <si>
    <t>Eff.kgoe_per_ktkm.LU.Tr.Avia.Freight</t>
  </si>
  <si>
    <t>Eff.kgoe_per_ktkm.LU.Tr.Avia.Freight.Domestic</t>
  </si>
  <si>
    <t>Eff.kgoe_per_ktkm.LU.Tr.Avia.Freight.IntraEEAwCHUK</t>
  </si>
  <si>
    <t>Eff.kgoe_per_ktkm.LU.Tr.Avia.Freight.ExtraEEAwCHUK</t>
  </si>
  <si>
    <t>FEC_per_flight.kgoe.LU.Tr.Avia</t>
  </si>
  <si>
    <t>FEC_per_flight.kgoe.LU.Tr.Avia.Passenger</t>
  </si>
  <si>
    <t>FEC_per_flight.kgoe.LU.Tr.Avia.Passenger.Domestic</t>
  </si>
  <si>
    <t>FEC_per_flight.kgoe.LU.Tr.Avia.Passenger.IntraEEAwCHUK</t>
  </si>
  <si>
    <t>FEC_per_flight.kgoe.LU.Tr.Avia.Passenger.ExtraEEAwCHUK</t>
  </si>
  <si>
    <t>FEC_per_flight.kgoe.LU.Tr.Avia.Freight</t>
  </si>
  <si>
    <t>FEC_per_flight.kgoe.LU.Tr.Avia.Freight.Domestic</t>
  </si>
  <si>
    <t>FEC_per_flight.kgoe.LU.Tr.Avia.Freight.IntraEEAwCHUK</t>
  </si>
  <si>
    <t>FEC_per_flight.kgoe.LU.Tr.Avia.Freight.ExtraEEAwCHUK</t>
  </si>
  <si>
    <t>Eff_theor.kgoe_per_100km.LU.Tr.Avia</t>
  </si>
  <si>
    <t>Eff_theor.kgoe_per_100km.LU.Tr.Avia.Passenger</t>
  </si>
  <si>
    <t>Eff_theor.kgoe_per_100km.LU.Tr.Avia.Passenger.Domestic</t>
  </si>
  <si>
    <t>Eff_theor.kgoe_per_100km.LU.Tr.Avia.Passenger.IntraEEAwCHUK</t>
  </si>
  <si>
    <t>Eff_theor.kgoe_per_100km.LU.Tr.Avia.Passenger.ExtraEEAwCHUK</t>
  </si>
  <si>
    <t>Eff_theor.kgoe_per_100km.LU.Tr.Avia.Freight</t>
  </si>
  <si>
    <t>Eff_theor.kgoe_per_100km.LU.Tr.Avia.Freight.Domestic</t>
  </si>
  <si>
    <t>Eff_theor.kgoe_per_100km.LU.Tr.Avia.Freight.IntraEEAwCHUK</t>
  </si>
  <si>
    <t>Eff_theor.kgoe_per_100km.LU.Tr.Avia.Freight.ExtraEEAwCHUK</t>
  </si>
  <si>
    <t>Aviation / CO2 emissions - LU - Luxembourg</t>
  </si>
  <si>
    <t>EMI.ktCO2.LU.Tr.Avia</t>
  </si>
  <si>
    <t>EMI.ktCO2.LU.Tr.Avia.Domestic</t>
  </si>
  <si>
    <t>EMI.ktCO2.LU.Tr.Avia.International</t>
  </si>
  <si>
    <t>EMI.ktCO2.LU.Tr.Avia.Passenger</t>
  </si>
  <si>
    <t>EMI.ktCO2.LU.Tr.Avia.Passenger.Domestic</t>
  </si>
  <si>
    <t>EMI.ktCO2.LU.Tr.Avia.Passenger.IntraEEAwCHUK</t>
  </si>
  <si>
    <t>EMI.ktCO2.LU.Tr.Avia.Passenger.ExtraEEAwCHUK</t>
  </si>
  <si>
    <t>EMI.ktCO2.LU.Tr.Avia.Freight</t>
  </si>
  <si>
    <t>EMI.ktCO2.LU.Tr.Avia.Freight.Domestic</t>
  </si>
  <si>
    <t>EMI.ktCO2.LU.Tr.Avia.Freight.IntraEEAwCHUK</t>
  </si>
  <si>
    <t>EMI.ktCO2.LU.Tr.Avia.Freight.ExtraEEAwCHUK</t>
  </si>
  <si>
    <t>EMIint.gCO2_per_km.LU.Tr.Avia</t>
  </si>
  <si>
    <t>EMIint.gCO2_per_km.LU.Tr.Avia.Passenger</t>
  </si>
  <si>
    <t>EMIint.gCO2_per_km.LU.Tr.Avia.Passenger.Domestic</t>
  </si>
  <si>
    <t>EMIint.gCO2_per_km.LU.Tr.Avia.Passenger.IntraEEAwCHUK</t>
  </si>
  <si>
    <t>EMIint.gCO2_per_km.LU.Tr.Avia.Passenger.ExtraEEAwCHUK</t>
  </si>
  <si>
    <t>EMIint.gCO2_per_km.LU.Tr.Avia.Freight</t>
  </si>
  <si>
    <t>EMIint.gCO2_per_km.LU.Tr.Avia.Freight.Domestic</t>
  </si>
  <si>
    <t>EMIint.gCO2_per_km.LU.Tr.Avia.Freight.IntraEEAwCHUK</t>
  </si>
  <si>
    <t>EMIint.gCO2_per_km.LU.Tr.Avia.Freight.ExtraEEAwCHUK</t>
  </si>
  <si>
    <t>EMIint.gCO2_per_pkm.LU.Tr.Avia.Passenger</t>
  </si>
  <si>
    <t>EMIint.gCO2_per_pkm.LU.Tr.Avia.Passenger.Domestic</t>
  </si>
  <si>
    <t>EMIint.gCO2_per_pkm.LU.Tr.Avia.Passenger.IntraEEAwCHUK</t>
  </si>
  <si>
    <t>EMIint.gCO2_per_pkm.LU.Tr.Avia.Passenger.ExtraEEAwCHUK</t>
  </si>
  <si>
    <t>EMIint.gCO2_per_tkm.LU.Tr.Avia.Freight</t>
  </si>
  <si>
    <t>EMIint.gCO2_per_tkm.LU.Tr.Avia.Freight.Domestic</t>
  </si>
  <si>
    <t>EMIint.gCO2_per_tkm.LU.Tr.Avia.Freight.IntraEEAwCHUK</t>
  </si>
  <si>
    <t>EMIint.gCO2_per_tkm.LU.Tr.Avia.Freight.ExtraEEAwCHUK</t>
  </si>
  <si>
    <t>EMI_per_flight.kgCO2.LU.Tr.Avia</t>
  </si>
  <si>
    <t>EMI_per_flight.kgCO2.LU.Tr.Avia.Passenger</t>
  </si>
  <si>
    <t>EMI_per_flight.kgCO2.LU.Tr.Avia.Passenger.Domestic</t>
  </si>
  <si>
    <t>EMI_per_flight.kgCO2.LU.Tr.Avia.Passenger.IntraEEAwCHUK</t>
  </si>
  <si>
    <t>EMI_per_flight.kgCO2.LU.Tr.Avia.Passenger.ExtraEEAwCHUK</t>
  </si>
  <si>
    <t>EMI_per_flight.kgCO2.LU.Tr.Avia.Freight</t>
  </si>
  <si>
    <t>EMI_per_flight.kgCO2.LU.Tr.Avia.Freight.Domestic</t>
  </si>
  <si>
    <t>EMI_per_flight.kgCO2.LU.Tr.Avia.Freight.IntraEEAwCHUK</t>
  </si>
  <si>
    <t>EMI_per_flight.kgCO2.LU.Tr.Avia.Freight.ExtraEEAwCHUK</t>
  </si>
  <si>
    <t>Aviation / passenger transport specific data - LU - Luxembourg</t>
  </si>
  <si>
    <t>TrCap.seats.LU.Tr.Avia.Passenger</t>
  </si>
  <si>
    <t>TrCap.seats.LU.Tr.Avia.Passenger.Domestic</t>
  </si>
  <si>
    <t>TrCap.seats.LU.Tr.Avia.Passenger.IntraEEAwCHUK</t>
  </si>
  <si>
    <t>TrCap.seats.LU.Tr.Avia.Passenger.ExtraEEAwCHUK</t>
  </si>
  <si>
    <t>TrCap_per_flight.seats.LU.Tr.Avia.Passenger</t>
  </si>
  <si>
    <t>TrCap_per_flight.seats.LU.Tr.Avia.Passenger.Domestic</t>
  </si>
  <si>
    <t>TrCap_per_flight.seats.LU.Tr.Avia.Passenger.IntraEEAwCHUK</t>
  </si>
  <si>
    <t>TrCap_per_flight.seats.LU.Tr.Avia.Passenger.ExtraEEAwCHUK</t>
  </si>
  <si>
    <t>Transport overview - LU - Luxembourg</t>
  </si>
  <si>
    <t>Activity.Mpkm.LU.Tr</t>
  </si>
  <si>
    <t>Activity.Mpkm.LU.Tr.Road.Passenger</t>
  </si>
  <si>
    <t>Activity.Mpkm.LU.Tr.Road.Passenger.P2W</t>
  </si>
  <si>
    <t>Activity.Mpkm.LU.Tr.Road.Passenger.Car</t>
  </si>
  <si>
    <t>Activity.Mpkm.LU.Tr.Road.Passenger.Bus</t>
  </si>
  <si>
    <t>Activity.Mpkm.LU.Tr.Rail.Passenger</t>
  </si>
  <si>
    <t>Activity.Mpkm.LU.Tr.Rail.Passenger.MTU</t>
  </si>
  <si>
    <t>Activity.Mpkm.LU.Tr.Rail.Passenger.CPT</t>
  </si>
  <si>
    <t>Activity.Mpkm.LU.Tr.Rail.Passenger.HST</t>
  </si>
  <si>
    <t>Activity.Mtkm.LU.Tr</t>
  </si>
  <si>
    <t>Activity.Mtkm.LU.Tr.Road.Freight</t>
  </si>
  <si>
    <t>Activity.Mtkm.LU.Tr.Road.Freight.LCV</t>
  </si>
  <si>
    <t>Activity.Mtkm.LU.Tr.Road.Freight.HGV_All</t>
  </si>
  <si>
    <t>Activity.Mtkm.LU.Tr.Rail.Freight</t>
  </si>
  <si>
    <t>Activity.Mtkm.LU.Tr.DNavi.Freight</t>
  </si>
  <si>
    <t>Activity.Mtkm.LU.Tr.DNavi.Freight.DCS</t>
  </si>
  <si>
    <t>Activity.Mtkm.LU.Tr.DNavi.Freight.IWW</t>
  </si>
  <si>
    <t>Activity.Mtkm.LU.MBunk.Freight</t>
  </si>
  <si>
    <t>Activity.Mtkm.LU.MBunk.Freight.IntraEEA</t>
  </si>
  <si>
    <t>Activity.Mtkm.LU.MBunk.Freight.ExtraEEA</t>
  </si>
  <si>
    <t>FEC.ktoe.LU.Tr.Road.Passenger</t>
  </si>
  <si>
    <t>FEC.ktoe.LU.Tr.Road.Passenger.P2W</t>
  </si>
  <si>
    <t>FEC.ktoe.LU.Tr.Road.Passenger.Car</t>
  </si>
  <si>
    <t>FEC.ktoe.LU.Tr.Road.Passenger.Bus</t>
  </si>
  <si>
    <t>FEC.ktoe.LU.Tr.Rail.Passenger</t>
  </si>
  <si>
    <t>FEC.ktoe.LU.Tr.Rail.Passenger.MTU</t>
  </si>
  <si>
    <t>FEC.ktoe.LU.Tr.Rail.Passenger.CPT</t>
  </si>
  <si>
    <t>FEC.ktoe.LU.Tr.Rail.Passenger.HST</t>
  </si>
  <si>
    <t>FEC.ktoe.LU.Tr.Road.Freight</t>
  </si>
  <si>
    <t>FEC.ktoe.LU.Tr.Road.Freight.LCV</t>
  </si>
  <si>
    <t>FEC.ktoe.LU.Tr.Road.Freight.HGV_All</t>
  </si>
  <si>
    <t>FEC.ktoe.LU.Tr.Rail.Freight</t>
  </si>
  <si>
    <t>EMI.ktCO2.LU.Tr.Road.Passenger</t>
  </si>
  <si>
    <t>EMI.ktCO2.LU.Tr.Road.Passenger.P2W</t>
  </si>
  <si>
    <t>EMI.ktCO2.LU.Tr.Road.Passenger.Car</t>
  </si>
  <si>
    <t>EMI.ktCO2.LU.Tr.Road.Passenger.Bus</t>
  </si>
  <si>
    <t>EMI.ktCO2.LU.Tr.Rail.Passenger</t>
  </si>
  <si>
    <t>EMI.ktCO2.LU.Tr.Rail.Passenger.MTU</t>
  </si>
  <si>
    <t>EMI.ktCO2.LU.Tr.Rail.Passenger.CPT</t>
  </si>
  <si>
    <t>EMI.ktCO2.LU.Tr.Rail.Passenger.HST</t>
  </si>
  <si>
    <t>EMI.ktCO2.LU.Tr.Road.Freight</t>
  </si>
  <si>
    <t>EMI.ktCO2.LU.Tr.Road.Freight.LCV</t>
  </si>
  <si>
    <t>EMI.ktCO2.LU.Tr.Road.Freight.HGV_All</t>
  </si>
  <si>
    <t>EMI.ktCO2.LU.Tr.Rail.Freight</t>
  </si>
  <si>
    <t>Eff.kgoe_per_kpkm.LU.Tr</t>
  </si>
  <si>
    <t>Eff.kgoe_per_kpkm.LU.Tr.Road.Passenger</t>
  </si>
  <si>
    <t>Eff.kgoe_per_kpkm.LU.Tr.Road.Passenger.P2W</t>
  </si>
  <si>
    <t>Eff.kgoe_per_kpkm.LU.Tr.Road.Passenger.Car</t>
  </si>
  <si>
    <t>Eff.kgoe_per_kpkm.LU.Tr.Road.Passenger.Bus</t>
  </si>
  <si>
    <t>Eff.kgoe_per_kpkm.LU.Tr.Rail.Passenger</t>
  </si>
  <si>
    <t>Eff.kgoe_per_kpkm.LU.Tr.Rail.Passenger.MTU</t>
  </si>
  <si>
    <t>Eff.kgoe_per_kpkm.LU.Tr.Rail.Passenger.CPT</t>
  </si>
  <si>
    <t>Eff.kgoe_per_kpkm.LU.Tr.Rail.Passenger.HST</t>
  </si>
  <si>
    <t>Eff.kgoe_per_ktkm.LU.Tr</t>
  </si>
  <si>
    <t>Eff.kgoe_per_ktkm.LU.Tr.Road.Freight</t>
  </si>
  <si>
    <t>Eff.kgoe_per_ktkm.LU.Tr.Road.Freight.LCV</t>
  </si>
  <si>
    <t>Eff.kgoe_per_ktkm.LU.Tr.Road.Freight.HGV_All</t>
  </si>
  <si>
    <t>Eff.kgoe_per_ktkm.LU.Tr.Rail.Freight</t>
  </si>
  <si>
    <t>Eff.kgoe_per_ktkm.LU.Tr.DNavi.Freight</t>
  </si>
  <si>
    <t>Eff.kgoe_per_ktkm.LU.Tr.DNavi.Freight.DCS</t>
  </si>
  <si>
    <t>Eff.kgoe_per_ktkm.LU.Tr.DNavi.Freight.IWW</t>
  </si>
  <si>
    <t>Eff.kgoe_per_ktkm.LU.MBunk.Freight</t>
  </si>
  <si>
    <t>Eff.kgoe_per_ktkm.LU.MBunk.Freight.IntraEEA</t>
  </si>
  <si>
    <t>Eff.kgoe_per_ktkm.LU.MBunk.Freight.ExtraEEA</t>
  </si>
  <si>
    <t>EMIint.gCO2_per_pkm.LU.Tr</t>
  </si>
  <si>
    <t>EMIint.gCO2_per_pkm.LU.Tr.Road.Passenger</t>
  </si>
  <si>
    <t>EMIint.gCO2_per_pkm.LU.Tr.Road.Passenger.P2W</t>
  </si>
  <si>
    <t>EMIint.gCO2_per_pkm.LU.Tr.Road.Passenger.Car</t>
  </si>
  <si>
    <t>EMIint.gCO2_per_pkm.LU.Tr.Road.Passenger.Bus</t>
  </si>
  <si>
    <t>EMIint.gCO2_per_pkm.LU.Tr.Rail.Passenger</t>
  </si>
  <si>
    <t>EMIint.gCO2_per_pkm.LU.Tr.Rail.Passenger.MTU</t>
  </si>
  <si>
    <t>EMIint.gCO2_per_pkm.LU.Tr.Rail.Passenger.CPT</t>
  </si>
  <si>
    <t>EMIint.gCO2_per_pkm.LU.Tr.Rail.Passenger.HST</t>
  </si>
  <si>
    <t>EMIint.gCO2_per_tkm.LU.Tr</t>
  </si>
  <si>
    <t>EMIint.gCO2_per_tkm.LU.Tr.Road.Freight</t>
  </si>
  <si>
    <t>EMIint.gCO2_per_tkm.LU.Tr.Road.Freight.LCV</t>
  </si>
  <si>
    <t>EMIint.gCO2_per_tkm.LU.Tr.Road.Freight.HGV_All</t>
  </si>
  <si>
    <t>EMIint.gCO2_per_tkm.LU.Tr.Rail.Freight</t>
  </si>
  <si>
    <t>EMIint.gCO2_per_tkm.LU.Tr.DNavi.Freight</t>
  </si>
  <si>
    <t>EMIint.gCO2_per_tkm.LU.Tr.DNavi.Freight.DCS</t>
  </si>
  <si>
    <t>EMIint.gCO2_per_tkm.LU.Tr.DNavi.Freight.IWW</t>
  </si>
  <si>
    <t>EMIint.gCO2_per_tkm.LU.MBunk.Freight</t>
  </si>
  <si>
    <t>EMIint.gCO2_per_tkm.LU.MBunk.Freight.IntraEEA</t>
  </si>
  <si>
    <t>EMIint.gCO2_per_tkm.LU.MBunk.Freight.ExtraEEA</t>
  </si>
  <si>
    <t>Road transport - LU - Luxembourg</t>
  </si>
  <si>
    <t>Activity.Mpkm.LU.Tr.Road.Passenger.Car.ICE.Gasoline</t>
  </si>
  <si>
    <t>Activity.Mpkm.LU.Tr.Road.Passenger.Car.ICE.Diesel</t>
  </si>
  <si>
    <t>Activity.Mpkm.LU.Tr.Road.Passenger.Car.ICE.LPG</t>
  </si>
  <si>
    <t>Activity.Mpkm.LU.Tr.Road.Passenger.Car.ICE.NGas</t>
  </si>
  <si>
    <t>Activity.Mpkm.LU.Tr.Road.Passenger.Car.PHEV.Gasoline</t>
  </si>
  <si>
    <t>Activity.Mpkm.LU.Tr.Road.Passenger.Car.BEV</t>
  </si>
  <si>
    <t>Activity.Mpkm.LU.Tr.Road.Passenger.Bus.ICE.Gasoline</t>
  </si>
  <si>
    <t>Activity.Mpkm.LU.Tr.Road.Passenger.Bus.ICE.Diesel</t>
  </si>
  <si>
    <t>Activity.Mpkm.LU.Tr.Road.Passenger.Bus.ICE.LPG</t>
  </si>
  <si>
    <t>Activity.Mpkm.LU.Tr.Road.Passenger.Bus.ICE.NGas</t>
  </si>
  <si>
    <t>Activity.Mpkm.LU.Tr.Road.Passenger.Bus.BEV</t>
  </si>
  <si>
    <t>Activity.Mtkm.LU.Tr.Road.Freight.LCV.ICE.Gasoline</t>
  </si>
  <si>
    <t>Activity.Mtkm.LU.Tr.Road.Freight.LCV.ICE.Diesel</t>
  </si>
  <si>
    <t>Activity.Mtkm.LU.Tr.Road.Freight.LCV.ICE.LPG</t>
  </si>
  <si>
    <t>Activity.Mtkm.LU.Tr.Road.Freight.LCV.ICE.NGas</t>
  </si>
  <si>
    <t>Activity.Mtkm.LU.Tr.Road.Freight.LCV.BEV</t>
  </si>
  <si>
    <t>Activity.Mtkm.LU.Tr.Road.Freight.HGV_Domestic</t>
  </si>
  <si>
    <t>Activity.Mtkm.LU.Tr.Road.Freight.HGV_International</t>
  </si>
  <si>
    <t>VehicleKm.Mkm.LU.Tr.Road</t>
  </si>
  <si>
    <t>VehicleKm.Mkm.LU.Tr.Road.Passenger</t>
  </si>
  <si>
    <t>VehicleKm.Mkm.LU.Tr.Road.Passenger.P2W</t>
  </si>
  <si>
    <t>VehicleKm.Mkm.LU.Tr.Road.Passenger.Car</t>
  </si>
  <si>
    <t>VehicleKm.Mkm.LU.Tr.Road.Passenger.Car.ICE.Gasoline</t>
  </si>
  <si>
    <t>VehicleKm.Mkm.LU.Tr.Road.Passenger.Car.ICE.Diesel</t>
  </si>
  <si>
    <t>VehicleKm.Mkm.LU.Tr.Road.Passenger.Car.ICE.LPG</t>
  </si>
  <si>
    <t>VehicleKm.Mkm.LU.Tr.Road.Passenger.Car.ICE.NGas</t>
  </si>
  <si>
    <t>VehicleKm.Mkm.LU.Tr.Road.Passenger.Car.PHEV.Gasoline</t>
  </si>
  <si>
    <t>VehicleKm.Mkm.LU.Tr.Road.Passenger.Car.BEV</t>
  </si>
  <si>
    <t>VehicleKm.Mkm.LU.Tr.Road.Passenger.Bus</t>
  </si>
  <si>
    <t>VehicleKm.Mkm.LU.Tr.Road.Passenger.Bus.ICE.Gasoline</t>
  </si>
  <si>
    <t>VehicleKm.Mkm.LU.Tr.Road.Passenger.Bus.ICE.Diesel</t>
  </si>
  <si>
    <t>VehicleKm.Mkm.LU.Tr.Road.Passenger.Bus.ICE.LPG</t>
  </si>
  <si>
    <t>VehicleKm.Mkm.LU.Tr.Road.Passenger.Bus.ICE.NGas</t>
  </si>
  <si>
    <t>VehicleKm.Mkm.LU.Tr.Road.Passenger.Bus.BEV</t>
  </si>
  <si>
    <t>VehicleKm.Mkm.LU.Tr.Road.Freight</t>
  </si>
  <si>
    <t>VehicleKm.Mkm.LU.Tr.Road.Freight.LCV</t>
  </si>
  <si>
    <t>VehicleKm.Mkm.LU.Tr.Road.Freight.LCV.ICE.Gasoline</t>
  </si>
  <si>
    <t>VehicleKm.Mkm.LU.Tr.Road.Freight.LCV.ICE.Diesel</t>
  </si>
  <si>
    <t>VehicleKm.Mkm.LU.Tr.Road.Freight.LCV.ICE.LPG</t>
  </si>
  <si>
    <t>VehicleKm.Mkm.LU.Tr.Road.Freight.LCV.ICE.NGas</t>
  </si>
  <si>
    <t>VehicleKm.Mkm.LU.Tr.Road.Freight.LCV.BEV</t>
  </si>
  <si>
    <t>VehicleKm.Mkm.LU.Tr.Road.Freight.HGV_All</t>
  </si>
  <si>
    <t>VehicleKm.Mkm.LU.Tr.Road.Freight.HGV_Domestic</t>
  </si>
  <si>
    <t>VehicleKm.Mkm.LU.Tr.Road.Freight.HGV_International</t>
  </si>
  <si>
    <t>Stock.number.LU.Tr.Road</t>
  </si>
  <si>
    <t>Stock.number.LU.Tr.Road.Passenger</t>
  </si>
  <si>
    <t>Stock.number.LU.Tr.Road.Passenger.P2W</t>
  </si>
  <si>
    <t>Stock.number.LU.Tr.Road.Passenger.Car</t>
  </si>
  <si>
    <t>Stock.number.LU.Tr.Road.Passenger.Car.ICE.Gasoline</t>
  </si>
  <si>
    <t>Stock.number.LU.Tr.Road.Passenger.Car.ICE.Diesel</t>
  </si>
  <si>
    <t>Stock.number.LU.Tr.Road.Passenger.Car.ICE.LPG</t>
  </si>
  <si>
    <t>Stock.number.LU.Tr.Road.Passenger.Car.ICE.NGas</t>
  </si>
  <si>
    <t>Stock.number.LU.Tr.Road.Passenger.Car.PHEV.Gasoline</t>
  </si>
  <si>
    <t>Stock.number.LU.Tr.Road.Passenger.Car.BEV</t>
  </si>
  <si>
    <t>Stock.number.LU.Tr.Road.Passenger.Bus</t>
  </si>
  <si>
    <t>Stock.number.LU.Tr.Road.Passenger.Bus.ICE.Gasoline</t>
  </si>
  <si>
    <t>Stock.number.LU.Tr.Road.Passenger.Bus.ICE.Diesel</t>
  </si>
  <si>
    <t>Stock.number.LU.Tr.Road.Passenger.Bus.ICE.LPG</t>
  </si>
  <si>
    <t>Stock.number.LU.Tr.Road.Passenger.Bus.ICE.NGas</t>
  </si>
  <si>
    <t>Stock.number.LU.Tr.Road.Passenger.Bus.BEV</t>
  </si>
  <si>
    <t>Stock.number.LU.Tr.Road.Freight</t>
  </si>
  <si>
    <t>Stock.number.LU.Tr.Road.Freight.LCV</t>
  </si>
  <si>
    <t>Stock.number.LU.Tr.Road.Freight.LCV.ICE.Gasoline</t>
  </si>
  <si>
    <t>Stock.number.LU.Tr.Road.Freight.LCV.ICE.Diesel</t>
  </si>
  <si>
    <t>Stock.number.LU.Tr.Road.Freight.LCV.ICE.LPG</t>
  </si>
  <si>
    <t>Stock.number.LU.Tr.Road.Freight.LCV.ICE.NGas</t>
  </si>
  <si>
    <t>Stock.number.LU.Tr.Road.Freight.LCV.BEV</t>
  </si>
  <si>
    <t>Stock.number.LU.Tr.Road.Freight.HGV_All</t>
  </si>
  <si>
    <t>Stock.number.LU.Tr.Road.Freight.HGV_Domestic</t>
  </si>
  <si>
    <t>Stock.number.LU.Tr.Road.Freight.HGV_International</t>
  </si>
  <si>
    <t>StockNew.number.LU.Tr.Road</t>
  </si>
  <si>
    <t>StockNew.number.LU.Tr.Road.Passenger</t>
  </si>
  <si>
    <t>StockNew.number.LU.Tr.Road.Passenger.P2W</t>
  </si>
  <si>
    <t>StockNew.number.LU.Tr.Road.Passenger.Car</t>
  </si>
  <si>
    <t>StockNew.number.LU.Tr.Road.Passenger.Car.ICE.Gasoline</t>
  </si>
  <si>
    <t>StockNew.number.LU.Tr.Road.Passenger.Car.ICE.Diesel</t>
  </si>
  <si>
    <t>StockNew.number.LU.Tr.Road.Passenger.Car.ICE.LPG</t>
  </si>
  <si>
    <t>StockNew.number.LU.Tr.Road.Passenger.Car.ICE.NGas</t>
  </si>
  <si>
    <t>StockNew.number.LU.Tr.Road.Passenger.Car.PHEV.Gasoline</t>
  </si>
  <si>
    <t>StockNew.number.LU.Tr.Road.Passenger.Car.BEV</t>
  </si>
  <si>
    <t>StockNew.number.LU.Tr.Road.Passenger.Bus</t>
  </si>
  <si>
    <t>StockNew.number.LU.Tr.Road.Passenger.Bus.ICE.Gasoline</t>
  </si>
  <si>
    <t>StockNew.number.LU.Tr.Road.Passenger.Bus.ICE.Diesel</t>
  </si>
  <si>
    <t>StockNew.number.LU.Tr.Road.Passenger.Bus.ICE.LPG</t>
  </si>
  <si>
    <t>StockNew.number.LU.Tr.Road.Passenger.Bus.ICE.NGas</t>
  </si>
  <si>
    <t>StockNew.number.LU.Tr.Road.Passenger.Bus.BEV</t>
  </si>
  <si>
    <t>StockNew.number.LU.Tr.Road.Freight</t>
  </si>
  <si>
    <t>StockNew.number.LU.Tr.Road.Freight.LCV</t>
  </si>
  <si>
    <t>StockNew.number.LU.Tr.Road.Freight.LCV.ICE.Gasoline</t>
  </si>
  <si>
    <t>StockNew.number.LU.Tr.Road.Freight.LCV.ICE.Diesel</t>
  </si>
  <si>
    <t>StockNew.number.LU.Tr.Road.Freight.LCV.ICE.LPG</t>
  </si>
  <si>
    <t>StockNew.number.LU.Tr.Road.Freight.LCV.ICE.NGas</t>
  </si>
  <si>
    <t>StockNew.number.LU.Tr.Road.Freight.LCV.BEV</t>
  </si>
  <si>
    <t>StockNew.number.LU.Tr.Road.Freight.HGV_All</t>
  </si>
  <si>
    <t>StockNew.number.LU.Tr.Road.Freight.HGV_Domestic</t>
  </si>
  <si>
    <t>StockNew.number.LU.Tr.Road.Freight.HGV_International</t>
  </si>
  <si>
    <t>Load.passenger_per_movement.LU.Tr.Road.Passenger</t>
  </si>
  <si>
    <t>Load.passenger_per_movement.LU.Tr.Road.Passenger.P2W</t>
  </si>
  <si>
    <t>Load.passenger_per_movement.LU.Tr.Road.Passenger.Car</t>
  </si>
  <si>
    <t>Load.passenger_per_movement.LU.Tr.Road.Passenger.Car.ICE.Gasoline</t>
  </si>
  <si>
    <t>Load.passenger_per_movement.LU.Tr.Road.Passenger.Car.ICE.Diesel</t>
  </si>
  <si>
    <t>Load.passenger_per_movement.LU.Tr.Road.Passenger.Car.ICE.LPG</t>
  </si>
  <si>
    <t>Load.passenger_per_movement.LU.Tr.Road.Passenger.Car.ICE.NGas</t>
  </si>
  <si>
    <t>Load.passenger_per_movement.LU.Tr.Road.Passenger.Car.PHEV.Gasoline</t>
  </si>
  <si>
    <t>Load.passenger_per_movement.LU.Tr.Road.Passenger.Car.BEV</t>
  </si>
  <si>
    <t>Load.passenger_per_movement.LU.Tr.Road.Passenger.Bus</t>
  </si>
  <si>
    <t>Load.passenger_per_movement.LU.Tr.Road.Passenger.Bus.ICE.Gasoline</t>
  </si>
  <si>
    <t>Load.passenger_per_movement.LU.Tr.Road.Passenger.Bus.ICE.Diesel</t>
  </si>
  <si>
    <t>Load.passenger_per_movement.LU.Tr.Road.Passenger.Bus.ICE.LPG</t>
  </si>
  <si>
    <t>Load.passenger_per_movement.LU.Tr.Road.Passenger.Bus.ICE.NGas</t>
  </si>
  <si>
    <t>Load.passenger_per_movement.LU.Tr.Road.Passenger.Bus.BEV</t>
  </si>
  <si>
    <t>Load.t_per_movement.LU.Tr.Road.Freight</t>
  </si>
  <si>
    <t>Load.t_per_movement.LU.Tr.Road.Freight.LCV</t>
  </si>
  <si>
    <t>Load.t_per_movement.LU.Tr.Road.Freight.LCV.ICE.Gasoline</t>
  </si>
  <si>
    <t>Load.t_per_movement.LU.Tr.Road.Freight.LCV.ICE.Diesel</t>
  </si>
  <si>
    <t>Load.t_per_movement.LU.Tr.Road.Freight.LCV.ICE.LPG</t>
  </si>
  <si>
    <t>Load.t_per_movement.LU.Tr.Road.Freight.LCV.ICE.NGas</t>
  </si>
  <si>
    <t>Load.t_per_movement.LU.Tr.Road.Freight.LCV.BEV</t>
  </si>
  <si>
    <t>Load.t_per_movement.LU.Tr.Road.Freight.HGV_All</t>
  </si>
  <si>
    <t>Load.t_per_movement.LU.Tr.Road.Freight.HGV_Domestic</t>
  </si>
  <si>
    <t>Load.t_per_movement.LU.Tr.Road.Freight.HGV_International</t>
  </si>
  <si>
    <t>VehicleKm_per_vehicle.km.LU.Tr.Road</t>
  </si>
  <si>
    <t>VehicleKm_per_vehicle.km.LU.Tr.Road.Passenger</t>
  </si>
  <si>
    <t>VehicleKm_per_vehicle.km.LU.Tr.Road.Passenger.P2W</t>
  </si>
  <si>
    <t>VehicleKm_per_vehicle.km.LU.Tr.Road.Passenger.Car</t>
  </si>
  <si>
    <t>VehicleKm_per_vehicle.km.LU.Tr.Road.Passenger.Car.ICE.Gasoline</t>
  </si>
  <si>
    <t>VehicleKm_per_vehicle.km.LU.Tr.Road.Passenger.Car.ICE.Diesel</t>
  </si>
  <si>
    <t>VehicleKm_per_vehicle.km.LU.Tr.Road.Passenger.Car.ICE.LPG</t>
  </si>
  <si>
    <t>VehicleKm_per_vehicle.km.LU.Tr.Road.Passenger.Car.ICE.NGas</t>
  </si>
  <si>
    <t>VehicleKm_per_vehicle.km.LU.Tr.Road.Passenger.Car.PHEV.Gasoline</t>
  </si>
  <si>
    <t>VehicleKm_per_vehicle.km.LU.Tr.Road.Passenger.Car.BEV</t>
  </si>
  <si>
    <t>VehicleKm_per_vehicle.km.LU.Tr.Road.Passenger.Bus</t>
  </si>
  <si>
    <t>VehicleKm_per_vehicle.km.LU.Tr.Road.Passenger.Bus.ICE.Gasoline</t>
  </si>
  <si>
    <t>VehicleKm_per_vehicle.km.LU.Tr.Road.Passenger.Bus.ICE.Diesel</t>
  </si>
  <si>
    <t>VehicleKm_per_vehicle.km.LU.Tr.Road.Passenger.Bus.ICE.LPG</t>
  </si>
  <si>
    <t>VehicleKm_per_vehicle.km.LU.Tr.Road.Passenger.Bus.ICE.NGas</t>
  </si>
  <si>
    <t>VehicleKm_per_vehicle.km.LU.Tr.Road.Passenger.Bus.BEV</t>
  </si>
  <si>
    <t>VehicleKm_per_vehicle.km.LU.Tr.Road.Freight</t>
  </si>
  <si>
    <t>VehicleKm_per_vehicle.km.LU.Tr.Road.Freight.LCV</t>
  </si>
  <si>
    <t>VehicleKm_per_vehicle.km.LU.Tr.Road.Freight.LCV.ICE.Gasoline</t>
  </si>
  <si>
    <t>VehicleKm_per_vehicle.km.LU.Tr.Road.Freight.LCV.ICE.Diesel</t>
  </si>
  <si>
    <t>VehicleKm_per_vehicle.km.LU.Tr.Road.Freight.LCV.ICE.LPG</t>
  </si>
  <si>
    <t>VehicleKm_per_vehicle.km.LU.Tr.Road.Freight.LCV.ICE.NGas</t>
  </si>
  <si>
    <t>VehicleKm_per_vehicle.km.LU.Tr.Road.Freight.LCV.BEV</t>
  </si>
  <si>
    <t>VehicleKm_per_vehicle.km.LU.Tr.Road.Freight.HGV_All</t>
  </si>
  <si>
    <t>VehicleKm_per_vehicle.km.LU.Tr.Road.Freight.HGV_Domestic</t>
  </si>
  <si>
    <t>VehicleKm_per_vehicle.km.LU.Tr.Road.Freight.HGV_International</t>
  </si>
  <si>
    <t>Activity_per_vehicle.pkm.LU.Tr.Road.Passenger</t>
  </si>
  <si>
    <t>Activity_per_vehicle.pkm.LU.Tr.Road.Passenger.P2W</t>
  </si>
  <si>
    <t>Activity_per_vehicle.pkm.LU.Tr.Road.Passenger.Car</t>
  </si>
  <si>
    <t>Activity_per_vehicle.pkm.LU.Tr.Road.Passenger.Car.ICE.Gasoline</t>
  </si>
  <si>
    <t>Activity_per_vehicle.pkm.LU.Tr.Road.Passenger.Car.ICE.Diesel</t>
  </si>
  <si>
    <t>Activity_per_vehicle.pkm.LU.Tr.Road.Passenger.Car.ICE.LPG</t>
  </si>
  <si>
    <t>Activity_per_vehicle.pkm.LU.Tr.Road.Passenger.Car.ICE.NGas</t>
  </si>
  <si>
    <t>Activity_per_vehicle.pkm.LU.Tr.Road.Passenger.Car.PHEV.Gasoline</t>
  </si>
  <si>
    <t>Activity_per_vehicle.pkm.LU.Tr.Road.Passenger.Car.BEV</t>
  </si>
  <si>
    <t>Activity_per_vehicle.pkm.LU.Tr.Road.Passenger.Bus</t>
  </si>
  <si>
    <t>Activity_per_vehicle.pkm.LU.Tr.Road.Passenger.Bus.ICE.Gasoline</t>
  </si>
  <si>
    <t>Activity_per_vehicle.pkm.LU.Tr.Road.Passenger.Bus.ICE.Diesel</t>
  </si>
  <si>
    <t>Activity_per_vehicle.pkm.LU.Tr.Road.Passenger.Bus.ICE.LPG</t>
  </si>
  <si>
    <t>Activity_per_vehicle.pkm.LU.Tr.Road.Passenger.Bus.ICE.NGas</t>
  </si>
  <si>
    <t>Activity_per_vehicle.pkm.LU.Tr.Road.Passenger.Bus.BEV</t>
  </si>
  <si>
    <t>Activity_per_vehicle.tkm.LU.Tr.Road.Freight</t>
  </si>
  <si>
    <t>Activity_per_vehicle.tkm.LU.Tr.Road.Freight.LCV</t>
  </si>
  <si>
    <t>Activity_per_vehicle.tkm.LU.Tr.Road.Freight.LCV.ICE.Gasoline</t>
  </si>
  <si>
    <t>Activity_per_vehicle.tkm.LU.Tr.Road.Freight.LCV.ICE.Diesel</t>
  </si>
  <si>
    <t>Activity_per_vehicle.tkm.LU.Tr.Road.Freight.LCV.ICE.LPG</t>
  </si>
  <si>
    <t>Activity_per_vehicle.tkm.LU.Tr.Road.Freight.LCV.ICE.NGas</t>
  </si>
  <si>
    <t>Activity_per_vehicle.tkm.LU.Tr.Road.Freight.LCV.BEV</t>
  </si>
  <si>
    <t>Activity_per_vehicle.tkm.LU.Tr.Road.Freight.HGV_All</t>
  </si>
  <si>
    <t>Activity_per_vehicle.tkm.LU.Tr.Road.Freight.HGV_Domestic</t>
  </si>
  <si>
    <t>Activity_per_vehicle.tkm.LU.Tr.Road.Freight.HGV_International</t>
  </si>
  <si>
    <t>Road transport / energy consumption - LU - Luxembourg</t>
  </si>
  <si>
    <t>FEC.ktoe.LU.ES.Tr.Road</t>
  </si>
  <si>
    <t>FEC.ktoe.LU.ES.Tr.Road.LPG</t>
  </si>
  <si>
    <t>FEC.ktoe.LU.ES.Tr.Road.Gasoline</t>
  </si>
  <si>
    <t>FEC.ktoe.LU.ES.Tr.Road.Diesel</t>
  </si>
  <si>
    <t>FEC.ktoe.LU.ES.Tr.Road.NG</t>
  </si>
  <si>
    <t>FEC.ktoe.LU.ES.Tr.Road.Biogas</t>
  </si>
  <si>
    <t>FEC.ktoe.LU.ES.Tr.Road.Biogasoline</t>
  </si>
  <si>
    <t>FEC.ktoe.LU.ES.Tr.Road.Biodiesel</t>
  </si>
  <si>
    <t>FEC.ktoe.LU.ES.Tr.Road.OthLiqBio</t>
  </si>
  <si>
    <t>FEC.ktoe.LU.ES.Tr.Road.Elec</t>
  </si>
  <si>
    <t>FEC.ktoe.LU.Tr.Road</t>
  </si>
  <si>
    <t>FEC.ktoe.LU.Tr.Road.Passenger.P2W.Total.Total.Biogasoline</t>
  </si>
  <si>
    <t>FEC.ktoe.LU.Tr.Road.Passenger.Car.ICE.Gasoline</t>
  </si>
  <si>
    <t>FEC.ktoe.LU.Tr.Road.Passenger.Car.ICE.Gasoline.Biogasoline</t>
  </si>
  <si>
    <t>FEC.ktoe.LU.Tr.Road.Passenger.Car.ICE.Diesel</t>
  </si>
  <si>
    <t>FEC.ktoe.LU.Tr.Road.Passenger.Car.ICE.Diesel.BioDiesel_OthLiqBio</t>
  </si>
  <si>
    <t>FEC.ktoe.LU.Tr.Road.Passenger.Car.ICE.LPG</t>
  </si>
  <si>
    <t>FEC.ktoe.LU.Tr.Road.Passenger.Car.ICE.NGas</t>
  </si>
  <si>
    <t>FEC.ktoe.LU.Tr.Road.Passenger.Car.ICE.NGas.Biogas</t>
  </si>
  <si>
    <t>FEC.ktoe.LU.Tr.Road.Passenger.Car.PHEV.Gasoline</t>
  </si>
  <si>
    <t>FEC.ktoe.LU.Tr.Road.Passenger.Car.PHEV.Gasoline.Biogasoline</t>
  </si>
  <si>
    <t>FEC.ktoe.LU.Tr.Road.Passenger.Car.PHEV.Gasoline.Elec</t>
  </si>
  <si>
    <t>FEC.ktoe.LU.Tr.Road.Passenger.Car.BEV</t>
  </si>
  <si>
    <t>FEC.ktoe.LU.Tr.Road.Passenger.Bus.ICE.Gasoline</t>
  </si>
  <si>
    <t>FEC.ktoe.LU.Tr.Road.Passenger.Bus.ICE.Gasoline.Biogasoline</t>
  </si>
  <si>
    <t>FEC.ktoe.LU.Tr.Road.Passenger.Bus.ICE.Diesel</t>
  </si>
  <si>
    <t>FEC.ktoe.LU.Tr.Road.Passenger.Bus.ICE.Diesel.BioDiesel_OthLiqBio</t>
  </si>
  <si>
    <t>FEC.ktoe.LU.Tr.Road.Passenger.Bus.ICE.LPG</t>
  </si>
  <si>
    <t>FEC.ktoe.LU.Tr.Road.Passenger.Bus.ICE.NGas</t>
  </si>
  <si>
    <t>FEC.ktoe.LU.Tr.Road.Passenger.Bus.ICE.NGas.Biogas</t>
  </si>
  <si>
    <t>FEC.ktoe.LU.Tr.Road.Passenger.Bus.BEV</t>
  </si>
  <si>
    <t>FEC.ktoe.LU.Tr.Road.Freight.LCV.ICE.Gasoline</t>
  </si>
  <si>
    <t>FEC.ktoe.LU.Tr.Road.Freight.LCV.ICE.Gasoline.Biogasoline</t>
  </si>
  <si>
    <t>FEC.ktoe.LU.Tr.Road.Freight.LCV.ICE.Diesel</t>
  </si>
  <si>
    <t>FEC.ktoe.LU.Tr.Road.Freight.LCV.ICE.Diesel.BioDiesel_OthLiqBio</t>
  </si>
  <si>
    <t>FEC.ktoe.LU.Tr.Road.Freight.LCV.ICE.LPG</t>
  </si>
  <si>
    <t>FEC.ktoe.LU.Tr.Road.Freight.LCV.ICE.NGas</t>
  </si>
  <si>
    <t>FEC.ktoe.LU.Tr.Road.Freight.LCV.ICE.NGas.Biogas</t>
  </si>
  <si>
    <t>FEC.ktoe.LU.Tr.Road.Freight.LCV.BEV</t>
  </si>
  <si>
    <t>FEC.ktoe.LU.Tr.Road.Freight.HGV_Domestic</t>
  </si>
  <si>
    <t>FEC.ktoe.LU.Tr.Road.Freight.HGV_Domestic.Total.Total.BioDiesel_OthLiqBio</t>
  </si>
  <si>
    <t>FEC.ktoe.LU.Tr.Road.Freight.HGV_International</t>
  </si>
  <si>
    <t>FEC.ktoe.LU.Tr.Road.Freight.HGV_International.Total.Total.BioDiesel_OthLiqBio</t>
  </si>
  <si>
    <t>Eff.kgoe_per_100km.LU.Tr.Road</t>
  </si>
  <si>
    <t>Eff.kgoe_per_100km.LU.Tr.Road.Passenger</t>
  </si>
  <si>
    <t>Eff.kgoe_per_100km.LU.Tr.Road.Passenger.P2W</t>
  </si>
  <si>
    <t>Eff.kgoe_per_100km.LU.Tr.Road.Passenger.Car</t>
  </si>
  <si>
    <t>Eff.kgoe_per_100km.LU.Tr.Road.Passenger.Car.ICE.Gasoline</t>
  </si>
  <si>
    <t>Eff.kgoe_per_100km.LU.Tr.Road.Passenger.Car.ICE.Diesel</t>
  </si>
  <si>
    <t>Eff.kgoe_per_100km.LU.Tr.Road.Passenger.Car.ICE.LPG</t>
  </si>
  <si>
    <t>Eff.kgoe_per_100km.LU.Tr.Road.Passenger.Car.ICE.NGas</t>
  </si>
  <si>
    <t>Eff.kgoe_per_100km.LU.Tr.Road.Passenger.Car.PHEV.Gasoline</t>
  </si>
  <si>
    <t>Eff.kgoe_per_100km.LU.Tr.Road.Passenger.Car.BEV</t>
  </si>
  <si>
    <t>Eff.kgoe_per_100km.LU.Tr.Road.Passenger.Bus</t>
  </si>
  <si>
    <t>Eff.kgoe_per_100km.LU.Tr.Road.Passenger.Bus.ICE.Gasoline</t>
  </si>
  <si>
    <t>Eff.kgoe_per_100km.LU.Tr.Road.Passenger.Bus.ICE.Diesel</t>
  </si>
  <si>
    <t>Eff.kgoe_per_100km.LU.Tr.Road.Passenger.Bus.ICE.LPG</t>
  </si>
  <si>
    <t>Eff.kgoe_per_100km.LU.Tr.Road.Passenger.Bus.ICE.NGas</t>
  </si>
  <si>
    <t>Eff.kgoe_per_100km.LU.Tr.Road.Passenger.Bus.BEV</t>
  </si>
  <si>
    <t>Eff.kgoe_per_100km.LU.Tr.Road.Freight</t>
  </si>
  <si>
    <t>Eff.kgoe_per_100km.LU.Tr.Road.Freight.LCV</t>
  </si>
  <si>
    <t>Eff.kgoe_per_100km.LU.Tr.Road.Freight.LCV.ICE.Gasoline</t>
  </si>
  <si>
    <t>Eff.kgoe_per_100km.LU.Tr.Road.Freight.LCV.ICE.Diesel</t>
  </si>
  <si>
    <t>Eff.kgoe_per_100km.LU.Tr.Road.Freight.LCV.ICE.LPG</t>
  </si>
  <si>
    <t>Eff.kgoe_per_100km.LU.Tr.Road.Freight.LCV.ICE.NGas</t>
  </si>
  <si>
    <t>Eff.kgoe_per_100km.LU.Tr.Road.Freight.LCV.BEV</t>
  </si>
  <si>
    <t>Eff.kgoe_per_100km.LU.Tr.Road.Freight.HGV_All</t>
  </si>
  <si>
    <t>Eff.kgoe_per_100km.LU.Tr.Road.Freight.HGV_Domestic</t>
  </si>
  <si>
    <t>Eff.kgoe_per_100km.LU.Tr.Road.Freight.HGV_International</t>
  </si>
  <si>
    <t>Eff.kgoe_per_kpkm.LU.Tr.Road.Passenger.Car.ICE.Gasoline</t>
  </si>
  <si>
    <t>Eff.kgoe_per_kpkm.LU.Tr.Road.Passenger.Car.ICE.Diesel</t>
  </si>
  <si>
    <t>Eff.kgoe_per_kpkm.LU.Tr.Road.Passenger.Car.ICE.LPG</t>
  </si>
  <si>
    <t>Eff.kgoe_per_kpkm.LU.Tr.Road.Passenger.Car.ICE.NGas</t>
  </si>
  <si>
    <t>Eff.kgoe_per_kpkm.LU.Tr.Road.Passenger.Car.PHEV.Gasoline</t>
  </si>
  <si>
    <t>Eff.kgoe_per_kpkm.LU.Tr.Road.Passenger.Car.BEV</t>
  </si>
  <si>
    <t>Eff.kgoe_per_kpkm.LU.Tr.Road.Passenger.Bus.ICE.Gasoline</t>
  </si>
  <si>
    <t>Eff.kgoe_per_kpkm.LU.Tr.Road.Passenger.Bus.ICE.Diesel</t>
  </si>
  <si>
    <t>Eff.kgoe_per_kpkm.LU.Tr.Road.Passenger.Bus.ICE.LPG</t>
  </si>
  <si>
    <t>Eff.kgoe_per_kpkm.LU.Tr.Road.Passenger.Bus.ICE.NGas</t>
  </si>
  <si>
    <t>Eff.kgoe_per_kpkm.LU.Tr.Road.Passenger.Bus.BEV</t>
  </si>
  <si>
    <t>Eff.kgoe_per_ktkm.LU.Tr.Road.Freight.LCV.ICE.Gasoline</t>
  </si>
  <si>
    <t>Eff.kgoe_per_ktkm.LU.Tr.Road.Freight.LCV.ICE.Diesel</t>
  </si>
  <si>
    <t>Eff.kgoe_per_ktkm.LU.Tr.Road.Freight.LCV.ICE.LPG</t>
  </si>
  <si>
    <t>Eff.kgoe_per_ktkm.LU.Tr.Road.Freight.LCV.ICE.NGas</t>
  </si>
  <si>
    <t>Eff.kgoe_per_ktkm.LU.Tr.Road.Freight.LCV.BEV</t>
  </si>
  <si>
    <t>Eff.kgoe_per_ktkm.LU.Tr.Road.Freight.HGV_Domestic</t>
  </si>
  <si>
    <t>Eff.kgoe_per_ktkm.LU.Tr.Road.Freight.HGV_International</t>
  </si>
  <si>
    <t>FEC_per_vehicle.kgoe.LU.Tr.Road.Passenger.P2W</t>
  </si>
  <si>
    <t>FEC_per_vehicle.kgoe.LU.Tr.Road.Passenger.Car</t>
  </si>
  <si>
    <t>FEC_per_vehicle.kgoe.LU.Tr.Road.Passenger.Car.ICE.Gasoline</t>
  </si>
  <si>
    <t>FEC_per_vehicle.kgoe.LU.Tr.Road.Passenger.Car.ICE.Diesel</t>
  </si>
  <si>
    <t>FEC_per_vehicle.kgoe.LU.Tr.Road.Passenger.Car.ICE.LPG</t>
  </si>
  <si>
    <t>FEC_per_vehicle.kgoe.LU.Tr.Road.Passenger.Car.ICE.NGas</t>
  </si>
  <si>
    <t>FEC_per_vehicle.kgoe.LU.Tr.Road.Passenger.Car.PHEV.Gasoline</t>
  </si>
  <si>
    <t>FEC_per_vehicle.kgoe.LU.Tr.Road.Passenger.Car.BEV</t>
  </si>
  <si>
    <t>FEC_per_vehicle.kgoe.LU.Tr.Road.Passenger.Bus</t>
  </si>
  <si>
    <t>FEC_per_vehicle.kgoe.LU.Tr.Road.Passenger.Bus.ICE.Gasoline</t>
  </si>
  <si>
    <t>FEC_per_vehicle.kgoe.LU.Tr.Road.Passenger.Bus.ICE.Diesel</t>
  </si>
  <si>
    <t>FEC_per_vehicle.kgoe.LU.Tr.Road.Passenger.Bus.ICE.LPG</t>
  </si>
  <si>
    <t>FEC_per_vehicle.kgoe.LU.Tr.Road.Passenger.Bus.ICE.NGas</t>
  </si>
  <si>
    <t>FEC_per_vehicle.kgoe.LU.Tr.Road.Passenger.Bus.BEV</t>
  </si>
  <si>
    <t>FEC_per_vehicle.kgoe.LU.Tr.Road.Freight.LCV</t>
  </si>
  <si>
    <t>FEC_per_vehicle.kgoe.LU.Tr.Road.Freight.LCV.ICE.Gasoline</t>
  </si>
  <si>
    <t>FEC_per_vehicle.kgoe.LU.Tr.Road.Freight.LCV.ICE.Diesel</t>
  </si>
  <si>
    <t>FEC_per_vehicle.kgoe.LU.Tr.Road.Freight.LCV.ICE.LPG</t>
  </si>
  <si>
    <t>FEC_per_vehicle.kgoe.LU.Tr.Road.Freight.LCV.ICE.NGas</t>
  </si>
  <si>
    <t>FEC_per_vehicle.kgoe.LU.Tr.Road.Freight.LCV.BEV</t>
  </si>
  <si>
    <t>FEC_per_vehicle.kgoe.LU.Tr.Road.Freight.HGV_All</t>
  </si>
  <si>
    <t>FEC_per_vehicle.kgoe.LU.Tr.Road.Freight.HGV_Domestic</t>
  </si>
  <si>
    <t>FEC_per_vehicle.kgoe.LU.Tr.Road.Freight.HGV_International</t>
  </si>
  <si>
    <t>Road transport / CO2 emissions - LU - Luxembourg</t>
  </si>
  <si>
    <t>EMI.ktCO2.LU.ES.Tr.Road</t>
  </si>
  <si>
    <t>EMI.ktCO2.LU.ES.Tr.Road.LPG</t>
  </si>
  <si>
    <t>EMI.ktCO2.LU.ES.Tr.Road.Gasoline</t>
  </si>
  <si>
    <t>EMI.ktCO2.LU.ES.Tr.Road.Diesel</t>
  </si>
  <si>
    <t>EMI.ktCO2.LU.ES.Tr.Road.NG</t>
  </si>
  <si>
    <t>EMI.ktCO2.LU.ES.Tr.Road.Biogas</t>
  </si>
  <si>
    <t>EMI.ktCO2.LU.ES.Tr.Road.Biogasoline</t>
  </si>
  <si>
    <t>EMI.ktCO2.LU.ES.Tr.Road.Biodiesel</t>
  </si>
  <si>
    <t>EMI.ktCO2.LU.ES.Tr.Road.OthLiqBio</t>
  </si>
  <si>
    <t>EMI.ktCO2.LU.ES.Tr.Road.Elec</t>
  </si>
  <si>
    <t>EMI.ktCO2.LU.Tr.Road</t>
  </si>
  <si>
    <t>EMI.ktCO2.LU.Tr.Road.Passenger.Car.ICE.Gasoline</t>
  </si>
  <si>
    <t>EMI.ktCO2.LU.Tr.Road.Passenger.Car.ICE.Diesel</t>
  </si>
  <si>
    <t>EMI.ktCO2.LU.Tr.Road.Passenger.Car.ICE.LPG</t>
  </si>
  <si>
    <t>EMI.ktCO2.LU.Tr.Road.Passenger.Car.ICE.NGas</t>
  </si>
  <si>
    <t>EMI.ktCO2.LU.Tr.Road.Passenger.Car.PHEV.Gasoline</t>
  </si>
  <si>
    <t>EMI.ktCO2.LU.Tr.Road.Passenger.Car.BEV</t>
  </si>
  <si>
    <t>EMI.ktCO2.LU.Tr.Road.Passenger.Bus.ICE.Gasoline</t>
  </si>
  <si>
    <t>EMI.ktCO2.LU.Tr.Road.Passenger.Bus.ICE.Diesel</t>
  </si>
  <si>
    <t>EMI.ktCO2.LU.Tr.Road.Passenger.Bus.ICE.LPG</t>
  </si>
  <si>
    <t>EMI.ktCO2.LU.Tr.Road.Passenger.Bus.ICE.NGas</t>
  </si>
  <si>
    <t>EMI.ktCO2.LU.Tr.Road.Passenger.Bus.BEV</t>
  </si>
  <si>
    <t>EMI.ktCO2.LU.Tr.Road.Freight.LCV.ICE.Gasoline</t>
  </si>
  <si>
    <t>EMI.ktCO2.LU.Tr.Road.Freight.LCV.ICE.Diesel</t>
  </si>
  <si>
    <t>EMI.ktCO2.LU.Tr.Road.Freight.LCV.ICE.LPG</t>
  </si>
  <si>
    <t>EMI.ktCO2.LU.Tr.Road.Freight.LCV.ICE.NGas</t>
  </si>
  <si>
    <t>EMI.ktCO2.LU.Tr.Road.Freight.LCV.BEV</t>
  </si>
  <si>
    <t>EMI.ktCO2.LU.Tr.Road.Freight.HGV_Domestic</t>
  </si>
  <si>
    <t>EMI.ktCO2.LU.Tr.Road.Freight.HGV_International</t>
  </si>
  <si>
    <t>EMIint.gCO2_per_km.LU.Tr.Road</t>
  </si>
  <si>
    <t>EMIint.gCO2_per_km.LU.Tr.Road.Passenger</t>
  </si>
  <si>
    <t>EMIint.gCO2_per_km.LU.Tr.Road.Passenger.P2W</t>
  </si>
  <si>
    <t>EMIint.gCO2_per_km.LU.Tr.Road.Passenger.Car</t>
  </si>
  <si>
    <t>EMIint.gCO2_per_km.LU.Tr.Road.Passenger.Car.ICE.Gasoline</t>
  </si>
  <si>
    <t>EMIint.gCO2_per_km.LU.Tr.Road.Passenger.Car.ICE.Diesel</t>
  </si>
  <si>
    <t>EMIint.gCO2_per_km.LU.Tr.Road.Passenger.Car.ICE.LPG</t>
  </si>
  <si>
    <t>EMIint.gCO2_per_km.LU.Tr.Road.Passenger.Car.ICE.NGas</t>
  </si>
  <si>
    <t>EMIint.gCO2_per_km.LU.Tr.Road.Passenger.Car.PHEV.Gasoline</t>
  </si>
  <si>
    <t>EMIint.gCO2_per_km.LU.Tr.Road.Passenger.Car.BEV</t>
  </si>
  <si>
    <t>EMIint.gCO2_per_km.LU.Tr.Road.Passenger.Bus</t>
  </si>
  <si>
    <t>EMIint.gCO2_per_km.LU.Tr.Road.Passenger.Bus.ICE.Gasoline</t>
  </si>
  <si>
    <t>EMIint.gCO2_per_km.LU.Tr.Road.Passenger.Bus.ICE.Diesel</t>
  </si>
  <si>
    <t>EMIint.gCO2_per_km.LU.Tr.Road.Passenger.Bus.ICE.LPG</t>
  </si>
  <si>
    <t>EMIint.gCO2_per_km.LU.Tr.Road.Passenger.Bus.ICE.NGas</t>
  </si>
  <si>
    <t>EMIint.gCO2_per_km.LU.Tr.Road.Passenger.Bus.BEV</t>
  </si>
  <si>
    <t>EMIint.gCO2_per_km.LU.Tr.Road.Freight</t>
  </si>
  <si>
    <t>EMIint.gCO2_per_km.LU.Tr.Road.Freight.LCV</t>
  </si>
  <si>
    <t>EMIint.gCO2_per_km.LU.Tr.Road.Freight.LCV.ICE.Gasoline</t>
  </si>
  <si>
    <t>EMIint.gCO2_per_km.LU.Tr.Road.Freight.LCV.ICE.Diesel</t>
  </si>
  <si>
    <t>EMIint.gCO2_per_km.LU.Tr.Road.Freight.LCV.ICE.LPG</t>
  </si>
  <si>
    <t>EMIint.gCO2_per_km.LU.Tr.Road.Freight.LCV.ICE.NGas</t>
  </si>
  <si>
    <t>EMIint.gCO2_per_km.LU.Tr.Road.Freight.LCV.BEV</t>
  </si>
  <si>
    <t>EMIint.gCO2_per_km.LU.Tr.Road.Freight.HGV_All</t>
  </si>
  <si>
    <t>EMIint.gCO2_per_km.LU.Tr.Road.Freight.HGV_Domestic</t>
  </si>
  <si>
    <t>EMIint.gCO2_per_km.LU.Tr.Road.Freight.HGV_International</t>
  </si>
  <si>
    <t>EMIint.gCO2_per_pkm.LU.Tr.Road.Passenger.Car.ICE.Gasoline</t>
  </si>
  <si>
    <t>EMIint.gCO2_per_pkm.LU.Tr.Road.Passenger.Car.ICE.Diesel</t>
  </si>
  <si>
    <t>EMIint.gCO2_per_pkm.LU.Tr.Road.Passenger.Car.ICE.LPG</t>
  </si>
  <si>
    <t>EMIint.gCO2_per_pkm.LU.Tr.Road.Passenger.Car.ICE.NGas</t>
  </si>
  <si>
    <t>EMIint.gCO2_per_pkm.LU.Tr.Road.Passenger.Car.PHEV.Gasoline</t>
  </si>
  <si>
    <t>EMIint.gCO2_per_pkm.LU.Tr.Road.Passenger.Car.BEV</t>
  </si>
  <si>
    <t>EMIint.gCO2_per_pkm.LU.Tr.Road.Passenger.Bus.ICE.Gasoline</t>
  </si>
  <si>
    <t>EMIint.gCO2_per_pkm.LU.Tr.Road.Passenger.Bus.ICE.Diesel</t>
  </si>
  <si>
    <t>EMIint.gCO2_per_pkm.LU.Tr.Road.Passenger.Bus.ICE.LPG</t>
  </si>
  <si>
    <t>EMIint.gCO2_per_pkm.LU.Tr.Road.Passenger.Bus.ICE.NGas</t>
  </si>
  <si>
    <t>EMIint.gCO2_per_pkm.LU.Tr.Road.Passenger.Bus.BEV</t>
  </si>
  <si>
    <t>EMIint.gCO2_per_tkm.LU.Tr.Road.Freight.LCV.ICE.Gasoline</t>
  </si>
  <si>
    <t>EMIint.gCO2_per_tkm.LU.Tr.Road.Freight.LCV.ICE.Diesel</t>
  </si>
  <si>
    <t>EMIint.gCO2_per_tkm.LU.Tr.Road.Freight.LCV.ICE.LPG</t>
  </si>
  <si>
    <t>EMIint.gCO2_per_tkm.LU.Tr.Road.Freight.LCV.ICE.NGas</t>
  </si>
  <si>
    <t>EMIint.gCO2_per_tkm.LU.Tr.Road.Freight.LCV.BEV</t>
  </si>
  <si>
    <t>EMIint.gCO2_per_tkm.LU.Tr.Road.Freight.HGV_Domestic</t>
  </si>
  <si>
    <t>EMIint.gCO2_per_tkm.LU.Tr.Road.Freight.HGV_International</t>
  </si>
  <si>
    <t>EMI_per_vehicle.kgCO2.LU.Tr.Road.Passenger.P2W</t>
  </si>
  <si>
    <t>EMI_per_vehicle.kgCO2.LU.Tr.Road.Passenger.Car</t>
  </si>
  <si>
    <t>EMI_per_vehicle.kgCO2.LU.Tr.Road.Passenger.Car.ICE.Gasoline</t>
  </si>
  <si>
    <t>EMI_per_vehicle.kgCO2.LU.Tr.Road.Passenger.Car.ICE.Diesel</t>
  </si>
  <si>
    <t>EMI_per_vehicle.kgCO2.LU.Tr.Road.Passenger.Car.ICE.LPG</t>
  </si>
  <si>
    <t>EMI_per_vehicle.kgCO2.LU.Tr.Road.Passenger.Car.ICE.NGas</t>
  </si>
  <si>
    <t>EMI_per_vehicle.kgCO2.LU.Tr.Road.Passenger.Car.PHEV.Gasoline</t>
  </si>
  <si>
    <t>EMI_per_vehicle.kgCO2.LU.Tr.Road.Passenger.Car.BEV</t>
  </si>
  <si>
    <t>EMI_per_vehicle.kgCO2.LU.Tr.Road.Passenger.Bus</t>
  </si>
  <si>
    <t>EMI_per_vehicle.kgCO2.LU.Tr.Road.Passenger.Bus.ICE.Gasoline</t>
  </si>
  <si>
    <t>EMI_per_vehicle.kgCO2.LU.Tr.Road.Passenger.Bus.ICE.Diesel</t>
  </si>
  <si>
    <t>EMI_per_vehicle.kgCO2.LU.Tr.Road.Passenger.Bus.ICE.LPG</t>
  </si>
  <si>
    <t>EMI_per_vehicle.kgCO2.LU.Tr.Road.Passenger.Bus.ICE.NGas</t>
  </si>
  <si>
    <t>EMI_per_vehicle.kgCO2.LU.Tr.Road.Passenger.Bus.BEV</t>
  </si>
  <si>
    <t>EMI_per_vehicle.kgCO2.LU.Tr.Road.Freight.LCV</t>
  </si>
  <si>
    <t>EMI_per_vehicle.kgCO2.LU.Tr.Road.Freight.LCV.ICE.Gasoline</t>
  </si>
  <si>
    <t>EMI_per_vehicle.kgCO2.LU.Tr.Road.Freight.LCV.ICE.Diesel</t>
  </si>
  <si>
    <t>EMI_per_vehicle.kgCO2.LU.Tr.Road.Freight.LCV.ICE.LPG</t>
  </si>
  <si>
    <t>EMI_per_vehicle.kgCO2.LU.Tr.Road.Freight.LCV.ICE.NGas</t>
  </si>
  <si>
    <t>EMI_per_vehicle.kgCO2.LU.Tr.Road.Freight.LCV.BEV</t>
  </si>
  <si>
    <t>EMI_per_vehicle.kgCO2.LU.Tr.Road.Freight.HGV_All</t>
  </si>
  <si>
    <t>EMI_per_vehicle.kgCO2.LU.Tr.Road.Freight.HGV_Domestic</t>
  </si>
  <si>
    <t>EMI_per_vehicle.kgCO2.LU.Tr.Road.Freight.HGV_International</t>
  </si>
  <si>
    <t>Road transport / technologies - LU - Luxembourg</t>
  </si>
  <si>
    <t>Stock.number.LU.Tr.Road.Freight.HGV_all</t>
  </si>
  <si>
    <t>StockVin.number.LU.Tr.Road</t>
  </si>
  <si>
    <t>StockVin.number.LU.Tr.Road.Passenger</t>
  </si>
  <si>
    <t>StockVin.number.LU.Tr.Road.Passenger.P2W</t>
  </si>
  <si>
    <t>StockVin.number.LU.Tr.Road.Passenger.Car</t>
  </si>
  <si>
    <t>StockVin.number.LU.Tr.Road.Passenger.Car.ICE.Gasoline</t>
  </si>
  <si>
    <t>StockVin.number.LU.Tr.Road.Passenger.Car.ICE.Diesel</t>
  </si>
  <si>
    <t>StockVin.number.LU.Tr.Road.Passenger.Car.ICE.LPG</t>
  </si>
  <si>
    <t>StockVin.number.LU.Tr.Road.Passenger.Car.ICE.NGas</t>
  </si>
  <si>
    <t>StockVin.number.LU.Tr.Road.Passenger.Car.PHEV.Gasoline</t>
  </si>
  <si>
    <t>StockVin.number.LU.Tr.Road.Passenger.Car.BEV</t>
  </si>
  <si>
    <t>StockVin.number.LU.Tr.Road.Passenger.Bus</t>
  </si>
  <si>
    <t>StockVin.number.LU.Tr.Road.Passenger.Bus.ICE.Gasoline</t>
  </si>
  <si>
    <t>StockVin.number.LU.Tr.Road.Passenger.Bus.ICE.Diesel</t>
  </si>
  <si>
    <t>StockVin.number.LU.Tr.Road.Passenger.Bus.ICE.LPG</t>
  </si>
  <si>
    <t>StockVin.number.LU.Tr.Road.Passenger.Bus.ICE.NGas</t>
  </si>
  <si>
    <t>StockVin.number.LU.Tr.Road.Passenger.Bus.BEV</t>
  </si>
  <si>
    <t>StockVin.number.LU.Tr.Road.Freight</t>
  </si>
  <si>
    <t>StockVin.number.LU.Tr.Road.Freight.LCV</t>
  </si>
  <si>
    <t>StockVin.number.LU.Tr.Road.Freight.LCV.ICE.Gasoline</t>
  </si>
  <si>
    <t>StockVin.number.LU.Tr.Road.Freight.LCV.ICE.Diesel</t>
  </si>
  <si>
    <t>StockVin.number.LU.Tr.Road.Freight.LCV.ICE.LPG</t>
  </si>
  <si>
    <t>StockVin.number.LU.Tr.Road.Freight.LCV.ICE.NGas</t>
  </si>
  <si>
    <t>StockVin.number.LU.Tr.Road.Freight.LCV.BEV</t>
  </si>
  <si>
    <t>StockVin.number.LU.Tr.Road.Freight.HGV_All</t>
  </si>
  <si>
    <t>StockVin.number.LU.Tr.Road.Freight.HGV_Domestic</t>
  </si>
  <si>
    <t>StockVin.number.LU.Tr.Road.Freight.HGV_International</t>
  </si>
  <si>
    <t>Eff_test_stock.kgoe_per_100km.LU.Tr.Road.Passenger.P2W</t>
  </si>
  <si>
    <t>Eff_test_stock.kgoe_per_100km.LU.Tr.Road.Passenger.Car</t>
  </si>
  <si>
    <t>Eff_test_stock.kgoe_per_100km.LU.Tr.Road.Passenger.Car.ICE.Gasoline</t>
  </si>
  <si>
    <t>Eff_test_stock.kgoe_per_100km.LU.Tr.Road.Passenger.Car.ICE.Diesel</t>
  </si>
  <si>
    <t>Eff_test_stock.kgoe_per_100km.LU.Tr.Road.Passenger.Car.ICE.LPG</t>
  </si>
  <si>
    <t>Eff_test_stock.kgoe_per_100km.LU.Tr.Road.Passenger.Car.ICE.NGas</t>
  </si>
  <si>
    <t>Eff_test_stock.kgoe_per_100km.LU.Tr.Road.Passenger.Car.PHEV.Gasoline</t>
  </si>
  <si>
    <t>Eff_test_stock.kgoe_per_100km.LU.Tr.Road.Passenger.Car.BEV</t>
  </si>
  <si>
    <t>Eff_test_stock.kgoe_per_100km.LU.Tr.Road.Passenger.Bus</t>
  </si>
  <si>
    <t>Eff_test_stock.kgoe_per_100km.LU.Tr.Road.Passenger.Bus.ICE.Gasoline</t>
  </si>
  <si>
    <t>Eff_test_stock.kgoe_per_100km.LU.Tr.Road.Passenger.Bus.ICE.Diesel</t>
  </si>
  <si>
    <t>Eff_test_stock.kgoe_per_100km.LU.Tr.Road.Passenger.Bus.ICE.LPG</t>
  </si>
  <si>
    <t>Eff_test_stock.kgoe_per_100km.LU.Tr.Road.Passenger.Bus.ICE.NGas</t>
  </si>
  <si>
    <t>Eff_test_stock.kgoe_per_100km.LU.Tr.Road.Passenger.Bus.BEV</t>
  </si>
  <si>
    <t>Eff_test_stock.kgoe_per_100km.LU.Tr.Road.Freight.LCV</t>
  </si>
  <si>
    <t>Eff_test_stock.kgoe_per_100km.LU.Tr.Road.Freight.LCV.ICE.Gasoline</t>
  </si>
  <si>
    <t>Eff_test_stock.kgoe_per_100km.LU.Tr.Road.Freight.LCV.ICE.Diesel</t>
  </si>
  <si>
    <t>Eff_test_stock.kgoe_per_100km.LU.Tr.Road.Freight.LCV.ICE.LPG</t>
  </si>
  <si>
    <t>Eff_test_stock.kgoe_per_100km.LU.Tr.Road.Freight.LCV.ICE.NGas</t>
  </si>
  <si>
    <t>Eff_test_stock.kgoe_per_100km.LU.Tr.Road.Freight.LCV.BEV</t>
  </si>
  <si>
    <t>Eff_test_stock.kgoe_per_100km.LU.Tr.Road.Freight.HGV_All</t>
  </si>
  <si>
    <t>Eff_test_stock.kgoe_per_100km.LU.Tr.Road.Freight.HGV_Domestic</t>
  </si>
  <si>
    <t>Eff_test_stock.kgoe_per_100km.LU.Tr.Road.Freight.HGV_International</t>
  </si>
  <si>
    <t>Eff_test_new.kgoe_per_100km.LU.Tr.Road.Passenger.P2W</t>
  </si>
  <si>
    <t>Eff_test_new.kgoe_per_100km.LU.Tr.Road.Passenger.Car</t>
  </si>
  <si>
    <t>Eff_test_new.kgoe_per_100km.LU.Tr.Road.Passenger.Car.ICE.Gasoline</t>
  </si>
  <si>
    <t>Eff_test_new.kgoe_per_100km.LU.Tr.Road.Passenger.Car.ICE.Diesel</t>
  </si>
  <si>
    <t>Eff_test_new.kgoe_per_100km.LU.Tr.Road.Passenger.Car.ICE.LPG</t>
  </si>
  <si>
    <t>Eff_test_new.kgoe_per_100km.LU.Tr.Road.Passenger.Car.ICE.NGas</t>
  </si>
  <si>
    <t>Eff_test_new.kgoe_per_100km.LU.Tr.Road.Passenger.Car.PHEV.Gasoline</t>
  </si>
  <si>
    <t>Eff_test_new.kgoe_per_100km.LU.Tr.Road.Passenger.Car.BEV</t>
  </si>
  <si>
    <t>Eff_test_new.kgoe_per_100km.LU.Tr.Road.Passenger.Bus</t>
  </si>
  <si>
    <t>Eff_test_new.kgoe_per_100km.LU.Tr.Road.Passenger.Bus.ICE.Gasoline</t>
  </si>
  <si>
    <t>Eff_test_new.kgoe_per_100km.LU.Tr.Road.Passenger.Bus.ICE.Diesel</t>
  </si>
  <si>
    <t>Eff_test_new.kgoe_per_100km.LU.Tr.Road.Passenger.Bus.ICE.LPG</t>
  </si>
  <si>
    <t>Eff_test_new.kgoe_per_100km.LU.Tr.Road.Passenger.Bus.ICE.NGas</t>
  </si>
  <si>
    <t>Eff_test_new.kgoe_per_100km.LU.Tr.Road.Passenger.Bus.BEV</t>
  </si>
  <si>
    <t>Eff_test_new.kgoe_per_100km.LU.Tr.Road.Freight.LCV</t>
  </si>
  <si>
    <t>Eff_test_new.kgoe_per_100km.LU.Tr.Road.Freight.LCV.ICE.Gasoline</t>
  </si>
  <si>
    <t>Eff_test_new.kgoe_per_100km.LU.Tr.Road.Freight.LCV.ICE.Diesel</t>
  </si>
  <si>
    <t>Eff_test_new.kgoe_per_100km.LU.Tr.Road.Freight.LCV.ICE.LPG</t>
  </si>
  <si>
    <t>Eff_test_new.kgoe_per_100km.LU.Tr.Road.Freight.LCV.ICE.NGas</t>
  </si>
  <si>
    <t>Eff_test_new.kgoe_per_100km.LU.Tr.Road.Freight.LCV.BEV</t>
  </si>
  <si>
    <t>Eff_test_new.kgoe_per_100km.LU.Tr.Road.Freight.HGV_All</t>
  </si>
  <si>
    <t>Eff_test_new.kgoe_per_100km.LU.Tr.Road.Freight.HGV_Domestic</t>
  </si>
  <si>
    <t>Eff_test_new.kgoe_per_100km.LU.Tr.Road.Freight.HGV_International</t>
  </si>
  <si>
    <t>EMIint_test_stock.gCO2_per_km.LU.Tr.Road.Passenger.P2W</t>
  </si>
  <si>
    <t>EMIint_test_stock.gCO2_per_km.LU.Tr.Road.Passenger.Car</t>
  </si>
  <si>
    <t>EMIint_test_stock.gCO2_per_km.LU.Tr.Road.Passenger.Car.ICE.Gasoline</t>
  </si>
  <si>
    <t>EMIint_test_stock.gCO2_per_km.LU.Tr.Road.Passenger.Car.ICE.Diesel</t>
  </si>
  <si>
    <t>EMIint_test_stock.gCO2_per_km.LU.Tr.Road.Passenger.Car.ICE.LPG</t>
  </si>
  <si>
    <t>EMIint_test_stock.gCO2_per_km.LU.Tr.Road.Passenger.Car.ICE.NGas</t>
  </si>
  <si>
    <t>EMIint_test_stock.gCO2_per_km.LU.Tr.Road.Passenger.Car.PHEV.Gasoline</t>
  </si>
  <si>
    <t>EMIint_test_stock.gCO2_per_km.LU.Tr.Road.Passenger.Car.BEV</t>
  </si>
  <si>
    <t>EMIint_test_stock.gCO2_per_km.LU.Tr.Road.Passenger.Bus</t>
  </si>
  <si>
    <t>EMIint_test_stock.gCO2_per_km.LU.Tr.Road.Passenger.Bus.ICE.Gasoline</t>
  </si>
  <si>
    <t>EMIint_test_stock.gCO2_per_km.LU.Tr.Road.Passenger.Bus.ICE.Diesel</t>
  </si>
  <si>
    <t>EMIint_test_stock.gCO2_per_km.LU.Tr.Road.Passenger.Bus.ICE.LPG</t>
  </si>
  <si>
    <t>EMIint_test_stock.gCO2_per_km.LU.Tr.Road.Passenger.Bus.ICE.NGas</t>
  </si>
  <si>
    <t>EMIint_test_stock.gCO2_per_km.LU.Tr.Road.Passenger.Bus.BEV</t>
  </si>
  <si>
    <t>EMIint_test_stock.gCO2_per_km.LU.Tr.Road.Freight.LCV</t>
  </si>
  <si>
    <t>EMIint_test_stock.gCO2_per_km.LU.Tr.Road.Freight.LCV.ICE.Gasoline</t>
  </si>
  <si>
    <t>EMIint_test_stock.gCO2_per_km.LU.Tr.Road.Freight.LCV.ICE.Diesel</t>
  </si>
  <si>
    <t>EMIint_test_stock.gCO2_per_km.LU.Tr.Road.Freight.LCV.ICE.LPG</t>
  </si>
  <si>
    <t>EMIint_test_stock.gCO2_per_km.LU.Tr.Road.Freight.LCV.ICE.NGas</t>
  </si>
  <si>
    <t>EMIint_test_stock.gCO2_per_km.LU.Tr.Road.Freight.LCV.BEV</t>
  </si>
  <si>
    <t>EMIint_test_stock.gCO2_per_km.LU.Tr.Road.Freight.HGV_All</t>
  </si>
  <si>
    <t>EMIint_test_stock.gCO2_per_km.LU.Tr.Road.Freight.HGV_Domestic</t>
  </si>
  <si>
    <t>EMIint_test_stock.gCO2_per_km.LU.Tr.Road.Freight.HGV_International</t>
  </si>
  <si>
    <t>EMIint_test_new.gCO2_per_km.LU.Tr.Road.Passenger.P2W</t>
  </si>
  <si>
    <t>EMIint_test_new.gCO2_per_km.LU.Tr.Road.Passenger.Car</t>
  </si>
  <si>
    <t>EMIint_test_new.gCO2_per_km.LU.Tr.Road.Passenger.Car.ICE.Gasoline</t>
  </si>
  <si>
    <t>EMIint_test_new.gCO2_per_km.LU.Tr.Road.Passenger.Car.ICE.Diesel</t>
  </si>
  <si>
    <t>EMIint_test_new.gCO2_per_km.LU.Tr.Road.Passenger.Car.ICE.LPG</t>
  </si>
  <si>
    <t>EMIint_test_new.gCO2_per_km.LU.Tr.Road.Passenger.Car.ICE.NGas</t>
  </si>
  <si>
    <t>EMIint_test_new.gCO2_per_km.LU.Tr.Road.Passenger.Car.PHEV.Gasoline</t>
  </si>
  <si>
    <t>EMIint_test_new.gCO2_per_km.LU.Tr.Road.Passenger.Car.BEV</t>
  </si>
  <si>
    <t>EMIint_test_new.gCO2_per_km.LU.Tr.Road.Passenger.Bus</t>
  </si>
  <si>
    <t>EMIint_test_new.gCO2_per_km.LU.Tr.Road.Passenger.Bus.ICE.Gasoline</t>
  </si>
  <si>
    <t>EMIint_test_new.gCO2_per_km.LU.Tr.Road.Passenger.Bus.ICE.Diesel</t>
  </si>
  <si>
    <t>EMIint_test_new.gCO2_per_km.LU.Tr.Road.Passenger.Bus.ICE.LPG</t>
  </si>
  <si>
    <t>EMIint_test_new.gCO2_per_km.LU.Tr.Road.Passenger.Bus.ICE.NGas</t>
  </si>
  <si>
    <t>EMIint_test_new.gCO2_per_km.LU.Tr.Road.Passenger.Bus.BEV</t>
  </si>
  <si>
    <t>EMIint_test_new.gCO2_per_km.LU.Tr.Road.Freight.LCV</t>
  </si>
  <si>
    <t>EMIint_test_new.gCO2_per_km.LU.Tr.Road.Freight.LCV.ICE.Gasoline</t>
  </si>
  <si>
    <t>EMIint_test_new.gCO2_per_km.LU.Tr.Road.Freight.LCV.ICE.Diesel</t>
  </si>
  <si>
    <t>EMIint_test_new.gCO2_per_km.LU.Tr.Road.Freight.LCV.ICE.LPG</t>
  </si>
  <si>
    <t>EMIint_test_new.gCO2_per_km.LU.Tr.Road.Freight.LCV.ICE.NGas</t>
  </si>
  <si>
    <t>EMIint_test_new.gCO2_per_km.LU.Tr.Road.Freight.LCV.BEV</t>
  </si>
  <si>
    <t>EMIint_test_new.gCO2_per_km.LU.Tr.Road.Freight.HGV_All</t>
  </si>
  <si>
    <t>EMIint_test_new.gCO2_per_km.LU.Tr.Road.Freight.HGV_Domestic</t>
  </si>
  <si>
    <t>EMIint_test_new.gCO2_per_km.LU.Tr.Road.Freight.HGV_International</t>
  </si>
  <si>
    <t>FEC.ktoe.LU.MBunk</t>
  </si>
  <si>
    <t>FEC.ktoe.LU.MBunk.IntraEEA</t>
  </si>
  <si>
    <t>FEC.ktoe.LU.MBunk.ExtraEEA</t>
  </si>
  <si>
    <t>EMI.ktCO2.LU.MBunk</t>
  </si>
  <si>
    <t>EMI.ktCO2.LU.MBunk.IntraEEA</t>
  </si>
  <si>
    <t>EMI.ktCO2.LU.MBunk.ExtraEEA</t>
  </si>
  <si>
    <t>International maritime bunkers - LU - Luxembourg</t>
  </si>
  <si>
    <t>VehicleKm.Mkm.LU.MBunk.Freight</t>
  </si>
  <si>
    <t>VehicleKm.Mkm.LU.MBunk.Freight.IntraEEA</t>
  </si>
  <si>
    <t>VehicleKm.Mkm.LU.MBunk.Freight.ExtraEEA</t>
  </si>
  <si>
    <t>Load.t_per_movement.LU.MBunk.Freight</t>
  </si>
  <si>
    <t>Load.t_per_movement.LU.MBunk.Freight.IntraEEA</t>
  </si>
  <si>
    <t>Load.t_per_movement.LU.MBunk.Freight.ExtraEEA</t>
  </si>
  <si>
    <t>International maritime bunkers / energy consumption - LU - Luxembourg</t>
  </si>
  <si>
    <t>FEC.ktoe.LU.ES.MBunk</t>
  </si>
  <si>
    <t>FEC.ktoe.LU.ES.MBunk.IntraEEA</t>
  </si>
  <si>
    <t>FEC.ktoe.LU.ES.MBunk.IntraEEA.Diesel</t>
  </si>
  <si>
    <t>FEC.ktoe.LU.ES.MBunk.IntraEEA.RFO_Other</t>
  </si>
  <si>
    <t>FEC.ktoe.LU.ES.MBunk.IntraEEA.LiqBio</t>
  </si>
  <si>
    <t>FEC.ktoe.LU.ES.MBunk.IntraEEA.NG</t>
  </si>
  <si>
    <t>FEC.ktoe.LU.ES.MBunk.IntraEEA.Biogas</t>
  </si>
  <si>
    <t>FEC.ktoe.LU.ES.MBunk.ExtraEEA</t>
  </si>
  <si>
    <t>FEC.ktoe.LU.ES.MBunk.ExtraEEA.Diesel</t>
  </si>
  <si>
    <t>FEC.ktoe.LU.ES.MBunk.ExtraEEA.RFO_Other</t>
  </si>
  <si>
    <t>FEC.ktoe.LU.ES.MBunk.ExtraEEA.LiqBio</t>
  </si>
  <si>
    <t>FEC.ktoe.LU.ES.MBunk.ExtraEEA.NG</t>
  </si>
  <si>
    <t>FEC.ktoe.LU.ES.MBunk.ExtraEEA.Biogas</t>
  </si>
  <si>
    <t>Eff.kgoe_per_100km.LU.MBunk.Freight</t>
  </si>
  <si>
    <t>Eff.kgoe_per_100km.LU.MBunk.Freight.IntraEEA</t>
  </si>
  <si>
    <t>Eff.kgoe_per_100km.LU.MBunk.Freight.ExtraEEA</t>
  </si>
  <si>
    <t>International maritime bunkers / CO2 emissions - LU - Luxembourg</t>
  </si>
  <si>
    <t>EMI.ktCO2.LU.ES.MBunk</t>
  </si>
  <si>
    <t>EMI.ktCO2.LU.ES.MBunk.IntraEEA</t>
  </si>
  <si>
    <t>EMI.ktCO2.LU.ES.MBunk.ExtraEEA</t>
  </si>
  <si>
    <t>EMIint.gCO2_per_km.LU.MBunk.Freight</t>
  </si>
  <si>
    <t>EMIint.gCO2_per_km.LU.MBunk.Freight.IntraEEA</t>
  </si>
  <si>
    <t>EMIint.gCO2_per_km.LU.MBunk.Freight.ExtraEEA</t>
  </si>
  <si>
    <t>FEC.ktoe.LU.Tr.DNavi</t>
  </si>
  <si>
    <t>FEC.ktoe.LU.Tr.Dnavi.DCS</t>
  </si>
  <si>
    <t>FEC.ktoe.LU.Tr.Dnavi.IWW</t>
  </si>
  <si>
    <t>EMI.ktCO2.LU.Tr.DNavi</t>
  </si>
  <si>
    <t>EMI.ktCO2.LU.Tr.Dnavi.DCS</t>
  </si>
  <si>
    <t>EMI.ktCO2.LU.Tr.Dnavi.IWW</t>
  </si>
  <si>
    <t>Domestic navigation - LU - Luxembourg</t>
  </si>
  <si>
    <t>VehicleKm.Mkm.LU.Tr.DNavi.Freight</t>
  </si>
  <si>
    <t>VehicleKm.Mkm.LU.Tr.DNavi.Freight.DCS</t>
  </si>
  <si>
    <t>VehicleKm.Mkm.LU.Tr.DNavi.Freight.IWW</t>
  </si>
  <si>
    <t>Load.t_per_movement.LU.Tr.DNavi.Freight</t>
  </si>
  <si>
    <t>Load.t_per_movement.LU.Tr.DNavi.Freight.DCS</t>
  </si>
  <si>
    <t>Load.t_per_movement.LU.Tr.DNavi.Freight.IWW</t>
  </si>
  <si>
    <t>Domestic navigation / energy consumption - LU - Luxembourg</t>
  </si>
  <si>
    <t>FEC.ktoe.LU.ES.Tr.DNavi</t>
  </si>
  <si>
    <t>FEC.ktoe.LU.ES.Tr.DNavi.DCS</t>
  </si>
  <si>
    <t>FEC.ktoe.LU.ES.Tr.DNavi.DCS.Diesel</t>
  </si>
  <si>
    <t>FEC.ktoe.LU.ES.Tr.DNavi.DCS.RFO_Other</t>
  </si>
  <si>
    <t>FEC.ktoe.LU.ES.Tr.DNavi.DCS.LiqBio</t>
  </si>
  <si>
    <t>FEC.ktoe.LU.ES.Tr.DNavi.DCS.NG</t>
  </si>
  <si>
    <t>FEC.ktoe.LU.ES.Tr.DNavi.DCS.Biogas</t>
  </si>
  <si>
    <t>FEC.ktoe.LU.ES.Tr.DNavi.IWW</t>
  </si>
  <si>
    <t>FEC.ktoe.LU.ES.Tr.DNavi.IWW.Diesel</t>
  </si>
  <si>
    <t>FEC.ktoe.LU.ES.Tr.DNavi.IWW.RFO_Other</t>
  </si>
  <si>
    <t>FEC.ktoe.LU.ES.Tr.DNavi.IWW.LiqBio</t>
  </si>
  <si>
    <t>FEC.ktoe.LU.ES.Tr.DNavi.IWW.NG</t>
  </si>
  <si>
    <t>FEC.ktoe.LU.ES.Tr.DNavi.IWW.Biogas</t>
  </si>
  <si>
    <t>Eff.kgoe_per_100km.LU.Tr.DNavi.Freight</t>
  </si>
  <si>
    <t>Eff.kgoe_per_100km.LU.Tr.DNavi.Freight.DCS</t>
  </si>
  <si>
    <t>Eff.kgoe_per_100km.LU.Tr.DNavi.Freight.IWW</t>
  </si>
  <si>
    <t>Domestic navigation / CO2 emissions - LU - Luxembourg</t>
  </si>
  <si>
    <t>EMI.ktCO2.LU.ES.Tr.DNavi</t>
  </si>
  <si>
    <t>EMI.ktCO2.LU.ES.Tr.DNavi.DCS</t>
  </si>
  <si>
    <t>EMI.ktCO2.LU.ES.Tr.DNavi.IWW</t>
  </si>
  <si>
    <t>EMIint.gCO2_per_km.LU.Tr.DNavi.Freight</t>
  </si>
  <si>
    <t>EMIint.gCO2_per_km.LU.Tr.DNavi.Freight.DCS</t>
  </si>
  <si>
    <t>EMIint.gCO2_per_km.LU.Tr.DNavi.Freight.IWW</t>
  </si>
  <si>
    <t>Rail, metro and tram - LU - Luxembourg</t>
  </si>
  <si>
    <t>Activity.Mpkm.LU.Tr.Rail.Passenger.CPT.Diesel</t>
  </si>
  <si>
    <t>Activity.Mpkm.LU.Tr.Rail.Passenger.CPT.Elc</t>
  </si>
  <si>
    <t>Activity.Mtkm.LU.Tr.Rail.Freight.Diesel</t>
  </si>
  <si>
    <t>Activity.Mtkm.LU.Tr.Rail.Freight.Elc</t>
  </si>
  <si>
    <t>VehicleKm.Mkm.LU.Tr.Rail</t>
  </si>
  <si>
    <t>VehicleKm.Mkm.LU.Tr.Rail.Passenger</t>
  </si>
  <si>
    <t>VehicleKm.Mkm.LU.Tr.Rail.Passenger.MTU</t>
  </si>
  <si>
    <t>VehicleKm.Mkm.LU.Tr.Rail.Passenger.CPT</t>
  </si>
  <si>
    <t>VehicleKm.Mkm.LU.Tr.Rail.Passenger.CPT.Diesel</t>
  </si>
  <si>
    <t>VehicleKm.Mkm.LU.Tr.Rail.Passenger.CPT.Elc</t>
  </si>
  <si>
    <t>VehicleKm.Mkm.LU.Tr.Rail.Passenger.HST</t>
  </si>
  <si>
    <t>VehicleKm.Mkm.LU.Tr.Rail.Freight</t>
  </si>
  <si>
    <t>VehicleKm.Mkm.LU.Tr.Rail.Freight.Diesel</t>
  </si>
  <si>
    <t>VehicleKm.Mkm.LU.Tr.Rail.Freight.Elc</t>
  </si>
  <si>
    <t>Stock.number.LU.Tr.Rail</t>
  </si>
  <si>
    <t>Stock.number.LU.Tr.Rail.Passenger</t>
  </si>
  <si>
    <t>Stock.number.LU.Tr.Rail.Passenger.MTU</t>
  </si>
  <si>
    <t>Stock.number.LU.Tr.Rail.Passenger.CPT</t>
  </si>
  <si>
    <t>Stock.number.LU.Tr.Rail.Passenger.CPT.Diesel</t>
  </si>
  <si>
    <t>Stock.number.LU.Tr.Rail.Passenger.CPT.Elc</t>
  </si>
  <si>
    <t>Stock.number.LU.Tr.Rail.Passenger.HST</t>
  </si>
  <si>
    <t>Stock.number.LU.Tr.Rail.Freight</t>
  </si>
  <si>
    <t>Stock.number.LU.Tr.Rail.Freight.Diesel</t>
  </si>
  <si>
    <t>Stock.number.LU.Tr.Rail.Freight.Elc</t>
  </si>
  <si>
    <t>StockNew.number.LU.Tr.Rail</t>
  </si>
  <si>
    <t>StockNew.number.LU.Tr.Rail.Passenger</t>
  </si>
  <si>
    <t>StockNew.number.LU.Tr.Rail.Passenger.MTU</t>
  </si>
  <si>
    <t>StockNew.number.LU.Tr.Rail.Passenger.CPT</t>
  </si>
  <si>
    <t>StockNew.number.LU.Tr.Rail.Passenger.CPT.Diesel</t>
  </si>
  <si>
    <t>StockNew.number.LU.Tr.Rail.Passenger.CPT.Elc</t>
  </si>
  <si>
    <t>StockNew.number.LU.Tr.Rail.Passenger.HST</t>
  </si>
  <si>
    <t>StockNew.number.LU.Tr.Rail.Freight</t>
  </si>
  <si>
    <t>StockNew.number.LU.Tr.Rail.Freight.Diesel</t>
  </si>
  <si>
    <t>StockNew.number.LU.Tr.Rail.Freight.Elc</t>
  </si>
  <si>
    <t>Load.passenger_per_movement.LU.Tr.Rail.Passenger</t>
  </si>
  <si>
    <t>Load.passenger_per_movement.LU.Tr.Rail.Passenger.MTU</t>
  </si>
  <si>
    <t>Load.passenger_per_movement.LU.Tr.Rail.Passenger.CPT</t>
  </si>
  <si>
    <t>Load.passenger_per_movement.LU.Tr.Rail.Passenger.CPT.Diesel</t>
  </si>
  <si>
    <t>Load.passenger_per_movement.LU.Tr.Rail.Passenger.CPT.Elc</t>
  </si>
  <si>
    <t>Load.passenger_per_movement.LU.Tr.Rail.Passenger.HST</t>
  </si>
  <si>
    <t>Load.t_per_movement.LU.Tr.Rail.Freight</t>
  </si>
  <si>
    <t>Load.t_per_movement.LU.Tr.Rail.Freight.Diesel</t>
  </si>
  <si>
    <t>Load.t_per_movement.LU.Tr.Rail.Freight.Elc</t>
  </si>
  <si>
    <t>TrCap.seats.LU.Tr.Rail.Passenger</t>
  </si>
  <si>
    <t>TrCap.seats.LU.Tr.Rail.Passenger.MTU</t>
  </si>
  <si>
    <t>TrCap.seats.LU.Tr.Rail.Passenger.CPT</t>
  </si>
  <si>
    <t>TrCap.seats.LU.Tr.Rail.Passenger.CPT.Diesel</t>
  </si>
  <si>
    <t>TrCap.seats.LU.Tr.Rail.Passenger.CPT.Elc</t>
  </si>
  <si>
    <t>TrCap.seats.LU.Tr.Rail.Passenger.HST</t>
  </si>
  <si>
    <t>TrCap.t.LU.Tr.Rail.Freight</t>
  </si>
  <si>
    <t>TrCap.t.LU.Tr.Rail.Freight.Diesel</t>
  </si>
  <si>
    <t>TrCap.t.LU.Tr.Rail.Freight.Elc</t>
  </si>
  <si>
    <t>VehicleKm_per_vehicle.km.LU.Tr.Rail</t>
  </si>
  <si>
    <t>VehicleKm_per_vehicle.km.LU.Tr.Rail.Passenger</t>
  </si>
  <si>
    <t>VehicleKm_per_vehicle.km.LU.Tr.Rail.Passenger.MTU</t>
  </si>
  <si>
    <t>VehicleKm_per_vehicle.km.LU.Tr.Rail.Passenger.CPT</t>
  </si>
  <si>
    <t>VehicleKm_per_vehicle.km.LU.Tr.Rail.Passenger.CPT.Diesel</t>
  </si>
  <si>
    <t>VehicleKm_per_vehicle.km.LU.Tr.Rail.Passenger.CPT.Elc</t>
  </si>
  <si>
    <t>VehicleKm_per_vehicle.km.LU.Tr.Rail.Passenger.HST</t>
  </si>
  <si>
    <t>VehicleKm_per_vehicle.km.LU.Tr.Rail.Freight</t>
  </si>
  <si>
    <t>VehicleKm_per_vehicle.km.LU.Tr.Rail.Freight.Diesel</t>
  </si>
  <si>
    <t>VehicleKm_per_vehicle.km.LU.Tr.Rail.Freight.Elc</t>
  </si>
  <si>
    <t>Activity_per_vehicle.pkm.LU.Tr.Rail.Passenger</t>
  </si>
  <si>
    <t>Activity_per_vehicle.pkm.LU.Tr.Rail.Passenger.MTU</t>
  </si>
  <si>
    <t>Activity_per_vehicle.pkm.LU.Tr.Rail.Passenger.CPT</t>
  </si>
  <si>
    <t>Activity_per_vehicle.pkm.LU.Tr.Rail.Passenger.CPT.Diesel</t>
  </si>
  <si>
    <t>Activity_per_vehicle.pkm.LU.Tr.Rail.Passenger.CPT.Elc</t>
  </si>
  <si>
    <t>Activity_per_vehicle.pkm.LU.Tr.Rail.Passenger.HST</t>
  </si>
  <si>
    <t>Activity_per_vehicle.tkm.LU.Tr.Rail.Freight</t>
  </si>
  <si>
    <t>Activity_per_vehicle.tkm.LU.Tr.Rail.Freight.Diesel</t>
  </si>
  <si>
    <t>Activity_per_vehicle.tkm.LU.Tr.Rail.Freight.Elc</t>
  </si>
  <si>
    <t>Rail, metro and tram / energy consumption - LU - Luxembourg</t>
  </si>
  <si>
    <t>FEC.ktoe.LU.ES.Tr.Rail</t>
  </si>
  <si>
    <t>FEC.ktoe.LU.ES.Tr.Rail.Diesel</t>
  </si>
  <si>
    <t>FEC.ktoe.LU.ES.Tr.Rail.LiqBio</t>
  </si>
  <si>
    <t>FEC.ktoe.LU.ES.Tr.Rail.Elec</t>
  </si>
  <si>
    <t>FEC.ktoe.LU.Tr.Rail</t>
  </si>
  <si>
    <t>FEC.ktoe.LU.Tr.Rail.Passenger.CPT.Diesel</t>
  </si>
  <si>
    <t>FEC.ktoe.LU.Tr.Rail.Passenger.CPT.Elc</t>
  </si>
  <si>
    <t>FEC.ktoe.LU.Tr.Rail.Freight.Diesel</t>
  </si>
  <si>
    <t>FEC.ktoe.LU.Tr.Rail.Freight.Elc</t>
  </si>
  <si>
    <t>Eff.kgoe_per_100km.LU.Tr.Rail</t>
  </si>
  <si>
    <t>Eff.kgoe_per_100km.LU.Tr.Rail.Passenger</t>
  </si>
  <si>
    <t>Eff.kgoe_per_100km.LU.Tr.Rail.Passenger.MTU</t>
  </si>
  <si>
    <t>Eff.kgoe_per_100km.LU.Tr.Rail.Passenger.CPT</t>
  </si>
  <si>
    <t>Eff.kgoe_per_100km.LU.Tr.Rail.Passenger.CPT.Diesel</t>
  </si>
  <si>
    <t>Eff.kgoe_per_100km.LU.Tr.Rail.Passenger.CPT.Elc</t>
  </si>
  <si>
    <t>Eff.kgoe_per_100km.LU.Tr.Rail.Passenger.HST</t>
  </si>
  <si>
    <t>Eff.kgoe_per_100km.LU.Tr.Rail.Freight</t>
  </si>
  <si>
    <t>Eff.kgoe_per_100km.LU.Tr.Rail.Freight.Diesel</t>
  </si>
  <si>
    <t>Eff.kgoe_per_100km.LU.Tr.Rail.Freight.Elc</t>
  </si>
  <si>
    <t>Eff.kgoe_per_kpkm.LU.Tr.Rail.Passenger.CPT.Diesel</t>
  </si>
  <si>
    <t>Eff.kgoe_per_kpkm.LU.Tr.Rail.Passenger.CPT.Elc</t>
  </si>
  <si>
    <t>Eff.kgoe_per_ktkm.LU.Tr.Rail.Freight.Diesel</t>
  </si>
  <si>
    <t>Eff.kgoe_per_ktkm.LU.Tr.Rail.Freight.Elc</t>
  </si>
  <si>
    <t>FEC_per_vehicle.kgoe.LU.Tr.Rail</t>
  </si>
  <si>
    <t>FEC_per_vehicle.kgoe.LU.Tr.Rail.Passenger</t>
  </si>
  <si>
    <t>FEC_per_vehicle.kgoe.LU.Tr.Rail.Passenger.MTU</t>
  </si>
  <si>
    <t>FEC_per_vehicle.kgoe.LU.Tr.Rail.Passenger.CPT</t>
  </si>
  <si>
    <t>FEC_per_vehicle.kgoe.LU.Tr.Rail.Passenger.CPT.Diesel</t>
  </si>
  <si>
    <t>FEC_per_vehicle.kgoe.LU.Tr.Rail.Passenger.CPT.Elc</t>
  </si>
  <si>
    <t>FEC_per_vehicle.kgoe.LU.Tr.Rail.Passenger.HST</t>
  </si>
  <si>
    <t>FEC_per_vehicle.kgoe.LU.Tr.Rail.Freight</t>
  </si>
  <si>
    <t>FEC_per_vehicle.kgoe.LU.Tr.Rail.Freight.Diesel</t>
  </si>
  <si>
    <t>FEC_per_vehicle.kgoe.LU.Tr.Rail.Freight.Elc</t>
  </si>
  <si>
    <t>Rail, metro and tram / CO2 emissions - LU - Luxembourg</t>
  </si>
  <si>
    <t>EMI.ktCO2.LU.ES.Tr.Rail</t>
  </si>
  <si>
    <t>EMI.ktCO2.LU.ES.Tr.Rail.Diesel</t>
  </si>
  <si>
    <t>EMI.ktCO2.LU.ES.Tr.Rail.Elec</t>
  </si>
  <si>
    <t>EMI.ktCO2.LU.Tr.Rail</t>
  </si>
  <si>
    <t>EMI.ktCO2.LU.Tr.Rail.Passenger.CPT.Diesel</t>
  </si>
  <si>
    <t>EMI.ktCO2.LU.Tr.Rail.Passenger.CPT.Elc</t>
  </si>
  <si>
    <t>EMI.ktCO2.LU.Tr.Rail.Freight.Diesel</t>
  </si>
  <si>
    <t>EMI.ktCO2.LU.Tr.Rail.Freight.Elc</t>
  </si>
  <si>
    <t>EMIint.gCO2_per_km.LU.Tr.Rail</t>
  </si>
  <si>
    <t>EMIint.gCO2_per_km.LU.Tr.Rail.Passenger</t>
  </si>
  <si>
    <t>EMIint.gCO2_per_km.LU.Tr.Rail.Passenger.MTU</t>
  </si>
  <si>
    <t>EMIint.gCO2_per_km.LU.Tr.Rail.Passenger.CPT</t>
  </si>
  <si>
    <t>EMIint.gCO2_per_km.LU.Tr.Rail.Passenger.CPT.Diesel</t>
  </si>
  <si>
    <t>EMIint.gCO2_per_km.LU.Tr.Rail.Passenger.CPT.Elc</t>
  </si>
  <si>
    <t>EMIint.gCO2_per_km.LU.Tr.Rail.Passenger.HST</t>
  </si>
  <si>
    <t>EMIint.gCO2_per_km.LU.Tr.Rail.Freight</t>
  </si>
  <si>
    <t>EMIint.gCO2_per_km.LU.Tr.Rail.Freight.Diesel</t>
  </si>
  <si>
    <t>EMIint.gCO2_per_km.LU.Tr.Rail.Freight.Elc</t>
  </si>
  <si>
    <t>EMIint.gCO2_per_pkm.LU.Tr.Rail.Passenger.CPT.Diesel</t>
  </si>
  <si>
    <t>EMIint.gCO2_per_pkm.LU.Tr.Rail.Passenger.CPT.Elc</t>
  </si>
  <si>
    <t>EMIint.gCO2_per_tkm.LU.Tr.Rail.Freight.Diesel</t>
  </si>
  <si>
    <t>EMIint.gCO2_per_tkm.LU.Tr.Rail.Freight.Elc</t>
  </si>
  <si>
    <t>EMI_per_vehicle.tCO2.LU.Tr.Rail</t>
  </si>
  <si>
    <t>EMI_per_vehicle.tCO2.LU.Tr.Rail.Passenger</t>
  </si>
  <si>
    <t>EMI_per_vehicle.tCO2.LU.Tr.Rail.Passenger.MTU</t>
  </si>
  <si>
    <t>EMI_per_vehicle.tCO2.LU.Tr.Rail.Passenger.CPT</t>
  </si>
  <si>
    <t>EMI_per_vehicle.tCO2.LU.Tr.Rail.Passenger.CPT.Diesel</t>
  </si>
  <si>
    <t>EMI_per_vehicle.tCO2.LU.Tr.Rail.Passenger.CPT.Elc</t>
  </si>
  <si>
    <t>EMI_per_vehicle.tCO2.LU.Tr.Rail.Passenger.HST</t>
  </si>
  <si>
    <t>EMI_per_vehicle.tCO2.LU.Tr.Rail.Freight</t>
  </si>
  <si>
    <t>EMI_per_vehicle.tCO2.LU.Tr.Rail.Freight.Diesel</t>
  </si>
  <si>
    <t>EMI_per_vehicle.tCO2.LU.Tr.Rail.Freight.Elc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</si>
</sst>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45967.477407407408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7343.977168667062</v>
      </c>
      <c r="C4" s="28">
        <f t="shared" si="0"/>
        <v>7673.529205624146</v>
      </c>
      <c r="D4" s="28">
        <f t="shared" si="0"/>
        <v>7831.1455989287806</v>
      </c>
      <c r="E4" s="28">
        <f t="shared" si="0"/>
        <v>7976.1993636474026</v>
      </c>
      <c r="F4" s="28">
        <f t="shared" si="0"/>
        <v>8174.21008772811</v>
      </c>
      <c r="G4" s="28">
        <f t="shared" si="0"/>
        <v>8410.9409736551333</v>
      </c>
      <c r="H4" s="28">
        <f t="shared" si="0"/>
        <v>8637.0485873473699</v>
      </c>
      <c r="I4" s="28">
        <f t="shared" si="0"/>
        <v>8818.3508741895694</v>
      </c>
      <c r="J4" s="28">
        <f t="shared" si="0"/>
        <v>9040.5698567010968</v>
      </c>
      <c r="K4" s="28">
        <f t="shared" si="0"/>
        <v>8967.4174719624698</v>
      </c>
      <c r="L4" s="28">
        <f t="shared" si="0"/>
        <v>8902.8959250887565</v>
      </c>
      <c r="M4" s="28">
        <f t="shared" si="0"/>
        <v>9054.5138429803974</v>
      </c>
      <c r="N4" s="28">
        <f t="shared" si="0"/>
        <v>9208.0914098228695</v>
      </c>
      <c r="O4" s="28">
        <f t="shared" si="0"/>
        <v>9511.0944873077751</v>
      </c>
      <c r="P4" s="28">
        <f t="shared" si="0"/>
        <v>10000.315221756589</v>
      </c>
      <c r="Q4" s="28">
        <f t="shared" si="0"/>
        <v>10423.783128399557</v>
      </c>
      <c r="R4" s="28">
        <f t="shared" ref="R4:V4" si="1">R5+R9+R13</f>
        <v>10757.585088601985</v>
      </c>
      <c r="S4" s="28">
        <f t="shared" si="1"/>
        <v>11359.549225609253</v>
      </c>
      <c r="T4" s="28">
        <f t="shared" si="1"/>
        <v>11895.701060169104</v>
      </c>
      <c r="U4" s="28">
        <f t="shared" si="1"/>
        <v>12418.943015270499</v>
      </c>
      <c r="V4" s="28">
        <f t="shared" si="1"/>
        <v>9249.0336242554058</v>
      </c>
      <c r="W4" s="28">
        <f t="shared" ref="W4:Y4" si="2">W5+W9+W13</f>
        <v>10464.159201623723</v>
      </c>
      <c r="X4" s="28">
        <f t="shared" si="2"/>
        <v>12468.503077326492</v>
      </c>
      <c r="Y4" s="28">
        <f t="shared" si="2"/>
        <v>13463.190831573653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6255.6317222861408</v>
      </c>
      <c r="C5" s="137">
        <f t="shared" si="3"/>
        <v>6497.2440064611601</v>
      </c>
      <c r="D5" s="137">
        <f t="shared" si="3"/>
        <v>6660.0928900370072</v>
      </c>
      <c r="E5" s="137">
        <f t="shared" si="3"/>
        <v>6781.1754311188497</v>
      </c>
      <c r="F5" s="137">
        <f t="shared" si="3"/>
        <v>6914.1507940843348</v>
      </c>
      <c r="G5" s="137">
        <f t="shared" si="3"/>
        <v>7145.8472926373061</v>
      </c>
      <c r="H5" s="137">
        <f t="shared" si="3"/>
        <v>7366.8234755473977</v>
      </c>
      <c r="I5" s="137">
        <f t="shared" si="3"/>
        <v>7508.65457210158</v>
      </c>
      <c r="J5" s="137">
        <f t="shared" si="3"/>
        <v>7659.2430707339299</v>
      </c>
      <c r="K5" s="137">
        <f t="shared" si="3"/>
        <v>7656.9699239061711</v>
      </c>
      <c r="L5" s="137">
        <f t="shared" si="3"/>
        <v>7492.9961775990878</v>
      </c>
      <c r="M5" s="137">
        <f t="shared" si="3"/>
        <v>7633.9489954451537</v>
      </c>
      <c r="N5" s="137">
        <f t="shared" si="3"/>
        <v>7795.3654463655857</v>
      </c>
      <c r="O5" s="137">
        <f t="shared" si="3"/>
        <v>7936.7392246725476</v>
      </c>
      <c r="P5" s="137">
        <f t="shared" si="3"/>
        <v>8232.2041501387866</v>
      </c>
      <c r="Q5" s="137">
        <f t="shared" si="3"/>
        <v>8479.3337490367812</v>
      </c>
      <c r="R5" s="137">
        <f t="shared" ref="R5:V5" si="4">R6+R7+R8</f>
        <v>8703.8419914134101</v>
      </c>
      <c r="S5" s="137">
        <f t="shared" si="4"/>
        <v>8884.3187442664748</v>
      </c>
      <c r="T5" s="137">
        <f t="shared" si="4"/>
        <v>9065.7808838035435</v>
      </c>
      <c r="U5" s="137">
        <f t="shared" si="4"/>
        <v>9291.1239496617327</v>
      </c>
      <c r="V5" s="137">
        <f t="shared" si="4"/>
        <v>7966.6745682909341</v>
      </c>
      <c r="W5" s="137">
        <f t="shared" ref="W5:Y5" si="5">W6+W7+W8</f>
        <v>8506.9236858083495</v>
      </c>
      <c r="X5" s="137">
        <f t="shared" si="5"/>
        <v>9220.7573136326482</v>
      </c>
      <c r="Y5" s="137">
        <f t="shared" si="5"/>
        <v>9756.0173939554479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35.631722286139627</v>
      </c>
      <c r="C6" s="102">
        <f>TrRoad_act!C$5</f>
        <v>37.244006461159671</v>
      </c>
      <c r="D6" s="102">
        <f>TrRoad_act!D$5</f>
        <v>40.092890037007464</v>
      </c>
      <c r="E6" s="102">
        <f>TrRoad_act!E$5</f>
        <v>41.175431118849801</v>
      </c>
      <c r="F6" s="102">
        <f>TrRoad_act!F$5</f>
        <v>44.150794084334599</v>
      </c>
      <c r="G6" s="102">
        <f>TrRoad_act!G$5</f>
        <v>45.847292637306907</v>
      </c>
      <c r="H6" s="102">
        <f>TrRoad_act!H$5</f>
        <v>46.823475547398445</v>
      </c>
      <c r="I6" s="102">
        <f>TrRoad_act!I$5</f>
        <v>48.65457210158096</v>
      </c>
      <c r="J6" s="102">
        <f>TrRoad_act!J$5</f>
        <v>49.243070733930274</v>
      </c>
      <c r="K6" s="102">
        <f>TrRoad_act!K$5</f>
        <v>51.097235672041158</v>
      </c>
      <c r="L6" s="102">
        <f>TrRoad_act!L$5</f>
        <v>52.996177599086657</v>
      </c>
      <c r="M6" s="102">
        <f>TrRoad_act!M$5</f>
        <v>54.560925540947771</v>
      </c>
      <c r="N6" s="102">
        <f>TrRoad_act!N$5</f>
        <v>57.320509224181158</v>
      </c>
      <c r="O6" s="102">
        <f>TrRoad_act!O$5</f>
        <v>59.34978016060294</v>
      </c>
      <c r="P6" s="102">
        <f>TrRoad_act!P$5</f>
        <v>62.26182874554317</v>
      </c>
      <c r="Q6" s="102">
        <f>TrRoad_act!Q$5</f>
        <v>65.146087920549377</v>
      </c>
      <c r="R6" s="102">
        <f>TrRoad_act!R$5</f>
        <v>68.433834711115381</v>
      </c>
      <c r="S6" s="102">
        <f>TrRoad_act!S$5</f>
        <v>64.889085961526646</v>
      </c>
      <c r="T6" s="102">
        <f>TrRoad_act!T$5</f>
        <v>61.698311972207932</v>
      </c>
      <c r="U6" s="102">
        <f>TrRoad_act!U$5</f>
        <v>65.295990022222711</v>
      </c>
      <c r="V6" s="102">
        <f>TrRoad_act!V$5</f>
        <v>58.855850582187664</v>
      </c>
      <c r="W6" s="102">
        <f>TrRoad_act!W$5</f>
        <v>61.555694768589866</v>
      </c>
      <c r="X6" s="102">
        <f>TrRoad_act!X$5</f>
        <v>62.523121376493776</v>
      </c>
      <c r="Y6" s="102">
        <f>TrRoad_act!Y$5</f>
        <v>67.656372090851889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5600.0000000000009</v>
      </c>
      <c r="C7" s="102">
        <f>TrRoad_act!C$6</f>
        <v>5800</v>
      </c>
      <c r="D7" s="102">
        <f>TrRoad_act!D$6</f>
        <v>5900</v>
      </c>
      <c r="E7" s="102">
        <f>TrRoad_act!E$6</f>
        <v>6000</v>
      </c>
      <c r="F7" s="102">
        <f>TrRoad_act!F$6</f>
        <v>6100</v>
      </c>
      <c r="G7" s="102">
        <f>TrRoad_act!G$6</f>
        <v>6299.9999999999991</v>
      </c>
      <c r="H7" s="102">
        <f>TrRoad_act!H$6</f>
        <v>6499.9999999999991</v>
      </c>
      <c r="I7" s="102">
        <f>TrRoad_act!I$6</f>
        <v>6599.9999999999991</v>
      </c>
      <c r="J7" s="102">
        <f>TrRoad_act!J$6</f>
        <v>6700</v>
      </c>
      <c r="K7" s="102">
        <f>TrRoad_act!K$6</f>
        <v>6699.9999999999991</v>
      </c>
      <c r="L7" s="102">
        <f>TrRoad_act!L$6</f>
        <v>6500.0000000000009</v>
      </c>
      <c r="M7" s="102">
        <f>TrRoad_act!M$6</f>
        <v>6591.7580235815713</v>
      </c>
      <c r="N7" s="102">
        <f>TrRoad_act!N$6</f>
        <v>6733.1326886576999</v>
      </c>
      <c r="O7" s="102">
        <f>TrRoad_act!O$6</f>
        <v>6850.9305497477935</v>
      </c>
      <c r="P7" s="102">
        <f>TrRoad_act!P$6</f>
        <v>7132.3960366344818</v>
      </c>
      <c r="Q7" s="102">
        <f>TrRoad_act!Q$6</f>
        <v>7321.3582606667269</v>
      </c>
      <c r="R7" s="102">
        <f>TrRoad_act!R$6</f>
        <v>7525.4204786711543</v>
      </c>
      <c r="S7" s="102">
        <f>TrRoad_act!S$6</f>
        <v>7673.9151349680515</v>
      </c>
      <c r="T7" s="102">
        <f>TrRoad_act!T$6</f>
        <v>7833.7138706263568</v>
      </c>
      <c r="U7" s="102">
        <f>TrRoad_act!U$6</f>
        <v>8005.9701102464032</v>
      </c>
      <c r="V7" s="102">
        <f>TrRoad_act!V$6</f>
        <v>7076.6942506143023</v>
      </c>
      <c r="W7" s="102">
        <f>TrRoad_act!W$6</f>
        <v>7551.3655833822504</v>
      </c>
      <c r="X7" s="102">
        <f>TrRoad_act!X$6</f>
        <v>7933.622095745859</v>
      </c>
      <c r="Y7" s="102">
        <f>TrRoad_act!Y$6</f>
        <v>8320.6351673842601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620</v>
      </c>
      <c r="C8" s="102">
        <f>TrRoad_act!C$13</f>
        <v>660</v>
      </c>
      <c r="D8" s="102">
        <f>TrRoad_act!D$13</f>
        <v>720</v>
      </c>
      <c r="E8" s="102">
        <f>TrRoad_act!E$13</f>
        <v>740</v>
      </c>
      <c r="F8" s="102">
        <f>TrRoad_act!F$13</f>
        <v>770</v>
      </c>
      <c r="G8" s="102">
        <f>TrRoad_act!G$13</f>
        <v>800</v>
      </c>
      <c r="H8" s="102">
        <f>TrRoad_act!H$13</f>
        <v>820</v>
      </c>
      <c r="I8" s="102">
        <f>TrRoad_act!I$13</f>
        <v>860</v>
      </c>
      <c r="J8" s="102">
        <f>TrRoad_act!J$13</f>
        <v>910.00000000000011</v>
      </c>
      <c r="K8" s="102">
        <f>TrRoad_act!K$13</f>
        <v>905.87268823413092</v>
      </c>
      <c r="L8" s="102">
        <f>TrRoad_act!L$13</f>
        <v>940.00000000000011</v>
      </c>
      <c r="M8" s="102">
        <f>TrRoad_act!M$13</f>
        <v>987.63004632263437</v>
      </c>
      <c r="N8" s="102">
        <f>TrRoad_act!N$13</f>
        <v>1004.9122484837048</v>
      </c>
      <c r="O8" s="102">
        <f>TrRoad_act!O$13</f>
        <v>1026.4588947641512</v>
      </c>
      <c r="P8" s="102">
        <f>TrRoad_act!P$13</f>
        <v>1037.5462847587612</v>
      </c>
      <c r="Q8" s="102">
        <f>TrRoad_act!Q$13</f>
        <v>1092.8294004495056</v>
      </c>
      <c r="R8" s="102">
        <f>TrRoad_act!R$13</f>
        <v>1109.9876780311415</v>
      </c>
      <c r="S8" s="102">
        <f>TrRoad_act!S$13</f>
        <v>1145.5145233368974</v>
      </c>
      <c r="T8" s="102">
        <f>TrRoad_act!T$13</f>
        <v>1170.3687012049782</v>
      </c>
      <c r="U8" s="102">
        <f>TrRoad_act!U$13</f>
        <v>1219.8578493931059</v>
      </c>
      <c r="V8" s="102">
        <f>TrRoad_act!V$13</f>
        <v>831.12446709444419</v>
      </c>
      <c r="W8" s="102">
        <f>TrRoad_act!W$13</f>
        <v>894.00240765750834</v>
      </c>
      <c r="X8" s="102">
        <f>TrRoad_act!X$13</f>
        <v>1224.612096510295</v>
      </c>
      <c r="Y8" s="102">
        <f>TrRoad_act!Y$13</f>
        <v>1367.7258544803344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332</v>
      </c>
      <c r="C9" s="110">
        <f t="shared" si="6"/>
        <v>346</v>
      </c>
      <c r="D9" s="110">
        <f t="shared" si="6"/>
        <v>268</v>
      </c>
      <c r="E9" s="110">
        <f t="shared" si="6"/>
        <v>262</v>
      </c>
      <c r="F9" s="110">
        <f t="shared" si="6"/>
        <v>253</v>
      </c>
      <c r="G9" s="110">
        <f t="shared" si="6"/>
        <v>267</v>
      </c>
      <c r="H9" s="110">
        <f t="shared" si="6"/>
        <v>298</v>
      </c>
      <c r="I9" s="110">
        <f t="shared" si="6"/>
        <v>316</v>
      </c>
      <c r="J9" s="110">
        <f t="shared" si="6"/>
        <v>345</v>
      </c>
      <c r="K9" s="110">
        <f t="shared" si="6"/>
        <v>333</v>
      </c>
      <c r="L9" s="110">
        <f t="shared" si="6"/>
        <v>347</v>
      </c>
      <c r="M9" s="110">
        <f t="shared" si="6"/>
        <v>349</v>
      </c>
      <c r="N9" s="110">
        <f t="shared" si="6"/>
        <v>373</v>
      </c>
      <c r="O9" s="110">
        <f t="shared" si="6"/>
        <v>394</v>
      </c>
      <c r="P9" s="110">
        <f t="shared" si="6"/>
        <v>366</v>
      </c>
      <c r="Q9" s="110">
        <f t="shared" si="6"/>
        <v>418</v>
      </c>
      <c r="R9" s="110">
        <f t="shared" ref="R9:V9" si="7">R10+R11+R12</f>
        <v>417</v>
      </c>
      <c r="S9" s="110">
        <f t="shared" si="7"/>
        <v>438</v>
      </c>
      <c r="T9" s="110">
        <f t="shared" si="7"/>
        <v>462.5</v>
      </c>
      <c r="U9" s="110">
        <f t="shared" si="7"/>
        <v>494.2</v>
      </c>
      <c r="V9" s="110">
        <f t="shared" si="7"/>
        <v>299.73171150447064</v>
      </c>
      <c r="W9" s="110">
        <f t="shared" ref="W9:Y9" si="8">W10+W11+W12</f>
        <v>348.7</v>
      </c>
      <c r="X9" s="110">
        <f t="shared" si="8"/>
        <v>487.55</v>
      </c>
      <c r="Y9" s="110">
        <f t="shared" si="8"/>
        <v>614.5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19.5</v>
      </c>
      <c r="U10" s="102">
        <f>TrRail_act!U$5</f>
        <v>31.2</v>
      </c>
      <c r="V10" s="102">
        <f>TrRail_act!V$5</f>
        <v>31.731711504470649</v>
      </c>
      <c r="W10" s="102">
        <f>TrRail_act!W$5</f>
        <v>44.699999999999996</v>
      </c>
      <c r="X10" s="102">
        <f>TrRail_act!X$5</f>
        <v>98.55</v>
      </c>
      <c r="Y10" s="102">
        <f>TrRail_act!Y$5</f>
        <v>109.5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332</v>
      </c>
      <c r="C11" s="102">
        <f>TrRail_act!C$6</f>
        <v>346</v>
      </c>
      <c r="D11" s="102">
        <f>TrRail_act!D$6</f>
        <v>268</v>
      </c>
      <c r="E11" s="102">
        <f>TrRail_act!E$6</f>
        <v>262</v>
      </c>
      <c r="F11" s="102">
        <f>TrRail_act!F$6</f>
        <v>253</v>
      </c>
      <c r="G11" s="102">
        <f>TrRail_act!G$6</f>
        <v>267</v>
      </c>
      <c r="H11" s="102">
        <f>TrRail_act!H$6</f>
        <v>298</v>
      </c>
      <c r="I11" s="102">
        <f>TrRail_act!I$6</f>
        <v>316</v>
      </c>
      <c r="J11" s="102">
        <f>TrRail_act!J$6</f>
        <v>345</v>
      </c>
      <c r="K11" s="102">
        <f>TrRail_act!K$6</f>
        <v>333</v>
      </c>
      <c r="L11" s="102">
        <f>TrRail_act!L$6</f>
        <v>347</v>
      </c>
      <c r="M11" s="102">
        <f>TrRail_act!M$6</f>
        <v>349</v>
      </c>
      <c r="N11" s="102">
        <f>TrRail_act!N$6</f>
        <v>373</v>
      </c>
      <c r="O11" s="102">
        <f>TrRail_act!O$6</f>
        <v>394</v>
      </c>
      <c r="P11" s="102">
        <f>TrRail_act!P$6</f>
        <v>366</v>
      </c>
      <c r="Q11" s="102">
        <f>TrRail_act!Q$6</f>
        <v>418</v>
      </c>
      <c r="R11" s="102">
        <f>TrRail_act!R$6</f>
        <v>417</v>
      </c>
      <c r="S11" s="102">
        <f>TrRail_act!S$6</f>
        <v>438</v>
      </c>
      <c r="T11" s="102">
        <f>TrRail_act!T$6</f>
        <v>443</v>
      </c>
      <c r="U11" s="102">
        <f>TrRail_act!U$6</f>
        <v>463</v>
      </c>
      <c r="V11" s="102">
        <f>TrRail_act!V$6</f>
        <v>268</v>
      </c>
      <c r="W11" s="102">
        <f>TrRail_act!W$6</f>
        <v>304</v>
      </c>
      <c r="X11" s="102">
        <f>TrRail_act!X$6</f>
        <v>389</v>
      </c>
      <c r="Y11" s="102">
        <f>TrRail_act!Y$6</f>
        <v>505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756.34544638092154</v>
      </c>
      <c r="C13" s="110">
        <f t="shared" ref="C13:V13" si="10">C14+C15+C16</f>
        <v>830.28519916298615</v>
      </c>
      <c r="D13" s="110">
        <f t="shared" si="10"/>
        <v>903.05270889177336</v>
      </c>
      <c r="E13" s="110">
        <f t="shared" si="10"/>
        <v>933.02393252855279</v>
      </c>
      <c r="F13" s="110">
        <f t="shared" si="10"/>
        <v>1007.0592936437756</v>
      </c>
      <c r="G13" s="110">
        <f t="shared" si="10"/>
        <v>998.09368101782775</v>
      </c>
      <c r="H13" s="110">
        <f t="shared" si="10"/>
        <v>972.22511179997241</v>
      </c>
      <c r="I13" s="110">
        <f t="shared" si="10"/>
        <v>993.69630208799003</v>
      </c>
      <c r="J13" s="110">
        <f t="shared" si="10"/>
        <v>1036.3267859671666</v>
      </c>
      <c r="K13" s="110">
        <f t="shared" si="10"/>
        <v>977.44754805629918</v>
      </c>
      <c r="L13" s="110">
        <f t="shared" si="10"/>
        <v>1062.8997474896678</v>
      </c>
      <c r="M13" s="110">
        <f t="shared" si="10"/>
        <v>1071.5648475352441</v>
      </c>
      <c r="N13" s="110">
        <f t="shared" si="10"/>
        <v>1039.7259634572845</v>
      </c>
      <c r="O13" s="110">
        <f t="shared" si="10"/>
        <v>1180.3552626352287</v>
      </c>
      <c r="P13" s="110">
        <f t="shared" si="10"/>
        <v>1402.1110716178025</v>
      </c>
      <c r="Q13" s="110">
        <f t="shared" si="10"/>
        <v>1526.4493793627748</v>
      </c>
      <c r="R13" s="110">
        <f t="shared" si="10"/>
        <v>1636.7430971885758</v>
      </c>
      <c r="S13" s="110">
        <f t="shared" si="10"/>
        <v>2037.2304813427784</v>
      </c>
      <c r="T13" s="110">
        <f t="shared" si="10"/>
        <v>2367.4201763655597</v>
      </c>
      <c r="U13" s="110">
        <f t="shared" si="10"/>
        <v>2633.6190656087665</v>
      </c>
      <c r="V13" s="110">
        <f t="shared" si="10"/>
        <v>982.62734446000184</v>
      </c>
      <c r="W13" s="110">
        <f t="shared" ref="W13:Y13" si="11">W14+W15+W16</f>
        <v>1608.5355158153734</v>
      </c>
      <c r="X13" s="110">
        <f t="shared" si="11"/>
        <v>2760.1957636938446</v>
      </c>
      <c r="Y13" s="110">
        <f t="shared" si="11"/>
        <v>3092.6734376182053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637.44183634474075</v>
      </c>
      <c r="C15" s="102">
        <f>TrAvia_act!C$6</f>
        <v>698.38324196890574</v>
      </c>
      <c r="D15" s="102">
        <f>TrAvia_act!D$6</f>
        <v>757.95509193697615</v>
      </c>
      <c r="E15" s="102">
        <f>TrAvia_act!E$6</f>
        <v>780.03381146106551</v>
      </c>
      <c r="F15" s="102">
        <f>TrAvia_act!F$6</f>
        <v>838.01399786397383</v>
      </c>
      <c r="G15" s="102">
        <f>TrAvia_act!G$6</f>
        <v>812.03756872222937</v>
      </c>
      <c r="H15" s="102">
        <f>TrAvia_act!H$6</f>
        <v>775.11298018601269</v>
      </c>
      <c r="I15" s="102">
        <f>TrAvia_act!I$6</f>
        <v>731.18446615939899</v>
      </c>
      <c r="J15" s="102">
        <f>TrAvia_act!J$6</f>
        <v>695.86157623544034</v>
      </c>
      <c r="K15" s="102">
        <f>TrAvia_act!K$6</f>
        <v>600.73494127897209</v>
      </c>
      <c r="L15" s="102">
        <f>TrAvia_act!L$6</f>
        <v>628.84289438348776</v>
      </c>
      <c r="M15" s="102">
        <f>TrAvia_act!M$6</f>
        <v>753.37801191383721</v>
      </c>
      <c r="N15" s="102">
        <f>TrAvia_act!N$6</f>
        <v>764.50617636189054</v>
      </c>
      <c r="O15" s="102">
        <f>TrAvia_act!O$6</f>
        <v>895.3093310343595</v>
      </c>
      <c r="P15" s="102">
        <f>TrAvia_act!P$6</f>
        <v>1025.3527389443966</v>
      </c>
      <c r="Q15" s="102">
        <f>TrAvia_act!Q$6</f>
        <v>1146.9721786392424</v>
      </c>
      <c r="R15" s="102">
        <f>TrAvia_act!R$6</f>
        <v>1358.8440927825154</v>
      </c>
      <c r="S15" s="102">
        <f>TrAvia_act!S$6</f>
        <v>1681.5938925877967</v>
      </c>
      <c r="T15" s="102">
        <f>TrAvia_act!T$6</f>
        <v>1875.3139941275017</v>
      </c>
      <c r="U15" s="102">
        <f>TrAvia_act!U$6</f>
        <v>2023.8186735666425</v>
      </c>
      <c r="V15" s="102">
        <f>TrAvia_act!V$6</f>
        <v>779.04640922409931</v>
      </c>
      <c r="W15" s="102">
        <f>TrAvia_act!W$6</f>
        <v>1174.8756662911683</v>
      </c>
      <c r="X15" s="102">
        <f>TrAvia_act!X$6</f>
        <v>2101.5548249584267</v>
      </c>
      <c r="Y15" s="102">
        <f>TrAvia_act!Y$6</f>
        <v>2526.2847366609649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118.90361003618079</v>
      </c>
      <c r="C16" s="102">
        <f>TrAvia_act!C$7</f>
        <v>131.90195719408035</v>
      </c>
      <c r="D16" s="102">
        <f>TrAvia_act!D$7</f>
        <v>145.09761695479722</v>
      </c>
      <c r="E16" s="102">
        <f>TrAvia_act!E$7</f>
        <v>152.99012106748728</v>
      </c>
      <c r="F16" s="102">
        <f>TrAvia_act!F$7</f>
        <v>169.04529577980179</v>
      </c>
      <c r="G16" s="102">
        <f>TrAvia_act!G$7</f>
        <v>186.05611229559844</v>
      </c>
      <c r="H16" s="102">
        <f>TrAvia_act!H$7</f>
        <v>197.11213161395975</v>
      </c>
      <c r="I16" s="102">
        <f>TrAvia_act!I$7</f>
        <v>262.5118359285911</v>
      </c>
      <c r="J16" s="102">
        <f>TrAvia_act!J$7</f>
        <v>340.46520973172625</v>
      </c>
      <c r="K16" s="102">
        <f>TrAvia_act!K$7</f>
        <v>376.71260677732704</v>
      </c>
      <c r="L16" s="102">
        <f>TrAvia_act!L$7</f>
        <v>434.05685310618009</v>
      </c>
      <c r="M16" s="102">
        <f>TrAvia_act!M$7</f>
        <v>318.18683562140677</v>
      </c>
      <c r="N16" s="102">
        <f>TrAvia_act!N$7</f>
        <v>275.219787095394</v>
      </c>
      <c r="O16" s="102">
        <f>TrAvia_act!O$7</f>
        <v>285.0459316008691</v>
      </c>
      <c r="P16" s="102">
        <f>TrAvia_act!P$7</f>
        <v>376.75833267340585</v>
      </c>
      <c r="Q16" s="102">
        <f>TrAvia_act!Q$7</f>
        <v>379.47720072353252</v>
      </c>
      <c r="R16" s="102">
        <f>TrAvia_act!R$7</f>
        <v>277.89900440606033</v>
      </c>
      <c r="S16" s="102">
        <f>TrAvia_act!S$7</f>
        <v>355.63658875498157</v>
      </c>
      <c r="T16" s="102">
        <f>TrAvia_act!T$7</f>
        <v>492.1061822380579</v>
      </c>
      <c r="U16" s="102">
        <f>TrAvia_act!U$7</f>
        <v>609.80039204212414</v>
      </c>
      <c r="V16" s="102">
        <f>TrAvia_act!V$7</f>
        <v>203.5809352359025</v>
      </c>
      <c r="W16" s="102">
        <f>TrAvia_act!W$7</f>
        <v>433.65984952420501</v>
      </c>
      <c r="X16" s="102">
        <f>TrAvia_act!X$7</f>
        <v>658.64093873541799</v>
      </c>
      <c r="Y16" s="102">
        <f>TrAvia_act!Y$7</f>
        <v>566.38870095724053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4244.4878488300728</v>
      </c>
      <c r="C17" s="28">
        <f t="shared" si="12"/>
        <v>4471.6686243179965</v>
      </c>
      <c r="D17" s="28">
        <f t="shared" si="12"/>
        <v>4628.2014507672538</v>
      </c>
      <c r="E17" s="28">
        <f t="shared" si="12"/>
        <v>4539.9161866597688</v>
      </c>
      <c r="F17" s="28">
        <f t="shared" si="12"/>
        <v>4797.507244841825</v>
      </c>
      <c r="G17" s="28">
        <f t="shared" si="12"/>
        <v>4577.8465707337937</v>
      </c>
      <c r="H17" s="28">
        <f t="shared" si="12"/>
        <v>4693.0285171696332</v>
      </c>
      <c r="I17" s="28">
        <f t="shared" si="12"/>
        <v>5273.2945432515326</v>
      </c>
      <c r="J17" s="28">
        <f t="shared" si="12"/>
        <v>5452.0944375695744</v>
      </c>
      <c r="K17" s="28">
        <f t="shared" si="12"/>
        <v>4790.2349279427781</v>
      </c>
      <c r="L17" s="28">
        <f t="shared" si="12"/>
        <v>5229.6316014352396</v>
      </c>
      <c r="M17" s="28">
        <f t="shared" si="12"/>
        <v>5227.0705015749591</v>
      </c>
      <c r="N17" s="28">
        <f t="shared" si="12"/>
        <v>5397.3762747775927</v>
      </c>
      <c r="O17" s="28">
        <f t="shared" si="12"/>
        <v>5328.39468438927</v>
      </c>
      <c r="P17" s="28">
        <f t="shared" si="12"/>
        <v>5988.0485021369641</v>
      </c>
      <c r="Q17" s="28">
        <f t="shared" si="12"/>
        <v>5870.0739826828194</v>
      </c>
      <c r="R17" s="28">
        <f t="shared" ref="R17:V17" si="13">R18+R21+R22+R26</f>
        <v>6259.278749519337</v>
      </c>
      <c r="S17" s="28">
        <f t="shared" si="13"/>
        <v>6593.4298587019784</v>
      </c>
      <c r="T17" s="28">
        <f t="shared" si="13"/>
        <v>6124.8739080871273</v>
      </c>
      <c r="U17" s="28">
        <f t="shared" si="13"/>
        <v>6178.7475104949572</v>
      </c>
      <c r="V17" s="28">
        <f t="shared" si="13"/>
        <v>5793.7025848012372</v>
      </c>
      <c r="W17" s="28">
        <f t="shared" ref="W17:Y17" si="14">W18+W21+W22+W26</f>
        <v>6902.3092307424704</v>
      </c>
      <c r="X17" s="28">
        <f t="shared" si="14"/>
        <v>6719.2856918519356</v>
      </c>
      <c r="Y17" s="28">
        <f t="shared" si="14"/>
        <v>5737.5124218516867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1484.3516976284084</v>
      </c>
      <c r="C18" s="137">
        <f t="shared" si="15"/>
        <v>1633.1219717807683</v>
      </c>
      <c r="D18" s="137">
        <f t="shared" si="15"/>
        <v>1798.0049864653581</v>
      </c>
      <c r="E18" s="137">
        <f t="shared" si="15"/>
        <v>1801.9070380920812</v>
      </c>
      <c r="F18" s="137">
        <f t="shared" si="15"/>
        <v>1975.4027291242824</v>
      </c>
      <c r="G18" s="137">
        <f t="shared" si="15"/>
        <v>1973.3453391993621</v>
      </c>
      <c r="H18" s="137">
        <f t="shared" si="15"/>
        <v>1995.9079458401959</v>
      </c>
      <c r="I18" s="137">
        <f t="shared" si="15"/>
        <v>2108.8142630767011</v>
      </c>
      <c r="J18" s="137">
        <f t="shared" si="15"/>
        <v>2295.808544437979</v>
      </c>
      <c r="K18" s="137">
        <f t="shared" si="15"/>
        <v>2077.6450773171105</v>
      </c>
      <c r="L18" s="137">
        <f t="shared" si="15"/>
        <v>2226.2261558117775</v>
      </c>
      <c r="M18" s="137">
        <f t="shared" si="15"/>
        <v>2285.4907297295131</v>
      </c>
      <c r="N18" s="137">
        <f t="shared" si="15"/>
        <v>2864.9772673343305</v>
      </c>
      <c r="O18" s="137">
        <f t="shared" si="15"/>
        <v>2597.5849808898615</v>
      </c>
      <c r="P18" s="137">
        <f t="shared" si="15"/>
        <v>3054.7408062696122</v>
      </c>
      <c r="Q18" s="137">
        <f t="shared" si="15"/>
        <v>2643.9551787474829</v>
      </c>
      <c r="R18" s="137">
        <f t="shared" ref="R18:V18" si="16">R19+R20</f>
        <v>2838.3883836051687</v>
      </c>
      <c r="S18" s="137">
        <f t="shared" si="16"/>
        <v>2896.1854079968407</v>
      </c>
      <c r="T18" s="137">
        <f t="shared" si="16"/>
        <v>2488.9011613783377</v>
      </c>
      <c r="U18" s="137">
        <f t="shared" si="16"/>
        <v>2548.435890840406</v>
      </c>
      <c r="V18" s="137">
        <f t="shared" si="16"/>
        <v>2268.8829929932485</v>
      </c>
      <c r="W18" s="137">
        <f t="shared" ref="W18:Y18" si="17">W19+W20</f>
        <v>2520.8924492598503</v>
      </c>
      <c r="X18" s="137">
        <f t="shared" si="17"/>
        <v>2495.9150877816332</v>
      </c>
      <c r="Y18" s="137">
        <f t="shared" si="17"/>
        <v>2218.2887078992853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70.003928013515804</v>
      </c>
      <c r="C19" s="102">
        <f>TrRoad_act!C$20</f>
        <v>75.601362631221392</v>
      </c>
      <c r="D19" s="102">
        <f>TrRoad_act!D$20</f>
        <v>81.349508127054165</v>
      </c>
      <c r="E19" s="102">
        <f>TrRoad_act!E$20</f>
        <v>85.004968811079422</v>
      </c>
      <c r="F19" s="102">
        <f>TrRoad_act!F$20</f>
        <v>89.359409971679696</v>
      </c>
      <c r="G19" s="102">
        <f>TrRoad_act!G$20</f>
        <v>94.445439688662532</v>
      </c>
      <c r="H19" s="102">
        <f>TrRoad_act!H$20</f>
        <v>99.739353152770235</v>
      </c>
      <c r="I19" s="102">
        <f>TrRoad_act!I$20</f>
        <v>108.12070504391785</v>
      </c>
      <c r="J19" s="102">
        <f>TrRoad_act!J$20</f>
        <v>115.32653427801786</v>
      </c>
      <c r="K19" s="102">
        <f>TrRoad_act!K$20</f>
        <v>116.56798206861036</v>
      </c>
      <c r="L19" s="102">
        <f>TrRoad_act!L$20</f>
        <v>121.63882450298517</v>
      </c>
      <c r="M19" s="102">
        <f>TrRoad_act!M$20</f>
        <v>128.40138889915198</v>
      </c>
      <c r="N19" s="102">
        <f>TrRoad_act!N$20</f>
        <v>133.5704050295343</v>
      </c>
      <c r="O19" s="102">
        <f>TrRoad_act!O$20</f>
        <v>138.0941459539423</v>
      </c>
      <c r="P19" s="102">
        <f>TrRoad_act!P$20</f>
        <v>145.58356451114224</v>
      </c>
      <c r="Q19" s="102">
        <f>TrRoad_act!Q$20</f>
        <v>152.44343227575058</v>
      </c>
      <c r="R19" s="102">
        <f>TrRoad_act!R$20</f>
        <v>161.28020608535437</v>
      </c>
      <c r="S19" s="102">
        <f>TrRoad_act!S$20</f>
        <v>168.18220177290598</v>
      </c>
      <c r="T19" s="102">
        <f>TrRoad_act!T$20</f>
        <v>175.90116137833797</v>
      </c>
      <c r="U19" s="102">
        <f>TrRoad_act!U$20</f>
        <v>180.43589084040596</v>
      </c>
      <c r="V19" s="102">
        <f>TrRoad_act!V$20</f>
        <v>183.88299299324859</v>
      </c>
      <c r="W19" s="102">
        <f>TrRoad_act!W$20</f>
        <v>192.89244925985051</v>
      </c>
      <c r="X19" s="102">
        <f>TrRoad_act!X$20</f>
        <v>179.91508778163308</v>
      </c>
      <c r="Y19" s="102">
        <f>TrRoad_act!Y$20</f>
        <v>181.28870789928555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1414.3477696148925</v>
      </c>
      <c r="C20" s="102">
        <f>TrRoad_act!C$26</f>
        <v>1557.5206091495468</v>
      </c>
      <c r="D20" s="102">
        <f>TrRoad_act!D$26</f>
        <v>1716.655478338304</v>
      </c>
      <c r="E20" s="102">
        <f>TrRoad_act!E$26</f>
        <v>1716.9020692810018</v>
      </c>
      <c r="F20" s="102">
        <f>TrRoad_act!F$26</f>
        <v>1886.0433191526026</v>
      </c>
      <c r="G20" s="102">
        <f>TrRoad_act!G$26</f>
        <v>1878.8998995106997</v>
      </c>
      <c r="H20" s="102">
        <f>TrRoad_act!H$26</f>
        <v>1896.1685926874256</v>
      </c>
      <c r="I20" s="102">
        <f>TrRoad_act!I$26</f>
        <v>2000.6935580327831</v>
      </c>
      <c r="J20" s="102">
        <f>TrRoad_act!J$26</f>
        <v>2180.4820101599612</v>
      </c>
      <c r="K20" s="102">
        <f>TrRoad_act!K$26</f>
        <v>1961.0770952485</v>
      </c>
      <c r="L20" s="102">
        <f>TrRoad_act!L$26</f>
        <v>2104.5873313087923</v>
      </c>
      <c r="M20" s="102">
        <f>TrRoad_act!M$26</f>
        <v>2157.0893408303609</v>
      </c>
      <c r="N20" s="102">
        <f>TrRoad_act!N$26</f>
        <v>2731.4068623047961</v>
      </c>
      <c r="O20" s="102">
        <f>TrRoad_act!O$26</f>
        <v>2459.4908349359193</v>
      </c>
      <c r="P20" s="102">
        <f>TrRoad_act!P$26</f>
        <v>2909.1572417584698</v>
      </c>
      <c r="Q20" s="102">
        <f>TrRoad_act!Q$26</f>
        <v>2491.5117464717323</v>
      </c>
      <c r="R20" s="102">
        <f>TrRoad_act!R$26</f>
        <v>2677.1081775198145</v>
      </c>
      <c r="S20" s="102">
        <f>TrRoad_act!S$26</f>
        <v>2728.0032062239347</v>
      </c>
      <c r="T20" s="102">
        <f>TrRoad_act!T$26</f>
        <v>2313</v>
      </c>
      <c r="U20" s="102">
        <f>TrRoad_act!U$26</f>
        <v>2368</v>
      </c>
      <c r="V20" s="102">
        <f>TrRoad_act!V$26</f>
        <v>2085</v>
      </c>
      <c r="W20" s="102">
        <f>TrRoad_act!W$26</f>
        <v>2328</v>
      </c>
      <c r="X20" s="102">
        <f>TrRoad_act!X$26</f>
        <v>2316</v>
      </c>
      <c r="Y20" s="102">
        <f>TrRoad_act!Y$26</f>
        <v>2037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632</v>
      </c>
      <c r="C21" s="110">
        <f>TrRail_act!C$10</f>
        <v>585</v>
      </c>
      <c r="D21" s="110">
        <f>TrRail_act!D$10</f>
        <v>550</v>
      </c>
      <c r="E21" s="110">
        <f>TrRail_act!E$10</f>
        <v>525</v>
      </c>
      <c r="F21" s="110">
        <f>TrRail_act!F$10</f>
        <v>559</v>
      </c>
      <c r="G21" s="110">
        <f>TrRail_act!G$10</f>
        <v>392</v>
      </c>
      <c r="H21" s="110">
        <f>TrRail_act!H$10</f>
        <v>441</v>
      </c>
      <c r="I21" s="110">
        <f>TrRail_act!I$10</f>
        <v>574</v>
      </c>
      <c r="J21" s="110">
        <f>TrRail_act!J$10</f>
        <v>279</v>
      </c>
      <c r="K21" s="110">
        <f>TrRail_act!K$10</f>
        <v>200</v>
      </c>
      <c r="L21" s="110">
        <f>TrRail_act!L$10</f>
        <v>323</v>
      </c>
      <c r="M21" s="110">
        <f>TrRail_act!M$10</f>
        <v>288</v>
      </c>
      <c r="N21" s="110">
        <f>TrRail_act!N$10</f>
        <v>231</v>
      </c>
      <c r="O21" s="110">
        <f>TrRail_act!O$10</f>
        <v>218</v>
      </c>
      <c r="P21" s="110">
        <f>TrRail_act!P$10</f>
        <v>208</v>
      </c>
      <c r="Q21" s="110">
        <f>TrRail_act!Q$10</f>
        <v>207</v>
      </c>
      <c r="R21" s="110">
        <f>TrRail_act!R$10</f>
        <v>201</v>
      </c>
      <c r="S21" s="110">
        <f>TrRail_act!S$10</f>
        <v>213</v>
      </c>
      <c r="T21" s="110">
        <f>TrRail_act!T$10</f>
        <v>223</v>
      </c>
      <c r="U21" s="110">
        <f>TrRail_act!U$10</f>
        <v>191</v>
      </c>
      <c r="V21" s="110">
        <f>TrRail_act!V$10</f>
        <v>162</v>
      </c>
      <c r="W21" s="110">
        <f>TrRail_act!W$10</f>
        <v>176</v>
      </c>
      <c r="X21" s="110">
        <f>TrRail_act!X$10</f>
        <v>167</v>
      </c>
      <c r="Y21" s="110">
        <f>TrRail_act!Y$10</f>
        <v>174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1750.1361512016642</v>
      </c>
      <c r="C22" s="110">
        <f t="shared" ref="C22:V22" si="19">C23+C24+C25</f>
        <v>1882.5466525372287</v>
      </c>
      <c r="D22" s="110">
        <f t="shared" si="19"/>
        <v>1910.1964643018957</v>
      </c>
      <c r="E22" s="110">
        <f t="shared" si="19"/>
        <v>1897.0091485676876</v>
      </c>
      <c r="F22" s="110">
        <f t="shared" si="19"/>
        <v>1893.1045157175424</v>
      </c>
      <c r="G22" s="110">
        <f t="shared" si="19"/>
        <v>1870.5012315344313</v>
      </c>
      <c r="H22" s="110">
        <f t="shared" si="19"/>
        <v>1875.1205713294373</v>
      </c>
      <c r="I22" s="110">
        <f t="shared" si="19"/>
        <v>2245.4802801748315</v>
      </c>
      <c r="J22" s="110">
        <f t="shared" si="19"/>
        <v>2510.2858931315955</v>
      </c>
      <c r="K22" s="110">
        <f t="shared" si="19"/>
        <v>2233.5898506256672</v>
      </c>
      <c r="L22" s="110">
        <f t="shared" si="19"/>
        <v>2321.4054456234621</v>
      </c>
      <c r="M22" s="110">
        <f t="shared" si="19"/>
        <v>2348.5797718454455</v>
      </c>
      <c r="N22" s="110">
        <f t="shared" si="19"/>
        <v>2011.399007443262</v>
      </c>
      <c r="O22" s="110">
        <f t="shared" si="19"/>
        <v>2199.8097034994089</v>
      </c>
      <c r="P22" s="110">
        <f t="shared" si="19"/>
        <v>2440.3076958673523</v>
      </c>
      <c r="Q22" s="110">
        <f t="shared" si="19"/>
        <v>2784.1188039353365</v>
      </c>
      <c r="R22" s="110">
        <f t="shared" si="19"/>
        <v>3029.8903659141688</v>
      </c>
      <c r="S22" s="110">
        <f t="shared" si="19"/>
        <v>3289.2444507051373</v>
      </c>
      <c r="T22" s="110">
        <f t="shared" si="19"/>
        <v>3207.9727467087901</v>
      </c>
      <c r="U22" s="110">
        <f t="shared" si="19"/>
        <v>3211.3116196545511</v>
      </c>
      <c r="V22" s="110">
        <f t="shared" si="19"/>
        <v>3161.8195918079887</v>
      </c>
      <c r="W22" s="110">
        <f t="shared" ref="W22:Y22" si="20">W23+W24+W25</f>
        <v>3988.4167814826205</v>
      </c>
      <c r="X22" s="110">
        <f t="shared" si="20"/>
        <v>3856.3706040703023</v>
      </c>
      <c r="Y22" s="110">
        <f t="shared" si="20"/>
        <v>3180.2237139524018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40.348509530569999</v>
      </c>
      <c r="C24" s="102">
        <f>TrAvia_act!C$10</f>
        <v>22.319155412819146</v>
      </c>
      <c r="D24" s="102">
        <f>TrAvia_act!D$10</f>
        <v>18.901458587366445</v>
      </c>
      <c r="E24" s="102">
        <f>TrAvia_act!E$10</f>
        <v>31.430390081661411</v>
      </c>
      <c r="F24" s="102">
        <f>TrAvia_act!F$10</f>
        <v>25.047042320094555</v>
      </c>
      <c r="G24" s="102">
        <f>TrAvia_act!G$10</f>
        <v>30.171381245950439</v>
      </c>
      <c r="H24" s="102">
        <f>TrAvia_act!H$10</f>
        <v>16.808281304921003</v>
      </c>
      <c r="I24" s="102">
        <f>TrAvia_act!I$10</f>
        <v>22.685154472860265</v>
      </c>
      <c r="J24" s="102">
        <f>TrAvia_act!J$10</f>
        <v>30.665264110698267</v>
      </c>
      <c r="K24" s="102">
        <f>TrAvia_act!K$10</f>
        <v>24.249797236589011</v>
      </c>
      <c r="L24" s="102">
        <f>TrAvia_act!L$10</f>
        <v>26.135175859049813</v>
      </c>
      <c r="M24" s="102">
        <f>TrAvia_act!M$10</f>
        <v>20.565554694487883</v>
      </c>
      <c r="N24" s="102">
        <f>TrAvia_act!N$10</f>
        <v>22.988464199380712</v>
      </c>
      <c r="O24" s="102">
        <f>TrAvia_act!O$10</f>
        <v>25.803297346206353</v>
      </c>
      <c r="P24" s="102">
        <f>TrAvia_act!P$10</f>
        <v>29.168184294111946</v>
      </c>
      <c r="Q24" s="102">
        <f>TrAvia_act!Q$10</f>
        <v>24.838374837082785</v>
      </c>
      <c r="R24" s="102">
        <f>TrAvia_act!R$10</f>
        <v>21.821910838826977</v>
      </c>
      <c r="S24" s="102">
        <f>TrAvia_act!S$10</f>
        <v>25.42858917146474</v>
      </c>
      <c r="T24" s="102">
        <f>TrAvia_act!T$10</f>
        <v>23.197759247156259</v>
      </c>
      <c r="U24" s="102">
        <f>TrAvia_act!U$10</f>
        <v>21.82961517276792</v>
      </c>
      <c r="V24" s="102">
        <f>TrAvia_act!V$10</f>
        <v>17.070504731411372</v>
      </c>
      <c r="W24" s="102">
        <f>TrAvia_act!W$10</f>
        <v>17.854090323553343</v>
      </c>
      <c r="X24" s="102">
        <f>TrAvia_act!X$10</f>
        <v>19.123162362760638</v>
      </c>
      <c r="Y24" s="102">
        <f>TrAvia_act!Y$10</f>
        <v>21.58421485059791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1709.7876416710942</v>
      </c>
      <c r="C25" s="102">
        <f>TrAvia_act!C$11</f>
        <v>1860.2274971244096</v>
      </c>
      <c r="D25" s="102">
        <f>TrAvia_act!D$11</f>
        <v>1891.2950057145292</v>
      </c>
      <c r="E25" s="102">
        <f>TrAvia_act!E$11</f>
        <v>1865.5787584860261</v>
      </c>
      <c r="F25" s="102">
        <f>TrAvia_act!F$11</f>
        <v>1868.0574733974479</v>
      </c>
      <c r="G25" s="102">
        <f>TrAvia_act!G$11</f>
        <v>1840.3298502884809</v>
      </c>
      <c r="H25" s="102">
        <f>TrAvia_act!H$11</f>
        <v>1858.3122900245164</v>
      </c>
      <c r="I25" s="102">
        <f>TrAvia_act!I$11</f>
        <v>2222.7951257019713</v>
      </c>
      <c r="J25" s="102">
        <f>TrAvia_act!J$11</f>
        <v>2479.620629020897</v>
      </c>
      <c r="K25" s="102">
        <f>TrAvia_act!K$11</f>
        <v>2209.3400533890781</v>
      </c>
      <c r="L25" s="102">
        <f>TrAvia_act!L$11</f>
        <v>2295.2702697644122</v>
      </c>
      <c r="M25" s="102">
        <f>TrAvia_act!M$11</f>
        <v>2328.0142171509578</v>
      </c>
      <c r="N25" s="102">
        <f>TrAvia_act!N$11</f>
        <v>1988.4105432438812</v>
      </c>
      <c r="O25" s="102">
        <f>TrAvia_act!O$11</f>
        <v>2174.0064061532025</v>
      </c>
      <c r="P25" s="102">
        <f>TrAvia_act!P$11</f>
        <v>2411.1395115732403</v>
      </c>
      <c r="Q25" s="102">
        <f>TrAvia_act!Q$11</f>
        <v>2759.2804290982535</v>
      </c>
      <c r="R25" s="102">
        <f>TrAvia_act!R$11</f>
        <v>3008.0684550753417</v>
      </c>
      <c r="S25" s="102">
        <f>TrAvia_act!S$11</f>
        <v>3263.8158615336724</v>
      </c>
      <c r="T25" s="102">
        <f>TrAvia_act!T$11</f>
        <v>3184.7749874616338</v>
      </c>
      <c r="U25" s="102">
        <f>TrAvia_act!U$11</f>
        <v>3189.4820044817834</v>
      </c>
      <c r="V25" s="102">
        <f>TrAvia_act!V$11</f>
        <v>3144.7490870765773</v>
      </c>
      <c r="W25" s="102">
        <f>TrAvia_act!W$11</f>
        <v>3970.5626911590671</v>
      </c>
      <c r="X25" s="102">
        <f>TrAvia_act!X$11</f>
        <v>3837.2474417075418</v>
      </c>
      <c r="Y25" s="102">
        <f>TrAvia_act!Y$11</f>
        <v>3158.6394991018037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378</v>
      </c>
      <c r="C26" s="110">
        <f t="shared" si="21"/>
        <v>371</v>
      </c>
      <c r="D26" s="110">
        <f t="shared" si="21"/>
        <v>370</v>
      </c>
      <c r="E26" s="110">
        <f t="shared" si="21"/>
        <v>316</v>
      </c>
      <c r="F26" s="110">
        <f t="shared" si="21"/>
        <v>370</v>
      </c>
      <c r="G26" s="110">
        <f t="shared" si="21"/>
        <v>342</v>
      </c>
      <c r="H26" s="110">
        <f t="shared" si="21"/>
        <v>381</v>
      </c>
      <c r="I26" s="110">
        <f t="shared" si="21"/>
        <v>345</v>
      </c>
      <c r="J26" s="110">
        <f t="shared" si="21"/>
        <v>367</v>
      </c>
      <c r="K26" s="110">
        <f t="shared" si="21"/>
        <v>279</v>
      </c>
      <c r="L26" s="110">
        <f t="shared" si="21"/>
        <v>359</v>
      </c>
      <c r="M26" s="110">
        <f t="shared" si="21"/>
        <v>305</v>
      </c>
      <c r="N26" s="110">
        <f t="shared" si="21"/>
        <v>290</v>
      </c>
      <c r="O26" s="110">
        <f t="shared" si="21"/>
        <v>313</v>
      </c>
      <c r="P26" s="110">
        <f t="shared" si="21"/>
        <v>285</v>
      </c>
      <c r="Q26" s="110">
        <f t="shared" si="21"/>
        <v>235</v>
      </c>
      <c r="R26" s="110">
        <f t="shared" ref="R26:V26" si="22">R27+R28</f>
        <v>190</v>
      </c>
      <c r="S26" s="110">
        <f t="shared" si="22"/>
        <v>195</v>
      </c>
      <c r="T26" s="110">
        <f t="shared" si="22"/>
        <v>205</v>
      </c>
      <c r="U26" s="110">
        <f t="shared" si="22"/>
        <v>228</v>
      </c>
      <c r="V26" s="110">
        <f t="shared" si="22"/>
        <v>201</v>
      </c>
      <c r="W26" s="110">
        <f t="shared" ref="W26:Y26" si="23">W27+W28</f>
        <v>217</v>
      </c>
      <c r="X26" s="110">
        <f t="shared" si="23"/>
        <v>200</v>
      </c>
      <c r="Y26" s="110">
        <f t="shared" si="23"/>
        <v>165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X27" s="102">
        <f>TrNavi_act!X4</f>
        <v>0</v>
      </c>
      <c r="Y27" s="102">
        <f>TrNavi_act!Y4</f>
        <v>0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378</v>
      </c>
      <c r="C28" s="169">
        <f>TrNavi_act!C5</f>
        <v>371</v>
      </c>
      <c r="D28" s="169">
        <f>TrNavi_act!D5</f>
        <v>370</v>
      </c>
      <c r="E28" s="169">
        <f>TrNavi_act!E5</f>
        <v>316</v>
      </c>
      <c r="F28" s="169">
        <f>TrNavi_act!F5</f>
        <v>370</v>
      </c>
      <c r="G28" s="169">
        <f>TrNavi_act!G5</f>
        <v>342</v>
      </c>
      <c r="H28" s="169">
        <f>TrNavi_act!H5</f>
        <v>381</v>
      </c>
      <c r="I28" s="169">
        <f>TrNavi_act!I5</f>
        <v>345</v>
      </c>
      <c r="J28" s="169">
        <f>TrNavi_act!J5</f>
        <v>367</v>
      </c>
      <c r="K28" s="169">
        <f>TrNavi_act!K5</f>
        <v>279</v>
      </c>
      <c r="L28" s="169">
        <f>TrNavi_act!L5</f>
        <v>359</v>
      </c>
      <c r="M28" s="169">
        <f>TrNavi_act!M5</f>
        <v>305</v>
      </c>
      <c r="N28" s="169">
        <f>TrNavi_act!N5</f>
        <v>290</v>
      </c>
      <c r="O28" s="169">
        <f>TrNavi_act!O5</f>
        <v>313</v>
      </c>
      <c r="P28" s="169">
        <f>TrNavi_act!P5</f>
        <v>285</v>
      </c>
      <c r="Q28" s="169">
        <f>TrNavi_act!Q5</f>
        <v>235</v>
      </c>
      <c r="R28" s="169">
        <f>TrNavi_act!R5</f>
        <v>190</v>
      </c>
      <c r="S28" s="169">
        <f>TrNavi_act!S5</f>
        <v>195</v>
      </c>
      <c r="T28" s="169">
        <f>TrNavi_act!T5</f>
        <v>205</v>
      </c>
      <c r="U28" s="169">
        <f>TrNavi_act!U5</f>
        <v>228</v>
      </c>
      <c r="V28" s="169">
        <f>TrNavi_act!V5</f>
        <v>201</v>
      </c>
      <c r="W28" s="169">
        <f>TrNavi_act!W5</f>
        <v>217</v>
      </c>
      <c r="X28" s="169">
        <f>TrNavi_act!X5</f>
        <v>200</v>
      </c>
      <c r="Y28" s="169">
        <f>TrNavi_act!Y5</f>
        <v>165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0</v>
      </c>
      <c r="J29" s="28">
        <f t="shared" si="24"/>
        <v>0</v>
      </c>
      <c r="K29" s="28">
        <f t="shared" si="24"/>
        <v>0</v>
      </c>
      <c r="L29" s="28">
        <f t="shared" si="24"/>
        <v>0</v>
      </c>
      <c r="M29" s="28">
        <f t="shared" si="24"/>
        <v>0</v>
      </c>
      <c r="N29" s="28">
        <f t="shared" si="24"/>
        <v>0</v>
      </c>
      <c r="O29" s="28">
        <f t="shared" si="24"/>
        <v>0</v>
      </c>
      <c r="P29" s="28">
        <f t="shared" si="24"/>
        <v>0</v>
      </c>
      <c r="Q29" s="28">
        <f t="shared" si="24"/>
        <v>0</v>
      </c>
      <c r="R29" s="28">
        <f t="shared" si="24"/>
        <v>0</v>
      </c>
      <c r="S29" s="28">
        <f t="shared" si="24"/>
        <v>0</v>
      </c>
      <c r="T29" s="28">
        <f t="shared" si="24"/>
        <v>0</v>
      </c>
      <c r="U29" s="28">
        <f t="shared" si="24"/>
        <v>0</v>
      </c>
      <c r="V29" s="28">
        <f t="shared" si="24"/>
        <v>0</v>
      </c>
      <c r="W29" s="28">
        <f t="shared" si="24"/>
        <v>0</v>
      </c>
      <c r="X29" s="28">
        <f t="shared" ref="X29:Y29" si="25">X30+X31</f>
        <v>0</v>
      </c>
      <c r="Y29" s="28">
        <f t="shared" si="25"/>
        <v>0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0</v>
      </c>
      <c r="J30" s="102">
        <f>MBunk_act!J$4</f>
        <v>0</v>
      </c>
      <c r="K30" s="102">
        <f>MBunk_act!K$4</f>
        <v>0</v>
      </c>
      <c r="L30" s="102">
        <f>MBunk_act!L$4</f>
        <v>0</v>
      </c>
      <c r="M30" s="102">
        <f>MBunk_act!M$4</f>
        <v>0</v>
      </c>
      <c r="N30" s="102">
        <f>MBunk_act!N$4</f>
        <v>0</v>
      </c>
      <c r="O30" s="102">
        <f>MBunk_act!O$4</f>
        <v>0</v>
      </c>
      <c r="P30" s="102">
        <f>MBunk_act!P$4</f>
        <v>0</v>
      </c>
      <c r="Q30" s="102">
        <f>MBunk_act!Q$4</f>
        <v>0</v>
      </c>
      <c r="R30" s="102">
        <f>MBunk_act!R$4</f>
        <v>0</v>
      </c>
      <c r="S30" s="102">
        <f>MBunk_act!S$4</f>
        <v>0</v>
      </c>
      <c r="T30" s="102">
        <f>MBunk_act!T$4</f>
        <v>0</v>
      </c>
      <c r="U30" s="102">
        <f>MBunk_act!U$4</f>
        <v>0</v>
      </c>
      <c r="V30" s="102">
        <f>MBunk_act!V$4</f>
        <v>0</v>
      </c>
      <c r="W30" s="102">
        <f>MBunk_act!W$4</f>
        <v>0</v>
      </c>
      <c r="X30" s="102">
        <f>MBunk_act!X$4</f>
        <v>0</v>
      </c>
      <c r="Y30" s="102">
        <f>MBunk_act!Y$4</f>
        <v>0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0</v>
      </c>
      <c r="J31" s="86">
        <f>MBunk_act!J$5</f>
        <v>0</v>
      </c>
      <c r="K31" s="86">
        <f>MBunk_act!K$5</f>
        <v>0</v>
      </c>
      <c r="L31" s="86">
        <f>MBunk_act!L$5</f>
        <v>0</v>
      </c>
      <c r="M31" s="86">
        <f>MBunk_act!M$5</f>
        <v>0</v>
      </c>
      <c r="N31" s="86">
        <f>MBunk_act!N$5</f>
        <v>0</v>
      </c>
      <c r="O31" s="86">
        <f>MBunk_act!O$5</f>
        <v>0</v>
      </c>
      <c r="P31" s="86">
        <f>MBunk_act!P$5</f>
        <v>0</v>
      </c>
      <c r="Q31" s="86">
        <f>MBunk_act!Q$5</f>
        <v>0</v>
      </c>
      <c r="R31" s="86">
        <f>MBunk_act!R$5</f>
        <v>0</v>
      </c>
      <c r="S31" s="86">
        <f>MBunk_act!S$5</f>
        <v>0</v>
      </c>
      <c r="T31" s="86">
        <f>MBunk_act!T$5</f>
        <v>0</v>
      </c>
      <c r="U31" s="86">
        <f>MBunk_act!U$5</f>
        <v>0</v>
      </c>
      <c r="V31" s="86">
        <f>MBunk_act!V$5</f>
        <v>0</v>
      </c>
      <c r="W31" s="86">
        <f>MBunk_act!W$5</f>
        <v>0</v>
      </c>
      <c r="X31" s="86">
        <f>MBunk_act!X$5</f>
        <v>0</v>
      </c>
      <c r="Y31" s="86">
        <f>MBunk_act!Y$5</f>
        <v>0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968.07678127035183</v>
      </c>
      <c r="C34" s="28">
        <f t="shared" si="26"/>
        <v>998.78127546384087</v>
      </c>
      <c r="D34" s="28">
        <f t="shared" si="26"/>
        <v>1025.7544764585452</v>
      </c>
      <c r="E34" s="28">
        <f t="shared" si="26"/>
        <v>1081.6309578104206</v>
      </c>
      <c r="F34" s="28">
        <f t="shared" si="26"/>
        <v>1109.2851757410128</v>
      </c>
      <c r="G34" s="28">
        <f t="shared" si="26"/>
        <v>1072.9758122624103</v>
      </c>
      <c r="H34" s="28">
        <f t="shared" si="26"/>
        <v>1031.5451142550919</v>
      </c>
      <c r="I34" s="28">
        <f t="shared" si="26"/>
        <v>1064.3814759644069</v>
      </c>
      <c r="J34" s="28">
        <f t="shared" si="26"/>
        <v>1087.5460064736035</v>
      </c>
      <c r="K34" s="28">
        <f t="shared" si="26"/>
        <v>1092.193494485969</v>
      </c>
      <c r="L34" s="28">
        <f t="shared" si="26"/>
        <v>1081.9987621130151</v>
      </c>
      <c r="M34" s="28">
        <f t="shared" si="26"/>
        <v>1124.7801091377521</v>
      </c>
      <c r="N34" s="28">
        <f t="shared" si="26"/>
        <v>1110.0608843347827</v>
      </c>
      <c r="O34" s="28">
        <f t="shared" si="26"/>
        <v>1050.4278284983516</v>
      </c>
      <c r="P34" s="28">
        <f t="shared" si="26"/>
        <v>1068.2288148491944</v>
      </c>
      <c r="Q34" s="28">
        <f t="shared" si="26"/>
        <v>1058.9557252810898</v>
      </c>
      <c r="R34" s="28">
        <f t="shared" ref="R34:V34" si="27">R35+R39+R43</f>
        <v>1023.5033808929962</v>
      </c>
      <c r="S34" s="28">
        <f t="shared" si="27"/>
        <v>1087.9970234136281</v>
      </c>
      <c r="T34" s="28">
        <f t="shared" si="27"/>
        <v>1211.8746975859715</v>
      </c>
      <c r="U34" s="28">
        <f t="shared" si="27"/>
        <v>1229.7398521900925</v>
      </c>
      <c r="V34" s="28">
        <f t="shared" si="27"/>
        <v>802.33708139800081</v>
      </c>
      <c r="W34" s="28">
        <f t="shared" ref="W34:Y34" si="28">W35+W39+W43</f>
        <v>938.38724806044468</v>
      </c>
      <c r="X34" s="28">
        <f t="shared" si="28"/>
        <v>1021.6364098456226</v>
      </c>
      <c r="Y34" s="28">
        <f t="shared" si="28"/>
        <v>1000.7142746975238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914.21820805270784</v>
      </c>
      <c r="C35" s="137">
        <f t="shared" si="29"/>
        <v>937.11212877608875</v>
      </c>
      <c r="D35" s="137">
        <f t="shared" si="29"/>
        <v>959.38414946882563</v>
      </c>
      <c r="E35" s="137">
        <f t="shared" si="29"/>
        <v>1016.7818398435963</v>
      </c>
      <c r="F35" s="137">
        <f t="shared" si="29"/>
        <v>1037.1095074641964</v>
      </c>
      <c r="G35" s="137">
        <f t="shared" si="29"/>
        <v>1002.42456489707</v>
      </c>
      <c r="H35" s="137">
        <f t="shared" si="29"/>
        <v>963.70837190596296</v>
      </c>
      <c r="I35" s="137">
        <f t="shared" si="29"/>
        <v>979.20840939662708</v>
      </c>
      <c r="J35" s="137">
        <f t="shared" si="29"/>
        <v>995.75956477896568</v>
      </c>
      <c r="K35" s="137">
        <f t="shared" si="29"/>
        <v>977.19561322047127</v>
      </c>
      <c r="L35" s="137">
        <f t="shared" si="29"/>
        <v>956.27822223064038</v>
      </c>
      <c r="M35" s="137">
        <f t="shared" si="29"/>
        <v>1023.7298131250136</v>
      </c>
      <c r="N35" s="137">
        <f t="shared" si="29"/>
        <v>1019.4714551451226</v>
      </c>
      <c r="O35" s="137">
        <f t="shared" si="29"/>
        <v>961.26720387616024</v>
      </c>
      <c r="P35" s="137">
        <f t="shared" si="29"/>
        <v>951.28601695204088</v>
      </c>
      <c r="Q35" s="137">
        <f t="shared" si="29"/>
        <v>921.33871061175535</v>
      </c>
      <c r="R35" s="137">
        <f t="shared" ref="R35:V35" si="30">R36+R37+R38</f>
        <v>897.0733777688306</v>
      </c>
      <c r="S35" s="137">
        <f t="shared" si="30"/>
        <v>897.06339975615424</v>
      </c>
      <c r="T35" s="137">
        <f t="shared" si="30"/>
        <v>934.16279928704796</v>
      </c>
      <c r="U35" s="137">
        <f t="shared" si="30"/>
        <v>922.40230922206047</v>
      </c>
      <c r="V35" s="137">
        <f t="shared" si="30"/>
        <v>707.03104298539631</v>
      </c>
      <c r="W35" s="137">
        <f t="shared" ref="W35:Y35" si="31">W36+W37+W38</f>
        <v>783.97790049296748</v>
      </c>
      <c r="X35" s="137">
        <f t="shared" si="31"/>
        <v>806.78065700871184</v>
      </c>
      <c r="Y35" s="137">
        <f t="shared" si="31"/>
        <v>840.82172838737426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1.5658453299469843</v>
      </c>
      <c r="C36" s="102">
        <f>TrRoad_ene!C$19</f>
        <v>1.5954840517365898</v>
      </c>
      <c r="D36" s="102">
        <f>TrRoad_ene!D$19</f>
        <v>1.6741078489515919</v>
      </c>
      <c r="E36" s="102">
        <f>TrRoad_ene!E$19</f>
        <v>1.6996852398974149</v>
      </c>
      <c r="F36" s="102">
        <f>TrRoad_ene!F$19</f>
        <v>1.7981571194216976</v>
      </c>
      <c r="G36" s="102">
        <f>TrRoad_ene!G$19</f>
        <v>1.8193856751247359</v>
      </c>
      <c r="H36" s="102">
        <f>TrRoad_ene!H$19</f>
        <v>1.8333825986257788</v>
      </c>
      <c r="I36" s="102">
        <f>TrRoad_ene!I$19</f>
        <v>1.8370737832395783</v>
      </c>
      <c r="J36" s="102">
        <f>TrRoad_ene!J$19</f>
        <v>1.8531256416941824</v>
      </c>
      <c r="K36" s="102">
        <f>TrRoad_ene!K$19</f>
        <v>1.9017470867140982</v>
      </c>
      <c r="L36" s="102">
        <f>TrRoad_ene!L$19</f>
        <v>1.9489312118192685</v>
      </c>
      <c r="M36" s="102">
        <f>TrRoad_ene!M$19</f>
        <v>1.9862822509542166</v>
      </c>
      <c r="N36" s="102">
        <f>TrRoad_ene!N$19</f>
        <v>2.0750545566300524</v>
      </c>
      <c r="O36" s="102">
        <f>TrRoad_ene!O$19</f>
        <v>2.1173131300413939</v>
      </c>
      <c r="P36" s="102">
        <f>TrRoad_ene!P$19</f>
        <v>2.1851750210474212</v>
      </c>
      <c r="Q36" s="102">
        <f>TrRoad_ene!Q$19</f>
        <v>2.2550436353596348</v>
      </c>
      <c r="R36" s="102">
        <f>TrRoad_ene!R$19</f>
        <v>2.3372545397139688</v>
      </c>
      <c r="S36" s="102">
        <f>TrRoad_ene!S$19</f>
        <v>2.2538910216330579</v>
      </c>
      <c r="T36" s="102">
        <f>TrRoad_ene!T$19</f>
        <v>2.1493586638161051</v>
      </c>
      <c r="U36" s="102">
        <f>TrRoad_ene!U$19</f>
        <v>2.2398439667662129</v>
      </c>
      <c r="V36" s="102">
        <f>TrRoad_ene!V$19</f>
        <v>2.0006581680470994</v>
      </c>
      <c r="W36" s="102">
        <f>TrRoad_ene!W$19</f>
        <v>2.0807470930828251</v>
      </c>
      <c r="X36" s="102">
        <f>TrRoad_ene!X$19</f>
        <v>2.0928587504823173</v>
      </c>
      <c r="Y36" s="102">
        <f>TrRoad_ene!Y$19</f>
        <v>2.2381594581234272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888.27917183283512</v>
      </c>
      <c r="C37" s="102">
        <f>TrRoad_ene!C$21</f>
        <v>910.36176829800331</v>
      </c>
      <c r="D37" s="102">
        <f>TrRoad_ene!D$21</f>
        <v>931.10271281339089</v>
      </c>
      <c r="E37" s="102">
        <f>TrRoad_ene!E$21</f>
        <v>988.2854576043793</v>
      </c>
      <c r="F37" s="102">
        <f>TrRoad_ene!F$21</f>
        <v>1008.4967926643752</v>
      </c>
      <c r="G37" s="102">
        <f>TrRoad_ene!G$21</f>
        <v>973.16268260771437</v>
      </c>
      <c r="H37" s="102">
        <f>TrRoad_ene!H$21</f>
        <v>934.56625443686596</v>
      </c>
      <c r="I37" s="102">
        <f>TrRoad_ene!I$21</f>
        <v>949.33156669373273</v>
      </c>
      <c r="J37" s="102">
        <f>TrRoad_ene!J$21</f>
        <v>964.93243004118187</v>
      </c>
      <c r="K37" s="102">
        <f>TrRoad_ene!K$21</f>
        <v>945.62698609342465</v>
      </c>
      <c r="L37" s="102">
        <f>TrRoad_ene!L$21</f>
        <v>923.99320291599986</v>
      </c>
      <c r="M37" s="102">
        <f>TrRoad_ene!M$21</f>
        <v>990.56441495596096</v>
      </c>
      <c r="N37" s="102">
        <f>TrRoad_ene!N$21</f>
        <v>986.192824295322</v>
      </c>
      <c r="O37" s="102">
        <f>TrRoad_ene!O$21</f>
        <v>927.72900652027886</v>
      </c>
      <c r="P37" s="102">
        <f>TrRoad_ene!P$21</f>
        <v>917.79401618539805</v>
      </c>
      <c r="Q37" s="102">
        <f>TrRoad_ene!Q$21</f>
        <v>886.6958407377449</v>
      </c>
      <c r="R37" s="102">
        <f>TrRoad_ene!R$21</f>
        <v>861.64215129121305</v>
      </c>
      <c r="S37" s="102">
        <f>TrRoad_ene!S$21</f>
        <v>860.55463156481983</v>
      </c>
      <c r="T37" s="102">
        <f>TrRoad_ene!T$21</f>
        <v>897.21430222014874</v>
      </c>
      <c r="U37" s="102">
        <f>TrRoad_ene!U$21</f>
        <v>884.67797852475007</v>
      </c>
      <c r="V37" s="102">
        <f>TrRoad_ene!V$21</f>
        <v>670.267025043221</v>
      </c>
      <c r="W37" s="102">
        <f>TrRoad_ene!W$21</f>
        <v>747.72306254965019</v>
      </c>
      <c r="X37" s="102">
        <f>TrRoad_ene!X$21</f>
        <v>772.27873737417201</v>
      </c>
      <c r="Y37" s="102">
        <f>TrRoad_ene!Y$21</f>
        <v>807.44320170579692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24.373190889925677</v>
      </c>
      <c r="C38" s="102">
        <f>TrRoad_ene!C$33</f>
        <v>25.154876426348839</v>
      </c>
      <c r="D38" s="102">
        <f>TrRoad_ene!D$33</f>
        <v>26.607328806483164</v>
      </c>
      <c r="E38" s="102">
        <f>TrRoad_ene!E$33</f>
        <v>26.796696999319618</v>
      </c>
      <c r="F38" s="102">
        <f>TrRoad_ene!F$33</f>
        <v>26.814557680399467</v>
      </c>
      <c r="G38" s="102">
        <f>TrRoad_ene!G$33</f>
        <v>27.442496614230901</v>
      </c>
      <c r="H38" s="102">
        <f>TrRoad_ene!H$33</f>
        <v>27.308734870471234</v>
      </c>
      <c r="I38" s="102">
        <f>TrRoad_ene!I$33</f>
        <v>28.039768919654747</v>
      </c>
      <c r="J38" s="102">
        <f>TrRoad_ene!J$33</f>
        <v>28.974009096089578</v>
      </c>
      <c r="K38" s="102">
        <f>TrRoad_ene!K$33</f>
        <v>29.666880040332586</v>
      </c>
      <c r="L38" s="102">
        <f>TrRoad_ene!L$33</f>
        <v>30.336088102821236</v>
      </c>
      <c r="M38" s="102">
        <f>TrRoad_ene!M$33</f>
        <v>31.179115918098375</v>
      </c>
      <c r="N38" s="102">
        <f>TrRoad_ene!N$33</f>
        <v>31.203576293170549</v>
      </c>
      <c r="O38" s="102">
        <f>TrRoad_ene!O$33</f>
        <v>31.420884225840066</v>
      </c>
      <c r="P38" s="102">
        <f>TrRoad_ene!P$33</f>
        <v>31.306825745595411</v>
      </c>
      <c r="Q38" s="102">
        <f>TrRoad_ene!Q$33</f>
        <v>32.38782623865081</v>
      </c>
      <c r="R38" s="102">
        <f>TrRoad_ene!R$33</f>
        <v>33.093971937903618</v>
      </c>
      <c r="S38" s="102">
        <f>TrRoad_ene!S$33</f>
        <v>34.254877169701388</v>
      </c>
      <c r="T38" s="102">
        <f>TrRoad_ene!T$33</f>
        <v>34.799138403083141</v>
      </c>
      <c r="U38" s="102">
        <f>TrRoad_ene!U$33</f>
        <v>35.484486730544162</v>
      </c>
      <c r="V38" s="102">
        <f>TrRoad_ene!V$33</f>
        <v>34.763359774128212</v>
      </c>
      <c r="W38" s="102">
        <f>TrRoad_ene!W$33</f>
        <v>34.174090850234457</v>
      </c>
      <c r="X38" s="102">
        <f>TrRoad_ene!X$33</f>
        <v>32.409060884057531</v>
      </c>
      <c r="Y38" s="102">
        <f>TrRoad_ene!Y$33</f>
        <v>31.1403672234539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8.4859883901889219</v>
      </c>
      <c r="C39" s="110">
        <f t="shared" si="32"/>
        <v>9.7643265324060593</v>
      </c>
      <c r="D39" s="110">
        <f t="shared" si="32"/>
        <v>9.5274119146209966</v>
      </c>
      <c r="E39" s="110">
        <f t="shared" si="32"/>
        <v>7.9130349386110659</v>
      </c>
      <c r="F39" s="110">
        <f t="shared" si="32"/>
        <v>7.2063162916475907</v>
      </c>
      <c r="G39" s="110">
        <f t="shared" si="32"/>
        <v>8.4652322759193908</v>
      </c>
      <c r="H39" s="110">
        <f t="shared" si="32"/>
        <v>9.1586479161528338</v>
      </c>
      <c r="I39" s="110">
        <f t="shared" si="32"/>
        <v>9.9555385031036607</v>
      </c>
      <c r="J39" s="110">
        <f t="shared" si="32"/>
        <v>11.804235243462587</v>
      </c>
      <c r="K39" s="110">
        <f t="shared" si="32"/>
        <v>11.576843426034475</v>
      </c>
      <c r="L39" s="110">
        <f t="shared" si="32"/>
        <v>12.482290952140435</v>
      </c>
      <c r="M39" s="110">
        <f t="shared" si="32"/>
        <v>13.28548769352013</v>
      </c>
      <c r="N39" s="110">
        <f t="shared" si="32"/>
        <v>13.527931062289642</v>
      </c>
      <c r="O39" s="110">
        <f t="shared" si="32"/>
        <v>13.953654509996264</v>
      </c>
      <c r="P39" s="110">
        <f t="shared" si="32"/>
        <v>13.625250219598653</v>
      </c>
      <c r="Q39" s="110">
        <f t="shared" si="32"/>
        <v>13.620821647915323</v>
      </c>
      <c r="R39" s="110">
        <f t="shared" ref="R39:V39" si="33">R40+R41+R42</f>
        <v>13.710062851154493</v>
      </c>
      <c r="S39" s="110">
        <f t="shared" si="33"/>
        <v>13.747602229383897</v>
      </c>
      <c r="T39" s="110">
        <f t="shared" si="33"/>
        <v>14.90141462426511</v>
      </c>
      <c r="U39" s="110">
        <f t="shared" si="33"/>
        <v>14.884948507425646</v>
      </c>
      <c r="V39" s="110">
        <f t="shared" si="33"/>
        <v>13.515771591057572</v>
      </c>
      <c r="W39" s="110">
        <f t="shared" ref="W39:Y39" si="34">W40+W41+W42</f>
        <v>14.809048952496418</v>
      </c>
      <c r="X39" s="110">
        <f t="shared" si="34"/>
        <v>14.132904434509086</v>
      </c>
      <c r="Y39" s="110">
        <f t="shared" si="34"/>
        <v>14.345925664826529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0.16603576824136926</v>
      </c>
      <c r="U40" s="102">
        <f>TrRail_ene!U$12</f>
        <v>0.26219695143575916</v>
      </c>
      <c r="V40" s="102">
        <f>TrRail_ene!V$12</f>
        <v>0.26649772028613733</v>
      </c>
      <c r="W40" s="102">
        <f>TrRail_ene!W$12</f>
        <v>0.34855988844466579</v>
      </c>
      <c r="X40" s="102">
        <f>TrRail_ene!X$12</f>
        <v>0.57984425211399693</v>
      </c>
      <c r="Y40" s="102">
        <f>TrRail_ene!Y$12</f>
        <v>0.50993227458306178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8.4859883901889219</v>
      </c>
      <c r="C41" s="102">
        <f>TrRail_ene!C$13</f>
        <v>9.7643265324060593</v>
      </c>
      <c r="D41" s="102">
        <f>TrRail_ene!D$13</f>
        <v>9.5274119146209966</v>
      </c>
      <c r="E41" s="102">
        <f>TrRail_ene!E$13</f>
        <v>7.9130349386110659</v>
      </c>
      <c r="F41" s="102">
        <f>TrRail_ene!F$13</f>
        <v>7.2063162916475907</v>
      </c>
      <c r="G41" s="102">
        <f>TrRail_ene!G$13</f>
        <v>8.4652322759193908</v>
      </c>
      <c r="H41" s="102">
        <f>TrRail_ene!H$13</f>
        <v>9.1586479161528338</v>
      </c>
      <c r="I41" s="102">
        <f>TrRail_ene!I$13</f>
        <v>9.9555385031036607</v>
      </c>
      <c r="J41" s="102">
        <f>TrRail_ene!J$13</f>
        <v>11.804235243462587</v>
      </c>
      <c r="K41" s="102">
        <f>TrRail_ene!K$13</f>
        <v>11.576843426034475</v>
      </c>
      <c r="L41" s="102">
        <f>TrRail_ene!L$13</f>
        <v>12.482290952140435</v>
      </c>
      <c r="M41" s="102">
        <f>TrRail_ene!M$13</f>
        <v>13.28548769352013</v>
      </c>
      <c r="N41" s="102">
        <f>TrRail_ene!N$13</f>
        <v>13.527931062289642</v>
      </c>
      <c r="O41" s="102">
        <f>TrRail_ene!O$13</f>
        <v>13.953654509996264</v>
      </c>
      <c r="P41" s="102">
        <f>TrRail_ene!P$13</f>
        <v>13.625250219598653</v>
      </c>
      <c r="Q41" s="102">
        <f>TrRail_ene!Q$13</f>
        <v>13.620821647915323</v>
      </c>
      <c r="R41" s="102">
        <f>TrRail_ene!R$13</f>
        <v>13.710062851154493</v>
      </c>
      <c r="S41" s="102">
        <f>TrRail_ene!S$13</f>
        <v>13.747602229383897</v>
      </c>
      <c r="T41" s="102">
        <f>TrRail_ene!T$13</f>
        <v>14.73537885602374</v>
      </c>
      <c r="U41" s="102">
        <f>TrRail_ene!U$13</f>
        <v>14.622751555989886</v>
      </c>
      <c r="V41" s="102">
        <f>TrRail_ene!V$13</f>
        <v>13.249273870771434</v>
      </c>
      <c r="W41" s="102">
        <f>TrRail_ene!W$13</f>
        <v>14.460489064051753</v>
      </c>
      <c r="X41" s="102">
        <f>TrRail_ene!X$13</f>
        <v>13.55306018239509</v>
      </c>
      <c r="Y41" s="102">
        <f>TrRail_ene!Y$13</f>
        <v>13.835993390243468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45.372584827455015</v>
      </c>
      <c r="C43" s="110">
        <f t="shared" si="35"/>
        <v>51.904820155346144</v>
      </c>
      <c r="D43" s="110">
        <f t="shared" si="35"/>
        <v>56.842915075098638</v>
      </c>
      <c r="E43" s="110">
        <f t="shared" si="35"/>
        <v>56.936083028213247</v>
      </c>
      <c r="F43" s="110">
        <f t="shared" si="35"/>
        <v>64.969351985168757</v>
      </c>
      <c r="G43" s="110">
        <f t="shared" si="35"/>
        <v>62.086015089420897</v>
      </c>
      <c r="H43" s="110">
        <f t="shared" si="35"/>
        <v>58.678094432975968</v>
      </c>
      <c r="I43" s="110">
        <f t="shared" si="35"/>
        <v>75.217528064676301</v>
      </c>
      <c r="J43" s="110">
        <f t="shared" si="35"/>
        <v>79.982206451175216</v>
      </c>
      <c r="K43" s="110">
        <f t="shared" si="35"/>
        <v>103.42103783946342</v>
      </c>
      <c r="L43" s="110">
        <f t="shared" si="35"/>
        <v>113.23824893023422</v>
      </c>
      <c r="M43" s="110">
        <f t="shared" si="35"/>
        <v>87.764808319218417</v>
      </c>
      <c r="N43" s="110">
        <f t="shared" si="35"/>
        <v>77.061498127370399</v>
      </c>
      <c r="O43" s="110">
        <f t="shared" si="35"/>
        <v>75.206970112195123</v>
      </c>
      <c r="P43" s="110">
        <f t="shared" si="35"/>
        <v>103.31754767755481</v>
      </c>
      <c r="Q43" s="110">
        <f t="shared" si="35"/>
        <v>123.9961930214192</v>
      </c>
      <c r="R43" s="110">
        <f t="shared" ref="R43:V43" si="36">R44+R45+R46</f>
        <v>112.71994027301112</v>
      </c>
      <c r="S43" s="110">
        <f t="shared" si="36"/>
        <v>177.18602142808993</v>
      </c>
      <c r="T43" s="110">
        <f t="shared" si="36"/>
        <v>262.81048367465831</v>
      </c>
      <c r="U43" s="110">
        <f t="shared" si="36"/>
        <v>292.45259446060641</v>
      </c>
      <c r="V43" s="110">
        <f t="shared" si="36"/>
        <v>81.790266821546922</v>
      </c>
      <c r="W43" s="110">
        <f t="shared" ref="W43:Y43" si="37">W44+W45+W46</f>
        <v>139.60029861498083</v>
      </c>
      <c r="X43" s="110">
        <f t="shared" si="37"/>
        <v>200.72284840240164</v>
      </c>
      <c r="Y43" s="110">
        <f t="shared" si="37"/>
        <v>145.54662064532303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35.222286868076274</v>
      </c>
      <c r="C45" s="102">
        <f>TrAvia_ene!C$8</f>
        <v>40.289458704115169</v>
      </c>
      <c r="D45" s="102">
        <f>TrAvia_ene!D$8</f>
        <v>44.135352448922212</v>
      </c>
      <c r="E45" s="102">
        <f>TrAvia_ene!E$8</f>
        <v>44.221813978508401</v>
      </c>
      <c r="F45" s="102">
        <f>TrAvia_ene!F$8</f>
        <v>50.46501370621327</v>
      </c>
      <c r="G45" s="102">
        <f>TrAvia_ene!G$8</f>
        <v>48.391561206603448</v>
      </c>
      <c r="H45" s="102">
        <f>TrAvia_ene!H$8</f>
        <v>45.837482403785543</v>
      </c>
      <c r="I45" s="102">
        <f>TrAvia_ene!I$8</f>
        <v>59.07856143747032</v>
      </c>
      <c r="J45" s="102">
        <f>TrAvia_ene!J$8</f>
        <v>61.898854744873681</v>
      </c>
      <c r="K45" s="102">
        <f>TrAvia_ene!K$8</f>
        <v>79.05074744528612</v>
      </c>
      <c r="L45" s="102">
        <f>TrAvia_ene!L$8</f>
        <v>87.137151636219798</v>
      </c>
      <c r="M45" s="102">
        <f>TrAvia_ene!M$8</f>
        <v>67.355331957098457</v>
      </c>
      <c r="N45" s="102">
        <f>TrAvia_ene!N$8</f>
        <v>59.333844552513526</v>
      </c>
      <c r="O45" s="102">
        <f>TrAvia_ene!O$8</f>
        <v>58.074319907732267</v>
      </c>
      <c r="P45" s="102">
        <f>TrAvia_ene!P$8</f>
        <v>79.76721916839621</v>
      </c>
      <c r="Q45" s="102">
        <f>TrAvia_ene!Q$8</f>
        <v>95.897165728935079</v>
      </c>
      <c r="R45" s="102">
        <f>TrAvia_ene!R$8</f>
        <v>88.428465116447867</v>
      </c>
      <c r="S45" s="102">
        <f>TrAvia_ene!S$8</f>
        <v>140.60706015663925</v>
      </c>
      <c r="T45" s="102">
        <f>TrAvia_ene!T$8</f>
        <v>207.66183993298588</v>
      </c>
      <c r="U45" s="102">
        <f>TrAvia_ene!U$8</f>
        <v>229.48883573363472</v>
      </c>
      <c r="V45" s="102">
        <f>TrAvia_ene!V$8</f>
        <v>60.059088423612721</v>
      </c>
      <c r="W45" s="102">
        <f>TrAvia_ene!W$8</f>
        <v>106.15000353952708</v>
      </c>
      <c r="X45" s="102">
        <f>TrAvia_ene!X$8</f>
        <v>160.03630304873283</v>
      </c>
      <c r="Y45" s="102">
        <f>TrAvia_ene!Y$8</f>
        <v>114.81272011633968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10.150297959378742</v>
      </c>
      <c r="C46" s="102">
        <f>TrAvia_ene!C$9</f>
        <v>11.615361451230974</v>
      </c>
      <c r="D46" s="102">
        <f>TrAvia_ene!D$9</f>
        <v>12.707562626176426</v>
      </c>
      <c r="E46" s="102">
        <f>TrAvia_ene!E$9</f>
        <v>12.714269049704848</v>
      </c>
      <c r="F46" s="102">
        <f>TrAvia_ene!F$9</f>
        <v>14.50433827895549</v>
      </c>
      <c r="G46" s="102">
        <f>TrAvia_ene!G$9</f>
        <v>13.694453882817447</v>
      </c>
      <c r="H46" s="102">
        <f>TrAvia_ene!H$9</f>
        <v>12.840612029190423</v>
      </c>
      <c r="I46" s="102">
        <f>TrAvia_ene!I$9</f>
        <v>16.138966627205985</v>
      </c>
      <c r="J46" s="102">
        <f>TrAvia_ene!J$9</f>
        <v>18.083351706301528</v>
      </c>
      <c r="K46" s="102">
        <f>TrAvia_ene!K$9</f>
        <v>24.370290394177303</v>
      </c>
      <c r="L46" s="102">
        <f>TrAvia_ene!L$9</f>
        <v>26.101097294014423</v>
      </c>
      <c r="M46" s="102">
        <f>TrAvia_ene!M$9</f>
        <v>20.40947636211996</v>
      </c>
      <c r="N46" s="102">
        <f>TrAvia_ene!N$9</f>
        <v>17.727653574856877</v>
      </c>
      <c r="O46" s="102">
        <f>TrAvia_ene!O$9</f>
        <v>17.132650204462859</v>
      </c>
      <c r="P46" s="102">
        <f>TrAvia_ene!P$9</f>
        <v>23.5503285091586</v>
      </c>
      <c r="Q46" s="102">
        <f>TrAvia_ene!Q$9</f>
        <v>28.099027292484124</v>
      </c>
      <c r="R46" s="102">
        <f>TrAvia_ene!R$9</f>
        <v>24.291475156563251</v>
      </c>
      <c r="S46" s="102">
        <f>TrAvia_ene!S$9</f>
        <v>36.578961271450687</v>
      </c>
      <c r="T46" s="102">
        <f>TrAvia_ene!T$9</f>
        <v>55.148643741672409</v>
      </c>
      <c r="U46" s="102">
        <f>TrAvia_ene!U$9</f>
        <v>62.963758726971705</v>
      </c>
      <c r="V46" s="102">
        <f>TrAvia_ene!V$9</f>
        <v>21.731178397934197</v>
      </c>
      <c r="W46" s="102">
        <f>TrAvia_ene!W$9</f>
        <v>33.450295075453752</v>
      </c>
      <c r="X46" s="102">
        <f>TrAvia_ene!X$9</f>
        <v>40.686545353668805</v>
      </c>
      <c r="Y46" s="102">
        <f>TrAvia_ene!Y$9</f>
        <v>30.733900528983344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945.78160222061967</v>
      </c>
      <c r="C47" s="28">
        <f t="shared" si="38"/>
        <v>1020.6288707098477</v>
      </c>
      <c r="D47" s="28">
        <f t="shared" si="38"/>
        <v>1089.4996078062866</v>
      </c>
      <c r="E47" s="28">
        <f t="shared" si="38"/>
        <v>1226.9385389293298</v>
      </c>
      <c r="F47" s="28">
        <f t="shared" si="38"/>
        <v>1545.7727599471441</v>
      </c>
      <c r="G47" s="28">
        <f t="shared" si="38"/>
        <v>1709.5908520730518</v>
      </c>
      <c r="H47" s="28">
        <f t="shared" si="38"/>
        <v>1622.5666079159607</v>
      </c>
      <c r="I47" s="28">
        <f t="shared" si="38"/>
        <v>1575.8648971426655</v>
      </c>
      <c r="J47" s="28">
        <f t="shared" si="38"/>
        <v>1584.957270578979</v>
      </c>
      <c r="K47" s="28">
        <f t="shared" si="38"/>
        <v>1388.0789824410995</v>
      </c>
      <c r="L47" s="28">
        <f t="shared" si="38"/>
        <v>1524.9645733682901</v>
      </c>
      <c r="M47" s="28">
        <f t="shared" si="38"/>
        <v>1586.2430879916228</v>
      </c>
      <c r="N47" s="28">
        <f t="shared" si="38"/>
        <v>1469.3322145295153</v>
      </c>
      <c r="O47" s="28">
        <f t="shared" si="38"/>
        <v>1490.1016259155065</v>
      </c>
      <c r="P47" s="28">
        <f t="shared" si="38"/>
        <v>1424.7487949223589</v>
      </c>
      <c r="Q47" s="28">
        <f t="shared" si="38"/>
        <v>1356.9316064017555</v>
      </c>
      <c r="R47" s="28">
        <f t="shared" ref="R47:V47" si="39">R48+R51+R52+R56</f>
        <v>1391.56329866745</v>
      </c>
      <c r="S47" s="28">
        <f t="shared" si="39"/>
        <v>1452.7630509788323</v>
      </c>
      <c r="T47" s="28">
        <f t="shared" si="39"/>
        <v>1504.0022198305824</v>
      </c>
      <c r="U47" s="28">
        <f t="shared" si="39"/>
        <v>1525.8784227858296</v>
      </c>
      <c r="V47" s="28">
        <f t="shared" si="39"/>
        <v>1414.145014831073</v>
      </c>
      <c r="W47" s="28">
        <f t="shared" ref="W47:Y47" si="40">W48+W51+W52+W56</f>
        <v>1460.6709986102476</v>
      </c>
      <c r="X47" s="28">
        <f t="shared" si="40"/>
        <v>1186.5095459128527</v>
      </c>
      <c r="Y47" s="28">
        <f t="shared" si="40"/>
        <v>1114.883318888521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665.38151937635485</v>
      </c>
      <c r="C48" s="137">
        <f t="shared" si="41"/>
        <v>720.18393657214847</v>
      </c>
      <c r="D48" s="137">
        <f t="shared" si="41"/>
        <v>765.10586514854276</v>
      </c>
      <c r="E48" s="137">
        <f t="shared" si="41"/>
        <v>887.43863625986876</v>
      </c>
      <c r="F48" s="137">
        <f t="shared" si="41"/>
        <v>1179.6978581465742</v>
      </c>
      <c r="G48" s="137">
        <f t="shared" si="41"/>
        <v>1335.2654450961738</v>
      </c>
      <c r="H48" s="137">
        <f t="shared" si="41"/>
        <v>1272.6563115720544</v>
      </c>
      <c r="I48" s="137">
        <f t="shared" si="41"/>
        <v>1211.4799774679693</v>
      </c>
      <c r="J48" s="137">
        <f t="shared" si="41"/>
        <v>1223.7133391007878</v>
      </c>
      <c r="K48" s="137">
        <f t="shared" si="41"/>
        <v>1069.2199273351443</v>
      </c>
      <c r="L48" s="137">
        <f t="shared" si="41"/>
        <v>1204.6777013848005</v>
      </c>
      <c r="M48" s="137">
        <f t="shared" si="41"/>
        <v>1268.5247528779641</v>
      </c>
      <c r="N48" s="137">
        <f t="shared" si="41"/>
        <v>1172.4100358085993</v>
      </c>
      <c r="O48" s="137">
        <f t="shared" si="41"/>
        <v>1189.7255351464685</v>
      </c>
      <c r="P48" s="137">
        <f t="shared" si="41"/>
        <v>1120.4653675400627</v>
      </c>
      <c r="Q48" s="137">
        <f t="shared" si="41"/>
        <v>1021.6937629455527</v>
      </c>
      <c r="R48" s="137">
        <f t="shared" ref="R48:V48" si="42">R49+R50</f>
        <v>994.96157350270767</v>
      </c>
      <c r="S48" s="137">
        <f t="shared" si="42"/>
        <v>1054.1834330197973</v>
      </c>
      <c r="T48" s="137">
        <f t="shared" si="42"/>
        <v>1151.2684603479065</v>
      </c>
      <c r="U48" s="137">
        <f t="shared" si="42"/>
        <v>1216.216911583612</v>
      </c>
      <c r="V48" s="137">
        <f t="shared" si="42"/>
        <v>948.10135418950745</v>
      </c>
      <c r="W48" s="137">
        <f t="shared" ref="W48:Y48" si="43">W49+W50</f>
        <v>975.48378555863633</v>
      </c>
      <c r="X48" s="137">
        <f t="shared" si="43"/>
        <v>738.82600382285023</v>
      </c>
      <c r="Y48" s="137">
        <f t="shared" si="43"/>
        <v>661.59839314364069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32.941317572402824</v>
      </c>
      <c r="C49" s="102">
        <f>TrRoad_ene!C$43</f>
        <v>33.972225422132524</v>
      </c>
      <c r="D49" s="102">
        <f>TrRoad_ene!D$43</f>
        <v>35.401004263695761</v>
      </c>
      <c r="E49" s="102">
        <f>TrRoad_ene!E$43</f>
        <v>36.077737675378394</v>
      </c>
      <c r="F49" s="102">
        <f>TrRoad_ene!F$43</f>
        <v>36.929724225361838</v>
      </c>
      <c r="G49" s="102">
        <f>TrRoad_ene!G$43</f>
        <v>38.195136186599797</v>
      </c>
      <c r="H49" s="102">
        <f>TrRoad_ene!H$43</f>
        <v>39.614340798183996</v>
      </c>
      <c r="I49" s="102">
        <f>TrRoad_ene!I$43</f>
        <v>42.383415891482784</v>
      </c>
      <c r="J49" s="102">
        <f>TrRoad_ene!J$43</f>
        <v>44.434908590240923</v>
      </c>
      <c r="K49" s="102">
        <f>TrRoad_ene!K$43</f>
        <v>44.496316736707982</v>
      </c>
      <c r="L49" s="102">
        <f>TrRoad_ene!L$43</f>
        <v>46.373108487864876</v>
      </c>
      <c r="M49" s="102">
        <f>TrRoad_ene!M$43</f>
        <v>49.055912294995395</v>
      </c>
      <c r="N49" s="102">
        <f>TrRoad_ene!N$43</f>
        <v>50.155646152302467</v>
      </c>
      <c r="O49" s="102">
        <f>TrRoad_ene!O$43</f>
        <v>50.948923138264909</v>
      </c>
      <c r="P49" s="102">
        <f>TrRoad_ene!P$43</f>
        <v>53.398191531805928</v>
      </c>
      <c r="Q49" s="102">
        <f>TrRoad_ene!Q$43</f>
        <v>55.171849382058596</v>
      </c>
      <c r="R49" s="102">
        <f>TrRoad_ene!R$43</f>
        <v>57.558340087457125</v>
      </c>
      <c r="S49" s="102">
        <f>TrRoad_ene!S$43</f>
        <v>58.489634257427639</v>
      </c>
      <c r="T49" s="102">
        <f>TrRoad_ene!T$43</f>
        <v>60.130612368251903</v>
      </c>
      <c r="U49" s="102">
        <f>TrRoad_ene!U$43</f>
        <v>60.63000517998524</v>
      </c>
      <c r="V49" s="102">
        <f>TrRoad_ene!V$43</f>
        <v>61.238676673301441</v>
      </c>
      <c r="W49" s="102">
        <f>TrRoad_ene!W$43</f>
        <v>63.715846881165305</v>
      </c>
      <c r="X49" s="102">
        <f>TrRoad_ene!X$43</f>
        <v>57.487895189683456</v>
      </c>
      <c r="Y49" s="102">
        <f>TrRoad_ene!Y$43</f>
        <v>57.052663251691477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632.44020180395205</v>
      </c>
      <c r="C50" s="102">
        <f>TrRoad_ene!C$52</f>
        <v>686.21171115001596</v>
      </c>
      <c r="D50" s="102">
        <f>TrRoad_ene!D$52</f>
        <v>729.70486088484699</v>
      </c>
      <c r="E50" s="102">
        <f>TrRoad_ene!E$52</f>
        <v>851.36089858449031</v>
      </c>
      <c r="F50" s="102">
        <f>TrRoad_ene!F$52</f>
        <v>1142.7681339212122</v>
      </c>
      <c r="G50" s="102">
        <f>TrRoad_ene!G$52</f>
        <v>1297.0703089095741</v>
      </c>
      <c r="H50" s="102">
        <f>TrRoad_ene!H$52</f>
        <v>1233.0419707738704</v>
      </c>
      <c r="I50" s="102">
        <f>TrRoad_ene!I$52</f>
        <v>1169.0965615764865</v>
      </c>
      <c r="J50" s="102">
        <f>TrRoad_ene!J$52</f>
        <v>1179.278430510547</v>
      </c>
      <c r="K50" s="102">
        <f>TrRoad_ene!K$52</f>
        <v>1024.7236105984364</v>
      </c>
      <c r="L50" s="102">
        <f>TrRoad_ene!L$52</f>
        <v>1158.3045928969357</v>
      </c>
      <c r="M50" s="102">
        <f>TrRoad_ene!M$52</f>
        <v>1219.4688405829688</v>
      </c>
      <c r="N50" s="102">
        <f>TrRoad_ene!N$52</f>
        <v>1122.2543896562968</v>
      </c>
      <c r="O50" s="102">
        <f>TrRoad_ene!O$52</f>
        <v>1138.7766120082035</v>
      </c>
      <c r="P50" s="102">
        <f>TrRoad_ene!P$52</f>
        <v>1067.0671760082569</v>
      </c>
      <c r="Q50" s="102">
        <f>TrRoad_ene!Q$52</f>
        <v>966.52191356349419</v>
      </c>
      <c r="R50" s="102">
        <f>TrRoad_ene!R$52</f>
        <v>937.4032334152505</v>
      </c>
      <c r="S50" s="102">
        <f>TrRoad_ene!S$52</f>
        <v>995.69379876236974</v>
      </c>
      <c r="T50" s="102">
        <f>TrRoad_ene!T$52</f>
        <v>1091.1378479796547</v>
      </c>
      <c r="U50" s="102">
        <f>TrRoad_ene!U$52</f>
        <v>1155.5869064036267</v>
      </c>
      <c r="V50" s="102">
        <f>TrRoad_ene!V$52</f>
        <v>886.86267751620596</v>
      </c>
      <c r="W50" s="102">
        <f>TrRoad_ene!W$52</f>
        <v>911.76793867747097</v>
      </c>
      <c r="X50" s="102">
        <f>TrRoad_ene!X$52</f>
        <v>681.33810863316671</v>
      </c>
      <c r="Y50" s="102">
        <f>TrRoad_ene!Y$52</f>
        <v>604.54572989194924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4.4713632865092734</v>
      </c>
      <c r="C51" s="110">
        <f>TrRail_ene!C$17</f>
        <v>4.8782358063729605</v>
      </c>
      <c r="D51" s="110">
        <f>TrRail_ene!D$17</f>
        <v>4.803972436195858</v>
      </c>
      <c r="E51" s="110">
        <f>TrRail_ene!E$17</f>
        <v>4.3608257664620194</v>
      </c>
      <c r="F51" s="110">
        <f>TrRail_ene!F$17</f>
        <v>4.4078711546120823</v>
      </c>
      <c r="G51" s="110">
        <f>TrRail_ene!G$17</f>
        <v>2.9585854368923021</v>
      </c>
      <c r="H51" s="110">
        <f>TrRail_ene!H$17</f>
        <v>2.8778095215083868</v>
      </c>
      <c r="I51" s="110">
        <f>TrRail_ene!I$17</f>
        <v>3.5758458477131909</v>
      </c>
      <c r="J51" s="110">
        <f>TrRail_ene!J$17</f>
        <v>2.2979143696070601</v>
      </c>
      <c r="K51" s="110">
        <f>TrRail_ene!K$17</f>
        <v>1.7358822833378342</v>
      </c>
      <c r="L51" s="110">
        <f>TrRail_ene!L$17</f>
        <v>1.9650865199145986</v>
      </c>
      <c r="M51" s="110">
        <f>TrRail_ene!M$17</f>
        <v>1.7583644131006788</v>
      </c>
      <c r="N51" s="110">
        <f>TrRail_ene!N$17</f>
        <v>1.475336349576218</v>
      </c>
      <c r="O51" s="110">
        <f>TrRail_ene!O$17</f>
        <v>1.4148751546640979</v>
      </c>
      <c r="P51" s="110">
        <f>TrRail_ene!P$17</f>
        <v>1.2746637958785612</v>
      </c>
      <c r="Q51" s="110">
        <f>TrRail_ene!Q$17</f>
        <v>1.256392453546409</v>
      </c>
      <c r="R51" s="110">
        <f>TrRail_ene!R$17</f>
        <v>1.1794470370656267</v>
      </c>
      <c r="S51" s="110">
        <f>TrRail_ene!S$17</f>
        <v>1.2398440302893572</v>
      </c>
      <c r="T51" s="110">
        <f>TrRail_ene!T$17</f>
        <v>1.2317754015302469</v>
      </c>
      <c r="U51" s="110">
        <f>TrRail_ene!U$17</f>
        <v>1.1797978382321341</v>
      </c>
      <c r="V51" s="110">
        <f>TrRail_ene!V$17</f>
        <v>1.0790693375752713</v>
      </c>
      <c r="W51" s="110">
        <f>TrRail_ene!W$17</f>
        <v>1.0654996287589502</v>
      </c>
      <c r="X51" s="110">
        <f>TrRail_ene!X$17</f>
        <v>0.96322626196554795</v>
      </c>
      <c r="Y51" s="110">
        <f>TrRail_ene!Y$17</f>
        <v>0.96361861720270769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275.46971955775558</v>
      </c>
      <c r="C52" s="110">
        <f t="shared" si="44"/>
        <v>295.11469833132634</v>
      </c>
      <c r="D52" s="110">
        <f t="shared" si="44"/>
        <v>319.13877022154799</v>
      </c>
      <c r="E52" s="110">
        <f t="shared" si="44"/>
        <v>334.74207690299909</v>
      </c>
      <c r="F52" s="110">
        <f t="shared" si="44"/>
        <v>361.21603064595763</v>
      </c>
      <c r="G52" s="110">
        <f t="shared" si="44"/>
        <v>370.94382153998572</v>
      </c>
      <c r="H52" s="110">
        <f t="shared" si="44"/>
        <v>346.57048682239798</v>
      </c>
      <c r="I52" s="110">
        <f t="shared" si="44"/>
        <v>360.38307382698304</v>
      </c>
      <c r="J52" s="110">
        <f t="shared" si="44"/>
        <v>358.49801710858407</v>
      </c>
      <c r="K52" s="110">
        <f t="shared" si="44"/>
        <v>316.76417282261735</v>
      </c>
      <c r="L52" s="110">
        <f t="shared" si="44"/>
        <v>317.88178546357489</v>
      </c>
      <c r="M52" s="110">
        <f t="shared" si="44"/>
        <v>315.57397070055799</v>
      </c>
      <c r="N52" s="110">
        <f t="shared" si="44"/>
        <v>295.07590514004136</v>
      </c>
      <c r="O52" s="110">
        <f t="shared" si="44"/>
        <v>298.61779343036721</v>
      </c>
      <c r="P52" s="110">
        <f t="shared" si="44"/>
        <v>302.65579712038164</v>
      </c>
      <c r="Q52" s="110">
        <f t="shared" si="44"/>
        <v>333.65625753748014</v>
      </c>
      <c r="R52" s="110">
        <f t="shared" si="44"/>
        <v>395.11557133489941</v>
      </c>
      <c r="S52" s="110">
        <f t="shared" si="44"/>
        <v>397.02326490037086</v>
      </c>
      <c r="T52" s="110">
        <f t="shared" si="44"/>
        <v>351.18659285156701</v>
      </c>
      <c r="U52" s="110">
        <f t="shared" si="44"/>
        <v>308.17896185925599</v>
      </c>
      <c r="V52" s="110">
        <f t="shared" si="44"/>
        <v>464.86115192307898</v>
      </c>
      <c r="W52" s="110">
        <f t="shared" ref="W52:Y52" si="45">W53+W54+W55</f>
        <v>484.03228951915492</v>
      </c>
      <c r="X52" s="110">
        <f t="shared" si="45"/>
        <v>446.61094351505324</v>
      </c>
      <c r="Y52" s="110">
        <f t="shared" si="45"/>
        <v>452.19293223515842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10.640671513073446</v>
      </c>
      <c r="C54" s="102">
        <f>TrAvia_ene!C$12</f>
        <v>4.5740185056979925</v>
      </c>
      <c r="D54" s="102">
        <f>TrAvia_ene!D$12</f>
        <v>3.0889564273944261</v>
      </c>
      <c r="E54" s="102">
        <f>TrAvia_ene!E$12</f>
        <v>5.0600766090231035</v>
      </c>
      <c r="F54" s="102">
        <f>TrAvia_ene!F$12</f>
        <v>4.8074421353362204</v>
      </c>
      <c r="G54" s="102">
        <f>TrAvia_ene!G$12</f>
        <v>5.6547999648883547</v>
      </c>
      <c r="H54" s="102">
        <f>TrAvia_ene!H$12</f>
        <v>2.933577212966799</v>
      </c>
      <c r="I54" s="102">
        <f>TrAvia_ene!I$12</f>
        <v>5.1977043911464982</v>
      </c>
      <c r="J54" s="102">
        <f>TrAvia_ene!J$12</f>
        <v>7.3130479482291451</v>
      </c>
      <c r="K54" s="102">
        <f>TrAvia_ene!K$12</f>
        <v>7.5580991436821625</v>
      </c>
      <c r="L54" s="102">
        <f>TrAvia_ene!L$12</f>
        <v>8.1679578395893149</v>
      </c>
      <c r="M54" s="102">
        <f>TrAvia_ene!M$12</f>
        <v>4.2669774489556129</v>
      </c>
      <c r="N54" s="102">
        <f>TrAvia_ene!N$12</f>
        <v>4.0845748540962994</v>
      </c>
      <c r="O54" s="102">
        <f>TrAvia_ene!O$12</f>
        <v>4.4406938344727518</v>
      </c>
      <c r="P54" s="102">
        <f>TrAvia_ene!P$12</f>
        <v>5.7535891784843463</v>
      </c>
      <c r="Q54" s="102">
        <f>TrAvia_ene!Q$12</f>
        <v>6.0179234920400058</v>
      </c>
      <c r="R54" s="102">
        <f>TrAvia_ene!R$12</f>
        <v>3.8814925486877234</v>
      </c>
      <c r="S54" s="102">
        <f>TrAvia_ene!S$12</f>
        <v>7.6186479515219387</v>
      </c>
      <c r="T54" s="102">
        <f>TrAvia_ene!T$12</f>
        <v>8.7323112843399464</v>
      </c>
      <c r="U54" s="102">
        <f>TrAvia_ene!U$12</f>
        <v>9.6325554248310397</v>
      </c>
      <c r="V54" s="102">
        <f>TrAvia_ene!V$12</f>
        <v>7.163666154973745</v>
      </c>
      <c r="W54" s="102">
        <f>TrAvia_ene!W$12</f>
        <v>7.661853268005185</v>
      </c>
      <c r="X54" s="102">
        <f>TrAvia_ene!X$12</f>
        <v>6.5566217366426809</v>
      </c>
      <c r="Y54" s="102">
        <f>TrAvia_ene!Y$12</f>
        <v>4.5995361025428156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264.82904804468211</v>
      </c>
      <c r="C55" s="102">
        <f>TrAvia_ene!C$13</f>
        <v>290.54067982562833</v>
      </c>
      <c r="D55" s="102">
        <f>TrAvia_ene!D$13</f>
        <v>316.04981379415358</v>
      </c>
      <c r="E55" s="102">
        <f>TrAvia_ene!E$13</f>
        <v>329.68200029397599</v>
      </c>
      <c r="F55" s="102">
        <f>TrAvia_ene!F$13</f>
        <v>356.40858851062143</v>
      </c>
      <c r="G55" s="102">
        <f>TrAvia_ene!G$13</f>
        <v>365.28902157509737</v>
      </c>
      <c r="H55" s="102">
        <f>TrAvia_ene!H$13</f>
        <v>343.6369096094312</v>
      </c>
      <c r="I55" s="102">
        <f>TrAvia_ene!I$13</f>
        <v>355.18536943583655</v>
      </c>
      <c r="J55" s="102">
        <f>TrAvia_ene!J$13</f>
        <v>351.18496916035491</v>
      </c>
      <c r="K55" s="102">
        <f>TrAvia_ene!K$13</f>
        <v>309.20607367893518</v>
      </c>
      <c r="L55" s="102">
        <f>TrAvia_ene!L$13</f>
        <v>309.71382762398559</v>
      </c>
      <c r="M55" s="102">
        <f>TrAvia_ene!M$13</f>
        <v>311.30699325160236</v>
      </c>
      <c r="N55" s="102">
        <f>TrAvia_ene!N$13</f>
        <v>290.99133028594508</v>
      </c>
      <c r="O55" s="102">
        <f>TrAvia_ene!O$13</f>
        <v>294.17709959589445</v>
      </c>
      <c r="P55" s="102">
        <f>TrAvia_ene!P$13</f>
        <v>296.9022079418973</v>
      </c>
      <c r="Q55" s="102">
        <f>TrAvia_ene!Q$13</f>
        <v>327.63833404544016</v>
      </c>
      <c r="R55" s="102">
        <f>TrAvia_ene!R$13</f>
        <v>391.23407878621168</v>
      </c>
      <c r="S55" s="102">
        <f>TrAvia_ene!S$13</f>
        <v>389.40461694884891</v>
      </c>
      <c r="T55" s="102">
        <f>TrAvia_ene!T$13</f>
        <v>342.45428156722704</v>
      </c>
      <c r="U55" s="102">
        <f>TrAvia_ene!U$13</f>
        <v>298.54640643442497</v>
      </c>
      <c r="V55" s="102">
        <f>TrAvia_ene!V$13</f>
        <v>457.69748576810525</v>
      </c>
      <c r="W55" s="102">
        <f>TrAvia_ene!W$13</f>
        <v>476.37043625114973</v>
      </c>
      <c r="X55" s="102">
        <f>TrAvia_ene!X$13</f>
        <v>440.05432177841055</v>
      </c>
      <c r="Y55" s="102">
        <f>TrAvia_ene!Y$13</f>
        <v>447.59339613261562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0.45900000000000002</v>
      </c>
      <c r="C56" s="110">
        <f t="shared" si="46"/>
        <v>0.45200000000000001</v>
      </c>
      <c r="D56" s="110">
        <f t="shared" si="46"/>
        <v>0.45100000000000001</v>
      </c>
      <c r="E56" s="110">
        <f t="shared" si="46"/>
        <v>0.39700000000000002</v>
      </c>
      <c r="F56" s="110">
        <f t="shared" si="46"/>
        <v>0.45100000000000001</v>
      </c>
      <c r="G56" s="110">
        <f t="shared" si="46"/>
        <v>0.42299999999999999</v>
      </c>
      <c r="H56" s="110">
        <f t="shared" si="46"/>
        <v>0.46200000000000002</v>
      </c>
      <c r="I56" s="110">
        <f t="shared" si="46"/>
        <v>0.42599999999999999</v>
      </c>
      <c r="J56" s="110">
        <f t="shared" si="46"/>
        <v>0.44800000000000001</v>
      </c>
      <c r="K56" s="110">
        <f t="shared" si="46"/>
        <v>0.35899999999999999</v>
      </c>
      <c r="L56" s="110">
        <f t="shared" si="46"/>
        <v>0.44</v>
      </c>
      <c r="M56" s="110">
        <f t="shared" si="46"/>
        <v>0.38600000000000001</v>
      </c>
      <c r="N56" s="110">
        <f t="shared" si="46"/>
        <v>0.37093723129836631</v>
      </c>
      <c r="O56" s="110">
        <f t="shared" si="46"/>
        <v>0.34342218400687879</v>
      </c>
      <c r="P56" s="110">
        <f t="shared" si="46"/>
        <v>0.35296646603611348</v>
      </c>
      <c r="Q56" s="110">
        <f t="shared" si="46"/>
        <v>0.32519346517626824</v>
      </c>
      <c r="R56" s="110">
        <f t="shared" ref="R56:V56" si="47">R57+R58</f>
        <v>0.30670679277730006</v>
      </c>
      <c r="S56" s="110">
        <f t="shared" si="47"/>
        <v>0.31650902837489248</v>
      </c>
      <c r="T56" s="110">
        <f t="shared" si="47"/>
        <v>0.31539122957867594</v>
      </c>
      <c r="U56" s="110">
        <f t="shared" si="47"/>
        <v>0.30275150472914875</v>
      </c>
      <c r="V56" s="110">
        <f t="shared" si="47"/>
        <v>0.10343938091143594</v>
      </c>
      <c r="W56" s="110">
        <f t="shared" ref="W56:Y56" si="48">W57+W58</f>
        <v>8.9423903697334467E-2</v>
      </c>
      <c r="X56" s="110">
        <f t="shared" si="48"/>
        <v>0.10937231298366294</v>
      </c>
      <c r="Y56" s="110">
        <f t="shared" si="48"/>
        <v>0.1283748925193465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X57" s="102">
        <f>TrNavi_ene!X4</f>
        <v>0</v>
      </c>
      <c r="Y57" s="102">
        <f>TrNavi_ene!Y4</f>
        <v>0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0.45900000000000002</v>
      </c>
      <c r="C58" s="169">
        <f>TrNavi_ene!C10</f>
        <v>0.45200000000000001</v>
      </c>
      <c r="D58" s="169">
        <f>TrNavi_ene!D10</f>
        <v>0.45100000000000001</v>
      </c>
      <c r="E58" s="169">
        <f>TrNavi_ene!E10</f>
        <v>0.39700000000000002</v>
      </c>
      <c r="F58" s="169">
        <f>TrNavi_ene!F10</f>
        <v>0.45100000000000001</v>
      </c>
      <c r="G58" s="169">
        <f>TrNavi_ene!G10</f>
        <v>0.42299999999999999</v>
      </c>
      <c r="H58" s="169">
        <f>TrNavi_ene!H10</f>
        <v>0.46200000000000002</v>
      </c>
      <c r="I58" s="169">
        <f>TrNavi_ene!I10</f>
        <v>0.42599999999999999</v>
      </c>
      <c r="J58" s="169">
        <f>TrNavi_ene!J10</f>
        <v>0.44800000000000001</v>
      </c>
      <c r="K58" s="169">
        <f>TrNavi_ene!K10</f>
        <v>0.35899999999999999</v>
      </c>
      <c r="L58" s="169">
        <f>TrNavi_ene!L10</f>
        <v>0.44</v>
      </c>
      <c r="M58" s="169">
        <f>TrNavi_ene!M10</f>
        <v>0.38600000000000001</v>
      </c>
      <c r="N58" s="169">
        <f>TrNavi_ene!N10</f>
        <v>0.37093723129836631</v>
      </c>
      <c r="O58" s="169">
        <f>TrNavi_ene!O10</f>
        <v>0.34342218400687879</v>
      </c>
      <c r="P58" s="169">
        <f>TrNavi_ene!P10</f>
        <v>0.35296646603611348</v>
      </c>
      <c r="Q58" s="169">
        <f>TrNavi_ene!Q10</f>
        <v>0.32519346517626824</v>
      </c>
      <c r="R58" s="169">
        <f>TrNavi_ene!R10</f>
        <v>0.30670679277730006</v>
      </c>
      <c r="S58" s="169">
        <f>TrNavi_ene!S10</f>
        <v>0.31650902837489248</v>
      </c>
      <c r="T58" s="169">
        <f>TrNavi_ene!T10</f>
        <v>0.31539122957867594</v>
      </c>
      <c r="U58" s="169">
        <f>TrNavi_ene!U10</f>
        <v>0.30275150472914875</v>
      </c>
      <c r="V58" s="169">
        <f>TrNavi_ene!V10</f>
        <v>0.10343938091143594</v>
      </c>
      <c r="W58" s="169">
        <f>TrNavi_ene!W10</f>
        <v>8.9423903697334467E-2</v>
      </c>
      <c r="X58" s="169">
        <f>TrNavi_ene!X10</f>
        <v>0.10937231298366294</v>
      </c>
      <c r="Y58" s="169">
        <f>TrNavi_ene!Y10</f>
        <v>0.1283748925193465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0</v>
      </c>
      <c r="C59" s="28">
        <f t="shared" ref="C59:W59" si="49">C60+C61</f>
        <v>0</v>
      </c>
      <c r="D59" s="28">
        <f t="shared" si="49"/>
        <v>0</v>
      </c>
      <c r="E59" s="28">
        <f t="shared" si="49"/>
        <v>0</v>
      </c>
      <c r="F59" s="28">
        <f t="shared" si="49"/>
        <v>0</v>
      </c>
      <c r="G59" s="28">
        <f t="shared" si="49"/>
        <v>0</v>
      </c>
      <c r="H59" s="28">
        <f t="shared" si="49"/>
        <v>0</v>
      </c>
      <c r="I59" s="28">
        <f t="shared" si="49"/>
        <v>0</v>
      </c>
      <c r="J59" s="28">
        <f t="shared" si="49"/>
        <v>0</v>
      </c>
      <c r="K59" s="28">
        <f t="shared" si="49"/>
        <v>0</v>
      </c>
      <c r="L59" s="28">
        <f t="shared" si="49"/>
        <v>0</v>
      </c>
      <c r="M59" s="28">
        <f t="shared" si="49"/>
        <v>0</v>
      </c>
      <c r="N59" s="28">
        <f t="shared" si="49"/>
        <v>0</v>
      </c>
      <c r="O59" s="28">
        <f t="shared" si="49"/>
        <v>0</v>
      </c>
      <c r="P59" s="28">
        <f t="shared" si="49"/>
        <v>0</v>
      </c>
      <c r="Q59" s="28">
        <f t="shared" si="49"/>
        <v>0</v>
      </c>
      <c r="R59" s="28">
        <f t="shared" si="49"/>
        <v>0</v>
      </c>
      <c r="S59" s="28">
        <f t="shared" si="49"/>
        <v>0</v>
      </c>
      <c r="T59" s="28">
        <f t="shared" si="49"/>
        <v>0</v>
      </c>
      <c r="U59" s="28">
        <f t="shared" si="49"/>
        <v>0</v>
      </c>
      <c r="V59" s="28">
        <f t="shared" si="49"/>
        <v>0</v>
      </c>
      <c r="W59" s="28">
        <f t="shared" si="49"/>
        <v>0</v>
      </c>
      <c r="X59" s="28">
        <f t="shared" ref="X59:Y59" si="50">X60+X61</f>
        <v>0</v>
      </c>
      <c r="Y59" s="28">
        <f t="shared" si="50"/>
        <v>0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0</v>
      </c>
      <c r="J60" s="102">
        <f>MBunk_ene!J$4</f>
        <v>0</v>
      </c>
      <c r="K60" s="102">
        <f>MBunk_ene!K$4</f>
        <v>0</v>
      </c>
      <c r="L60" s="102">
        <f>MBunk_ene!L$4</f>
        <v>0</v>
      </c>
      <c r="M60" s="102">
        <f>MBunk_ene!M$4</f>
        <v>0</v>
      </c>
      <c r="N60" s="102">
        <f>MBunk_ene!N$4</f>
        <v>0</v>
      </c>
      <c r="O60" s="102">
        <f>MBunk_ene!O$4</f>
        <v>0</v>
      </c>
      <c r="P60" s="102">
        <f>MBunk_ene!P$4</f>
        <v>0</v>
      </c>
      <c r="Q60" s="102">
        <f>MBunk_ene!Q$4</f>
        <v>0</v>
      </c>
      <c r="R60" s="102">
        <f>MBunk_ene!R$4</f>
        <v>0</v>
      </c>
      <c r="S60" s="102">
        <f>MBunk_ene!S$4</f>
        <v>0</v>
      </c>
      <c r="T60" s="102">
        <f>MBunk_ene!T$4</f>
        <v>0</v>
      </c>
      <c r="U60" s="102">
        <f>MBunk_ene!U$4</f>
        <v>0</v>
      </c>
      <c r="V60" s="102">
        <f>MBunk_ene!V$4</f>
        <v>0</v>
      </c>
      <c r="W60" s="102">
        <f>MBunk_ene!W$4</f>
        <v>0</v>
      </c>
      <c r="X60" s="102">
        <f>MBunk_ene!X$4</f>
        <v>0</v>
      </c>
      <c r="Y60" s="102">
        <f>MBunk_ene!Y$4</f>
        <v>0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0</v>
      </c>
      <c r="J61" s="86">
        <f>MBunk_ene!J$10</f>
        <v>0</v>
      </c>
      <c r="K61" s="86">
        <f>MBunk_ene!K$10</f>
        <v>0</v>
      </c>
      <c r="L61" s="86">
        <f>MBunk_ene!L$10</f>
        <v>0</v>
      </c>
      <c r="M61" s="86">
        <f>MBunk_ene!M$10</f>
        <v>0</v>
      </c>
      <c r="N61" s="86">
        <f>MBunk_ene!N$10</f>
        <v>0</v>
      </c>
      <c r="O61" s="86">
        <f>MBunk_ene!O$10</f>
        <v>0</v>
      </c>
      <c r="P61" s="86">
        <f>MBunk_ene!P$10</f>
        <v>0</v>
      </c>
      <c r="Q61" s="86">
        <f>MBunk_ene!Q$10</f>
        <v>0</v>
      </c>
      <c r="R61" s="86">
        <f>MBunk_ene!R$10</f>
        <v>0</v>
      </c>
      <c r="S61" s="86">
        <f>MBunk_ene!S$10</f>
        <v>0</v>
      </c>
      <c r="T61" s="86">
        <f>MBunk_ene!T$10</f>
        <v>0</v>
      </c>
      <c r="U61" s="86">
        <f>MBunk_ene!U$10</f>
        <v>0</v>
      </c>
      <c r="V61" s="86">
        <f>MBunk_ene!V$10</f>
        <v>0</v>
      </c>
      <c r="W61" s="86">
        <f>MBunk_ene!W$10</f>
        <v>0</v>
      </c>
      <c r="X61" s="86">
        <f>MBunk_ene!X$10</f>
        <v>0</v>
      </c>
      <c r="Y61" s="86">
        <f>MBunk_ene!Y$10</f>
        <v>0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2870.8075693098067</v>
      </c>
      <c r="C64" s="28">
        <f t="shared" si="51"/>
        <v>2965.5575519169042</v>
      </c>
      <c r="D64" s="28">
        <f t="shared" si="51"/>
        <v>3050.8630609369275</v>
      </c>
      <c r="E64" s="28">
        <f t="shared" si="51"/>
        <v>3222.2356434034214</v>
      </c>
      <c r="F64" s="28">
        <f t="shared" si="51"/>
        <v>3309.5077269118324</v>
      </c>
      <c r="G64" s="28">
        <f t="shared" si="51"/>
        <v>3200.2260754189624</v>
      </c>
      <c r="H64" s="28">
        <f t="shared" si="51"/>
        <v>3079.1544936950822</v>
      </c>
      <c r="I64" s="28">
        <f t="shared" si="51"/>
        <v>3136.7738878352811</v>
      </c>
      <c r="J64" s="28">
        <f t="shared" si="51"/>
        <v>3209.7967992995773</v>
      </c>
      <c r="K64" s="28">
        <f t="shared" si="51"/>
        <v>3226.4908802634282</v>
      </c>
      <c r="L64" s="28">
        <f t="shared" si="51"/>
        <v>3201.2614242778691</v>
      </c>
      <c r="M64" s="28">
        <f t="shared" si="51"/>
        <v>3314.7157517319174</v>
      </c>
      <c r="N64" s="28">
        <f t="shared" si="51"/>
        <v>3276.2177854471061</v>
      </c>
      <c r="O64" s="28">
        <f t="shared" si="51"/>
        <v>3091.8036759033671</v>
      </c>
      <c r="P64" s="28">
        <f t="shared" si="51"/>
        <v>3123.4283236803576</v>
      </c>
      <c r="Q64" s="28">
        <f t="shared" si="51"/>
        <v>3069.0260568548092</v>
      </c>
      <c r="R64" s="28">
        <f t="shared" ref="R64:V64" si="52">R65+R69+R73</f>
        <v>2951.3154161093253</v>
      </c>
      <c r="S64" s="28">
        <f t="shared" si="52"/>
        <v>3123.1394159115371</v>
      </c>
      <c r="T64" s="28">
        <f t="shared" si="52"/>
        <v>3479.7741705769445</v>
      </c>
      <c r="U64" s="28">
        <f t="shared" si="52"/>
        <v>3511.9472201299882</v>
      </c>
      <c r="V64" s="28">
        <f t="shared" si="52"/>
        <v>2217.7048151997233</v>
      </c>
      <c r="W64" s="28">
        <f t="shared" ref="W64:Y64" si="53">W65+W69+W73</f>
        <v>2606.3458497373044</v>
      </c>
      <c r="X64" s="28">
        <f t="shared" si="53"/>
        <v>2826.8970136682492</v>
      </c>
      <c r="Y64" s="28">
        <f t="shared" si="53"/>
        <v>2736.7118038837784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2716.2391537677668</v>
      </c>
      <c r="C65" s="137">
        <f t="shared" si="54"/>
        <v>2788.5348753260473</v>
      </c>
      <c r="D65" s="137">
        <f t="shared" si="54"/>
        <v>2859.8387585479468</v>
      </c>
      <c r="E65" s="137">
        <f t="shared" si="54"/>
        <v>3036.1538518242328</v>
      </c>
      <c r="F65" s="137">
        <f t="shared" si="54"/>
        <v>3102.2716992082528</v>
      </c>
      <c r="G65" s="137">
        <f t="shared" si="54"/>
        <v>3005.281419164719</v>
      </c>
      <c r="H65" s="137">
        <f t="shared" si="54"/>
        <v>2896.1163793431938</v>
      </c>
      <c r="I65" s="137">
        <f t="shared" si="54"/>
        <v>2901.8401319252885</v>
      </c>
      <c r="J65" s="137">
        <f t="shared" si="54"/>
        <v>2956.7547143953584</v>
      </c>
      <c r="K65" s="137">
        <f t="shared" si="54"/>
        <v>2904.7623592089885</v>
      </c>
      <c r="L65" s="137">
        <f t="shared" si="54"/>
        <v>2848.5440364162719</v>
      </c>
      <c r="M65" s="137">
        <f t="shared" si="54"/>
        <v>3039.2680128212405</v>
      </c>
      <c r="N65" s="137">
        <f t="shared" si="54"/>
        <v>3033.0678708324494</v>
      </c>
      <c r="O65" s="137">
        <f t="shared" si="54"/>
        <v>2854.8929690930772</v>
      </c>
      <c r="P65" s="137">
        <f t="shared" si="54"/>
        <v>2801.7453834148569</v>
      </c>
      <c r="Q65" s="137">
        <f t="shared" si="54"/>
        <v>2687.1905090825067</v>
      </c>
      <c r="R65" s="137">
        <f t="shared" ref="R65:V65" si="55">R66+R67+R68</f>
        <v>2603.1811150520953</v>
      </c>
      <c r="S65" s="137">
        <f t="shared" si="55"/>
        <v>2581.7323975378995</v>
      </c>
      <c r="T65" s="137">
        <f t="shared" si="55"/>
        <v>2678.9774359734965</v>
      </c>
      <c r="U65" s="137">
        <f t="shared" si="55"/>
        <v>2622.3759593861919</v>
      </c>
      <c r="V65" s="137">
        <f t="shared" si="55"/>
        <v>1962.5795482898081</v>
      </c>
      <c r="W65" s="137">
        <f t="shared" ref="W65:Y65" si="56">W66+W67+W68</f>
        <v>2176.615872358414</v>
      </c>
      <c r="X65" s="137">
        <f t="shared" si="56"/>
        <v>2215.028339612511</v>
      </c>
      <c r="Y65" s="137">
        <f t="shared" si="56"/>
        <v>2291.0862678075359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4.54322569060347</v>
      </c>
      <c r="C66" s="102">
        <f>TrRoad_emi!C$19</f>
        <v>4.629221031072853</v>
      </c>
      <c r="D66" s="102">
        <f>TrRoad_emi!D$19</f>
        <v>4.8573442361994346</v>
      </c>
      <c r="E66" s="102">
        <f>TrRoad_emi!E$19</f>
        <v>4.9315558185449309</v>
      </c>
      <c r="F66" s="102">
        <f>TrRoad_emi!F$19</f>
        <v>5.2172672897231713</v>
      </c>
      <c r="G66" s="102">
        <f>TrRoad_emi!G$19</f>
        <v>5.2788609336162855</v>
      </c>
      <c r="H66" s="102">
        <f>TrRoad_emi!H$19</f>
        <v>5.3194723409010027</v>
      </c>
      <c r="I66" s="102">
        <f>TrRoad_emi!I$19</f>
        <v>5.3146742879960831</v>
      </c>
      <c r="J66" s="102">
        <f>TrRoad_emi!J$19</f>
        <v>5.3650354901962034</v>
      </c>
      <c r="K66" s="102">
        <f>TrRoad_emi!K$19</f>
        <v>5.5074245394676566</v>
      </c>
      <c r="L66" s="102">
        <f>TrRoad_emi!L$19</f>
        <v>5.6435702447012837</v>
      </c>
      <c r="M66" s="102">
        <f>TrRoad_emi!M$19</f>
        <v>5.6651742260765117</v>
      </c>
      <c r="N66" s="102">
        <f>TrRoad_emi!N$19</f>
        <v>5.9993544815999691</v>
      </c>
      <c r="O66" s="102">
        <f>TrRoad_emi!O$19</f>
        <v>6.1312503066844961</v>
      </c>
      <c r="P66" s="102">
        <f>TrRoad_emi!P$19</f>
        <v>6.2783444781631621</v>
      </c>
      <c r="Q66" s="102">
        <f>TrRoad_emi!Q$19</f>
        <v>6.38692167093118</v>
      </c>
      <c r="R66" s="102">
        <f>TrRoad_emi!R$19</f>
        <v>6.5771175013440528</v>
      </c>
      <c r="S66" s="102">
        <f>TrRoad_emi!S$19</f>
        <v>6.3967722237450655</v>
      </c>
      <c r="T66" s="102">
        <f>TrRoad_emi!T$19</f>
        <v>6.0521003767316754</v>
      </c>
      <c r="U66" s="102">
        <f>TrRoad_emi!U$19</f>
        <v>6.190883726140302</v>
      </c>
      <c r="V66" s="102">
        <f>TrRoad_emi!V$19</f>
        <v>5.5139348382434727</v>
      </c>
      <c r="W66" s="102">
        <f>TrRoad_emi!W$19</f>
        <v>5.7150684284612563</v>
      </c>
      <c r="X66" s="102">
        <f>TrRoad_emi!X$19</f>
        <v>5.7193084738302993</v>
      </c>
      <c r="Y66" s="102">
        <f>TrRoad_emi!Y$19</f>
        <v>6.0976158074627431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2636.0800824442695</v>
      </c>
      <c r="C67" s="102">
        <f>TrRoad_emi!C$20</f>
        <v>2705.8646927581926</v>
      </c>
      <c r="D67" s="102">
        <f>TrRoad_emi!D$20</f>
        <v>2772.4343372047324</v>
      </c>
      <c r="E67" s="102">
        <f>TrRoad_emi!E$20</f>
        <v>2948.2481081290357</v>
      </c>
      <c r="F67" s="102">
        <f>TrRoad_emi!F$20</f>
        <v>3014.0512858140792</v>
      </c>
      <c r="G67" s="102">
        <f>TrRoad_emi!G$20</f>
        <v>2915.0503735431994</v>
      </c>
      <c r="H67" s="102">
        <f>TrRoad_emi!H$20</f>
        <v>2806.2589612981787</v>
      </c>
      <c r="I67" s="102">
        <f>TrRoad_emi!I$20</f>
        <v>2811.9087403530289</v>
      </c>
      <c r="J67" s="102">
        <f>TrRoad_emi!J$20</f>
        <v>2863.8829799346918</v>
      </c>
      <c r="K67" s="102">
        <f>TrRoad_emi!K$20</f>
        <v>2809.6393250710971</v>
      </c>
      <c r="L67" s="102">
        <f>TrRoad_emi!L$20</f>
        <v>2751.0706303468414</v>
      </c>
      <c r="M67" s="102">
        <f>TrRoad_emi!M$20</f>
        <v>2939.0202499623538</v>
      </c>
      <c r="N67" s="102">
        <f>TrRoad_emi!N$20</f>
        <v>2932.8597427459708</v>
      </c>
      <c r="O67" s="102">
        <f>TrRoad_emi!O$20</f>
        <v>2754.2972119922865</v>
      </c>
      <c r="P67" s="102">
        <f>TrRoad_emi!P$20</f>
        <v>2702.1809115023666</v>
      </c>
      <c r="Q67" s="102">
        <f>TrRoad_emi!Q$20</f>
        <v>2585.0787767420775</v>
      </c>
      <c r="R67" s="102">
        <f>TrRoad_emi!R$20</f>
        <v>2499.2050796554236</v>
      </c>
      <c r="S67" s="102">
        <f>TrRoad_emi!S$20</f>
        <v>2476.27715753043</v>
      </c>
      <c r="T67" s="102">
        <f>TrRoad_emi!T$20</f>
        <v>2573.2398429431937</v>
      </c>
      <c r="U67" s="102">
        <f>TrRoad_emi!U$20</f>
        <v>2517.2392737594701</v>
      </c>
      <c r="V67" s="102">
        <f>TrRoad_emi!V$20</f>
        <v>1864.6742754934728</v>
      </c>
      <c r="W67" s="102">
        <f>TrRoad_emi!W$20</f>
        <v>2080.4970309062901</v>
      </c>
      <c r="X67" s="102">
        <f>TrRoad_emi!X$20</f>
        <v>2129.2666981364559</v>
      </c>
      <c r="Y67" s="102">
        <f>TrRoad_emi!Y$20</f>
        <v>2210.9364108098448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75.61584563289415</v>
      </c>
      <c r="C68" s="102">
        <f>TrRoad_emi!C$27</f>
        <v>78.040961536781452</v>
      </c>
      <c r="D68" s="102">
        <f>TrRoad_emi!D$27</f>
        <v>82.547077107014928</v>
      </c>
      <c r="E68" s="102">
        <f>TrRoad_emi!E$27</f>
        <v>82.974187876652081</v>
      </c>
      <c r="F68" s="102">
        <f>TrRoad_emi!F$27</f>
        <v>83.003146104450352</v>
      </c>
      <c r="G68" s="102">
        <f>TrRoad_emi!G$27</f>
        <v>84.952184687903156</v>
      </c>
      <c r="H68" s="102">
        <f>TrRoad_emi!H$27</f>
        <v>84.537945704113909</v>
      </c>
      <c r="I68" s="102">
        <f>TrRoad_emi!I$27</f>
        <v>84.61671728426353</v>
      </c>
      <c r="J68" s="102">
        <f>TrRoad_emi!J$27</f>
        <v>87.506698970470723</v>
      </c>
      <c r="K68" s="102">
        <f>TrRoad_emi!K$27</f>
        <v>89.61560959842403</v>
      </c>
      <c r="L68" s="102">
        <f>TrRoad_emi!L$27</f>
        <v>91.829835824729386</v>
      </c>
      <c r="M68" s="102">
        <f>TrRoad_emi!M$27</f>
        <v>94.5825886328102</v>
      </c>
      <c r="N68" s="102">
        <f>TrRoad_emi!N$27</f>
        <v>94.20877360487907</v>
      </c>
      <c r="O68" s="102">
        <f>TrRoad_emi!O$27</f>
        <v>94.464506794105887</v>
      </c>
      <c r="P68" s="102">
        <f>TrRoad_emi!P$27</f>
        <v>93.28612743432727</v>
      </c>
      <c r="Q68" s="102">
        <f>TrRoad_emi!Q$27</f>
        <v>95.724810669497955</v>
      </c>
      <c r="R68" s="102">
        <f>TrRoad_emi!R$27</f>
        <v>97.398917895327543</v>
      </c>
      <c r="S68" s="102">
        <f>TrRoad_emi!S$27</f>
        <v>99.058467783724538</v>
      </c>
      <c r="T68" s="102">
        <f>TrRoad_emi!T$27</f>
        <v>99.685492653571117</v>
      </c>
      <c r="U68" s="102">
        <f>TrRoad_emi!U$27</f>
        <v>98.945801900581699</v>
      </c>
      <c r="V68" s="102">
        <f>TrRoad_emi!V$27</f>
        <v>92.391337958091768</v>
      </c>
      <c r="W68" s="102">
        <f>TrRoad_emi!W$27</f>
        <v>90.403773023662652</v>
      </c>
      <c r="X68" s="102">
        <f>TrRoad_emi!X$27</f>
        <v>80.042333002224865</v>
      </c>
      <c r="Y68" s="102">
        <f>TrRoad_emi!Y$27</f>
        <v>74.052241190228528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17.98290600817176</v>
      </c>
      <c r="C69" s="110">
        <f t="shared" si="57"/>
        <v>20.773118952873318</v>
      </c>
      <c r="D69" s="110">
        <f t="shared" si="57"/>
        <v>19.909552183592517</v>
      </c>
      <c r="E69" s="110">
        <f t="shared" si="57"/>
        <v>14.686577027394506</v>
      </c>
      <c r="F69" s="110">
        <f t="shared" si="57"/>
        <v>11.658189704587748</v>
      </c>
      <c r="G69" s="110">
        <f t="shared" si="57"/>
        <v>8.0465538392206941</v>
      </c>
      <c r="H69" s="110">
        <f t="shared" si="57"/>
        <v>6.3989068418317192</v>
      </c>
      <c r="I69" s="110">
        <f t="shared" si="57"/>
        <v>8.5057391756394463</v>
      </c>
      <c r="J69" s="110">
        <f t="shared" si="57"/>
        <v>12.270912987946556</v>
      </c>
      <c r="K69" s="110">
        <f t="shared" si="57"/>
        <v>10.399219372754663</v>
      </c>
      <c r="L69" s="110">
        <f t="shared" si="57"/>
        <v>11.835245315022988</v>
      </c>
      <c r="M69" s="110">
        <f t="shared" si="57"/>
        <v>11.24852899109708</v>
      </c>
      <c r="N69" s="110">
        <f t="shared" si="57"/>
        <v>11.170977836050707</v>
      </c>
      <c r="O69" s="110">
        <f t="shared" si="57"/>
        <v>10.514472777423823</v>
      </c>
      <c r="P69" s="110">
        <f t="shared" si="57"/>
        <v>10.665175970318636</v>
      </c>
      <c r="Q69" s="110">
        <f t="shared" si="57"/>
        <v>8.5686671549482814</v>
      </c>
      <c r="R69" s="110">
        <f t="shared" ref="R69:V69" si="58">R70+R71+R72</f>
        <v>8.8124278299344319</v>
      </c>
      <c r="S69" s="110">
        <f t="shared" si="58"/>
        <v>8.0223079572616207</v>
      </c>
      <c r="T69" s="110">
        <f t="shared" si="58"/>
        <v>9.6559177411744166</v>
      </c>
      <c r="U69" s="110">
        <f t="shared" si="58"/>
        <v>9.1985250751636869</v>
      </c>
      <c r="V69" s="110">
        <f t="shared" si="58"/>
        <v>8.9112742265577616</v>
      </c>
      <c r="W69" s="110">
        <f t="shared" ref="W69:Y69" si="59">W70+W71+W72</f>
        <v>9.4899141354663747</v>
      </c>
      <c r="X69" s="110">
        <f t="shared" si="59"/>
        <v>7.6308368597827938</v>
      </c>
      <c r="Y69" s="110">
        <f t="shared" si="59"/>
        <v>7.9568934337283821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17.98290600817176</v>
      </c>
      <c r="C71" s="102">
        <f>TrRail_emi!C$11</f>
        <v>20.773118952873318</v>
      </c>
      <c r="D71" s="102">
        <f>TrRail_emi!D$11</f>
        <v>19.909552183592517</v>
      </c>
      <c r="E71" s="102">
        <f>TrRail_emi!E$11</f>
        <v>14.686577027394506</v>
      </c>
      <c r="F71" s="102">
        <f>TrRail_emi!F$11</f>
        <v>11.658189704587748</v>
      </c>
      <c r="G71" s="102">
        <f>TrRail_emi!G$11</f>
        <v>8.0465538392206941</v>
      </c>
      <c r="H71" s="102">
        <f>TrRail_emi!H$11</f>
        <v>6.3989068418317192</v>
      </c>
      <c r="I71" s="102">
        <f>TrRail_emi!I$11</f>
        <v>8.5057391756394463</v>
      </c>
      <c r="J71" s="102">
        <f>TrRail_emi!J$11</f>
        <v>12.270912987946556</v>
      </c>
      <c r="K71" s="102">
        <f>TrRail_emi!K$11</f>
        <v>10.399219372754663</v>
      </c>
      <c r="L71" s="102">
        <f>TrRail_emi!L$11</f>
        <v>11.835245315022988</v>
      </c>
      <c r="M71" s="102">
        <f>TrRail_emi!M$11</f>
        <v>11.24852899109708</v>
      </c>
      <c r="N71" s="102">
        <f>TrRail_emi!N$11</f>
        <v>11.170977836050707</v>
      </c>
      <c r="O71" s="102">
        <f>TrRail_emi!O$11</f>
        <v>10.514472777423823</v>
      </c>
      <c r="P71" s="102">
        <f>TrRail_emi!P$11</f>
        <v>10.665175970318636</v>
      </c>
      <c r="Q71" s="102">
        <f>TrRail_emi!Q$11</f>
        <v>8.5686671549482814</v>
      </c>
      <c r="R71" s="102">
        <f>TrRail_emi!R$11</f>
        <v>8.8124278299344319</v>
      </c>
      <c r="S71" s="102">
        <f>TrRail_emi!S$11</f>
        <v>8.0223079572616207</v>
      </c>
      <c r="T71" s="102">
        <f>TrRail_emi!T$11</f>
        <v>9.6559177411744166</v>
      </c>
      <c r="U71" s="102">
        <f>TrRail_emi!U$11</f>
        <v>9.1985250751636869</v>
      </c>
      <c r="V71" s="102">
        <f>TrRail_emi!V$11</f>
        <v>8.9112742265577616</v>
      </c>
      <c r="W71" s="102">
        <f>TrRail_emi!W$11</f>
        <v>9.4899141354663747</v>
      </c>
      <c r="X71" s="102">
        <f>TrRail_emi!X$11</f>
        <v>7.6308368597827938</v>
      </c>
      <c r="Y71" s="102">
        <f>TrRail_emi!Y$11</f>
        <v>7.9568934337283821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136.58550953386825</v>
      </c>
      <c r="C73" s="110">
        <f t="shared" si="60"/>
        <v>156.24955763798388</v>
      </c>
      <c r="D73" s="110">
        <f t="shared" si="60"/>
        <v>171.11475020538813</v>
      </c>
      <c r="E73" s="110">
        <f t="shared" si="60"/>
        <v>171.3952145517942</v>
      </c>
      <c r="F73" s="110">
        <f t="shared" si="60"/>
        <v>195.57783799899181</v>
      </c>
      <c r="G73" s="110">
        <f t="shared" si="60"/>
        <v>186.89810241502255</v>
      </c>
      <c r="H73" s="110">
        <f t="shared" si="60"/>
        <v>176.63920751005639</v>
      </c>
      <c r="I73" s="110">
        <f t="shared" si="60"/>
        <v>226.42801673435332</v>
      </c>
      <c r="J73" s="110">
        <f t="shared" si="60"/>
        <v>240.77117191627207</v>
      </c>
      <c r="K73" s="110">
        <f t="shared" si="60"/>
        <v>311.32930168168502</v>
      </c>
      <c r="L73" s="110">
        <f t="shared" si="60"/>
        <v>340.88214254657419</v>
      </c>
      <c r="M73" s="110">
        <f t="shared" si="60"/>
        <v>264.1992099195798</v>
      </c>
      <c r="N73" s="110">
        <f t="shared" si="60"/>
        <v>231.97893677860594</v>
      </c>
      <c r="O73" s="110">
        <f t="shared" si="60"/>
        <v>226.39623403286606</v>
      </c>
      <c r="P73" s="110">
        <f t="shared" si="60"/>
        <v>311.01776429518191</v>
      </c>
      <c r="Q73" s="110">
        <f t="shared" si="60"/>
        <v>373.26688061735399</v>
      </c>
      <c r="R73" s="110">
        <f t="shared" ref="R73:V73" si="61">R74+R75+R76</f>
        <v>339.32187322729601</v>
      </c>
      <c r="S73" s="110">
        <f t="shared" si="61"/>
        <v>533.38471041637627</v>
      </c>
      <c r="T73" s="110">
        <f t="shared" si="61"/>
        <v>791.14081686227348</v>
      </c>
      <c r="U73" s="110">
        <f t="shared" si="61"/>
        <v>880.37273566863269</v>
      </c>
      <c r="V73" s="110">
        <f t="shared" si="61"/>
        <v>246.21399268335745</v>
      </c>
      <c r="W73" s="110">
        <f t="shared" ref="W73:Y73" si="62">W74+W75+W76</f>
        <v>420.24006324342412</v>
      </c>
      <c r="X73" s="110">
        <f t="shared" si="62"/>
        <v>604.23783719595508</v>
      </c>
      <c r="Y73" s="110">
        <f t="shared" si="62"/>
        <v>437.66864264251387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106.02997420400919</v>
      </c>
      <c r="C75" s="102">
        <f>TrAvia_emi!C$8</f>
        <v>121.28372820001793</v>
      </c>
      <c r="D75" s="102">
        <f>TrAvia_emi!D$8</f>
        <v>132.86105752223307</v>
      </c>
      <c r="E75" s="102">
        <f>TrAvia_emi!E$8</f>
        <v>133.12133346019243</v>
      </c>
      <c r="F75" s="102">
        <f>TrAvia_emi!F$8</f>
        <v>151.91529503793993</v>
      </c>
      <c r="G75" s="102">
        <f>TrAvia_emi!G$8</f>
        <v>145.67356190260145</v>
      </c>
      <c r="H75" s="102">
        <f>TrAvia_emi!H$8</f>
        <v>137.98499498495377</v>
      </c>
      <c r="I75" s="102">
        <f>TrAvia_emi!I$8</f>
        <v>177.84473701798217</v>
      </c>
      <c r="J75" s="102">
        <f>TrAvia_emi!J$8</f>
        <v>186.33469190795688</v>
      </c>
      <c r="K75" s="102">
        <f>TrAvia_emi!K$8</f>
        <v>237.96719230142142</v>
      </c>
      <c r="L75" s="102">
        <f>TrAvia_emi!L$8</f>
        <v>262.30976923230747</v>
      </c>
      <c r="M75" s="102">
        <f>TrAvia_emi!M$8</f>
        <v>202.76037545950754</v>
      </c>
      <c r="N75" s="102">
        <f>TrAvia_emi!N$8</f>
        <v>178.61321812780139</v>
      </c>
      <c r="O75" s="102">
        <f>TrAvia_emi!O$8</f>
        <v>174.82165950198961</v>
      </c>
      <c r="P75" s="102">
        <f>TrAvia_emi!P$8</f>
        <v>240.12399372103948</v>
      </c>
      <c r="Q75" s="102">
        <f>TrAvia_emi!Q$8</f>
        <v>288.68012024773793</v>
      </c>
      <c r="R75" s="102">
        <f>TrAvia_emi!R$8</f>
        <v>266.19702208192217</v>
      </c>
      <c r="S75" s="102">
        <f>TrAvia_emi!S$8</f>
        <v>423.27072677448461</v>
      </c>
      <c r="T75" s="102">
        <f>TrAvia_emi!T$8</f>
        <v>625.12634723919462</v>
      </c>
      <c r="U75" s="102">
        <f>TrAvia_emi!U$8</f>
        <v>690.83235350624943</v>
      </c>
      <c r="V75" s="102">
        <f>TrAvia_emi!V$8</f>
        <v>180.79642642521486</v>
      </c>
      <c r="W75" s="102">
        <f>TrAvia_emi!W$8</f>
        <v>319.54433223507095</v>
      </c>
      <c r="X75" s="102">
        <f>TrAvia_emi!X$8</f>
        <v>481.75875540158859</v>
      </c>
      <c r="Y75" s="102">
        <f>TrAvia_emi!Y$8</f>
        <v>345.24970176989098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30.555535329859058</v>
      </c>
      <c r="C76" s="102">
        <f>TrAvia_emi!C$9</f>
        <v>34.965829437965944</v>
      </c>
      <c r="D76" s="102">
        <f>TrAvia_emi!D$9</f>
        <v>38.253692683155052</v>
      </c>
      <c r="E76" s="102">
        <f>TrAvia_emi!E$9</f>
        <v>38.273881091601758</v>
      </c>
      <c r="F76" s="102">
        <f>TrAvia_emi!F$9</f>
        <v>43.662542961051884</v>
      </c>
      <c r="G76" s="102">
        <f>TrAvia_emi!G$9</f>
        <v>41.224540512421086</v>
      </c>
      <c r="H76" s="102">
        <f>TrAvia_emi!H$9</f>
        <v>38.654212525102608</v>
      </c>
      <c r="I76" s="102">
        <f>TrAvia_emi!I$9</f>
        <v>48.583279716371159</v>
      </c>
      <c r="J76" s="102">
        <f>TrAvia_emi!J$9</f>
        <v>54.436480008315186</v>
      </c>
      <c r="K76" s="102">
        <f>TrAvia_emi!K$9</f>
        <v>73.36210938026359</v>
      </c>
      <c r="L76" s="102">
        <f>TrAvia_emi!L$9</f>
        <v>78.572373314266713</v>
      </c>
      <c r="M76" s="102">
        <f>TrAvia_emi!M$9</f>
        <v>61.438834460072265</v>
      </c>
      <c r="N76" s="102">
        <f>TrAvia_emi!N$9</f>
        <v>53.365718650804553</v>
      </c>
      <c r="O76" s="102">
        <f>TrAvia_emi!O$9</f>
        <v>51.574574530876433</v>
      </c>
      <c r="P76" s="102">
        <f>TrAvia_emi!P$9</f>
        <v>70.893770574142437</v>
      </c>
      <c r="Q76" s="102">
        <f>TrAvia_emi!Q$9</f>
        <v>84.586760369616044</v>
      </c>
      <c r="R76" s="102">
        <f>TrAvia_emi!R$9</f>
        <v>73.12485114537381</v>
      </c>
      <c r="S76" s="102">
        <f>TrAvia_emi!S$9</f>
        <v>110.11398364189171</v>
      </c>
      <c r="T76" s="102">
        <f>TrAvia_emi!T$9</f>
        <v>166.01446962307887</v>
      </c>
      <c r="U76" s="102">
        <f>TrAvia_emi!U$9</f>
        <v>189.54038216238325</v>
      </c>
      <c r="V76" s="102">
        <f>TrAvia_emi!V$9</f>
        <v>65.417566258142571</v>
      </c>
      <c r="W76" s="102">
        <f>TrAvia_emi!W$9</f>
        <v>100.69573100835315</v>
      </c>
      <c r="X76" s="102">
        <f>TrAvia_emi!X$9</f>
        <v>122.47908179436648</v>
      </c>
      <c r="Y76" s="102">
        <f>TrAvia_emi!Y$9</f>
        <v>92.418940872622869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2900.6435828501926</v>
      </c>
      <c r="C77" s="28">
        <f t="shared" si="63"/>
        <v>3129.7023815630955</v>
      </c>
      <c r="D77" s="28">
        <f t="shared" si="63"/>
        <v>3340.8361869430705</v>
      </c>
      <c r="E77" s="28">
        <f t="shared" si="63"/>
        <v>3766.3308820765792</v>
      </c>
      <c r="F77" s="28">
        <f t="shared" si="63"/>
        <v>4751.4223064881689</v>
      </c>
      <c r="G77" s="28">
        <f t="shared" si="63"/>
        <v>5261.1530100610353</v>
      </c>
      <c r="H77" s="28">
        <f t="shared" si="63"/>
        <v>4992.9654560649178</v>
      </c>
      <c r="I77" s="28">
        <f t="shared" si="63"/>
        <v>4750.7824304847172</v>
      </c>
      <c r="J77" s="28">
        <f t="shared" si="63"/>
        <v>4784.145836660422</v>
      </c>
      <c r="K77" s="28">
        <f t="shared" si="63"/>
        <v>4189.081877136573</v>
      </c>
      <c r="L77" s="28">
        <f t="shared" si="63"/>
        <v>4610.0574938821301</v>
      </c>
      <c r="M77" s="28">
        <f t="shared" si="63"/>
        <v>4804.2611147480829</v>
      </c>
      <c r="N77" s="28">
        <f t="shared" si="63"/>
        <v>4433.6880573928929</v>
      </c>
      <c r="O77" s="28">
        <f t="shared" si="63"/>
        <v>4481.2715039366331</v>
      </c>
      <c r="P77" s="28">
        <f t="shared" si="63"/>
        <v>4255.0308475196443</v>
      </c>
      <c r="Q77" s="28">
        <f t="shared" si="63"/>
        <v>4028.662591145192</v>
      </c>
      <c r="R77" s="28">
        <f t="shared" si="63"/>
        <v>4121.9809592106749</v>
      </c>
      <c r="S77" s="28">
        <f t="shared" si="63"/>
        <v>4254.8741678084607</v>
      </c>
      <c r="T77" s="28">
        <f t="shared" si="63"/>
        <v>4399.6078423030558</v>
      </c>
      <c r="U77" s="28">
        <f t="shared" si="63"/>
        <v>4463.191613590011</v>
      </c>
      <c r="V77" s="28">
        <f t="shared" si="63"/>
        <v>4066.7227548002761</v>
      </c>
      <c r="W77" s="28">
        <f t="shared" si="63"/>
        <v>4226.4268439026964</v>
      </c>
      <c r="X77" s="28">
        <f t="shared" si="63"/>
        <v>3425.8871017317497</v>
      </c>
      <c r="Y77" s="28">
        <f t="shared" si="63"/>
        <v>3222.4323308362223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2063.6812218830328</v>
      </c>
      <c r="C78" s="137">
        <f t="shared" si="64"/>
        <v>2233.7668971363528</v>
      </c>
      <c r="D78" s="137">
        <f t="shared" si="64"/>
        <v>2373.1843324132515</v>
      </c>
      <c r="E78" s="137">
        <f t="shared" si="64"/>
        <v>2752.766411032168</v>
      </c>
      <c r="F78" s="137">
        <f t="shared" si="64"/>
        <v>3658.3765905529481</v>
      </c>
      <c r="G78" s="137">
        <f t="shared" si="64"/>
        <v>4140.9907256828792</v>
      </c>
      <c r="H78" s="137">
        <f t="shared" si="64"/>
        <v>3946.8834709712055</v>
      </c>
      <c r="I78" s="137">
        <f t="shared" si="64"/>
        <v>3662.5338256659097</v>
      </c>
      <c r="J78" s="137">
        <f t="shared" si="64"/>
        <v>3702.3063862222402</v>
      </c>
      <c r="K78" s="137">
        <f t="shared" si="64"/>
        <v>3233.4569859218122</v>
      </c>
      <c r="L78" s="137">
        <f t="shared" si="64"/>
        <v>3650.6884256717267</v>
      </c>
      <c r="M78" s="137">
        <f t="shared" si="64"/>
        <v>3852.2009033619597</v>
      </c>
      <c r="N78" s="137">
        <f t="shared" si="64"/>
        <v>3543.508855767549</v>
      </c>
      <c r="O78" s="137">
        <f t="shared" si="64"/>
        <v>3580.6082509869234</v>
      </c>
      <c r="P78" s="137">
        <f t="shared" si="64"/>
        <v>3342.2179553851443</v>
      </c>
      <c r="Q78" s="137">
        <f t="shared" si="64"/>
        <v>3022.7406703974943</v>
      </c>
      <c r="R78" s="137">
        <f t="shared" ref="R78:V78" si="65">R79+R80</f>
        <v>2931.1322735079043</v>
      </c>
      <c r="S78" s="137">
        <f t="shared" si="65"/>
        <v>3058.2837352620991</v>
      </c>
      <c r="T78" s="137">
        <f t="shared" si="65"/>
        <v>3340.9362114665041</v>
      </c>
      <c r="U78" s="137">
        <f t="shared" si="65"/>
        <v>3534.0800720538077</v>
      </c>
      <c r="V78" s="137">
        <f t="shared" si="65"/>
        <v>2666.4483944301915</v>
      </c>
      <c r="W78" s="137">
        <f t="shared" ref="W78:Y78" si="66">W79+W80</f>
        <v>2768.5921885215871</v>
      </c>
      <c r="X78" s="137">
        <f t="shared" si="66"/>
        <v>2080.8294861874879</v>
      </c>
      <c r="Y78" s="137">
        <f t="shared" si="66"/>
        <v>1862.0071388324645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101.58684993065755</v>
      </c>
      <c r="C79" s="102">
        <f>TrRoad_emi!C$34</f>
        <v>104.85078368437379</v>
      </c>
      <c r="D79" s="102">
        <f>TrRoad_emi!D$34</f>
        <v>109.33425355271729</v>
      </c>
      <c r="E79" s="102">
        <f>TrRoad_emi!E$34</f>
        <v>111.48835367875159</v>
      </c>
      <c r="F79" s="102">
        <f>TrRoad_emi!F$34</f>
        <v>114.15458309134698</v>
      </c>
      <c r="G79" s="102">
        <f>TrRoad_emi!G$34</f>
        <v>118.13165829559144</v>
      </c>
      <c r="H79" s="102">
        <f>TrRoad_emi!H$34</f>
        <v>122.57323084279852</v>
      </c>
      <c r="I79" s="102">
        <f>TrRoad_emi!I$34</f>
        <v>127.96510514851961</v>
      </c>
      <c r="J79" s="102">
        <f>TrRoad_emi!J$34</f>
        <v>134.27993190529656</v>
      </c>
      <c r="K79" s="102">
        <f>TrRoad_emi!K$34</f>
        <v>134.42529588247029</v>
      </c>
      <c r="L79" s="102">
        <f>TrRoad_emi!L$34</f>
        <v>140.39188404385743</v>
      </c>
      <c r="M79" s="102">
        <f>TrRoad_emi!M$34</f>
        <v>148.79038862303082</v>
      </c>
      <c r="N79" s="102">
        <f>TrRoad_emi!N$34</f>
        <v>151.46003725480861</v>
      </c>
      <c r="O79" s="102">
        <f>TrRoad_emi!O$34</f>
        <v>153.1701155238872</v>
      </c>
      <c r="P79" s="102">
        <f>TrRoad_emi!P$34</f>
        <v>159.09925381905106</v>
      </c>
      <c r="Q79" s="102">
        <f>TrRoad_emi!Q$34</f>
        <v>163.03230378083316</v>
      </c>
      <c r="R79" s="102">
        <f>TrRoad_emi!R$34</f>
        <v>169.35391827966836</v>
      </c>
      <c r="S79" s="102">
        <f>TrRoad_emi!S$34</f>
        <v>169.50857591913871</v>
      </c>
      <c r="T79" s="102">
        <f>TrRoad_emi!T$34</f>
        <v>174.25740465830754</v>
      </c>
      <c r="U79" s="102">
        <f>TrRoad_emi!U$34</f>
        <v>175.83246051189079</v>
      </c>
      <c r="V79" s="102">
        <f>TrRoad_emi!V$34</f>
        <v>171.93932695186089</v>
      </c>
      <c r="W79" s="102">
        <f>TrRoad_emi!W$34</f>
        <v>180.38939283136145</v>
      </c>
      <c r="X79" s="102">
        <f>TrRoad_emi!X$34</f>
        <v>161.20266682085298</v>
      </c>
      <c r="Y79" s="102">
        <f>TrRoad_emi!Y$34</f>
        <v>159.47188674185412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1962.094371952375</v>
      </c>
      <c r="C80" s="102">
        <f>TrRoad_emi!C$40</f>
        <v>2128.9161134519791</v>
      </c>
      <c r="D80" s="102">
        <f>TrRoad_emi!D$40</f>
        <v>2263.8500788605343</v>
      </c>
      <c r="E80" s="102">
        <f>TrRoad_emi!E$40</f>
        <v>2641.2780573534164</v>
      </c>
      <c r="F80" s="102">
        <f>TrRoad_emi!F$40</f>
        <v>3544.2220074616012</v>
      </c>
      <c r="G80" s="102">
        <f>TrRoad_emi!G$40</f>
        <v>4022.8590673872877</v>
      </c>
      <c r="H80" s="102">
        <f>TrRoad_emi!H$40</f>
        <v>3824.3102401284068</v>
      </c>
      <c r="I80" s="102">
        <f>TrRoad_emi!I$40</f>
        <v>3534.5687205173899</v>
      </c>
      <c r="J80" s="102">
        <f>TrRoad_emi!J$40</f>
        <v>3568.0264543169437</v>
      </c>
      <c r="K80" s="102">
        <f>TrRoad_emi!K$40</f>
        <v>3099.0316900393418</v>
      </c>
      <c r="L80" s="102">
        <f>TrRoad_emi!L$40</f>
        <v>3510.2965416278694</v>
      </c>
      <c r="M80" s="102">
        <f>TrRoad_emi!M$40</f>
        <v>3703.4105147389287</v>
      </c>
      <c r="N80" s="102">
        <f>TrRoad_emi!N$40</f>
        <v>3392.0488185127406</v>
      </c>
      <c r="O80" s="102">
        <f>TrRoad_emi!O$40</f>
        <v>3427.4381354630364</v>
      </c>
      <c r="P80" s="102">
        <f>TrRoad_emi!P$40</f>
        <v>3183.118701566093</v>
      </c>
      <c r="Q80" s="102">
        <f>TrRoad_emi!Q$40</f>
        <v>2859.7083666166614</v>
      </c>
      <c r="R80" s="102">
        <f>TrRoad_emi!R$40</f>
        <v>2761.7783552282358</v>
      </c>
      <c r="S80" s="102">
        <f>TrRoad_emi!S$40</f>
        <v>2888.7751593429603</v>
      </c>
      <c r="T80" s="102">
        <f>TrRoad_emi!T$40</f>
        <v>3166.6788068081964</v>
      </c>
      <c r="U80" s="102">
        <f>TrRoad_emi!U$40</f>
        <v>3358.2476115419167</v>
      </c>
      <c r="V80" s="102">
        <f>TrRoad_emi!V$40</f>
        <v>2494.5090674783305</v>
      </c>
      <c r="W80" s="102">
        <f>TrRoad_emi!W$40</f>
        <v>2588.2027956902257</v>
      </c>
      <c r="X80" s="102">
        <f>TrRoad_emi!X$40</f>
        <v>1919.6268193666349</v>
      </c>
      <c r="Y80" s="102">
        <f>TrRoad_emi!Y$40</f>
        <v>1702.5352520906104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6.2893196318282421</v>
      </c>
      <c r="C81" s="110">
        <f>TrRail_emi!C$15</f>
        <v>6.1466996871266861</v>
      </c>
      <c r="D81" s="110">
        <f>TrRail_emi!D$15</f>
        <v>5.5462875764074875</v>
      </c>
      <c r="E81" s="110">
        <f>TrRail_emi!E$15</f>
        <v>4.6556570526054903</v>
      </c>
      <c r="F81" s="110">
        <f>TrRail_emi!F$15</f>
        <v>4.2745848154122497</v>
      </c>
      <c r="G81" s="110">
        <f>TrRail_emi!G$15</f>
        <v>2.1943625607793087</v>
      </c>
      <c r="H81" s="110">
        <f>TrRail_emi!H$15</f>
        <v>1.3643426781682799</v>
      </c>
      <c r="I81" s="110">
        <f>TrRail_emi!I$15</f>
        <v>2.0624917443605524</v>
      </c>
      <c r="J81" s="110">
        <f>TrRail_emi!J$15</f>
        <v>1.2596877320534452</v>
      </c>
      <c r="K81" s="110">
        <f>TrRail_emi!K$15</f>
        <v>0.95301918724533674</v>
      </c>
      <c r="L81" s="110">
        <f>TrRail_emi!L$15</f>
        <v>1.0815406449770113</v>
      </c>
      <c r="M81" s="110">
        <f>TrRail_emi!M$15</f>
        <v>0.88745044890292113</v>
      </c>
      <c r="N81" s="110">
        <f>TrRail_emi!N$15</f>
        <v>0.79187436394929367</v>
      </c>
      <c r="O81" s="110">
        <f>TrRail_emi!O$15</f>
        <v>0.70225170257617975</v>
      </c>
      <c r="P81" s="110">
        <f>TrRail_emi!P$15</f>
        <v>0.67745922968136441</v>
      </c>
      <c r="Q81" s="110">
        <f>TrRail_emi!Q$15</f>
        <v>0.55772596505171901</v>
      </c>
      <c r="R81" s="110">
        <f>TrRail_emi!R$15</f>
        <v>0.53137469006556937</v>
      </c>
      <c r="S81" s="110">
        <f>TrRail_emi!S$15</f>
        <v>0.51241148273838233</v>
      </c>
      <c r="T81" s="110">
        <f>TrRail_emi!T$15</f>
        <v>0.57859641882558321</v>
      </c>
      <c r="U81" s="110">
        <f>TrRail_emi!U$15</f>
        <v>0.52300960483631254</v>
      </c>
      <c r="V81" s="110">
        <f>TrRail_emi!V$15</f>
        <v>0.6056555334422371</v>
      </c>
      <c r="W81" s="110">
        <f>TrRail_emi!W$15</f>
        <v>0.49277858453362189</v>
      </c>
      <c r="X81" s="110">
        <f>TrRail_emi!X$15</f>
        <v>0.31194214021720718</v>
      </c>
      <c r="Y81" s="110">
        <f>TrRail_emi!Y$15</f>
        <v>0.2881246462716181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829.24903110613161</v>
      </c>
      <c r="C82" s="110">
        <f t="shared" si="67"/>
        <v>888.38649144201611</v>
      </c>
      <c r="D82" s="110">
        <f t="shared" si="67"/>
        <v>960.70637607461197</v>
      </c>
      <c r="E82" s="110">
        <f t="shared" si="67"/>
        <v>1007.6771537282057</v>
      </c>
      <c r="F82" s="110">
        <f t="shared" si="67"/>
        <v>1087.3719402410084</v>
      </c>
      <c r="G82" s="110">
        <f t="shared" si="67"/>
        <v>1116.6555986649771</v>
      </c>
      <c r="H82" s="110">
        <f t="shared" si="67"/>
        <v>1043.284324929944</v>
      </c>
      <c r="I82" s="110">
        <f t="shared" si="67"/>
        <v>1084.8644826656466</v>
      </c>
      <c r="J82" s="110">
        <f t="shared" si="67"/>
        <v>1079.1898790837281</v>
      </c>
      <c r="K82" s="110">
        <f t="shared" si="67"/>
        <v>953.55810367831532</v>
      </c>
      <c r="L82" s="110">
        <f t="shared" si="67"/>
        <v>956.92246329342584</v>
      </c>
      <c r="M82" s="110">
        <f t="shared" si="67"/>
        <v>949.97522728042031</v>
      </c>
      <c r="N82" s="110">
        <f t="shared" si="67"/>
        <v>888.26971194139401</v>
      </c>
      <c r="O82" s="110">
        <f t="shared" si="67"/>
        <v>898.93189084713413</v>
      </c>
      <c r="P82" s="110">
        <f t="shared" si="67"/>
        <v>911.08753050481857</v>
      </c>
      <c r="Q82" s="110">
        <f t="shared" si="67"/>
        <v>1004.4085017026459</v>
      </c>
      <c r="R82" s="110">
        <f t="shared" si="67"/>
        <v>1189.4200394527043</v>
      </c>
      <c r="S82" s="110">
        <f t="shared" si="67"/>
        <v>1195.1627869436236</v>
      </c>
      <c r="T82" s="110">
        <f t="shared" si="67"/>
        <v>1057.1802313777262</v>
      </c>
      <c r="U82" s="110">
        <f t="shared" si="67"/>
        <v>927.71396413136756</v>
      </c>
      <c r="V82" s="110">
        <f t="shared" si="67"/>
        <v>1399.3758023566422</v>
      </c>
      <c r="W82" s="110">
        <f t="shared" ref="W82:Y82" si="68">W83+W84+W85</f>
        <v>1457.0868542365758</v>
      </c>
      <c r="X82" s="110">
        <f t="shared" si="68"/>
        <v>1344.4370320840451</v>
      </c>
      <c r="Y82" s="110">
        <f t="shared" si="68"/>
        <v>1359.7750740374863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32.03171134998292</v>
      </c>
      <c r="C84" s="102">
        <f>TrAvia_emi!C$12</f>
        <v>13.769209988672916</v>
      </c>
      <c r="D84" s="102">
        <f>TrAvia_emi!D$12</f>
        <v>9.2987139517845723</v>
      </c>
      <c r="E84" s="102">
        <f>TrAvia_emi!E$12</f>
        <v>15.232395168847049</v>
      </c>
      <c r="F84" s="102">
        <f>TrAvia_emi!F$12</f>
        <v>14.471887288470269</v>
      </c>
      <c r="G84" s="102">
        <f>TrAvia_emi!G$12</f>
        <v>17.02269635846309</v>
      </c>
      <c r="H84" s="102">
        <f>TrAvia_emi!H$12</f>
        <v>8.8309744731043178</v>
      </c>
      <c r="I84" s="102">
        <f>TrAvia_emi!I$12</f>
        <v>15.646697347548706</v>
      </c>
      <c r="J84" s="102">
        <f>TrAvia_emi!J$12</f>
        <v>22.01453551859532</v>
      </c>
      <c r="K84" s="102">
        <f>TrAvia_emi!K$12</f>
        <v>22.752215386738545</v>
      </c>
      <c r="L84" s="102">
        <f>TrAvia_emi!L$12</f>
        <v>24.588078629727836</v>
      </c>
      <c r="M84" s="102">
        <f>TrAvia_emi!M$12</f>
        <v>12.844921470783618</v>
      </c>
      <c r="N84" s="102">
        <f>TrAvia_emi!N$12</f>
        <v>12.295833261374751</v>
      </c>
      <c r="O84" s="102">
        <f>TrAvia_emi!O$12</f>
        <v>13.367861504296602</v>
      </c>
      <c r="P84" s="102">
        <f>TrAvia_emi!P$12</f>
        <v>17.32008243701187</v>
      </c>
      <c r="Q84" s="102">
        <f>TrAvia_emi!Q$12</f>
        <v>18.11581045298416</v>
      </c>
      <c r="R84" s="102">
        <f>TrAvia_emi!R$12</f>
        <v>11.684492729046104</v>
      </c>
      <c r="S84" s="102">
        <f>TrAvia_emi!S$12</f>
        <v>22.934486020027645</v>
      </c>
      <c r="T84" s="102">
        <f>TrAvia_emi!T$12</f>
        <v>26.286956996512348</v>
      </c>
      <c r="U84" s="102">
        <f>TrAvia_emi!U$12</f>
        <v>28.996970214878797</v>
      </c>
      <c r="V84" s="102">
        <f>TrAvia_emi!V$12</f>
        <v>21.564850132046089</v>
      </c>
      <c r="W84" s="102">
        <f>TrAvia_emi!W$12</f>
        <v>23.064547381726079</v>
      </c>
      <c r="X84" s="102">
        <f>TrAvia_emi!X$12</f>
        <v>19.737458734735444</v>
      </c>
      <c r="Y84" s="102">
        <f>TrAvia_emi!Y$12</f>
        <v>13.831119636166148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797.21731975614864</v>
      </c>
      <c r="C85" s="102">
        <f>TrAvia_emi!C$13</f>
        <v>874.61728145334314</v>
      </c>
      <c r="D85" s="102">
        <f>TrAvia_emi!D$13</f>
        <v>951.40766212282745</v>
      </c>
      <c r="E85" s="102">
        <f>TrAvia_emi!E$13</f>
        <v>992.44475855935866</v>
      </c>
      <c r="F85" s="102">
        <f>TrAvia_emi!F$13</f>
        <v>1072.9000529525381</v>
      </c>
      <c r="G85" s="102">
        <f>TrAvia_emi!G$13</f>
        <v>1099.6329023065141</v>
      </c>
      <c r="H85" s="102">
        <f>TrAvia_emi!H$13</f>
        <v>1034.4533504568396</v>
      </c>
      <c r="I85" s="102">
        <f>TrAvia_emi!I$13</f>
        <v>1069.2177853180979</v>
      </c>
      <c r="J85" s="102">
        <f>TrAvia_emi!J$13</f>
        <v>1057.1753435651328</v>
      </c>
      <c r="K85" s="102">
        <f>TrAvia_emi!K$13</f>
        <v>930.80588829157682</v>
      </c>
      <c r="L85" s="102">
        <f>TrAvia_emi!L$13</f>
        <v>932.33438466369796</v>
      </c>
      <c r="M85" s="102">
        <f>TrAvia_emi!M$13</f>
        <v>937.13030580963675</v>
      </c>
      <c r="N85" s="102">
        <f>TrAvia_emi!N$13</f>
        <v>875.97387868001931</v>
      </c>
      <c r="O85" s="102">
        <f>TrAvia_emi!O$13</f>
        <v>885.56402934283756</v>
      </c>
      <c r="P85" s="102">
        <f>TrAvia_emi!P$13</f>
        <v>893.76744806780675</v>
      </c>
      <c r="Q85" s="102">
        <f>TrAvia_emi!Q$13</f>
        <v>986.29269124966174</v>
      </c>
      <c r="R85" s="102">
        <f>TrAvia_emi!R$13</f>
        <v>1177.7355467236582</v>
      </c>
      <c r="S85" s="102">
        <f>TrAvia_emi!S$13</f>
        <v>1172.228300923596</v>
      </c>
      <c r="T85" s="102">
        <f>TrAvia_emi!T$13</f>
        <v>1030.8932743812138</v>
      </c>
      <c r="U85" s="102">
        <f>TrAvia_emi!U$13</f>
        <v>898.71699391648872</v>
      </c>
      <c r="V85" s="102">
        <f>TrAvia_emi!V$13</f>
        <v>1377.8109522245961</v>
      </c>
      <c r="W85" s="102">
        <f>TrAvia_emi!W$13</f>
        <v>1434.0223068548498</v>
      </c>
      <c r="X85" s="102">
        <f>TrAvia_emi!X$13</f>
        <v>1324.6995733493097</v>
      </c>
      <c r="Y85" s="102">
        <f>TrAvia_emi!Y$13</f>
        <v>1345.9439544013201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1.4240102292000001</v>
      </c>
      <c r="C86" s="110">
        <f t="shared" si="69"/>
        <v>1.4022932976000002</v>
      </c>
      <c r="D86" s="110">
        <f t="shared" si="69"/>
        <v>1.3991908788</v>
      </c>
      <c r="E86" s="110">
        <f t="shared" si="69"/>
        <v>1.2316602636</v>
      </c>
      <c r="F86" s="110">
        <f t="shared" si="69"/>
        <v>1.3991908788</v>
      </c>
      <c r="G86" s="110">
        <f t="shared" si="69"/>
        <v>1.3123231524000001</v>
      </c>
      <c r="H86" s="110">
        <f t="shared" si="69"/>
        <v>1.4333174856000002</v>
      </c>
      <c r="I86" s="110">
        <f t="shared" si="69"/>
        <v>1.3216304087999999</v>
      </c>
      <c r="J86" s="110">
        <f t="shared" si="69"/>
        <v>1.3898836224000002</v>
      </c>
      <c r="K86" s="110">
        <f t="shared" si="69"/>
        <v>1.1137683491999999</v>
      </c>
      <c r="L86" s="110">
        <f t="shared" si="69"/>
        <v>1.3650642720000001</v>
      </c>
      <c r="M86" s="110">
        <f t="shared" si="69"/>
        <v>1.1975336568000001</v>
      </c>
      <c r="N86" s="110">
        <f t="shared" si="69"/>
        <v>1.1176153200000001</v>
      </c>
      <c r="O86" s="110">
        <f t="shared" si="69"/>
        <v>1.0291104</v>
      </c>
      <c r="P86" s="110">
        <f t="shared" si="69"/>
        <v>1.0479023999999999</v>
      </c>
      <c r="Q86" s="110">
        <f t="shared" si="69"/>
        <v>0.95569307999999997</v>
      </c>
      <c r="R86" s="110">
        <f t="shared" ref="R86:V86" si="70">R87+R88</f>
        <v>0.89727155999999986</v>
      </c>
      <c r="S86" s="110">
        <f t="shared" si="70"/>
        <v>0.91523411999999993</v>
      </c>
      <c r="T86" s="110">
        <f t="shared" si="70"/>
        <v>0.91280304000000034</v>
      </c>
      <c r="U86" s="110">
        <f t="shared" si="70"/>
        <v>0.87456780000000012</v>
      </c>
      <c r="V86" s="110">
        <f t="shared" si="70"/>
        <v>0.29290248000000002</v>
      </c>
      <c r="W86" s="110">
        <f t="shared" ref="W86:Y86" si="71">W87+W88</f>
        <v>0.25502256000000001</v>
      </c>
      <c r="X86" s="110">
        <f t="shared" si="71"/>
        <v>0.30864132</v>
      </c>
      <c r="Y86" s="110">
        <f t="shared" si="71"/>
        <v>0.36199331999999995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X87" s="102">
        <f>TrNavi_emi!X$4</f>
        <v>0</v>
      </c>
      <c r="Y87" s="102">
        <f>TrNavi_emi!Y$4</f>
        <v>0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1.4240102292000001</v>
      </c>
      <c r="C88" s="169">
        <f>TrNavi_emi!C$5</f>
        <v>1.4022932976000002</v>
      </c>
      <c r="D88" s="169">
        <f>TrNavi_emi!D$5</f>
        <v>1.3991908788</v>
      </c>
      <c r="E88" s="169">
        <f>TrNavi_emi!E$5</f>
        <v>1.2316602636</v>
      </c>
      <c r="F88" s="169">
        <f>TrNavi_emi!F$5</f>
        <v>1.3991908788</v>
      </c>
      <c r="G88" s="169">
        <f>TrNavi_emi!G$5</f>
        <v>1.3123231524000001</v>
      </c>
      <c r="H88" s="169">
        <f>TrNavi_emi!H$5</f>
        <v>1.4333174856000002</v>
      </c>
      <c r="I88" s="169">
        <f>TrNavi_emi!I$5</f>
        <v>1.3216304087999999</v>
      </c>
      <c r="J88" s="169">
        <f>TrNavi_emi!J$5</f>
        <v>1.3898836224000002</v>
      </c>
      <c r="K88" s="169">
        <f>TrNavi_emi!K$5</f>
        <v>1.1137683491999999</v>
      </c>
      <c r="L88" s="169">
        <f>TrNavi_emi!L$5</f>
        <v>1.3650642720000001</v>
      </c>
      <c r="M88" s="169">
        <f>TrNavi_emi!M$5</f>
        <v>1.1975336568000001</v>
      </c>
      <c r="N88" s="169">
        <f>TrNavi_emi!N$5</f>
        <v>1.1176153200000001</v>
      </c>
      <c r="O88" s="169">
        <f>TrNavi_emi!O$5</f>
        <v>1.0291104</v>
      </c>
      <c r="P88" s="169">
        <f>TrNavi_emi!P$5</f>
        <v>1.0479023999999999</v>
      </c>
      <c r="Q88" s="169">
        <f>TrNavi_emi!Q$5</f>
        <v>0.95569307999999997</v>
      </c>
      <c r="R88" s="169">
        <f>TrNavi_emi!R$5</f>
        <v>0.89727155999999986</v>
      </c>
      <c r="S88" s="169">
        <f>TrNavi_emi!S$5</f>
        <v>0.91523411999999993</v>
      </c>
      <c r="T88" s="169">
        <f>TrNavi_emi!T$5</f>
        <v>0.91280304000000034</v>
      </c>
      <c r="U88" s="169">
        <f>TrNavi_emi!U$5</f>
        <v>0.87456780000000012</v>
      </c>
      <c r="V88" s="169">
        <f>TrNavi_emi!V$5</f>
        <v>0.29290248000000002</v>
      </c>
      <c r="W88" s="169">
        <f>TrNavi_emi!W$5</f>
        <v>0.25502256000000001</v>
      </c>
      <c r="X88" s="169">
        <f>TrNavi_emi!X$5</f>
        <v>0.30864132</v>
      </c>
      <c r="Y88" s="169">
        <f>TrNavi_emi!Y$5</f>
        <v>0.36199331999999995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0</v>
      </c>
      <c r="J89" s="28">
        <f t="shared" si="72"/>
        <v>0</v>
      </c>
      <c r="K89" s="28">
        <f t="shared" si="72"/>
        <v>0</v>
      </c>
      <c r="L89" s="28">
        <f t="shared" si="72"/>
        <v>0</v>
      </c>
      <c r="M89" s="28">
        <f t="shared" si="72"/>
        <v>0</v>
      </c>
      <c r="N89" s="28">
        <f t="shared" si="72"/>
        <v>0</v>
      </c>
      <c r="O89" s="28">
        <f t="shared" si="72"/>
        <v>0</v>
      </c>
      <c r="P89" s="28">
        <f t="shared" si="72"/>
        <v>0</v>
      </c>
      <c r="Q89" s="28">
        <f t="shared" si="72"/>
        <v>0</v>
      </c>
      <c r="R89" s="28">
        <f t="shared" si="72"/>
        <v>0</v>
      </c>
      <c r="S89" s="28">
        <f t="shared" si="72"/>
        <v>0</v>
      </c>
      <c r="T89" s="28">
        <f t="shared" si="72"/>
        <v>0</v>
      </c>
      <c r="U89" s="28">
        <f t="shared" si="72"/>
        <v>0</v>
      </c>
      <c r="V89" s="28">
        <f t="shared" si="72"/>
        <v>0</v>
      </c>
      <c r="W89" s="28">
        <f t="shared" si="72"/>
        <v>0</v>
      </c>
      <c r="X89" s="28">
        <f t="shared" ref="X89:Y89" si="73">X90+X91</f>
        <v>0</v>
      </c>
      <c r="Y89" s="28">
        <f t="shared" si="73"/>
        <v>0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0</v>
      </c>
      <c r="J90" s="102">
        <f>MBunk_emi!J$4</f>
        <v>0</v>
      </c>
      <c r="K90" s="102">
        <f>MBunk_emi!K$4</f>
        <v>0</v>
      </c>
      <c r="L90" s="102">
        <f>MBunk_emi!L$4</f>
        <v>0</v>
      </c>
      <c r="M90" s="102">
        <f>MBunk_emi!M$4</f>
        <v>0</v>
      </c>
      <c r="N90" s="102">
        <f>MBunk_emi!N$4</f>
        <v>0</v>
      </c>
      <c r="O90" s="102">
        <f>MBunk_emi!O$4</f>
        <v>0</v>
      </c>
      <c r="P90" s="102">
        <f>MBunk_emi!P$4</f>
        <v>0</v>
      </c>
      <c r="Q90" s="102">
        <f>MBunk_emi!Q$4</f>
        <v>0</v>
      </c>
      <c r="R90" s="102">
        <f>MBunk_emi!R$4</f>
        <v>0</v>
      </c>
      <c r="S90" s="102">
        <f>MBunk_emi!S$4</f>
        <v>0</v>
      </c>
      <c r="T90" s="102">
        <f>MBunk_emi!T$4</f>
        <v>0</v>
      </c>
      <c r="U90" s="102">
        <f>MBunk_emi!U$4</f>
        <v>0</v>
      </c>
      <c r="V90" s="102">
        <f>MBunk_emi!V$4</f>
        <v>0</v>
      </c>
      <c r="W90" s="102">
        <f>MBunk_emi!W$4</f>
        <v>0</v>
      </c>
      <c r="X90" s="102">
        <f>MBunk_emi!X$4</f>
        <v>0</v>
      </c>
      <c r="Y90" s="102">
        <f>MBunk_emi!Y$4</f>
        <v>0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0</v>
      </c>
      <c r="J91" s="86">
        <f>MBunk_emi!J$5</f>
        <v>0</v>
      </c>
      <c r="K91" s="86">
        <f>MBunk_emi!K$5</f>
        <v>0</v>
      </c>
      <c r="L91" s="86">
        <f>MBunk_emi!L$5</f>
        <v>0</v>
      </c>
      <c r="M91" s="86">
        <f>MBunk_emi!M$5</f>
        <v>0</v>
      </c>
      <c r="N91" s="86">
        <f>MBunk_emi!N$5</f>
        <v>0</v>
      </c>
      <c r="O91" s="86">
        <f>MBunk_emi!O$5</f>
        <v>0</v>
      </c>
      <c r="P91" s="86">
        <f>MBunk_emi!P$5</f>
        <v>0</v>
      </c>
      <c r="Q91" s="86">
        <f>MBunk_emi!Q$5</f>
        <v>0</v>
      </c>
      <c r="R91" s="86">
        <f>MBunk_emi!R$5</f>
        <v>0</v>
      </c>
      <c r="S91" s="86">
        <f>MBunk_emi!S$5</f>
        <v>0</v>
      </c>
      <c r="T91" s="86">
        <f>MBunk_emi!T$5</f>
        <v>0</v>
      </c>
      <c r="U91" s="86">
        <f>MBunk_emi!U$5</f>
        <v>0</v>
      </c>
      <c r="V91" s="86">
        <f>MBunk_emi!V$5</f>
        <v>0</v>
      </c>
      <c r="W91" s="86">
        <f>MBunk_emi!W$5</f>
        <v>0</v>
      </c>
      <c r="X91" s="86">
        <f>MBunk_emi!X$5</f>
        <v>0</v>
      </c>
      <c r="Y91" s="86">
        <f>MBunk_emi!Y$5</f>
        <v>0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0.85180435322915682</v>
      </c>
      <c r="C97" s="139">
        <f t="shared" si="75"/>
        <v>0.84670870890790995</v>
      </c>
      <c r="D97" s="139">
        <f t="shared" si="75"/>
        <v>0.85046214578720625</v>
      </c>
      <c r="E97" s="139">
        <f t="shared" si="75"/>
        <v>0.85017627092233494</v>
      </c>
      <c r="F97" s="139">
        <f t="shared" si="75"/>
        <v>0.84584941173270134</v>
      </c>
      <c r="G97" s="139">
        <f t="shared" si="75"/>
        <v>0.84958951858295384</v>
      </c>
      <c r="H97" s="139">
        <f t="shared" si="75"/>
        <v>0.85293296674737284</v>
      </c>
      <c r="I97" s="139">
        <f t="shared" si="75"/>
        <v>0.85148058624868972</v>
      </c>
      <c r="J97" s="139">
        <f t="shared" si="75"/>
        <v>0.8472079959712614</v>
      </c>
      <c r="K97" s="139">
        <f t="shared" si="75"/>
        <v>0.85386566955831544</v>
      </c>
      <c r="L97" s="139">
        <f t="shared" si="75"/>
        <v>0.84163582733607967</v>
      </c>
      <c r="M97" s="139">
        <f t="shared" si="75"/>
        <v>0.84310976026210938</v>
      </c>
      <c r="N97" s="139">
        <f t="shared" si="75"/>
        <v>0.84657776507841387</v>
      </c>
      <c r="O97" s="139">
        <f t="shared" si="75"/>
        <v>0.83447170409923377</v>
      </c>
      <c r="P97" s="139">
        <f t="shared" si="75"/>
        <v>0.82319446613331571</v>
      </c>
      <c r="Q97" s="139">
        <f t="shared" si="75"/>
        <v>0.81346029983441126</v>
      </c>
      <c r="R97" s="139">
        <f t="shared" si="75"/>
        <v>0.80908883543346699</v>
      </c>
      <c r="S97" s="139">
        <f t="shared" si="75"/>
        <v>0.78210134643700857</v>
      </c>
      <c r="T97" s="139">
        <f t="shared" si="75"/>
        <v>0.7621056411848558</v>
      </c>
      <c r="U97" s="139">
        <f t="shared" si="75"/>
        <v>0.74814128209117647</v>
      </c>
      <c r="V97" s="139">
        <f t="shared" si="75"/>
        <v>0.8613521035752848</v>
      </c>
      <c r="W97" s="139">
        <f t="shared" si="75"/>
        <v>0.8129581671968763</v>
      </c>
      <c r="X97" s="139">
        <f t="shared" si="75"/>
        <v>0.73952400351893499</v>
      </c>
      <c r="Y97" s="139">
        <f t="shared" si="75"/>
        <v>0.72464377249082712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4.851829120352074E-3</v>
      </c>
      <c r="C98" s="140">
        <f t="shared" si="76"/>
        <v>4.8535693894098285E-3</v>
      </c>
      <c r="D98" s="140">
        <f t="shared" si="76"/>
        <v>5.1196711299163885E-3</v>
      </c>
      <c r="E98" s="140">
        <f t="shared" si="76"/>
        <v>5.1622871046218257E-3</v>
      </c>
      <c r="F98" s="140">
        <f t="shared" si="76"/>
        <v>5.401230652319287E-3</v>
      </c>
      <c r="G98" s="140">
        <f t="shared" si="76"/>
        <v>5.4509112334648925E-3</v>
      </c>
      <c r="H98" s="140">
        <f t="shared" si="76"/>
        <v>5.4212356308833707E-3</v>
      </c>
      <c r="I98" s="140">
        <f t="shared" si="76"/>
        <v>5.5174230188535615E-3</v>
      </c>
      <c r="J98" s="140">
        <f t="shared" si="76"/>
        <v>5.4468989803148392E-3</v>
      </c>
      <c r="K98" s="140">
        <f t="shared" si="76"/>
        <v>5.6980993504319151E-3</v>
      </c>
      <c r="L98" s="140">
        <f t="shared" si="76"/>
        <v>5.9526897815059335E-3</v>
      </c>
      <c r="M98" s="140">
        <f t="shared" si="76"/>
        <v>6.0258260672102978E-3</v>
      </c>
      <c r="N98" s="140">
        <f t="shared" si="76"/>
        <v>6.225015225525851E-3</v>
      </c>
      <c r="O98" s="140">
        <f t="shared" si="76"/>
        <v>6.2400578860617104E-3</v>
      </c>
      <c r="P98" s="140">
        <f t="shared" si="76"/>
        <v>6.2259866179104973E-3</v>
      </c>
      <c r="Q98" s="140">
        <f t="shared" si="76"/>
        <v>6.2497547308960327E-3</v>
      </c>
      <c r="R98" s="140">
        <f t="shared" si="76"/>
        <v>6.3614495397878168E-3</v>
      </c>
      <c r="S98" s="140">
        <f t="shared" si="76"/>
        <v>5.7122940948430472E-3</v>
      </c>
      <c r="T98" s="140">
        <f t="shared" si="76"/>
        <v>5.1866057881023164E-3</v>
      </c>
      <c r="U98" s="140">
        <f t="shared" si="76"/>
        <v>5.2577735433630614E-3</v>
      </c>
      <c r="V98" s="140">
        <f t="shared" si="76"/>
        <v>6.3634594675750092E-3</v>
      </c>
      <c r="W98" s="140">
        <f t="shared" si="76"/>
        <v>5.8825265922022932E-3</v>
      </c>
      <c r="X98" s="140">
        <f t="shared" si="76"/>
        <v>5.0144849777668775E-3</v>
      </c>
      <c r="Y98" s="140">
        <f t="shared" si="76"/>
        <v>5.0252850856266022E-3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0.76252960369924538</v>
      </c>
      <c r="C99" s="140">
        <f t="shared" si="77"/>
        <v>0.75584517170391641</v>
      </c>
      <c r="D99" s="140">
        <f t="shared" si="77"/>
        <v>0.75340190339546986</v>
      </c>
      <c r="E99" s="140">
        <f t="shared" si="77"/>
        <v>0.7522379677902491</v>
      </c>
      <c r="F99" s="140">
        <f t="shared" si="77"/>
        <v>0.74624947665070307</v>
      </c>
      <c r="G99" s="140">
        <f t="shared" si="77"/>
        <v>0.74902439807067334</v>
      </c>
      <c r="H99" s="140">
        <f t="shared" si="77"/>
        <v>0.75257189238486077</v>
      </c>
      <c r="I99" s="140">
        <f t="shared" si="77"/>
        <v>0.74843925969395686</v>
      </c>
      <c r="J99" s="140">
        <f t="shared" si="77"/>
        <v>0.74110372534025526</v>
      </c>
      <c r="K99" s="140">
        <f t="shared" si="77"/>
        <v>0.74714933490586577</v>
      </c>
      <c r="L99" s="140">
        <f t="shared" si="77"/>
        <v>0.73009951533665718</v>
      </c>
      <c r="M99" s="140">
        <f t="shared" si="77"/>
        <v>0.72800794585916917</v>
      </c>
      <c r="N99" s="140">
        <f t="shared" si="77"/>
        <v>0.7312191407521248</v>
      </c>
      <c r="O99" s="140">
        <f t="shared" si="77"/>
        <v>0.72030937752643742</v>
      </c>
      <c r="P99" s="140">
        <f t="shared" si="77"/>
        <v>0.71321712150806105</v>
      </c>
      <c r="Q99" s="140">
        <f t="shared" si="77"/>
        <v>0.70237054728428827</v>
      </c>
      <c r="R99" s="140">
        <f t="shared" si="77"/>
        <v>0.69954552222362476</v>
      </c>
      <c r="S99" s="140">
        <f t="shared" si="77"/>
        <v>0.67554750479603398</v>
      </c>
      <c r="T99" s="140">
        <f t="shared" si="77"/>
        <v>0.6585331819455621</v>
      </c>
      <c r="U99" s="140">
        <f t="shared" si="77"/>
        <v>0.6446579310656434</v>
      </c>
      <c r="V99" s="140">
        <f t="shared" si="77"/>
        <v>0.76512796234795954</v>
      </c>
      <c r="W99" s="140">
        <f t="shared" si="77"/>
        <v>0.72164093052125067</v>
      </c>
      <c r="X99" s="140">
        <f t="shared" si="77"/>
        <v>0.63629306954840914</v>
      </c>
      <c r="Y99" s="140">
        <f t="shared" si="77"/>
        <v>0.61802846527814514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8.4422920409559302E-2</v>
      </c>
      <c r="C100" s="140">
        <f t="shared" si="78"/>
        <v>8.6009967814583588E-2</v>
      </c>
      <c r="D100" s="140">
        <f t="shared" si="78"/>
        <v>9.194057126182005E-2</v>
      </c>
      <c r="E100" s="140">
        <f t="shared" si="78"/>
        <v>9.2776016027464048E-2</v>
      </c>
      <c r="F100" s="140">
        <f t="shared" si="78"/>
        <v>9.4198704429678912E-2</v>
      </c>
      <c r="G100" s="140">
        <f t="shared" si="78"/>
        <v>9.511420927881567E-2</v>
      </c>
      <c r="H100" s="140">
        <f t="shared" si="78"/>
        <v>9.4939838731628604E-2</v>
      </c>
      <c r="I100" s="140">
        <f t="shared" si="78"/>
        <v>9.7523903535879253E-2</v>
      </c>
      <c r="J100" s="140">
        <f t="shared" si="78"/>
        <v>0.10065737165069139</v>
      </c>
      <c r="K100" s="140">
        <f t="shared" si="78"/>
        <v>0.10101823530201787</v>
      </c>
      <c r="L100" s="140">
        <f t="shared" si="78"/>
        <v>0.10558362221791658</v>
      </c>
      <c r="M100" s="140">
        <f t="shared" si="78"/>
        <v>0.10907598833572986</v>
      </c>
      <c r="N100" s="140">
        <f t="shared" si="78"/>
        <v>0.10913360910076324</v>
      </c>
      <c r="O100" s="140">
        <f t="shared" si="78"/>
        <v>0.10792226868673473</v>
      </c>
      <c r="P100" s="140">
        <f t="shared" si="78"/>
        <v>0.10375135800734415</v>
      </c>
      <c r="Q100" s="140">
        <f t="shared" si="78"/>
        <v>0.10483999781922708</v>
      </c>
      <c r="R100" s="140">
        <f t="shared" si="78"/>
        <v>0.10318186367005452</v>
      </c>
      <c r="S100" s="140">
        <f t="shared" si="78"/>
        <v>0.10084154754613156</v>
      </c>
      <c r="T100" s="140">
        <f t="shared" si="78"/>
        <v>9.8385853451191274E-2</v>
      </c>
      <c r="U100" s="140">
        <f t="shared" si="78"/>
        <v>9.8225577482169965E-2</v>
      </c>
      <c r="V100" s="140">
        <f t="shared" si="78"/>
        <v>8.9860681759750219E-2</v>
      </c>
      <c r="W100" s="140">
        <f t="shared" si="78"/>
        <v>8.5434710083423238E-2</v>
      </c>
      <c r="X100" s="140">
        <f t="shared" si="78"/>
        <v>9.8216448992758928E-2</v>
      </c>
      <c r="Y100" s="140">
        <f t="shared" si="78"/>
        <v>0.10159002212705523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4.5207112219312395E-2</v>
      </c>
      <c r="C101" s="124">
        <f t="shared" si="79"/>
        <v>4.5090074036130183E-2</v>
      </c>
      <c r="D101" s="124">
        <f t="shared" si="79"/>
        <v>3.4222323747455242E-2</v>
      </c>
      <c r="E101" s="124">
        <f t="shared" si="79"/>
        <v>3.2847724593507543E-2</v>
      </c>
      <c r="F101" s="124">
        <f t="shared" si="79"/>
        <v>3.0951002884037359E-2</v>
      </c>
      <c r="G101" s="124">
        <f t="shared" si="79"/>
        <v>3.1744367346804733E-2</v>
      </c>
      <c r="H101" s="124">
        <f t="shared" si="79"/>
        <v>3.4502526758567471E-2</v>
      </c>
      <c r="I101" s="124">
        <f t="shared" si="79"/>
        <v>3.5834364555044004E-2</v>
      </c>
      <c r="J101" s="124">
        <f t="shared" si="79"/>
        <v>3.8161311230207169E-2</v>
      </c>
      <c r="K101" s="124">
        <f t="shared" si="79"/>
        <v>3.7134437093082583E-2</v>
      </c>
      <c r="L101" s="124">
        <f t="shared" si="79"/>
        <v>3.8976081818741536E-2</v>
      </c>
      <c r="M101" s="124">
        <f t="shared" si="79"/>
        <v>3.8544311274157007E-2</v>
      </c>
      <c r="N101" s="124">
        <f t="shared" si="79"/>
        <v>4.0507851562170273E-2</v>
      </c>
      <c r="O101" s="124">
        <f t="shared" si="79"/>
        <v>4.1425306049243785E-2</v>
      </c>
      <c r="P101" s="124">
        <f t="shared" si="79"/>
        <v>3.6598846324737234E-2</v>
      </c>
      <c r="Q101" s="124">
        <f t="shared" si="79"/>
        <v>4.0100604056233731E-2</v>
      </c>
      <c r="R101" s="124">
        <f t="shared" si="79"/>
        <v>3.8763346658705511E-2</v>
      </c>
      <c r="S101" s="124">
        <f t="shared" si="79"/>
        <v>3.855786803692543E-2</v>
      </c>
      <c r="T101" s="124">
        <f t="shared" si="79"/>
        <v>3.887959168279783E-2</v>
      </c>
      <c r="U101" s="124">
        <f t="shared" si="79"/>
        <v>3.979404683573514E-2</v>
      </c>
      <c r="V101" s="124">
        <f t="shared" si="79"/>
        <v>3.2406813909555937E-2</v>
      </c>
      <c r="W101" s="124">
        <f t="shared" si="79"/>
        <v>3.3323269770770714E-2</v>
      </c>
      <c r="X101" s="124">
        <f t="shared" si="79"/>
        <v>3.910252874593996E-2</v>
      </c>
      <c r="Y101" s="124">
        <f t="shared" si="79"/>
        <v>4.5642968868782927E-2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0</v>
      </c>
      <c r="C102" s="140">
        <f t="shared" si="80"/>
        <v>0</v>
      </c>
      <c r="D102" s="140">
        <f t="shared" si="80"/>
        <v>0</v>
      </c>
      <c r="E102" s="140">
        <f t="shared" si="80"/>
        <v>0</v>
      </c>
      <c r="F102" s="140">
        <f t="shared" si="80"/>
        <v>0</v>
      </c>
      <c r="G102" s="140">
        <f t="shared" si="80"/>
        <v>0</v>
      </c>
      <c r="H102" s="140">
        <f t="shared" si="80"/>
        <v>0</v>
      </c>
      <c r="I102" s="140">
        <f t="shared" si="80"/>
        <v>0</v>
      </c>
      <c r="J102" s="140">
        <f t="shared" si="80"/>
        <v>0</v>
      </c>
      <c r="K102" s="140">
        <f t="shared" si="80"/>
        <v>0</v>
      </c>
      <c r="L102" s="140">
        <f t="shared" si="80"/>
        <v>0</v>
      </c>
      <c r="M102" s="140">
        <f t="shared" si="80"/>
        <v>0</v>
      </c>
      <c r="N102" s="140">
        <f t="shared" si="80"/>
        <v>0</v>
      </c>
      <c r="O102" s="140">
        <f t="shared" si="80"/>
        <v>0</v>
      </c>
      <c r="P102" s="140">
        <f t="shared" si="80"/>
        <v>0</v>
      </c>
      <c r="Q102" s="140">
        <f t="shared" si="80"/>
        <v>0</v>
      </c>
      <c r="R102" s="140">
        <f t="shared" si="80"/>
        <v>0</v>
      </c>
      <c r="S102" s="140">
        <f t="shared" si="80"/>
        <v>0</v>
      </c>
      <c r="T102" s="140">
        <f t="shared" si="80"/>
        <v>1.6392476493287734E-3</v>
      </c>
      <c r="U102" s="140">
        <f t="shared" si="80"/>
        <v>2.5122910993017732E-3</v>
      </c>
      <c r="V102" s="140">
        <f t="shared" si="80"/>
        <v>3.4308137253663855E-3</v>
      </c>
      <c r="W102" s="140">
        <f t="shared" si="80"/>
        <v>4.2717239998665063E-3</v>
      </c>
      <c r="X102" s="140">
        <f t="shared" si="80"/>
        <v>7.9039159222897819E-3</v>
      </c>
      <c r="Y102" s="140">
        <f t="shared" si="80"/>
        <v>8.1332873736887409E-3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4.5207112219312395E-2</v>
      </c>
      <c r="C103" s="140">
        <f t="shared" si="81"/>
        <v>4.5090074036130183E-2</v>
      </c>
      <c r="D103" s="140">
        <f t="shared" si="81"/>
        <v>3.4222323747455242E-2</v>
      </c>
      <c r="E103" s="140">
        <f t="shared" si="81"/>
        <v>3.2847724593507543E-2</v>
      </c>
      <c r="F103" s="140">
        <f t="shared" si="81"/>
        <v>3.0951002884037359E-2</v>
      </c>
      <c r="G103" s="140">
        <f t="shared" si="81"/>
        <v>3.1744367346804733E-2</v>
      </c>
      <c r="H103" s="140">
        <f t="shared" si="81"/>
        <v>3.4502526758567471E-2</v>
      </c>
      <c r="I103" s="140">
        <f t="shared" si="81"/>
        <v>3.5834364555044004E-2</v>
      </c>
      <c r="J103" s="140">
        <f t="shared" si="81"/>
        <v>3.8161311230207169E-2</v>
      </c>
      <c r="K103" s="140">
        <f t="shared" si="81"/>
        <v>3.7134437093082583E-2</v>
      </c>
      <c r="L103" s="140">
        <f t="shared" si="81"/>
        <v>3.8976081818741536E-2</v>
      </c>
      <c r="M103" s="140">
        <f t="shared" si="81"/>
        <v>3.8544311274157007E-2</v>
      </c>
      <c r="N103" s="140">
        <f t="shared" si="81"/>
        <v>4.0507851562170273E-2</v>
      </c>
      <c r="O103" s="140">
        <f t="shared" si="81"/>
        <v>4.1425306049243785E-2</v>
      </c>
      <c r="P103" s="140">
        <f t="shared" si="81"/>
        <v>3.6598846324737234E-2</v>
      </c>
      <c r="Q103" s="140">
        <f t="shared" si="81"/>
        <v>4.0100604056233731E-2</v>
      </c>
      <c r="R103" s="140">
        <f t="shared" si="81"/>
        <v>3.8763346658705511E-2</v>
      </c>
      <c r="S103" s="140">
        <f t="shared" si="81"/>
        <v>3.855786803692543E-2</v>
      </c>
      <c r="T103" s="140">
        <f t="shared" si="81"/>
        <v>3.7240344033469056E-2</v>
      </c>
      <c r="U103" s="140">
        <f t="shared" si="81"/>
        <v>3.7281755736433365E-2</v>
      </c>
      <c r="V103" s="140">
        <f t="shared" si="81"/>
        <v>2.8976000184189551E-2</v>
      </c>
      <c r="W103" s="140">
        <f t="shared" si="81"/>
        <v>2.9051545770904207E-2</v>
      </c>
      <c r="X103" s="140">
        <f t="shared" si="81"/>
        <v>3.119861282365018E-2</v>
      </c>
      <c r="Y103" s="140">
        <f t="shared" si="81"/>
        <v>3.7509681495094191E-2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0.10298853455153087</v>
      </c>
      <c r="C105" s="124">
        <f t="shared" si="83"/>
        <v>0.10820121705595995</v>
      </c>
      <c r="D105" s="124">
        <f t="shared" si="83"/>
        <v>0.1153155304653385</v>
      </c>
      <c r="E105" s="124">
        <f t="shared" si="83"/>
        <v>0.1169760044841575</v>
      </c>
      <c r="F105" s="124">
        <f t="shared" si="83"/>
        <v>0.12319958538326135</v>
      </c>
      <c r="G105" s="124">
        <f t="shared" si="83"/>
        <v>0.11866611407024145</v>
      </c>
      <c r="H105" s="124">
        <f t="shared" si="83"/>
        <v>0.11256450649405973</v>
      </c>
      <c r="I105" s="124">
        <f t="shared" si="83"/>
        <v>0.11268504919626636</v>
      </c>
      <c r="J105" s="124">
        <f t="shared" si="83"/>
        <v>0.11463069279853141</v>
      </c>
      <c r="K105" s="124">
        <f t="shared" si="83"/>
        <v>0.10899989334860198</v>
      </c>
      <c r="L105" s="124">
        <f t="shared" si="83"/>
        <v>0.11938809084517871</v>
      </c>
      <c r="M105" s="124">
        <f t="shared" si="83"/>
        <v>0.11834592846373364</v>
      </c>
      <c r="N105" s="124">
        <f t="shared" si="83"/>
        <v>0.11291438335941596</v>
      </c>
      <c r="O105" s="124">
        <f t="shared" si="83"/>
        <v>0.12410298985152253</v>
      </c>
      <c r="P105" s="124">
        <f t="shared" si="83"/>
        <v>0.14020668754194698</v>
      </c>
      <c r="Q105" s="124">
        <f t="shared" si="83"/>
        <v>0.1464390961093549</v>
      </c>
      <c r="R105" s="124">
        <f t="shared" si="83"/>
        <v>0.15214781790782755</v>
      </c>
      <c r="S105" s="124">
        <f t="shared" si="83"/>
        <v>0.17934078552606603</v>
      </c>
      <c r="T105" s="124">
        <f t="shared" si="83"/>
        <v>0.19901476713234634</v>
      </c>
      <c r="U105" s="124">
        <f t="shared" si="83"/>
        <v>0.21206467107308835</v>
      </c>
      <c r="V105" s="124">
        <f t="shared" si="83"/>
        <v>0.10624108251515935</v>
      </c>
      <c r="W105" s="124">
        <f t="shared" si="83"/>
        <v>0.15371856303235304</v>
      </c>
      <c r="X105" s="124">
        <f t="shared" si="83"/>
        <v>0.22137346773512515</v>
      </c>
      <c r="Y105" s="124">
        <f t="shared" si="83"/>
        <v>0.22971325864038997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8.6797905508798984E-2</v>
      </c>
      <c r="C107" s="140">
        <f t="shared" si="85"/>
        <v>9.1012000248469893E-2</v>
      </c>
      <c r="D107" s="140">
        <f t="shared" si="85"/>
        <v>9.6787255754848506E-2</v>
      </c>
      <c r="E107" s="140">
        <f t="shared" si="85"/>
        <v>9.7795174856859041E-2</v>
      </c>
      <c r="F107" s="140">
        <f t="shared" si="85"/>
        <v>0.10251926349704163</v>
      </c>
      <c r="G107" s="140">
        <f t="shared" si="85"/>
        <v>9.6545389067133489E-2</v>
      </c>
      <c r="H107" s="140">
        <f t="shared" si="85"/>
        <v>8.9742806509331807E-2</v>
      </c>
      <c r="I107" s="140">
        <f t="shared" si="85"/>
        <v>8.2916236447282077E-2</v>
      </c>
      <c r="J107" s="140">
        <f t="shared" si="85"/>
        <v>7.6970986040183112E-2</v>
      </c>
      <c r="K107" s="140">
        <f t="shared" si="85"/>
        <v>6.6990852512134089E-2</v>
      </c>
      <c r="L107" s="140">
        <f t="shared" si="85"/>
        <v>7.0633521909582317E-2</v>
      </c>
      <c r="M107" s="140">
        <f t="shared" si="85"/>
        <v>8.320468939344558E-2</v>
      </c>
      <c r="N107" s="140">
        <f t="shared" si="85"/>
        <v>8.3025476435468717E-2</v>
      </c>
      <c r="O107" s="140">
        <f t="shared" si="85"/>
        <v>9.4133154941223499E-2</v>
      </c>
      <c r="P107" s="140">
        <f t="shared" si="85"/>
        <v>0.10253204186140544</v>
      </c>
      <c r="Q107" s="140">
        <f t="shared" si="85"/>
        <v>0.11003415597877524</v>
      </c>
      <c r="R107" s="140">
        <f t="shared" si="85"/>
        <v>0.12631497511669745</v>
      </c>
      <c r="S107" s="140">
        <f t="shared" si="85"/>
        <v>0.14803350548424662</v>
      </c>
      <c r="T107" s="140">
        <f t="shared" si="85"/>
        <v>0.15764636187830053</v>
      </c>
      <c r="U107" s="140">
        <f t="shared" si="85"/>
        <v>0.16296223205776272</v>
      </c>
      <c r="V107" s="140">
        <f t="shared" si="85"/>
        <v>8.4230033198394449E-2</v>
      </c>
      <c r="W107" s="140">
        <f t="shared" si="85"/>
        <v>0.1122761651130903</v>
      </c>
      <c r="X107" s="140">
        <f t="shared" si="85"/>
        <v>0.16854908820450354</v>
      </c>
      <c r="Y107" s="140">
        <f t="shared" si="85"/>
        <v>0.18764383334271426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1.6190629042731882E-2</v>
      </c>
      <c r="C108" s="140">
        <f t="shared" si="86"/>
        <v>1.7189216807490051E-2</v>
      </c>
      <c r="D108" s="140">
        <f t="shared" si="86"/>
        <v>1.8528274710490004E-2</v>
      </c>
      <c r="E108" s="140">
        <f t="shared" si="86"/>
        <v>1.9180829627298467E-2</v>
      </c>
      <c r="F108" s="140">
        <f t="shared" si="86"/>
        <v>2.0680321886219738E-2</v>
      </c>
      <c r="G108" s="140">
        <f t="shared" si="86"/>
        <v>2.2120725003107973E-2</v>
      </c>
      <c r="H108" s="140">
        <f t="shared" si="86"/>
        <v>2.2821699984727918E-2</v>
      </c>
      <c r="I108" s="140">
        <f t="shared" si="86"/>
        <v>2.9768812748984276E-2</v>
      </c>
      <c r="J108" s="140">
        <f t="shared" si="86"/>
        <v>3.7659706758348302E-2</v>
      </c>
      <c r="K108" s="140">
        <f t="shared" si="86"/>
        <v>4.2009040836467892E-2</v>
      </c>
      <c r="L108" s="140">
        <f t="shared" si="86"/>
        <v>4.8754568935596404E-2</v>
      </c>
      <c r="M108" s="140">
        <f t="shared" si="86"/>
        <v>3.5141239070288051E-2</v>
      </c>
      <c r="N108" s="140">
        <f t="shared" si="86"/>
        <v>2.9888906923947255E-2</v>
      </c>
      <c r="O108" s="140">
        <f t="shared" si="86"/>
        <v>2.9969834910299017E-2</v>
      </c>
      <c r="P108" s="140">
        <f t="shared" si="86"/>
        <v>3.7674645680541553E-2</v>
      </c>
      <c r="Q108" s="140">
        <f t="shared" si="86"/>
        <v>3.640494013057969E-2</v>
      </c>
      <c r="R108" s="140">
        <f t="shared" si="86"/>
        <v>2.5832842791130087E-2</v>
      </c>
      <c r="S108" s="140">
        <f t="shared" si="86"/>
        <v>3.1307280041819402E-2</v>
      </c>
      <c r="T108" s="140">
        <f t="shared" si="86"/>
        <v>4.1368405254045816E-2</v>
      </c>
      <c r="U108" s="140">
        <f t="shared" si="86"/>
        <v>4.9102439015325655E-2</v>
      </c>
      <c r="V108" s="140">
        <f t="shared" si="86"/>
        <v>2.2011049316764897E-2</v>
      </c>
      <c r="W108" s="140">
        <f t="shared" si="86"/>
        <v>4.1442397919262741E-2</v>
      </c>
      <c r="X108" s="140">
        <f t="shared" si="86"/>
        <v>5.28243795306216E-2</v>
      </c>
      <c r="Y108" s="140">
        <f t="shared" si="86"/>
        <v>4.2069425297675725E-2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0.34971279233077479</v>
      </c>
      <c r="C110" s="139">
        <f t="shared" si="88"/>
        <v>0.3652153388333525</v>
      </c>
      <c r="D110" s="139">
        <f t="shared" si="88"/>
        <v>0.38848892071612151</v>
      </c>
      <c r="E110" s="139">
        <f t="shared" si="88"/>
        <v>0.39690315063235332</v>
      </c>
      <c r="F110" s="139">
        <f t="shared" si="88"/>
        <v>0.41175607003995507</v>
      </c>
      <c r="G110" s="139">
        <f t="shared" si="88"/>
        <v>0.43106410595212458</v>
      </c>
      <c r="H110" s="139">
        <f t="shared" si="88"/>
        <v>0.4252920983833971</v>
      </c>
      <c r="I110" s="139">
        <f t="shared" si="88"/>
        <v>0.39990450861036081</v>
      </c>
      <c r="J110" s="139">
        <f t="shared" si="88"/>
        <v>0.42108745010319387</v>
      </c>
      <c r="K110" s="139">
        <f t="shared" si="88"/>
        <v>0.43372509043296115</v>
      </c>
      <c r="L110" s="139">
        <f t="shared" si="88"/>
        <v>0.42569464265911267</v>
      </c>
      <c r="M110" s="139">
        <f t="shared" si="88"/>
        <v>0.4372412289141453</v>
      </c>
      <c r="N110" s="139">
        <f t="shared" si="88"/>
        <v>0.53080925277020574</v>
      </c>
      <c r="O110" s="139">
        <f t="shared" si="88"/>
        <v>0.48749860600605854</v>
      </c>
      <c r="P110" s="139">
        <f t="shared" si="88"/>
        <v>0.5101396231475851</v>
      </c>
      <c r="Q110" s="139">
        <f t="shared" si="88"/>
        <v>0.45041258194485434</v>
      </c>
      <c r="R110" s="139">
        <f t="shared" si="88"/>
        <v>0.4534689214509155</v>
      </c>
      <c r="S110" s="139">
        <f t="shared" si="88"/>
        <v>0.43925323694381435</v>
      </c>
      <c r="T110" s="139">
        <f t="shared" si="88"/>
        <v>0.4063595755158414</v>
      </c>
      <c r="U110" s="139">
        <f t="shared" si="88"/>
        <v>0.41245185800386591</v>
      </c>
      <c r="V110" s="139">
        <f t="shared" si="88"/>
        <v>0.39161191997415695</v>
      </c>
      <c r="W110" s="139">
        <f t="shared" si="88"/>
        <v>0.36522450168299425</v>
      </c>
      <c r="X110" s="139">
        <f t="shared" si="88"/>
        <v>0.3714554198533746</v>
      </c>
      <c r="Y110" s="139">
        <f t="shared" si="88"/>
        <v>0.38662900309388254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1.6492903385931779E-2</v>
      </c>
      <c r="C111" s="140">
        <f t="shared" si="89"/>
        <v>1.6906745329938633E-2</v>
      </c>
      <c r="D111" s="140">
        <f t="shared" si="89"/>
        <v>1.7576915999101165E-2</v>
      </c>
      <c r="E111" s="140">
        <f t="shared" si="89"/>
        <v>1.8723907075831197E-2</v>
      </c>
      <c r="F111" s="140">
        <f t="shared" si="89"/>
        <v>1.8626216785343468E-2</v>
      </c>
      <c r="G111" s="140">
        <f t="shared" si="89"/>
        <v>2.0630975335095964E-2</v>
      </c>
      <c r="H111" s="140">
        <f t="shared" si="89"/>
        <v>2.1252662920728013E-2</v>
      </c>
      <c r="I111" s="140">
        <f t="shared" si="89"/>
        <v>2.0503445077287533E-2</v>
      </c>
      <c r="J111" s="140">
        <f t="shared" si="89"/>
        <v>2.115270298388814E-2</v>
      </c>
      <c r="K111" s="140">
        <f t="shared" si="89"/>
        <v>2.433450213237701E-2</v>
      </c>
      <c r="L111" s="140">
        <f t="shared" si="89"/>
        <v>2.3259539824870678E-2</v>
      </c>
      <c r="M111" s="140">
        <f t="shared" si="89"/>
        <v>2.456469428917471E-2</v>
      </c>
      <c r="N111" s="140">
        <f t="shared" si="89"/>
        <v>2.4747284278422533E-2</v>
      </c>
      <c r="O111" s="140">
        <f t="shared" si="89"/>
        <v>2.5916651099161282E-2</v>
      </c>
      <c r="P111" s="140">
        <f t="shared" si="89"/>
        <v>2.4312355596182566E-2</v>
      </c>
      <c r="Q111" s="140">
        <f t="shared" si="89"/>
        <v>2.5969593011173405E-2</v>
      </c>
      <c r="R111" s="140">
        <f t="shared" si="89"/>
        <v>2.5766579911102282E-2</v>
      </c>
      <c r="S111" s="140">
        <f t="shared" si="89"/>
        <v>2.550754393040822E-2</v>
      </c>
      <c r="T111" s="140">
        <f t="shared" si="89"/>
        <v>2.8719148184598961E-2</v>
      </c>
      <c r="U111" s="140">
        <f t="shared" si="89"/>
        <v>2.92026645422758E-2</v>
      </c>
      <c r="V111" s="140">
        <f t="shared" si="89"/>
        <v>3.1738424660532866E-2</v>
      </c>
      <c r="W111" s="140">
        <f t="shared" si="89"/>
        <v>2.7946074684790871E-2</v>
      </c>
      <c r="X111" s="140">
        <f t="shared" si="89"/>
        <v>2.6775924708753646E-2</v>
      </c>
      <c r="Y111" s="140">
        <f t="shared" si="89"/>
        <v>3.1597092009567736E-2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0.333219888944843</v>
      </c>
      <c r="C112" s="140">
        <f t="shared" si="90"/>
        <v>0.34830859350341381</v>
      </c>
      <c r="D112" s="140">
        <f t="shared" si="90"/>
        <v>0.37091200471702035</v>
      </c>
      <c r="E112" s="140">
        <f t="shared" si="90"/>
        <v>0.3781792435565221</v>
      </c>
      <c r="F112" s="140">
        <f t="shared" si="90"/>
        <v>0.39312985325461158</v>
      </c>
      <c r="G112" s="140">
        <f t="shared" si="90"/>
        <v>0.41043313061702863</v>
      </c>
      <c r="H112" s="140">
        <f t="shared" si="90"/>
        <v>0.40403943546266907</v>
      </c>
      <c r="I112" s="140">
        <f t="shared" si="90"/>
        <v>0.37940106353307324</v>
      </c>
      <c r="J112" s="140">
        <f t="shared" si="90"/>
        <v>0.39993474711930571</v>
      </c>
      <c r="K112" s="140">
        <f t="shared" si="90"/>
        <v>0.40939058830058411</v>
      </c>
      <c r="L112" s="140">
        <f t="shared" si="90"/>
        <v>0.402435102834242</v>
      </c>
      <c r="M112" s="140">
        <f t="shared" si="90"/>
        <v>0.41267653462497056</v>
      </c>
      <c r="N112" s="140">
        <f t="shared" si="90"/>
        <v>0.5060619684917832</v>
      </c>
      <c r="O112" s="140">
        <f t="shared" si="90"/>
        <v>0.4615819549068973</v>
      </c>
      <c r="P112" s="140">
        <f t="shared" si="90"/>
        <v>0.48582726755140249</v>
      </c>
      <c r="Q112" s="140">
        <f t="shared" si="90"/>
        <v>0.42444298893368093</v>
      </c>
      <c r="R112" s="140">
        <f t="shared" si="90"/>
        <v>0.42770234153981324</v>
      </c>
      <c r="S112" s="140">
        <f t="shared" si="90"/>
        <v>0.41374569301340614</v>
      </c>
      <c r="T112" s="140">
        <f t="shared" si="90"/>
        <v>0.37764042733124248</v>
      </c>
      <c r="U112" s="140">
        <f t="shared" si="90"/>
        <v>0.38324919346159009</v>
      </c>
      <c r="V112" s="140">
        <f t="shared" si="90"/>
        <v>0.35987349531362411</v>
      </c>
      <c r="W112" s="140">
        <f t="shared" si="90"/>
        <v>0.33727842699820343</v>
      </c>
      <c r="X112" s="140">
        <f t="shared" si="90"/>
        <v>0.34467949514462093</v>
      </c>
      <c r="Y112" s="140">
        <f t="shared" si="90"/>
        <v>0.35503191108431487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0.14889900089458402</v>
      </c>
      <c r="C113" s="124">
        <f t="shared" si="91"/>
        <v>0.13082364753475492</v>
      </c>
      <c r="D113" s="124">
        <f t="shared" si="91"/>
        <v>0.11883665952112393</v>
      </c>
      <c r="E113" s="124">
        <f t="shared" si="91"/>
        <v>0.11564090137669862</v>
      </c>
      <c r="F113" s="124">
        <f t="shared" si="91"/>
        <v>0.11651884436464886</v>
      </c>
      <c r="G113" s="124">
        <f t="shared" si="91"/>
        <v>8.5629781152137957E-2</v>
      </c>
      <c r="H113" s="124">
        <f t="shared" si="91"/>
        <v>9.3969171162413309E-2</v>
      </c>
      <c r="I113" s="124">
        <f t="shared" si="91"/>
        <v>0.10885035821383676</v>
      </c>
      <c r="J113" s="124">
        <f t="shared" si="91"/>
        <v>5.1172994744451299E-2</v>
      </c>
      <c r="K113" s="124">
        <f t="shared" si="91"/>
        <v>4.1751605716317614E-2</v>
      </c>
      <c r="L113" s="124">
        <f t="shared" si="91"/>
        <v>6.176343280305914E-2</v>
      </c>
      <c r="M113" s="124">
        <f t="shared" si="91"/>
        <v>5.5097783722875604E-2</v>
      </c>
      <c r="N113" s="124">
        <f t="shared" si="91"/>
        <v>4.279857253597142E-2</v>
      </c>
      <c r="O113" s="124">
        <f t="shared" si="91"/>
        <v>4.091288519573822E-2</v>
      </c>
      <c r="P113" s="124">
        <f t="shared" si="91"/>
        <v>3.4735857587955526E-2</v>
      </c>
      <c r="Q113" s="124">
        <f t="shared" si="91"/>
        <v>3.526361006874297E-2</v>
      </c>
      <c r="R113" s="124">
        <f t="shared" si="91"/>
        <v>3.2112326043225857E-2</v>
      </c>
      <c r="S113" s="124">
        <f t="shared" si="91"/>
        <v>3.2304886009954834E-2</v>
      </c>
      <c r="T113" s="124">
        <f t="shared" si="91"/>
        <v>3.6408912795013869E-2</v>
      </c>
      <c r="U113" s="124">
        <f t="shared" si="91"/>
        <v>3.0912413830727917E-2</v>
      </c>
      <c r="V113" s="124">
        <f t="shared" si="91"/>
        <v>2.7961393880483024E-2</v>
      </c>
      <c r="W113" s="124">
        <f t="shared" si="91"/>
        <v>2.5498712694022253E-2</v>
      </c>
      <c r="X113" s="124">
        <f t="shared" si="91"/>
        <v>2.4853832335557727E-2</v>
      </c>
      <c r="Y113" s="124">
        <f t="shared" si="91"/>
        <v>3.0326731727378882E-2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0.41233152585984245</v>
      </c>
      <c r="C114" s="124">
        <f t="shared" si="92"/>
        <v>0.42099422177651818</v>
      </c>
      <c r="D114" s="124">
        <f t="shared" si="92"/>
        <v>0.41272975790308936</v>
      </c>
      <c r="E114" s="124">
        <f t="shared" si="92"/>
        <v>0.41785113878135427</v>
      </c>
      <c r="F114" s="124">
        <f t="shared" si="92"/>
        <v>0.39460170023775726</v>
      </c>
      <c r="G114" s="124">
        <f t="shared" si="92"/>
        <v>0.40859849770688239</v>
      </c>
      <c r="H114" s="124">
        <f t="shared" si="92"/>
        <v>0.39955448053836312</v>
      </c>
      <c r="I114" s="124">
        <f t="shared" si="92"/>
        <v>0.42582113738525595</v>
      </c>
      <c r="J114" s="124">
        <f t="shared" si="92"/>
        <v>0.46042597425194759</v>
      </c>
      <c r="K114" s="124">
        <f t="shared" si="92"/>
        <v>0.46627981387645806</v>
      </c>
      <c r="L114" s="124">
        <f t="shared" si="92"/>
        <v>0.44389464163907205</v>
      </c>
      <c r="M114" s="124">
        <f t="shared" si="92"/>
        <v>0.44931090390646145</v>
      </c>
      <c r="N114" s="124">
        <f t="shared" si="92"/>
        <v>0.3726623650166293</v>
      </c>
      <c r="O114" s="124">
        <f t="shared" si="92"/>
        <v>0.41284661399881767</v>
      </c>
      <c r="P114" s="124">
        <f t="shared" si="92"/>
        <v>0.40752971439634733</v>
      </c>
      <c r="Q114" s="124">
        <f t="shared" si="92"/>
        <v>0.4742902410001486</v>
      </c>
      <c r="R114" s="124">
        <f t="shared" si="92"/>
        <v>0.48406381744012283</v>
      </c>
      <c r="S114" s="124">
        <f t="shared" si="92"/>
        <v>0.49886698140331431</v>
      </c>
      <c r="T114" s="124">
        <f t="shared" si="92"/>
        <v>0.52376143490449079</v>
      </c>
      <c r="U114" s="124">
        <f t="shared" si="92"/>
        <v>0.51973504568684092</v>
      </c>
      <c r="V114" s="124">
        <f t="shared" si="92"/>
        <v>0.54573384558994587</v>
      </c>
      <c r="W114" s="124">
        <f t="shared" si="92"/>
        <v>0.57783803190364924</v>
      </c>
      <c r="X114" s="124">
        <f t="shared" si="92"/>
        <v>0.57392567914572912</v>
      </c>
      <c r="Y114" s="124">
        <f t="shared" si="92"/>
        <v>0.55428615750622423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9.506096133999168E-3</v>
      </c>
      <c r="C116" s="140">
        <f t="shared" si="96"/>
        <v>4.9912364461539649E-3</v>
      </c>
      <c r="D116" s="140">
        <f t="shared" si="96"/>
        <v>4.0839749065445284E-3</v>
      </c>
      <c r="E116" s="140">
        <f t="shared" si="96"/>
        <v>6.9231212184087121E-3</v>
      </c>
      <c r="F116" s="140">
        <f t="shared" si="96"/>
        <v>5.2208451268155121E-3</v>
      </c>
      <c r="G116" s="140">
        <f t="shared" si="96"/>
        <v>6.5907366661950399E-3</v>
      </c>
      <c r="H116" s="140">
        <f t="shared" si="96"/>
        <v>3.5815425462315501E-3</v>
      </c>
      <c r="I116" s="140">
        <f t="shared" si="96"/>
        <v>4.3018940601168313E-3</v>
      </c>
      <c r="J116" s="140">
        <f t="shared" si="96"/>
        <v>5.6244924701576108E-3</v>
      </c>
      <c r="K116" s="140">
        <f t="shared" si="96"/>
        <v>5.0623398646135647E-3</v>
      </c>
      <c r="L116" s="140">
        <f t="shared" si="96"/>
        <v>4.9975175788438287E-3</v>
      </c>
      <c r="M116" s="140">
        <f t="shared" si="96"/>
        <v>3.9344322385342443E-3</v>
      </c>
      <c r="N116" s="140">
        <f t="shared" si="96"/>
        <v>4.2591924351851841E-3</v>
      </c>
      <c r="O116" s="140">
        <f t="shared" si="96"/>
        <v>4.8426024862240243E-3</v>
      </c>
      <c r="P116" s="140">
        <f t="shared" si="96"/>
        <v>4.8710668064399698E-3</v>
      </c>
      <c r="Q116" s="140">
        <f t="shared" si="96"/>
        <v>4.2313563526384761E-3</v>
      </c>
      <c r="R116" s="140">
        <f t="shared" si="94"/>
        <v>3.4863299290677423E-3</v>
      </c>
      <c r="S116" s="140">
        <f t="shared" si="94"/>
        <v>3.8566557491931464E-3</v>
      </c>
      <c r="T116" s="140">
        <f t="shared" si="94"/>
        <v>3.7874672352889633E-3</v>
      </c>
      <c r="U116" s="140">
        <f t="shared" si="94"/>
        <v>3.5330162198227173E-3</v>
      </c>
      <c r="V116" s="140">
        <f t="shared" si="94"/>
        <v>2.946389546503966E-3</v>
      </c>
      <c r="W116" s="140">
        <f t="shared" si="95"/>
        <v>2.5866836339398266E-3</v>
      </c>
      <c r="X116" s="140">
        <f t="shared" si="95"/>
        <v>2.846011204129945E-3</v>
      </c>
      <c r="Y116" s="140">
        <f t="shared" si="95"/>
        <v>3.7619465133344257E-3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0.40282542972584329</v>
      </c>
      <c r="C117" s="140">
        <f t="shared" si="97"/>
        <v>0.41600298533036428</v>
      </c>
      <c r="D117" s="140">
        <f t="shared" si="97"/>
        <v>0.40864578299654486</v>
      </c>
      <c r="E117" s="140">
        <f t="shared" si="97"/>
        <v>0.4109280175629455</v>
      </c>
      <c r="F117" s="140">
        <f t="shared" si="97"/>
        <v>0.38938085511094173</v>
      </c>
      <c r="G117" s="140">
        <f t="shared" si="97"/>
        <v>0.40200776104068731</v>
      </c>
      <c r="H117" s="140">
        <f t="shared" si="97"/>
        <v>0.39597293799213157</v>
      </c>
      <c r="I117" s="140">
        <f t="shared" si="97"/>
        <v>0.42151924332513918</v>
      </c>
      <c r="J117" s="140">
        <f t="shared" si="97"/>
        <v>0.45480148178178992</v>
      </c>
      <c r="K117" s="140">
        <f t="shared" si="97"/>
        <v>0.46121747401184449</v>
      </c>
      <c r="L117" s="140">
        <f t="shared" si="97"/>
        <v>0.43889712406022818</v>
      </c>
      <c r="M117" s="140">
        <f t="shared" si="97"/>
        <v>0.44537647166792721</v>
      </c>
      <c r="N117" s="140">
        <f t="shared" si="97"/>
        <v>0.36840317258144406</v>
      </c>
      <c r="O117" s="140">
        <f t="shared" si="97"/>
        <v>0.40800401151259363</v>
      </c>
      <c r="P117" s="140">
        <f t="shared" si="97"/>
        <v>0.40265864758990733</v>
      </c>
      <c r="Q117" s="140">
        <f t="shared" si="97"/>
        <v>0.47005888464751011</v>
      </c>
      <c r="R117" s="140">
        <f t="shared" ref="R117:V120" si="98">IF(R25=0,0,R25/R$17)</f>
        <v>0.48057748751105511</v>
      </c>
      <c r="S117" s="140">
        <f t="shared" si="98"/>
        <v>0.49501032565412117</v>
      </c>
      <c r="T117" s="140">
        <f t="shared" si="98"/>
        <v>0.51997396766920179</v>
      </c>
      <c r="U117" s="140">
        <f t="shared" si="98"/>
        <v>0.51620202946701821</v>
      </c>
      <c r="V117" s="140">
        <f t="shared" si="98"/>
        <v>0.54278745604344192</v>
      </c>
      <c r="W117" s="140">
        <f t="shared" si="95"/>
        <v>0.57525134826970947</v>
      </c>
      <c r="X117" s="140">
        <f t="shared" si="95"/>
        <v>0.57107966794159915</v>
      </c>
      <c r="Y117" s="140">
        <f t="shared" si="95"/>
        <v>0.55052421099288973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8.9056680914798667E-2</v>
      </c>
      <c r="C118" s="124">
        <f t="shared" si="99"/>
        <v>8.2966791855374492E-2</v>
      </c>
      <c r="D118" s="124">
        <f t="shared" si="99"/>
        <v>7.99446618596652E-2</v>
      </c>
      <c r="E118" s="124">
        <f t="shared" si="99"/>
        <v>6.9604809209593832E-2</v>
      </c>
      <c r="F118" s="124">
        <f t="shared" si="99"/>
        <v>7.7123385357638782E-2</v>
      </c>
      <c r="G118" s="124">
        <f t="shared" si="99"/>
        <v>7.4707615188855062E-2</v>
      </c>
      <c r="H118" s="124">
        <f t="shared" si="99"/>
        <v>8.118424991582647E-2</v>
      </c>
      <c r="I118" s="124">
        <f t="shared" si="99"/>
        <v>6.5423995790546488E-2</v>
      </c>
      <c r="J118" s="124">
        <f t="shared" si="99"/>
        <v>6.731358090040726E-2</v>
      </c>
      <c r="K118" s="124">
        <f t="shared" si="99"/>
        <v>5.8243489974263075E-2</v>
      </c>
      <c r="L118" s="124">
        <f t="shared" si="99"/>
        <v>6.8647282898756143E-2</v>
      </c>
      <c r="M118" s="124">
        <f t="shared" si="99"/>
        <v>5.8350083456517564E-2</v>
      </c>
      <c r="N118" s="124">
        <f t="shared" si="99"/>
        <v>5.3729809677193555E-2</v>
      </c>
      <c r="O118" s="124">
        <f t="shared" si="99"/>
        <v>5.8741894799385609E-2</v>
      </c>
      <c r="P118" s="124">
        <f t="shared" si="99"/>
        <v>4.7594804868112142E-2</v>
      </c>
      <c r="Q118" s="124">
        <f t="shared" si="99"/>
        <v>4.0033566986254092E-2</v>
      </c>
      <c r="R118" s="124">
        <f t="shared" si="98"/>
        <v>3.0354935065735889E-2</v>
      </c>
      <c r="S118" s="124">
        <f t="shared" si="98"/>
        <v>2.9574895642916394E-2</v>
      </c>
      <c r="T118" s="124">
        <f t="shared" si="98"/>
        <v>3.3470076784654003E-2</v>
      </c>
      <c r="U118" s="124">
        <f t="shared" si="98"/>
        <v>3.6900682478565261E-2</v>
      </c>
      <c r="V118" s="124">
        <f t="shared" si="98"/>
        <v>3.4692840555414127E-2</v>
      </c>
      <c r="W118" s="124">
        <f t="shared" si="95"/>
        <v>3.1438753719334252E-2</v>
      </c>
      <c r="X118" s="124">
        <f t="shared" si="95"/>
        <v>2.9765068665338592E-2</v>
      </c>
      <c r="Y118" s="124">
        <f t="shared" si="95"/>
        <v>2.8758107672514459E-2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0</v>
      </c>
      <c r="J119" s="140">
        <f t="shared" si="100"/>
        <v>0</v>
      </c>
      <c r="K119" s="140">
        <f t="shared" si="100"/>
        <v>0</v>
      </c>
      <c r="L119" s="140">
        <f t="shared" si="100"/>
        <v>0</v>
      </c>
      <c r="M119" s="140">
        <f t="shared" si="100"/>
        <v>0</v>
      </c>
      <c r="N119" s="140">
        <f t="shared" si="100"/>
        <v>0</v>
      </c>
      <c r="O119" s="140">
        <f t="shared" si="100"/>
        <v>0</v>
      </c>
      <c r="P119" s="140">
        <f t="shared" si="100"/>
        <v>0</v>
      </c>
      <c r="Q119" s="140">
        <f t="shared" si="100"/>
        <v>0</v>
      </c>
      <c r="R119" s="140">
        <f t="shared" si="98"/>
        <v>0</v>
      </c>
      <c r="S119" s="140">
        <f t="shared" si="98"/>
        <v>0</v>
      </c>
      <c r="T119" s="140">
        <f t="shared" si="98"/>
        <v>0</v>
      </c>
      <c r="U119" s="140">
        <f t="shared" si="98"/>
        <v>0</v>
      </c>
      <c r="V119" s="140">
        <f t="shared" si="98"/>
        <v>0</v>
      </c>
      <c r="W119" s="140">
        <f t="shared" si="95"/>
        <v>0</v>
      </c>
      <c r="X119" s="140">
        <f t="shared" si="95"/>
        <v>0</v>
      </c>
      <c r="Y119" s="140">
        <f t="shared" si="95"/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8.9056680914798667E-2</v>
      </c>
      <c r="C120" s="127">
        <f t="shared" si="101"/>
        <v>8.2966791855374492E-2</v>
      </c>
      <c r="D120" s="127">
        <f t="shared" si="101"/>
        <v>7.99446618596652E-2</v>
      </c>
      <c r="E120" s="127">
        <f t="shared" si="101"/>
        <v>6.9604809209593832E-2</v>
      </c>
      <c r="F120" s="127">
        <f t="shared" si="101"/>
        <v>7.7123385357638782E-2</v>
      </c>
      <c r="G120" s="127">
        <f t="shared" si="101"/>
        <v>7.4707615188855062E-2</v>
      </c>
      <c r="H120" s="127">
        <f t="shared" si="101"/>
        <v>8.118424991582647E-2</v>
      </c>
      <c r="I120" s="127">
        <f t="shared" si="101"/>
        <v>6.5423995790546488E-2</v>
      </c>
      <c r="J120" s="127">
        <f t="shared" si="101"/>
        <v>6.731358090040726E-2</v>
      </c>
      <c r="K120" s="127">
        <f t="shared" si="101"/>
        <v>5.8243489974263075E-2</v>
      </c>
      <c r="L120" s="127">
        <f t="shared" si="101"/>
        <v>6.8647282898756143E-2</v>
      </c>
      <c r="M120" s="127">
        <f t="shared" si="101"/>
        <v>5.8350083456517564E-2</v>
      </c>
      <c r="N120" s="127">
        <f t="shared" si="101"/>
        <v>5.3729809677193555E-2</v>
      </c>
      <c r="O120" s="127">
        <f t="shared" si="101"/>
        <v>5.8741894799385609E-2</v>
      </c>
      <c r="P120" s="127">
        <f t="shared" si="101"/>
        <v>4.7594804868112142E-2</v>
      </c>
      <c r="Q120" s="127">
        <f t="shared" si="101"/>
        <v>4.0033566986254092E-2</v>
      </c>
      <c r="R120" s="127">
        <f t="shared" si="98"/>
        <v>3.0354935065735889E-2</v>
      </c>
      <c r="S120" s="127">
        <f t="shared" si="98"/>
        <v>2.9574895642916394E-2</v>
      </c>
      <c r="T120" s="127">
        <f t="shared" si="98"/>
        <v>3.3470076784654003E-2</v>
      </c>
      <c r="U120" s="127">
        <f t="shared" si="98"/>
        <v>3.6900682478565261E-2</v>
      </c>
      <c r="V120" s="127">
        <f t="shared" si="98"/>
        <v>3.4692840555414127E-2</v>
      </c>
      <c r="W120" s="127">
        <f t="shared" si="95"/>
        <v>3.1438753719334252E-2</v>
      </c>
      <c r="X120" s="127">
        <f t="shared" si="95"/>
        <v>2.9765068665338592E-2</v>
      </c>
      <c r="Y120" s="127">
        <f t="shared" si="95"/>
        <v>2.8758107672514459E-2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0</v>
      </c>
      <c r="C121" s="31">
        <f t="shared" si="102"/>
        <v>0</v>
      </c>
      <c r="D121" s="31">
        <f t="shared" si="102"/>
        <v>0</v>
      </c>
      <c r="E121" s="31">
        <f t="shared" si="102"/>
        <v>0</v>
      </c>
      <c r="F121" s="31">
        <f t="shared" si="102"/>
        <v>0</v>
      </c>
      <c r="G121" s="31">
        <f t="shared" si="102"/>
        <v>0</v>
      </c>
      <c r="H121" s="31">
        <f t="shared" si="102"/>
        <v>0</v>
      </c>
      <c r="I121" s="31">
        <f t="shared" si="102"/>
        <v>0</v>
      </c>
      <c r="J121" s="31">
        <f t="shared" si="102"/>
        <v>0</v>
      </c>
      <c r="K121" s="31">
        <f t="shared" si="102"/>
        <v>0</v>
      </c>
      <c r="L121" s="31">
        <f t="shared" si="102"/>
        <v>0</v>
      </c>
      <c r="M121" s="31">
        <f t="shared" si="102"/>
        <v>0</v>
      </c>
      <c r="N121" s="31">
        <f t="shared" si="102"/>
        <v>0</v>
      </c>
      <c r="O121" s="31">
        <f t="shared" si="102"/>
        <v>0</v>
      </c>
      <c r="P121" s="31">
        <f t="shared" si="102"/>
        <v>0</v>
      </c>
      <c r="Q121" s="31">
        <f t="shared" si="102"/>
        <v>0</v>
      </c>
      <c r="R121" s="31">
        <f t="shared" si="102"/>
        <v>0</v>
      </c>
      <c r="S121" s="31">
        <f t="shared" si="102"/>
        <v>0</v>
      </c>
      <c r="T121" s="31">
        <f t="shared" si="102"/>
        <v>0</v>
      </c>
      <c r="U121" s="31">
        <f t="shared" si="102"/>
        <v>0</v>
      </c>
      <c r="V121" s="31">
        <f t="shared" si="102"/>
        <v>0</v>
      </c>
      <c r="W121" s="31">
        <f t="shared" si="102"/>
        <v>0</v>
      </c>
      <c r="X121" s="31">
        <f t="shared" si="102"/>
        <v>0</v>
      </c>
      <c r="Y121" s="31">
        <f t="shared" si="102"/>
        <v>0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</v>
      </c>
      <c r="C122" s="140">
        <f t="shared" si="103"/>
        <v>0</v>
      </c>
      <c r="D122" s="140">
        <f t="shared" si="103"/>
        <v>0</v>
      </c>
      <c r="E122" s="140">
        <f t="shared" si="103"/>
        <v>0</v>
      </c>
      <c r="F122" s="140">
        <f t="shared" si="103"/>
        <v>0</v>
      </c>
      <c r="G122" s="140">
        <f t="shared" si="103"/>
        <v>0</v>
      </c>
      <c r="H122" s="140">
        <f t="shared" si="103"/>
        <v>0</v>
      </c>
      <c r="I122" s="140">
        <f t="shared" si="103"/>
        <v>0</v>
      </c>
      <c r="J122" s="140">
        <f t="shared" si="103"/>
        <v>0</v>
      </c>
      <c r="K122" s="140">
        <f t="shared" si="103"/>
        <v>0</v>
      </c>
      <c r="L122" s="140">
        <f t="shared" si="103"/>
        <v>0</v>
      </c>
      <c r="M122" s="140">
        <f t="shared" si="103"/>
        <v>0</v>
      </c>
      <c r="N122" s="140">
        <f t="shared" si="103"/>
        <v>0</v>
      </c>
      <c r="O122" s="140">
        <f t="shared" si="103"/>
        <v>0</v>
      </c>
      <c r="P122" s="140">
        <f t="shared" si="103"/>
        <v>0</v>
      </c>
      <c r="Q122" s="140">
        <f t="shared" si="103"/>
        <v>0</v>
      </c>
      <c r="R122" s="140">
        <f t="shared" si="103"/>
        <v>0</v>
      </c>
      <c r="S122" s="140">
        <f t="shared" si="103"/>
        <v>0</v>
      </c>
      <c r="T122" s="140">
        <f t="shared" si="103"/>
        <v>0</v>
      </c>
      <c r="U122" s="140">
        <f t="shared" si="103"/>
        <v>0</v>
      </c>
      <c r="V122" s="140">
        <f t="shared" si="103"/>
        <v>0</v>
      </c>
      <c r="W122" s="140">
        <f t="shared" si="103"/>
        <v>0</v>
      </c>
      <c r="X122" s="140">
        <f t="shared" si="103"/>
        <v>0</v>
      </c>
      <c r="Y122" s="140">
        <f t="shared" si="103"/>
        <v>0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</v>
      </c>
      <c r="C123" s="127">
        <f t="shared" si="104"/>
        <v>0</v>
      </c>
      <c r="D123" s="127">
        <f t="shared" si="104"/>
        <v>0</v>
      </c>
      <c r="E123" s="127">
        <f t="shared" si="104"/>
        <v>0</v>
      </c>
      <c r="F123" s="127">
        <f t="shared" si="104"/>
        <v>0</v>
      </c>
      <c r="G123" s="127">
        <f t="shared" si="104"/>
        <v>0</v>
      </c>
      <c r="H123" s="127">
        <f t="shared" si="104"/>
        <v>0</v>
      </c>
      <c r="I123" s="127">
        <f t="shared" si="104"/>
        <v>0</v>
      </c>
      <c r="J123" s="127">
        <f t="shared" si="104"/>
        <v>0</v>
      </c>
      <c r="K123" s="127">
        <f t="shared" si="104"/>
        <v>0</v>
      </c>
      <c r="L123" s="127">
        <f t="shared" si="104"/>
        <v>0</v>
      </c>
      <c r="M123" s="127">
        <f t="shared" si="104"/>
        <v>0</v>
      </c>
      <c r="N123" s="127">
        <f t="shared" si="104"/>
        <v>0</v>
      </c>
      <c r="O123" s="127">
        <f t="shared" si="104"/>
        <v>0</v>
      </c>
      <c r="P123" s="127">
        <f t="shared" si="104"/>
        <v>0</v>
      </c>
      <c r="Q123" s="127">
        <f t="shared" si="104"/>
        <v>0</v>
      </c>
      <c r="R123" s="127">
        <f t="shared" si="104"/>
        <v>0</v>
      </c>
      <c r="S123" s="127">
        <f t="shared" si="104"/>
        <v>0</v>
      </c>
      <c r="T123" s="127">
        <f t="shared" si="104"/>
        <v>0</v>
      </c>
      <c r="U123" s="127">
        <f t="shared" si="104"/>
        <v>0</v>
      </c>
      <c r="V123" s="127">
        <f t="shared" si="104"/>
        <v>0</v>
      </c>
      <c r="W123" s="127">
        <f t="shared" si="104"/>
        <v>0</v>
      </c>
      <c r="X123" s="127">
        <f t="shared" si="104"/>
        <v>0</v>
      </c>
      <c r="Y123" s="127">
        <f t="shared" si="104"/>
        <v>0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0.94436539098999106</v>
      </c>
      <c r="C127" s="139">
        <f t="shared" ref="C127:Y127" si="107">IF(C35=0,0,C35/C$34)</f>
        <v>0.93825560390175267</v>
      </c>
      <c r="D127" s="139">
        <f t="shared" si="107"/>
        <v>0.93529608837890177</v>
      </c>
      <c r="E127" s="139">
        <f t="shared" si="107"/>
        <v>0.94004506111945951</v>
      </c>
      <c r="F127" s="139">
        <f t="shared" si="107"/>
        <v>0.93493497447254503</v>
      </c>
      <c r="G127" s="139">
        <f t="shared" si="107"/>
        <v>0.93424712229385654</v>
      </c>
      <c r="H127" s="139">
        <f t="shared" si="107"/>
        <v>0.93423773578907809</v>
      </c>
      <c r="I127" s="139">
        <f t="shared" si="107"/>
        <v>0.91997881540487458</v>
      </c>
      <c r="J127" s="139">
        <f t="shared" si="107"/>
        <v>0.91560224473421792</v>
      </c>
      <c r="K127" s="139">
        <f t="shared" si="107"/>
        <v>0.89470924168100774</v>
      </c>
      <c r="L127" s="139">
        <f t="shared" si="107"/>
        <v>0.88380713150091095</v>
      </c>
      <c r="M127" s="139">
        <f t="shared" si="107"/>
        <v>0.91015995465086696</v>
      </c>
      <c r="N127" s="139">
        <f t="shared" si="107"/>
        <v>0.91839237787038419</v>
      </c>
      <c r="O127" s="139">
        <f t="shared" si="107"/>
        <v>0.91511970436878876</v>
      </c>
      <c r="P127" s="139">
        <f t="shared" si="107"/>
        <v>0.89052645250571838</v>
      </c>
      <c r="Q127" s="139">
        <f t="shared" si="107"/>
        <v>0.87004460018117813</v>
      </c>
      <c r="R127" s="139">
        <f t="shared" si="107"/>
        <v>0.87647329214109992</v>
      </c>
      <c r="S127" s="139">
        <f t="shared" si="107"/>
        <v>0.82450905696560362</v>
      </c>
      <c r="T127" s="139">
        <f t="shared" si="107"/>
        <v>0.77084107882430442</v>
      </c>
      <c r="U127" s="139">
        <f t="shared" si="107"/>
        <v>0.75007922007188566</v>
      </c>
      <c r="V127" s="139">
        <f t="shared" si="107"/>
        <v>0.88121446631066558</v>
      </c>
      <c r="W127" s="139">
        <f t="shared" si="107"/>
        <v>0.83545242341407955</v>
      </c>
      <c r="X127" s="139">
        <f t="shared" si="107"/>
        <v>0.78969450308708444</v>
      </c>
      <c r="Y127" s="139">
        <f t="shared" si="107"/>
        <v>0.84022157937291464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1.6174805141924951E-3</v>
      </c>
      <c r="C128" s="140">
        <f t="shared" ref="C128:Y128" si="108">IF(C36=0,0,C36/C$34)</f>
        <v>1.5974308799447969E-3</v>
      </c>
      <c r="D128" s="140">
        <f t="shared" si="108"/>
        <v>1.6320746215327379E-3</v>
      </c>
      <c r="E128" s="140">
        <f t="shared" si="108"/>
        <v>1.571409571466169E-3</v>
      </c>
      <c r="F128" s="140">
        <f t="shared" si="108"/>
        <v>1.6210052732567276E-3</v>
      </c>
      <c r="G128" s="140">
        <f t="shared" si="108"/>
        <v>1.6956446308780176E-3</v>
      </c>
      <c r="H128" s="140">
        <f t="shared" si="108"/>
        <v>1.7773169329096349E-3</v>
      </c>
      <c r="I128" s="140">
        <f t="shared" si="108"/>
        <v>1.7259542980819502E-3</v>
      </c>
      <c r="J128" s="140">
        <f t="shared" si="108"/>
        <v>1.7039514932365859E-3</v>
      </c>
      <c r="K128" s="140">
        <f t="shared" si="108"/>
        <v>1.7412181049559705E-3</v>
      </c>
      <c r="L128" s="140">
        <f t="shared" si="108"/>
        <v>1.801232385897778E-3</v>
      </c>
      <c r="M128" s="140">
        <f t="shared" si="108"/>
        <v>1.765929389057996E-3</v>
      </c>
      <c r="N128" s="140">
        <f t="shared" si="108"/>
        <v>1.869315986098865E-3</v>
      </c>
      <c r="O128" s="140">
        <f t="shared" si="108"/>
        <v>2.0156674000804202E-3</v>
      </c>
      <c r="P128" s="140">
        <f t="shared" si="108"/>
        <v>2.0456057641132907E-3</v>
      </c>
      <c r="Q128" s="140">
        <f t="shared" si="108"/>
        <v>2.1294975621016211E-3</v>
      </c>
      <c r="R128" s="140">
        <f t="shared" si="108"/>
        <v>2.2835826274210623E-3</v>
      </c>
      <c r="S128" s="140">
        <f t="shared" si="108"/>
        <v>2.0715966800730736E-3</v>
      </c>
      <c r="T128" s="140">
        <f t="shared" si="108"/>
        <v>1.7735815989042281E-3</v>
      </c>
      <c r="U128" s="140">
        <f t="shared" si="108"/>
        <v>1.8213965846330716E-3</v>
      </c>
      <c r="V128" s="140">
        <f t="shared" si="108"/>
        <v>2.493538207857888E-3</v>
      </c>
      <c r="W128" s="140">
        <f t="shared" si="108"/>
        <v>2.2173650562531911E-3</v>
      </c>
      <c r="X128" s="140">
        <f t="shared" si="108"/>
        <v>2.0485357905348782E-3</v>
      </c>
      <c r="Y128" s="140">
        <f t="shared" si="108"/>
        <v>2.2365619385212965E-3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0.91757099128769226</v>
      </c>
      <c r="C129" s="140">
        <f t="shared" ref="C129:Y129" si="109">IF(C37=0,0,C37/C$34)</f>
        <v>0.9114726023224905</v>
      </c>
      <c r="D129" s="140">
        <f t="shared" si="109"/>
        <v>0.90772473743235027</v>
      </c>
      <c r="E129" s="140">
        <f t="shared" si="109"/>
        <v>0.91369930794602672</v>
      </c>
      <c r="F129" s="140">
        <f t="shared" si="109"/>
        <v>0.90914114307052729</v>
      </c>
      <c r="G129" s="140">
        <f t="shared" si="109"/>
        <v>0.90697541499632117</v>
      </c>
      <c r="H129" s="140">
        <f t="shared" si="109"/>
        <v>0.90598679739930021</v>
      </c>
      <c r="I129" s="140">
        <f t="shared" si="109"/>
        <v>0.89190913984440523</v>
      </c>
      <c r="J129" s="140">
        <f t="shared" si="109"/>
        <v>0.88725665332540793</v>
      </c>
      <c r="K129" s="140">
        <f t="shared" si="109"/>
        <v>0.86580536403805941</v>
      </c>
      <c r="L129" s="140">
        <f t="shared" si="109"/>
        <v>0.85396881703593708</v>
      </c>
      <c r="M129" s="140">
        <f t="shared" si="109"/>
        <v>0.88067383740926941</v>
      </c>
      <c r="N129" s="140">
        <f t="shared" si="109"/>
        <v>0.88841327373345824</v>
      </c>
      <c r="O129" s="140">
        <f t="shared" si="109"/>
        <v>0.88319157332924247</v>
      </c>
      <c r="P129" s="140">
        <f t="shared" si="109"/>
        <v>0.85917361844893347</v>
      </c>
      <c r="Q129" s="140">
        <f t="shared" si="109"/>
        <v>0.83733041860874768</v>
      </c>
      <c r="R129" s="140">
        <f t="shared" si="109"/>
        <v>0.84185569620633705</v>
      </c>
      <c r="S129" s="140">
        <f t="shared" si="109"/>
        <v>0.79095311204510477</v>
      </c>
      <c r="T129" s="140">
        <f t="shared" si="109"/>
        <v>0.74035236811807392</v>
      </c>
      <c r="U129" s="140">
        <f t="shared" si="109"/>
        <v>0.71940254432609629</v>
      </c>
      <c r="V129" s="140">
        <f t="shared" si="109"/>
        <v>0.83539330361665509</v>
      </c>
      <c r="W129" s="140">
        <f t="shared" si="109"/>
        <v>0.79681716060733043</v>
      </c>
      <c r="X129" s="140">
        <f t="shared" si="109"/>
        <v>0.75592327165676243</v>
      </c>
      <c r="Y129" s="140">
        <f t="shared" si="109"/>
        <v>0.8068668771112063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2.5176919188106269E-2</v>
      </c>
      <c r="C130" s="140">
        <f t="shared" ref="C130:Y130" si="110">IF(C38=0,0,C38/C$34)</f>
        <v>2.5185570699317268E-2</v>
      </c>
      <c r="D130" s="140">
        <f t="shared" si="110"/>
        <v>2.593927632501877E-2</v>
      </c>
      <c r="E130" s="140">
        <f t="shared" si="110"/>
        <v>2.477434360196662E-2</v>
      </c>
      <c r="F130" s="140">
        <f t="shared" si="110"/>
        <v>2.4172826128760885E-2</v>
      </c>
      <c r="G130" s="140">
        <f t="shared" si="110"/>
        <v>2.5576062666657278E-2</v>
      </c>
      <c r="H130" s="140">
        <f t="shared" si="110"/>
        <v>2.6473621456868272E-2</v>
      </c>
      <c r="I130" s="140">
        <f t="shared" si="110"/>
        <v>2.6343721262387321E-2</v>
      </c>
      <c r="J130" s="140">
        <f t="shared" si="110"/>
        <v>2.6641639915573379E-2</v>
      </c>
      <c r="K130" s="140">
        <f t="shared" si="110"/>
        <v>2.7162659537992427E-2</v>
      </c>
      <c r="L130" s="140">
        <f t="shared" si="110"/>
        <v>2.8037082079076004E-2</v>
      </c>
      <c r="M130" s="140">
        <f t="shared" si="110"/>
        <v>2.7720187852539505E-2</v>
      </c>
      <c r="N130" s="140">
        <f t="shared" si="110"/>
        <v>2.8109788150827118E-2</v>
      </c>
      <c r="O130" s="140">
        <f t="shared" si="110"/>
        <v>2.9912463639465901E-2</v>
      </c>
      <c r="P130" s="140">
        <f t="shared" si="110"/>
        <v>2.9307228292671648E-2</v>
      </c>
      <c r="Q130" s="140">
        <f t="shared" si="110"/>
        <v>3.0584684010328919E-2</v>
      </c>
      <c r="R130" s="140">
        <f t="shared" si="110"/>
        <v>3.2334013307341952E-2</v>
      </c>
      <c r="S130" s="140">
        <f t="shared" si="110"/>
        <v>3.1484348240425813E-2</v>
      </c>
      <c r="T130" s="140">
        <f t="shared" si="110"/>
        <v>2.8715129107326261E-2</v>
      </c>
      <c r="U130" s="140">
        <f t="shared" si="110"/>
        <v>2.8855279161156266E-2</v>
      </c>
      <c r="V130" s="140">
        <f t="shared" si="110"/>
        <v>4.3327624486152579E-2</v>
      </c>
      <c r="W130" s="140">
        <f t="shared" si="110"/>
        <v>3.6417897750495844E-2</v>
      </c>
      <c r="X130" s="140">
        <f t="shared" si="110"/>
        <v>3.1722695639787156E-2</v>
      </c>
      <c r="Y130" s="140">
        <f t="shared" si="110"/>
        <v>3.1118140323187053E-2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8.7658216314755993E-3</v>
      </c>
      <c r="C131" s="124">
        <f t="shared" ref="C131:Y131" si="111">IF(C39=0,0,C39/C$34)</f>
        <v>9.7762410772783449E-3</v>
      </c>
      <c r="D131" s="124">
        <f t="shared" si="111"/>
        <v>9.2881992068070077E-3</v>
      </c>
      <c r="E131" s="124">
        <f t="shared" si="111"/>
        <v>7.3158362207288059E-3</v>
      </c>
      <c r="F131" s="124">
        <f t="shared" si="111"/>
        <v>6.4963604032963881E-3</v>
      </c>
      <c r="G131" s="124">
        <f t="shared" si="111"/>
        <v>7.8894903120603679E-3</v>
      </c>
      <c r="H131" s="124">
        <f t="shared" si="111"/>
        <v>8.8785723373490597E-3</v>
      </c>
      <c r="I131" s="124">
        <f t="shared" si="111"/>
        <v>9.3533556604630114E-3</v>
      </c>
      <c r="J131" s="124">
        <f t="shared" si="111"/>
        <v>1.0854010012632137E-2</v>
      </c>
      <c r="K131" s="124">
        <f t="shared" si="111"/>
        <v>1.0599626791846999E-2</v>
      </c>
      <c r="L131" s="124">
        <f t="shared" si="111"/>
        <v>1.1536326462854728E-2</v>
      </c>
      <c r="M131" s="124">
        <f t="shared" si="111"/>
        <v>1.1811631078455578E-2</v>
      </c>
      <c r="N131" s="124">
        <f t="shared" si="111"/>
        <v>1.2186656834049618E-2</v>
      </c>
      <c r="O131" s="124">
        <f t="shared" si="111"/>
        <v>1.3283782218473624E-2</v>
      </c>
      <c r="P131" s="124">
        <f t="shared" si="111"/>
        <v>1.2754992217207863E-2</v>
      </c>
      <c r="Q131" s="124">
        <f t="shared" si="111"/>
        <v>1.2862503429309854E-2</v>
      </c>
      <c r="R131" s="124">
        <f t="shared" si="111"/>
        <v>1.3395229666161535E-2</v>
      </c>
      <c r="S131" s="124">
        <f t="shared" si="111"/>
        <v>1.2635698382933368E-2</v>
      </c>
      <c r="T131" s="124">
        <f t="shared" si="111"/>
        <v>1.2296167791891695E-2</v>
      </c>
      <c r="U131" s="124">
        <f t="shared" si="111"/>
        <v>1.2104144206529902E-2</v>
      </c>
      <c r="V131" s="124">
        <f t="shared" si="111"/>
        <v>1.6845502849634653E-2</v>
      </c>
      <c r="W131" s="124">
        <f t="shared" si="111"/>
        <v>1.5781383414049246E-2</v>
      </c>
      <c r="X131" s="124">
        <f t="shared" si="111"/>
        <v>1.3833595101259833E-2</v>
      </c>
      <c r="Y131" s="124">
        <f t="shared" si="111"/>
        <v>1.4335686047011504E-2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0</v>
      </c>
      <c r="C132" s="140">
        <f t="shared" ref="C132:Y132" si="112">IF(C40=0,0,C40/C$34)</f>
        <v>0</v>
      </c>
      <c r="D132" s="140">
        <f t="shared" si="112"/>
        <v>0</v>
      </c>
      <c r="E132" s="140">
        <f t="shared" si="112"/>
        <v>0</v>
      </c>
      <c r="F132" s="140">
        <f t="shared" si="112"/>
        <v>0</v>
      </c>
      <c r="G132" s="140">
        <f t="shared" si="112"/>
        <v>0</v>
      </c>
      <c r="H132" s="140">
        <f t="shared" si="112"/>
        <v>0</v>
      </c>
      <c r="I132" s="140">
        <f t="shared" si="112"/>
        <v>0</v>
      </c>
      <c r="J132" s="140">
        <f t="shared" si="112"/>
        <v>0</v>
      </c>
      <c r="K132" s="140">
        <f t="shared" si="112"/>
        <v>0</v>
      </c>
      <c r="L132" s="140">
        <f t="shared" si="112"/>
        <v>0</v>
      </c>
      <c r="M132" s="140">
        <f t="shared" si="112"/>
        <v>0</v>
      </c>
      <c r="N132" s="140">
        <f t="shared" si="112"/>
        <v>0</v>
      </c>
      <c r="O132" s="140">
        <f t="shared" si="112"/>
        <v>0</v>
      </c>
      <c r="P132" s="140">
        <f t="shared" si="112"/>
        <v>0</v>
      </c>
      <c r="Q132" s="140">
        <f t="shared" si="112"/>
        <v>0</v>
      </c>
      <c r="R132" s="140">
        <f t="shared" si="112"/>
        <v>0</v>
      </c>
      <c r="S132" s="140">
        <f t="shared" si="112"/>
        <v>0</v>
      </c>
      <c r="T132" s="140">
        <f t="shared" si="112"/>
        <v>1.3700737260387478E-4</v>
      </c>
      <c r="U132" s="140">
        <f t="shared" si="112"/>
        <v>2.1321334831005291E-4</v>
      </c>
      <c r="V132" s="140">
        <f t="shared" si="112"/>
        <v>3.3215181806353611E-4</v>
      </c>
      <c r="W132" s="140">
        <f t="shared" si="112"/>
        <v>3.7144567891891672E-4</v>
      </c>
      <c r="X132" s="140">
        <f t="shared" si="112"/>
        <v>5.6756420045915947E-4</v>
      </c>
      <c r="Y132" s="140">
        <f t="shared" si="112"/>
        <v>5.0956830283768468E-4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8.7658216314755993E-3</v>
      </c>
      <c r="C133" s="140">
        <f t="shared" ref="C133:Y133" si="113">IF(C41=0,0,C41/C$34)</f>
        <v>9.7762410772783449E-3</v>
      </c>
      <c r="D133" s="140">
        <f t="shared" si="113"/>
        <v>9.2881992068070077E-3</v>
      </c>
      <c r="E133" s="140">
        <f t="shared" si="113"/>
        <v>7.3158362207288059E-3</v>
      </c>
      <c r="F133" s="140">
        <f t="shared" si="113"/>
        <v>6.4963604032963881E-3</v>
      </c>
      <c r="G133" s="140">
        <f t="shared" si="113"/>
        <v>7.8894903120603679E-3</v>
      </c>
      <c r="H133" s="140">
        <f t="shared" si="113"/>
        <v>8.8785723373490597E-3</v>
      </c>
      <c r="I133" s="140">
        <f t="shared" si="113"/>
        <v>9.3533556604630114E-3</v>
      </c>
      <c r="J133" s="140">
        <f t="shared" si="113"/>
        <v>1.0854010012632137E-2</v>
      </c>
      <c r="K133" s="140">
        <f t="shared" si="113"/>
        <v>1.0599626791846999E-2</v>
      </c>
      <c r="L133" s="140">
        <f t="shared" si="113"/>
        <v>1.1536326462854728E-2</v>
      </c>
      <c r="M133" s="140">
        <f t="shared" si="113"/>
        <v>1.1811631078455578E-2</v>
      </c>
      <c r="N133" s="140">
        <f t="shared" si="113"/>
        <v>1.2186656834049618E-2</v>
      </c>
      <c r="O133" s="140">
        <f t="shared" si="113"/>
        <v>1.3283782218473624E-2</v>
      </c>
      <c r="P133" s="140">
        <f t="shared" si="113"/>
        <v>1.2754992217207863E-2</v>
      </c>
      <c r="Q133" s="140">
        <f t="shared" si="113"/>
        <v>1.2862503429309854E-2</v>
      </c>
      <c r="R133" s="140">
        <f t="shared" si="113"/>
        <v>1.3395229666161535E-2</v>
      </c>
      <c r="S133" s="140">
        <f t="shared" si="113"/>
        <v>1.2635698382933368E-2</v>
      </c>
      <c r="T133" s="140">
        <f t="shared" si="113"/>
        <v>1.2159160419287818E-2</v>
      </c>
      <c r="U133" s="140">
        <f t="shared" si="113"/>
        <v>1.1890930858219849E-2</v>
      </c>
      <c r="V133" s="140">
        <f t="shared" si="113"/>
        <v>1.6513351031571116E-2</v>
      </c>
      <c r="W133" s="140">
        <f t="shared" si="113"/>
        <v>1.5409937735130332E-2</v>
      </c>
      <c r="X133" s="140">
        <f t="shared" si="113"/>
        <v>1.3266030900800673E-2</v>
      </c>
      <c r="Y133" s="140">
        <f t="shared" si="113"/>
        <v>1.3826117744173819E-2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4.6868787378533304E-2</v>
      </c>
      <c r="C135" s="124">
        <f t="shared" ref="C135:Y135" si="115">IF(C43=0,0,C43/C$34)</f>
        <v>5.1968155020969117E-2</v>
      </c>
      <c r="D135" s="124">
        <f t="shared" si="115"/>
        <v>5.541571241429126E-2</v>
      </c>
      <c r="E135" s="124">
        <f t="shared" si="115"/>
        <v>5.2639102659811754E-2</v>
      </c>
      <c r="F135" s="124">
        <f t="shared" si="115"/>
        <v>5.8568665124158557E-2</v>
      </c>
      <c r="G135" s="124">
        <f t="shared" si="115"/>
        <v>5.7863387394083164E-2</v>
      </c>
      <c r="H135" s="124">
        <f t="shared" si="115"/>
        <v>5.6883691873572673E-2</v>
      </c>
      <c r="I135" s="124">
        <f t="shared" si="115"/>
        <v>7.0667828934662502E-2</v>
      </c>
      <c r="J135" s="124">
        <f t="shared" si="115"/>
        <v>7.3543745253149911E-2</v>
      </c>
      <c r="K135" s="124">
        <f t="shared" si="115"/>
        <v>9.4691131527145381E-2</v>
      </c>
      <c r="L135" s="124">
        <f t="shared" si="115"/>
        <v>0.10465654203623428</v>
      </c>
      <c r="M135" s="124">
        <f t="shared" si="115"/>
        <v>7.802841427067754E-2</v>
      </c>
      <c r="N135" s="124">
        <f t="shared" si="115"/>
        <v>6.9420965295566128E-2</v>
      </c>
      <c r="O135" s="124">
        <f t="shared" si="115"/>
        <v>7.1596513412737664E-2</v>
      </c>
      <c r="P135" s="124">
        <f t="shared" si="115"/>
        <v>9.6718555277073778E-2</v>
      </c>
      <c r="Q135" s="124">
        <f t="shared" si="115"/>
        <v>0.11709289638951202</v>
      </c>
      <c r="R135" s="124">
        <f t="shared" si="115"/>
        <v>0.11013147819273848</v>
      </c>
      <c r="S135" s="124">
        <f t="shared" si="115"/>
        <v>0.162855244651463</v>
      </c>
      <c r="T135" s="124">
        <f t="shared" si="115"/>
        <v>0.21686275338380379</v>
      </c>
      <c r="U135" s="124">
        <f t="shared" si="115"/>
        <v>0.23781663572158451</v>
      </c>
      <c r="V135" s="124">
        <f t="shared" si="115"/>
        <v>0.10194003083969978</v>
      </c>
      <c r="W135" s="124">
        <f t="shared" si="115"/>
        <v>0.14876619317187131</v>
      </c>
      <c r="X135" s="124">
        <f t="shared" si="115"/>
        <v>0.19647190181165575</v>
      </c>
      <c r="Y135" s="124">
        <f t="shared" si="115"/>
        <v>0.14544273458007381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3.6383774045129026E-2</v>
      </c>
      <c r="C137" s="140">
        <f t="shared" ref="C137:Y137" si="117">IF(C45=0,0,C45/C$34)</f>
        <v>4.0338620370515527E-2</v>
      </c>
      <c r="D137" s="140">
        <f t="shared" si="117"/>
        <v>4.3027209202441047E-2</v>
      </c>
      <c r="E137" s="140">
        <f t="shared" si="117"/>
        <v>4.0884382662297318E-2</v>
      </c>
      <c r="F137" s="140">
        <f t="shared" si="117"/>
        <v>4.5493273334787129E-2</v>
      </c>
      <c r="G137" s="140">
        <f t="shared" si="117"/>
        <v>4.5100328128150444E-2</v>
      </c>
      <c r="H137" s="140">
        <f t="shared" si="117"/>
        <v>4.4435751544309426E-2</v>
      </c>
      <c r="I137" s="140">
        <f t="shared" si="117"/>
        <v>5.5505063524279065E-2</v>
      </c>
      <c r="J137" s="140">
        <f t="shared" si="117"/>
        <v>5.6916079298182834E-2</v>
      </c>
      <c r="K137" s="140">
        <f t="shared" si="117"/>
        <v>7.2377969512161064E-2</v>
      </c>
      <c r="L137" s="140">
        <f t="shared" si="117"/>
        <v>8.0533503999626846E-2</v>
      </c>
      <c r="M137" s="140">
        <f t="shared" si="117"/>
        <v>5.9883110849757594E-2</v>
      </c>
      <c r="N137" s="140">
        <f t="shared" si="117"/>
        <v>5.3450982184702456E-2</v>
      </c>
      <c r="O137" s="140">
        <f t="shared" si="117"/>
        <v>5.5286349363718713E-2</v>
      </c>
      <c r="P137" s="140">
        <f t="shared" si="117"/>
        <v>7.4672409187592673E-2</v>
      </c>
      <c r="Q137" s="140">
        <f t="shared" si="117"/>
        <v>9.055823906469751E-2</v>
      </c>
      <c r="R137" s="140">
        <f t="shared" si="117"/>
        <v>8.6397824147190341E-2</v>
      </c>
      <c r="S137" s="140">
        <f t="shared" si="117"/>
        <v>0.12923478385582321</v>
      </c>
      <c r="T137" s="140">
        <f t="shared" si="117"/>
        <v>0.17135586735711525</v>
      </c>
      <c r="U137" s="140">
        <f t="shared" si="117"/>
        <v>0.18661575887365847</v>
      </c>
      <c r="V137" s="140">
        <f t="shared" si="117"/>
        <v>7.4855182212150928E-2</v>
      </c>
      <c r="W137" s="140">
        <f t="shared" si="117"/>
        <v>0.11311961427324255</v>
      </c>
      <c r="X137" s="140">
        <f t="shared" si="117"/>
        <v>0.15664702383983711</v>
      </c>
      <c r="Y137" s="140">
        <f t="shared" si="117"/>
        <v>0.11473077082970862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1.0485013333404285E-2</v>
      </c>
      <c r="C138" s="140">
        <f t="shared" ref="C138:Y138" si="118">IF(C46=0,0,C46/C$34)</f>
        <v>1.1629534650453594E-2</v>
      </c>
      <c r="D138" s="140">
        <f t="shared" si="118"/>
        <v>1.2388503211850217E-2</v>
      </c>
      <c r="E138" s="140">
        <f t="shared" si="118"/>
        <v>1.1754719997514439E-2</v>
      </c>
      <c r="F138" s="140">
        <f t="shared" si="118"/>
        <v>1.3075391789371437E-2</v>
      </c>
      <c r="G138" s="140">
        <f t="shared" si="118"/>
        <v>1.2763059265932724E-2</v>
      </c>
      <c r="H138" s="140">
        <f t="shared" si="118"/>
        <v>1.2447940329263248E-2</v>
      </c>
      <c r="I138" s="140">
        <f t="shared" si="118"/>
        <v>1.5162765410383442E-2</v>
      </c>
      <c r="J138" s="140">
        <f t="shared" si="118"/>
        <v>1.6627665954967064E-2</v>
      </c>
      <c r="K138" s="140">
        <f t="shared" si="118"/>
        <v>2.2313162014984313E-2</v>
      </c>
      <c r="L138" s="140">
        <f t="shared" si="118"/>
        <v>2.4123038036607435E-2</v>
      </c>
      <c r="M138" s="140">
        <f t="shared" si="118"/>
        <v>1.8145303420919943E-2</v>
      </c>
      <c r="N138" s="140">
        <f t="shared" si="118"/>
        <v>1.5969983110863676E-2</v>
      </c>
      <c r="O138" s="140">
        <f t="shared" si="118"/>
        <v>1.6310164049018951E-2</v>
      </c>
      <c r="P138" s="140">
        <f t="shared" si="118"/>
        <v>2.2046146089481102E-2</v>
      </c>
      <c r="Q138" s="140">
        <f t="shared" si="118"/>
        <v>2.6534657324814501E-2</v>
      </c>
      <c r="R138" s="140">
        <f t="shared" si="118"/>
        <v>2.3733654045548131E-2</v>
      </c>
      <c r="S138" s="140">
        <f t="shared" si="118"/>
        <v>3.3620460795639809E-2</v>
      </c>
      <c r="T138" s="140">
        <f t="shared" si="118"/>
        <v>4.5506886026688509E-2</v>
      </c>
      <c r="U138" s="140">
        <f t="shared" si="118"/>
        <v>5.1200876847926048E-2</v>
      </c>
      <c r="V138" s="140">
        <f t="shared" si="118"/>
        <v>2.7084848627548858E-2</v>
      </c>
      <c r="W138" s="140">
        <f t="shared" si="118"/>
        <v>3.5646578898628753E-2</v>
      </c>
      <c r="X138" s="140">
        <f t="shared" si="118"/>
        <v>3.9824877971818634E-2</v>
      </c>
      <c r="Y138" s="140">
        <f t="shared" si="118"/>
        <v>3.0711963750365188E-2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0.70352554735056394</v>
      </c>
      <c r="C140" s="139">
        <f t="shared" ref="C140:Y140" si="121">IF(C48=0,0,C48/C$47)</f>
        <v>0.70562763531396122</v>
      </c>
      <c r="D140" s="139">
        <f t="shared" si="121"/>
        <v>0.70225437408746538</v>
      </c>
      <c r="E140" s="139">
        <f t="shared" si="121"/>
        <v>0.72329510248677931</v>
      </c>
      <c r="F140" s="139">
        <f t="shared" si="121"/>
        <v>0.76317676744860774</v>
      </c>
      <c r="G140" s="139">
        <f t="shared" si="121"/>
        <v>0.78104386407837256</v>
      </c>
      <c r="H140" s="139">
        <f t="shared" si="121"/>
        <v>0.78434765350352287</v>
      </c>
      <c r="I140" s="139">
        <f t="shared" si="121"/>
        <v>0.76877147251938061</v>
      </c>
      <c r="J140" s="139">
        <f t="shared" si="121"/>
        <v>0.77207970322996144</v>
      </c>
      <c r="K140" s="139">
        <f t="shared" si="121"/>
        <v>0.77028752748261908</v>
      </c>
      <c r="L140" s="139">
        <f t="shared" si="121"/>
        <v>0.78997094255373368</v>
      </c>
      <c r="M140" s="139">
        <f t="shared" si="121"/>
        <v>0.79970388049669683</v>
      </c>
      <c r="N140" s="139">
        <f t="shared" si="121"/>
        <v>0.79792032340624108</v>
      </c>
      <c r="O140" s="139">
        <f t="shared" si="121"/>
        <v>0.79841905709988781</v>
      </c>
      <c r="P140" s="139">
        <f t="shared" si="121"/>
        <v>0.78643012124893363</v>
      </c>
      <c r="Q140" s="139">
        <f t="shared" si="121"/>
        <v>0.75294418534094731</v>
      </c>
      <c r="R140" s="139">
        <f t="shared" si="121"/>
        <v>0.71499555532649861</v>
      </c>
      <c r="S140" s="139">
        <f t="shared" si="121"/>
        <v>0.72564031161827602</v>
      </c>
      <c r="T140" s="139">
        <f t="shared" si="121"/>
        <v>0.76546992096699873</v>
      </c>
      <c r="U140" s="139">
        <f t="shared" si="121"/>
        <v>0.79706016771843347</v>
      </c>
      <c r="V140" s="139">
        <f t="shared" si="121"/>
        <v>0.6704413933833816</v>
      </c>
      <c r="W140" s="139">
        <f t="shared" si="121"/>
        <v>0.66783265121766533</v>
      </c>
      <c r="X140" s="139">
        <f t="shared" si="121"/>
        <v>0.62268863016557296</v>
      </c>
      <c r="Y140" s="139">
        <f t="shared" si="121"/>
        <v>0.59342388744610408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3.482972971250365E-2</v>
      </c>
      <c r="C141" s="140">
        <f t="shared" ref="C141:Y141" si="122">IF(C49=0,0,C49/C$47)</f>
        <v>3.3285581465577037E-2</v>
      </c>
      <c r="D141" s="140">
        <f t="shared" si="122"/>
        <v>3.249290225535361E-2</v>
      </c>
      <c r="E141" s="140">
        <f t="shared" si="122"/>
        <v>2.9404682085266563E-2</v>
      </c>
      <c r="F141" s="140">
        <f t="shared" si="122"/>
        <v>2.3890784714452211E-2</v>
      </c>
      <c r="G141" s="140">
        <f t="shared" si="122"/>
        <v>2.2341682596326677E-2</v>
      </c>
      <c r="H141" s="140">
        <f t="shared" si="122"/>
        <v>2.4414616081040282E-2</v>
      </c>
      <c r="I141" s="140">
        <f t="shared" si="122"/>
        <v>2.6895335995066424E-2</v>
      </c>
      <c r="J141" s="140">
        <f t="shared" si="122"/>
        <v>2.8035398439485385E-2</v>
      </c>
      <c r="K141" s="140">
        <f t="shared" si="122"/>
        <v>3.2056040974308246E-2</v>
      </c>
      <c r="L141" s="140">
        <f t="shared" si="122"/>
        <v>3.0409302155418289E-2</v>
      </c>
      <c r="M141" s="140">
        <f t="shared" si="122"/>
        <v>3.0925847788630029E-2</v>
      </c>
      <c r="N141" s="140">
        <f t="shared" si="122"/>
        <v>3.4134993881123378E-2</v>
      </c>
      <c r="O141" s="140">
        <f t="shared" si="122"/>
        <v>3.419157609935651E-2</v>
      </c>
      <c r="P141" s="140">
        <f t="shared" si="122"/>
        <v>3.7479022071898536E-2</v>
      </c>
      <c r="Q141" s="140">
        <f t="shared" si="122"/>
        <v>4.0659270608605393E-2</v>
      </c>
      <c r="R141" s="140">
        <f t="shared" si="122"/>
        <v>4.1362358537749978E-2</v>
      </c>
      <c r="S141" s="140">
        <f t="shared" si="122"/>
        <v>4.0260959430389501E-2</v>
      </c>
      <c r="T141" s="140">
        <f t="shared" si="122"/>
        <v>3.9980401342110575E-2</v>
      </c>
      <c r="U141" s="140">
        <f t="shared" si="122"/>
        <v>3.9734492784354154E-2</v>
      </c>
      <c r="V141" s="140">
        <f t="shared" si="122"/>
        <v>4.3304382528701779E-2</v>
      </c>
      <c r="W141" s="140">
        <f t="shared" si="122"/>
        <v>4.3620943348493681E-2</v>
      </c>
      <c r="X141" s="140">
        <f t="shared" si="122"/>
        <v>4.8451270693700643E-2</v>
      </c>
      <c r="Y141" s="140">
        <f t="shared" si="122"/>
        <v>5.1173663005891892E-2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0.66869581763806041</v>
      </c>
      <c r="C142" s="140">
        <f t="shared" ref="C142:Y142" si="123">IF(C50=0,0,C50/C$47)</f>
        <v>0.67234205384838419</v>
      </c>
      <c r="D142" s="140">
        <f t="shared" si="123"/>
        <v>0.66976147183211177</v>
      </c>
      <c r="E142" s="140">
        <f t="shared" si="123"/>
        <v>0.69389042040151261</v>
      </c>
      <c r="F142" s="140">
        <f t="shared" si="123"/>
        <v>0.73928598273415547</v>
      </c>
      <c r="G142" s="140">
        <f t="shared" si="123"/>
        <v>0.75870218148204593</v>
      </c>
      <c r="H142" s="140">
        <f t="shared" si="123"/>
        <v>0.75993303742248253</v>
      </c>
      <c r="I142" s="140">
        <f t="shared" si="123"/>
        <v>0.74187613652431417</v>
      </c>
      <c r="J142" s="140">
        <f t="shared" si="123"/>
        <v>0.74404430479047612</v>
      </c>
      <c r="K142" s="140">
        <f t="shared" si="123"/>
        <v>0.73823148650831083</v>
      </c>
      <c r="L142" s="140">
        <f t="shared" si="123"/>
        <v>0.75956164039831542</v>
      </c>
      <c r="M142" s="140">
        <f t="shared" si="123"/>
        <v>0.76877803270806688</v>
      </c>
      <c r="N142" s="140">
        <f t="shared" si="123"/>
        <v>0.76378532952511768</v>
      </c>
      <c r="O142" s="140">
        <f t="shared" si="123"/>
        <v>0.76422748100053128</v>
      </c>
      <c r="P142" s="140">
        <f t="shared" si="123"/>
        <v>0.74895109917703506</v>
      </c>
      <c r="Q142" s="140">
        <f t="shared" si="123"/>
        <v>0.7122849147323419</v>
      </c>
      <c r="R142" s="140">
        <f t="shared" si="123"/>
        <v>0.67363319678874856</v>
      </c>
      <c r="S142" s="140">
        <f t="shared" si="123"/>
        <v>0.68537935218788659</v>
      </c>
      <c r="T142" s="140">
        <f t="shared" si="123"/>
        <v>0.72548951962488817</v>
      </c>
      <c r="U142" s="140">
        <f t="shared" si="123"/>
        <v>0.75732567493407921</v>
      </c>
      <c r="V142" s="140">
        <f t="shared" si="123"/>
        <v>0.62713701085467977</v>
      </c>
      <c r="W142" s="140">
        <f t="shared" si="123"/>
        <v>0.62421170786917157</v>
      </c>
      <c r="X142" s="140">
        <f t="shared" si="123"/>
        <v>0.57423735947187227</v>
      </c>
      <c r="Y142" s="140">
        <f t="shared" si="123"/>
        <v>0.5422502244402122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4.7276911244740535E-3</v>
      </c>
      <c r="C143" s="124">
        <f t="shared" ref="C143:Y143" si="124">IF(C51=0,0,C51/C$47)</f>
        <v>4.7796372867447362E-3</v>
      </c>
      <c r="D143" s="124">
        <f t="shared" si="124"/>
        <v>4.4093383804595238E-3</v>
      </c>
      <c r="E143" s="124">
        <f t="shared" si="124"/>
        <v>3.5542332627903524E-3</v>
      </c>
      <c r="F143" s="124">
        <f t="shared" si="124"/>
        <v>2.8515647764182392E-3</v>
      </c>
      <c r="G143" s="124">
        <f t="shared" si="124"/>
        <v>1.7305809944553213E-3</v>
      </c>
      <c r="H143" s="124">
        <f t="shared" si="124"/>
        <v>1.7736156454031008E-3</v>
      </c>
      <c r="I143" s="124">
        <f t="shared" si="124"/>
        <v>2.2691322423621851E-3</v>
      </c>
      <c r="J143" s="124">
        <f t="shared" si="124"/>
        <v>1.4498273311605685E-3</v>
      </c>
      <c r="K143" s="124">
        <f t="shared" si="124"/>
        <v>1.2505644889782006E-3</v>
      </c>
      <c r="L143" s="124">
        <f t="shared" si="124"/>
        <v>1.2886112597187633E-3</v>
      </c>
      <c r="M143" s="124">
        <f t="shared" si="124"/>
        <v>1.108508794403626E-3</v>
      </c>
      <c r="N143" s="124">
        <f t="shared" si="124"/>
        <v>1.0040863019181983E-3</v>
      </c>
      <c r="O143" s="124">
        <f t="shared" si="124"/>
        <v>9.4951587868700559E-4</v>
      </c>
      <c r="P143" s="124">
        <f t="shared" si="124"/>
        <v>8.9465862362636593E-4</v>
      </c>
      <c r="Q143" s="124">
        <f t="shared" si="124"/>
        <v>9.2590698574561816E-4</v>
      </c>
      <c r="R143" s="124">
        <f t="shared" si="124"/>
        <v>8.4756980742094581E-4</v>
      </c>
      <c r="S143" s="124">
        <f t="shared" si="124"/>
        <v>8.5343857654831179E-4</v>
      </c>
      <c r="T143" s="124">
        <f t="shared" si="124"/>
        <v>8.1899839327963199E-4</v>
      </c>
      <c r="U143" s="124">
        <f t="shared" si="124"/>
        <v>7.7319255624452138E-4</v>
      </c>
      <c r="V143" s="124">
        <f t="shared" si="124"/>
        <v>7.6305423153803776E-4</v>
      </c>
      <c r="W143" s="124">
        <f t="shared" si="124"/>
        <v>7.2945901559811732E-4</v>
      </c>
      <c r="X143" s="124">
        <f t="shared" si="124"/>
        <v>8.1181501260024031E-4</v>
      </c>
      <c r="Y143" s="124">
        <f t="shared" si="124"/>
        <v>8.6432239219740405E-4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0.29126144863779829</v>
      </c>
      <c r="C144" s="124">
        <f t="shared" ref="C144:Y144" si="125">IF(C52=0,0,C52/C$47)</f>
        <v>0.28914986318785396</v>
      </c>
      <c r="D144" s="124">
        <f t="shared" si="125"/>
        <v>0.29292233602923057</v>
      </c>
      <c r="E144" s="124">
        <f t="shared" si="125"/>
        <v>0.2728270946604277</v>
      </c>
      <c r="F144" s="124">
        <f t="shared" si="125"/>
        <v>0.23367990432067712</v>
      </c>
      <c r="G144" s="124">
        <f t="shared" si="125"/>
        <v>0.21697812730465821</v>
      </c>
      <c r="H144" s="124">
        <f t="shared" si="125"/>
        <v>0.21359399677744895</v>
      </c>
      <c r="I144" s="124">
        <f t="shared" si="125"/>
        <v>0.22868906749583939</v>
      </c>
      <c r="J144" s="124">
        <f t="shared" si="125"/>
        <v>0.22618781197655005</v>
      </c>
      <c r="K144" s="124">
        <f t="shared" si="125"/>
        <v>0.22820327721233158</v>
      </c>
      <c r="L144" s="124">
        <f t="shared" si="125"/>
        <v>0.20845191489363479</v>
      </c>
      <c r="M144" s="124">
        <f t="shared" si="125"/>
        <v>0.19894426843499322</v>
      </c>
      <c r="N144" s="124">
        <f t="shared" si="125"/>
        <v>0.20082313735598969</v>
      </c>
      <c r="O144" s="124">
        <f t="shared" si="125"/>
        <v>0.20040095805338032</v>
      </c>
      <c r="P144" s="124">
        <f t="shared" si="125"/>
        <v>0.21242748068923598</v>
      </c>
      <c r="Q144" s="124">
        <f t="shared" si="125"/>
        <v>0.2458902541317122</v>
      </c>
      <c r="R144" s="124">
        <f t="shared" si="125"/>
        <v>0.28393647038065672</v>
      </c>
      <c r="S144" s="124">
        <f t="shared" si="125"/>
        <v>0.27328838287349566</v>
      </c>
      <c r="T144" s="124">
        <f t="shared" si="125"/>
        <v>0.23350137933381923</v>
      </c>
      <c r="U144" s="124">
        <f t="shared" si="125"/>
        <v>0.20196822843631732</v>
      </c>
      <c r="V144" s="124">
        <f t="shared" si="125"/>
        <v>0.32872240615196674</v>
      </c>
      <c r="W144" s="124">
        <f t="shared" si="125"/>
        <v>0.33137666865412296</v>
      </c>
      <c r="X144" s="124">
        <f t="shared" si="125"/>
        <v>0.37640737493725662</v>
      </c>
      <c r="Y144" s="124">
        <f t="shared" si="125"/>
        <v>0.4055966436792422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1.1250664517146453E-2</v>
      </c>
      <c r="C146" s="140">
        <f t="shared" ref="C146:Y146" si="127">IF(C54=0,0,C54/C$47)</f>
        <v>4.4815688022980986E-3</v>
      </c>
      <c r="D146" s="140">
        <f t="shared" si="127"/>
        <v>2.8352065528633431E-3</v>
      </c>
      <c r="E146" s="140">
        <f t="shared" si="127"/>
        <v>4.1241483973913692E-3</v>
      </c>
      <c r="F146" s="140">
        <f t="shared" si="127"/>
        <v>3.1100574805708217E-3</v>
      </c>
      <c r="G146" s="140">
        <f t="shared" si="127"/>
        <v>3.3076919884259663E-3</v>
      </c>
      <c r="H146" s="140">
        <f t="shared" si="127"/>
        <v>1.8079856929477381E-3</v>
      </c>
      <c r="I146" s="140">
        <f t="shared" si="127"/>
        <v>3.2983185300788777E-3</v>
      </c>
      <c r="J146" s="140">
        <f t="shared" si="127"/>
        <v>4.6140347654657693E-3</v>
      </c>
      <c r="K146" s="140">
        <f t="shared" si="127"/>
        <v>5.4450065445053857E-3</v>
      </c>
      <c r="L146" s="140">
        <f t="shared" si="127"/>
        <v>5.356162354347817E-3</v>
      </c>
      <c r="M146" s="140">
        <f t="shared" si="127"/>
        <v>2.6899896247038193E-3</v>
      </c>
      <c r="N146" s="140">
        <f t="shared" si="127"/>
        <v>2.779885184375538E-3</v>
      </c>
      <c r="O146" s="140">
        <f t="shared" si="127"/>
        <v>2.9801281719590267E-3</v>
      </c>
      <c r="P146" s="140">
        <f t="shared" si="127"/>
        <v>4.0383183330208643E-3</v>
      </c>
      <c r="Q146" s="140">
        <f t="shared" si="127"/>
        <v>4.4349497525509327E-3</v>
      </c>
      <c r="R146" s="140">
        <f t="shared" si="127"/>
        <v>2.7893036216208129E-3</v>
      </c>
      <c r="S146" s="140">
        <f t="shared" si="127"/>
        <v>5.244246779534144E-3</v>
      </c>
      <c r="T146" s="140">
        <f t="shared" si="127"/>
        <v>5.8060494653549071E-3</v>
      </c>
      <c r="U146" s="140">
        <f t="shared" si="127"/>
        <v>6.3127935233822053E-3</v>
      </c>
      <c r="V146" s="140">
        <f t="shared" si="127"/>
        <v>5.0657224540932118E-3</v>
      </c>
      <c r="W146" s="140">
        <f t="shared" si="127"/>
        <v>5.2454339651400207E-3</v>
      </c>
      <c r="X146" s="140">
        <f t="shared" si="127"/>
        <v>5.5259747038935792E-3</v>
      </c>
      <c r="Y146" s="140">
        <f t="shared" si="127"/>
        <v>4.1255762146735738E-3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0.28001078412065178</v>
      </c>
      <c r="C147" s="140">
        <f t="shared" ref="C147:Y147" si="128">IF(C55=0,0,C55/C$47)</f>
        <v>0.28466829438555585</v>
      </c>
      <c r="D147" s="140">
        <f t="shared" si="128"/>
        <v>0.29008712947636722</v>
      </c>
      <c r="E147" s="140">
        <f t="shared" si="128"/>
        <v>0.26870294626303631</v>
      </c>
      <c r="F147" s="140">
        <f t="shared" si="128"/>
        <v>0.23056984684010631</v>
      </c>
      <c r="G147" s="140">
        <f t="shared" si="128"/>
        <v>0.21367043531623223</v>
      </c>
      <c r="H147" s="140">
        <f t="shared" si="128"/>
        <v>0.21178601108450121</v>
      </c>
      <c r="I147" s="140">
        <f t="shared" si="128"/>
        <v>0.22539074896576053</v>
      </c>
      <c r="J147" s="140">
        <f t="shared" si="128"/>
        <v>0.22157377721108429</v>
      </c>
      <c r="K147" s="140">
        <f t="shared" si="128"/>
        <v>0.22275827066782619</v>
      </c>
      <c r="L147" s="140">
        <f t="shared" si="128"/>
        <v>0.20309575253928699</v>
      </c>
      <c r="M147" s="140">
        <f t="shared" si="128"/>
        <v>0.1962542788102894</v>
      </c>
      <c r="N147" s="140">
        <f t="shared" si="128"/>
        <v>0.19804325217161417</v>
      </c>
      <c r="O147" s="140">
        <f t="shared" si="128"/>
        <v>0.19742082988142126</v>
      </c>
      <c r="P147" s="140">
        <f t="shared" si="128"/>
        <v>0.20838916235621513</v>
      </c>
      <c r="Q147" s="140">
        <f t="shared" si="128"/>
        <v>0.2414553043791613</v>
      </c>
      <c r="R147" s="140">
        <f t="shared" si="128"/>
        <v>0.28114716675903595</v>
      </c>
      <c r="S147" s="140">
        <f t="shared" si="128"/>
        <v>0.26804413609396155</v>
      </c>
      <c r="T147" s="140">
        <f t="shared" si="128"/>
        <v>0.22769532986846433</v>
      </c>
      <c r="U147" s="140">
        <f t="shared" si="128"/>
        <v>0.19565543491293511</v>
      </c>
      <c r="V147" s="140">
        <f t="shared" si="128"/>
        <v>0.32365668369787354</v>
      </c>
      <c r="W147" s="140">
        <f t="shared" si="128"/>
        <v>0.32613123468898292</v>
      </c>
      <c r="X147" s="140">
        <f t="shared" si="128"/>
        <v>0.37088140023336302</v>
      </c>
      <c r="Y147" s="140">
        <f t="shared" si="128"/>
        <v>0.40147106746456868</v>
      </c>
      <c r="DA147" s="175"/>
    </row>
    <row r="148" spans="1:105" ht="11.45" customHeight="1" x14ac:dyDescent="0.25">
      <c r="A148" s="109" t="s">
        <v>141</v>
      </c>
      <c r="B148" s="124">
        <f t="shared" si="119"/>
        <v>4.8531288716370107E-4</v>
      </c>
      <c r="C148" s="124">
        <f t="shared" ref="C148:Y148" si="129">IF(C56=0,0,C56/C$47)</f>
        <v>4.4286421144018189E-4</v>
      </c>
      <c r="D148" s="124">
        <f t="shared" si="129"/>
        <v>4.1395150284458657E-4</v>
      </c>
      <c r="E148" s="124">
        <f t="shared" si="129"/>
        <v>3.2356959000280188E-4</v>
      </c>
      <c r="F148" s="124">
        <f t="shared" si="129"/>
        <v>2.9176345429675023E-4</v>
      </c>
      <c r="G148" s="124">
        <f t="shared" si="129"/>
        <v>2.4742762251393058E-4</v>
      </c>
      <c r="H148" s="124">
        <f t="shared" si="129"/>
        <v>2.8473407362511732E-4</v>
      </c>
      <c r="I148" s="124">
        <f t="shared" si="129"/>
        <v>2.7032774241777754E-4</v>
      </c>
      <c r="J148" s="124">
        <f t="shared" si="129"/>
        <v>2.8265746232789435E-4</v>
      </c>
      <c r="K148" s="124">
        <f t="shared" si="129"/>
        <v>2.5863081607118381E-4</v>
      </c>
      <c r="L148" s="124">
        <f t="shared" si="129"/>
        <v>2.8853129291268908E-4</v>
      </c>
      <c r="M148" s="124">
        <f t="shared" si="129"/>
        <v>2.4334227390627946E-4</v>
      </c>
      <c r="N148" s="124">
        <f t="shared" si="129"/>
        <v>2.5245293585095837E-4</v>
      </c>
      <c r="O148" s="124">
        <f t="shared" si="129"/>
        <v>2.3046896804497006E-4</v>
      </c>
      <c r="P148" s="124">
        <f t="shared" si="129"/>
        <v>2.4773943820415603E-4</v>
      </c>
      <c r="Q148" s="124">
        <f t="shared" si="129"/>
        <v>2.3965354159492257E-4</v>
      </c>
      <c r="R148" s="124">
        <f t="shared" si="129"/>
        <v>2.2040448542369581E-4</v>
      </c>
      <c r="S148" s="124">
        <f t="shared" si="129"/>
        <v>2.1786693168004051E-4</v>
      </c>
      <c r="T148" s="124">
        <f t="shared" si="129"/>
        <v>2.0970130590246272E-4</v>
      </c>
      <c r="U148" s="124">
        <f t="shared" si="129"/>
        <v>1.984112890045386E-4</v>
      </c>
      <c r="V148" s="124">
        <f t="shared" si="129"/>
        <v>7.3146233113718047E-5</v>
      </c>
      <c r="W148" s="124">
        <f t="shared" si="129"/>
        <v>6.1221112613597892E-5</v>
      </c>
      <c r="X148" s="124">
        <f t="shared" si="129"/>
        <v>9.2179884570179569E-5</v>
      </c>
      <c r="Y148" s="124">
        <f t="shared" si="129"/>
        <v>1.1514648245641472E-4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0</v>
      </c>
      <c r="J149" s="140">
        <f t="shared" si="130"/>
        <v>0</v>
      </c>
      <c r="K149" s="140">
        <f t="shared" si="130"/>
        <v>0</v>
      </c>
      <c r="L149" s="140">
        <f t="shared" si="130"/>
        <v>0</v>
      </c>
      <c r="M149" s="140">
        <f t="shared" si="130"/>
        <v>0</v>
      </c>
      <c r="N149" s="140">
        <f t="shared" si="130"/>
        <v>0</v>
      </c>
      <c r="O149" s="140">
        <f t="shared" si="130"/>
        <v>0</v>
      </c>
      <c r="P149" s="140">
        <f t="shared" si="130"/>
        <v>0</v>
      </c>
      <c r="Q149" s="140">
        <f t="shared" si="130"/>
        <v>0</v>
      </c>
      <c r="R149" s="140">
        <f t="shared" si="130"/>
        <v>0</v>
      </c>
      <c r="S149" s="140">
        <f t="shared" si="130"/>
        <v>0</v>
      </c>
      <c r="T149" s="140">
        <f t="shared" si="130"/>
        <v>0</v>
      </c>
      <c r="U149" s="140">
        <f t="shared" si="130"/>
        <v>0</v>
      </c>
      <c r="V149" s="140">
        <f t="shared" si="130"/>
        <v>0</v>
      </c>
      <c r="W149" s="140">
        <f t="shared" si="130"/>
        <v>0</v>
      </c>
      <c r="X149" s="140">
        <f t="shared" si="130"/>
        <v>0</v>
      </c>
      <c r="Y149" s="140">
        <f t="shared" si="130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4.8531288716370107E-4</v>
      </c>
      <c r="C150" s="127">
        <f t="shared" ref="C150:Y150" si="131">IF(C58=0,0,C58/C$47)</f>
        <v>4.4286421144018189E-4</v>
      </c>
      <c r="D150" s="127">
        <f t="shared" si="131"/>
        <v>4.1395150284458657E-4</v>
      </c>
      <c r="E150" s="127">
        <f t="shared" si="131"/>
        <v>3.2356959000280188E-4</v>
      </c>
      <c r="F150" s="127">
        <f t="shared" si="131"/>
        <v>2.9176345429675023E-4</v>
      </c>
      <c r="G150" s="127">
        <f t="shared" si="131"/>
        <v>2.4742762251393058E-4</v>
      </c>
      <c r="H150" s="127">
        <f t="shared" si="131"/>
        <v>2.8473407362511732E-4</v>
      </c>
      <c r="I150" s="127">
        <f t="shared" si="131"/>
        <v>2.7032774241777754E-4</v>
      </c>
      <c r="J150" s="127">
        <f t="shared" si="131"/>
        <v>2.8265746232789435E-4</v>
      </c>
      <c r="K150" s="127">
        <f t="shared" si="131"/>
        <v>2.5863081607118381E-4</v>
      </c>
      <c r="L150" s="127">
        <f t="shared" si="131"/>
        <v>2.8853129291268908E-4</v>
      </c>
      <c r="M150" s="127">
        <f t="shared" si="131"/>
        <v>2.4334227390627946E-4</v>
      </c>
      <c r="N150" s="127">
        <f t="shared" si="131"/>
        <v>2.5245293585095837E-4</v>
      </c>
      <c r="O150" s="127">
        <f t="shared" si="131"/>
        <v>2.3046896804497006E-4</v>
      </c>
      <c r="P150" s="127">
        <f t="shared" si="131"/>
        <v>2.4773943820415603E-4</v>
      </c>
      <c r="Q150" s="127">
        <f t="shared" si="131"/>
        <v>2.3965354159492257E-4</v>
      </c>
      <c r="R150" s="127">
        <f t="shared" si="131"/>
        <v>2.2040448542369581E-4</v>
      </c>
      <c r="S150" s="127">
        <f t="shared" si="131"/>
        <v>2.1786693168004051E-4</v>
      </c>
      <c r="T150" s="127">
        <f t="shared" si="131"/>
        <v>2.0970130590246272E-4</v>
      </c>
      <c r="U150" s="127">
        <f t="shared" si="131"/>
        <v>1.984112890045386E-4</v>
      </c>
      <c r="V150" s="127">
        <f t="shared" si="131"/>
        <v>7.3146233113718047E-5</v>
      </c>
      <c r="W150" s="127">
        <f t="shared" si="131"/>
        <v>6.1221112613597892E-5</v>
      </c>
      <c r="X150" s="127">
        <f t="shared" si="131"/>
        <v>9.2179884570179569E-5</v>
      </c>
      <c r="Y150" s="127">
        <f t="shared" si="131"/>
        <v>1.1514648245641472E-4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0</v>
      </c>
      <c r="C151" s="31">
        <f t="shared" si="132"/>
        <v>0</v>
      </c>
      <c r="D151" s="31">
        <f t="shared" si="132"/>
        <v>0</v>
      </c>
      <c r="E151" s="31">
        <f t="shared" si="132"/>
        <v>0</v>
      </c>
      <c r="F151" s="31">
        <f t="shared" si="132"/>
        <v>0</v>
      </c>
      <c r="G151" s="31">
        <f t="shared" si="132"/>
        <v>0</v>
      </c>
      <c r="H151" s="31">
        <f t="shared" si="132"/>
        <v>0</v>
      </c>
      <c r="I151" s="31">
        <f t="shared" si="132"/>
        <v>0</v>
      </c>
      <c r="J151" s="31">
        <f t="shared" si="132"/>
        <v>0</v>
      </c>
      <c r="K151" s="31">
        <f t="shared" si="132"/>
        <v>0</v>
      </c>
      <c r="L151" s="31">
        <f t="shared" si="132"/>
        <v>0</v>
      </c>
      <c r="M151" s="31">
        <f t="shared" si="132"/>
        <v>0</v>
      </c>
      <c r="N151" s="31">
        <f t="shared" si="132"/>
        <v>0</v>
      </c>
      <c r="O151" s="31">
        <f t="shared" si="132"/>
        <v>0</v>
      </c>
      <c r="P151" s="31">
        <f t="shared" si="132"/>
        <v>0</v>
      </c>
      <c r="Q151" s="31">
        <f t="shared" si="132"/>
        <v>0</v>
      </c>
      <c r="R151" s="31">
        <f t="shared" si="132"/>
        <v>0</v>
      </c>
      <c r="S151" s="31">
        <f t="shared" si="132"/>
        <v>0</v>
      </c>
      <c r="T151" s="31">
        <f t="shared" si="132"/>
        <v>0</v>
      </c>
      <c r="U151" s="31">
        <f t="shared" si="132"/>
        <v>0</v>
      </c>
      <c r="V151" s="31">
        <f t="shared" si="132"/>
        <v>0</v>
      </c>
      <c r="W151" s="31">
        <f t="shared" si="132"/>
        <v>0</v>
      </c>
      <c r="X151" s="31">
        <f t="shared" si="132"/>
        <v>0</v>
      </c>
      <c r="Y151" s="31">
        <f t="shared" si="132"/>
        <v>0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</v>
      </c>
      <c r="C152" s="140">
        <f t="shared" si="133"/>
        <v>0</v>
      </c>
      <c r="D152" s="140">
        <f t="shared" si="133"/>
        <v>0</v>
      </c>
      <c r="E152" s="140">
        <f t="shared" si="133"/>
        <v>0</v>
      </c>
      <c r="F152" s="140">
        <f t="shared" si="133"/>
        <v>0</v>
      </c>
      <c r="G152" s="140">
        <f t="shared" si="133"/>
        <v>0</v>
      </c>
      <c r="H152" s="140">
        <f t="shared" si="133"/>
        <v>0</v>
      </c>
      <c r="I152" s="140">
        <f t="shared" si="133"/>
        <v>0</v>
      </c>
      <c r="J152" s="140">
        <f t="shared" si="133"/>
        <v>0</v>
      </c>
      <c r="K152" s="140">
        <f t="shared" si="133"/>
        <v>0</v>
      </c>
      <c r="L152" s="140">
        <f t="shared" si="133"/>
        <v>0</v>
      </c>
      <c r="M152" s="140">
        <f t="shared" si="133"/>
        <v>0</v>
      </c>
      <c r="N152" s="140">
        <f t="shared" si="133"/>
        <v>0</v>
      </c>
      <c r="O152" s="140">
        <f t="shared" si="133"/>
        <v>0</v>
      </c>
      <c r="P152" s="140">
        <f t="shared" si="133"/>
        <v>0</v>
      </c>
      <c r="Q152" s="140">
        <f t="shared" si="133"/>
        <v>0</v>
      </c>
      <c r="R152" s="140">
        <f t="shared" si="133"/>
        <v>0</v>
      </c>
      <c r="S152" s="140">
        <f t="shared" si="133"/>
        <v>0</v>
      </c>
      <c r="T152" s="140">
        <f t="shared" si="133"/>
        <v>0</v>
      </c>
      <c r="U152" s="140">
        <f t="shared" si="133"/>
        <v>0</v>
      </c>
      <c r="V152" s="140">
        <f t="shared" si="133"/>
        <v>0</v>
      </c>
      <c r="W152" s="140">
        <f t="shared" si="133"/>
        <v>0</v>
      </c>
      <c r="X152" s="140">
        <f t="shared" si="133"/>
        <v>0</v>
      </c>
      <c r="Y152" s="140">
        <f t="shared" si="133"/>
        <v>0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</v>
      </c>
      <c r="C153" s="127">
        <f t="shared" si="134"/>
        <v>0</v>
      </c>
      <c r="D153" s="127">
        <f t="shared" si="134"/>
        <v>0</v>
      </c>
      <c r="E153" s="127">
        <f t="shared" si="134"/>
        <v>0</v>
      </c>
      <c r="F153" s="127">
        <f t="shared" si="134"/>
        <v>0</v>
      </c>
      <c r="G153" s="127">
        <f t="shared" si="134"/>
        <v>0</v>
      </c>
      <c r="H153" s="127">
        <f t="shared" si="134"/>
        <v>0</v>
      </c>
      <c r="I153" s="127">
        <f t="shared" si="134"/>
        <v>0</v>
      </c>
      <c r="J153" s="127">
        <f t="shared" si="134"/>
        <v>0</v>
      </c>
      <c r="K153" s="127">
        <f t="shared" si="134"/>
        <v>0</v>
      </c>
      <c r="L153" s="127">
        <f t="shared" si="134"/>
        <v>0</v>
      </c>
      <c r="M153" s="127">
        <f t="shared" si="134"/>
        <v>0</v>
      </c>
      <c r="N153" s="127">
        <f t="shared" si="134"/>
        <v>0</v>
      </c>
      <c r="O153" s="127">
        <f t="shared" si="134"/>
        <v>0</v>
      </c>
      <c r="P153" s="127">
        <f t="shared" si="134"/>
        <v>0</v>
      </c>
      <c r="Q153" s="127">
        <f t="shared" si="134"/>
        <v>0</v>
      </c>
      <c r="R153" s="127">
        <f t="shared" si="134"/>
        <v>0</v>
      </c>
      <c r="S153" s="127">
        <f t="shared" si="134"/>
        <v>0</v>
      </c>
      <c r="T153" s="127">
        <f t="shared" si="134"/>
        <v>0</v>
      </c>
      <c r="U153" s="127">
        <f t="shared" si="134"/>
        <v>0</v>
      </c>
      <c r="V153" s="127">
        <f t="shared" si="134"/>
        <v>0</v>
      </c>
      <c r="W153" s="127">
        <f t="shared" si="134"/>
        <v>0</v>
      </c>
      <c r="X153" s="127">
        <f t="shared" si="134"/>
        <v>0</v>
      </c>
      <c r="Y153" s="127">
        <f t="shared" si="134"/>
        <v>0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0.94615855928678605</v>
      </c>
      <c r="C157" s="139">
        <f t="shared" ref="C157:W157" si="138">IF(C65=0,0,C65/C$64)</f>
        <v>0.94030711814160162</v>
      </c>
      <c r="D157" s="139">
        <f t="shared" si="138"/>
        <v>0.93738679889148591</v>
      </c>
      <c r="E157" s="139">
        <f t="shared" si="138"/>
        <v>0.94225071901239243</v>
      </c>
      <c r="F157" s="139">
        <f t="shared" si="138"/>
        <v>0.93738161539300724</v>
      </c>
      <c r="G157" s="139">
        <f t="shared" si="138"/>
        <v>0.93908409854178132</v>
      </c>
      <c r="H157" s="139">
        <f t="shared" si="138"/>
        <v>0.94055572244696406</v>
      </c>
      <c r="I157" s="139">
        <f t="shared" si="138"/>
        <v>0.92510338191060282</v>
      </c>
      <c r="J157" s="139">
        <f t="shared" si="138"/>
        <v>0.92116569966066508</v>
      </c>
      <c r="K157" s="139">
        <f t="shared" si="138"/>
        <v>0.90028531522513644</v>
      </c>
      <c r="L157" s="139">
        <f t="shared" si="138"/>
        <v>0.88981924900395715</v>
      </c>
      <c r="M157" s="139">
        <f t="shared" si="138"/>
        <v>0.91690155067843837</v>
      </c>
      <c r="N157" s="139">
        <f t="shared" si="138"/>
        <v>0.92578334819659314</v>
      </c>
      <c r="O157" s="139">
        <f t="shared" si="138"/>
        <v>0.92337459565861046</v>
      </c>
      <c r="P157" s="139">
        <f t="shared" si="138"/>
        <v>0.89700966152267603</v>
      </c>
      <c r="Q157" s="139">
        <f t="shared" si="138"/>
        <v>0.87558412972107047</v>
      </c>
      <c r="R157" s="139">
        <f t="shared" si="138"/>
        <v>0.88204097089826805</v>
      </c>
      <c r="S157" s="139">
        <f t="shared" si="138"/>
        <v>0.82664654174087859</v>
      </c>
      <c r="T157" s="139">
        <f t="shared" si="138"/>
        <v>0.76987106192851695</v>
      </c>
      <c r="U157" s="139">
        <f t="shared" si="138"/>
        <v>0.74670141520211386</v>
      </c>
      <c r="V157" s="139">
        <f t="shared" si="138"/>
        <v>0.88495977230092326</v>
      </c>
      <c r="W157" s="139">
        <f t="shared" si="138"/>
        <v>0.83512165992007426</v>
      </c>
      <c r="X157" s="139">
        <f t="shared" ref="X157:Y157" si="139">IF(X65=0,0,X65/X$64)</f>
        <v>0.78355466396642348</v>
      </c>
      <c r="Y157" s="139">
        <f t="shared" si="139"/>
        <v>0.83716753242199737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1.5825601615282569E-3</v>
      </c>
      <c r="C158" s="140">
        <f t="shared" ref="C158:W158" si="140">IF(C66=0,0,C66/C$64)</f>
        <v>1.5609951754537944E-3</v>
      </c>
      <c r="D158" s="140">
        <f t="shared" si="140"/>
        <v>1.5921213568686797E-3</v>
      </c>
      <c r="E158" s="140">
        <f t="shared" si="140"/>
        <v>1.5304764655064379E-3</v>
      </c>
      <c r="F158" s="140">
        <f t="shared" si="140"/>
        <v>1.5764481367721438E-3</v>
      </c>
      <c r="G158" s="140">
        <f t="shared" si="140"/>
        <v>1.6495275049982821E-3</v>
      </c>
      <c r="H158" s="140">
        <f t="shared" si="140"/>
        <v>1.7275756548731885E-3</v>
      </c>
      <c r="I158" s="140">
        <f t="shared" si="140"/>
        <v>1.6943122067570489E-3</v>
      </c>
      <c r="J158" s="140">
        <f t="shared" si="140"/>
        <v>1.6714564272002918E-3</v>
      </c>
      <c r="K158" s="140">
        <f t="shared" si="140"/>
        <v>1.7069394409749581E-3</v>
      </c>
      <c r="L158" s="140">
        <f t="shared" si="140"/>
        <v>1.7629207667644148E-3</v>
      </c>
      <c r="M158" s="140">
        <f t="shared" si="140"/>
        <v>1.7090980495436132E-3</v>
      </c>
      <c r="N158" s="140">
        <f t="shared" si="140"/>
        <v>1.8311830514592107E-3</v>
      </c>
      <c r="O158" s="140">
        <f t="shared" si="140"/>
        <v>1.983065857146657E-3</v>
      </c>
      <c r="P158" s="140">
        <f t="shared" si="140"/>
        <v>2.0100811760473966E-3</v>
      </c>
      <c r="Q158" s="140">
        <f t="shared" si="140"/>
        <v>2.0810907280065937E-3</v>
      </c>
      <c r="R158" s="140">
        <f t="shared" si="140"/>
        <v>2.2285376430603841E-3</v>
      </c>
      <c r="S158" s="140">
        <f t="shared" si="140"/>
        <v>2.0481865750709908E-3</v>
      </c>
      <c r="T158" s="140">
        <f t="shared" si="140"/>
        <v>1.7392221678937977E-3</v>
      </c>
      <c r="U158" s="140">
        <f t="shared" si="140"/>
        <v>1.7628065964815833E-3</v>
      </c>
      <c r="V158" s="140">
        <f t="shared" si="140"/>
        <v>2.4863249610372045E-3</v>
      </c>
      <c r="W158" s="140">
        <f t="shared" si="140"/>
        <v>2.1927513683716541E-3</v>
      </c>
      <c r="X158" s="140">
        <f t="shared" ref="X158:Y158" si="141">IF(X66=0,0,X66/X$64)</f>
        <v>2.0231753920206623E-3</v>
      </c>
      <c r="Y158" s="140">
        <f t="shared" si="141"/>
        <v>2.2280810857794268E-3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0.91823642609317424</v>
      </c>
      <c r="C159" s="140">
        <f t="shared" ref="C159:W159" si="142">IF(C67=0,0,C67/C$64)</f>
        <v>0.91243034248623878</v>
      </c>
      <c r="D159" s="140">
        <f t="shared" si="142"/>
        <v>0.9087377184190335</v>
      </c>
      <c r="E159" s="140">
        <f t="shared" si="142"/>
        <v>0.91496973977204477</v>
      </c>
      <c r="F159" s="140">
        <f t="shared" si="142"/>
        <v>0.91072495806696618</v>
      </c>
      <c r="G159" s="140">
        <f t="shared" si="142"/>
        <v>0.91088888873626561</v>
      </c>
      <c r="H159" s="140">
        <f t="shared" si="142"/>
        <v>0.91137322503444107</v>
      </c>
      <c r="I159" s="140">
        <f t="shared" si="142"/>
        <v>0.89643335506517974</v>
      </c>
      <c r="J159" s="140">
        <f t="shared" si="142"/>
        <v>0.89223186357455131</v>
      </c>
      <c r="K159" s="140">
        <f t="shared" si="142"/>
        <v>0.87080342989895665</v>
      </c>
      <c r="L159" s="140">
        <f t="shared" si="142"/>
        <v>0.85937081223143774</v>
      </c>
      <c r="M159" s="140">
        <f t="shared" si="142"/>
        <v>0.88665830499243703</v>
      </c>
      <c r="N159" s="140">
        <f t="shared" si="142"/>
        <v>0.89519681987372002</v>
      </c>
      <c r="O159" s="140">
        <f t="shared" si="142"/>
        <v>0.89083832633310145</v>
      </c>
      <c r="P159" s="140">
        <f t="shared" si="142"/>
        <v>0.86513299857586223</v>
      </c>
      <c r="Q159" s="140">
        <f t="shared" si="142"/>
        <v>0.84231242382846072</v>
      </c>
      <c r="R159" s="140">
        <f t="shared" si="142"/>
        <v>0.84681056657444231</v>
      </c>
      <c r="S159" s="140">
        <f t="shared" si="142"/>
        <v>0.7928807612348262</v>
      </c>
      <c r="T159" s="140">
        <f t="shared" si="142"/>
        <v>0.73948472423903078</v>
      </c>
      <c r="U159" s="140">
        <f t="shared" si="142"/>
        <v>0.71676455139502326</v>
      </c>
      <c r="V159" s="140">
        <f t="shared" si="142"/>
        <v>0.84081265582026654</v>
      </c>
      <c r="W159" s="140">
        <f t="shared" si="142"/>
        <v>0.79824288519345388</v>
      </c>
      <c r="X159" s="140">
        <f t="shared" ref="X159:Y159" si="143">IF(X67=0,0,X67/X$64)</f>
        <v>0.75321693285652047</v>
      </c>
      <c r="Y159" s="140">
        <f t="shared" si="143"/>
        <v>0.80788061339605266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2.6339573032083632E-2</v>
      </c>
      <c r="C160" s="140">
        <f t="shared" ref="C160:W160" si="144">IF(C68=0,0,C68/C$64)</f>
        <v>2.6315780479908953E-2</v>
      </c>
      <c r="D160" s="140">
        <f t="shared" si="144"/>
        <v>2.705695911558368E-2</v>
      </c>
      <c r="E160" s="140">
        <f t="shared" si="144"/>
        <v>2.5750502774841217E-2</v>
      </c>
      <c r="F160" s="140">
        <f t="shared" si="144"/>
        <v>2.5080209189268836E-2</v>
      </c>
      <c r="G160" s="140">
        <f t="shared" si="144"/>
        <v>2.654568230051732E-2</v>
      </c>
      <c r="H160" s="140">
        <f t="shared" si="144"/>
        <v>2.7454921757649683E-2</v>
      </c>
      <c r="I160" s="140">
        <f t="shared" si="144"/>
        <v>2.6975714638666024E-2</v>
      </c>
      <c r="J160" s="140">
        <f t="shared" si="144"/>
        <v>2.7262379658913583E-2</v>
      </c>
      <c r="K160" s="140">
        <f t="shared" si="144"/>
        <v>2.777494588520496E-2</v>
      </c>
      <c r="L160" s="140">
        <f t="shared" si="144"/>
        <v>2.8685516005755165E-2</v>
      </c>
      <c r="M160" s="140">
        <f t="shared" si="144"/>
        <v>2.8534147636457639E-2</v>
      </c>
      <c r="N160" s="140">
        <f t="shared" si="144"/>
        <v>2.8755345271414056E-2</v>
      </c>
      <c r="O160" s="140">
        <f t="shared" si="144"/>
        <v>3.0553203468362242E-2</v>
      </c>
      <c r="P160" s="140">
        <f t="shared" si="144"/>
        <v>2.9866581770766416E-2</v>
      </c>
      <c r="Q160" s="140">
        <f t="shared" si="144"/>
        <v>3.1190615164603194E-2</v>
      </c>
      <c r="R160" s="140">
        <f t="shared" si="144"/>
        <v>3.3001866680765379E-2</v>
      </c>
      <c r="S160" s="140">
        <f t="shared" si="144"/>
        <v>3.1717593930981391E-2</v>
      </c>
      <c r="T160" s="140">
        <f t="shared" si="144"/>
        <v>2.8647115521592402E-2</v>
      </c>
      <c r="U160" s="140">
        <f t="shared" si="144"/>
        <v>2.817405721060905E-2</v>
      </c>
      <c r="V160" s="140">
        <f t="shared" si="144"/>
        <v>4.1660791519619413E-2</v>
      </c>
      <c r="W160" s="140">
        <f t="shared" si="144"/>
        <v>3.4686023358248684E-2</v>
      </c>
      <c r="X160" s="140">
        <f t="shared" ref="X160:Y160" si="145">IF(X68=0,0,X68/X$64)</f>
        <v>2.8314555717882349E-2</v>
      </c>
      <c r="Y160" s="140">
        <f t="shared" si="145"/>
        <v>2.7058837940165274E-2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6.2640583090336393E-3</v>
      </c>
      <c r="C161" s="124">
        <f t="shared" ref="C161:W161" si="146">IF(C69=0,0,C69/C$64)</f>
        <v>7.0047937324452863E-3</v>
      </c>
      <c r="D161" s="124">
        <f t="shared" si="146"/>
        <v>6.5258753952326673E-3</v>
      </c>
      <c r="E161" s="124">
        <f t="shared" si="146"/>
        <v>4.5578842309254904E-3</v>
      </c>
      <c r="F161" s="124">
        <f t="shared" si="146"/>
        <v>3.5226355901172763E-3</v>
      </c>
      <c r="G161" s="124">
        <f t="shared" si="146"/>
        <v>2.5143704380845241E-3</v>
      </c>
      <c r="H161" s="124">
        <f t="shared" si="146"/>
        <v>2.0781376364629334E-3</v>
      </c>
      <c r="I161" s="124">
        <f t="shared" si="146"/>
        <v>2.7116201166509143E-3</v>
      </c>
      <c r="J161" s="124">
        <f t="shared" si="146"/>
        <v>3.8229563287695474E-3</v>
      </c>
      <c r="K161" s="124">
        <f t="shared" si="146"/>
        <v>3.2230741566223221E-3</v>
      </c>
      <c r="L161" s="124">
        <f t="shared" si="146"/>
        <v>3.6970567993186458E-3</v>
      </c>
      <c r="M161" s="124">
        <f t="shared" si="146"/>
        <v>3.3935123955107756E-3</v>
      </c>
      <c r="N161" s="124">
        <f t="shared" si="146"/>
        <v>3.4097177195215674E-3</v>
      </c>
      <c r="O161" s="124">
        <f t="shared" si="146"/>
        <v>3.4007569301280718E-3</v>
      </c>
      <c r="P161" s="124">
        <f t="shared" si="146"/>
        <v>3.4145736239440203E-3</v>
      </c>
      <c r="Q161" s="124">
        <f t="shared" si="146"/>
        <v>2.7919825365476368E-3</v>
      </c>
      <c r="R161" s="124">
        <f t="shared" si="146"/>
        <v>2.9859322327369952E-3</v>
      </c>
      <c r="S161" s="124">
        <f t="shared" si="146"/>
        <v>2.5686678975617183E-3</v>
      </c>
      <c r="T161" s="124">
        <f t="shared" si="146"/>
        <v>2.7748690770853877E-3</v>
      </c>
      <c r="U161" s="124">
        <f t="shared" si="146"/>
        <v>2.6192093726349398E-3</v>
      </c>
      <c r="V161" s="124">
        <f t="shared" si="146"/>
        <v>4.0182418171623192E-3</v>
      </c>
      <c r="W161" s="124">
        <f t="shared" si="146"/>
        <v>3.6410801492146065E-3</v>
      </c>
      <c r="X161" s="124">
        <f t="shared" ref="X161:Y161" si="147">IF(X69=0,0,X69/X$64)</f>
        <v>2.6993685383256455E-3</v>
      </c>
      <c r="Y161" s="124">
        <f t="shared" si="147"/>
        <v>2.9074648716888758E-3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6.2640583090336393E-3</v>
      </c>
      <c r="C163" s="140">
        <f t="shared" ref="C163:W163" si="150">IF(C71=0,0,C71/C$64)</f>
        <v>7.0047937324452863E-3</v>
      </c>
      <c r="D163" s="140">
        <f t="shared" si="150"/>
        <v>6.5258753952326673E-3</v>
      </c>
      <c r="E163" s="140">
        <f t="shared" si="150"/>
        <v>4.5578842309254904E-3</v>
      </c>
      <c r="F163" s="140">
        <f t="shared" si="150"/>
        <v>3.5226355901172763E-3</v>
      </c>
      <c r="G163" s="140">
        <f t="shared" si="150"/>
        <v>2.5143704380845241E-3</v>
      </c>
      <c r="H163" s="140">
        <f t="shared" si="150"/>
        <v>2.0781376364629334E-3</v>
      </c>
      <c r="I163" s="140">
        <f t="shared" si="150"/>
        <v>2.7116201166509143E-3</v>
      </c>
      <c r="J163" s="140">
        <f t="shared" si="150"/>
        <v>3.8229563287695474E-3</v>
      </c>
      <c r="K163" s="140">
        <f t="shared" si="150"/>
        <v>3.2230741566223221E-3</v>
      </c>
      <c r="L163" s="140">
        <f t="shared" si="150"/>
        <v>3.6970567993186458E-3</v>
      </c>
      <c r="M163" s="140">
        <f t="shared" si="150"/>
        <v>3.3935123955107756E-3</v>
      </c>
      <c r="N163" s="140">
        <f t="shared" si="150"/>
        <v>3.4097177195215674E-3</v>
      </c>
      <c r="O163" s="140">
        <f t="shared" si="150"/>
        <v>3.4007569301280718E-3</v>
      </c>
      <c r="P163" s="140">
        <f t="shared" si="150"/>
        <v>3.4145736239440203E-3</v>
      </c>
      <c r="Q163" s="140">
        <f t="shared" si="150"/>
        <v>2.7919825365476368E-3</v>
      </c>
      <c r="R163" s="140">
        <f t="shared" si="150"/>
        <v>2.9859322327369952E-3</v>
      </c>
      <c r="S163" s="140">
        <f t="shared" si="150"/>
        <v>2.5686678975617183E-3</v>
      </c>
      <c r="T163" s="140">
        <f t="shared" si="150"/>
        <v>2.7748690770853877E-3</v>
      </c>
      <c r="U163" s="140">
        <f t="shared" si="150"/>
        <v>2.6192093726349398E-3</v>
      </c>
      <c r="V163" s="140">
        <f t="shared" si="150"/>
        <v>4.0182418171623192E-3</v>
      </c>
      <c r="W163" s="140">
        <f t="shared" si="150"/>
        <v>3.6410801492146065E-3</v>
      </c>
      <c r="X163" s="140">
        <f t="shared" ref="X163:Y163" si="151">IF(X71=0,0,X71/X$64)</f>
        <v>2.6993685383256455E-3</v>
      </c>
      <c r="Y163" s="140">
        <f t="shared" si="151"/>
        <v>2.9074648716888758E-3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4.7577382404180378E-2</v>
      </c>
      <c r="C165" s="124">
        <f t="shared" ref="C165:W165" si="154">IF(C73=0,0,C73/C$64)</f>
        <v>5.26880881259532E-2</v>
      </c>
      <c r="D165" s="124">
        <f t="shared" si="154"/>
        <v>5.60873257132814E-2</v>
      </c>
      <c r="E165" s="124">
        <f t="shared" si="154"/>
        <v>5.3191396756682094E-2</v>
      </c>
      <c r="F165" s="124">
        <f t="shared" si="154"/>
        <v>5.9095749016875504E-2</v>
      </c>
      <c r="G165" s="124">
        <f t="shared" si="154"/>
        <v>5.8401531020134102E-2</v>
      </c>
      <c r="H165" s="124">
        <f t="shared" si="154"/>
        <v>5.7366139916572939E-2</v>
      </c>
      <c r="I165" s="124">
        <f t="shared" si="154"/>
        <v>7.2184997972746301E-2</v>
      </c>
      <c r="J165" s="124">
        <f t="shared" si="154"/>
        <v>7.501134401056532E-2</v>
      </c>
      <c r="K165" s="124">
        <f t="shared" si="154"/>
        <v>9.6491610618241214E-2</v>
      </c>
      <c r="L165" s="124">
        <f t="shared" si="154"/>
        <v>0.10648369419672414</v>
      </c>
      <c r="M165" s="124">
        <f t="shared" si="154"/>
        <v>7.9704936926050879E-2</v>
      </c>
      <c r="N165" s="124">
        <f t="shared" si="154"/>
        <v>7.0806934083885303E-2</v>
      </c>
      <c r="O165" s="124">
        <f t="shared" si="154"/>
        <v>7.3224647411261432E-2</v>
      </c>
      <c r="P165" s="124">
        <f t="shared" si="154"/>
        <v>9.9575764853379919E-2</v>
      </c>
      <c r="Q165" s="124">
        <f t="shared" si="154"/>
        <v>0.12162388774238181</v>
      </c>
      <c r="R165" s="124">
        <f t="shared" si="154"/>
        <v>0.11497309686899509</v>
      </c>
      <c r="S165" s="124">
        <f t="shared" si="154"/>
        <v>0.17078479036155983</v>
      </c>
      <c r="T165" s="124">
        <f t="shared" si="154"/>
        <v>0.22735406899439764</v>
      </c>
      <c r="U165" s="124">
        <f t="shared" si="154"/>
        <v>0.25067937542525121</v>
      </c>
      <c r="V165" s="124">
        <f t="shared" si="154"/>
        <v>0.11102198588191449</v>
      </c>
      <c r="W165" s="124">
        <f t="shared" si="154"/>
        <v>0.1612372599307112</v>
      </c>
      <c r="X165" s="124">
        <f t="shared" ref="X165:Y165" si="155">IF(X73=0,0,X73/X$64)</f>
        <v>0.21374596749525077</v>
      </c>
      <c r="Y165" s="124">
        <f t="shared" si="155"/>
        <v>0.15992500270631368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3.69338493243212E-2</v>
      </c>
      <c r="C167" s="140">
        <f t="shared" ref="C167:W167" si="158">IF(C75=0,0,C75/C$64)</f>
        <v>4.0897445447187986E-2</v>
      </c>
      <c r="D167" s="140">
        <f t="shared" si="158"/>
        <v>4.354867946168358E-2</v>
      </c>
      <c r="E167" s="140">
        <f t="shared" si="158"/>
        <v>4.1313345202644992E-2</v>
      </c>
      <c r="F167" s="140">
        <f t="shared" si="158"/>
        <v>4.5902686312714887E-2</v>
      </c>
      <c r="G167" s="140">
        <f t="shared" si="158"/>
        <v>4.551977218782282E-2</v>
      </c>
      <c r="H167" s="140">
        <f t="shared" si="158"/>
        <v>4.4812624786282625E-2</v>
      </c>
      <c r="I167" s="140">
        <f t="shared" si="158"/>
        <v>5.6696702847368635E-2</v>
      </c>
      <c r="J167" s="140">
        <f t="shared" si="158"/>
        <v>5.8051865447874371E-2</v>
      </c>
      <c r="K167" s="140">
        <f t="shared" si="158"/>
        <v>7.3754180976328215E-2</v>
      </c>
      <c r="L167" s="140">
        <f t="shared" si="158"/>
        <v>8.193950273570004E-2</v>
      </c>
      <c r="M167" s="140">
        <f t="shared" si="158"/>
        <v>6.1169762551605389E-2</v>
      </c>
      <c r="N167" s="140">
        <f t="shared" si="158"/>
        <v>5.4518115041435201E-2</v>
      </c>
      <c r="O167" s="140">
        <f t="shared" si="158"/>
        <v>5.6543583560786731E-2</v>
      </c>
      <c r="P167" s="140">
        <f t="shared" si="158"/>
        <v>7.6878342909466768E-2</v>
      </c>
      <c r="Q167" s="140">
        <f t="shared" si="158"/>
        <v>9.406245333204577E-2</v>
      </c>
      <c r="R167" s="140">
        <f t="shared" si="158"/>
        <v>9.0196059909057671E-2</v>
      </c>
      <c r="S167" s="140">
        <f t="shared" si="158"/>
        <v>0.13552732376212109</v>
      </c>
      <c r="T167" s="140">
        <f t="shared" si="158"/>
        <v>0.17964566566558227</v>
      </c>
      <c r="U167" s="140">
        <f t="shared" si="158"/>
        <v>0.19670920723024976</v>
      </c>
      <c r="V167" s="140">
        <f t="shared" si="158"/>
        <v>8.1524116819366957E-2</v>
      </c>
      <c r="W167" s="140">
        <f t="shared" si="158"/>
        <v>0.12260242909331395</v>
      </c>
      <c r="X167" s="140">
        <f t="shared" ref="X167:Y167" si="159">IF(X75=0,0,X75/X$64)</f>
        <v>0.17041963434545035</v>
      </c>
      <c r="Y167" s="140">
        <f t="shared" si="159"/>
        <v>0.12615493574439704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1.0643533079859182E-2</v>
      </c>
      <c r="C168" s="140">
        <f t="shared" ref="C168:W168" si="160">IF(C76=0,0,C76/C$64)</f>
        <v>1.1790642678765216E-2</v>
      </c>
      <c r="D168" s="140">
        <f t="shared" si="160"/>
        <v>1.2538646251597818E-2</v>
      </c>
      <c r="E168" s="140">
        <f t="shared" si="160"/>
        <v>1.1878051554037105E-2</v>
      </c>
      <c r="F168" s="140">
        <f t="shared" si="160"/>
        <v>1.3193062704160619E-2</v>
      </c>
      <c r="G168" s="140">
        <f t="shared" si="160"/>
        <v>1.2881758832311281E-2</v>
      </c>
      <c r="H168" s="140">
        <f t="shared" si="160"/>
        <v>1.2553515130290308E-2</v>
      </c>
      <c r="I168" s="140">
        <f t="shared" si="160"/>
        <v>1.5488295125377674E-2</v>
      </c>
      <c r="J168" s="140">
        <f t="shared" si="160"/>
        <v>1.6959478562690943E-2</v>
      </c>
      <c r="K168" s="140">
        <f t="shared" si="160"/>
        <v>2.2737429641912985E-2</v>
      </c>
      <c r="L168" s="140">
        <f t="shared" si="160"/>
        <v>2.4544191461024097E-2</v>
      </c>
      <c r="M168" s="140">
        <f t="shared" si="160"/>
        <v>1.8535174374445493E-2</v>
      </c>
      <c r="N168" s="140">
        <f t="shared" si="160"/>
        <v>1.6288819042450112E-2</v>
      </c>
      <c r="O168" s="140">
        <f t="shared" si="160"/>
        <v>1.6681063850474694E-2</v>
      </c>
      <c r="P168" s="140">
        <f t="shared" si="160"/>
        <v>2.2697421943913158E-2</v>
      </c>
      <c r="Q168" s="140">
        <f t="shared" si="160"/>
        <v>2.7561434410336032E-2</v>
      </c>
      <c r="R168" s="140">
        <f t="shared" si="160"/>
        <v>2.477703695993741E-2</v>
      </c>
      <c r="S168" s="140">
        <f t="shared" si="160"/>
        <v>3.5257466599438764E-2</v>
      </c>
      <c r="T168" s="140">
        <f t="shared" si="160"/>
        <v>4.7708403328815374E-2</v>
      </c>
      <c r="U168" s="140">
        <f t="shared" si="160"/>
        <v>5.3970168195001451E-2</v>
      </c>
      <c r="V168" s="140">
        <f t="shared" si="160"/>
        <v>2.9497869062547515E-2</v>
      </c>
      <c r="W168" s="140">
        <f t="shared" si="160"/>
        <v>3.8634830837397251E-2</v>
      </c>
      <c r="X168" s="140">
        <f t="shared" ref="X168:Y168" si="161">IF(X76=0,0,X76/X$64)</f>
        <v>4.3326333149800424E-2</v>
      </c>
      <c r="Y168" s="140">
        <f t="shared" si="161"/>
        <v>3.3770066961916638E-2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0.71145632441171736</v>
      </c>
      <c r="C170" s="139">
        <f t="shared" ref="C170:W170" si="165">IF(C78=0,0,C78/C$77)</f>
        <v>0.7137314111064843</v>
      </c>
      <c r="D170" s="139">
        <f t="shared" si="165"/>
        <v>0.7103563897231252</v>
      </c>
      <c r="E170" s="139">
        <f t="shared" si="165"/>
        <v>0.73088809698908375</v>
      </c>
      <c r="F170" s="139">
        <f t="shared" si="165"/>
        <v>0.76995399578718915</v>
      </c>
      <c r="G170" s="139">
        <f t="shared" si="165"/>
        <v>0.78708806183054525</v>
      </c>
      <c r="H170" s="139">
        <f t="shared" si="165"/>
        <v>0.79048883988911955</v>
      </c>
      <c r="I170" s="139">
        <f t="shared" si="165"/>
        <v>0.77093276302535818</v>
      </c>
      <c r="J170" s="139">
        <f t="shared" si="165"/>
        <v>0.77386988453651306</v>
      </c>
      <c r="K170" s="139">
        <f t="shared" si="165"/>
        <v>0.77187724679471448</v>
      </c>
      <c r="L170" s="139">
        <f t="shared" si="165"/>
        <v>0.79189650682587942</v>
      </c>
      <c r="M170" s="139">
        <f t="shared" si="165"/>
        <v>0.80183004448623818</v>
      </c>
      <c r="N170" s="139">
        <f t="shared" si="165"/>
        <v>0.799223763579617</v>
      </c>
      <c r="O170" s="139">
        <f t="shared" si="165"/>
        <v>0.79901613812987904</v>
      </c>
      <c r="P170" s="139">
        <f t="shared" si="165"/>
        <v>0.78547443606276091</v>
      </c>
      <c r="Q170" s="139">
        <f t="shared" si="165"/>
        <v>0.75030871958384748</v>
      </c>
      <c r="R170" s="139">
        <f t="shared" si="165"/>
        <v>0.71109796539894543</v>
      </c>
      <c r="S170" s="139">
        <f t="shared" si="165"/>
        <v>0.71877184016403373</v>
      </c>
      <c r="T170" s="139">
        <f t="shared" si="165"/>
        <v>0.75937136472545919</v>
      </c>
      <c r="U170" s="139">
        <f t="shared" si="165"/>
        <v>0.79182799620183375</v>
      </c>
      <c r="V170" s="139">
        <f t="shared" si="165"/>
        <v>0.65567498824029014</v>
      </c>
      <c r="W170" s="139">
        <f t="shared" si="165"/>
        <v>0.65506686635679701</v>
      </c>
      <c r="X170" s="139">
        <f t="shared" ref="X170:Y170" si="166">IF(X78=0,0,X78/X$77)</f>
        <v>0.60738413858870322</v>
      </c>
      <c r="Y170" s="139">
        <f t="shared" si="166"/>
        <v>0.57782660663327978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3.5022175951323745E-2</v>
      </c>
      <c r="C171" s="140">
        <f t="shared" ref="C171:W171" si="167">IF(C79=0,0,C79/C$77)</f>
        <v>3.3501838482164946E-2</v>
      </c>
      <c r="D171" s="140">
        <f t="shared" si="167"/>
        <v>3.272661316948923E-2</v>
      </c>
      <c r="E171" s="140">
        <f t="shared" si="167"/>
        <v>2.9601316817199585E-2</v>
      </c>
      <c r="F171" s="140">
        <f t="shared" si="167"/>
        <v>2.4025349827454075E-2</v>
      </c>
      <c r="G171" s="140">
        <f t="shared" si="167"/>
        <v>2.245356827100168E-2</v>
      </c>
      <c r="H171" s="140">
        <f t="shared" si="167"/>
        <v>2.454918463213274E-2</v>
      </c>
      <c r="I171" s="140">
        <f t="shared" si="167"/>
        <v>2.6935585247473325E-2</v>
      </c>
      <c r="J171" s="140">
        <f t="shared" si="167"/>
        <v>2.8067692016477241E-2</v>
      </c>
      <c r="K171" s="140">
        <f t="shared" si="167"/>
        <v>3.2089441033880214E-2</v>
      </c>
      <c r="L171" s="140">
        <f t="shared" si="167"/>
        <v>3.0453391141036162E-2</v>
      </c>
      <c r="M171" s="140">
        <f t="shared" si="167"/>
        <v>3.0970504114831574E-2</v>
      </c>
      <c r="N171" s="140">
        <f t="shared" si="167"/>
        <v>3.4161184840746435E-2</v>
      </c>
      <c r="O171" s="140">
        <f t="shared" si="167"/>
        <v>3.4180057019382301E-2</v>
      </c>
      <c r="P171" s="140">
        <f t="shared" si="167"/>
        <v>3.7390857909242584E-2</v>
      </c>
      <c r="Q171" s="140">
        <f t="shared" si="167"/>
        <v>4.0468095823951694E-2</v>
      </c>
      <c r="R171" s="140">
        <f t="shared" si="167"/>
        <v>4.1085565400597636E-2</v>
      </c>
      <c r="S171" s="140">
        <f t="shared" si="167"/>
        <v>3.9838681294409872E-2</v>
      </c>
      <c r="T171" s="140">
        <f t="shared" si="167"/>
        <v>3.9607485690608568E-2</v>
      </c>
      <c r="U171" s="140">
        <f t="shared" si="167"/>
        <v>3.9396126300402831E-2</v>
      </c>
      <c r="V171" s="140">
        <f t="shared" si="167"/>
        <v>4.2279579238320888E-2</v>
      </c>
      <c r="W171" s="140">
        <f t="shared" si="167"/>
        <v>4.2681300184244826E-2</v>
      </c>
      <c r="X171" s="140">
        <f t="shared" ref="X171:Y171" si="168">IF(X79=0,0,X79/X$77)</f>
        <v>4.7054284637507972E-2</v>
      </c>
      <c r="Y171" s="140">
        <f t="shared" si="168"/>
        <v>4.9488048272055135E-2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0.67643414846039351</v>
      </c>
      <c r="C172" s="140">
        <f t="shared" ref="C172:W172" si="169">IF(C80=0,0,C80/C$77)</f>
        <v>0.68022957262431938</v>
      </c>
      <c r="D172" s="140">
        <f t="shared" si="169"/>
        <v>0.67762977655363599</v>
      </c>
      <c r="E172" s="140">
        <f t="shared" si="169"/>
        <v>0.70128678017188417</v>
      </c>
      <c r="F172" s="140">
        <f t="shared" si="169"/>
        <v>0.74592864595973507</v>
      </c>
      <c r="G172" s="140">
        <f t="shared" si="169"/>
        <v>0.76463449355954349</v>
      </c>
      <c r="H172" s="140">
        <f t="shared" si="169"/>
        <v>0.76593965525698671</v>
      </c>
      <c r="I172" s="140">
        <f t="shared" si="169"/>
        <v>0.74399717777788488</v>
      </c>
      <c r="J172" s="140">
        <f t="shared" si="169"/>
        <v>0.74580219252003577</v>
      </c>
      <c r="K172" s="140">
        <f t="shared" si="169"/>
        <v>0.73978780576083425</v>
      </c>
      <c r="L172" s="140">
        <f t="shared" si="169"/>
        <v>0.76144311568484324</v>
      </c>
      <c r="M172" s="140">
        <f t="shared" si="169"/>
        <v>0.77085954037140658</v>
      </c>
      <c r="N172" s="140">
        <f t="shared" si="169"/>
        <v>0.76506257873887062</v>
      </c>
      <c r="O172" s="140">
        <f t="shared" si="169"/>
        <v>0.76483608111049672</v>
      </c>
      <c r="P172" s="140">
        <f t="shared" si="169"/>
        <v>0.74808357815351834</v>
      </c>
      <c r="Q172" s="140">
        <f t="shared" si="169"/>
        <v>0.70984062375989587</v>
      </c>
      <c r="R172" s="140">
        <f t="shared" si="169"/>
        <v>0.67001239999834772</v>
      </c>
      <c r="S172" s="140">
        <f t="shared" si="169"/>
        <v>0.67893315886962391</v>
      </c>
      <c r="T172" s="140">
        <f t="shared" si="169"/>
        <v>0.71976387903485051</v>
      </c>
      <c r="U172" s="140">
        <f t="shared" si="169"/>
        <v>0.75243186990143096</v>
      </c>
      <c r="V172" s="140">
        <f t="shared" si="169"/>
        <v>0.61339540900196921</v>
      </c>
      <c r="W172" s="140">
        <f t="shared" si="169"/>
        <v>0.61238556617255224</v>
      </c>
      <c r="X172" s="140">
        <f t="shared" ref="X172:Y172" si="170">IF(X80=0,0,X80/X$77)</f>
        <v>0.56032985395119528</v>
      </c>
      <c r="Y172" s="140">
        <f t="shared" si="170"/>
        <v>0.52833855836122456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2.1682497184463845E-3</v>
      </c>
      <c r="C173" s="124">
        <f t="shared" ref="C173:W173" si="171">IF(C81=0,0,C81/C$77)</f>
        <v>1.9639885643237373E-3</v>
      </c>
      <c r="D173" s="124">
        <f t="shared" si="171"/>
        <v>1.6601495152872034E-3</v>
      </c>
      <c r="E173" s="124">
        <f t="shared" si="171"/>
        <v>1.2361253427735427E-3</v>
      </c>
      <c r="F173" s="124">
        <f t="shared" si="171"/>
        <v>8.99643209902688E-4</v>
      </c>
      <c r="G173" s="124">
        <f t="shared" si="171"/>
        <v>4.17087766993846E-4</v>
      </c>
      <c r="H173" s="124">
        <f t="shared" si="171"/>
        <v>2.7325297764898876E-4</v>
      </c>
      <c r="I173" s="124">
        <f t="shared" si="171"/>
        <v>4.3413727623601542E-4</v>
      </c>
      <c r="J173" s="124">
        <f t="shared" si="171"/>
        <v>2.6330462637668496E-4</v>
      </c>
      <c r="K173" s="124">
        <f t="shared" si="171"/>
        <v>2.2750073051729618E-4</v>
      </c>
      <c r="L173" s="124">
        <f t="shared" si="171"/>
        <v>2.3460458929466533E-4</v>
      </c>
      <c r="M173" s="124">
        <f t="shared" si="171"/>
        <v>1.8472152693337852E-4</v>
      </c>
      <c r="N173" s="124">
        <f t="shared" si="171"/>
        <v>1.7860398695142602E-4</v>
      </c>
      <c r="O173" s="124">
        <f t="shared" si="171"/>
        <v>1.5670813561715182E-4</v>
      </c>
      <c r="P173" s="124">
        <f t="shared" si="171"/>
        <v>1.5921370583629751E-4</v>
      </c>
      <c r="Q173" s="124">
        <f t="shared" si="171"/>
        <v>1.3843948269025408E-4</v>
      </c>
      <c r="R173" s="124">
        <f t="shared" si="171"/>
        <v>1.2891245624951242E-4</v>
      </c>
      <c r="S173" s="124">
        <f t="shared" si="171"/>
        <v>1.2042929180260761E-4</v>
      </c>
      <c r="T173" s="124">
        <f t="shared" si="171"/>
        <v>1.3151090723638364E-4</v>
      </c>
      <c r="U173" s="124">
        <f t="shared" si="171"/>
        <v>1.1718287049200308E-4</v>
      </c>
      <c r="V173" s="124">
        <f t="shared" si="171"/>
        <v>1.489296344894261E-4</v>
      </c>
      <c r="W173" s="124">
        <f t="shared" si="171"/>
        <v>1.1659460881111302E-4</v>
      </c>
      <c r="X173" s="124">
        <f t="shared" ref="X173:Y173" si="172">IF(X81=0,0,X81/X$77)</f>
        <v>9.1054413339985353E-5</v>
      </c>
      <c r="Y173" s="124">
        <f t="shared" si="172"/>
        <v>8.9412163450100951E-5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0.28588449680925837</v>
      </c>
      <c r="C174" s="124">
        <f t="shared" ref="C174:W174" si="173">IF(C82=0,0,C82/C$77)</f>
        <v>0.28385654069711291</v>
      </c>
      <c r="D174" s="124">
        <f t="shared" si="173"/>
        <v>0.28756464618927541</v>
      </c>
      <c r="E174" s="124">
        <f t="shared" si="173"/>
        <v>0.26754875906511416</v>
      </c>
      <c r="F174" s="124">
        <f t="shared" si="173"/>
        <v>0.22885188267861997</v>
      </c>
      <c r="G174" s="124">
        <f t="shared" si="173"/>
        <v>0.21224541398616778</v>
      </c>
      <c r="H174" s="124">
        <f t="shared" si="173"/>
        <v>0.20895083975849948</v>
      </c>
      <c r="I174" s="124">
        <f t="shared" si="173"/>
        <v>0.22835490754203178</v>
      </c>
      <c r="J174" s="124">
        <f t="shared" si="173"/>
        <v>0.22557629218031064</v>
      </c>
      <c r="K174" s="124">
        <f t="shared" si="173"/>
        <v>0.22762937838066691</v>
      </c>
      <c r="L174" s="124">
        <f t="shared" si="173"/>
        <v>0.20757278289117417</v>
      </c>
      <c r="M174" s="124">
        <f t="shared" si="173"/>
        <v>0.19773596908881447</v>
      </c>
      <c r="N174" s="124">
        <f t="shared" si="173"/>
        <v>0.20034555892137262</v>
      </c>
      <c r="O174" s="124">
        <f t="shared" si="173"/>
        <v>0.2005975067695531</v>
      </c>
      <c r="P174" s="124">
        <f t="shared" si="173"/>
        <v>0.21412007648215112</v>
      </c>
      <c r="Q174" s="124">
        <f t="shared" si="173"/>
        <v>0.24931561752286921</v>
      </c>
      <c r="R174" s="124">
        <f t="shared" si="173"/>
        <v>0.28855544244931891</v>
      </c>
      <c r="S174" s="124">
        <f t="shared" si="173"/>
        <v>0.28089262803257253</v>
      </c>
      <c r="T174" s="124">
        <f t="shared" si="173"/>
        <v>0.24028965063948193</v>
      </c>
      <c r="U174" s="124">
        <f t="shared" si="173"/>
        <v>0.2078588697170346</v>
      </c>
      <c r="V174" s="124">
        <f t="shared" si="173"/>
        <v>0.34410405791859006</v>
      </c>
      <c r="W174" s="124">
        <f t="shared" si="173"/>
        <v>0.34475619904285321</v>
      </c>
      <c r="X174" s="124">
        <f t="shared" ref="X174:Y174" si="174">IF(X82=0,0,X82/X$77)</f>
        <v>0.39243471607819369</v>
      </c>
      <c r="Y174" s="124">
        <f t="shared" si="174"/>
        <v>0.42197164577374513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1.1042966995106767E-2</v>
      </c>
      <c r="C176" s="140">
        <f t="shared" ref="C176:W176" si="177">IF(C84=0,0,C84/C$77)</f>
        <v>4.3995269549547507E-3</v>
      </c>
      <c r="D176" s="140">
        <f t="shared" si="177"/>
        <v>2.7833492669070599E-3</v>
      </c>
      <c r="E176" s="140">
        <f t="shared" si="177"/>
        <v>4.0443592572643582E-3</v>
      </c>
      <c r="F176" s="140">
        <f t="shared" si="177"/>
        <v>3.0458011001692265E-3</v>
      </c>
      <c r="G176" s="140">
        <f t="shared" si="177"/>
        <v>3.2355448180104549E-3</v>
      </c>
      <c r="H176" s="140">
        <f t="shared" si="177"/>
        <v>1.7686832706557982E-3</v>
      </c>
      <c r="I176" s="140">
        <f t="shared" si="177"/>
        <v>3.2934990344216397E-3</v>
      </c>
      <c r="J176" s="140">
        <f t="shared" si="177"/>
        <v>4.6015602931457856E-3</v>
      </c>
      <c r="K176" s="140">
        <f t="shared" si="177"/>
        <v>5.4313131263719087E-3</v>
      </c>
      <c r="L176" s="140">
        <f t="shared" si="177"/>
        <v>5.3335730980270729E-3</v>
      </c>
      <c r="M176" s="140">
        <f t="shared" si="177"/>
        <v>2.6736518194967335E-3</v>
      </c>
      <c r="N176" s="140">
        <f t="shared" si="177"/>
        <v>2.7732743265219645E-3</v>
      </c>
      <c r="O176" s="140">
        <f t="shared" si="177"/>
        <v>2.9830510141046853E-3</v>
      </c>
      <c r="P176" s="140">
        <f t="shared" si="177"/>
        <v>4.0704951521345952E-3</v>
      </c>
      <c r="Q176" s="140">
        <f t="shared" si="177"/>
        <v>4.4967306253946024E-3</v>
      </c>
      <c r="R176" s="140">
        <f t="shared" si="177"/>
        <v>2.8346789673874637E-3</v>
      </c>
      <c r="S176" s="140">
        <f t="shared" si="177"/>
        <v>5.3901678676059207E-3</v>
      </c>
      <c r="T176" s="140">
        <f t="shared" si="177"/>
        <v>5.9748409264476525E-3</v>
      </c>
      <c r="U176" s="140">
        <f t="shared" si="177"/>
        <v>6.4969135823310098E-3</v>
      </c>
      <c r="V176" s="140">
        <f t="shared" si="177"/>
        <v>5.3027588631635592E-3</v>
      </c>
      <c r="W176" s="140">
        <f t="shared" si="177"/>
        <v>5.45722148604096E-3</v>
      </c>
      <c r="X176" s="140">
        <f t="shared" ref="X176:Y176" si="178">IF(X84=0,0,X84/X$77)</f>
        <v>5.7612694606189348E-3</v>
      </c>
      <c r="Y176" s="140">
        <f t="shared" si="178"/>
        <v>4.2921365652314469E-3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0.27484152981415155</v>
      </c>
      <c r="C177" s="140">
        <f t="shared" ref="C177:W177" si="179">IF(C85=0,0,C85/C$77)</f>
        <v>0.27945701374215814</v>
      </c>
      <c r="D177" s="140">
        <f t="shared" si="179"/>
        <v>0.28478129692236837</v>
      </c>
      <c r="E177" s="140">
        <f t="shared" si="179"/>
        <v>0.26350439980784984</v>
      </c>
      <c r="F177" s="140">
        <f t="shared" si="179"/>
        <v>0.22580608157845075</v>
      </c>
      <c r="G177" s="140">
        <f t="shared" si="179"/>
        <v>0.20900986916815734</v>
      </c>
      <c r="H177" s="140">
        <f t="shared" si="179"/>
        <v>0.20718215648784369</v>
      </c>
      <c r="I177" s="140">
        <f t="shared" si="179"/>
        <v>0.22506140850761014</v>
      </c>
      <c r="J177" s="140">
        <f t="shared" si="179"/>
        <v>0.22097473188716488</v>
      </c>
      <c r="K177" s="140">
        <f t="shared" si="179"/>
        <v>0.222198065254295</v>
      </c>
      <c r="L177" s="140">
        <f t="shared" si="179"/>
        <v>0.20223920979314708</v>
      </c>
      <c r="M177" s="140">
        <f t="shared" si="179"/>
        <v>0.19506231726931775</v>
      </c>
      <c r="N177" s="140">
        <f t="shared" si="179"/>
        <v>0.19757228459485068</v>
      </c>
      <c r="O177" s="140">
        <f t="shared" si="179"/>
        <v>0.19761445575544842</v>
      </c>
      <c r="P177" s="140">
        <f t="shared" si="179"/>
        <v>0.21004958133001655</v>
      </c>
      <c r="Q177" s="140">
        <f t="shared" si="179"/>
        <v>0.24481888689747461</v>
      </c>
      <c r="R177" s="140">
        <f t="shared" si="179"/>
        <v>0.28572076348193148</v>
      </c>
      <c r="S177" s="140">
        <f t="shared" si="179"/>
        <v>0.2755024601649666</v>
      </c>
      <c r="T177" s="140">
        <f t="shared" si="179"/>
        <v>0.23431480971303428</v>
      </c>
      <c r="U177" s="140">
        <f t="shared" si="179"/>
        <v>0.20136195613470359</v>
      </c>
      <c r="V177" s="140">
        <f t="shared" si="179"/>
        <v>0.3388012990554265</v>
      </c>
      <c r="W177" s="140">
        <f t="shared" si="179"/>
        <v>0.33929897755681226</v>
      </c>
      <c r="X177" s="140">
        <f t="shared" ref="X177:Y177" si="180">IF(X85=0,0,X85/X$77)</f>
        <v>0.3866734466175748</v>
      </c>
      <c r="Y177" s="140">
        <f t="shared" si="180"/>
        <v>0.41767950920851366</v>
      </c>
      <c r="DA177" s="175"/>
    </row>
    <row r="178" spans="1:105" ht="11.45" customHeight="1" x14ac:dyDescent="0.25">
      <c r="A178" s="109" t="s">
        <v>141</v>
      </c>
      <c r="B178" s="124">
        <f t="shared" si="162"/>
        <v>4.9092906057791408E-4</v>
      </c>
      <c r="C178" s="124">
        <f t="shared" ref="C178:W178" si="181">IF(C86=0,0,C86/C$77)</f>
        <v>4.4805963207902221E-4</v>
      </c>
      <c r="D178" s="124">
        <f t="shared" si="181"/>
        <v>4.1881457231229488E-4</v>
      </c>
      <c r="E178" s="124">
        <f t="shared" si="181"/>
        <v>3.2701860302855812E-4</v>
      </c>
      <c r="F178" s="124">
        <f t="shared" si="181"/>
        <v>2.9447832428815577E-4</v>
      </c>
      <c r="G178" s="124">
        <f t="shared" si="181"/>
        <v>2.4943641629323677E-4</v>
      </c>
      <c r="H178" s="124">
        <f t="shared" si="181"/>
        <v>2.870673747319762E-4</v>
      </c>
      <c r="I178" s="124">
        <f t="shared" si="181"/>
        <v>2.7819215637394604E-4</v>
      </c>
      <c r="J178" s="124">
        <f t="shared" si="181"/>
        <v>2.9051865679960334E-4</v>
      </c>
      <c r="K178" s="124">
        <f t="shared" si="181"/>
        <v>2.6587409410133348E-4</v>
      </c>
      <c r="L178" s="124">
        <f t="shared" si="181"/>
        <v>2.9610569365165972E-4</v>
      </c>
      <c r="M178" s="124">
        <f t="shared" si="181"/>
        <v>2.4926489801393618E-4</v>
      </c>
      <c r="N178" s="124">
        <f t="shared" si="181"/>
        <v>2.5207351205875831E-4</v>
      </c>
      <c r="O178" s="124">
        <f t="shared" si="181"/>
        <v>2.2964696495089934E-4</v>
      </c>
      <c r="P178" s="124">
        <f t="shared" si="181"/>
        <v>2.4627374925162914E-4</v>
      </c>
      <c r="Q178" s="124">
        <f t="shared" si="181"/>
        <v>2.3722341059302603E-4</v>
      </c>
      <c r="R178" s="124">
        <f t="shared" si="181"/>
        <v>2.1767969548598301E-4</v>
      </c>
      <c r="S178" s="124">
        <f t="shared" si="181"/>
        <v>2.151025115911725E-4</v>
      </c>
      <c r="T178" s="124">
        <f t="shared" si="181"/>
        <v>2.0747372782256357E-4</v>
      </c>
      <c r="U178" s="124">
        <f t="shared" si="181"/>
        <v>1.9595121063971821E-4</v>
      </c>
      <c r="V178" s="124">
        <f t="shared" si="181"/>
        <v>7.2024206630330021E-5</v>
      </c>
      <c r="W178" s="124">
        <f t="shared" si="181"/>
        <v>6.03399915386945E-5</v>
      </c>
      <c r="X178" s="124">
        <f t="shared" ref="X178:Y178" si="182">IF(X86=0,0,X86/X$77)</f>
        <v>9.009091976323011E-5</v>
      </c>
      <c r="Y178" s="124">
        <f t="shared" si="182"/>
        <v>1.1233542952508255E-4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0</v>
      </c>
      <c r="J179" s="140">
        <f t="shared" si="183"/>
        <v>0</v>
      </c>
      <c r="K179" s="140">
        <f t="shared" si="183"/>
        <v>0</v>
      </c>
      <c r="L179" s="140">
        <f t="shared" si="183"/>
        <v>0</v>
      </c>
      <c r="M179" s="140">
        <f t="shared" si="183"/>
        <v>0</v>
      </c>
      <c r="N179" s="140">
        <f t="shared" si="183"/>
        <v>0</v>
      </c>
      <c r="O179" s="140">
        <f t="shared" si="183"/>
        <v>0</v>
      </c>
      <c r="P179" s="140">
        <f t="shared" si="183"/>
        <v>0</v>
      </c>
      <c r="Q179" s="140">
        <f t="shared" si="183"/>
        <v>0</v>
      </c>
      <c r="R179" s="140">
        <f t="shared" si="183"/>
        <v>0</v>
      </c>
      <c r="S179" s="140">
        <f t="shared" si="183"/>
        <v>0</v>
      </c>
      <c r="T179" s="140">
        <f t="shared" si="183"/>
        <v>0</v>
      </c>
      <c r="U179" s="140">
        <f t="shared" si="183"/>
        <v>0</v>
      </c>
      <c r="V179" s="140">
        <f t="shared" si="183"/>
        <v>0</v>
      </c>
      <c r="W179" s="140">
        <f t="shared" si="183"/>
        <v>0</v>
      </c>
      <c r="X179" s="140">
        <f t="shared" ref="X179:Y179" si="184">IF(X87=0,0,X87/X$77)</f>
        <v>0</v>
      </c>
      <c r="Y179" s="140">
        <f t="shared" si="184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4.9092906057791408E-4</v>
      </c>
      <c r="C180" s="127">
        <f t="shared" ref="C180:W180" si="185">IF(C88=0,0,C88/C$77)</f>
        <v>4.4805963207902221E-4</v>
      </c>
      <c r="D180" s="127">
        <f t="shared" si="185"/>
        <v>4.1881457231229488E-4</v>
      </c>
      <c r="E180" s="127">
        <f t="shared" si="185"/>
        <v>3.2701860302855812E-4</v>
      </c>
      <c r="F180" s="127">
        <f t="shared" si="185"/>
        <v>2.9447832428815577E-4</v>
      </c>
      <c r="G180" s="127">
        <f t="shared" si="185"/>
        <v>2.4943641629323677E-4</v>
      </c>
      <c r="H180" s="127">
        <f t="shared" si="185"/>
        <v>2.870673747319762E-4</v>
      </c>
      <c r="I180" s="127">
        <f t="shared" si="185"/>
        <v>2.7819215637394604E-4</v>
      </c>
      <c r="J180" s="127">
        <f t="shared" si="185"/>
        <v>2.9051865679960334E-4</v>
      </c>
      <c r="K180" s="127">
        <f t="shared" si="185"/>
        <v>2.6587409410133348E-4</v>
      </c>
      <c r="L180" s="127">
        <f t="shared" si="185"/>
        <v>2.9610569365165972E-4</v>
      </c>
      <c r="M180" s="127">
        <f t="shared" si="185"/>
        <v>2.4926489801393618E-4</v>
      </c>
      <c r="N180" s="127">
        <f t="shared" si="185"/>
        <v>2.5207351205875831E-4</v>
      </c>
      <c r="O180" s="127">
        <f t="shared" si="185"/>
        <v>2.2964696495089934E-4</v>
      </c>
      <c r="P180" s="127">
        <f t="shared" si="185"/>
        <v>2.4627374925162914E-4</v>
      </c>
      <c r="Q180" s="127">
        <f t="shared" si="185"/>
        <v>2.3722341059302603E-4</v>
      </c>
      <c r="R180" s="127">
        <f t="shared" si="185"/>
        <v>2.1767969548598301E-4</v>
      </c>
      <c r="S180" s="127">
        <f t="shared" si="185"/>
        <v>2.151025115911725E-4</v>
      </c>
      <c r="T180" s="127">
        <f t="shared" si="185"/>
        <v>2.0747372782256357E-4</v>
      </c>
      <c r="U180" s="127">
        <f t="shared" si="185"/>
        <v>1.9595121063971821E-4</v>
      </c>
      <c r="V180" s="127">
        <f t="shared" si="185"/>
        <v>7.2024206630330021E-5</v>
      </c>
      <c r="W180" s="127">
        <f t="shared" si="185"/>
        <v>6.03399915386945E-5</v>
      </c>
      <c r="X180" s="127">
        <f t="shared" ref="X180:Y180" si="186">IF(X88=0,0,X88/X$77)</f>
        <v>9.009091976323011E-5</v>
      </c>
      <c r="Y180" s="127">
        <f t="shared" si="186"/>
        <v>1.1233542952508255E-4</v>
      </c>
      <c r="DA180" s="178"/>
    </row>
    <row r="181" spans="1:105" ht="11.45" customHeight="1" x14ac:dyDescent="0.25">
      <c r="A181" s="27" t="s">
        <v>169</v>
      </c>
      <c r="B181" s="31">
        <f>IF(B89=0,0,B89/B$89)</f>
        <v>0</v>
      </c>
      <c r="C181" s="31">
        <f t="shared" ref="C181:W181" si="187">IF(C89=0,0,C89/C$89)</f>
        <v>0</v>
      </c>
      <c r="D181" s="31">
        <f t="shared" si="187"/>
        <v>0</v>
      </c>
      <c r="E181" s="31">
        <f t="shared" si="187"/>
        <v>0</v>
      </c>
      <c r="F181" s="31">
        <f t="shared" si="187"/>
        <v>0</v>
      </c>
      <c r="G181" s="31">
        <f t="shared" si="187"/>
        <v>0</v>
      </c>
      <c r="H181" s="31">
        <f t="shared" si="187"/>
        <v>0</v>
      </c>
      <c r="I181" s="31">
        <f t="shared" si="187"/>
        <v>0</v>
      </c>
      <c r="J181" s="31">
        <f t="shared" si="187"/>
        <v>0</v>
      </c>
      <c r="K181" s="31">
        <f t="shared" si="187"/>
        <v>0</v>
      </c>
      <c r="L181" s="31">
        <f t="shared" si="187"/>
        <v>0</v>
      </c>
      <c r="M181" s="31">
        <f t="shared" si="187"/>
        <v>0</v>
      </c>
      <c r="N181" s="31">
        <f t="shared" si="187"/>
        <v>0</v>
      </c>
      <c r="O181" s="31">
        <f t="shared" si="187"/>
        <v>0</v>
      </c>
      <c r="P181" s="31">
        <f t="shared" si="187"/>
        <v>0</v>
      </c>
      <c r="Q181" s="31">
        <f t="shared" si="187"/>
        <v>0</v>
      </c>
      <c r="R181" s="31">
        <f t="shared" si="187"/>
        <v>0</v>
      </c>
      <c r="S181" s="31">
        <f t="shared" si="187"/>
        <v>0</v>
      </c>
      <c r="T181" s="31">
        <f t="shared" si="187"/>
        <v>0</v>
      </c>
      <c r="U181" s="31">
        <f t="shared" si="187"/>
        <v>0</v>
      </c>
      <c r="V181" s="31">
        <f t="shared" si="187"/>
        <v>0</v>
      </c>
      <c r="W181" s="31">
        <f t="shared" si="187"/>
        <v>0</v>
      </c>
      <c r="X181" s="31">
        <f t="shared" ref="X181:Y181" si="188">IF(X89=0,0,X89/X$89)</f>
        <v>0</v>
      </c>
      <c r="Y181" s="31">
        <f t="shared" si="188"/>
        <v>0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189">IF(C90=0,0,C90/C$89)</f>
        <v>0</v>
      </c>
      <c r="D182" s="140">
        <f t="shared" si="189"/>
        <v>0</v>
      </c>
      <c r="E182" s="140">
        <f t="shared" si="189"/>
        <v>0</v>
      </c>
      <c r="F182" s="140">
        <f t="shared" si="189"/>
        <v>0</v>
      </c>
      <c r="G182" s="140">
        <f t="shared" si="189"/>
        <v>0</v>
      </c>
      <c r="H182" s="140">
        <f t="shared" si="189"/>
        <v>0</v>
      </c>
      <c r="I182" s="140">
        <f t="shared" si="189"/>
        <v>0</v>
      </c>
      <c r="J182" s="140">
        <f t="shared" si="189"/>
        <v>0</v>
      </c>
      <c r="K182" s="140">
        <f t="shared" si="189"/>
        <v>0</v>
      </c>
      <c r="L182" s="140">
        <f t="shared" si="189"/>
        <v>0</v>
      </c>
      <c r="M182" s="140">
        <f t="shared" si="189"/>
        <v>0</v>
      </c>
      <c r="N182" s="140">
        <f t="shared" si="189"/>
        <v>0</v>
      </c>
      <c r="O182" s="140">
        <f t="shared" si="189"/>
        <v>0</v>
      </c>
      <c r="P182" s="140">
        <f t="shared" si="189"/>
        <v>0</v>
      </c>
      <c r="Q182" s="140">
        <f t="shared" si="189"/>
        <v>0</v>
      </c>
      <c r="R182" s="140">
        <f t="shared" si="189"/>
        <v>0</v>
      </c>
      <c r="S182" s="140">
        <f t="shared" si="189"/>
        <v>0</v>
      </c>
      <c r="T182" s="140">
        <f t="shared" si="189"/>
        <v>0</v>
      </c>
      <c r="U182" s="140">
        <f t="shared" si="189"/>
        <v>0</v>
      </c>
      <c r="V182" s="140">
        <f t="shared" si="189"/>
        <v>0</v>
      </c>
      <c r="W182" s="140">
        <f t="shared" si="189"/>
        <v>0</v>
      </c>
      <c r="X182" s="140">
        <f t="shared" ref="X182:Y182" si="190">IF(X90=0,0,X90/X$89)</f>
        <v>0</v>
      </c>
      <c r="Y182" s="140">
        <f t="shared" si="190"/>
        <v>0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191">IF(C91=0,0,C91/C$89)</f>
        <v>0</v>
      </c>
      <c r="D183" s="127">
        <f t="shared" si="191"/>
        <v>0</v>
      </c>
      <c r="E183" s="127">
        <f t="shared" si="191"/>
        <v>0</v>
      </c>
      <c r="F183" s="127">
        <f t="shared" si="191"/>
        <v>0</v>
      </c>
      <c r="G183" s="127">
        <f t="shared" si="191"/>
        <v>0</v>
      </c>
      <c r="H183" s="127">
        <f t="shared" si="191"/>
        <v>0</v>
      </c>
      <c r="I183" s="127">
        <f t="shared" si="191"/>
        <v>0</v>
      </c>
      <c r="J183" s="127">
        <f t="shared" si="191"/>
        <v>0</v>
      </c>
      <c r="K183" s="127">
        <f t="shared" si="191"/>
        <v>0</v>
      </c>
      <c r="L183" s="127">
        <f t="shared" si="191"/>
        <v>0</v>
      </c>
      <c r="M183" s="127">
        <f t="shared" si="191"/>
        <v>0</v>
      </c>
      <c r="N183" s="127">
        <f t="shared" si="191"/>
        <v>0</v>
      </c>
      <c r="O183" s="127">
        <f t="shared" si="191"/>
        <v>0</v>
      </c>
      <c r="P183" s="127">
        <f t="shared" si="191"/>
        <v>0</v>
      </c>
      <c r="Q183" s="127">
        <f t="shared" si="191"/>
        <v>0</v>
      </c>
      <c r="R183" s="127">
        <f t="shared" si="191"/>
        <v>0</v>
      </c>
      <c r="S183" s="127">
        <f t="shared" si="191"/>
        <v>0</v>
      </c>
      <c r="T183" s="127">
        <f t="shared" si="191"/>
        <v>0</v>
      </c>
      <c r="U183" s="127">
        <f t="shared" si="191"/>
        <v>0</v>
      </c>
      <c r="V183" s="127">
        <f t="shared" si="191"/>
        <v>0</v>
      </c>
      <c r="W183" s="127">
        <f t="shared" si="191"/>
        <v>0</v>
      </c>
      <c r="X183" s="127">
        <f t="shared" ref="X183:Y183" si="192">IF(X91=0,0,X91/X$89)</f>
        <v>0</v>
      </c>
      <c r="Y183" s="127">
        <f t="shared" si="192"/>
        <v>0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131.81914363795042</v>
      </c>
      <c r="C186" s="32">
        <f t="shared" si="193"/>
        <v>130.15931114614199</v>
      </c>
      <c r="D186" s="32">
        <f t="shared" si="193"/>
        <v>130.9839618610664</v>
      </c>
      <c r="E186" s="32">
        <f t="shared" si="193"/>
        <v>135.60731226705525</v>
      </c>
      <c r="F186" s="32">
        <f t="shared" si="193"/>
        <v>135.70548882837934</v>
      </c>
      <c r="G186" s="32">
        <f t="shared" si="193"/>
        <v>127.56905744829267</v>
      </c>
      <c r="H186" s="32">
        <f t="shared" si="193"/>
        <v>119.43259364850955</v>
      </c>
      <c r="I186" s="32">
        <f t="shared" si="193"/>
        <v>120.70073998526698</v>
      </c>
      <c r="J186" s="32">
        <f t="shared" si="193"/>
        <v>120.2961786382843</v>
      </c>
      <c r="K186" s="32">
        <f t="shared" si="193"/>
        <v>121.79576761100078</v>
      </c>
      <c r="L186" s="32">
        <f t="shared" si="193"/>
        <v>121.53334950978081</v>
      </c>
      <c r="M186" s="32">
        <f t="shared" si="193"/>
        <v>124.22313650884185</v>
      </c>
      <c r="N186" s="32">
        <f t="shared" si="193"/>
        <v>120.55276548955722</v>
      </c>
      <c r="O186" s="32">
        <f t="shared" si="193"/>
        <v>110.44237126443345</v>
      </c>
      <c r="P186" s="32">
        <f t="shared" si="193"/>
        <v>106.81951430142581</v>
      </c>
      <c r="Q186" s="32">
        <f t="shared" si="193"/>
        <v>101.59034510186316</v>
      </c>
      <c r="R186" s="32">
        <f t="shared" si="193"/>
        <v>95.142485275569115</v>
      </c>
      <c r="S186" s="32">
        <f t="shared" si="193"/>
        <v>95.77818642317429</v>
      </c>
      <c r="T186" s="32">
        <f t="shared" si="193"/>
        <v>101.87501278455497</v>
      </c>
      <c r="U186" s="32">
        <f t="shared" si="193"/>
        <v>99.021297599802807</v>
      </c>
      <c r="V186" s="32">
        <f t="shared" si="193"/>
        <v>86.74820678496485</v>
      </c>
      <c r="W186" s="32">
        <f t="shared" si="193"/>
        <v>89.676316078489634</v>
      </c>
      <c r="X186" s="32">
        <f t="shared" si="193"/>
        <v>81.937374800302237</v>
      </c>
      <c r="Y186" s="32">
        <f t="shared" si="193"/>
        <v>74.329650913858046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146.14322719730117</v>
      </c>
      <c r="C187" s="141">
        <f t="shared" si="194"/>
        <v>144.2322510658644</v>
      </c>
      <c r="D187" s="141">
        <f t="shared" si="194"/>
        <v>144.04966496848587</v>
      </c>
      <c r="E187" s="141">
        <f t="shared" si="194"/>
        <v>149.94182795766929</v>
      </c>
      <c r="F187" s="141">
        <f t="shared" si="194"/>
        <v>149.99810365020315</v>
      </c>
      <c r="G187" s="141">
        <f t="shared" si="194"/>
        <v>140.28071463686527</v>
      </c>
      <c r="H187" s="141">
        <f t="shared" si="194"/>
        <v>130.81735636869647</v>
      </c>
      <c r="I187" s="141">
        <f t="shared" si="194"/>
        <v>130.41063482063453</v>
      </c>
      <c r="J187" s="141">
        <f t="shared" si="194"/>
        <v>130.00756805640185</v>
      </c>
      <c r="K187" s="141">
        <f t="shared" si="194"/>
        <v>127.6217123655566</v>
      </c>
      <c r="L187" s="141">
        <f t="shared" si="194"/>
        <v>127.62294275412961</v>
      </c>
      <c r="M187" s="141">
        <f t="shared" si="194"/>
        <v>134.10226001455194</v>
      </c>
      <c r="N187" s="141">
        <f t="shared" si="194"/>
        <v>130.7791741335781</v>
      </c>
      <c r="O187" s="141">
        <f t="shared" si="194"/>
        <v>121.1161380845066</v>
      </c>
      <c r="P187" s="141">
        <f t="shared" si="194"/>
        <v>115.55666011222561</v>
      </c>
      <c r="Q187" s="141">
        <f t="shared" si="194"/>
        <v>108.65696974322019</v>
      </c>
      <c r="R187" s="141">
        <f t="shared" si="194"/>
        <v>103.06636754824125</v>
      </c>
      <c r="S187" s="141">
        <f t="shared" si="194"/>
        <v>100.97154611152118</v>
      </c>
      <c r="T187" s="141">
        <f t="shared" si="194"/>
        <v>103.04272861436294</v>
      </c>
      <c r="U187" s="141">
        <f t="shared" si="194"/>
        <v>99.27779612235642</v>
      </c>
      <c r="V187" s="141">
        <f t="shared" si="194"/>
        <v>88.748578459515699</v>
      </c>
      <c r="W187" s="141">
        <f t="shared" si="194"/>
        <v>92.157627063333877</v>
      </c>
      <c r="X187" s="141">
        <f t="shared" si="194"/>
        <v>87.496138285291138</v>
      </c>
      <c r="Y187" s="141">
        <f t="shared" si="194"/>
        <v>86.184935351624489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43.945260837309625</v>
      </c>
      <c r="C188" s="97">
        <f t="shared" si="195"/>
        <v>42.838679383230648</v>
      </c>
      <c r="D188" s="97">
        <f t="shared" si="195"/>
        <v>41.755728943618642</v>
      </c>
      <c r="E188" s="97">
        <f t="shared" si="195"/>
        <v>41.279112172290333</v>
      </c>
      <c r="F188" s="97">
        <f t="shared" si="195"/>
        <v>40.727628046438973</v>
      </c>
      <c r="G188" s="97">
        <f t="shared" si="195"/>
        <v>39.683601156511116</v>
      </c>
      <c r="H188" s="97">
        <f t="shared" si="195"/>
        <v>39.155201043755994</v>
      </c>
      <c r="I188" s="97">
        <f t="shared" si="195"/>
        <v>37.757474865961981</v>
      </c>
      <c r="J188" s="97">
        <f t="shared" si="195"/>
        <v>37.632211275104559</v>
      </c>
      <c r="K188" s="97">
        <f t="shared" si="195"/>
        <v>37.218199021961496</v>
      </c>
      <c r="L188" s="97">
        <f t="shared" si="195"/>
        <v>36.774939252465195</v>
      </c>
      <c r="M188" s="97">
        <f t="shared" si="195"/>
        <v>36.404848914513359</v>
      </c>
      <c r="N188" s="97">
        <f t="shared" si="195"/>
        <v>36.200909320510235</v>
      </c>
      <c r="O188" s="97">
        <f t="shared" si="195"/>
        <v>35.675163822205533</v>
      </c>
      <c r="P188" s="97">
        <f t="shared" si="195"/>
        <v>35.096544143892345</v>
      </c>
      <c r="Q188" s="97">
        <f t="shared" si="195"/>
        <v>34.615181161911558</v>
      </c>
      <c r="R188" s="97">
        <f t="shared" si="195"/>
        <v>34.15349365676186</v>
      </c>
      <c r="S188" s="97">
        <f t="shared" si="195"/>
        <v>34.734516417281803</v>
      </c>
      <c r="T188" s="97">
        <f t="shared" si="195"/>
        <v>34.836587827302083</v>
      </c>
      <c r="U188" s="97">
        <f t="shared" si="195"/>
        <v>34.30293293667664</v>
      </c>
      <c r="V188" s="97">
        <f t="shared" si="195"/>
        <v>33.992511335017312</v>
      </c>
      <c r="W188" s="97">
        <f t="shared" si="195"/>
        <v>33.802674162075604</v>
      </c>
      <c r="X188" s="97">
        <f t="shared" si="195"/>
        <v>33.473356806353394</v>
      </c>
      <c r="Y188" s="97">
        <f t="shared" si="195"/>
        <v>33.081281022841871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158.62128068443482</v>
      </c>
      <c r="C189" s="97">
        <f t="shared" si="196"/>
        <v>156.95892556862125</v>
      </c>
      <c r="D189" s="97">
        <f t="shared" si="196"/>
        <v>157.81401912091371</v>
      </c>
      <c r="E189" s="97">
        <f t="shared" si="196"/>
        <v>164.71424293406324</v>
      </c>
      <c r="F189" s="97">
        <f t="shared" si="196"/>
        <v>165.32734305973366</v>
      </c>
      <c r="G189" s="97">
        <f t="shared" si="196"/>
        <v>154.47026708058962</v>
      </c>
      <c r="H189" s="97">
        <f t="shared" si="196"/>
        <v>143.77942375951787</v>
      </c>
      <c r="I189" s="97">
        <f t="shared" si="196"/>
        <v>143.83811616571708</v>
      </c>
      <c r="J189" s="97">
        <f t="shared" si="196"/>
        <v>144.01976567778834</v>
      </c>
      <c r="K189" s="97">
        <f t="shared" si="196"/>
        <v>141.138356133347</v>
      </c>
      <c r="L189" s="97">
        <f t="shared" si="196"/>
        <v>142.15280044861532</v>
      </c>
      <c r="M189" s="97">
        <f t="shared" si="196"/>
        <v>150.2731762015965</v>
      </c>
      <c r="N189" s="97">
        <f t="shared" si="196"/>
        <v>146.46864541324328</v>
      </c>
      <c r="O189" s="97">
        <f t="shared" si="196"/>
        <v>135.41649558167421</v>
      </c>
      <c r="P189" s="97">
        <f t="shared" si="196"/>
        <v>128.67962063117176</v>
      </c>
      <c r="Q189" s="97">
        <f t="shared" si="196"/>
        <v>121.11083888647147</v>
      </c>
      <c r="R189" s="97">
        <f t="shared" si="196"/>
        <v>114.49754252713366</v>
      </c>
      <c r="S189" s="97">
        <f t="shared" si="196"/>
        <v>112.14023304004162</v>
      </c>
      <c r="T189" s="97">
        <f t="shared" si="196"/>
        <v>114.53243213086753</v>
      </c>
      <c r="U189" s="97">
        <f t="shared" si="196"/>
        <v>110.50228346374902</v>
      </c>
      <c r="V189" s="97">
        <f t="shared" si="196"/>
        <v>94.714707362839292</v>
      </c>
      <c r="W189" s="97">
        <f t="shared" si="196"/>
        <v>99.018257597686812</v>
      </c>
      <c r="X189" s="97">
        <f t="shared" si="196"/>
        <v>97.342516199288184</v>
      </c>
      <c r="Y189" s="97">
        <f t="shared" si="196"/>
        <v>97.041053412708521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39.311598209557545</v>
      </c>
      <c r="C190" s="97">
        <f t="shared" si="197"/>
        <v>38.113449130831576</v>
      </c>
      <c r="D190" s="97">
        <f t="shared" si="197"/>
        <v>36.954623342337726</v>
      </c>
      <c r="E190" s="97">
        <f t="shared" si="197"/>
        <v>36.211752701783269</v>
      </c>
      <c r="F190" s="97">
        <f t="shared" si="197"/>
        <v>34.824100883635666</v>
      </c>
      <c r="G190" s="97">
        <f t="shared" si="197"/>
        <v>34.303120767788627</v>
      </c>
      <c r="H190" s="97">
        <f t="shared" si="197"/>
        <v>33.303335207891749</v>
      </c>
      <c r="I190" s="97">
        <f t="shared" si="197"/>
        <v>32.604382464714824</v>
      </c>
      <c r="J190" s="97">
        <f t="shared" si="197"/>
        <v>31.839570435263269</v>
      </c>
      <c r="K190" s="97">
        <f t="shared" si="197"/>
        <v>32.749502690233349</v>
      </c>
      <c r="L190" s="97">
        <f t="shared" si="197"/>
        <v>32.272434151937482</v>
      </c>
      <c r="M190" s="97">
        <f t="shared" si="197"/>
        <v>31.569630788564453</v>
      </c>
      <c r="N190" s="97">
        <f t="shared" si="197"/>
        <v>31.051045840323969</v>
      </c>
      <c r="O190" s="97">
        <f t="shared" si="197"/>
        <v>30.610952261327153</v>
      </c>
      <c r="P190" s="97">
        <f t="shared" si="197"/>
        <v>30.173907617889576</v>
      </c>
      <c r="Q190" s="97">
        <f t="shared" si="197"/>
        <v>29.636671767184303</v>
      </c>
      <c r="R190" s="97">
        <f t="shared" si="197"/>
        <v>29.814720102663287</v>
      </c>
      <c r="S190" s="97">
        <f t="shared" si="197"/>
        <v>29.903485701705922</v>
      </c>
      <c r="T190" s="97">
        <f t="shared" si="197"/>
        <v>29.733483446075535</v>
      </c>
      <c r="U190" s="97">
        <f t="shared" si="197"/>
        <v>29.089034224928852</v>
      </c>
      <c r="V190" s="97">
        <f t="shared" si="197"/>
        <v>41.826899761065398</v>
      </c>
      <c r="W190" s="97">
        <f t="shared" si="197"/>
        <v>38.225949457763122</v>
      </c>
      <c r="X190" s="97">
        <f t="shared" si="197"/>
        <v>26.46475645342041</v>
      </c>
      <c r="Y190" s="97">
        <f t="shared" si="197"/>
        <v>22.767989009965483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25.560205994544944</v>
      </c>
      <c r="C191" s="130">
        <f t="shared" si="198"/>
        <v>28.220596914468381</v>
      </c>
      <c r="D191" s="130">
        <f t="shared" si="198"/>
        <v>35.550044457541027</v>
      </c>
      <c r="E191" s="130">
        <f t="shared" si="198"/>
        <v>30.20242342981323</v>
      </c>
      <c r="F191" s="130">
        <f t="shared" si="198"/>
        <v>28.483463603350163</v>
      </c>
      <c r="G191" s="130">
        <f t="shared" si="198"/>
        <v>31.704989797450899</v>
      </c>
      <c r="H191" s="130">
        <f t="shared" si="198"/>
        <v>30.733717839439041</v>
      </c>
      <c r="I191" s="130">
        <f t="shared" si="198"/>
        <v>31.504868680707787</v>
      </c>
      <c r="J191" s="130">
        <f t="shared" si="198"/>
        <v>34.215174618732135</v>
      </c>
      <c r="K191" s="130">
        <f t="shared" si="198"/>
        <v>34.765295573677101</v>
      </c>
      <c r="L191" s="130">
        <f t="shared" si="198"/>
        <v>35.972020034986848</v>
      </c>
      <c r="M191" s="130">
        <f t="shared" si="198"/>
        <v>38.067299981433038</v>
      </c>
      <c r="N191" s="130">
        <f t="shared" si="198"/>
        <v>36.267911695146495</v>
      </c>
      <c r="O191" s="130">
        <f t="shared" si="198"/>
        <v>35.415366776640262</v>
      </c>
      <c r="P191" s="130">
        <f t="shared" si="198"/>
        <v>37.227459616389766</v>
      </c>
      <c r="Q191" s="130">
        <f t="shared" si="198"/>
        <v>32.58569772228546</v>
      </c>
      <c r="R191" s="130">
        <f t="shared" si="198"/>
        <v>32.877848563919649</v>
      </c>
      <c r="S191" s="130">
        <f t="shared" si="198"/>
        <v>31.387219701789718</v>
      </c>
      <c r="T191" s="130">
        <f t="shared" si="198"/>
        <v>32.219274863275913</v>
      </c>
      <c r="U191" s="130">
        <f t="shared" si="198"/>
        <v>30.119280670630609</v>
      </c>
      <c r="V191" s="130">
        <f t="shared" si="198"/>
        <v>45.092898323025715</v>
      </c>
      <c r="W191" s="130">
        <f t="shared" si="198"/>
        <v>42.469311593049667</v>
      </c>
      <c r="X191" s="130">
        <f t="shared" si="198"/>
        <v>28.987600111802042</v>
      </c>
      <c r="Y191" s="130">
        <f t="shared" si="198"/>
        <v>23.34568863275269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0</v>
      </c>
      <c r="C192" s="97">
        <f t="shared" si="199"/>
        <v>0</v>
      </c>
      <c r="D192" s="97">
        <f t="shared" si="199"/>
        <v>0</v>
      </c>
      <c r="E192" s="97">
        <f t="shared" si="199"/>
        <v>0</v>
      </c>
      <c r="F192" s="97">
        <f t="shared" si="199"/>
        <v>0</v>
      </c>
      <c r="G192" s="97">
        <f t="shared" si="199"/>
        <v>0</v>
      </c>
      <c r="H192" s="97">
        <f t="shared" si="199"/>
        <v>0</v>
      </c>
      <c r="I192" s="97">
        <f t="shared" si="199"/>
        <v>0</v>
      </c>
      <c r="J192" s="97">
        <f t="shared" si="199"/>
        <v>0</v>
      </c>
      <c r="K192" s="97">
        <f t="shared" si="199"/>
        <v>0</v>
      </c>
      <c r="L192" s="97">
        <f t="shared" si="199"/>
        <v>0</v>
      </c>
      <c r="M192" s="97">
        <f t="shared" si="199"/>
        <v>0</v>
      </c>
      <c r="N192" s="97">
        <f t="shared" si="199"/>
        <v>0</v>
      </c>
      <c r="O192" s="97">
        <f t="shared" si="199"/>
        <v>0</v>
      </c>
      <c r="P192" s="97">
        <f t="shared" si="199"/>
        <v>0</v>
      </c>
      <c r="Q192" s="97">
        <f t="shared" si="199"/>
        <v>0</v>
      </c>
      <c r="R192" s="97">
        <f t="shared" si="199"/>
        <v>0</v>
      </c>
      <c r="S192" s="97">
        <f t="shared" si="199"/>
        <v>0</v>
      </c>
      <c r="T192" s="97">
        <f t="shared" si="199"/>
        <v>8.5146547816086802</v>
      </c>
      <c r="U192" s="97">
        <f t="shared" si="199"/>
        <v>8.4037484434538197</v>
      </c>
      <c r="V192" s="97">
        <f t="shared" si="199"/>
        <v>8.398466633247649</v>
      </c>
      <c r="W192" s="97">
        <f t="shared" si="199"/>
        <v>7.797760367889615</v>
      </c>
      <c r="X192" s="97">
        <f t="shared" si="199"/>
        <v>5.8837569976052455</v>
      </c>
      <c r="Y192" s="97">
        <f t="shared" si="199"/>
        <v>4.6569157496170019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25.560205994544944</v>
      </c>
      <c r="C193" s="97">
        <f t="shared" si="200"/>
        <v>28.220596914468381</v>
      </c>
      <c r="D193" s="97">
        <f t="shared" si="200"/>
        <v>35.550044457541027</v>
      </c>
      <c r="E193" s="97">
        <f t="shared" si="200"/>
        <v>30.20242342981323</v>
      </c>
      <c r="F193" s="97">
        <f t="shared" si="200"/>
        <v>28.483463603350163</v>
      </c>
      <c r="G193" s="97">
        <f t="shared" si="200"/>
        <v>31.704989797450899</v>
      </c>
      <c r="H193" s="97">
        <f t="shared" si="200"/>
        <v>30.733717839439041</v>
      </c>
      <c r="I193" s="97">
        <f t="shared" si="200"/>
        <v>31.504868680707787</v>
      </c>
      <c r="J193" s="97">
        <f t="shared" si="200"/>
        <v>34.215174618732135</v>
      </c>
      <c r="K193" s="97">
        <f t="shared" si="200"/>
        <v>34.765295573677101</v>
      </c>
      <c r="L193" s="97">
        <f t="shared" si="200"/>
        <v>35.972020034986848</v>
      </c>
      <c r="M193" s="97">
        <f t="shared" si="200"/>
        <v>38.067299981433038</v>
      </c>
      <c r="N193" s="97">
        <f t="shared" si="200"/>
        <v>36.267911695146495</v>
      </c>
      <c r="O193" s="97">
        <f t="shared" si="200"/>
        <v>35.415366776640262</v>
      </c>
      <c r="P193" s="97">
        <f t="shared" si="200"/>
        <v>37.227459616389766</v>
      </c>
      <c r="Q193" s="97">
        <f t="shared" si="200"/>
        <v>32.58569772228546</v>
      </c>
      <c r="R193" s="97">
        <f t="shared" si="200"/>
        <v>32.877848563919649</v>
      </c>
      <c r="S193" s="97">
        <f t="shared" si="200"/>
        <v>31.387219701789718</v>
      </c>
      <c r="T193" s="97">
        <f t="shared" si="200"/>
        <v>33.262706221272552</v>
      </c>
      <c r="U193" s="97">
        <f t="shared" si="200"/>
        <v>31.582616751598028</v>
      </c>
      <c r="V193" s="97">
        <f t="shared" si="200"/>
        <v>49.437589070042662</v>
      </c>
      <c r="W193" s="97">
        <f t="shared" si="200"/>
        <v>47.567398237012341</v>
      </c>
      <c r="X193" s="97">
        <f t="shared" si="200"/>
        <v>34.840771677108201</v>
      </c>
      <c r="Y193" s="97">
        <f t="shared" si="200"/>
        <v>27.398006713353404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59.989235136617481</v>
      </c>
      <c r="C195" s="130">
        <f t="shared" si="202"/>
        <v>62.514447093205568</v>
      </c>
      <c r="D195" s="130">
        <f t="shared" si="202"/>
        <v>62.945290474634959</v>
      </c>
      <c r="E195" s="130">
        <f t="shared" si="202"/>
        <v>61.023175336899378</v>
      </c>
      <c r="F195" s="130">
        <f t="shared" si="202"/>
        <v>64.513929214728236</v>
      </c>
      <c r="G195" s="130">
        <f t="shared" si="202"/>
        <v>62.204596893256884</v>
      </c>
      <c r="H195" s="130">
        <f t="shared" si="202"/>
        <v>60.3544320351278</v>
      </c>
      <c r="I195" s="130">
        <f t="shared" si="202"/>
        <v>75.694684489241382</v>
      </c>
      <c r="J195" s="130">
        <f t="shared" si="202"/>
        <v>77.178557511210798</v>
      </c>
      <c r="K195" s="130">
        <f t="shared" si="202"/>
        <v>105.80725077792775</v>
      </c>
      <c r="L195" s="130">
        <f t="shared" si="202"/>
        <v>106.53709270105456</v>
      </c>
      <c r="M195" s="130">
        <f t="shared" si="202"/>
        <v>81.903403719420538</v>
      </c>
      <c r="N195" s="130">
        <f t="shared" si="202"/>
        <v>74.117123969018166</v>
      </c>
      <c r="O195" s="130">
        <f t="shared" si="202"/>
        <v>63.715537595257651</v>
      </c>
      <c r="P195" s="130">
        <f t="shared" si="202"/>
        <v>73.687134898908965</v>
      </c>
      <c r="Q195" s="130">
        <f t="shared" si="202"/>
        <v>81.231775319783054</v>
      </c>
      <c r="R195" s="130">
        <f t="shared" si="202"/>
        <v>68.868437854804156</v>
      </c>
      <c r="S195" s="130">
        <f t="shared" si="202"/>
        <v>86.973969342586699</v>
      </c>
      <c r="T195" s="130">
        <f t="shared" si="202"/>
        <v>111.01133896650421</v>
      </c>
      <c r="U195" s="130">
        <f t="shared" si="202"/>
        <v>111.04589812536361</v>
      </c>
      <c r="V195" s="130">
        <f t="shared" si="202"/>
        <v>83.23630243212331</v>
      </c>
      <c r="W195" s="130">
        <f t="shared" si="202"/>
        <v>86.787203168602005</v>
      </c>
      <c r="X195" s="130">
        <f t="shared" si="202"/>
        <v>72.720511726959316</v>
      </c>
      <c r="Y195" s="130">
        <f t="shared" si="202"/>
        <v>47.061748865866178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55.25568743659835</v>
      </c>
      <c r="C197" s="97">
        <f t="shared" si="204"/>
        <v>57.689612640947338</v>
      </c>
      <c r="D197" s="97">
        <f t="shared" si="204"/>
        <v>58.229508474087879</v>
      </c>
      <c r="E197" s="97">
        <f t="shared" si="204"/>
        <v>56.692175811811822</v>
      </c>
      <c r="F197" s="97">
        <f t="shared" si="204"/>
        <v>60.219774174231318</v>
      </c>
      <c r="G197" s="97">
        <f t="shared" si="204"/>
        <v>59.592761555046437</v>
      </c>
      <c r="H197" s="97">
        <f t="shared" si="204"/>
        <v>59.136517611645985</v>
      </c>
      <c r="I197" s="97">
        <f t="shared" si="204"/>
        <v>80.798436197345495</v>
      </c>
      <c r="J197" s="97">
        <f t="shared" si="204"/>
        <v>88.952827485808186</v>
      </c>
      <c r="K197" s="97">
        <f t="shared" si="204"/>
        <v>131.59006079617427</v>
      </c>
      <c r="L197" s="97">
        <f t="shared" si="204"/>
        <v>138.56744254325767</v>
      </c>
      <c r="M197" s="97">
        <f t="shared" si="204"/>
        <v>89.40443030185196</v>
      </c>
      <c r="N197" s="97">
        <f t="shared" si="204"/>
        <v>77.610680445865952</v>
      </c>
      <c r="O197" s="97">
        <f t="shared" si="204"/>
        <v>64.865089522342458</v>
      </c>
      <c r="P197" s="97">
        <f t="shared" si="204"/>
        <v>77.794905244527627</v>
      </c>
      <c r="Q197" s="97">
        <f t="shared" si="204"/>
        <v>83.608972837254527</v>
      </c>
      <c r="R197" s="97">
        <f t="shared" si="204"/>
        <v>65.076240597530386</v>
      </c>
      <c r="S197" s="97">
        <f t="shared" si="204"/>
        <v>83.615348971242824</v>
      </c>
      <c r="T197" s="97">
        <f t="shared" si="204"/>
        <v>110.7344373173099</v>
      </c>
      <c r="U197" s="97">
        <f t="shared" si="204"/>
        <v>113.39397087842804</v>
      </c>
      <c r="V197" s="97">
        <f t="shared" si="204"/>
        <v>77.093081634801834</v>
      </c>
      <c r="W197" s="97">
        <f t="shared" si="204"/>
        <v>90.349989011705361</v>
      </c>
      <c r="X197" s="97">
        <f t="shared" si="204"/>
        <v>76.151381419182684</v>
      </c>
      <c r="Y197" s="97">
        <f t="shared" si="204"/>
        <v>45.447260338551409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85.365767753309939</v>
      </c>
      <c r="C198" s="97">
        <f t="shared" si="205"/>
        <v>88.060569367747505</v>
      </c>
      <c r="D198" s="97">
        <f t="shared" si="205"/>
        <v>87.579402700564401</v>
      </c>
      <c r="E198" s="97">
        <f t="shared" si="205"/>
        <v>83.105163660183692</v>
      </c>
      <c r="F198" s="97">
        <f t="shared" si="205"/>
        <v>85.801490139357824</v>
      </c>
      <c r="G198" s="97">
        <f t="shared" si="205"/>
        <v>73.603891395195078</v>
      </c>
      <c r="H198" s="97">
        <f t="shared" si="205"/>
        <v>65.143692192109782</v>
      </c>
      <c r="I198" s="97">
        <f t="shared" si="205"/>
        <v>61.479005585089631</v>
      </c>
      <c r="J198" s="97">
        <f t="shared" si="205"/>
        <v>53.11365505024883</v>
      </c>
      <c r="K198" s="97">
        <f t="shared" si="205"/>
        <v>64.691995849723355</v>
      </c>
      <c r="L198" s="97">
        <f t="shared" si="205"/>
        <v>60.132899889106241</v>
      </c>
      <c r="M198" s="97">
        <f t="shared" si="205"/>
        <v>64.143057088647396</v>
      </c>
      <c r="N198" s="97">
        <f t="shared" si="205"/>
        <v>64.412714514281234</v>
      </c>
      <c r="O198" s="97">
        <f t="shared" si="205"/>
        <v>60.104875408123952</v>
      </c>
      <c r="P198" s="97">
        <f t="shared" si="205"/>
        <v>62.507784080181914</v>
      </c>
      <c r="Q198" s="97">
        <f t="shared" si="205"/>
        <v>74.046681167956706</v>
      </c>
      <c r="R198" s="97">
        <f t="shared" si="205"/>
        <v>87.411162945618344</v>
      </c>
      <c r="S198" s="97">
        <f t="shared" si="205"/>
        <v>102.85488734302315</v>
      </c>
      <c r="T198" s="97">
        <f t="shared" si="205"/>
        <v>112.0665533825667</v>
      </c>
      <c r="U198" s="97">
        <f t="shared" si="205"/>
        <v>103.25306370518413</v>
      </c>
      <c r="V198" s="97">
        <f t="shared" si="205"/>
        <v>106.74466335834867</v>
      </c>
      <c r="W198" s="97">
        <f t="shared" si="205"/>
        <v>77.134867597620897</v>
      </c>
      <c r="X198" s="97">
        <f t="shared" si="205"/>
        <v>61.77348379192226</v>
      </c>
      <c r="Y198" s="97">
        <f t="shared" si="205"/>
        <v>54.262912514039719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222.82584752393853</v>
      </c>
      <c r="C199" s="32">
        <f t="shared" si="206"/>
        <v>228.24340452229069</v>
      </c>
      <c r="D199" s="32">
        <f t="shared" si="206"/>
        <v>235.40453443867955</v>
      </c>
      <c r="E199" s="32">
        <f t="shared" si="206"/>
        <v>270.25576871542347</v>
      </c>
      <c r="F199" s="32">
        <f t="shared" si="206"/>
        <v>322.20331956957966</v>
      </c>
      <c r="G199" s="32">
        <f t="shared" si="206"/>
        <v>373.44870031304208</v>
      </c>
      <c r="H199" s="32">
        <f t="shared" si="206"/>
        <v>345.73977165911856</v>
      </c>
      <c r="I199" s="32">
        <f t="shared" si="206"/>
        <v>298.83877796270065</v>
      </c>
      <c r="J199" s="32">
        <f t="shared" si="206"/>
        <v>290.70612931010027</v>
      </c>
      <c r="K199" s="32">
        <f t="shared" si="206"/>
        <v>289.77263188994073</v>
      </c>
      <c r="L199" s="32">
        <f t="shared" si="206"/>
        <v>291.60076456432859</v>
      </c>
      <c r="M199" s="32">
        <f t="shared" si="206"/>
        <v>303.46693956273879</v>
      </c>
      <c r="N199" s="32">
        <f t="shared" si="206"/>
        <v>272.23082841117309</v>
      </c>
      <c r="O199" s="32">
        <f t="shared" si="206"/>
        <v>279.65301261955955</v>
      </c>
      <c r="P199" s="32">
        <f t="shared" si="206"/>
        <v>237.93207326458807</v>
      </c>
      <c r="Q199" s="32">
        <f t="shared" si="206"/>
        <v>231.16090366234064</v>
      </c>
      <c r="R199" s="32">
        <f t="shared" si="206"/>
        <v>222.32007142585095</v>
      </c>
      <c r="S199" s="32">
        <f t="shared" si="206"/>
        <v>220.33495193119896</v>
      </c>
      <c r="T199" s="32">
        <f t="shared" si="206"/>
        <v>245.55643796107151</v>
      </c>
      <c r="U199" s="32">
        <f t="shared" si="206"/>
        <v>246.95594377242921</v>
      </c>
      <c r="V199" s="32">
        <f t="shared" si="206"/>
        <v>244.08312199884654</v>
      </c>
      <c r="W199" s="32">
        <f t="shared" si="206"/>
        <v>211.62062576166639</v>
      </c>
      <c r="X199" s="32">
        <f t="shared" si="206"/>
        <v>176.58269053087889</v>
      </c>
      <c r="Y199" s="32">
        <f t="shared" si="206"/>
        <v>194.31475470840218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448.26406062623442</v>
      </c>
      <c r="C200" s="141">
        <f t="shared" si="207"/>
        <v>440.9860065668301</v>
      </c>
      <c r="D200" s="141">
        <f t="shared" si="207"/>
        <v>425.53044674956129</v>
      </c>
      <c r="E200" s="141">
        <f t="shared" si="207"/>
        <v>492.49967811853281</v>
      </c>
      <c r="F200" s="141">
        <f t="shared" si="207"/>
        <v>597.19359538879814</v>
      </c>
      <c r="G200" s="141">
        <f t="shared" si="207"/>
        <v>676.65066958727357</v>
      </c>
      <c r="H200" s="141">
        <f t="shared" si="207"/>
        <v>637.632769699866</v>
      </c>
      <c r="I200" s="141">
        <f t="shared" si="207"/>
        <v>574.4839641308447</v>
      </c>
      <c r="J200" s="141">
        <f t="shared" si="207"/>
        <v>533.02063975040949</v>
      </c>
      <c r="K200" s="141">
        <f t="shared" si="207"/>
        <v>514.63069366777586</v>
      </c>
      <c r="L200" s="141">
        <f t="shared" si="207"/>
        <v>541.12997380786021</v>
      </c>
      <c r="M200" s="141">
        <f t="shared" si="207"/>
        <v>555.03386488384206</v>
      </c>
      <c r="N200" s="141">
        <f t="shared" si="207"/>
        <v>409.22140959933284</v>
      </c>
      <c r="O200" s="141">
        <f t="shared" si="207"/>
        <v>458.0121704964975</v>
      </c>
      <c r="P200" s="141">
        <f t="shared" si="207"/>
        <v>366.79556093282832</v>
      </c>
      <c r="Q200" s="141">
        <f t="shared" si="207"/>
        <v>386.42627952171193</v>
      </c>
      <c r="R200" s="141">
        <f t="shared" si="207"/>
        <v>350.53750193233276</v>
      </c>
      <c r="S200" s="141">
        <f t="shared" si="207"/>
        <v>363.99031295062287</v>
      </c>
      <c r="T200" s="141">
        <f t="shared" si="207"/>
        <v>462.56093982869987</v>
      </c>
      <c r="U200" s="141">
        <f t="shared" si="207"/>
        <v>477.24053642272958</v>
      </c>
      <c r="V200" s="141">
        <f t="shared" si="207"/>
        <v>417.87141827825792</v>
      </c>
      <c r="W200" s="141">
        <f t="shared" si="207"/>
        <v>386.95969986543633</v>
      </c>
      <c r="X200" s="141">
        <f t="shared" si="207"/>
        <v>296.01407813897953</v>
      </c>
      <c r="Y200" s="141">
        <f t="shared" si="207"/>
        <v>298.24719874725997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470.56384558939004</v>
      </c>
      <c r="C201" s="97">
        <f t="shared" si="208"/>
        <v>449.35996177538311</v>
      </c>
      <c r="D201" s="97">
        <f t="shared" si="208"/>
        <v>435.17170636613292</v>
      </c>
      <c r="E201" s="97">
        <f t="shared" si="208"/>
        <v>424.41916254989644</v>
      </c>
      <c r="F201" s="97">
        <f t="shared" si="208"/>
        <v>413.27180021741219</v>
      </c>
      <c r="G201" s="97">
        <f t="shared" si="208"/>
        <v>404.41482735968287</v>
      </c>
      <c r="H201" s="97">
        <f t="shared" si="208"/>
        <v>397.1786415890117</v>
      </c>
      <c r="I201" s="97">
        <f t="shared" si="208"/>
        <v>392.0009203997231</v>
      </c>
      <c r="J201" s="97">
        <f t="shared" si="208"/>
        <v>385.2964876506357</v>
      </c>
      <c r="K201" s="97">
        <f t="shared" si="208"/>
        <v>381.71988522987419</v>
      </c>
      <c r="L201" s="97">
        <f t="shared" si="208"/>
        <v>381.2360788370396</v>
      </c>
      <c r="M201" s="97">
        <f t="shared" si="208"/>
        <v>382.05125906795683</v>
      </c>
      <c r="N201" s="97">
        <f t="shared" si="208"/>
        <v>375.49969352277066</v>
      </c>
      <c r="O201" s="97">
        <f t="shared" si="208"/>
        <v>368.94339572698175</v>
      </c>
      <c r="P201" s="97">
        <f t="shared" si="208"/>
        <v>366.78722430730903</v>
      </c>
      <c r="Q201" s="97">
        <f t="shared" si="208"/>
        <v>361.91686685628946</v>
      </c>
      <c r="R201" s="97">
        <f t="shared" si="208"/>
        <v>356.8840931229683</v>
      </c>
      <c r="S201" s="97">
        <f t="shared" si="208"/>
        <v>347.77541048252749</v>
      </c>
      <c r="T201" s="97">
        <f t="shared" si="208"/>
        <v>341.84317998287486</v>
      </c>
      <c r="U201" s="97">
        <f t="shared" si="208"/>
        <v>336.01965162026426</v>
      </c>
      <c r="V201" s="97">
        <f t="shared" si="208"/>
        <v>333.03067171388642</v>
      </c>
      <c r="W201" s="97">
        <f t="shared" si="208"/>
        <v>330.31799391655818</v>
      </c>
      <c r="X201" s="97">
        <f t="shared" si="208"/>
        <v>319.52792786037924</v>
      </c>
      <c r="Y201" s="97">
        <f t="shared" si="208"/>
        <v>314.70610559697371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447.1603203900529</v>
      </c>
      <c r="C202" s="97">
        <f t="shared" si="209"/>
        <v>440.57953847860045</v>
      </c>
      <c r="D202" s="97">
        <f t="shared" si="209"/>
        <v>425.07356315385431</v>
      </c>
      <c r="E202" s="97">
        <f t="shared" si="209"/>
        <v>495.87038994077295</v>
      </c>
      <c r="F202" s="97">
        <f t="shared" si="209"/>
        <v>605.90768107842655</v>
      </c>
      <c r="G202" s="97">
        <f t="shared" si="209"/>
        <v>690.33497167536984</v>
      </c>
      <c r="H202" s="97">
        <f t="shared" si="209"/>
        <v>650.28076908830622</v>
      </c>
      <c r="I202" s="97">
        <f t="shared" si="209"/>
        <v>584.3456419812843</v>
      </c>
      <c r="J202" s="97">
        <f t="shared" si="209"/>
        <v>540.83382711514992</v>
      </c>
      <c r="K202" s="97">
        <f t="shared" si="209"/>
        <v>522.53101781732209</v>
      </c>
      <c r="L202" s="97">
        <f t="shared" si="209"/>
        <v>550.37136053490065</v>
      </c>
      <c r="M202" s="97">
        <f t="shared" si="209"/>
        <v>565.33070629032932</v>
      </c>
      <c r="N202" s="97">
        <f t="shared" si="209"/>
        <v>410.87045842351154</v>
      </c>
      <c r="O202" s="97">
        <f t="shared" si="209"/>
        <v>463.01315533785015</v>
      </c>
      <c r="P202" s="97">
        <f t="shared" si="209"/>
        <v>366.79597812432348</v>
      </c>
      <c r="Q202" s="97">
        <f t="shared" si="209"/>
        <v>387.92589074974279</v>
      </c>
      <c r="R202" s="97">
        <f t="shared" si="209"/>
        <v>350.15515670483671</v>
      </c>
      <c r="S202" s="97">
        <f t="shared" si="209"/>
        <v>364.98996646730325</v>
      </c>
      <c r="T202" s="97">
        <f t="shared" si="209"/>
        <v>471.74139558134658</v>
      </c>
      <c r="U202" s="97">
        <f t="shared" si="209"/>
        <v>488.00122736639639</v>
      </c>
      <c r="V202" s="97">
        <f t="shared" si="209"/>
        <v>425.35380216604602</v>
      </c>
      <c r="W202" s="97">
        <f t="shared" si="209"/>
        <v>391.65289462090681</v>
      </c>
      <c r="X202" s="97">
        <f t="shared" si="209"/>
        <v>294.18743896078007</v>
      </c>
      <c r="Y202" s="97">
        <f t="shared" si="209"/>
        <v>296.78239071769724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7.0749419090336607</v>
      </c>
      <c r="C203" s="130">
        <f t="shared" si="210"/>
        <v>8.338864626278566</v>
      </c>
      <c r="D203" s="130">
        <f t="shared" si="210"/>
        <v>8.7344953385379238</v>
      </c>
      <c r="E203" s="130">
        <f t="shared" si="210"/>
        <v>8.306334793260989</v>
      </c>
      <c r="F203" s="130">
        <f t="shared" si="210"/>
        <v>7.885279346354352</v>
      </c>
      <c r="G203" s="130">
        <f t="shared" si="210"/>
        <v>7.5474118288068937</v>
      </c>
      <c r="H203" s="130">
        <f t="shared" si="210"/>
        <v>6.5256451734884049</v>
      </c>
      <c r="I203" s="130">
        <f t="shared" si="210"/>
        <v>6.2296965988034687</v>
      </c>
      <c r="J203" s="130">
        <f t="shared" si="210"/>
        <v>8.2362522208138351</v>
      </c>
      <c r="K203" s="130">
        <f t="shared" si="210"/>
        <v>8.6794114166891703</v>
      </c>
      <c r="L203" s="130">
        <f t="shared" si="210"/>
        <v>6.0838591947820388</v>
      </c>
      <c r="M203" s="130">
        <f t="shared" si="210"/>
        <v>6.1054319899329119</v>
      </c>
      <c r="N203" s="130">
        <f t="shared" si="210"/>
        <v>6.3867374440528915</v>
      </c>
      <c r="O203" s="130">
        <f t="shared" si="210"/>
        <v>6.4902530030463206</v>
      </c>
      <c r="P203" s="130">
        <f t="shared" si="210"/>
        <v>6.1281913263392367</v>
      </c>
      <c r="Q203" s="130">
        <f t="shared" si="210"/>
        <v>6.069528761093764</v>
      </c>
      <c r="R203" s="130">
        <f t="shared" si="210"/>
        <v>5.8678957067941626</v>
      </c>
      <c r="S203" s="130">
        <f t="shared" si="210"/>
        <v>5.820863991968813</v>
      </c>
      <c r="T203" s="130">
        <f t="shared" si="210"/>
        <v>5.5236565091042458</v>
      </c>
      <c r="U203" s="130">
        <f t="shared" si="210"/>
        <v>6.1769520326289742</v>
      </c>
      <c r="V203" s="130">
        <f t="shared" si="210"/>
        <v>6.6609218368843912</v>
      </c>
      <c r="W203" s="130">
        <f t="shared" si="210"/>
        <v>6.0539751634031269</v>
      </c>
      <c r="X203" s="130">
        <f t="shared" si="210"/>
        <v>5.7678219279374128</v>
      </c>
      <c r="Y203" s="130">
        <f t="shared" si="210"/>
        <v>5.5380380299006191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157.39902256668134</v>
      </c>
      <c r="C204" s="130">
        <f t="shared" si="211"/>
        <v>156.7635510830934</v>
      </c>
      <c r="D204" s="130">
        <f t="shared" si="211"/>
        <v>167.07117628247789</v>
      </c>
      <c r="E204" s="130">
        <f t="shared" si="211"/>
        <v>176.45780841686599</v>
      </c>
      <c r="F204" s="130">
        <f t="shared" si="211"/>
        <v>190.80617453867626</v>
      </c>
      <c r="G204" s="130">
        <f t="shared" si="211"/>
        <v>198.31252462511813</v>
      </c>
      <c r="H204" s="130">
        <f t="shared" si="211"/>
        <v>184.8257078085831</v>
      </c>
      <c r="I204" s="130">
        <f t="shared" si="211"/>
        <v>160.49264694452086</v>
      </c>
      <c r="J204" s="130">
        <f t="shared" si="211"/>
        <v>142.81162878279008</v>
      </c>
      <c r="K204" s="130">
        <f t="shared" si="211"/>
        <v>141.81841520003604</v>
      </c>
      <c r="L204" s="130">
        <f t="shared" si="211"/>
        <v>136.93505633101549</v>
      </c>
      <c r="M204" s="130">
        <f t="shared" si="211"/>
        <v>134.36800166791406</v>
      </c>
      <c r="N204" s="130">
        <f t="shared" si="211"/>
        <v>146.70182497261919</v>
      </c>
      <c r="O204" s="130">
        <f t="shared" si="211"/>
        <v>135.74710255861342</v>
      </c>
      <c r="P204" s="130">
        <f t="shared" si="211"/>
        <v>124.02362113307579</v>
      </c>
      <c r="Q204" s="130">
        <f t="shared" si="211"/>
        <v>119.84267950988976</v>
      </c>
      <c r="R204" s="130">
        <f t="shared" si="211"/>
        <v>130.40589711756334</v>
      </c>
      <c r="S204" s="130">
        <f t="shared" si="211"/>
        <v>120.70348399166815</v>
      </c>
      <c r="T204" s="130">
        <f t="shared" si="211"/>
        <v>109.47305996033346</v>
      </c>
      <c r="U204" s="130">
        <f t="shared" si="211"/>
        <v>95.966694721581575</v>
      </c>
      <c r="V204" s="130">
        <f t="shared" si="211"/>
        <v>147.02330048415652</v>
      </c>
      <c r="W204" s="130">
        <f t="shared" si="211"/>
        <v>121.35950579849501</v>
      </c>
      <c r="X204" s="130">
        <f t="shared" si="211"/>
        <v>115.81120939042182</v>
      </c>
      <c r="Y204" s="130">
        <f t="shared" si="211"/>
        <v>142.18903225307074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263.71907257222358</v>
      </c>
      <c r="C206" s="97">
        <f t="shared" si="213"/>
        <v>204.93689931792295</v>
      </c>
      <c r="D206" s="97">
        <f t="shared" si="213"/>
        <v>163.42423591897057</v>
      </c>
      <c r="E206" s="97">
        <f t="shared" si="213"/>
        <v>160.99312149407558</v>
      </c>
      <c r="F206" s="97">
        <f t="shared" si="213"/>
        <v>191.93651984527295</v>
      </c>
      <c r="G206" s="97">
        <f t="shared" si="213"/>
        <v>187.42264130341511</v>
      </c>
      <c r="H206" s="97">
        <f t="shared" si="213"/>
        <v>174.53165851691978</v>
      </c>
      <c r="I206" s="97">
        <f t="shared" si="213"/>
        <v>229.12360580858518</v>
      </c>
      <c r="J206" s="97">
        <f t="shared" si="213"/>
        <v>238.47986183421861</v>
      </c>
      <c r="K206" s="97">
        <f t="shared" si="213"/>
        <v>311.67679753949517</v>
      </c>
      <c r="L206" s="97">
        <f t="shared" si="213"/>
        <v>312.52737244394706</v>
      </c>
      <c r="M206" s="97">
        <f t="shared" si="213"/>
        <v>207.48175832569575</v>
      </c>
      <c r="N206" s="97">
        <f t="shared" si="213"/>
        <v>177.67932727782375</v>
      </c>
      <c r="O206" s="97">
        <f t="shared" si="213"/>
        <v>172.09792124205518</v>
      </c>
      <c r="P206" s="97">
        <f t="shared" si="213"/>
        <v>197.25565089925047</v>
      </c>
      <c r="Q206" s="97">
        <f t="shared" si="213"/>
        <v>242.28330281317224</v>
      </c>
      <c r="R206" s="97">
        <f t="shared" si="213"/>
        <v>177.87134121094093</v>
      </c>
      <c r="S206" s="97">
        <f t="shared" si="213"/>
        <v>299.60954184872259</v>
      </c>
      <c r="T206" s="97">
        <f t="shared" si="213"/>
        <v>376.42908486561748</v>
      </c>
      <c r="U206" s="97">
        <f t="shared" si="213"/>
        <v>441.26089024452853</v>
      </c>
      <c r="V206" s="97">
        <f t="shared" si="213"/>
        <v>419.65168972373209</v>
      </c>
      <c r="W206" s="97">
        <f t="shared" si="213"/>
        <v>429.137140518303</v>
      </c>
      <c r="X206" s="97">
        <f t="shared" si="213"/>
        <v>342.86283891050749</v>
      </c>
      <c r="Y206" s="97">
        <f t="shared" si="213"/>
        <v>213.09721638614076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154.89002352704239</v>
      </c>
      <c r="C207" s="97">
        <f t="shared" si="214"/>
        <v>156.18556347261506</v>
      </c>
      <c r="D207" s="97">
        <f t="shared" si="214"/>
        <v>167.10762352737791</v>
      </c>
      <c r="E207" s="97">
        <f t="shared" si="214"/>
        <v>176.71835016042041</v>
      </c>
      <c r="F207" s="97">
        <f t="shared" si="214"/>
        <v>190.79101879152512</v>
      </c>
      <c r="G207" s="97">
        <f t="shared" si="214"/>
        <v>198.49105937059952</v>
      </c>
      <c r="H207" s="97">
        <f t="shared" si="214"/>
        <v>184.91881663490352</v>
      </c>
      <c r="I207" s="97">
        <f t="shared" si="214"/>
        <v>159.79222076243622</v>
      </c>
      <c r="J207" s="97">
        <f t="shared" si="214"/>
        <v>141.62850762337132</v>
      </c>
      <c r="K207" s="97">
        <f t="shared" si="214"/>
        <v>139.95404338260198</v>
      </c>
      <c r="L207" s="97">
        <f t="shared" si="214"/>
        <v>134.93566823212274</v>
      </c>
      <c r="M207" s="97">
        <f t="shared" si="214"/>
        <v>133.72211860139853</v>
      </c>
      <c r="N207" s="97">
        <f t="shared" si="214"/>
        <v>146.34368705932505</v>
      </c>
      <c r="O207" s="97">
        <f t="shared" si="214"/>
        <v>135.31565443564003</v>
      </c>
      <c r="P207" s="97">
        <f t="shared" si="214"/>
        <v>123.13771414586131</v>
      </c>
      <c r="Q207" s="97">
        <f t="shared" si="214"/>
        <v>118.74049864243555</v>
      </c>
      <c r="R207" s="97">
        <f t="shared" si="214"/>
        <v>130.0615609748192</v>
      </c>
      <c r="S207" s="97">
        <f t="shared" si="214"/>
        <v>119.30961594318224</v>
      </c>
      <c r="T207" s="97">
        <f t="shared" si="214"/>
        <v>107.52856415773785</v>
      </c>
      <c r="U207" s="97">
        <f t="shared" si="214"/>
        <v>93.603414603034196</v>
      </c>
      <c r="V207" s="97">
        <f t="shared" si="214"/>
        <v>145.5434036531004</v>
      </c>
      <c r="W207" s="97">
        <f t="shared" si="214"/>
        <v>119.97554838054704</v>
      </c>
      <c r="X207" s="97">
        <f t="shared" si="214"/>
        <v>114.67968340936341</v>
      </c>
      <c r="Y207" s="97">
        <f t="shared" si="214"/>
        <v>141.70448899277491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1.2142857142857144</v>
      </c>
      <c r="C208" s="130">
        <f t="shared" si="215"/>
        <v>1.2183288409703505</v>
      </c>
      <c r="D208" s="130">
        <f t="shared" si="215"/>
        <v>1.2189189189189189</v>
      </c>
      <c r="E208" s="130">
        <f t="shared" si="215"/>
        <v>1.2563291139240509</v>
      </c>
      <c r="F208" s="130">
        <f t="shared" si="215"/>
        <v>1.2189189189189189</v>
      </c>
      <c r="G208" s="130">
        <f t="shared" si="215"/>
        <v>1.236842105263158</v>
      </c>
      <c r="H208" s="130">
        <f t="shared" si="215"/>
        <v>1.2125984251968505</v>
      </c>
      <c r="I208" s="130">
        <f t="shared" si="215"/>
        <v>1.2347826086956522</v>
      </c>
      <c r="J208" s="130">
        <f t="shared" si="215"/>
        <v>1.2207084468664851</v>
      </c>
      <c r="K208" s="130">
        <f t="shared" si="215"/>
        <v>1.2867383512544803</v>
      </c>
      <c r="L208" s="130">
        <f t="shared" si="215"/>
        <v>1.2256267409470751</v>
      </c>
      <c r="M208" s="130">
        <f t="shared" si="215"/>
        <v>1.2655737704918033</v>
      </c>
      <c r="N208" s="130">
        <f t="shared" si="215"/>
        <v>1.2790939010288493</v>
      </c>
      <c r="O208" s="130">
        <f t="shared" si="215"/>
        <v>1.0971954760603155</v>
      </c>
      <c r="P208" s="130">
        <f t="shared" si="215"/>
        <v>1.2384788281968895</v>
      </c>
      <c r="Q208" s="130">
        <f t="shared" si="215"/>
        <v>1.3838019794734819</v>
      </c>
      <c r="R208" s="130">
        <f t="shared" si="215"/>
        <v>1.6142462777752635</v>
      </c>
      <c r="S208" s="130">
        <f t="shared" si="215"/>
        <v>1.623123222435346</v>
      </c>
      <c r="T208" s="130">
        <f t="shared" si="215"/>
        <v>1.5384938028228095</v>
      </c>
      <c r="U208" s="130">
        <f t="shared" si="215"/>
        <v>1.3278574768822313</v>
      </c>
      <c r="V208" s="130">
        <f t="shared" si="215"/>
        <v>0.51462378562903455</v>
      </c>
      <c r="W208" s="130">
        <f t="shared" si="215"/>
        <v>0.41209172210753209</v>
      </c>
      <c r="X208" s="130">
        <f t="shared" si="215"/>
        <v>0.54686156491831472</v>
      </c>
      <c r="Y208" s="130">
        <f t="shared" si="215"/>
        <v>0.77802965163240301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0</v>
      </c>
      <c r="J209" s="97">
        <f t="shared" si="216"/>
        <v>0</v>
      </c>
      <c r="K209" s="97">
        <f t="shared" si="216"/>
        <v>0</v>
      </c>
      <c r="L209" s="97">
        <f t="shared" si="216"/>
        <v>0</v>
      </c>
      <c r="M209" s="97">
        <f t="shared" si="216"/>
        <v>0</v>
      </c>
      <c r="N209" s="97">
        <f t="shared" si="216"/>
        <v>0</v>
      </c>
      <c r="O209" s="97">
        <f t="shared" si="216"/>
        <v>0</v>
      </c>
      <c r="P209" s="97">
        <f t="shared" si="216"/>
        <v>0</v>
      </c>
      <c r="Q209" s="97">
        <f t="shared" si="216"/>
        <v>0</v>
      </c>
      <c r="R209" s="97">
        <f t="shared" si="216"/>
        <v>0</v>
      </c>
      <c r="S209" s="97">
        <f t="shared" si="216"/>
        <v>0</v>
      </c>
      <c r="T209" s="97">
        <f t="shared" si="216"/>
        <v>0</v>
      </c>
      <c r="U209" s="97">
        <f t="shared" si="216"/>
        <v>0</v>
      </c>
      <c r="V209" s="97">
        <f t="shared" si="216"/>
        <v>0</v>
      </c>
      <c r="W209" s="97">
        <f t="shared" si="216"/>
        <v>0</v>
      </c>
      <c r="X209" s="97">
        <f t="shared" si="216"/>
        <v>0</v>
      </c>
      <c r="Y209" s="97">
        <f t="shared" si="216"/>
        <v>0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1.2142857142857144</v>
      </c>
      <c r="C210" s="98">
        <f t="shared" si="217"/>
        <v>1.2183288409703505</v>
      </c>
      <c r="D210" s="98">
        <f t="shared" si="217"/>
        <v>1.2189189189189189</v>
      </c>
      <c r="E210" s="98">
        <f t="shared" si="217"/>
        <v>1.2563291139240509</v>
      </c>
      <c r="F210" s="98">
        <f t="shared" si="217"/>
        <v>1.2189189189189189</v>
      </c>
      <c r="G210" s="98">
        <f t="shared" si="217"/>
        <v>1.236842105263158</v>
      </c>
      <c r="H210" s="98">
        <f t="shared" si="217"/>
        <v>1.2125984251968505</v>
      </c>
      <c r="I210" s="98">
        <f t="shared" si="217"/>
        <v>1.2347826086956522</v>
      </c>
      <c r="J210" s="98">
        <f t="shared" si="217"/>
        <v>1.2207084468664851</v>
      </c>
      <c r="K210" s="98">
        <f t="shared" si="217"/>
        <v>1.2867383512544803</v>
      </c>
      <c r="L210" s="98">
        <f t="shared" si="217"/>
        <v>1.2256267409470751</v>
      </c>
      <c r="M210" s="98">
        <f t="shared" si="217"/>
        <v>1.2655737704918033</v>
      </c>
      <c r="N210" s="98">
        <f t="shared" si="217"/>
        <v>1.2790939010288493</v>
      </c>
      <c r="O210" s="98">
        <f t="shared" si="217"/>
        <v>1.0971954760603155</v>
      </c>
      <c r="P210" s="98">
        <f t="shared" si="217"/>
        <v>1.2384788281968895</v>
      </c>
      <c r="Q210" s="98">
        <f t="shared" si="217"/>
        <v>1.3838019794734819</v>
      </c>
      <c r="R210" s="98">
        <f t="shared" si="217"/>
        <v>1.6142462777752635</v>
      </c>
      <c r="S210" s="98">
        <f t="shared" si="217"/>
        <v>1.623123222435346</v>
      </c>
      <c r="T210" s="98">
        <f t="shared" si="217"/>
        <v>1.5384938028228095</v>
      </c>
      <c r="U210" s="98">
        <f t="shared" si="217"/>
        <v>1.3278574768822313</v>
      </c>
      <c r="V210" s="98">
        <f t="shared" si="217"/>
        <v>0.51462378562903455</v>
      </c>
      <c r="W210" s="98">
        <f t="shared" si="217"/>
        <v>0.41209172210753209</v>
      </c>
      <c r="X210" s="98">
        <f t="shared" si="217"/>
        <v>0.54686156491831472</v>
      </c>
      <c r="Y210" s="98">
        <f t="shared" si="217"/>
        <v>0.77802965163240301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0</v>
      </c>
      <c r="C211" s="32">
        <f t="shared" si="218"/>
        <v>0</v>
      </c>
      <c r="D211" s="32">
        <f t="shared" si="218"/>
        <v>0</v>
      </c>
      <c r="E211" s="32">
        <f t="shared" si="218"/>
        <v>0</v>
      </c>
      <c r="F211" s="32">
        <f t="shared" si="218"/>
        <v>0</v>
      </c>
      <c r="G211" s="32">
        <f t="shared" si="218"/>
        <v>0</v>
      </c>
      <c r="H211" s="32">
        <f t="shared" si="218"/>
        <v>0</v>
      </c>
      <c r="I211" s="32">
        <f t="shared" si="218"/>
        <v>0</v>
      </c>
      <c r="J211" s="32">
        <f t="shared" si="218"/>
        <v>0</v>
      </c>
      <c r="K211" s="32">
        <f t="shared" si="218"/>
        <v>0</v>
      </c>
      <c r="L211" s="32">
        <f t="shared" si="218"/>
        <v>0</v>
      </c>
      <c r="M211" s="32">
        <f t="shared" si="218"/>
        <v>0</v>
      </c>
      <c r="N211" s="32">
        <f t="shared" si="218"/>
        <v>0</v>
      </c>
      <c r="O211" s="32">
        <f t="shared" si="218"/>
        <v>0</v>
      </c>
      <c r="P211" s="32">
        <f t="shared" si="218"/>
        <v>0</v>
      </c>
      <c r="Q211" s="32">
        <f t="shared" si="218"/>
        <v>0</v>
      </c>
      <c r="R211" s="32">
        <f t="shared" si="218"/>
        <v>0</v>
      </c>
      <c r="S211" s="32">
        <f t="shared" si="218"/>
        <v>0</v>
      </c>
      <c r="T211" s="32">
        <f t="shared" si="218"/>
        <v>0</v>
      </c>
      <c r="U211" s="32">
        <f t="shared" si="218"/>
        <v>0</v>
      </c>
      <c r="V211" s="32">
        <f t="shared" si="218"/>
        <v>0</v>
      </c>
      <c r="W211" s="32">
        <f t="shared" si="218"/>
        <v>0</v>
      </c>
      <c r="X211" s="32">
        <f t="shared" si="218"/>
        <v>0</v>
      </c>
      <c r="Y211" s="32">
        <f t="shared" si="218"/>
        <v>0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0</v>
      </c>
      <c r="C212" s="97">
        <f t="shared" si="219"/>
        <v>0</v>
      </c>
      <c r="D212" s="97">
        <f t="shared" si="219"/>
        <v>0</v>
      </c>
      <c r="E212" s="97">
        <f t="shared" si="219"/>
        <v>0</v>
      </c>
      <c r="F212" s="97">
        <f t="shared" si="219"/>
        <v>0</v>
      </c>
      <c r="G212" s="97">
        <f t="shared" si="219"/>
        <v>0</v>
      </c>
      <c r="H212" s="97">
        <f t="shared" si="219"/>
        <v>0</v>
      </c>
      <c r="I212" s="97">
        <f t="shared" si="219"/>
        <v>0</v>
      </c>
      <c r="J212" s="97">
        <f t="shared" si="219"/>
        <v>0</v>
      </c>
      <c r="K212" s="97">
        <f t="shared" si="219"/>
        <v>0</v>
      </c>
      <c r="L212" s="97">
        <f t="shared" si="219"/>
        <v>0</v>
      </c>
      <c r="M212" s="97">
        <f t="shared" si="219"/>
        <v>0</v>
      </c>
      <c r="N212" s="97">
        <f t="shared" si="219"/>
        <v>0</v>
      </c>
      <c r="O212" s="97">
        <f t="shared" si="219"/>
        <v>0</v>
      </c>
      <c r="P212" s="97">
        <f t="shared" si="219"/>
        <v>0</v>
      </c>
      <c r="Q212" s="97">
        <f t="shared" si="219"/>
        <v>0</v>
      </c>
      <c r="R212" s="97">
        <f t="shared" si="219"/>
        <v>0</v>
      </c>
      <c r="S212" s="97">
        <f t="shared" si="219"/>
        <v>0</v>
      </c>
      <c r="T212" s="97">
        <f t="shared" si="219"/>
        <v>0</v>
      </c>
      <c r="U212" s="97">
        <f t="shared" si="219"/>
        <v>0</v>
      </c>
      <c r="V212" s="97">
        <f t="shared" si="219"/>
        <v>0</v>
      </c>
      <c r="W212" s="97">
        <f t="shared" si="219"/>
        <v>0</v>
      </c>
      <c r="X212" s="97">
        <f t="shared" si="219"/>
        <v>0</v>
      </c>
      <c r="Y212" s="97">
        <f t="shared" si="219"/>
        <v>0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0</v>
      </c>
      <c r="C213" s="98">
        <f t="shared" si="220"/>
        <v>0</v>
      </c>
      <c r="D213" s="98">
        <f t="shared" si="220"/>
        <v>0</v>
      </c>
      <c r="E213" s="98">
        <f t="shared" si="220"/>
        <v>0</v>
      </c>
      <c r="F213" s="98">
        <f t="shared" si="220"/>
        <v>0</v>
      </c>
      <c r="G213" s="98">
        <f t="shared" si="220"/>
        <v>0</v>
      </c>
      <c r="H213" s="98">
        <f t="shared" si="220"/>
        <v>0</v>
      </c>
      <c r="I213" s="98">
        <f t="shared" si="220"/>
        <v>0</v>
      </c>
      <c r="J213" s="98">
        <f t="shared" si="220"/>
        <v>0</v>
      </c>
      <c r="K213" s="98">
        <f t="shared" si="220"/>
        <v>0</v>
      </c>
      <c r="L213" s="98">
        <f t="shared" si="220"/>
        <v>0</v>
      </c>
      <c r="M213" s="98">
        <f t="shared" si="220"/>
        <v>0</v>
      </c>
      <c r="N213" s="98">
        <f t="shared" si="220"/>
        <v>0</v>
      </c>
      <c r="O213" s="98">
        <f t="shared" si="220"/>
        <v>0</v>
      </c>
      <c r="P213" s="98">
        <f t="shared" si="220"/>
        <v>0</v>
      </c>
      <c r="Q213" s="98">
        <f t="shared" si="220"/>
        <v>0</v>
      </c>
      <c r="R213" s="98">
        <f t="shared" si="220"/>
        <v>0</v>
      </c>
      <c r="S213" s="98">
        <f t="shared" si="220"/>
        <v>0</v>
      </c>
      <c r="T213" s="98">
        <f t="shared" si="220"/>
        <v>0</v>
      </c>
      <c r="U213" s="98">
        <f t="shared" si="220"/>
        <v>0</v>
      </c>
      <c r="V213" s="98">
        <f t="shared" si="220"/>
        <v>0</v>
      </c>
      <c r="W213" s="98">
        <f t="shared" si="220"/>
        <v>0</v>
      </c>
      <c r="X213" s="98">
        <f t="shared" si="220"/>
        <v>0</v>
      </c>
      <c r="Y213" s="98">
        <f t="shared" si="220"/>
        <v>0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390.90638537903578</v>
      </c>
      <c r="C216" s="32">
        <f t="shared" si="221"/>
        <v>386.4659236252549</v>
      </c>
      <c r="D216" s="32">
        <f t="shared" si="221"/>
        <v>389.5806842557306</v>
      </c>
      <c r="E216" s="32">
        <f t="shared" si="221"/>
        <v>403.98133202251591</v>
      </c>
      <c r="F216" s="32">
        <f t="shared" si="221"/>
        <v>404.87187035728084</v>
      </c>
      <c r="G216" s="32">
        <f t="shared" si="221"/>
        <v>380.48371584615262</v>
      </c>
      <c r="H216" s="32">
        <f t="shared" si="221"/>
        <v>356.50540373314715</v>
      </c>
      <c r="I216" s="32">
        <f t="shared" si="221"/>
        <v>355.70980703617778</v>
      </c>
      <c r="J216" s="32">
        <f t="shared" si="221"/>
        <v>355.04363664867822</v>
      </c>
      <c r="K216" s="32">
        <f t="shared" si="221"/>
        <v>359.80156944308391</v>
      </c>
      <c r="L216" s="32">
        <f t="shared" si="221"/>
        <v>359.57529451249366</v>
      </c>
      <c r="M216" s="32">
        <f t="shared" si="221"/>
        <v>366.08434303755405</v>
      </c>
      <c r="N216" s="32">
        <f t="shared" si="221"/>
        <v>355.79770439204714</v>
      </c>
      <c r="O216" s="32">
        <f t="shared" si="221"/>
        <v>325.07338456465465</v>
      </c>
      <c r="P216" s="32">
        <f t="shared" si="221"/>
        <v>312.33298695275698</v>
      </c>
      <c r="Q216" s="32">
        <f t="shared" si="221"/>
        <v>294.42535584736595</v>
      </c>
      <c r="R216" s="32">
        <f t="shared" si="221"/>
        <v>274.34739226337524</v>
      </c>
      <c r="S216" s="32">
        <f t="shared" si="221"/>
        <v>274.93515401743701</v>
      </c>
      <c r="T216" s="32">
        <f t="shared" si="221"/>
        <v>292.52367329811477</v>
      </c>
      <c r="U216" s="32">
        <f t="shared" si="221"/>
        <v>282.78954302404406</v>
      </c>
      <c r="V216" s="32">
        <f t="shared" si="221"/>
        <v>239.7769221406912</v>
      </c>
      <c r="W216" s="32">
        <f t="shared" si="221"/>
        <v>249.07360443568922</v>
      </c>
      <c r="X216" s="32">
        <f t="shared" si="221"/>
        <v>226.72304735673171</v>
      </c>
      <c r="Y216" s="32">
        <f t="shared" si="221"/>
        <v>203.27363981692119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434.20701127449178</v>
      </c>
      <c r="C217" s="141">
        <f t="shared" si="222"/>
        <v>429.18734044050052</v>
      </c>
      <c r="D217" s="141">
        <f t="shared" si="222"/>
        <v>429.39922997561314</v>
      </c>
      <c r="E217" s="141">
        <f t="shared" si="222"/>
        <v>447.73268036855478</v>
      </c>
      <c r="F217" s="141">
        <f t="shared" si="222"/>
        <v>448.6844142685635</v>
      </c>
      <c r="G217" s="141">
        <f t="shared" si="222"/>
        <v>420.56334204919244</v>
      </c>
      <c r="H217" s="141">
        <f t="shared" si="222"/>
        <v>393.12960178240127</v>
      </c>
      <c r="I217" s="141">
        <f t="shared" si="222"/>
        <v>386.46605780842299</v>
      </c>
      <c r="J217" s="141">
        <f t="shared" si="222"/>
        <v>386.03745658538475</v>
      </c>
      <c r="K217" s="141">
        <f t="shared" si="222"/>
        <v>379.36186090269194</v>
      </c>
      <c r="L217" s="141">
        <f t="shared" si="222"/>
        <v>380.160882095766</v>
      </c>
      <c r="M217" s="141">
        <f t="shared" si="222"/>
        <v>398.12527102743803</v>
      </c>
      <c r="N217" s="141">
        <f t="shared" si="222"/>
        <v>389.0860398657191</v>
      </c>
      <c r="O217" s="141">
        <f t="shared" si="222"/>
        <v>359.70603144150346</v>
      </c>
      <c r="P217" s="141">
        <f t="shared" si="222"/>
        <v>340.33963836618682</v>
      </c>
      <c r="Q217" s="141">
        <f t="shared" si="222"/>
        <v>316.91057205853713</v>
      </c>
      <c r="R217" s="141">
        <f t="shared" si="222"/>
        <v>299.08414210876168</v>
      </c>
      <c r="S217" s="141">
        <f t="shared" si="222"/>
        <v>290.59430124611742</v>
      </c>
      <c r="T217" s="141">
        <f t="shared" si="222"/>
        <v>295.50432227626629</v>
      </c>
      <c r="U217" s="141">
        <f t="shared" si="222"/>
        <v>282.24528847036487</v>
      </c>
      <c r="V217" s="141">
        <f t="shared" si="222"/>
        <v>246.34865293748709</v>
      </c>
      <c r="W217" s="141">
        <f t="shared" si="222"/>
        <v>255.86404119147645</v>
      </c>
      <c r="X217" s="141">
        <f t="shared" si="222"/>
        <v>240.22195404033133</v>
      </c>
      <c r="Y217" s="141">
        <f t="shared" si="222"/>
        <v>234.83827214443346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127.50508252503803</v>
      </c>
      <c r="C218" s="97">
        <f t="shared" si="223"/>
        <v>124.29438910930509</v>
      </c>
      <c r="D218" s="97">
        <f t="shared" si="223"/>
        <v>121.15225995721178</v>
      </c>
      <c r="E218" s="97">
        <f t="shared" si="223"/>
        <v>119.76937908216101</v>
      </c>
      <c r="F218" s="97">
        <f t="shared" si="223"/>
        <v>118.16927414164768</v>
      </c>
      <c r="G218" s="97">
        <f t="shared" si="223"/>
        <v>115.14007981620196</v>
      </c>
      <c r="H218" s="97">
        <f t="shared" si="223"/>
        <v>113.60695204088833</v>
      </c>
      <c r="I218" s="97">
        <f t="shared" si="223"/>
        <v>109.23278241765465</v>
      </c>
      <c r="J218" s="97">
        <f t="shared" si="223"/>
        <v>108.95005957659536</v>
      </c>
      <c r="K218" s="97">
        <f t="shared" si="223"/>
        <v>107.78321893607153</v>
      </c>
      <c r="L218" s="97">
        <f t="shared" si="223"/>
        <v>106.49013759812266</v>
      </c>
      <c r="M218" s="97">
        <f t="shared" si="223"/>
        <v>103.83207707546713</v>
      </c>
      <c r="N218" s="97">
        <f t="shared" si="223"/>
        <v>104.66331445410623</v>
      </c>
      <c r="O218" s="97">
        <f t="shared" si="223"/>
        <v>103.30704326272281</v>
      </c>
      <c r="P218" s="97">
        <f t="shared" si="223"/>
        <v>100.83777821274771</v>
      </c>
      <c r="Q218" s="97">
        <f t="shared" si="223"/>
        <v>98.039987891836546</v>
      </c>
      <c r="R218" s="97">
        <f t="shared" si="223"/>
        <v>96.109147311538322</v>
      </c>
      <c r="S218" s="97">
        <f t="shared" si="223"/>
        <v>98.580094463617087</v>
      </c>
      <c r="T218" s="97">
        <f t="shared" si="223"/>
        <v>98.091830769338557</v>
      </c>
      <c r="U218" s="97">
        <f t="shared" si="223"/>
        <v>94.81261749815431</v>
      </c>
      <c r="V218" s="97">
        <f t="shared" si="223"/>
        <v>93.685415871166228</v>
      </c>
      <c r="W218" s="97">
        <f t="shared" si="223"/>
        <v>92.843861968356734</v>
      </c>
      <c r="X218" s="97">
        <f t="shared" si="223"/>
        <v>91.475095099467211</v>
      </c>
      <c r="Y218" s="97">
        <f t="shared" si="223"/>
        <v>90.126260380538909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470.72858615076234</v>
      </c>
      <c r="C219" s="97">
        <f t="shared" si="224"/>
        <v>466.52839530313668</v>
      </c>
      <c r="D219" s="97">
        <f t="shared" si="224"/>
        <v>469.90412494995462</v>
      </c>
      <c r="E219" s="97">
        <f t="shared" si="224"/>
        <v>491.37468468817264</v>
      </c>
      <c r="F219" s="97">
        <f t="shared" si="224"/>
        <v>494.10676816624249</v>
      </c>
      <c r="G219" s="97">
        <f t="shared" si="224"/>
        <v>462.70640849892061</v>
      </c>
      <c r="H219" s="97">
        <f t="shared" si="224"/>
        <v>431.73214789202757</v>
      </c>
      <c r="I219" s="97">
        <f t="shared" si="224"/>
        <v>426.04677884136805</v>
      </c>
      <c r="J219" s="97">
        <f t="shared" si="224"/>
        <v>427.44522088577492</v>
      </c>
      <c r="K219" s="97">
        <f t="shared" si="224"/>
        <v>419.34915299568621</v>
      </c>
      <c r="L219" s="97">
        <f t="shared" si="224"/>
        <v>423.24163543797556</v>
      </c>
      <c r="M219" s="97">
        <f t="shared" si="224"/>
        <v>445.86288505254691</v>
      </c>
      <c r="N219" s="97">
        <f t="shared" si="224"/>
        <v>435.58620902964242</v>
      </c>
      <c r="O219" s="97">
        <f t="shared" si="224"/>
        <v>402.03256944323891</v>
      </c>
      <c r="P219" s="97">
        <f t="shared" si="224"/>
        <v>378.86018914583821</v>
      </c>
      <c r="Q219" s="97">
        <f t="shared" si="224"/>
        <v>353.08732132808711</v>
      </c>
      <c r="R219" s="97">
        <f t="shared" si="224"/>
        <v>332.10171933100213</v>
      </c>
      <c r="S219" s="97">
        <f t="shared" si="224"/>
        <v>322.68758697195824</v>
      </c>
      <c r="T219" s="97">
        <f t="shared" si="224"/>
        <v>328.48274591594782</v>
      </c>
      <c r="U219" s="97">
        <f t="shared" si="224"/>
        <v>314.42026876140761</v>
      </c>
      <c r="V219" s="97">
        <f t="shared" si="224"/>
        <v>263.49510229746141</v>
      </c>
      <c r="W219" s="97">
        <f t="shared" si="224"/>
        <v>275.5126881268589</v>
      </c>
      <c r="X219" s="97">
        <f t="shared" si="224"/>
        <v>268.38519309839631</v>
      </c>
      <c r="Y219" s="97">
        <f t="shared" si="224"/>
        <v>265.71726392672639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121.96104134337767</v>
      </c>
      <c r="C220" s="97">
        <f t="shared" si="225"/>
        <v>118.24388111633553</v>
      </c>
      <c r="D220" s="97">
        <f t="shared" si="225"/>
        <v>114.6487182041874</v>
      </c>
      <c r="E220" s="97">
        <f t="shared" si="225"/>
        <v>112.1272809143947</v>
      </c>
      <c r="F220" s="97">
        <f t="shared" si="225"/>
        <v>107.79629364214331</v>
      </c>
      <c r="G220" s="97">
        <f t="shared" si="225"/>
        <v>106.19023085987894</v>
      </c>
      <c r="H220" s="97">
        <f t="shared" si="225"/>
        <v>103.09505573672428</v>
      </c>
      <c r="I220" s="97">
        <f t="shared" si="225"/>
        <v>98.39153172588783</v>
      </c>
      <c r="J220" s="97">
        <f t="shared" si="225"/>
        <v>96.161207659857936</v>
      </c>
      <c r="K220" s="97">
        <f t="shared" si="225"/>
        <v>98.927377723592514</v>
      </c>
      <c r="L220" s="97">
        <f t="shared" si="225"/>
        <v>97.691314707158909</v>
      </c>
      <c r="M220" s="97">
        <f t="shared" si="225"/>
        <v>95.767224766987695</v>
      </c>
      <c r="N220" s="97">
        <f t="shared" si="225"/>
        <v>93.74825886243211</v>
      </c>
      <c r="O220" s="97">
        <f t="shared" si="225"/>
        <v>92.029507733781131</v>
      </c>
      <c r="P220" s="97">
        <f t="shared" si="225"/>
        <v>89.910328632729019</v>
      </c>
      <c r="Q220" s="97">
        <f t="shared" si="225"/>
        <v>87.593553605095323</v>
      </c>
      <c r="R220" s="97">
        <f t="shared" si="225"/>
        <v>87.747746955254897</v>
      </c>
      <c r="S220" s="97">
        <f t="shared" si="225"/>
        <v>86.475086754174043</v>
      </c>
      <c r="T220" s="97">
        <f t="shared" si="225"/>
        <v>85.174434817795273</v>
      </c>
      <c r="U220" s="97">
        <f t="shared" si="225"/>
        <v>81.112567296106221</v>
      </c>
      <c r="V220" s="97">
        <f t="shared" si="225"/>
        <v>111.16426193189299</v>
      </c>
      <c r="W220" s="97">
        <f t="shared" si="225"/>
        <v>101.12251628107053</v>
      </c>
      <c r="X220" s="97">
        <f t="shared" si="225"/>
        <v>65.361377068148187</v>
      </c>
      <c r="Y220" s="97">
        <f t="shared" si="225"/>
        <v>54.142605367626523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54.165379542686019</v>
      </c>
      <c r="C221" s="130">
        <f t="shared" si="226"/>
        <v>60.03791604876681</v>
      </c>
      <c r="D221" s="130">
        <f t="shared" si="226"/>
        <v>74.289373819375058</v>
      </c>
      <c r="E221" s="130">
        <f t="shared" si="226"/>
        <v>56.055637509139331</v>
      </c>
      <c r="F221" s="130">
        <f t="shared" si="226"/>
        <v>46.07980120390414</v>
      </c>
      <c r="G221" s="130">
        <f t="shared" si="226"/>
        <v>30.136905764871511</v>
      </c>
      <c r="H221" s="130">
        <f t="shared" si="226"/>
        <v>21.472841751113151</v>
      </c>
      <c r="I221" s="130">
        <f t="shared" si="226"/>
        <v>26.916896125441284</v>
      </c>
      <c r="J221" s="130">
        <f t="shared" si="226"/>
        <v>35.56786373317842</v>
      </c>
      <c r="K221" s="130">
        <f t="shared" si="226"/>
        <v>31.228887005269257</v>
      </c>
      <c r="L221" s="130">
        <f t="shared" si="226"/>
        <v>34.107335201795351</v>
      </c>
      <c r="M221" s="130">
        <f t="shared" si="226"/>
        <v>32.230742094834042</v>
      </c>
      <c r="N221" s="130">
        <f t="shared" si="226"/>
        <v>29.949002241422804</v>
      </c>
      <c r="O221" s="130">
        <f t="shared" si="226"/>
        <v>26.686479130517316</v>
      </c>
      <c r="P221" s="130">
        <f t="shared" si="226"/>
        <v>29.139825055515399</v>
      </c>
      <c r="Q221" s="130">
        <f t="shared" si="226"/>
        <v>20.499203719971966</v>
      </c>
      <c r="R221" s="130">
        <f t="shared" si="226"/>
        <v>21.132920455478256</v>
      </c>
      <c r="S221" s="130">
        <f t="shared" si="226"/>
        <v>18.315771591921511</v>
      </c>
      <c r="T221" s="130">
        <f t="shared" si="226"/>
        <v>20.877659980917656</v>
      </c>
      <c r="U221" s="130">
        <f t="shared" si="226"/>
        <v>18.612960492034979</v>
      </c>
      <c r="V221" s="130">
        <f t="shared" si="226"/>
        <v>29.73083555900239</v>
      </c>
      <c r="W221" s="130">
        <f t="shared" si="226"/>
        <v>27.215125137557713</v>
      </c>
      <c r="X221" s="130">
        <f t="shared" si="226"/>
        <v>15.651393415614386</v>
      </c>
      <c r="Y221" s="130">
        <f t="shared" si="226"/>
        <v>12.948565392560427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54.165379542686019</v>
      </c>
      <c r="C223" s="97">
        <f t="shared" si="228"/>
        <v>60.03791604876681</v>
      </c>
      <c r="D223" s="97">
        <f t="shared" si="228"/>
        <v>74.289373819375058</v>
      </c>
      <c r="E223" s="97">
        <f t="shared" si="228"/>
        <v>56.055637509139331</v>
      </c>
      <c r="F223" s="97">
        <f t="shared" si="228"/>
        <v>46.07980120390414</v>
      </c>
      <c r="G223" s="97">
        <f t="shared" si="228"/>
        <v>30.136905764871511</v>
      </c>
      <c r="H223" s="97">
        <f t="shared" si="228"/>
        <v>21.472841751113151</v>
      </c>
      <c r="I223" s="97">
        <f t="shared" si="228"/>
        <v>26.916896125441284</v>
      </c>
      <c r="J223" s="97">
        <f t="shared" si="228"/>
        <v>35.56786373317842</v>
      </c>
      <c r="K223" s="97">
        <f t="shared" si="228"/>
        <v>31.228887005269257</v>
      </c>
      <c r="L223" s="97">
        <f t="shared" si="228"/>
        <v>34.107335201795351</v>
      </c>
      <c r="M223" s="97">
        <f t="shared" si="228"/>
        <v>32.230742094834042</v>
      </c>
      <c r="N223" s="97">
        <f t="shared" si="228"/>
        <v>29.949002241422804</v>
      </c>
      <c r="O223" s="97">
        <f t="shared" si="228"/>
        <v>26.686479130517316</v>
      </c>
      <c r="P223" s="97">
        <f t="shared" si="228"/>
        <v>29.139825055515399</v>
      </c>
      <c r="Q223" s="97">
        <f t="shared" si="228"/>
        <v>20.499203719971966</v>
      </c>
      <c r="R223" s="97">
        <f t="shared" si="228"/>
        <v>21.132920455478256</v>
      </c>
      <c r="S223" s="97">
        <f t="shared" si="228"/>
        <v>18.315771591921511</v>
      </c>
      <c r="T223" s="97">
        <f t="shared" si="228"/>
        <v>21.796654043283109</v>
      </c>
      <c r="U223" s="97">
        <f t="shared" si="228"/>
        <v>19.867224784370816</v>
      </c>
      <c r="V223" s="97">
        <f t="shared" si="228"/>
        <v>33.251023233424483</v>
      </c>
      <c r="W223" s="97">
        <f t="shared" si="228"/>
        <v>31.216822814034128</v>
      </c>
      <c r="X223" s="97">
        <f t="shared" si="228"/>
        <v>19.616547197385074</v>
      </c>
      <c r="Y223" s="97">
        <f t="shared" si="228"/>
        <v>15.756224621244323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180.5861464327229</v>
      </c>
      <c r="C225" s="130">
        <f t="shared" si="230"/>
        <v>188.18781521758993</v>
      </c>
      <c r="D225" s="130">
        <f t="shared" si="230"/>
        <v>189.484787012466</v>
      </c>
      <c r="E225" s="130">
        <f t="shared" si="230"/>
        <v>183.69862612988126</v>
      </c>
      <c r="F225" s="130">
        <f t="shared" si="230"/>
        <v>194.20687464324521</v>
      </c>
      <c r="G225" s="130">
        <f t="shared" si="230"/>
        <v>187.25507031006262</v>
      </c>
      <c r="H225" s="130">
        <f t="shared" si="230"/>
        <v>181.68550201612001</v>
      </c>
      <c r="I225" s="130">
        <f t="shared" si="230"/>
        <v>227.8644051090607</v>
      </c>
      <c r="J225" s="130">
        <f t="shared" si="230"/>
        <v>232.33132171872694</v>
      </c>
      <c r="K225" s="130">
        <f t="shared" si="230"/>
        <v>318.51254044350321</v>
      </c>
      <c r="L225" s="130">
        <f t="shared" si="230"/>
        <v>320.70959029923733</v>
      </c>
      <c r="M225" s="130">
        <f t="shared" si="230"/>
        <v>246.55456972788593</v>
      </c>
      <c r="N225" s="130">
        <f t="shared" si="230"/>
        <v>223.11546016147594</v>
      </c>
      <c r="O225" s="130">
        <f t="shared" si="230"/>
        <v>191.80346900595003</v>
      </c>
      <c r="P225" s="130">
        <f t="shared" si="230"/>
        <v>221.8210601078267</v>
      </c>
      <c r="Q225" s="130">
        <f t="shared" si="230"/>
        <v>244.53276057747584</v>
      </c>
      <c r="R225" s="130">
        <f t="shared" si="230"/>
        <v>207.31529206394529</v>
      </c>
      <c r="S225" s="130">
        <f t="shared" si="230"/>
        <v>261.81854007250666</v>
      </c>
      <c r="T225" s="130">
        <f t="shared" si="230"/>
        <v>334.17845499518603</v>
      </c>
      <c r="U225" s="130">
        <f t="shared" si="230"/>
        <v>334.28248874904494</v>
      </c>
      <c r="V225" s="130">
        <f t="shared" si="230"/>
        <v>250.5670069854032</v>
      </c>
      <c r="W225" s="130">
        <f t="shared" si="230"/>
        <v>261.25631614071182</v>
      </c>
      <c r="X225" s="130">
        <f t="shared" si="230"/>
        <v>218.91122548037356</v>
      </c>
      <c r="Y225" s="130">
        <f t="shared" si="230"/>
        <v>141.5178975312636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166.33670424271642</v>
      </c>
      <c r="C227" s="97">
        <f t="shared" si="232"/>
        <v>173.66357167748001</v>
      </c>
      <c r="D227" s="97">
        <f t="shared" si="232"/>
        <v>175.28882507102472</v>
      </c>
      <c r="E227" s="97">
        <f t="shared" si="232"/>
        <v>170.66097841431457</v>
      </c>
      <c r="F227" s="97">
        <f t="shared" si="232"/>
        <v>181.28014021861097</v>
      </c>
      <c r="G227" s="97">
        <f t="shared" si="232"/>
        <v>179.39263836256259</v>
      </c>
      <c r="H227" s="97">
        <f t="shared" si="232"/>
        <v>178.01920302229999</v>
      </c>
      <c r="I227" s="97">
        <f t="shared" si="232"/>
        <v>243.22827583048218</v>
      </c>
      <c r="J227" s="97">
        <f t="shared" si="232"/>
        <v>267.77551494654125</v>
      </c>
      <c r="K227" s="97">
        <f t="shared" si="232"/>
        <v>396.12677064328295</v>
      </c>
      <c r="L227" s="97">
        <f t="shared" si="232"/>
        <v>417.13084710843992</v>
      </c>
      <c r="M227" s="97">
        <f t="shared" si="232"/>
        <v>269.13497905842382</v>
      </c>
      <c r="N227" s="97">
        <f t="shared" si="232"/>
        <v>233.63214536445042</v>
      </c>
      <c r="O227" s="97">
        <f t="shared" si="232"/>
        <v>195.26397574793114</v>
      </c>
      <c r="P227" s="97">
        <f t="shared" si="232"/>
        <v>234.1867189707298</v>
      </c>
      <c r="Q227" s="97">
        <f t="shared" si="232"/>
        <v>251.68886013453741</v>
      </c>
      <c r="R227" s="97">
        <f t="shared" si="232"/>
        <v>195.89960577215925</v>
      </c>
      <c r="S227" s="97">
        <f t="shared" si="232"/>
        <v>251.70805426934285</v>
      </c>
      <c r="T227" s="97">
        <f t="shared" si="232"/>
        <v>333.34489541312115</v>
      </c>
      <c r="U227" s="97">
        <f t="shared" si="232"/>
        <v>341.35091375986406</v>
      </c>
      <c r="V227" s="97">
        <f t="shared" si="232"/>
        <v>232.07401290159495</v>
      </c>
      <c r="W227" s="97">
        <f t="shared" si="232"/>
        <v>271.98140314183559</v>
      </c>
      <c r="X227" s="97">
        <f t="shared" si="232"/>
        <v>229.23920407887471</v>
      </c>
      <c r="Y227" s="97">
        <f t="shared" si="232"/>
        <v>136.66302011000295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256.97735603285224</v>
      </c>
      <c r="C228" s="97">
        <f t="shared" si="233"/>
        <v>265.08954212496843</v>
      </c>
      <c r="D228" s="97">
        <f t="shared" si="233"/>
        <v>263.64108168001383</v>
      </c>
      <c r="E228" s="97">
        <f t="shared" si="233"/>
        <v>250.17223873375667</v>
      </c>
      <c r="F228" s="97">
        <f t="shared" si="233"/>
        <v>258.28901514021817</v>
      </c>
      <c r="G228" s="97">
        <f t="shared" si="233"/>
        <v>221.57047142275661</v>
      </c>
      <c r="H228" s="97">
        <f t="shared" si="233"/>
        <v>196.10265592787627</v>
      </c>
      <c r="I228" s="97">
        <f t="shared" si="233"/>
        <v>185.07081611964674</v>
      </c>
      <c r="J228" s="97">
        <f t="shared" si="233"/>
        <v>159.88852444339051</v>
      </c>
      <c r="K228" s="97">
        <f t="shared" si="233"/>
        <v>194.74291027278406</v>
      </c>
      <c r="L228" s="97">
        <f t="shared" si="233"/>
        <v>181.01862175885549</v>
      </c>
      <c r="M228" s="97">
        <f t="shared" si="233"/>
        <v>193.09043487008054</v>
      </c>
      <c r="N228" s="97">
        <f t="shared" si="233"/>
        <v>193.90218709931438</v>
      </c>
      <c r="O228" s="97">
        <f t="shared" si="233"/>
        <v>180.93425940592931</v>
      </c>
      <c r="P228" s="97">
        <f t="shared" si="233"/>
        <v>188.1677574881852</v>
      </c>
      <c r="Q228" s="97">
        <f t="shared" si="233"/>
        <v>222.90340554936682</v>
      </c>
      <c r="R228" s="97">
        <f t="shared" si="233"/>
        <v>263.13462799789403</v>
      </c>
      <c r="S228" s="97">
        <f t="shared" si="233"/>
        <v>309.62501363366619</v>
      </c>
      <c r="T228" s="97">
        <f t="shared" si="233"/>
        <v>337.35497665983161</v>
      </c>
      <c r="U228" s="97">
        <f t="shared" si="233"/>
        <v>310.82364759990196</v>
      </c>
      <c r="V228" s="97">
        <f t="shared" si="233"/>
        <v>321.3344421585399</v>
      </c>
      <c r="W228" s="97">
        <f t="shared" si="233"/>
        <v>232.1998015699001</v>
      </c>
      <c r="X228" s="97">
        <f t="shared" si="233"/>
        <v>185.9572865748745</v>
      </c>
      <c r="Y228" s="97">
        <f t="shared" si="233"/>
        <v>163.17228913011107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683.39071430012689</v>
      </c>
      <c r="C229" s="32">
        <f t="shared" si="234"/>
        <v>699.89586539195466</v>
      </c>
      <c r="D229" s="32">
        <f t="shared" si="234"/>
        <v>721.84329538837017</v>
      </c>
      <c r="E229" s="32">
        <f t="shared" si="234"/>
        <v>829.60361540234669</v>
      </c>
      <c r="F229" s="32">
        <f t="shared" si="234"/>
        <v>990.39398254099444</v>
      </c>
      <c r="G229" s="32">
        <f t="shared" si="234"/>
        <v>1149.2637266822408</v>
      </c>
      <c r="H229" s="32">
        <f t="shared" si="234"/>
        <v>1063.9111690453092</v>
      </c>
      <c r="I229" s="32">
        <f t="shared" si="234"/>
        <v>900.91353546038931</v>
      </c>
      <c r="J229" s="32">
        <f t="shared" si="234"/>
        <v>877.48770521904066</v>
      </c>
      <c r="K229" s="32">
        <f t="shared" si="234"/>
        <v>874.50447423788933</v>
      </c>
      <c r="L229" s="32">
        <f t="shared" si="234"/>
        <v>881.52624223414296</v>
      </c>
      <c r="M229" s="32">
        <f t="shared" si="234"/>
        <v>919.11159669656638</v>
      </c>
      <c r="N229" s="32">
        <f t="shared" si="234"/>
        <v>821.45246721298668</v>
      </c>
      <c r="O229" s="32">
        <f t="shared" si="234"/>
        <v>841.01718610776436</v>
      </c>
      <c r="P229" s="32">
        <f t="shared" si="234"/>
        <v>710.58723822980812</v>
      </c>
      <c r="Q229" s="32">
        <f t="shared" si="234"/>
        <v>686.30524981968938</v>
      </c>
      <c r="R229" s="32">
        <f t="shared" si="234"/>
        <v>658.53928610020932</v>
      </c>
      <c r="S229" s="32">
        <f t="shared" si="234"/>
        <v>645.32030505987666</v>
      </c>
      <c r="T229" s="32">
        <f t="shared" si="234"/>
        <v>718.31810880121566</v>
      </c>
      <c r="U229" s="32">
        <f t="shared" si="234"/>
        <v>722.34568672842261</v>
      </c>
      <c r="V229" s="32">
        <f t="shared" si="234"/>
        <v>701.9212145042809</v>
      </c>
      <c r="W229" s="32">
        <f t="shared" si="234"/>
        <v>612.32070349419371</v>
      </c>
      <c r="X229" s="32">
        <f t="shared" si="234"/>
        <v>509.85882411371676</v>
      </c>
      <c r="Y229" s="32">
        <f t="shared" si="234"/>
        <v>561.64276325805952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1390.2912801462321</v>
      </c>
      <c r="C230" s="141">
        <f t="shared" si="235"/>
        <v>1367.7893848312119</v>
      </c>
      <c r="D230" s="141">
        <f t="shared" si="235"/>
        <v>1319.8986378111335</v>
      </c>
      <c r="E230" s="141">
        <f t="shared" si="235"/>
        <v>1527.6961312870437</v>
      </c>
      <c r="F230" s="141">
        <f t="shared" si="235"/>
        <v>1851.9649368788441</v>
      </c>
      <c r="G230" s="141">
        <f t="shared" si="235"/>
        <v>2098.462262749706</v>
      </c>
      <c r="H230" s="141">
        <f t="shared" si="235"/>
        <v>1977.487728929166</v>
      </c>
      <c r="I230" s="141">
        <f t="shared" si="235"/>
        <v>1736.7740202602649</v>
      </c>
      <c r="J230" s="141">
        <f t="shared" si="235"/>
        <v>1612.6372537430277</v>
      </c>
      <c r="K230" s="141">
        <f t="shared" si="235"/>
        <v>1556.3086405966972</v>
      </c>
      <c r="L230" s="141">
        <f t="shared" si="235"/>
        <v>1639.8551495503966</v>
      </c>
      <c r="M230" s="141">
        <f t="shared" si="235"/>
        <v>1685.5027470699329</v>
      </c>
      <c r="N230" s="141">
        <f t="shared" si="235"/>
        <v>1236.8366395676665</v>
      </c>
      <c r="O230" s="141">
        <f t="shared" si="235"/>
        <v>1378.4373860062531</v>
      </c>
      <c r="P230" s="141">
        <f t="shared" si="235"/>
        <v>1094.1085242078502</v>
      </c>
      <c r="Q230" s="141">
        <f t="shared" si="235"/>
        <v>1143.2647174561607</v>
      </c>
      <c r="R230" s="141">
        <f t="shared" si="235"/>
        <v>1032.6748412720522</v>
      </c>
      <c r="S230" s="141">
        <f t="shared" si="235"/>
        <v>1055.9695960133211</v>
      </c>
      <c r="T230" s="141">
        <f t="shared" si="235"/>
        <v>1342.3338231785447</v>
      </c>
      <c r="U230" s="141">
        <f t="shared" si="235"/>
        <v>1386.7643619194057</v>
      </c>
      <c r="V230" s="141">
        <f t="shared" si="235"/>
        <v>1175.2251670380103</v>
      </c>
      <c r="W230" s="141">
        <f t="shared" si="235"/>
        <v>1098.2587493308026</v>
      </c>
      <c r="X230" s="141">
        <f t="shared" si="235"/>
        <v>833.69402123247994</v>
      </c>
      <c r="Y230" s="141">
        <f t="shared" si="235"/>
        <v>839.38899936779706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1451.1592822483328</v>
      </c>
      <c r="C231" s="97">
        <f t="shared" si="236"/>
        <v>1386.8901304838803</v>
      </c>
      <c r="D231" s="97">
        <f t="shared" si="236"/>
        <v>1344.0063261594119</v>
      </c>
      <c r="E231" s="97">
        <f t="shared" si="236"/>
        <v>1311.5510215235838</v>
      </c>
      <c r="F231" s="97">
        <f t="shared" si="236"/>
        <v>1277.476911805097</v>
      </c>
      <c r="G231" s="97">
        <f t="shared" si="236"/>
        <v>1250.7926130156209</v>
      </c>
      <c r="H231" s="97">
        <f t="shared" si="236"/>
        <v>1228.935490037255</v>
      </c>
      <c r="I231" s="97">
        <f t="shared" si="236"/>
        <v>1183.5393146626366</v>
      </c>
      <c r="J231" s="97">
        <f t="shared" si="236"/>
        <v>1164.3455059664564</v>
      </c>
      <c r="K231" s="97">
        <f t="shared" si="236"/>
        <v>1153.1922702698014</v>
      </c>
      <c r="L231" s="97">
        <f t="shared" si="236"/>
        <v>1154.1700161728547</v>
      </c>
      <c r="M231" s="97">
        <f t="shared" si="236"/>
        <v>1158.7911151015089</v>
      </c>
      <c r="N231" s="97">
        <f t="shared" si="236"/>
        <v>1133.9341018043528</v>
      </c>
      <c r="O231" s="97">
        <f t="shared" si="236"/>
        <v>1109.1716775233403</v>
      </c>
      <c r="P231" s="97">
        <f t="shared" si="236"/>
        <v>1092.8380161132434</v>
      </c>
      <c r="Q231" s="97">
        <f t="shared" si="236"/>
        <v>1069.4609885582258</v>
      </c>
      <c r="R231" s="97">
        <f t="shared" si="236"/>
        <v>1050.060155491376</v>
      </c>
      <c r="S231" s="97">
        <f t="shared" si="236"/>
        <v>1007.8865309899065</v>
      </c>
      <c r="T231" s="97">
        <f t="shared" si="236"/>
        <v>990.65522531431748</v>
      </c>
      <c r="U231" s="97">
        <f t="shared" si="236"/>
        <v>974.48716933713104</v>
      </c>
      <c r="V231" s="97">
        <f t="shared" si="236"/>
        <v>935.0474677023218</v>
      </c>
      <c r="W231" s="97">
        <f t="shared" si="236"/>
        <v>935.1812034298664</v>
      </c>
      <c r="X231" s="97">
        <f t="shared" si="236"/>
        <v>895.99304209832712</v>
      </c>
      <c r="Y231" s="97">
        <f t="shared" si="236"/>
        <v>879.6570320885528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1387.2785845921237</v>
      </c>
      <c r="C232" s="97">
        <f t="shared" si="237"/>
        <v>1366.8622430713333</v>
      </c>
      <c r="D232" s="97">
        <f t="shared" si="237"/>
        <v>1318.7562137115049</v>
      </c>
      <c r="E232" s="97">
        <f t="shared" si="237"/>
        <v>1538.3976201155851</v>
      </c>
      <c r="F232" s="97">
        <f t="shared" si="237"/>
        <v>1879.1837766769941</v>
      </c>
      <c r="G232" s="97">
        <f t="shared" si="237"/>
        <v>2141.0715219235017</v>
      </c>
      <c r="H232" s="97">
        <f t="shared" si="237"/>
        <v>2016.8619261371905</v>
      </c>
      <c r="I232" s="97">
        <f t="shared" si="237"/>
        <v>1766.6717155788799</v>
      </c>
      <c r="J232" s="97">
        <f t="shared" si="237"/>
        <v>1636.3475771374017</v>
      </c>
      <c r="K232" s="97">
        <f t="shared" si="237"/>
        <v>1580.270198223209</v>
      </c>
      <c r="L232" s="97">
        <f t="shared" si="237"/>
        <v>1667.9262910153984</v>
      </c>
      <c r="M232" s="97">
        <f t="shared" si="237"/>
        <v>1716.8554146734223</v>
      </c>
      <c r="N232" s="97">
        <f t="shared" si="237"/>
        <v>1241.8687473203777</v>
      </c>
      <c r="O232" s="97">
        <f t="shared" si="237"/>
        <v>1393.5559697063627</v>
      </c>
      <c r="P232" s="97">
        <f t="shared" si="237"/>
        <v>1094.1721045102479</v>
      </c>
      <c r="Q232" s="97">
        <f t="shared" si="237"/>
        <v>1147.7804070827031</v>
      </c>
      <c r="R232" s="97">
        <f t="shared" si="237"/>
        <v>1031.6274771484443</v>
      </c>
      <c r="S232" s="97">
        <f t="shared" si="237"/>
        <v>1058.9339311450312</v>
      </c>
      <c r="T232" s="97">
        <f t="shared" si="237"/>
        <v>1369.0786021652384</v>
      </c>
      <c r="U232" s="97">
        <f t="shared" si="237"/>
        <v>1418.1788900092554</v>
      </c>
      <c r="V232" s="97">
        <f t="shared" si="237"/>
        <v>1196.4072266083119</v>
      </c>
      <c r="W232" s="97">
        <f t="shared" si="237"/>
        <v>1111.770960348035</v>
      </c>
      <c r="X232" s="97">
        <f t="shared" si="237"/>
        <v>828.85441250718259</v>
      </c>
      <c r="Y232" s="97">
        <f t="shared" si="237"/>
        <v>835.80522930319603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9.9514551136522815</v>
      </c>
      <c r="C233" s="130">
        <f t="shared" si="238"/>
        <v>10.507178952353311</v>
      </c>
      <c r="D233" s="130">
        <f t="shared" si="238"/>
        <v>10.084159229831794</v>
      </c>
      <c r="E233" s="130">
        <f t="shared" si="238"/>
        <v>8.867918195439028</v>
      </c>
      <c r="F233" s="130">
        <f t="shared" si="238"/>
        <v>7.6468422458179779</v>
      </c>
      <c r="G233" s="130">
        <f t="shared" si="238"/>
        <v>5.59786367545742</v>
      </c>
      <c r="H233" s="130">
        <f t="shared" si="238"/>
        <v>3.0937475695425851</v>
      </c>
      <c r="I233" s="130">
        <f t="shared" si="238"/>
        <v>3.5931911922657704</v>
      </c>
      <c r="J233" s="130">
        <f t="shared" si="238"/>
        <v>4.5150097923062544</v>
      </c>
      <c r="K233" s="130">
        <f t="shared" si="238"/>
        <v>4.7650959362266834</v>
      </c>
      <c r="L233" s="130">
        <f t="shared" si="238"/>
        <v>3.3484230494644311</v>
      </c>
      <c r="M233" s="130">
        <f t="shared" si="238"/>
        <v>3.0814251698018094</v>
      </c>
      <c r="N233" s="130">
        <f t="shared" si="238"/>
        <v>3.428027549564042</v>
      </c>
      <c r="O233" s="130">
        <f t="shared" si="238"/>
        <v>3.2213380852118338</v>
      </c>
      <c r="P233" s="130">
        <f t="shared" si="238"/>
        <v>3.2570155273142518</v>
      </c>
      <c r="Q233" s="130">
        <f t="shared" si="238"/>
        <v>2.6943283335831838</v>
      </c>
      <c r="R233" s="130">
        <f t="shared" si="238"/>
        <v>2.643655174455569</v>
      </c>
      <c r="S233" s="130">
        <f t="shared" si="238"/>
        <v>2.4056877123867717</v>
      </c>
      <c r="T233" s="130">
        <f t="shared" si="238"/>
        <v>2.594602775002615</v>
      </c>
      <c r="U233" s="130">
        <f t="shared" si="238"/>
        <v>2.7382701823890709</v>
      </c>
      <c r="V233" s="130">
        <f t="shared" si="238"/>
        <v>3.7386144039644265</v>
      </c>
      <c r="W233" s="130">
        <f t="shared" si="238"/>
        <v>2.799878321213761</v>
      </c>
      <c r="X233" s="130">
        <f t="shared" si="238"/>
        <v>1.8679170072886657</v>
      </c>
      <c r="Y233" s="130">
        <f t="shared" si="238"/>
        <v>1.655888771675966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473.81972570348853</v>
      </c>
      <c r="C234" s="130">
        <f t="shared" si="239"/>
        <v>471.9067600501059</v>
      </c>
      <c r="D234" s="130">
        <f t="shared" si="239"/>
        <v>502.93589901796497</v>
      </c>
      <c r="E234" s="130">
        <f t="shared" si="239"/>
        <v>531.19256408912918</v>
      </c>
      <c r="F234" s="130">
        <f t="shared" si="239"/>
        <v>574.38558263058303</v>
      </c>
      <c r="G234" s="130">
        <f t="shared" si="239"/>
        <v>596.98201735421958</v>
      </c>
      <c r="H234" s="130">
        <f t="shared" si="239"/>
        <v>556.38252861268984</v>
      </c>
      <c r="I234" s="130">
        <f t="shared" si="239"/>
        <v>483.13249162944322</v>
      </c>
      <c r="J234" s="130">
        <f t="shared" si="239"/>
        <v>429.90715999181782</v>
      </c>
      <c r="K234" s="130">
        <f t="shared" si="239"/>
        <v>426.91728000608845</v>
      </c>
      <c r="L234" s="130">
        <f t="shared" si="239"/>
        <v>412.21685987577416</v>
      </c>
      <c r="M234" s="130">
        <f t="shared" si="239"/>
        <v>404.48923160653703</v>
      </c>
      <c r="N234" s="130">
        <f t="shared" si="239"/>
        <v>441.61785337186535</v>
      </c>
      <c r="O234" s="130">
        <f t="shared" si="239"/>
        <v>408.64075170553753</v>
      </c>
      <c r="P234" s="130">
        <f t="shared" si="239"/>
        <v>373.3494477142126</v>
      </c>
      <c r="Q234" s="130">
        <f t="shared" si="239"/>
        <v>360.76352068127272</v>
      </c>
      <c r="R234" s="130">
        <f t="shared" si="239"/>
        <v>392.56207182725444</v>
      </c>
      <c r="S234" s="130">
        <f t="shared" si="239"/>
        <v>363.35480833217144</v>
      </c>
      <c r="T234" s="130">
        <f t="shared" si="239"/>
        <v>329.54775955074336</v>
      </c>
      <c r="U234" s="130">
        <f t="shared" si="239"/>
        <v>288.88942401396849</v>
      </c>
      <c r="V234" s="130">
        <f t="shared" si="239"/>
        <v>442.58559406182076</v>
      </c>
      <c r="W234" s="130">
        <f t="shared" si="239"/>
        <v>365.32963681266295</v>
      </c>
      <c r="X234" s="130">
        <f t="shared" si="239"/>
        <v>348.62754909111317</v>
      </c>
      <c r="Y234" s="130">
        <f t="shared" si="239"/>
        <v>427.57214471165281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793.87595037963251</v>
      </c>
      <c r="C236" s="97">
        <f t="shared" si="241"/>
        <v>616.92343343621701</v>
      </c>
      <c r="D236" s="97">
        <f t="shared" si="241"/>
        <v>491.95748088984755</v>
      </c>
      <c r="E236" s="97">
        <f t="shared" si="241"/>
        <v>484.63907477033337</v>
      </c>
      <c r="F236" s="97">
        <f t="shared" si="241"/>
        <v>577.78827150620782</v>
      </c>
      <c r="G236" s="97">
        <f t="shared" si="241"/>
        <v>564.20010140397051</v>
      </c>
      <c r="H236" s="97">
        <f t="shared" si="241"/>
        <v>525.39425732474206</v>
      </c>
      <c r="I236" s="97">
        <f t="shared" si="241"/>
        <v>689.73289850275751</v>
      </c>
      <c r="J236" s="97">
        <f t="shared" si="241"/>
        <v>717.89812209427714</v>
      </c>
      <c r="K236" s="97">
        <f t="shared" si="241"/>
        <v>938.24353105968009</v>
      </c>
      <c r="L236" s="97">
        <f t="shared" si="241"/>
        <v>940.80402451984025</v>
      </c>
      <c r="M236" s="97">
        <f t="shared" si="241"/>
        <v>624.58424592001882</v>
      </c>
      <c r="N236" s="97">
        <f t="shared" si="241"/>
        <v>534.86971355424384</v>
      </c>
      <c r="O236" s="97">
        <f t="shared" si="241"/>
        <v>518.06795561583408</v>
      </c>
      <c r="P236" s="97">
        <f t="shared" si="241"/>
        <v>593.80050065400189</v>
      </c>
      <c r="Q236" s="97">
        <f t="shared" si="241"/>
        <v>729.34765546487836</v>
      </c>
      <c r="R236" s="97">
        <f t="shared" si="241"/>
        <v>535.44773486363476</v>
      </c>
      <c r="S236" s="97">
        <f t="shared" si="241"/>
        <v>901.91736023499459</v>
      </c>
      <c r="T236" s="97">
        <f t="shared" si="241"/>
        <v>1133.1679373185489</v>
      </c>
      <c r="U236" s="97">
        <f t="shared" si="241"/>
        <v>1328.3317175032948</v>
      </c>
      <c r="V236" s="97">
        <f t="shared" si="241"/>
        <v>1263.281342370896</v>
      </c>
      <c r="W236" s="97">
        <f t="shared" si="241"/>
        <v>1291.8354821639407</v>
      </c>
      <c r="X236" s="97">
        <f t="shared" si="241"/>
        <v>1032.1231583104188</v>
      </c>
      <c r="Y236" s="97">
        <f t="shared" si="241"/>
        <v>640.79790401933519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466.26686281167224</v>
      </c>
      <c r="C237" s="97">
        <f t="shared" si="242"/>
        <v>470.16683862879694</v>
      </c>
      <c r="D237" s="97">
        <f t="shared" si="242"/>
        <v>503.04561649460209</v>
      </c>
      <c r="E237" s="97">
        <f t="shared" si="242"/>
        <v>531.9768752967351</v>
      </c>
      <c r="F237" s="97">
        <f t="shared" si="242"/>
        <v>574.3399591455011</v>
      </c>
      <c r="G237" s="97">
        <f t="shared" si="242"/>
        <v>597.51946214106192</v>
      </c>
      <c r="H237" s="97">
        <f t="shared" si="242"/>
        <v>556.66281496916338</v>
      </c>
      <c r="I237" s="97">
        <f t="shared" si="242"/>
        <v>481.02399224959288</v>
      </c>
      <c r="J237" s="97">
        <f t="shared" si="242"/>
        <v>426.34559948090487</v>
      </c>
      <c r="K237" s="97">
        <f t="shared" si="242"/>
        <v>421.30494437184603</v>
      </c>
      <c r="L237" s="97">
        <f t="shared" si="242"/>
        <v>406.19808348730686</v>
      </c>
      <c r="M237" s="97">
        <f t="shared" si="242"/>
        <v>402.54492386928126</v>
      </c>
      <c r="N237" s="97">
        <f t="shared" si="242"/>
        <v>440.53974751660724</v>
      </c>
      <c r="O237" s="97">
        <f t="shared" si="242"/>
        <v>407.3419594516281</v>
      </c>
      <c r="P237" s="97">
        <f t="shared" si="242"/>
        <v>370.68259376025651</v>
      </c>
      <c r="Q237" s="97">
        <f t="shared" si="242"/>
        <v>357.44561547591127</v>
      </c>
      <c r="R237" s="97">
        <f t="shared" si="242"/>
        <v>391.52551356885931</v>
      </c>
      <c r="S237" s="97">
        <f t="shared" si="242"/>
        <v>359.15883452222818</v>
      </c>
      <c r="T237" s="97">
        <f t="shared" si="242"/>
        <v>323.69422594682845</v>
      </c>
      <c r="U237" s="97">
        <f t="shared" si="242"/>
        <v>281.77522013092823</v>
      </c>
      <c r="V237" s="97">
        <f t="shared" si="242"/>
        <v>438.13064701624165</v>
      </c>
      <c r="W237" s="97">
        <f t="shared" si="242"/>
        <v>361.16349706500597</v>
      </c>
      <c r="X237" s="97">
        <f t="shared" si="242"/>
        <v>345.22130602029404</v>
      </c>
      <c r="Y237" s="97">
        <f t="shared" si="242"/>
        <v>426.11508998860268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3.7672228285714286</v>
      </c>
      <c r="C238" s="130">
        <f t="shared" si="243"/>
        <v>3.779766300808626</v>
      </c>
      <c r="D238" s="130">
        <f t="shared" si="243"/>
        <v>3.7815969697297298</v>
      </c>
      <c r="E238" s="130">
        <f t="shared" si="243"/>
        <v>3.8976590620253169</v>
      </c>
      <c r="F238" s="130">
        <f t="shared" si="243"/>
        <v>3.7815969697297298</v>
      </c>
      <c r="G238" s="130">
        <f t="shared" si="243"/>
        <v>3.8372022000000001</v>
      </c>
      <c r="H238" s="130">
        <f t="shared" si="243"/>
        <v>3.7619881511811029</v>
      </c>
      <c r="I238" s="130">
        <f t="shared" si="243"/>
        <v>3.8308127791304343</v>
      </c>
      <c r="J238" s="130">
        <f t="shared" si="243"/>
        <v>3.7871488348773847</v>
      </c>
      <c r="K238" s="130">
        <f t="shared" si="243"/>
        <v>3.9920012516129026</v>
      </c>
      <c r="L238" s="130">
        <f t="shared" si="243"/>
        <v>3.8024074428969366</v>
      </c>
      <c r="M238" s="130">
        <f t="shared" si="243"/>
        <v>3.9263398583606559</v>
      </c>
      <c r="N238" s="130">
        <f t="shared" si="243"/>
        <v>3.853845931034483</v>
      </c>
      <c r="O238" s="130">
        <f t="shared" si="243"/>
        <v>3.2878926517571885</v>
      </c>
      <c r="P238" s="130">
        <f t="shared" si="243"/>
        <v>3.6768505263157891</v>
      </c>
      <c r="Q238" s="130">
        <f t="shared" si="243"/>
        <v>4.0667790638297872</v>
      </c>
      <c r="R238" s="130">
        <f t="shared" si="243"/>
        <v>4.7224818947368412</v>
      </c>
      <c r="S238" s="130">
        <f t="shared" si="243"/>
        <v>4.6935083076923076</v>
      </c>
      <c r="T238" s="130">
        <f t="shared" si="243"/>
        <v>4.452697756097562</v>
      </c>
      <c r="U238" s="130">
        <f t="shared" si="243"/>
        <v>3.8358236842105269</v>
      </c>
      <c r="V238" s="130">
        <f t="shared" si="243"/>
        <v>1.4572262686567166</v>
      </c>
      <c r="W238" s="130">
        <f t="shared" si="243"/>
        <v>1.1752191705069126</v>
      </c>
      <c r="X238" s="130">
        <f t="shared" si="243"/>
        <v>1.5432066</v>
      </c>
      <c r="Y238" s="130">
        <f t="shared" si="243"/>
        <v>2.1938989090909091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0</v>
      </c>
      <c r="J239" s="97">
        <f t="shared" si="244"/>
        <v>0</v>
      </c>
      <c r="K239" s="97">
        <f t="shared" si="244"/>
        <v>0</v>
      </c>
      <c r="L239" s="97">
        <f t="shared" si="244"/>
        <v>0</v>
      </c>
      <c r="M239" s="97">
        <f t="shared" si="244"/>
        <v>0</v>
      </c>
      <c r="N239" s="97">
        <f t="shared" si="244"/>
        <v>0</v>
      </c>
      <c r="O239" s="97">
        <f t="shared" si="244"/>
        <v>0</v>
      </c>
      <c r="P239" s="97">
        <f t="shared" si="244"/>
        <v>0</v>
      </c>
      <c r="Q239" s="97">
        <f t="shared" si="244"/>
        <v>0</v>
      </c>
      <c r="R239" s="97">
        <f t="shared" si="244"/>
        <v>0</v>
      </c>
      <c r="S239" s="97">
        <f t="shared" si="244"/>
        <v>0</v>
      </c>
      <c r="T239" s="97">
        <f t="shared" si="244"/>
        <v>0</v>
      </c>
      <c r="U239" s="97">
        <f t="shared" si="244"/>
        <v>0</v>
      </c>
      <c r="V239" s="97">
        <f t="shared" si="244"/>
        <v>0</v>
      </c>
      <c r="W239" s="97">
        <f t="shared" si="244"/>
        <v>0</v>
      </c>
      <c r="X239" s="97">
        <f t="shared" si="244"/>
        <v>0</v>
      </c>
      <c r="Y239" s="97">
        <f t="shared" si="244"/>
        <v>0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3.7672228285714286</v>
      </c>
      <c r="C240" s="98">
        <f t="shared" si="245"/>
        <v>3.779766300808626</v>
      </c>
      <c r="D240" s="98">
        <f t="shared" si="245"/>
        <v>3.7815969697297298</v>
      </c>
      <c r="E240" s="98">
        <f t="shared" si="245"/>
        <v>3.8976590620253169</v>
      </c>
      <c r="F240" s="98">
        <f t="shared" si="245"/>
        <v>3.7815969697297298</v>
      </c>
      <c r="G240" s="98">
        <f t="shared" si="245"/>
        <v>3.8372022000000001</v>
      </c>
      <c r="H240" s="98">
        <f t="shared" si="245"/>
        <v>3.7619881511811029</v>
      </c>
      <c r="I240" s="98">
        <f t="shared" si="245"/>
        <v>3.8308127791304343</v>
      </c>
      <c r="J240" s="98">
        <f t="shared" si="245"/>
        <v>3.7871488348773847</v>
      </c>
      <c r="K240" s="98">
        <f t="shared" si="245"/>
        <v>3.9920012516129026</v>
      </c>
      <c r="L240" s="98">
        <f t="shared" si="245"/>
        <v>3.8024074428969366</v>
      </c>
      <c r="M240" s="98">
        <f t="shared" si="245"/>
        <v>3.9263398583606559</v>
      </c>
      <c r="N240" s="98">
        <f t="shared" si="245"/>
        <v>3.853845931034483</v>
      </c>
      <c r="O240" s="98">
        <f t="shared" si="245"/>
        <v>3.2878926517571885</v>
      </c>
      <c r="P240" s="98">
        <f t="shared" si="245"/>
        <v>3.6768505263157891</v>
      </c>
      <c r="Q240" s="98">
        <f t="shared" si="245"/>
        <v>4.0667790638297872</v>
      </c>
      <c r="R240" s="98">
        <f t="shared" si="245"/>
        <v>4.7224818947368412</v>
      </c>
      <c r="S240" s="98">
        <f t="shared" si="245"/>
        <v>4.6935083076923076</v>
      </c>
      <c r="T240" s="98">
        <f t="shared" si="245"/>
        <v>4.452697756097562</v>
      </c>
      <c r="U240" s="98">
        <f t="shared" si="245"/>
        <v>3.8358236842105269</v>
      </c>
      <c r="V240" s="98">
        <f t="shared" si="245"/>
        <v>1.4572262686567166</v>
      </c>
      <c r="W240" s="98">
        <f t="shared" si="245"/>
        <v>1.1752191705069126</v>
      </c>
      <c r="X240" s="98">
        <f t="shared" si="245"/>
        <v>1.5432066</v>
      </c>
      <c r="Y240" s="98">
        <f t="shared" si="245"/>
        <v>2.1938989090909091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0</v>
      </c>
      <c r="C241" s="32">
        <f t="shared" si="246"/>
        <v>0</v>
      </c>
      <c r="D241" s="32">
        <f t="shared" si="246"/>
        <v>0</v>
      </c>
      <c r="E241" s="32">
        <f t="shared" si="246"/>
        <v>0</v>
      </c>
      <c r="F241" s="32">
        <f t="shared" si="246"/>
        <v>0</v>
      </c>
      <c r="G241" s="32">
        <f t="shared" si="246"/>
        <v>0</v>
      </c>
      <c r="H241" s="32">
        <f t="shared" si="246"/>
        <v>0</v>
      </c>
      <c r="I241" s="32">
        <f t="shared" si="246"/>
        <v>0</v>
      </c>
      <c r="J241" s="32">
        <f t="shared" si="246"/>
        <v>0</v>
      </c>
      <c r="K241" s="32">
        <f t="shared" si="246"/>
        <v>0</v>
      </c>
      <c r="L241" s="32">
        <f t="shared" si="246"/>
        <v>0</v>
      </c>
      <c r="M241" s="32">
        <f t="shared" si="246"/>
        <v>0</v>
      </c>
      <c r="N241" s="32">
        <f t="shared" si="246"/>
        <v>0</v>
      </c>
      <c r="O241" s="32">
        <f t="shared" si="246"/>
        <v>0</v>
      </c>
      <c r="P241" s="32">
        <f t="shared" si="246"/>
        <v>0</v>
      </c>
      <c r="Q241" s="32">
        <f t="shared" si="246"/>
        <v>0</v>
      </c>
      <c r="R241" s="32">
        <f t="shared" si="246"/>
        <v>0</v>
      </c>
      <c r="S241" s="32">
        <f t="shared" si="246"/>
        <v>0</v>
      </c>
      <c r="T241" s="32">
        <f t="shared" si="246"/>
        <v>0</v>
      </c>
      <c r="U241" s="32">
        <f t="shared" si="246"/>
        <v>0</v>
      </c>
      <c r="V241" s="32">
        <f t="shared" si="246"/>
        <v>0</v>
      </c>
      <c r="W241" s="32">
        <f t="shared" si="246"/>
        <v>0</v>
      </c>
      <c r="X241" s="32">
        <f t="shared" si="246"/>
        <v>0</v>
      </c>
      <c r="Y241" s="32">
        <f t="shared" si="246"/>
        <v>0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0</v>
      </c>
      <c r="C242" s="97">
        <f t="shared" si="247"/>
        <v>0</v>
      </c>
      <c r="D242" s="97">
        <f t="shared" si="247"/>
        <v>0</v>
      </c>
      <c r="E242" s="97">
        <f t="shared" si="247"/>
        <v>0</v>
      </c>
      <c r="F242" s="97">
        <f t="shared" si="247"/>
        <v>0</v>
      </c>
      <c r="G242" s="97">
        <f t="shared" si="247"/>
        <v>0</v>
      </c>
      <c r="H242" s="97">
        <f t="shared" si="247"/>
        <v>0</v>
      </c>
      <c r="I242" s="97">
        <f t="shared" si="247"/>
        <v>0</v>
      </c>
      <c r="J242" s="97">
        <f t="shared" si="247"/>
        <v>0</v>
      </c>
      <c r="K242" s="97">
        <f t="shared" si="247"/>
        <v>0</v>
      </c>
      <c r="L242" s="97">
        <f t="shared" si="247"/>
        <v>0</v>
      </c>
      <c r="M242" s="97">
        <f t="shared" si="247"/>
        <v>0</v>
      </c>
      <c r="N242" s="97">
        <f t="shared" si="247"/>
        <v>0</v>
      </c>
      <c r="O242" s="97">
        <f t="shared" si="247"/>
        <v>0</v>
      </c>
      <c r="P242" s="97">
        <f t="shared" si="247"/>
        <v>0</v>
      </c>
      <c r="Q242" s="97">
        <f t="shared" si="247"/>
        <v>0</v>
      </c>
      <c r="R242" s="97">
        <f t="shared" si="247"/>
        <v>0</v>
      </c>
      <c r="S242" s="97">
        <f t="shared" si="247"/>
        <v>0</v>
      </c>
      <c r="T242" s="97">
        <f t="shared" si="247"/>
        <v>0</v>
      </c>
      <c r="U242" s="97">
        <f t="shared" si="247"/>
        <v>0</v>
      </c>
      <c r="V242" s="97">
        <f t="shared" si="247"/>
        <v>0</v>
      </c>
      <c r="W242" s="97">
        <f t="shared" si="247"/>
        <v>0</v>
      </c>
      <c r="X242" s="97">
        <f t="shared" si="247"/>
        <v>0</v>
      </c>
      <c r="Y242" s="97">
        <f t="shared" si="247"/>
        <v>0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0</v>
      </c>
      <c r="C243" s="98">
        <f t="shared" si="248"/>
        <v>0</v>
      </c>
      <c r="D243" s="98">
        <f t="shared" si="248"/>
        <v>0</v>
      </c>
      <c r="E243" s="98">
        <f t="shared" si="248"/>
        <v>0</v>
      </c>
      <c r="F243" s="98">
        <f t="shared" si="248"/>
        <v>0</v>
      </c>
      <c r="G243" s="98">
        <f t="shared" si="248"/>
        <v>0</v>
      </c>
      <c r="H243" s="98">
        <f t="shared" si="248"/>
        <v>0</v>
      </c>
      <c r="I243" s="98">
        <f t="shared" si="248"/>
        <v>0</v>
      </c>
      <c r="J243" s="98">
        <f t="shared" si="248"/>
        <v>0</v>
      </c>
      <c r="K243" s="98">
        <f t="shared" si="248"/>
        <v>0</v>
      </c>
      <c r="L243" s="98">
        <f t="shared" si="248"/>
        <v>0</v>
      </c>
      <c r="M243" s="98">
        <f t="shared" si="248"/>
        <v>0</v>
      </c>
      <c r="N243" s="98">
        <f t="shared" si="248"/>
        <v>0</v>
      </c>
      <c r="O243" s="98">
        <f t="shared" si="248"/>
        <v>0</v>
      </c>
      <c r="P243" s="98">
        <f t="shared" si="248"/>
        <v>0</v>
      </c>
      <c r="Q243" s="98">
        <f t="shared" si="248"/>
        <v>0</v>
      </c>
      <c r="R243" s="98">
        <f t="shared" si="248"/>
        <v>0</v>
      </c>
      <c r="S243" s="98">
        <f t="shared" si="248"/>
        <v>0</v>
      </c>
      <c r="T243" s="98">
        <f t="shared" si="248"/>
        <v>0</v>
      </c>
      <c r="U243" s="98">
        <f t="shared" si="248"/>
        <v>0</v>
      </c>
      <c r="V243" s="98">
        <f t="shared" si="248"/>
        <v>0</v>
      </c>
      <c r="W243" s="98">
        <f t="shared" si="248"/>
        <v>0</v>
      </c>
      <c r="X243" s="98">
        <f t="shared" si="248"/>
        <v>0</v>
      </c>
      <c r="Y243" s="98">
        <f t="shared" si="248"/>
        <v>0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6255.6317222861408</v>
      </c>
      <c r="C4" s="29">
        <f t="shared" si="0"/>
        <v>6497.2440064611601</v>
      </c>
      <c r="D4" s="29">
        <f t="shared" si="0"/>
        <v>6660.0928900370072</v>
      </c>
      <c r="E4" s="29">
        <f t="shared" si="0"/>
        <v>6781.1754311188497</v>
      </c>
      <c r="F4" s="29">
        <f t="shared" si="0"/>
        <v>6914.1507940843348</v>
      </c>
      <c r="G4" s="29">
        <f t="shared" si="0"/>
        <v>7145.8472926373061</v>
      </c>
      <c r="H4" s="29">
        <f t="shared" si="0"/>
        <v>7366.8234755473977</v>
      </c>
      <c r="I4" s="29">
        <f t="shared" si="0"/>
        <v>7508.65457210158</v>
      </c>
      <c r="J4" s="29">
        <f t="shared" si="0"/>
        <v>7659.2430707339299</v>
      </c>
      <c r="K4" s="29">
        <f t="shared" si="0"/>
        <v>7656.9699239061711</v>
      </c>
      <c r="L4" s="29">
        <f t="shared" ref="L4" si="1">L5+L6+L13</f>
        <v>7492.9961775990878</v>
      </c>
      <c r="M4" s="29">
        <f t="shared" ref="M4:V4" si="2">M5+M6+M13</f>
        <v>7633.9489954451537</v>
      </c>
      <c r="N4" s="29">
        <f t="shared" si="2"/>
        <v>7795.3654463655857</v>
      </c>
      <c r="O4" s="29">
        <f t="shared" si="2"/>
        <v>7936.7392246725476</v>
      </c>
      <c r="P4" s="29">
        <f t="shared" si="2"/>
        <v>8232.2041501387866</v>
      </c>
      <c r="Q4" s="29">
        <f t="shared" si="2"/>
        <v>8479.3337490367812</v>
      </c>
      <c r="R4" s="29">
        <f t="shared" si="2"/>
        <v>8703.8419914134101</v>
      </c>
      <c r="S4" s="29">
        <f t="shared" si="2"/>
        <v>8884.3187442664748</v>
      </c>
      <c r="T4" s="29">
        <f t="shared" si="2"/>
        <v>9065.7808838035435</v>
      </c>
      <c r="U4" s="29">
        <f t="shared" si="2"/>
        <v>9291.1239496617327</v>
      </c>
      <c r="V4" s="29">
        <f t="shared" si="2"/>
        <v>7966.6745682909341</v>
      </c>
      <c r="W4" s="29">
        <f t="shared" ref="W4:Y4" si="3">W5+W6+W13</f>
        <v>8506.9236858083495</v>
      </c>
      <c r="X4" s="29">
        <f t="shared" si="3"/>
        <v>9220.7573136326482</v>
      </c>
      <c r="Y4" s="29">
        <f t="shared" si="3"/>
        <v>9756.0173939554479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35.631722286139627</v>
      </c>
      <c r="C5" s="152">
        <f t="shared" si="4"/>
        <v>37.244006461159671</v>
      </c>
      <c r="D5" s="152">
        <f t="shared" si="4"/>
        <v>40.092890037007464</v>
      </c>
      <c r="E5" s="152">
        <f t="shared" si="4"/>
        <v>41.175431118849801</v>
      </c>
      <c r="F5" s="152">
        <f t="shared" si="4"/>
        <v>44.150794084334599</v>
      </c>
      <c r="G5" s="152">
        <f t="shared" si="4"/>
        <v>45.847292637306907</v>
      </c>
      <c r="H5" s="152">
        <f t="shared" si="4"/>
        <v>46.823475547398445</v>
      </c>
      <c r="I5" s="152">
        <f t="shared" si="4"/>
        <v>48.65457210158096</v>
      </c>
      <c r="J5" s="152">
        <f t="shared" si="4"/>
        <v>49.243070733930274</v>
      </c>
      <c r="K5" s="152">
        <f t="shared" si="4"/>
        <v>51.097235672041158</v>
      </c>
      <c r="L5" s="152">
        <f t="shared" ref="L5:L7" si="5">IF(L32=0,0,L32*L142)</f>
        <v>52.996177599086657</v>
      </c>
      <c r="M5" s="152">
        <f t="shared" ref="M5:V5" si="6">IF(M32=0,0,M32*M142)</f>
        <v>54.560925540947771</v>
      </c>
      <c r="N5" s="152">
        <f t="shared" si="6"/>
        <v>57.320509224181158</v>
      </c>
      <c r="O5" s="152">
        <f t="shared" si="6"/>
        <v>59.34978016060294</v>
      </c>
      <c r="P5" s="152">
        <f t="shared" si="6"/>
        <v>62.26182874554317</v>
      </c>
      <c r="Q5" s="152">
        <f t="shared" si="6"/>
        <v>65.146087920549377</v>
      </c>
      <c r="R5" s="152">
        <f t="shared" si="6"/>
        <v>68.433834711115381</v>
      </c>
      <c r="S5" s="152">
        <f t="shared" si="6"/>
        <v>64.889085961526646</v>
      </c>
      <c r="T5" s="152">
        <f t="shared" si="6"/>
        <v>61.698311972207932</v>
      </c>
      <c r="U5" s="152">
        <f t="shared" si="6"/>
        <v>65.295990022222711</v>
      </c>
      <c r="V5" s="152">
        <f t="shared" si="6"/>
        <v>58.855850582187664</v>
      </c>
      <c r="W5" s="152">
        <f t="shared" ref="W5:Y5" si="7">IF(W32=0,0,W32*W142)</f>
        <v>61.555694768589866</v>
      </c>
      <c r="X5" s="152">
        <f t="shared" si="7"/>
        <v>62.523121376493776</v>
      </c>
      <c r="Y5" s="152">
        <f t="shared" si="7"/>
        <v>67.656372090851889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5600.0000000000009</v>
      </c>
      <c r="C6" s="116">
        <f t="shared" si="8"/>
        <v>5800</v>
      </c>
      <c r="D6" s="116">
        <f t="shared" si="8"/>
        <v>5900</v>
      </c>
      <c r="E6" s="116">
        <f t="shared" si="8"/>
        <v>6000</v>
      </c>
      <c r="F6" s="116">
        <f t="shared" si="8"/>
        <v>6100</v>
      </c>
      <c r="G6" s="116">
        <f t="shared" si="8"/>
        <v>6299.9999999999991</v>
      </c>
      <c r="H6" s="116">
        <f t="shared" si="8"/>
        <v>6499.9999999999991</v>
      </c>
      <c r="I6" s="116">
        <f t="shared" si="8"/>
        <v>6599.9999999999991</v>
      </c>
      <c r="J6" s="116">
        <f t="shared" si="8"/>
        <v>6700</v>
      </c>
      <c r="K6" s="116">
        <f t="shared" si="8"/>
        <v>6699.9999999999991</v>
      </c>
      <c r="L6" s="116">
        <f t="shared" ref="L6" si="9">SUM(L7:L12)</f>
        <v>6500.0000000000009</v>
      </c>
      <c r="M6" s="116">
        <f t="shared" ref="M6:V6" si="10">SUM(M7:M12)</f>
        <v>6591.7580235815713</v>
      </c>
      <c r="N6" s="116">
        <f t="shared" si="10"/>
        <v>6733.1326886576999</v>
      </c>
      <c r="O6" s="116">
        <f t="shared" si="10"/>
        <v>6850.9305497477935</v>
      </c>
      <c r="P6" s="116">
        <f t="shared" si="10"/>
        <v>7132.3960366344818</v>
      </c>
      <c r="Q6" s="116">
        <f t="shared" si="10"/>
        <v>7321.3582606667269</v>
      </c>
      <c r="R6" s="116">
        <f t="shared" si="10"/>
        <v>7525.4204786711543</v>
      </c>
      <c r="S6" s="116">
        <f t="shared" si="10"/>
        <v>7673.9151349680515</v>
      </c>
      <c r="T6" s="116">
        <f t="shared" si="10"/>
        <v>7833.7138706263568</v>
      </c>
      <c r="U6" s="116">
        <f t="shared" si="10"/>
        <v>8005.9701102464032</v>
      </c>
      <c r="V6" s="116">
        <f t="shared" si="10"/>
        <v>7076.6942506143023</v>
      </c>
      <c r="W6" s="116">
        <f t="shared" ref="W6:Y6" si="11">SUM(W7:W12)</f>
        <v>7551.3655833822504</v>
      </c>
      <c r="X6" s="116">
        <f t="shared" si="11"/>
        <v>7933.622095745859</v>
      </c>
      <c r="Y6" s="116">
        <f t="shared" si="11"/>
        <v>8320.6351673842601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3709.8324113685862</v>
      </c>
      <c r="C7" s="87">
        <f t="shared" si="12"/>
        <v>3621.1538767718357</v>
      </c>
      <c r="D7" s="87">
        <f t="shared" si="12"/>
        <v>3463.1792465332373</v>
      </c>
      <c r="E7" s="87">
        <f t="shared" si="12"/>
        <v>3327.0408876933311</v>
      </c>
      <c r="F7" s="87">
        <f t="shared" si="12"/>
        <v>3125.3899090427026</v>
      </c>
      <c r="G7" s="87">
        <f t="shared" si="12"/>
        <v>2977.1305069397881</v>
      </c>
      <c r="H7" s="87">
        <f t="shared" si="12"/>
        <v>2820.4381977421149</v>
      </c>
      <c r="I7" s="87">
        <f t="shared" si="12"/>
        <v>2695.2692457140865</v>
      </c>
      <c r="J7" s="87">
        <f t="shared" si="12"/>
        <v>2630.2099418000275</v>
      </c>
      <c r="K7" s="87">
        <f t="shared" si="12"/>
        <v>2500.08561124779</v>
      </c>
      <c r="L7" s="87">
        <f t="shared" si="5"/>
        <v>2331.6565654912824</v>
      </c>
      <c r="M7" s="87">
        <f t="shared" ref="M7:V7" si="13">IF(M34=0,0,M34*M144)</f>
        <v>2344.1588243556666</v>
      </c>
      <c r="N7" s="87">
        <f t="shared" si="13"/>
        <v>2340.1109727506714</v>
      </c>
      <c r="O7" s="87">
        <f t="shared" si="13"/>
        <v>2296.2529988599372</v>
      </c>
      <c r="P7" s="87">
        <f t="shared" si="13"/>
        <v>2322.4840709691621</v>
      </c>
      <c r="Q7" s="87">
        <f t="shared" si="13"/>
        <v>2370.5525321874443</v>
      </c>
      <c r="R7" s="87">
        <f t="shared" si="13"/>
        <v>2511.2610366735312</v>
      </c>
      <c r="S7" s="87">
        <f t="shared" si="13"/>
        <v>2727.6912570354857</v>
      </c>
      <c r="T7" s="87">
        <f t="shared" si="13"/>
        <v>2990.1411788442315</v>
      </c>
      <c r="U7" s="87">
        <f t="shared" si="13"/>
        <v>3263.1965575881381</v>
      </c>
      <c r="V7" s="87">
        <f t="shared" si="13"/>
        <v>3009.1836854394255</v>
      </c>
      <c r="W7" s="87">
        <f t="shared" ref="W7:Y7" si="14">IF(W34=0,0,W34*W144)</f>
        <v>3287.0793172169688</v>
      </c>
      <c r="X7" s="87">
        <f t="shared" si="14"/>
        <v>3515.8866629428912</v>
      </c>
      <c r="Y7" s="87">
        <f t="shared" si="14"/>
        <v>3746.7220139998763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1847.4549093005735</v>
      </c>
      <c r="C8" s="87">
        <f t="shared" si="15"/>
        <v>2128.6504362640089</v>
      </c>
      <c r="D8" s="87">
        <f t="shared" si="15"/>
        <v>2385.057990381858</v>
      </c>
      <c r="E8" s="87">
        <f t="shared" si="15"/>
        <v>2624.6315944601447</v>
      </c>
      <c r="F8" s="87">
        <f t="shared" si="15"/>
        <v>2929.2861101165781</v>
      </c>
      <c r="G8" s="87">
        <f t="shared" si="15"/>
        <v>3279.7794283157546</v>
      </c>
      <c r="H8" s="87">
        <f t="shared" si="15"/>
        <v>3658.0942248284555</v>
      </c>
      <c r="I8" s="87">
        <f t="shared" si="15"/>
        <v>3884.2742184148219</v>
      </c>
      <c r="J8" s="87">
        <f t="shared" si="15"/>
        <v>4049.0024312031242</v>
      </c>
      <c r="K8" s="87">
        <f t="shared" si="15"/>
        <v>4177.7633232246444</v>
      </c>
      <c r="L8" s="87">
        <f t="shared" ref="L8" si="16">IF(L35=0,0,L35*L145)</f>
        <v>4144.092122793254</v>
      </c>
      <c r="M8" s="87">
        <f t="shared" ref="M8:V8" si="17">IF(M35=0,0,M35*M145)</f>
        <v>4222.5243730977791</v>
      </c>
      <c r="N8" s="87">
        <f t="shared" si="17"/>
        <v>4362.9055937993971</v>
      </c>
      <c r="O8" s="87">
        <f t="shared" si="17"/>
        <v>4516.961942719081</v>
      </c>
      <c r="P8" s="87">
        <f t="shared" si="17"/>
        <v>4766.6081411496216</v>
      </c>
      <c r="Q8" s="87">
        <f t="shared" si="17"/>
        <v>4906.897592310439</v>
      </c>
      <c r="R8" s="87">
        <f t="shared" si="17"/>
        <v>4966.8936783235677</v>
      </c>
      <c r="S8" s="87">
        <f t="shared" si="17"/>
        <v>4895.6560865700212</v>
      </c>
      <c r="T8" s="87">
        <f t="shared" si="17"/>
        <v>4790.0522515157454</v>
      </c>
      <c r="U8" s="87">
        <f t="shared" si="17"/>
        <v>4657.0738945683634</v>
      </c>
      <c r="V8" s="87">
        <f t="shared" si="17"/>
        <v>3940.1130750587495</v>
      </c>
      <c r="W8" s="87">
        <f t="shared" ref="W8:Y8" si="18">IF(W35=0,0,W35*W145)</f>
        <v>3987.3169698854331</v>
      </c>
      <c r="X8" s="87">
        <f t="shared" si="18"/>
        <v>3984.2535975824649</v>
      </c>
      <c r="Y8" s="87">
        <f t="shared" si="18"/>
        <v>3886.0470128915758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42.712679330840345</v>
      </c>
      <c r="C9" s="87">
        <f t="shared" si="19"/>
        <v>50.195686964155428</v>
      </c>
      <c r="D9" s="87">
        <f t="shared" si="19"/>
        <v>51.762763084904712</v>
      </c>
      <c r="E9" s="87">
        <f t="shared" si="19"/>
        <v>48.32751784652438</v>
      </c>
      <c r="F9" s="87">
        <f t="shared" si="19"/>
        <v>45.323980840719365</v>
      </c>
      <c r="G9" s="87">
        <f t="shared" si="19"/>
        <v>43.090064744457159</v>
      </c>
      <c r="H9" s="87">
        <f t="shared" si="19"/>
        <v>21.467577429429554</v>
      </c>
      <c r="I9" s="87">
        <f t="shared" si="19"/>
        <v>20.456535871090956</v>
      </c>
      <c r="J9" s="87">
        <f t="shared" si="19"/>
        <v>20.771387722746045</v>
      </c>
      <c r="K9" s="87">
        <f t="shared" si="19"/>
        <v>22.11855269384732</v>
      </c>
      <c r="L9" s="87">
        <f t="shared" ref="L9" si="20">IF(L36=0,0,L36*L146)</f>
        <v>21.055535574565013</v>
      </c>
      <c r="M9" s="87">
        <f t="shared" ref="M9:V9" si="21">IF(M36=0,0,M36*M146)</f>
        <v>20.097213547368213</v>
      </c>
      <c r="N9" s="87">
        <f t="shared" si="21"/>
        <v>19.977661887273342</v>
      </c>
      <c r="O9" s="87">
        <f t="shared" si="21"/>
        <v>20.709045912507001</v>
      </c>
      <c r="P9" s="87">
        <f t="shared" si="21"/>
        <v>20.567396298560354</v>
      </c>
      <c r="Q9" s="87">
        <f t="shared" si="21"/>
        <v>20.010521063011655</v>
      </c>
      <c r="R9" s="87">
        <f t="shared" si="21"/>
        <v>19.963377317438177</v>
      </c>
      <c r="S9" s="87">
        <f t="shared" si="21"/>
        <v>16.756082076703557</v>
      </c>
      <c r="T9" s="87">
        <f t="shared" si="21"/>
        <v>4.6689092441610347</v>
      </c>
      <c r="U9" s="87">
        <f t="shared" si="21"/>
        <v>2.8080362318295276</v>
      </c>
      <c r="V9" s="87">
        <f t="shared" si="21"/>
        <v>4.8235002582532678</v>
      </c>
      <c r="W9" s="87">
        <f t="shared" ref="W9:Y9" si="22">IF(W36=0,0,W36*W146)</f>
        <v>3.6634218210541678</v>
      </c>
      <c r="X9" s="87">
        <f t="shared" si="22"/>
        <v>3.9354816176965781</v>
      </c>
      <c r="Y9" s="87">
        <f t="shared" si="22"/>
        <v>4.1400729046200153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:Y10" si="26">IF(W37=0,0,W37*W147)</f>
        <v>0</v>
      </c>
      <c r="X10" s="87">
        <f t="shared" si="26"/>
        <v>0</v>
      </c>
      <c r="Y10" s="87">
        <f t="shared" si="26"/>
        <v>0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8.5149163720300844</v>
      </c>
      <c r="O11" s="87">
        <f t="shared" si="29"/>
        <v>12.743744479632563</v>
      </c>
      <c r="P11" s="87">
        <f t="shared" si="29"/>
        <v>13.60070803433017</v>
      </c>
      <c r="Q11" s="87">
        <f t="shared" si="29"/>
        <v>13.483441532123502</v>
      </c>
      <c r="R11" s="87">
        <f t="shared" si="29"/>
        <v>16.214835161898247</v>
      </c>
      <c r="S11" s="87">
        <f t="shared" si="29"/>
        <v>18.202162527147063</v>
      </c>
      <c r="T11" s="87">
        <f t="shared" si="29"/>
        <v>27.680380073545187</v>
      </c>
      <c r="U11" s="87">
        <f t="shared" si="29"/>
        <v>42.496337112061731</v>
      </c>
      <c r="V11" s="87">
        <f t="shared" si="29"/>
        <v>66.104709424360664</v>
      </c>
      <c r="W11" s="87">
        <f t="shared" ref="W11:Y11" si="30">IF(W38=0,0,W38*W148)</f>
        <v>142.5119930134619</v>
      </c>
      <c r="X11" s="87">
        <f t="shared" si="30"/>
        <v>206.01432839437607</v>
      </c>
      <c r="Y11" s="87">
        <f t="shared" si="30"/>
        <v>287.59049433573023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1.6239274102258693E-2</v>
      </c>
      <c r="K12" s="87">
        <f t="shared" si="31"/>
        <v>3.2512833717552744E-2</v>
      </c>
      <c r="L12" s="87">
        <f t="shared" ref="L12" si="32">IF(L39=0,0,L39*L149)</f>
        <v>3.1957761408991301</v>
      </c>
      <c r="M12" s="87">
        <f t="shared" ref="M12:V12" si="33">IF(M39=0,0,M39*M149)</f>
        <v>4.9776125807574401</v>
      </c>
      <c r="N12" s="87">
        <f t="shared" si="33"/>
        <v>1.623543848329515</v>
      </c>
      <c r="O12" s="87">
        <f t="shared" si="33"/>
        <v>4.2628177766365321</v>
      </c>
      <c r="P12" s="87">
        <f t="shared" si="33"/>
        <v>9.1357201828082335</v>
      </c>
      <c r="Q12" s="87">
        <f t="shared" si="33"/>
        <v>10.414173573707865</v>
      </c>
      <c r="R12" s="87">
        <f t="shared" si="33"/>
        <v>11.087551194718866</v>
      </c>
      <c r="S12" s="87">
        <f t="shared" si="33"/>
        <v>15.60954675869351</v>
      </c>
      <c r="T12" s="87">
        <f t="shared" si="33"/>
        <v>21.171150948672874</v>
      </c>
      <c r="U12" s="87">
        <f t="shared" si="33"/>
        <v>40.395284746010446</v>
      </c>
      <c r="V12" s="87">
        <f t="shared" si="33"/>
        <v>56.469280433513653</v>
      </c>
      <c r="W12" s="87">
        <f t="shared" ref="W12:Y12" si="34">IF(W39=0,0,W39*W149)</f>
        <v>130.79388144533377</v>
      </c>
      <c r="X12" s="87">
        <f t="shared" si="34"/>
        <v>223.53202520843016</v>
      </c>
      <c r="Y12" s="87">
        <f t="shared" si="34"/>
        <v>396.1355732524587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620</v>
      </c>
      <c r="C13" s="116">
        <f t="shared" si="35"/>
        <v>660</v>
      </c>
      <c r="D13" s="116">
        <f t="shared" si="35"/>
        <v>720</v>
      </c>
      <c r="E13" s="116">
        <f t="shared" si="35"/>
        <v>740</v>
      </c>
      <c r="F13" s="116">
        <f t="shared" si="35"/>
        <v>770</v>
      </c>
      <c r="G13" s="116">
        <f t="shared" si="35"/>
        <v>800</v>
      </c>
      <c r="H13" s="116">
        <f t="shared" si="35"/>
        <v>820</v>
      </c>
      <c r="I13" s="116">
        <f t="shared" si="35"/>
        <v>860</v>
      </c>
      <c r="J13" s="116">
        <f t="shared" si="35"/>
        <v>910.00000000000011</v>
      </c>
      <c r="K13" s="116">
        <f t="shared" si="35"/>
        <v>905.87268823413092</v>
      </c>
      <c r="L13" s="116">
        <f t="shared" ref="L13" si="36">SUM(L14:L18)</f>
        <v>940.00000000000011</v>
      </c>
      <c r="M13" s="116">
        <f t="shared" ref="M13:V13" si="37">SUM(M14:M18)</f>
        <v>987.63004632263437</v>
      </c>
      <c r="N13" s="116">
        <f t="shared" si="37"/>
        <v>1004.9122484837048</v>
      </c>
      <c r="O13" s="116">
        <f t="shared" si="37"/>
        <v>1026.4588947641512</v>
      </c>
      <c r="P13" s="116">
        <f t="shared" si="37"/>
        <v>1037.5462847587612</v>
      </c>
      <c r="Q13" s="116">
        <f t="shared" si="37"/>
        <v>1092.8294004495056</v>
      </c>
      <c r="R13" s="116">
        <f t="shared" si="37"/>
        <v>1109.9876780311415</v>
      </c>
      <c r="S13" s="116">
        <f t="shared" si="37"/>
        <v>1145.5145233368974</v>
      </c>
      <c r="T13" s="116">
        <f t="shared" si="37"/>
        <v>1170.3687012049782</v>
      </c>
      <c r="U13" s="116">
        <f t="shared" si="37"/>
        <v>1219.8578493931059</v>
      </c>
      <c r="V13" s="116">
        <f t="shared" si="37"/>
        <v>831.12446709444419</v>
      </c>
      <c r="W13" s="116">
        <f t="shared" ref="W13:Y13" si="38">SUM(W14:W18)</f>
        <v>894.00240765750834</v>
      </c>
      <c r="X13" s="116">
        <f t="shared" si="38"/>
        <v>1224.612096510295</v>
      </c>
      <c r="Y13" s="116">
        <f t="shared" si="38"/>
        <v>1367.7258544803344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6.9634369574643626E-2</v>
      </c>
      <c r="U14" s="101">
        <f t="shared" si="41"/>
        <v>6.7258794903531247E-2</v>
      </c>
      <c r="V14" s="101">
        <f t="shared" si="41"/>
        <v>5.7760542919253643E-2</v>
      </c>
      <c r="W14" s="101">
        <f t="shared" ref="W14:Y14" si="42">IF(W41=0,0,W41*W151)</f>
        <v>0.10913788739272519</v>
      </c>
      <c r="X14" s="101">
        <f t="shared" si="42"/>
        <v>0.16336376401316341</v>
      </c>
      <c r="Y14" s="101">
        <f t="shared" si="42"/>
        <v>0.17036297036111134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620</v>
      </c>
      <c r="C15" s="101">
        <f t="shared" si="43"/>
        <v>660</v>
      </c>
      <c r="D15" s="101">
        <f t="shared" si="43"/>
        <v>720</v>
      </c>
      <c r="E15" s="101">
        <f t="shared" si="43"/>
        <v>738.00552641004856</v>
      </c>
      <c r="F15" s="101">
        <f t="shared" si="43"/>
        <v>767.95481301313055</v>
      </c>
      <c r="G15" s="101">
        <f t="shared" si="43"/>
        <v>797.951301639554</v>
      </c>
      <c r="H15" s="101">
        <f t="shared" si="43"/>
        <v>817.91973589323015</v>
      </c>
      <c r="I15" s="101">
        <f t="shared" si="43"/>
        <v>857.89471282595446</v>
      </c>
      <c r="J15" s="101">
        <f t="shared" si="43"/>
        <v>907.86474111649318</v>
      </c>
      <c r="K15" s="101">
        <f t="shared" si="43"/>
        <v>904.49895558727735</v>
      </c>
      <c r="L15" s="101">
        <f t="shared" ref="L15" si="44">IF(L42=0,0,L42*L152)</f>
        <v>938.61324952802124</v>
      </c>
      <c r="M15" s="101">
        <f t="shared" ref="M15:V15" si="45">IF(M42=0,0,M42*M152)</f>
        <v>986.20638651390209</v>
      </c>
      <c r="N15" s="101">
        <f t="shared" si="45"/>
        <v>1003.4574598321854</v>
      </c>
      <c r="O15" s="101">
        <f t="shared" si="45"/>
        <v>1024.9752340537082</v>
      </c>
      <c r="P15" s="101">
        <f t="shared" si="45"/>
        <v>1036.0323058823528</v>
      </c>
      <c r="Q15" s="101">
        <f t="shared" si="45"/>
        <v>1091.2740669289478</v>
      </c>
      <c r="R15" s="101">
        <f t="shared" si="45"/>
        <v>1108.4333066396539</v>
      </c>
      <c r="S15" s="101">
        <f t="shared" si="45"/>
        <v>1139.2994012268553</v>
      </c>
      <c r="T15" s="101">
        <f t="shared" si="45"/>
        <v>1144.6875240941758</v>
      </c>
      <c r="U15" s="101">
        <f t="shared" si="45"/>
        <v>1136.0624988746649</v>
      </c>
      <c r="V15" s="101">
        <f t="shared" si="45"/>
        <v>753.71949592049657</v>
      </c>
      <c r="W15" s="101">
        <f t="shared" ref="W15:Y15" si="46">IF(W42=0,0,W42*W152)</f>
        <v>791.74163803747786</v>
      </c>
      <c r="X15" s="101">
        <f t="shared" si="46"/>
        <v>974.11135854174233</v>
      </c>
      <c r="Y15" s="101">
        <f t="shared" si="46"/>
        <v>1022.680316598379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:Y17" si="54">IF(W44=0,0,W44*W154)</f>
        <v>0</v>
      </c>
      <c r="X17" s="101">
        <f t="shared" si="54"/>
        <v>0</v>
      </c>
      <c r="Y17" s="101">
        <f t="shared" si="54"/>
        <v>0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1.9944735899513952</v>
      </c>
      <c r="F18" s="101">
        <f t="shared" si="55"/>
        <v>2.0451869868694987</v>
      </c>
      <c r="G18" s="101">
        <f t="shared" si="55"/>
        <v>2.0486983604459961</v>
      </c>
      <c r="H18" s="101">
        <f t="shared" si="55"/>
        <v>2.0802641067698313</v>
      </c>
      <c r="I18" s="101">
        <f t="shared" si="55"/>
        <v>2.1052871740454946</v>
      </c>
      <c r="J18" s="101">
        <f t="shared" si="55"/>
        <v>2.1352588835069608</v>
      </c>
      <c r="K18" s="101">
        <f t="shared" si="55"/>
        <v>1.3737326468536133</v>
      </c>
      <c r="L18" s="101">
        <f t="shared" ref="L18" si="56">IF(L45=0,0,L45*L155)</f>
        <v>1.3867504719789046</v>
      </c>
      <c r="M18" s="101">
        <f t="shared" ref="M18:V18" si="57">IF(M45=0,0,M45*M155)</f>
        <v>1.4236598087323351</v>
      </c>
      <c r="N18" s="101">
        <f t="shared" si="57"/>
        <v>1.4547886515194519</v>
      </c>
      <c r="O18" s="101">
        <f t="shared" si="57"/>
        <v>1.4836607104430122</v>
      </c>
      <c r="P18" s="101">
        <f t="shared" si="57"/>
        <v>1.513978876408447</v>
      </c>
      <c r="Q18" s="101">
        <f t="shared" si="57"/>
        <v>1.5553335205577108</v>
      </c>
      <c r="R18" s="101">
        <f t="shared" si="57"/>
        <v>1.5543713914876398</v>
      </c>
      <c r="S18" s="101">
        <f t="shared" si="57"/>
        <v>6.215122110042091</v>
      </c>
      <c r="T18" s="101">
        <f t="shared" si="57"/>
        <v>25.611542741227598</v>
      </c>
      <c r="U18" s="101">
        <f t="shared" si="57"/>
        <v>83.728091723537204</v>
      </c>
      <c r="V18" s="101">
        <f t="shared" si="57"/>
        <v>77.347210631028403</v>
      </c>
      <c r="W18" s="101">
        <f t="shared" ref="W18:Y18" si="58">IF(W45=0,0,W45*W155)</f>
        <v>102.15163173263772</v>
      </c>
      <c r="X18" s="101">
        <f t="shared" si="58"/>
        <v>250.33737420453949</v>
      </c>
      <c r="Y18" s="101">
        <f t="shared" si="58"/>
        <v>344.8751749115944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1484.3516976284084</v>
      </c>
      <c r="C19" s="29">
        <f t="shared" si="59"/>
        <v>1633.1219717807683</v>
      </c>
      <c r="D19" s="29">
        <f t="shared" si="59"/>
        <v>1798.0049864653581</v>
      </c>
      <c r="E19" s="29">
        <f t="shared" si="59"/>
        <v>1801.9070380920812</v>
      </c>
      <c r="F19" s="29">
        <f t="shared" si="59"/>
        <v>1975.4027291242824</v>
      </c>
      <c r="G19" s="29">
        <f t="shared" si="59"/>
        <v>1973.3453391993621</v>
      </c>
      <c r="H19" s="29">
        <f t="shared" si="59"/>
        <v>1995.9079458401959</v>
      </c>
      <c r="I19" s="29">
        <f t="shared" si="59"/>
        <v>2108.8142630767011</v>
      </c>
      <c r="J19" s="29">
        <f t="shared" si="59"/>
        <v>2295.808544437979</v>
      </c>
      <c r="K19" s="29">
        <f t="shared" si="59"/>
        <v>2077.6450773171105</v>
      </c>
      <c r="L19" s="29">
        <f t="shared" ref="L19" si="60">L20+L26</f>
        <v>2226.2261558117775</v>
      </c>
      <c r="M19" s="29">
        <f t="shared" ref="M19:V19" si="61">M20+M26</f>
        <v>2285.4907297295131</v>
      </c>
      <c r="N19" s="29">
        <f t="shared" si="61"/>
        <v>2864.9772673343305</v>
      </c>
      <c r="O19" s="29">
        <f t="shared" si="61"/>
        <v>2597.5849808898615</v>
      </c>
      <c r="P19" s="29">
        <f t="shared" si="61"/>
        <v>3054.7408062696122</v>
      </c>
      <c r="Q19" s="29">
        <f t="shared" si="61"/>
        <v>2643.9551787474829</v>
      </c>
      <c r="R19" s="29">
        <f t="shared" si="61"/>
        <v>2838.3883836051687</v>
      </c>
      <c r="S19" s="29">
        <f t="shared" si="61"/>
        <v>2896.1854079968407</v>
      </c>
      <c r="T19" s="29">
        <f t="shared" si="61"/>
        <v>2488.9011613783377</v>
      </c>
      <c r="U19" s="29">
        <f t="shared" si="61"/>
        <v>2548.435890840406</v>
      </c>
      <c r="V19" s="29">
        <f t="shared" si="61"/>
        <v>2268.8829929932485</v>
      </c>
      <c r="W19" s="29">
        <f t="shared" ref="W19:Y19" si="62">W20+W26</f>
        <v>2520.8924492598503</v>
      </c>
      <c r="X19" s="29">
        <f t="shared" si="62"/>
        <v>2495.9150877816332</v>
      </c>
      <c r="Y19" s="29">
        <f t="shared" si="62"/>
        <v>2218.2887078992853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70.003928013515804</v>
      </c>
      <c r="C20" s="152">
        <f t="shared" si="63"/>
        <v>75.601362631221392</v>
      </c>
      <c r="D20" s="152">
        <f t="shared" si="63"/>
        <v>81.349508127054165</v>
      </c>
      <c r="E20" s="152">
        <f t="shared" si="63"/>
        <v>85.004968811079422</v>
      </c>
      <c r="F20" s="152">
        <f t="shared" si="63"/>
        <v>89.359409971679696</v>
      </c>
      <c r="G20" s="152">
        <f t="shared" si="63"/>
        <v>94.445439688662532</v>
      </c>
      <c r="H20" s="152">
        <f t="shared" si="63"/>
        <v>99.739353152770235</v>
      </c>
      <c r="I20" s="152">
        <f t="shared" si="63"/>
        <v>108.12070504391785</v>
      </c>
      <c r="J20" s="152">
        <f t="shared" si="63"/>
        <v>115.32653427801786</v>
      </c>
      <c r="K20" s="152">
        <f t="shared" si="63"/>
        <v>116.56798206861036</v>
      </c>
      <c r="L20" s="152">
        <f t="shared" ref="L20" si="64">SUM(L21:L25)</f>
        <v>121.63882450298517</v>
      </c>
      <c r="M20" s="152">
        <f t="shared" ref="M20:V20" si="65">SUM(M21:M25)</f>
        <v>128.40138889915198</v>
      </c>
      <c r="N20" s="152">
        <f t="shared" si="65"/>
        <v>133.5704050295343</v>
      </c>
      <c r="O20" s="152">
        <f t="shared" si="65"/>
        <v>138.0941459539423</v>
      </c>
      <c r="P20" s="152">
        <f t="shared" si="65"/>
        <v>145.58356451114224</v>
      </c>
      <c r="Q20" s="152">
        <f t="shared" si="65"/>
        <v>152.44343227575058</v>
      </c>
      <c r="R20" s="152">
        <f t="shared" si="65"/>
        <v>161.28020608535437</v>
      </c>
      <c r="S20" s="152">
        <f t="shared" si="65"/>
        <v>168.18220177290598</v>
      </c>
      <c r="T20" s="152">
        <f t="shared" si="65"/>
        <v>175.90116137833797</v>
      </c>
      <c r="U20" s="152">
        <f t="shared" si="65"/>
        <v>180.43589084040596</v>
      </c>
      <c r="V20" s="152">
        <f t="shared" si="65"/>
        <v>183.88299299324859</v>
      </c>
      <c r="W20" s="152">
        <f t="shared" ref="W20:Y20" si="66">SUM(W21:W25)</f>
        <v>192.89244925985051</v>
      </c>
      <c r="X20" s="152">
        <f t="shared" si="66"/>
        <v>179.91508778163308</v>
      </c>
      <c r="Y20" s="152">
        <f t="shared" si="66"/>
        <v>181.28870789928555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5.7313579987488694</v>
      </c>
      <c r="C21" s="87">
        <f t="shared" si="67"/>
        <v>5.1610065380283308</v>
      </c>
      <c r="D21" s="87">
        <f t="shared" si="67"/>
        <v>4.7257244748398035</v>
      </c>
      <c r="E21" s="87">
        <f t="shared" si="67"/>
        <v>4.2860989505839084</v>
      </c>
      <c r="F21" s="87">
        <f t="shared" si="67"/>
        <v>3.8070335814184673</v>
      </c>
      <c r="G21" s="87">
        <f t="shared" si="67"/>
        <v>3.3839179644489219</v>
      </c>
      <c r="H21" s="87">
        <f t="shared" si="67"/>
        <v>3.0543929850117912</v>
      </c>
      <c r="I21" s="87">
        <f t="shared" si="67"/>
        <v>2.8594601336142418</v>
      </c>
      <c r="J21" s="87">
        <f t="shared" si="67"/>
        <v>2.7628445294064221</v>
      </c>
      <c r="K21" s="87">
        <f t="shared" si="67"/>
        <v>2.5221169138730155</v>
      </c>
      <c r="L21" s="87">
        <f t="shared" ref="L21" si="68">IF(L48=0,0,L48*L158)</f>
        <v>2.4632603240343887</v>
      </c>
      <c r="M21" s="87">
        <f t="shared" ref="M21:V21" si="69">IF(M48=0,0,M48*M158)</f>
        <v>2.3997410192326982</v>
      </c>
      <c r="N21" s="87">
        <f t="shared" si="69"/>
        <v>2.2563178216358257</v>
      </c>
      <c r="O21" s="87">
        <f t="shared" si="69"/>
        <v>2.1815900231925722</v>
      </c>
      <c r="P21" s="87">
        <f t="shared" si="69"/>
        <v>2.1753986555342619</v>
      </c>
      <c r="Q21" s="87">
        <f t="shared" si="69"/>
        <v>2.1535829699149454</v>
      </c>
      <c r="R21" s="87">
        <f t="shared" si="69"/>
        <v>2.1928881970017438</v>
      </c>
      <c r="S21" s="87">
        <f t="shared" si="69"/>
        <v>2.2527975016323407</v>
      </c>
      <c r="T21" s="87">
        <f t="shared" si="69"/>
        <v>2.3977322885459627</v>
      </c>
      <c r="U21" s="87">
        <f t="shared" si="69"/>
        <v>2.4670560022538197</v>
      </c>
      <c r="V21" s="87">
        <f t="shared" si="69"/>
        <v>2.5202817802676454</v>
      </c>
      <c r="W21" s="87">
        <f t="shared" ref="W21:Y21" si="70">IF(W48=0,0,W48*W158)</f>
        <v>2.6389601313242865</v>
      </c>
      <c r="X21" s="87">
        <f t="shared" si="70"/>
        <v>2.4909363870666157</v>
      </c>
      <c r="Y21" s="87">
        <f t="shared" si="70"/>
        <v>2.7347498831562409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64.272570014766941</v>
      </c>
      <c r="C22" s="87">
        <f t="shared" si="71"/>
        <v>70.44035609319306</v>
      </c>
      <c r="D22" s="87">
        <f t="shared" si="71"/>
        <v>76.623783652214357</v>
      </c>
      <c r="E22" s="87">
        <f t="shared" si="71"/>
        <v>80.718869860495516</v>
      </c>
      <c r="F22" s="87">
        <f t="shared" si="71"/>
        <v>85.55237639026123</v>
      </c>
      <c r="G22" s="87">
        <f t="shared" si="71"/>
        <v>91.061521724213605</v>
      </c>
      <c r="H22" s="87">
        <f t="shared" si="71"/>
        <v>96.681385298104203</v>
      </c>
      <c r="I22" s="87">
        <f t="shared" si="71"/>
        <v>105.25409061853658</v>
      </c>
      <c r="J22" s="87">
        <f t="shared" si="71"/>
        <v>112.55653163939198</v>
      </c>
      <c r="K22" s="87">
        <f t="shared" si="71"/>
        <v>114.02078213741595</v>
      </c>
      <c r="L22" s="87">
        <f t="shared" ref="L22" si="72">IF(L49=0,0,L49*L159)</f>
        <v>119.15047633999134</v>
      </c>
      <c r="M22" s="87">
        <f t="shared" ref="M22:V22" si="73">IF(M49=0,0,M49*M159)</f>
        <v>125.97655471366816</v>
      </c>
      <c r="N22" s="87">
        <f t="shared" si="73"/>
        <v>131.22078717805545</v>
      </c>
      <c r="O22" s="87">
        <f t="shared" si="73"/>
        <v>135.52991085890687</v>
      </c>
      <c r="P22" s="87">
        <f t="shared" si="73"/>
        <v>142.93131779301672</v>
      </c>
      <c r="Q22" s="87">
        <f t="shared" si="73"/>
        <v>149.72522932813996</v>
      </c>
      <c r="R22" s="87">
        <f t="shared" si="73"/>
        <v>158.45976789920047</v>
      </c>
      <c r="S22" s="87">
        <f t="shared" si="73"/>
        <v>165.15426968113192</v>
      </c>
      <c r="T22" s="87">
        <f t="shared" si="73"/>
        <v>172.54215620536104</v>
      </c>
      <c r="U22" s="87">
        <f t="shared" si="73"/>
        <v>176.84722260844561</v>
      </c>
      <c r="V22" s="87">
        <f t="shared" si="73"/>
        <v>180.06906145334582</v>
      </c>
      <c r="W22" s="87">
        <f t="shared" ref="W22:Y22" si="74">IF(W49=0,0,W49*W159)</f>
        <v>188.48895233075251</v>
      </c>
      <c r="X22" s="87">
        <f t="shared" si="74"/>
        <v>174.71921104068943</v>
      </c>
      <c r="Y22" s="87">
        <f t="shared" si="74"/>
        <v>174.41246462149184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0.13116581817598055</v>
      </c>
      <c r="P23" s="87">
        <f t="shared" si="77"/>
        <v>0.16396900172547019</v>
      </c>
      <c r="Q23" s="87">
        <f t="shared" si="77"/>
        <v>0.17249596604771286</v>
      </c>
      <c r="R23" s="87">
        <f t="shared" si="77"/>
        <v>0.18178856002662427</v>
      </c>
      <c r="S23" s="87">
        <f t="shared" si="77"/>
        <v>0.19306463135057814</v>
      </c>
      <c r="T23" s="87">
        <f t="shared" si="77"/>
        <v>0.19239734117973065</v>
      </c>
      <c r="U23" s="87">
        <f t="shared" si="77"/>
        <v>0.19489776686397092</v>
      </c>
      <c r="V23" s="87">
        <f t="shared" si="77"/>
        <v>0.20368373387595273</v>
      </c>
      <c r="W23" s="87">
        <f t="shared" ref="W23:Y23" si="78">IF(W50=0,0,W50*W160)</f>
        <v>0.22398558702619431</v>
      </c>
      <c r="X23" s="87">
        <f t="shared" si="78"/>
        <v>0.20261092199644284</v>
      </c>
      <c r="Y23" s="87">
        <f t="shared" si="78"/>
        <v>0.19800755470361575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:Y24" si="82">IF(W51=0,0,W51*W161)</f>
        <v>0</v>
      </c>
      <c r="X24" s="87">
        <f t="shared" si="82"/>
        <v>0</v>
      </c>
      <c r="Y24" s="87">
        <f t="shared" si="82"/>
        <v>0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3.5748696542482693E-3</v>
      </c>
      <c r="I25" s="87">
        <f t="shared" si="83"/>
        <v>7.1542917670309692E-3</v>
      </c>
      <c r="J25" s="87">
        <f t="shared" si="83"/>
        <v>7.1581092194671174E-3</v>
      </c>
      <c r="K25" s="87">
        <f t="shared" si="83"/>
        <v>2.508301732139602E-2</v>
      </c>
      <c r="L25" s="87">
        <f t="shared" ref="L25" si="84">IF(L52=0,0,L52*L162)</f>
        <v>2.5087838959433003E-2</v>
      </c>
      <c r="M25" s="87">
        <f t="shared" ref="M25:V25" si="85">IF(M52=0,0,M52*M162)</f>
        <v>2.5093166251108356E-2</v>
      </c>
      <c r="N25" s="87">
        <f t="shared" si="85"/>
        <v>9.3300029843026613E-2</v>
      </c>
      <c r="O25" s="87">
        <f t="shared" si="85"/>
        <v>0.25147925366686119</v>
      </c>
      <c r="P25" s="87">
        <f t="shared" si="85"/>
        <v>0.31287906086579831</v>
      </c>
      <c r="Q25" s="87">
        <f t="shared" si="85"/>
        <v>0.39212401164798677</v>
      </c>
      <c r="R25" s="87">
        <f t="shared" si="85"/>
        <v>0.44576142912551164</v>
      </c>
      <c r="S25" s="87">
        <f t="shared" si="85"/>
        <v>0.58206995879116319</v>
      </c>
      <c r="T25" s="87">
        <f t="shared" si="85"/>
        <v>0.76887554325121765</v>
      </c>
      <c r="U25" s="87">
        <f t="shared" si="85"/>
        <v>0.92671446284257319</v>
      </c>
      <c r="V25" s="87">
        <f t="shared" si="85"/>
        <v>1.0899660257591541</v>
      </c>
      <c r="W25" s="87">
        <f t="shared" ref="W25:Y25" si="86">IF(W52=0,0,W52*W162)</f>
        <v>1.5405512107475168</v>
      </c>
      <c r="X25" s="87">
        <f t="shared" si="86"/>
        <v>2.502329431880582</v>
      </c>
      <c r="Y25" s="87">
        <f t="shared" si="86"/>
        <v>3.9434858399338455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1414.3477696148925</v>
      </c>
      <c r="C26" s="116">
        <f t="shared" si="87"/>
        <v>1557.5206091495468</v>
      </c>
      <c r="D26" s="116">
        <f t="shared" si="87"/>
        <v>1716.655478338304</v>
      </c>
      <c r="E26" s="116">
        <f t="shared" si="87"/>
        <v>1716.9020692810018</v>
      </c>
      <c r="F26" s="116">
        <f t="shared" si="87"/>
        <v>1886.0433191526026</v>
      </c>
      <c r="G26" s="116">
        <f t="shared" si="87"/>
        <v>1878.8998995106997</v>
      </c>
      <c r="H26" s="116">
        <f t="shared" si="87"/>
        <v>1896.1685926874256</v>
      </c>
      <c r="I26" s="116">
        <f t="shared" si="87"/>
        <v>2000.6935580327831</v>
      </c>
      <c r="J26" s="116">
        <f t="shared" si="87"/>
        <v>2180.4820101599612</v>
      </c>
      <c r="K26" s="116">
        <f t="shared" si="87"/>
        <v>1961.0770952485</v>
      </c>
      <c r="L26" s="116">
        <f t="shared" ref="L26" si="88">SUM(L27:L28)</f>
        <v>2104.5873313087923</v>
      </c>
      <c r="M26" s="116">
        <f t="shared" ref="M26:V26" si="89">SUM(M27:M28)</f>
        <v>2157.0893408303609</v>
      </c>
      <c r="N26" s="116">
        <f t="shared" si="89"/>
        <v>2731.4068623047961</v>
      </c>
      <c r="O26" s="116">
        <f t="shared" si="89"/>
        <v>2459.4908349359193</v>
      </c>
      <c r="P26" s="116">
        <f t="shared" si="89"/>
        <v>2909.1572417584698</v>
      </c>
      <c r="Q26" s="116">
        <f t="shared" si="89"/>
        <v>2491.5117464717323</v>
      </c>
      <c r="R26" s="116">
        <f t="shared" si="89"/>
        <v>2677.1081775198145</v>
      </c>
      <c r="S26" s="116">
        <f t="shared" si="89"/>
        <v>2728.0032062239347</v>
      </c>
      <c r="T26" s="116">
        <f t="shared" si="89"/>
        <v>2313</v>
      </c>
      <c r="U26" s="116">
        <f t="shared" si="89"/>
        <v>2368</v>
      </c>
      <c r="V26" s="116">
        <f t="shared" si="89"/>
        <v>2085</v>
      </c>
      <c r="W26" s="116">
        <f t="shared" ref="W26:Y26" si="90">SUM(W27:W28)</f>
        <v>2328</v>
      </c>
      <c r="X26" s="116">
        <f t="shared" si="90"/>
        <v>2316</v>
      </c>
      <c r="Y26" s="116">
        <f t="shared" si="90"/>
        <v>2037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415</v>
      </c>
      <c r="C27" s="101">
        <f t="shared" si="91"/>
        <v>487</v>
      </c>
      <c r="D27" s="101">
        <f t="shared" si="91"/>
        <v>583</v>
      </c>
      <c r="E27" s="101">
        <f t="shared" si="91"/>
        <v>565</v>
      </c>
      <c r="F27" s="101">
        <f t="shared" si="91"/>
        <v>549</v>
      </c>
      <c r="G27" s="101">
        <f t="shared" si="91"/>
        <v>494</v>
      </c>
      <c r="H27" s="101">
        <f t="shared" si="91"/>
        <v>544</v>
      </c>
      <c r="I27" s="101">
        <f t="shared" si="91"/>
        <v>548</v>
      </c>
      <c r="J27" s="101">
        <f t="shared" si="91"/>
        <v>555</v>
      </c>
      <c r="K27" s="101">
        <f t="shared" si="91"/>
        <v>530</v>
      </c>
      <c r="L27" s="101">
        <f t="shared" ref="L27:V27" si="92">IF(L54=0,0,L54*L164)</f>
        <v>574</v>
      </c>
      <c r="M27" s="101">
        <f t="shared" si="92"/>
        <v>650</v>
      </c>
      <c r="N27" s="101">
        <f t="shared" si="92"/>
        <v>1044</v>
      </c>
      <c r="O27" s="101">
        <f t="shared" si="92"/>
        <v>777</v>
      </c>
      <c r="P27" s="101">
        <f t="shared" si="92"/>
        <v>1128</v>
      </c>
      <c r="Q27" s="101">
        <f t="shared" si="92"/>
        <v>978</v>
      </c>
      <c r="R27" s="101">
        <f t="shared" si="92"/>
        <v>1067</v>
      </c>
      <c r="S27" s="101">
        <f t="shared" si="92"/>
        <v>1016.9999999999999</v>
      </c>
      <c r="T27" s="101">
        <f t="shared" si="92"/>
        <v>647</v>
      </c>
      <c r="U27" s="101">
        <f t="shared" si="92"/>
        <v>661</v>
      </c>
      <c r="V27" s="101">
        <f t="shared" si="92"/>
        <v>511</v>
      </c>
      <c r="W27" s="101">
        <f t="shared" ref="W27:Y27" si="93">IF(W54=0,0,W54*W164)</f>
        <v>621</v>
      </c>
      <c r="X27" s="101">
        <f t="shared" si="93"/>
        <v>588</v>
      </c>
      <c r="Y27" s="101">
        <f t="shared" si="93"/>
        <v>493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999.34776961489251</v>
      </c>
      <c r="C28" s="88">
        <f t="shared" si="94"/>
        <v>1070.5206091495468</v>
      </c>
      <c r="D28" s="88">
        <f t="shared" si="94"/>
        <v>1133.655478338304</v>
      </c>
      <c r="E28" s="88">
        <f t="shared" si="94"/>
        <v>1151.9020692810018</v>
      </c>
      <c r="F28" s="88">
        <f t="shared" si="94"/>
        <v>1337.0433191526026</v>
      </c>
      <c r="G28" s="88">
        <f t="shared" si="94"/>
        <v>1384.8998995106997</v>
      </c>
      <c r="H28" s="88">
        <f t="shared" si="94"/>
        <v>1352.1685926874256</v>
      </c>
      <c r="I28" s="88">
        <f t="shared" si="94"/>
        <v>1452.6935580327831</v>
      </c>
      <c r="J28" s="88">
        <f t="shared" si="94"/>
        <v>1625.4820101599612</v>
      </c>
      <c r="K28" s="88">
        <f t="shared" si="94"/>
        <v>1431.0770952485</v>
      </c>
      <c r="L28" s="88">
        <f t="shared" ref="L28:V28" si="95">IF(L55=0,0,L55*L165)</f>
        <v>1530.5873313087923</v>
      </c>
      <c r="M28" s="88">
        <f t="shared" si="95"/>
        <v>1507.0893408303609</v>
      </c>
      <c r="N28" s="88">
        <f t="shared" si="95"/>
        <v>1687.4068623047961</v>
      </c>
      <c r="O28" s="88">
        <f t="shared" si="95"/>
        <v>1682.4908349359193</v>
      </c>
      <c r="P28" s="88">
        <f t="shared" si="95"/>
        <v>1781.1572417584698</v>
      </c>
      <c r="Q28" s="88">
        <f t="shared" si="95"/>
        <v>1513.5117464717323</v>
      </c>
      <c r="R28" s="88">
        <f t="shared" si="95"/>
        <v>1610.1081775198145</v>
      </c>
      <c r="S28" s="88">
        <f t="shared" si="95"/>
        <v>1711.0032062239347</v>
      </c>
      <c r="T28" s="88">
        <f t="shared" si="95"/>
        <v>1666</v>
      </c>
      <c r="U28" s="88">
        <f t="shared" si="95"/>
        <v>1707</v>
      </c>
      <c r="V28" s="88">
        <f t="shared" si="95"/>
        <v>1574</v>
      </c>
      <c r="W28" s="88">
        <f t="shared" ref="W28:Y28" si="96">IF(W55=0,0,W55*W165)</f>
        <v>1707</v>
      </c>
      <c r="X28" s="88">
        <f t="shared" si="96"/>
        <v>1728</v>
      </c>
      <c r="Y28" s="88">
        <f t="shared" si="96"/>
        <v>1544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4601.5782649239245</v>
      </c>
      <c r="C30" s="62">
        <f t="shared" ref="C30:V30" si="98">C31+C46</f>
        <v>4829.7313719630092</v>
      </c>
      <c r="D30" s="62">
        <f t="shared" si="98"/>
        <v>4990.687270083281</v>
      </c>
      <c r="E30" s="62">
        <f t="shared" si="98"/>
        <v>5125.3702395605351</v>
      </c>
      <c r="F30" s="62">
        <f t="shared" si="98"/>
        <v>5276.2317373338474</v>
      </c>
      <c r="G30" s="62">
        <f t="shared" si="98"/>
        <v>5497.3774336222323</v>
      </c>
      <c r="H30" s="62">
        <f t="shared" si="98"/>
        <v>5677.8520431853121</v>
      </c>
      <c r="I30" s="62">
        <f t="shared" si="98"/>
        <v>5796.9076513367836</v>
      </c>
      <c r="J30" s="62">
        <f t="shared" si="98"/>
        <v>5953.2362669464374</v>
      </c>
      <c r="K30" s="62">
        <f t="shared" si="98"/>
        <v>5918.5666903390847</v>
      </c>
      <c r="L30" s="62">
        <f t="shared" si="98"/>
        <v>5793.7911365803939</v>
      </c>
      <c r="M30" s="62">
        <f t="shared" si="98"/>
        <v>5913.1458758061963</v>
      </c>
      <c r="N30" s="62">
        <f t="shared" si="98"/>
        <v>6104.2420173324026</v>
      </c>
      <c r="O30" s="62">
        <f t="shared" si="98"/>
        <v>6205.0867455224261</v>
      </c>
      <c r="P30" s="62">
        <f t="shared" si="98"/>
        <v>6496.9917649772506</v>
      </c>
      <c r="Q30" s="62">
        <f t="shared" si="98"/>
        <v>6579.0929585088834</v>
      </c>
      <c r="R30" s="62">
        <f t="shared" si="98"/>
        <v>6859.3855623419859</v>
      </c>
      <c r="S30" s="62">
        <f t="shared" si="98"/>
        <v>7034.3906367996369</v>
      </c>
      <c r="T30" s="62">
        <f t="shared" si="98"/>
        <v>7278.5170348650045</v>
      </c>
      <c r="U30" s="62">
        <f t="shared" si="98"/>
        <v>7502.8486651047178</v>
      </c>
      <c r="V30" s="62">
        <f t="shared" si="98"/>
        <v>7131.3703873327249</v>
      </c>
      <c r="W30" s="62">
        <f t="shared" ref="W30:Y30" si="99">W31+W46</f>
        <v>7394.0063380251158</v>
      </c>
      <c r="X30" s="62">
        <f t="shared" si="99"/>
        <v>7593.3622263935795</v>
      </c>
      <c r="Y30" s="62">
        <f t="shared" si="99"/>
        <v>7832.0846796214228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4194.5904685530231</v>
      </c>
      <c r="C31" s="29">
        <f t="shared" ref="C31:V31" si="101">C32+C33+C40</f>
        <v>4389.6342114929703</v>
      </c>
      <c r="D31" s="29">
        <f t="shared" si="101"/>
        <v>4513.4521248982237</v>
      </c>
      <c r="E31" s="29">
        <f t="shared" si="101"/>
        <v>4635.8145853626638</v>
      </c>
      <c r="F31" s="29">
        <f t="shared" si="101"/>
        <v>4761.3012826606846</v>
      </c>
      <c r="G31" s="29">
        <f t="shared" si="101"/>
        <v>4966.2009910609759</v>
      </c>
      <c r="H31" s="29">
        <f t="shared" si="101"/>
        <v>5122.37964666671</v>
      </c>
      <c r="I31" s="29">
        <f t="shared" si="101"/>
        <v>5203.1650240138006</v>
      </c>
      <c r="J31" s="29">
        <f t="shared" si="101"/>
        <v>5324.8666360595835</v>
      </c>
      <c r="K31" s="29">
        <f t="shared" si="101"/>
        <v>5328.194479728113</v>
      </c>
      <c r="L31" s="29">
        <f t="shared" si="101"/>
        <v>5175.4547245588119</v>
      </c>
      <c r="M31" s="29">
        <f t="shared" si="101"/>
        <v>5266.5110424917684</v>
      </c>
      <c r="N31" s="29">
        <f t="shared" si="101"/>
        <v>5393.9902884460953</v>
      </c>
      <c r="O31" s="29">
        <f t="shared" si="101"/>
        <v>5500.282471059586</v>
      </c>
      <c r="P31" s="29">
        <f t="shared" si="101"/>
        <v>5728.9051533828888</v>
      </c>
      <c r="Q31" s="29">
        <f t="shared" si="101"/>
        <v>5815.5892573102283</v>
      </c>
      <c r="R31" s="29">
        <f t="shared" si="101"/>
        <v>6051.2561459360832</v>
      </c>
      <c r="S31" s="29">
        <f t="shared" si="101"/>
        <v>6199.7671551989843</v>
      </c>
      <c r="T31" s="29">
        <f t="shared" si="101"/>
        <v>6418.5005229668068</v>
      </c>
      <c r="U31" s="29">
        <f t="shared" si="101"/>
        <v>6625.5747068024648</v>
      </c>
      <c r="V31" s="29">
        <f t="shared" si="101"/>
        <v>6265.2462686002036</v>
      </c>
      <c r="W31" s="29">
        <f t="shared" ref="W31:Y31" si="102">W32+W33+W40</f>
        <v>6471.0472317712765</v>
      </c>
      <c r="X31" s="29">
        <f t="shared" si="102"/>
        <v>6734.8927509387204</v>
      </c>
      <c r="Y31" s="29">
        <f t="shared" si="102"/>
        <v>6992.099163402122</v>
      </c>
      <c r="DA31" s="173" t="s">
        <v>475</v>
      </c>
    </row>
    <row r="32" spans="1:105" ht="11.45" customHeight="1" x14ac:dyDescent="0.25">
      <c r="A32" s="136" t="s">
        <v>173</v>
      </c>
      <c r="B32" s="152">
        <v>30.851384522555513</v>
      </c>
      <c r="C32" s="152">
        <v>32.24798381426303</v>
      </c>
      <c r="D32" s="152">
        <v>34.720742794578271</v>
      </c>
      <c r="E32" s="152">
        <v>35.643262388047454</v>
      </c>
      <c r="F32" s="152">
        <v>38.213749789057474</v>
      </c>
      <c r="G32" s="152">
        <v>39.718082618448605</v>
      </c>
      <c r="H32" s="152">
        <v>40.552450176126513</v>
      </c>
      <c r="I32" s="152">
        <v>42.070783169267749</v>
      </c>
      <c r="J32" s="152">
        <v>42.557251098566148</v>
      </c>
      <c r="K32" s="152">
        <v>44.138491097865597</v>
      </c>
      <c r="L32" s="152">
        <v>45.857606083884143</v>
      </c>
      <c r="M32" s="152">
        <v>47.252976591408675</v>
      </c>
      <c r="N32" s="152">
        <v>49.951227534196207</v>
      </c>
      <c r="O32" s="152">
        <v>51.746230056983698</v>
      </c>
      <c r="P32" s="152">
        <v>54.167590965478837</v>
      </c>
      <c r="Q32" s="152">
        <v>56.579100113517015</v>
      </c>
      <c r="R32" s="152">
        <v>59.405238774834793</v>
      </c>
      <c r="S32" s="152">
        <v>56.358122692413716</v>
      </c>
      <c r="T32" s="152">
        <v>53.613866356445506</v>
      </c>
      <c r="U32" s="152">
        <v>56.70798607578876</v>
      </c>
      <c r="V32" s="152">
        <v>51.1679858751314</v>
      </c>
      <c r="W32" s="152">
        <v>53.491174431609402</v>
      </c>
      <c r="X32" s="152">
        <v>54.330821459148815</v>
      </c>
      <c r="Y32" s="152">
        <v>58.722178086137866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4124.928834059413</v>
      </c>
      <c r="C33" s="116">
        <f t="shared" ref="C33:V33" si="104">SUM(C34:C39)</f>
        <v>4314.9701982000088</v>
      </c>
      <c r="D33" s="116">
        <f t="shared" si="104"/>
        <v>4433.2598984610077</v>
      </c>
      <c r="E33" s="116">
        <f t="shared" si="104"/>
        <v>4553.483895707408</v>
      </c>
      <c r="F33" s="116">
        <f t="shared" si="104"/>
        <v>4675.6690469088917</v>
      </c>
      <c r="G33" s="116">
        <f t="shared" si="104"/>
        <v>4877.2593681116823</v>
      </c>
      <c r="H33" s="116">
        <f t="shared" si="104"/>
        <v>5032.0929988453854</v>
      </c>
      <c r="I33" s="116">
        <f t="shared" si="104"/>
        <v>5109.5098142122406</v>
      </c>
      <c r="J33" s="116">
        <f t="shared" si="104"/>
        <v>5228.4467989179429</v>
      </c>
      <c r="K33" s="116">
        <f t="shared" si="104"/>
        <v>5228.4467989179439</v>
      </c>
      <c r="L33" s="116">
        <f t="shared" si="104"/>
        <v>5072.3757144494002</v>
      </c>
      <c r="M33" s="116">
        <f t="shared" si="104"/>
        <v>5160.6485500409071</v>
      </c>
      <c r="N33" s="116">
        <f t="shared" si="104"/>
        <v>5285.6275757535677</v>
      </c>
      <c r="O33" s="116">
        <f t="shared" si="104"/>
        <v>5389.9881986305882</v>
      </c>
      <c r="P33" s="116">
        <f t="shared" si="104"/>
        <v>5616.6863332653902</v>
      </c>
      <c r="Q33" s="116">
        <f t="shared" si="104"/>
        <v>5699.4390869793742</v>
      </c>
      <c r="R33" s="116">
        <f t="shared" si="104"/>
        <v>5931.3350975771837</v>
      </c>
      <c r="S33" s="116">
        <f t="shared" si="104"/>
        <v>6080.9366434990397</v>
      </c>
      <c r="T33" s="116">
        <f t="shared" si="104"/>
        <v>6301.0451048741425</v>
      </c>
      <c r="U33" s="116">
        <f t="shared" si="104"/>
        <v>6502.2980590625348</v>
      </c>
      <c r="V33" s="116">
        <f t="shared" si="104"/>
        <v>6147.7645622758955</v>
      </c>
      <c r="W33" s="116">
        <f t="shared" ref="W33:Y33" si="105">SUM(W34:W39)</f>
        <v>6351.1939573812806</v>
      </c>
      <c r="X33" s="116">
        <f t="shared" si="105"/>
        <v>6613.9906783753531</v>
      </c>
      <c r="Y33" s="116">
        <f t="shared" si="105"/>
        <v>6866.7321154856445</v>
      </c>
      <c r="DA33" s="176" t="s">
        <v>477</v>
      </c>
    </row>
    <row r="34" spans="1:105" ht="11.45" customHeight="1" x14ac:dyDescent="0.25">
      <c r="A34" s="111" t="s">
        <v>110</v>
      </c>
      <c r="B34" s="87">
        <v>2768.3976685380703</v>
      </c>
      <c r="C34" s="87">
        <v>2733.2955881308721</v>
      </c>
      <c r="D34" s="87">
        <v>2644.1774620090082</v>
      </c>
      <c r="E34" s="87">
        <v>2569.1203941406789</v>
      </c>
      <c r="F34" s="87">
        <v>2441.797598385634</v>
      </c>
      <c r="G34" s="87">
        <v>2353.1009661397452</v>
      </c>
      <c r="H34" s="87">
        <v>2233.1490893595042</v>
      </c>
      <c r="I34" s="87">
        <v>2136.2791504814263</v>
      </c>
      <c r="J34" s="87">
        <v>2102.7501696754234</v>
      </c>
      <c r="K34" s="87">
        <v>2000.2809952348659</v>
      </c>
      <c r="L34" s="87">
        <v>1866.5108924071858</v>
      </c>
      <c r="M34" s="87">
        <v>1882.7908387741909</v>
      </c>
      <c r="N34" s="87">
        <v>1885.2780717760409</v>
      </c>
      <c r="O34" s="87">
        <v>1854.8266642446313</v>
      </c>
      <c r="P34" s="87">
        <v>1878.3570994190829</v>
      </c>
      <c r="Q34" s="87">
        <v>1895.3956023333071</v>
      </c>
      <c r="R34" s="87">
        <v>2032.0760472816864</v>
      </c>
      <c r="S34" s="87">
        <v>2216.9880201218025</v>
      </c>
      <c r="T34" s="87">
        <v>2464.0938115673171</v>
      </c>
      <c r="U34" s="87">
        <v>2711.4015701293552</v>
      </c>
      <c r="V34" s="87">
        <v>2670.8978247292989</v>
      </c>
      <c r="W34" s="87">
        <v>2818.5206258625039</v>
      </c>
      <c r="X34" s="87">
        <v>2981.4831846660331</v>
      </c>
      <c r="Y34" s="87">
        <v>3133.6652141635313</v>
      </c>
      <c r="DA34" s="171" t="s">
        <v>478</v>
      </c>
    </row>
    <row r="35" spans="1:105" ht="11.45" customHeight="1" x14ac:dyDescent="0.25">
      <c r="A35" s="111" t="s">
        <v>111</v>
      </c>
      <c r="B35" s="87">
        <v>1324.0961945066672</v>
      </c>
      <c r="C35" s="87">
        <v>1543.1760509990138</v>
      </c>
      <c r="D35" s="87">
        <v>1748.9849732652362</v>
      </c>
      <c r="E35" s="87">
        <v>1946.5527499801901</v>
      </c>
      <c r="F35" s="87">
        <v>2198.0560126098476</v>
      </c>
      <c r="G35" s="87">
        <v>2489.7677258227895</v>
      </c>
      <c r="H35" s="87">
        <v>2781.810389091781</v>
      </c>
      <c r="I35" s="87">
        <v>2956.9040672300139</v>
      </c>
      <c r="J35" s="87">
        <v>3108.9719630411309</v>
      </c>
      <c r="K35" s="87">
        <v>3210.3432326381826</v>
      </c>
      <c r="L35" s="87">
        <v>3186.1546624616049</v>
      </c>
      <c r="M35" s="87">
        <v>3257.3071655256476</v>
      </c>
      <c r="N35" s="87">
        <v>3375.8744378979809</v>
      </c>
      <c r="O35" s="87">
        <v>3504.302042752432</v>
      </c>
      <c r="P35" s="87">
        <v>3702.5963900611046</v>
      </c>
      <c r="Q35" s="87">
        <v>3768.1552304306942</v>
      </c>
      <c r="R35" s="87">
        <v>3860.1525517934297</v>
      </c>
      <c r="S35" s="87">
        <v>3821.6467638238191</v>
      </c>
      <c r="T35" s="87">
        <v>3791.2052866545164</v>
      </c>
      <c r="U35" s="87">
        <v>3716.5094753327398</v>
      </c>
      <c r="V35" s="87">
        <v>3358.8357556236001</v>
      </c>
      <c r="W35" s="87">
        <v>3283.6986997306581</v>
      </c>
      <c r="X35" s="87">
        <v>3245.0095349713633</v>
      </c>
      <c r="Y35" s="87">
        <v>3121.624648527647</v>
      </c>
      <c r="DA35" s="171" t="s">
        <v>479</v>
      </c>
    </row>
    <row r="36" spans="1:105" ht="11.45" customHeight="1" x14ac:dyDescent="0.25">
      <c r="A36" s="111" t="s">
        <v>112</v>
      </c>
      <c r="B36" s="87">
        <v>32.434971014675412</v>
      </c>
      <c r="C36" s="87">
        <v>38.49855907012217</v>
      </c>
      <c r="D36" s="87">
        <v>40.097463186763214</v>
      </c>
      <c r="E36" s="87">
        <v>37.810751586539709</v>
      </c>
      <c r="F36" s="87">
        <v>35.81543591340936</v>
      </c>
      <c r="G36" s="87">
        <v>34.390676149147865</v>
      </c>
      <c r="H36" s="87">
        <v>17.133520394100504</v>
      </c>
      <c r="I36" s="87">
        <v>16.326596500800374</v>
      </c>
      <c r="J36" s="87">
        <v>16.710585574407602</v>
      </c>
      <c r="K36" s="87">
        <v>17.794380062908736</v>
      </c>
      <c r="L36" s="87">
        <v>16.939189104385246</v>
      </c>
      <c r="M36" s="87">
        <v>16.220608423781002</v>
      </c>
      <c r="N36" s="87">
        <v>16.167851471465926</v>
      </c>
      <c r="O36" s="87">
        <v>16.796802125235882</v>
      </c>
      <c r="P36" s="87">
        <v>16.697532719000584</v>
      </c>
      <c r="Q36" s="87">
        <v>16.05931884660901</v>
      </c>
      <c r="R36" s="87">
        <v>16.221237042905354</v>
      </c>
      <c r="S36" s="87">
        <v>13.688448654073269</v>
      </c>
      <c r="T36" s="87">
        <v>3.8715830648917051</v>
      </c>
      <c r="U36" s="87">
        <v>2.3511691885202195</v>
      </c>
      <c r="V36" s="87">
        <v>4.3199365371520466</v>
      </c>
      <c r="W36" s="87">
        <v>3.1764723052580792</v>
      </c>
      <c r="X36" s="87">
        <v>3.3823474842399408</v>
      </c>
      <c r="Y36" s="87">
        <v>3.522328685611293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7">
        <v>0</v>
      </c>
      <c r="Y37" s="87">
        <v>0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6.8910918590846952</v>
      </c>
      <c r="O38" s="87">
        <v>10.336263450441221</v>
      </c>
      <c r="P38" s="87">
        <v>11.041663422447799</v>
      </c>
      <c r="Q38" s="87">
        <v>10.821051887261168</v>
      </c>
      <c r="R38" s="87">
        <v>13.175360090150368</v>
      </c>
      <c r="S38" s="87">
        <v>14.869786744024264</v>
      </c>
      <c r="T38" s="87">
        <v>22.953303463014812</v>
      </c>
      <c r="U38" s="87">
        <v>35.582189898507565</v>
      </c>
      <c r="V38" s="87">
        <v>59.203510776534621</v>
      </c>
      <c r="W38" s="87">
        <v>123.56900763454321</v>
      </c>
      <c r="X38" s="87">
        <v>177.05889978719816</v>
      </c>
      <c r="Y38" s="87">
        <v>244.67884292024294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1.4080626981211524E-2</v>
      </c>
      <c r="K39" s="87">
        <v>2.8190981985786071E-2</v>
      </c>
      <c r="L39" s="87">
        <v>2.7709704762245417</v>
      </c>
      <c r="M39" s="87">
        <v>4.3299373172874382</v>
      </c>
      <c r="N39" s="87">
        <v>1.4161227489960757</v>
      </c>
      <c r="O39" s="87">
        <v>3.7264260578488426</v>
      </c>
      <c r="P39" s="87">
        <v>7.9936476437553328</v>
      </c>
      <c r="Q39" s="87">
        <v>9.0078834815023114</v>
      </c>
      <c r="R39" s="87">
        <v>9.7099013690125702</v>
      </c>
      <c r="S39" s="87">
        <v>13.743624155321539</v>
      </c>
      <c r="T39" s="87">
        <v>18.92112012440241</v>
      </c>
      <c r="U39" s="87">
        <v>36.453654513411912</v>
      </c>
      <c r="V39" s="87">
        <v>54.507534609309545</v>
      </c>
      <c r="W39" s="87">
        <v>122.22915184831723</v>
      </c>
      <c r="X39" s="87">
        <v>207.05671146651849</v>
      </c>
      <c r="Y39" s="87">
        <v>363.24108118861096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38.810249971055086</v>
      </c>
      <c r="C40" s="116">
        <f t="shared" ref="C40:V40" si="107">SUM(C41:C45)</f>
        <v>42.416029478699272</v>
      </c>
      <c r="D40" s="116">
        <f t="shared" si="107"/>
        <v>45.471483642637601</v>
      </c>
      <c r="E40" s="116">
        <f t="shared" si="107"/>
        <v>46.687427267208037</v>
      </c>
      <c r="F40" s="116">
        <f t="shared" si="107"/>
        <v>47.418485962735815</v>
      </c>
      <c r="G40" s="116">
        <f t="shared" si="107"/>
        <v>49.223540330845033</v>
      </c>
      <c r="H40" s="116">
        <f t="shared" si="107"/>
        <v>49.734197645198442</v>
      </c>
      <c r="I40" s="116">
        <f t="shared" si="107"/>
        <v>51.58442663229166</v>
      </c>
      <c r="J40" s="116">
        <f t="shared" si="107"/>
        <v>53.862586043074636</v>
      </c>
      <c r="K40" s="116">
        <f t="shared" si="107"/>
        <v>55.609189712303248</v>
      </c>
      <c r="L40" s="116">
        <f t="shared" si="107"/>
        <v>57.221404025527775</v>
      </c>
      <c r="M40" s="116">
        <f t="shared" si="107"/>
        <v>58.609515859452614</v>
      </c>
      <c r="N40" s="116">
        <f t="shared" si="107"/>
        <v>58.411485158331843</v>
      </c>
      <c r="O40" s="116">
        <f t="shared" si="107"/>
        <v>58.548042372013967</v>
      </c>
      <c r="P40" s="116">
        <f t="shared" si="107"/>
        <v>58.051229152020362</v>
      </c>
      <c r="Q40" s="116">
        <f t="shared" si="107"/>
        <v>59.57107021733777</v>
      </c>
      <c r="R40" s="116">
        <f t="shared" si="107"/>
        <v>60.515809584064542</v>
      </c>
      <c r="S40" s="116">
        <f t="shared" si="107"/>
        <v>62.472389007531348</v>
      </c>
      <c r="T40" s="116">
        <f t="shared" si="107"/>
        <v>63.841551736219003</v>
      </c>
      <c r="U40" s="116">
        <f t="shared" si="107"/>
        <v>66.568661664141644</v>
      </c>
      <c r="V40" s="116">
        <f t="shared" si="107"/>
        <v>66.313720449176685</v>
      </c>
      <c r="W40" s="116">
        <f t="shared" ref="W40:Y40" si="108">SUM(W41:W45)</f>
        <v>66.362099958386352</v>
      </c>
      <c r="X40" s="116">
        <f t="shared" si="108"/>
        <v>66.571251104218646</v>
      </c>
      <c r="Y40" s="116">
        <f t="shared" si="108"/>
        <v>66.644869830339033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9.8759238250545316E-3</v>
      </c>
      <c r="U41" s="101">
        <v>9.5429583919604544E-3</v>
      </c>
      <c r="V41" s="101">
        <v>8.9108492275602989E-3</v>
      </c>
      <c r="W41" s="101">
        <v>1.6743722190920209E-2</v>
      </c>
      <c r="X41" s="101">
        <v>2.3089644863665534E-2</v>
      </c>
      <c r="Y41" s="101">
        <v>2.1583219079121745E-2</v>
      </c>
      <c r="DA41" s="175" t="s">
        <v>485</v>
      </c>
    </row>
    <row r="42" spans="1:105" ht="11.45" customHeight="1" x14ac:dyDescent="0.25">
      <c r="A42" s="111" t="s">
        <v>111</v>
      </c>
      <c r="B42" s="101">
        <v>38.810249971055086</v>
      </c>
      <c r="C42" s="101">
        <v>42.416029478699272</v>
      </c>
      <c r="D42" s="101">
        <v>45.471483642637601</v>
      </c>
      <c r="E42" s="101">
        <v>46.561593698738818</v>
      </c>
      <c r="F42" s="101">
        <v>47.292538338803297</v>
      </c>
      <c r="G42" s="101">
        <v>49.097485097881098</v>
      </c>
      <c r="H42" s="101">
        <v>49.608026588807832</v>
      </c>
      <c r="I42" s="101">
        <v>51.458147525582994</v>
      </c>
      <c r="J42" s="101">
        <v>53.736200806440422</v>
      </c>
      <c r="K42" s="101">
        <v>55.524859805501684</v>
      </c>
      <c r="L42" s="101">
        <v>57.136987207400438</v>
      </c>
      <c r="M42" s="101">
        <v>58.525030770679699</v>
      </c>
      <c r="N42" s="101">
        <v>58.326924177156663</v>
      </c>
      <c r="O42" s="101">
        <v>58.463416060542755</v>
      </c>
      <c r="P42" s="101">
        <v>57.96652128310236</v>
      </c>
      <c r="Q42" s="101">
        <v>59.48628764987901</v>
      </c>
      <c r="R42" s="101">
        <v>60.431066262123316</v>
      </c>
      <c r="S42" s="101">
        <v>62.133437804139518</v>
      </c>
      <c r="T42" s="101">
        <v>62.434744259048323</v>
      </c>
      <c r="U42" s="101">
        <v>61.990409913448048</v>
      </c>
      <c r="V42" s="101">
        <v>60.133834353860934</v>
      </c>
      <c r="W42" s="101">
        <v>58.763593819354071</v>
      </c>
      <c r="X42" s="101">
        <v>52.942453394706526</v>
      </c>
      <c r="Y42" s="101">
        <v>49.821981095039853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X44" s="101">
        <v>0</v>
      </c>
      <c r="Y44" s="101">
        <v>0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0.12583356846922036</v>
      </c>
      <c r="F45" s="101">
        <v>0.12594762393252115</v>
      </c>
      <c r="G45" s="101">
        <v>0.12605523296393698</v>
      </c>
      <c r="H45" s="101">
        <v>0.12617105639061341</v>
      </c>
      <c r="I45" s="101">
        <v>0.12627910670866796</v>
      </c>
      <c r="J45" s="101">
        <v>0.12638523663421228</v>
      </c>
      <c r="K45" s="101">
        <v>8.4329906801564616E-2</v>
      </c>
      <c r="L45" s="101">
        <v>8.4416818127336424E-2</v>
      </c>
      <c r="M45" s="101">
        <v>8.4485088772912109E-2</v>
      </c>
      <c r="N45" s="101">
        <v>8.4560981175179697E-2</v>
      </c>
      <c r="O45" s="101">
        <v>8.4626311471214674E-2</v>
      </c>
      <c r="P45" s="101">
        <v>8.4707868918001958E-2</v>
      </c>
      <c r="Q45" s="101">
        <v>8.4782567458756439E-2</v>
      </c>
      <c r="R45" s="101">
        <v>8.474332194122286E-2</v>
      </c>
      <c r="S45" s="101">
        <v>0.33895120339182888</v>
      </c>
      <c r="T45" s="101">
        <v>1.3969315533456215</v>
      </c>
      <c r="U45" s="101">
        <v>4.5687087923016358</v>
      </c>
      <c r="V45" s="101">
        <v>6.170975246088191</v>
      </c>
      <c r="W45" s="101">
        <v>7.5817624168413573</v>
      </c>
      <c r="X45" s="101">
        <v>13.605708064648454</v>
      </c>
      <c r="Y45" s="101">
        <v>16.801305516220058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406.98779637090166</v>
      </c>
      <c r="C46" s="29">
        <f t="shared" ref="C46:V46" si="110">C47+C53</f>
        <v>440.09716047003872</v>
      </c>
      <c r="D46" s="29">
        <f t="shared" si="110"/>
        <v>477.23514518505681</v>
      </c>
      <c r="E46" s="29">
        <f t="shared" si="110"/>
        <v>489.55565419787126</v>
      </c>
      <c r="F46" s="29">
        <f t="shared" si="110"/>
        <v>514.93045467316244</v>
      </c>
      <c r="G46" s="29">
        <f t="shared" si="110"/>
        <v>531.17644256125652</v>
      </c>
      <c r="H46" s="29">
        <f t="shared" si="110"/>
        <v>555.47239651860173</v>
      </c>
      <c r="I46" s="29">
        <f t="shared" si="110"/>
        <v>593.74262732298325</v>
      </c>
      <c r="J46" s="29">
        <f t="shared" si="110"/>
        <v>628.36963088685422</v>
      </c>
      <c r="K46" s="29">
        <f t="shared" si="110"/>
        <v>590.37221061097216</v>
      </c>
      <c r="L46" s="29">
        <f t="shared" si="110"/>
        <v>618.33641202158151</v>
      </c>
      <c r="M46" s="29">
        <f t="shared" si="110"/>
        <v>646.63483331442785</v>
      </c>
      <c r="N46" s="29">
        <f t="shared" si="110"/>
        <v>710.25172888630732</v>
      </c>
      <c r="O46" s="29">
        <f t="shared" si="110"/>
        <v>704.80427446283977</v>
      </c>
      <c r="P46" s="29">
        <f t="shared" si="110"/>
        <v>768.08661159436133</v>
      </c>
      <c r="Q46" s="29">
        <f t="shared" si="110"/>
        <v>763.50370119865556</v>
      </c>
      <c r="R46" s="29">
        <f t="shared" si="110"/>
        <v>808.1294164059027</v>
      </c>
      <c r="S46" s="29">
        <f t="shared" si="110"/>
        <v>834.62348160065289</v>
      </c>
      <c r="T46" s="29">
        <f t="shared" si="110"/>
        <v>860.01651189819722</v>
      </c>
      <c r="U46" s="29">
        <f t="shared" si="110"/>
        <v>877.27395830225339</v>
      </c>
      <c r="V46" s="29">
        <f t="shared" si="110"/>
        <v>866.12411873252177</v>
      </c>
      <c r="W46" s="29">
        <f t="shared" ref="W46:Y46" si="111">W47+W53</f>
        <v>922.95910625383931</v>
      </c>
      <c r="X46" s="29">
        <f t="shared" si="111"/>
        <v>858.46947545485909</v>
      </c>
      <c r="Y46" s="29">
        <f t="shared" si="111"/>
        <v>839.98551621930096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274.89463565970101</v>
      </c>
      <c r="C47" s="152">
        <f t="shared" ref="C47:V47" si="113">SUM(C48:C52)</f>
        <v>293.9468465853235</v>
      </c>
      <c r="D47" s="152">
        <f t="shared" si="113"/>
        <v>315.17197398123886</v>
      </c>
      <c r="E47" s="152">
        <f t="shared" si="113"/>
        <v>327.74397004131248</v>
      </c>
      <c r="F47" s="152">
        <f t="shared" si="113"/>
        <v>342.38052668449944</v>
      </c>
      <c r="G47" s="152">
        <f t="shared" si="113"/>
        <v>360.25080774350602</v>
      </c>
      <c r="H47" s="152">
        <f t="shared" si="113"/>
        <v>379.49801372581447</v>
      </c>
      <c r="I47" s="152">
        <f t="shared" si="113"/>
        <v>411.826114005107</v>
      </c>
      <c r="J47" s="152">
        <f t="shared" si="113"/>
        <v>437.5582994344449</v>
      </c>
      <c r="K47" s="152">
        <f t="shared" si="113"/>
        <v>439.1559437627173</v>
      </c>
      <c r="L47" s="152">
        <f t="shared" si="113"/>
        <v>458.38664853242778</v>
      </c>
      <c r="M47" s="152">
        <f t="shared" si="113"/>
        <v>484.00017524460264</v>
      </c>
      <c r="N47" s="152">
        <f t="shared" si="113"/>
        <v>500.46216404889077</v>
      </c>
      <c r="O47" s="152">
        <f t="shared" si="113"/>
        <v>514.52238846422881</v>
      </c>
      <c r="P47" s="152">
        <f t="shared" si="113"/>
        <v>545.10481872517425</v>
      </c>
      <c r="Q47" s="152">
        <f t="shared" si="113"/>
        <v>571.43860816448887</v>
      </c>
      <c r="R47" s="152">
        <f t="shared" si="113"/>
        <v>605.57098456594053</v>
      </c>
      <c r="S47" s="152">
        <f t="shared" si="113"/>
        <v>628.51396460415742</v>
      </c>
      <c r="T47" s="152">
        <f t="shared" si="113"/>
        <v>656.24848527352776</v>
      </c>
      <c r="U47" s="152">
        <f t="shared" si="113"/>
        <v>670.88330058103725</v>
      </c>
      <c r="V47" s="152">
        <f t="shared" si="113"/>
        <v>679.57556095518851</v>
      </c>
      <c r="W47" s="152">
        <f t="shared" ref="W47:Y47" si="114">SUM(W48:W52)</f>
        <v>713.43246791952299</v>
      </c>
      <c r="X47" s="152">
        <f t="shared" si="114"/>
        <v>648.98298306426705</v>
      </c>
      <c r="Y47" s="152">
        <f t="shared" si="114"/>
        <v>650.40308436379325</v>
      </c>
      <c r="DA47" s="174" t="s">
        <v>491</v>
      </c>
    </row>
    <row r="48" spans="1:105" ht="11.45" customHeight="1" x14ac:dyDescent="0.25">
      <c r="A48" s="111" t="s">
        <v>110</v>
      </c>
      <c r="B48" s="87">
        <v>27.992658625066191</v>
      </c>
      <c r="C48" s="87">
        <v>25.06862190710428</v>
      </c>
      <c r="D48" s="87">
        <v>22.942074510538909</v>
      </c>
      <c r="E48" s="87">
        <v>20.743129517048448</v>
      </c>
      <c r="F48" s="87">
        <v>18.342133405036677</v>
      </c>
      <c r="G48" s="87">
        <v>16.25315045808642</v>
      </c>
      <c r="H48" s="87">
        <v>14.643546670346939</v>
      </c>
      <c r="I48" s="87">
        <v>13.727531427666181</v>
      </c>
      <c r="J48" s="87">
        <v>13.200314836309557</v>
      </c>
      <c r="K48" s="87">
        <v>11.951801283409173</v>
      </c>
      <c r="L48" s="87">
        <v>11.661446677006664</v>
      </c>
      <c r="M48" s="87">
        <v>11.350796188371808</v>
      </c>
      <c r="N48" s="87">
        <v>10.593272477168245</v>
      </c>
      <c r="O48" s="87">
        <v>10.160998122681226</v>
      </c>
      <c r="P48" s="87">
        <v>10.167559304423431</v>
      </c>
      <c r="Q48" s="87">
        <v>10.087801762974209</v>
      </c>
      <c r="R48" s="87">
        <v>10.29054035541815</v>
      </c>
      <c r="S48" s="87">
        <v>10.522345849620294</v>
      </c>
      <c r="T48" s="87">
        <v>11.219608686604456</v>
      </c>
      <c r="U48" s="87">
        <v>11.504661973540749</v>
      </c>
      <c r="V48" s="87">
        <v>11.681615740351537</v>
      </c>
      <c r="W48" s="87">
        <v>12.241030422132095</v>
      </c>
      <c r="X48" s="87">
        <v>11.264480358124862</v>
      </c>
      <c r="Y48" s="87">
        <v>12.292301682527167</v>
      </c>
      <c r="DA48" s="171" t="s">
        <v>492</v>
      </c>
    </row>
    <row r="49" spans="1:105" ht="11.45" customHeight="1" x14ac:dyDescent="0.25">
      <c r="A49" s="111" t="s">
        <v>111</v>
      </c>
      <c r="B49" s="87">
        <v>246.90197703463483</v>
      </c>
      <c r="C49" s="87">
        <v>268.87822467821923</v>
      </c>
      <c r="D49" s="87">
        <v>292.22989947069993</v>
      </c>
      <c r="E49" s="87">
        <v>307.00084052426405</v>
      </c>
      <c r="F49" s="87">
        <v>324.03839327946275</v>
      </c>
      <c r="G49" s="87">
        <v>343.99765728541962</v>
      </c>
      <c r="H49" s="87">
        <v>364.84128925528836</v>
      </c>
      <c r="I49" s="87">
        <v>398.07220599863831</v>
      </c>
      <c r="J49" s="87">
        <v>424.33159042533936</v>
      </c>
      <c r="K49" s="87">
        <v>427.11162626227002</v>
      </c>
      <c r="L49" s="87">
        <v>446.63266340768286</v>
      </c>
      <c r="M49" s="87">
        <v>472.55681604517787</v>
      </c>
      <c r="N49" s="87">
        <v>489.52463951386676</v>
      </c>
      <c r="O49" s="87">
        <v>502.7901932109753</v>
      </c>
      <c r="P49" s="87">
        <v>532.9706419414681</v>
      </c>
      <c r="Q49" s="87">
        <v>559.04441151339825</v>
      </c>
      <c r="R49" s="87">
        <v>592.73025818225312</v>
      </c>
      <c r="S49" s="87">
        <v>614.88884533940075</v>
      </c>
      <c r="T49" s="87">
        <v>641.24358002250244</v>
      </c>
      <c r="U49" s="87">
        <v>655.00390491486178</v>
      </c>
      <c r="V49" s="87">
        <v>662.89342003381864</v>
      </c>
      <c r="W49" s="87">
        <v>694.41939078892938</v>
      </c>
      <c r="X49" s="87">
        <v>627.53792301518115</v>
      </c>
      <c r="Y49" s="87">
        <v>622.64987862781186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0.64304140687243827</v>
      </c>
      <c r="P50" s="87">
        <v>0.81154705250341097</v>
      </c>
      <c r="Q50" s="87">
        <v>0.85865571566580501</v>
      </c>
      <c r="R50" s="87">
        <v>0.9047146165276474</v>
      </c>
      <c r="S50" s="87">
        <v>0.95440933784853321</v>
      </c>
      <c r="T50" s="87">
        <v>0.94748032925971737</v>
      </c>
      <c r="U50" s="87">
        <v>0.95458369471891735</v>
      </c>
      <c r="V50" s="87">
        <v>0.98955658815813552</v>
      </c>
      <c r="W50" s="87">
        <v>1.0868106063026917</v>
      </c>
      <c r="X50" s="87">
        <v>0.9564850821170926</v>
      </c>
      <c r="Y50" s="87">
        <v>0.92721907475043586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1.3177800179156712E-2</v>
      </c>
      <c r="I52" s="87">
        <v>2.6376578802539491E-2</v>
      </c>
      <c r="J52" s="87">
        <v>2.6394172796006251E-2</v>
      </c>
      <c r="K52" s="87">
        <v>9.2516217038133647E-2</v>
      </c>
      <c r="L52" s="87">
        <v>9.2538447738265292E-2</v>
      </c>
      <c r="M52" s="87">
        <v>9.2563011052967062E-2</v>
      </c>
      <c r="N52" s="87">
        <v>0.34425205785576307</v>
      </c>
      <c r="O52" s="87">
        <v>0.92815572369992827</v>
      </c>
      <c r="P52" s="87">
        <v>1.1550704267792746</v>
      </c>
      <c r="Q52" s="87">
        <v>1.4477391724505737</v>
      </c>
      <c r="R52" s="87">
        <v>1.6454714117417444</v>
      </c>
      <c r="S52" s="87">
        <v>2.1483640772878032</v>
      </c>
      <c r="T52" s="87">
        <v>2.8378162351610352</v>
      </c>
      <c r="U52" s="87">
        <v>3.4201499979157219</v>
      </c>
      <c r="V52" s="87">
        <v>4.0109685928602419</v>
      </c>
      <c r="W52" s="87">
        <v>5.6852361021588438</v>
      </c>
      <c r="X52" s="87">
        <v>9.2240946088440001</v>
      </c>
      <c r="Y52" s="87">
        <v>14.533684978703866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132.09316071120065</v>
      </c>
      <c r="C53" s="116">
        <f t="shared" ref="C53:V53" si="116">SUM(C54:C55)</f>
        <v>146.15031388471522</v>
      </c>
      <c r="D53" s="116">
        <f t="shared" si="116"/>
        <v>162.06317120381792</v>
      </c>
      <c r="E53" s="116">
        <f t="shared" si="116"/>
        <v>161.81168415655881</v>
      </c>
      <c r="F53" s="116">
        <f t="shared" si="116"/>
        <v>172.549927988663</v>
      </c>
      <c r="G53" s="116">
        <f t="shared" si="116"/>
        <v>170.92563481775051</v>
      </c>
      <c r="H53" s="116">
        <f t="shared" si="116"/>
        <v>175.97438279278731</v>
      </c>
      <c r="I53" s="116">
        <f t="shared" si="116"/>
        <v>181.91651331787625</v>
      </c>
      <c r="J53" s="116">
        <f t="shared" si="116"/>
        <v>190.81133145240932</v>
      </c>
      <c r="K53" s="116">
        <f t="shared" si="116"/>
        <v>151.21626684825486</v>
      </c>
      <c r="L53" s="116">
        <f t="shared" si="116"/>
        <v>159.94976348915372</v>
      </c>
      <c r="M53" s="116">
        <f t="shared" si="116"/>
        <v>162.63465806982521</v>
      </c>
      <c r="N53" s="116">
        <f t="shared" si="116"/>
        <v>209.78956483741649</v>
      </c>
      <c r="O53" s="116">
        <f t="shared" si="116"/>
        <v>190.28188599861096</v>
      </c>
      <c r="P53" s="116">
        <f t="shared" si="116"/>
        <v>222.98179286918707</v>
      </c>
      <c r="Q53" s="116">
        <f t="shared" si="116"/>
        <v>192.06509303416669</v>
      </c>
      <c r="R53" s="116">
        <f t="shared" si="116"/>
        <v>202.55843183996222</v>
      </c>
      <c r="S53" s="116">
        <f t="shared" si="116"/>
        <v>206.10951699649544</v>
      </c>
      <c r="T53" s="116">
        <f t="shared" si="116"/>
        <v>203.7680266246694</v>
      </c>
      <c r="U53" s="116">
        <f t="shared" si="116"/>
        <v>206.39065772121614</v>
      </c>
      <c r="V53" s="116">
        <f t="shared" si="116"/>
        <v>186.54855777733323</v>
      </c>
      <c r="W53" s="116">
        <f t="shared" ref="W53:Y53" si="117">SUM(W54:W55)</f>
        <v>209.52663833431635</v>
      </c>
      <c r="X53" s="116">
        <f t="shared" si="117"/>
        <v>209.48649239059199</v>
      </c>
      <c r="Y53" s="116">
        <f t="shared" si="117"/>
        <v>189.58243185550768</v>
      </c>
      <c r="DA53" s="176" t="s">
        <v>497</v>
      </c>
    </row>
    <row r="54" spans="1:105" ht="11.45" customHeight="1" x14ac:dyDescent="0.25">
      <c r="A54" s="128" t="s">
        <v>27</v>
      </c>
      <c r="B54" s="101">
        <v>62</v>
      </c>
      <c r="C54" s="101">
        <v>71</v>
      </c>
      <c r="D54" s="101">
        <v>83</v>
      </c>
      <c r="E54" s="101">
        <v>81</v>
      </c>
      <c r="F54" s="101">
        <v>77</v>
      </c>
      <c r="G54" s="101">
        <v>72</v>
      </c>
      <c r="H54" s="101">
        <v>80</v>
      </c>
      <c r="I54" s="101">
        <v>79</v>
      </c>
      <c r="J54" s="101">
        <v>74</v>
      </c>
      <c r="K54" s="101">
        <v>47</v>
      </c>
      <c r="L54" s="101">
        <v>52</v>
      </c>
      <c r="M54" s="101">
        <v>56</v>
      </c>
      <c r="N54" s="101">
        <v>90</v>
      </c>
      <c r="O54" s="101">
        <v>71</v>
      </c>
      <c r="P54" s="101">
        <v>97</v>
      </c>
      <c r="Q54" s="101">
        <v>84</v>
      </c>
      <c r="R54" s="101">
        <v>87</v>
      </c>
      <c r="S54" s="101">
        <v>84</v>
      </c>
      <c r="T54" s="101">
        <v>86</v>
      </c>
      <c r="U54" s="101">
        <v>85</v>
      </c>
      <c r="V54" s="101">
        <v>73</v>
      </c>
      <c r="W54" s="101">
        <v>88</v>
      </c>
      <c r="X54" s="101">
        <v>86</v>
      </c>
      <c r="Y54" s="101">
        <v>78</v>
      </c>
      <c r="DA54" s="175" t="s">
        <v>498</v>
      </c>
    </row>
    <row r="55" spans="1:105" ht="11.45" customHeight="1" x14ac:dyDescent="0.25">
      <c r="A55" s="138" t="s">
        <v>116</v>
      </c>
      <c r="B55" s="88">
        <v>70.093160711200653</v>
      </c>
      <c r="C55" s="88">
        <v>75.150313884715203</v>
      </c>
      <c r="D55" s="88">
        <v>79.063171203817916</v>
      </c>
      <c r="E55" s="88">
        <v>80.811684156558812</v>
      </c>
      <c r="F55" s="88">
        <v>95.549927988663015</v>
      </c>
      <c r="G55" s="88">
        <v>98.925634817750506</v>
      </c>
      <c r="H55" s="88">
        <v>95.974382792787324</v>
      </c>
      <c r="I55" s="88">
        <v>102.91651331787625</v>
      </c>
      <c r="J55" s="88">
        <v>116.81133145240932</v>
      </c>
      <c r="K55" s="88">
        <v>104.21626684825485</v>
      </c>
      <c r="L55" s="88">
        <v>107.94976348915372</v>
      </c>
      <c r="M55" s="88">
        <v>106.63465806982522</v>
      </c>
      <c r="N55" s="88">
        <v>119.78956483741648</v>
      </c>
      <c r="O55" s="88">
        <v>119.28188599861096</v>
      </c>
      <c r="P55" s="88">
        <v>125.98179286918709</v>
      </c>
      <c r="Q55" s="88">
        <v>108.06509303416668</v>
      </c>
      <c r="R55" s="88">
        <v>115.55843183996221</v>
      </c>
      <c r="S55" s="88">
        <v>122.10951699649544</v>
      </c>
      <c r="T55" s="88">
        <v>117.76802662466942</v>
      </c>
      <c r="U55" s="88">
        <v>121.39065772121614</v>
      </c>
      <c r="V55" s="88">
        <v>113.54855777733323</v>
      </c>
      <c r="W55" s="88">
        <v>121.52663833431635</v>
      </c>
      <c r="X55" s="88">
        <v>123.48649239059201</v>
      </c>
      <c r="Y55" s="88">
        <v>111.58243185550768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305318</v>
      </c>
      <c r="C57" s="54">
        <f t="shared" si="118"/>
        <v>312594</v>
      </c>
      <c r="D57" s="54">
        <f t="shared" si="118"/>
        <v>320081</v>
      </c>
      <c r="E57" s="54">
        <f t="shared" si="118"/>
        <v>328449</v>
      </c>
      <c r="F57" s="54">
        <f t="shared" si="118"/>
        <v>336491</v>
      </c>
      <c r="G57" s="54">
        <f t="shared" si="118"/>
        <v>347625</v>
      </c>
      <c r="H57" s="54">
        <f t="shared" si="118"/>
        <v>358157</v>
      </c>
      <c r="I57" s="54">
        <f t="shared" si="118"/>
        <v>367288</v>
      </c>
      <c r="J57" s="54">
        <f t="shared" si="118"/>
        <v>377317</v>
      </c>
      <c r="K57" s="54">
        <f t="shared" si="118"/>
        <v>383973</v>
      </c>
      <c r="L57" s="54">
        <f t="shared" ref="L57" si="119">L58+L73</f>
        <v>392113</v>
      </c>
      <c r="M57" s="54">
        <f t="shared" ref="M57:V57" si="120">M58+M73</f>
        <v>403040</v>
      </c>
      <c r="N57" s="54">
        <f t="shared" si="120"/>
        <v>415546</v>
      </c>
      <c r="O57" s="54">
        <f t="shared" si="120"/>
        <v>424312</v>
      </c>
      <c r="P57" s="54">
        <f t="shared" si="120"/>
        <v>435642</v>
      </c>
      <c r="Q57" s="54">
        <f t="shared" si="120"/>
        <v>446349</v>
      </c>
      <c r="R57" s="54">
        <f t="shared" si="120"/>
        <v>458900</v>
      </c>
      <c r="S57" s="54">
        <f t="shared" si="120"/>
        <v>476465</v>
      </c>
      <c r="T57" s="54">
        <f t="shared" si="120"/>
        <v>489837</v>
      </c>
      <c r="U57" s="54">
        <f t="shared" si="120"/>
        <v>505906</v>
      </c>
      <c r="V57" s="54">
        <f t="shared" si="120"/>
        <v>512962</v>
      </c>
      <c r="W57" s="54">
        <f t="shared" ref="W57:Y57" si="121">W58+W73</f>
        <v>522369</v>
      </c>
      <c r="X57" s="54">
        <f t="shared" si="121"/>
        <v>530149</v>
      </c>
      <c r="Y57" s="54">
        <f t="shared" si="121"/>
        <v>541640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285578</v>
      </c>
      <c r="C58" s="28">
        <f t="shared" si="122"/>
        <v>292459</v>
      </c>
      <c r="D58" s="28">
        <f t="shared" si="122"/>
        <v>299516</v>
      </c>
      <c r="E58" s="28">
        <f t="shared" si="122"/>
        <v>307158</v>
      </c>
      <c r="F58" s="28">
        <f t="shared" si="122"/>
        <v>314521</v>
      </c>
      <c r="G58" s="28">
        <f t="shared" si="122"/>
        <v>323837</v>
      </c>
      <c r="H58" s="28">
        <f t="shared" si="122"/>
        <v>333308</v>
      </c>
      <c r="I58" s="28">
        <f t="shared" si="122"/>
        <v>341299</v>
      </c>
      <c r="J58" s="28">
        <f t="shared" si="122"/>
        <v>348653</v>
      </c>
      <c r="K58" s="28">
        <f t="shared" si="122"/>
        <v>353691</v>
      </c>
      <c r="L58" s="28">
        <f t="shared" ref="L58" si="123">L59+L60+L67</f>
        <v>360862</v>
      </c>
      <c r="M58" s="28">
        <f t="shared" ref="M58:V58" si="124">M59+M60+M67</f>
        <v>370525</v>
      </c>
      <c r="N58" s="28">
        <f t="shared" si="124"/>
        <v>381936</v>
      </c>
      <c r="O58" s="28">
        <f t="shared" si="124"/>
        <v>390759</v>
      </c>
      <c r="P58" s="28">
        <f t="shared" si="124"/>
        <v>401880</v>
      </c>
      <c r="Q58" s="28">
        <f t="shared" si="124"/>
        <v>411219</v>
      </c>
      <c r="R58" s="28">
        <f t="shared" si="124"/>
        <v>422092</v>
      </c>
      <c r="S58" s="28">
        <f t="shared" si="124"/>
        <v>437066</v>
      </c>
      <c r="T58" s="28">
        <f t="shared" si="124"/>
        <v>448944</v>
      </c>
      <c r="U58" s="28">
        <f t="shared" si="124"/>
        <v>463316</v>
      </c>
      <c r="V58" s="28">
        <f t="shared" si="124"/>
        <v>467983</v>
      </c>
      <c r="W58" s="28">
        <f t="shared" ref="W58:Y58" si="125">W59+W60+W67</f>
        <v>476226</v>
      </c>
      <c r="X58" s="28">
        <f t="shared" si="125"/>
        <v>482480</v>
      </c>
      <c r="Y58" s="28">
        <f t="shared" si="125"/>
        <v>492325</v>
      </c>
      <c r="DA58" s="173" t="s">
        <v>501</v>
      </c>
    </row>
    <row r="59" spans="1:105" ht="11.45" customHeight="1" x14ac:dyDescent="0.25">
      <c r="A59" s="136" t="s">
        <v>173</v>
      </c>
      <c r="B59" s="137">
        <v>8972</v>
      </c>
      <c r="C59" s="137">
        <v>10067</v>
      </c>
      <c r="D59" s="137">
        <v>11340</v>
      </c>
      <c r="E59" s="137">
        <v>12721</v>
      </c>
      <c r="F59" s="137">
        <v>14012</v>
      </c>
      <c r="G59" s="137">
        <v>15207</v>
      </c>
      <c r="H59" s="137">
        <v>16509</v>
      </c>
      <c r="I59" s="137">
        <v>17844</v>
      </c>
      <c r="J59" s="137">
        <v>19108</v>
      </c>
      <c r="K59" s="137">
        <v>20566</v>
      </c>
      <c r="L59" s="137">
        <v>22026</v>
      </c>
      <c r="M59" s="137">
        <v>23222</v>
      </c>
      <c r="N59" s="137">
        <v>24308</v>
      </c>
      <c r="O59" s="137">
        <v>25753</v>
      </c>
      <c r="P59" s="137">
        <v>27275</v>
      </c>
      <c r="Q59" s="137">
        <v>28259</v>
      </c>
      <c r="R59" s="137">
        <v>29253</v>
      </c>
      <c r="S59" s="137">
        <v>30300</v>
      </c>
      <c r="T59" s="137">
        <v>30636</v>
      </c>
      <c r="U59" s="137">
        <v>30805</v>
      </c>
      <c r="V59" s="137">
        <v>32219</v>
      </c>
      <c r="W59" s="137">
        <v>33962</v>
      </c>
      <c r="X59" s="137">
        <v>35163</v>
      </c>
      <c r="Y59" s="137">
        <v>36048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275555</v>
      </c>
      <c r="C60" s="110">
        <f t="shared" si="126"/>
        <v>281270</v>
      </c>
      <c r="D60" s="110">
        <f t="shared" si="126"/>
        <v>287000</v>
      </c>
      <c r="E60" s="110">
        <f t="shared" si="126"/>
        <v>293210</v>
      </c>
      <c r="F60" s="110">
        <f t="shared" si="126"/>
        <v>299240</v>
      </c>
      <c r="G60" s="110">
        <f t="shared" si="126"/>
        <v>307290</v>
      </c>
      <c r="H60" s="110">
        <f t="shared" si="126"/>
        <v>315420</v>
      </c>
      <c r="I60" s="110">
        <f t="shared" si="126"/>
        <v>322000</v>
      </c>
      <c r="J60" s="110">
        <f t="shared" si="126"/>
        <v>328000</v>
      </c>
      <c r="K60" s="110">
        <f t="shared" si="126"/>
        <v>331502</v>
      </c>
      <c r="L60" s="110">
        <f t="shared" ref="L60" si="127">SUM(L61:L66)</f>
        <v>337200</v>
      </c>
      <c r="M60" s="110">
        <f t="shared" ref="M60:V60" si="128">SUM(M61:M66)</f>
        <v>345600</v>
      </c>
      <c r="N60" s="110">
        <f t="shared" si="128"/>
        <v>355900</v>
      </c>
      <c r="O60" s="110">
        <f t="shared" si="128"/>
        <v>363247</v>
      </c>
      <c r="P60" s="110">
        <f t="shared" si="128"/>
        <v>372827</v>
      </c>
      <c r="Q60" s="110">
        <f t="shared" si="128"/>
        <v>381103</v>
      </c>
      <c r="R60" s="110">
        <f t="shared" si="128"/>
        <v>390935</v>
      </c>
      <c r="S60" s="110">
        <f t="shared" si="128"/>
        <v>404803</v>
      </c>
      <c r="T60" s="110">
        <f t="shared" si="128"/>
        <v>416266</v>
      </c>
      <c r="U60" s="110">
        <f t="shared" si="128"/>
        <v>430353</v>
      </c>
      <c r="V60" s="110">
        <f t="shared" si="128"/>
        <v>433513</v>
      </c>
      <c r="W60" s="110">
        <f t="shared" ref="W60:Y60" si="129">SUM(W61:W66)</f>
        <v>439919</v>
      </c>
      <c r="X60" s="110">
        <f t="shared" si="129"/>
        <v>444817</v>
      </c>
      <c r="Y60" s="110">
        <f t="shared" si="129"/>
        <v>453659</v>
      </c>
      <c r="DA60" s="176" t="s">
        <v>503</v>
      </c>
    </row>
    <row r="61" spans="1:105" ht="11.45" customHeight="1" x14ac:dyDescent="0.25">
      <c r="A61" s="111" t="s">
        <v>110</v>
      </c>
      <c r="B61" s="84">
        <v>193570</v>
      </c>
      <c r="C61" s="84">
        <v>187393</v>
      </c>
      <c r="D61" s="84">
        <v>180869</v>
      </c>
      <c r="E61" s="84">
        <v>174546</v>
      </c>
      <c r="F61" s="84">
        <v>164745</v>
      </c>
      <c r="G61" s="84">
        <v>154960</v>
      </c>
      <c r="H61" s="84">
        <v>145733</v>
      </c>
      <c r="I61" s="84">
        <v>137098</v>
      </c>
      <c r="J61" s="84">
        <v>131185</v>
      </c>
      <c r="K61" s="84">
        <v>125342</v>
      </c>
      <c r="L61" s="84">
        <v>121570</v>
      </c>
      <c r="M61" s="84">
        <v>121127</v>
      </c>
      <c r="N61" s="84">
        <v>121879</v>
      </c>
      <c r="O61" s="84">
        <v>123213</v>
      </c>
      <c r="P61" s="84">
        <v>126429</v>
      </c>
      <c r="Q61" s="84">
        <v>130295</v>
      </c>
      <c r="R61" s="84">
        <v>137617</v>
      </c>
      <c r="S61" s="84">
        <v>151492</v>
      </c>
      <c r="T61" s="84">
        <v>166917</v>
      </c>
      <c r="U61" s="84">
        <v>183736</v>
      </c>
      <c r="V61" s="84">
        <v>192569</v>
      </c>
      <c r="W61" s="84">
        <v>199294</v>
      </c>
      <c r="X61" s="84">
        <v>204172</v>
      </c>
      <c r="Y61" s="84">
        <v>209968</v>
      </c>
      <c r="DA61" s="171" t="s">
        <v>504</v>
      </c>
    </row>
    <row r="62" spans="1:105" ht="11.45" customHeight="1" x14ac:dyDescent="0.25">
      <c r="A62" s="111" t="s">
        <v>111</v>
      </c>
      <c r="B62" s="84">
        <v>79520</v>
      </c>
      <c r="C62" s="84">
        <v>91218</v>
      </c>
      <c r="D62" s="84">
        <v>103354</v>
      </c>
      <c r="E62" s="84">
        <v>116034</v>
      </c>
      <c r="F62" s="84">
        <v>131995</v>
      </c>
      <c r="G62" s="84">
        <v>149945</v>
      </c>
      <c r="H62" s="84">
        <v>168517</v>
      </c>
      <c r="I62" s="84">
        <v>183792</v>
      </c>
      <c r="J62" s="84">
        <v>195672</v>
      </c>
      <c r="K62" s="84">
        <v>204916</v>
      </c>
      <c r="L62" s="84">
        <v>214179</v>
      </c>
      <c r="M62" s="84">
        <v>222968</v>
      </c>
      <c r="N62" s="84">
        <v>232217</v>
      </c>
      <c r="O62" s="84">
        <v>237753</v>
      </c>
      <c r="P62" s="84">
        <v>243810</v>
      </c>
      <c r="Q62" s="84">
        <v>248201</v>
      </c>
      <c r="R62" s="84">
        <v>250486</v>
      </c>
      <c r="S62" s="84">
        <v>250221</v>
      </c>
      <c r="T62" s="84">
        <v>246075</v>
      </c>
      <c r="U62" s="84">
        <v>241314</v>
      </c>
      <c r="V62" s="84">
        <v>232041</v>
      </c>
      <c r="W62" s="84">
        <v>222476</v>
      </c>
      <c r="X62" s="84">
        <v>212925</v>
      </c>
      <c r="Y62" s="84">
        <v>200414</v>
      </c>
      <c r="DA62" s="171" t="s">
        <v>505</v>
      </c>
    </row>
    <row r="63" spans="1:105" ht="11.45" customHeight="1" x14ac:dyDescent="0.25">
      <c r="A63" s="111" t="s">
        <v>112</v>
      </c>
      <c r="B63" s="84">
        <v>2465</v>
      </c>
      <c r="C63" s="84">
        <v>2659</v>
      </c>
      <c r="D63" s="84">
        <v>2777</v>
      </c>
      <c r="E63" s="84">
        <v>2630</v>
      </c>
      <c r="F63" s="84">
        <v>2500</v>
      </c>
      <c r="G63" s="84">
        <v>2385</v>
      </c>
      <c r="H63" s="84">
        <v>1170</v>
      </c>
      <c r="I63" s="84">
        <v>1110</v>
      </c>
      <c r="J63" s="84">
        <v>1142</v>
      </c>
      <c r="K63" s="84">
        <v>1242</v>
      </c>
      <c r="L63" s="84">
        <v>1255</v>
      </c>
      <c r="M63" s="84">
        <v>1199</v>
      </c>
      <c r="N63" s="84">
        <v>1214</v>
      </c>
      <c r="O63" s="84">
        <v>1275</v>
      </c>
      <c r="P63" s="84">
        <v>1235</v>
      </c>
      <c r="Q63" s="84">
        <v>1185</v>
      </c>
      <c r="R63" s="84">
        <v>1203</v>
      </c>
      <c r="S63" s="84">
        <v>1045</v>
      </c>
      <c r="T63" s="84">
        <v>293</v>
      </c>
      <c r="U63" s="84">
        <v>178</v>
      </c>
      <c r="V63" s="84">
        <v>355</v>
      </c>
      <c r="W63" s="84">
        <v>256</v>
      </c>
      <c r="X63" s="84">
        <v>264</v>
      </c>
      <c r="Y63" s="84">
        <v>269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490</v>
      </c>
      <c r="O65" s="84">
        <v>743</v>
      </c>
      <c r="P65" s="84">
        <v>789</v>
      </c>
      <c r="Q65" s="84">
        <v>787</v>
      </c>
      <c r="R65" s="84">
        <v>944</v>
      </c>
      <c r="S65" s="84">
        <v>1075</v>
      </c>
      <c r="T65" s="84">
        <v>1645</v>
      </c>
      <c r="U65" s="84">
        <v>2551</v>
      </c>
      <c r="V65" s="84">
        <v>4516</v>
      </c>
      <c r="W65" s="84">
        <v>9244</v>
      </c>
      <c r="X65" s="84">
        <v>12828</v>
      </c>
      <c r="Y65" s="84">
        <v>17345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</v>
      </c>
      <c r="K66" s="84">
        <v>2</v>
      </c>
      <c r="L66" s="84">
        <v>196</v>
      </c>
      <c r="M66" s="84">
        <v>306</v>
      </c>
      <c r="N66" s="84">
        <v>100</v>
      </c>
      <c r="O66" s="84">
        <v>263</v>
      </c>
      <c r="P66" s="84">
        <v>564</v>
      </c>
      <c r="Q66" s="84">
        <v>635</v>
      </c>
      <c r="R66" s="84">
        <v>685</v>
      </c>
      <c r="S66" s="84">
        <v>970</v>
      </c>
      <c r="T66" s="84">
        <v>1336</v>
      </c>
      <c r="U66" s="84">
        <v>2574</v>
      </c>
      <c r="V66" s="84">
        <v>4032</v>
      </c>
      <c r="W66" s="84">
        <v>8649</v>
      </c>
      <c r="X66" s="84">
        <v>14628</v>
      </c>
      <c r="Y66" s="84">
        <v>25663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1051</v>
      </c>
      <c r="C67" s="110">
        <f t="shared" si="130"/>
        <v>1122</v>
      </c>
      <c r="D67" s="110">
        <f t="shared" si="130"/>
        <v>1176</v>
      </c>
      <c r="E67" s="110">
        <f t="shared" si="130"/>
        <v>1227</v>
      </c>
      <c r="F67" s="110">
        <f t="shared" si="130"/>
        <v>1269</v>
      </c>
      <c r="G67" s="110">
        <f t="shared" si="130"/>
        <v>1340</v>
      </c>
      <c r="H67" s="110">
        <f t="shared" si="130"/>
        <v>1379</v>
      </c>
      <c r="I67" s="110">
        <f t="shared" si="130"/>
        <v>1455</v>
      </c>
      <c r="J67" s="110">
        <f t="shared" si="130"/>
        <v>1545</v>
      </c>
      <c r="K67" s="110">
        <f t="shared" si="130"/>
        <v>1623</v>
      </c>
      <c r="L67" s="110">
        <f t="shared" ref="L67" si="131">SUM(L68:L72)</f>
        <v>1636</v>
      </c>
      <c r="M67" s="110">
        <f t="shared" ref="M67:V67" si="132">SUM(M68:M72)</f>
        <v>1703</v>
      </c>
      <c r="N67" s="110">
        <f t="shared" si="132"/>
        <v>1728</v>
      </c>
      <c r="O67" s="110">
        <f t="shared" si="132"/>
        <v>1759</v>
      </c>
      <c r="P67" s="110">
        <f t="shared" si="132"/>
        <v>1778</v>
      </c>
      <c r="Q67" s="110">
        <f t="shared" si="132"/>
        <v>1857</v>
      </c>
      <c r="R67" s="110">
        <f t="shared" si="132"/>
        <v>1904</v>
      </c>
      <c r="S67" s="110">
        <f t="shared" si="132"/>
        <v>1963</v>
      </c>
      <c r="T67" s="110">
        <f t="shared" si="132"/>
        <v>2042</v>
      </c>
      <c r="U67" s="110">
        <f t="shared" si="132"/>
        <v>2158</v>
      </c>
      <c r="V67" s="110">
        <f t="shared" si="132"/>
        <v>2251</v>
      </c>
      <c r="W67" s="110">
        <f t="shared" ref="W67:Y67" si="133">SUM(W68:W72)</f>
        <v>2345</v>
      </c>
      <c r="X67" s="110">
        <f t="shared" si="133"/>
        <v>2500</v>
      </c>
      <c r="Y67" s="110">
        <f t="shared" si="133"/>
        <v>2618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1</v>
      </c>
      <c r="U68" s="102">
        <v>1</v>
      </c>
      <c r="V68" s="102">
        <v>1</v>
      </c>
      <c r="W68" s="102">
        <v>2</v>
      </c>
      <c r="X68" s="102">
        <v>3</v>
      </c>
      <c r="Y68" s="102">
        <v>3</v>
      </c>
      <c r="DA68" s="175" t="s">
        <v>511</v>
      </c>
    </row>
    <row r="69" spans="1:105" ht="11.45" customHeight="1" x14ac:dyDescent="0.25">
      <c r="A69" s="111" t="s">
        <v>111</v>
      </c>
      <c r="B69" s="102">
        <v>1051</v>
      </c>
      <c r="C69" s="102">
        <v>1122</v>
      </c>
      <c r="D69" s="102">
        <v>1176</v>
      </c>
      <c r="E69" s="102">
        <v>1224</v>
      </c>
      <c r="F69" s="102">
        <v>1266</v>
      </c>
      <c r="G69" s="102">
        <v>1337</v>
      </c>
      <c r="H69" s="102">
        <v>1376</v>
      </c>
      <c r="I69" s="102">
        <v>1452</v>
      </c>
      <c r="J69" s="102">
        <v>1542</v>
      </c>
      <c r="K69" s="102">
        <v>1621</v>
      </c>
      <c r="L69" s="102">
        <v>1634</v>
      </c>
      <c r="M69" s="102">
        <v>1701</v>
      </c>
      <c r="N69" s="102">
        <v>1726</v>
      </c>
      <c r="O69" s="102">
        <v>1757</v>
      </c>
      <c r="P69" s="102">
        <v>1776</v>
      </c>
      <c r="Q69" s="102">
        <v>1855</v>
      </c>
      <c r="R69" s="102">
        <v>1902</v>
      </c>
      <c r="S69" s="102">
        <v>1955</v>
      </c>
      <c r="T69" s="102">
        <v>2008</v>
      </c>
      <c r="U69" s="102">
        <v>2049</v>
      </c>
      <c r="V69" s="102">
        <v>2099</v>
      </c>
      <c r="W69" s="102">
        <v>2163</v>
      </c>
      <c r="X69" s="102">
        <v>2173</v>
      </c>
      <c r="Y69" s="102">
        <v>2214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3</v>
      </c>
      <c r="F72" s="102">
        <v>3</v>
      </c>
      <c r="G72" s="102">
        <v>3</v>
      </c>
      <c r="H72" s="102">
        <v>3</v>
      </c>
      <c r="I72" s="102">
        <v>3</v>
      </c>
      <c r="J72" s="102">
        <v>3</v>
      </c>
      <c r="K72" s="102">
        <v>2</v>
      </c>
      <c r="L72" s="102">
        <v>2</v>
      </c>
      <c r="M72" s="102">
        <v>2</v>
      </c>
      <c r="N72" s="102">
        <v>2</v>
      </c>
      <c r="O72" s="102">
        <v>2</v>
      </c>
      <c r="P72" s="102">
        <v>2</v>
      </c>
      <c r="Q72" s="102">
        <v>2</v>
      </c>
      <c r="R72" s="102">
        <v>2</v>
      </c>
      <c r="S72" s="102">
        <v>8</v>
      </c>
      <c r="T72" s="102">
        <v>33</v>
      </c>
      <c r="U72" s="102">
        <v>108</v>
      </c>
      <c r="V72" s="102">
        <v>151</v>
      </c>
      <c r="W72" s="102">
        <v>180</v>
      </c>
      <c r="X72" s="102">
        <v>324</v>
      </c>
      <c r="Y72" s="102">
        <v>401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19740</v>
      </c>
      <c r="C73" s="28">
        <f t="shared" si="134"/>
        <v>20135</v>
      </c>
      <c r="D73" s="28">
        <f t="shared" si="134"/>
        <v>20565</v>
      </c>
      <c r="E73" s="28">
        <f t="shared" si="134"/>
        <v>21291</v>
      </c>
      <c r="F73" s="28">
        <f t="shared" si="134"/>
        <v>21970</v>
      </c>
      <c r="G73" s="28">
        <f t="shared" si="134"/>
        <v>23788</v>
      </c>
      <c r="H73" s="28">
        <f t="shared" si="134"/>
        <v>24849</v>
      </c>
      <c r="I73" s="28">
        <f t="shared" si="134"/>
        <v>25989</v>
      </c>
      <c r="J73" s="28">
        <f t="shared" si="134"/>
        <v>28664</v>
      </c>
      <c r="K73" s="28">
        <f t="shared" si="134"/>
        <v>30282</v>
      </c>
      <c r="L73" s="28">
        <f t="shared" ref="L73" si="135">L74+L80</f>
        <v>31251</v>
      </c>
      <c r="M73" s="28">
        <f t="shared" ref="M73:V73" si="136">M74+M80</f>
        <v>32515</v>
      </c>
      <c r="N73" s="28">
        <f t="shared" si="136"/>
        <v>33610</v>
      </c>
      <c r="O73" s="28">
        <f t="shared" si="136"/>
        <v>33553</v>
      </c>
      <c r="P73" s="28">
        <f t="shared" si="136"/>
        <v>33762</v>
      </c>
      <c r="Q73" s="28">
        <f t="shared" si="136"/>
        <v>35130</v>
      </c>
      <c r="R73" s="28">
        <f t="shared" si="136"/>
        <v>36808</v>
      </c>
      <c r="S73" s="28">
        <f t="shared" si="136"/>
        <v>39399</v>
      </c>
      <c r="T73" s="28">
        <f t="shared" si="136"/>
        <v>40893</v>
      </c>
      <c r="U73" s="28">
        <f t="shared" si="136"/>
        <v>42590</v>
      </c>
      <c r="V73" s="28">
        <f t="shared" si="136"/>
        <v>44979</v>
      </c>
      <c r="W73" s="28">
        <f t="shared" ref="W73:Y73" si="137">W74+W80</f>
        <v>46143</v>
      </c>
      <c r="X73" s="28">
        <f t="shared" si="137"/>
        <v>47669</v>
      </c>
      <c r="Y73" s="28">
        <f t="shared" si="137"/>
        <v>49315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13354</v>
      </c>
      <c r="C74" s="137">
        <f t="shared" si="138"/>
        <v>14508</v>
      </c>
      <c r="D74" s="137">
        <f t="shared" si="138"/>
        <v>15439</v>
      </c>
      <c r="E74" s="137">
        <f t="shared" si="138"/>
        <v>16137</v>
      </c>
      <c r="F74" s="137">
        <f t="shared" si="138"/>
        <v>17056</v>
      </c>
      <c r="G74" s="137">
        <f t="shared" si="138"/>
        <v>18041</v>
      </c>
      <c r="H74" s="137">
        <f t="shared" si="138"/>
        <v>18991</v>
      </c>
      <c r="I74" s="137">
        <f t="shared" si="138"/>
        <v>20283</v>
      </c>
      <c r="J74" s="137">
        <f t="shared" si="138"/>
        <v>21839</v>
      </c>
      <c r="K74" s="137">
        <f t="shared" si="138"/>
        <v>22576</v>
      </c>
      <c r="L74" s="137">
        <f t="shared" ref="L74" si="139">SUM(L75:L79)</f>
        <v>23451</v>
      </c>
      <c r="M74" s="137">
        <f t="shared" ref="M74:V74" si="140">SUM(M75:M79)</f>
        <v>24631</v>
      </c>
      <c r="N74" s="137">
        <f t="shared" si="140"/>
        <v>26133</v>
      </c>
      <c r="O74" s="137">
        <f t="shared" si="140"/>
        <v>27635</v>
      </c>
      <c r="P74" s="137">
        <f t="shared" si="140"/>
        <v>28521</v>
      </c>
      <c r="Q74" s="137">
        <f t="shared" si="140"/>
        <v>29668</v>
      </c>
      <c r="R74" s="137">
        <f t="shared" si="140"/>
        <v>31138</v>
      </c>
      <c r="S74" s="137">
        <f t="shared" si="140"/>
        <v>33082</v>
      </c>
      <c r="T74" s="137">
        <f t="shared" si="140"/>
        <v>34856</v>
      </c>
      <c r="U74" s="137">
        <f t="shared" si="140"/>
        <v>36257</v>
      </c>
      <c r="V74" s="137">
        <f t="shared" si="140"/>
        <v>37872</v>
      </c>
      <c r="W74" s="137">
        <f t="shared" ref="W74:Y74" si="141">SUM(W75:W79)</f>
        <v>39637</v>
      </c>
      <c r="X74" s="137">
        <f t="shared" si="141"/>
        <v>40957</v>
      </c>
      <c r="Y74" s="137">
        <f t="shared" si="141"/>
        <v>42425</v>
      </c>
      <c r="DA74" s="174" t="s">
        <v>517</v>
      </c>
    </row>
    <row r="75" spans="1:105" ht="11.45" customHeight="1" x14ac:dyDescent="0.25">
      <c r="A75" s="111" t="s">
        <v>110</v>
      </c>
      <c r="B75" s="84">
        <v>2479</v>
      </c>
      <c r="C75" s="84">
        <v>2282</v>
      </c>
      <c r="D75" s="84">
        <v>2094</v>
      </c>
      <c r="E75" s="84">
        <v>1923</v>
      </c>
      <c r="F75" s="84">
        <v>1739</v>
      </c>
      <c r="G75" s="84">
        <v>1565</v>
      </c>
      <c r="H75" s="84">
        <v>1423</v>
      </c>
      <c r="I75" s="84">
        <v>1325</v>
      </c>
      <c r="J75" s="84">
        <v>1305</v>
      </c>
      <c r="K75" s="84">
        <v>1231</v>
      </c>
      <c r="L75" s="84">
        <v>1207</v>
      </c>
      <c r="M75" s="84">
        <v>1180</v>
      </c>
      <c r="N75" s="84">
        <v>1143</v>
      </c>
      <c r="O75" s="84">
        <v>1141</v>
      </c>
      <c r="P75" s="84">
        <v>1122</v>
      </c>
      <c r="Q75" s="84">
        <v>1101</v>
      </c>
      <c r="R75" s="84">
        <v>1113</v>
      </c>
      <c r="S75" s="84">
        <v>1165</v>
      </c>
      <c r="T75" s="84">
        <v>1231</v>
      </c>
      <c r="U75" s="84">
        <v>1284</v>
      </c>
      <c r="V75" s="84">
        <v>1344</v>
      </c>
      <c r="W75" s="84">
        <v>1403</v>
      </c>
      <c r="X75" s="84">
        <v>1466</v>
      </c>
      <c r="Y75" s="84">
        <v>1649</v>
      </c>
      <c r="DA75" s="171" t="s">
        <v>518</v>
      </c>
    </row>
    <row r="76" spans="1:105" ht="11.45" customHeight="1" x14ac:dyDescent="0.25">
      <c r="A76" s="111" t="s">
        <v>111</v>
      </c>
      <c r="B76" s="84">
        <v>10875</v>
      </c>
      <c r="C76" s="84">
        <v>12226</v>
      </c>
      <c r="D76" s="84">
        <v>13345</v>
      </c>
      <c r="E76" s="84">
        <v>14214</v>
      </c>
      <c r="F76" s="84">
        <v>15317</v>
      </c>
      <c r="G76" s="84">
        <v>16476</v>
      </c>
      <c r="H76" s="84">
        <v>17567</v>
      </c>
      <c r="I76" s="84">
        <v>18956</v>
      </c>
      <c r="J76" s="84">
        <v>20532</v>
      </c>
      <c r="K76" s="84">
        <v>21338</v>
      </c>
      <c r="L76" s="84">
        <v>22237</v>
      </c>
      <c r="M76" s="84">
        <v>23444</v>
      </c>
      <c r="N76" s="84">
        <v>24964</v>
      </c>
      <c r="O76" s="84">
        <v>26365</v>
      </c>
      <c r="P76" s="84">
        <v>27241</v>
      </c>
      <c r="Q76" s="84">
        <v>28385</v>
      </c>
      <c r="R76" s="84">
        <v>29824</v>
      </c>
      <c r="S76" s="84">
        <v>31671</v>
      </c>
      <c r="T76" s="84">
        <v>33326</v>
      </c>
      <c r="U76" s="84">
        <v>34627</v>
      </c>
      <c r="V76" s="84">
        <v>36126</v>
      </c>
      <c r="W76" s="84">
        <v>37700</v>
      </c>
      <c r="X76" s="84">
        <v>38685</v>
      </c>
      <c r="Y76" s="84">
        <v>39565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59</v>
      </c>
      <c r="P77" s="84">
        <v>71</v>
      </c>
      <c r="Q77" s="84">
        <v>73</v>
      </c>
      <c r="R77" s="84">
        <v>77</v>
      </c>
      <c r="S77" s="84">
        <v>84</v>
      </c>
      <c r="T77" s="84">
        <v>85</v>
      </c>
      <c r="U77" s="84">
        <v>88</v>
      </c>
      <c r="V77" s="84">
        <v>95</v>
      </c>
      <c r="W77" s="84">
        <v>105</v>
      </c>
      <c r="X77" s="84">
        <v>106</v>
      </c>
      <c r="Y77" s="84">
        <v>107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1</v>
      </c>
      <c r="I79" s="84">
        <v>2</v>
      </c>
      <c r="J79" s="84">
        <v>2</v>
      </c>
      <c r="K79" s="84">
        <v>7</v>
      </c>
      <c r="L79" s="84">
        <v>7</v>
      </c>
      <c r="M79" s="84">
        <v>7</v>
      </c>
      <c r="N79" s="84">
        <v>26</v>
      </c>
      <c r="O79" s="84">
        <v>70</v>
      </c>
      <c r="P79" s="84">
        <v>87</v>
      </c>
      <c r="Q79" s="84">
        <v>109</v>
      </c>
      <c r="R79" s="84">
        <v>124</v>
      </c>
      <c r="S79" s="84">
        <v>162</v>
      </c>
      <c r="T79" s="84">
        <v>214</v>
      </c>
      <c r="U79" s="84">
        <v>258</v>
      </c>
      <c r="V79" s="84">
        <v>307</v>
      </c>
      <c r="W79" s="84">
        <v>429</v>
      </c>
      <c r="X79" s="84">
        <v>700</v>
      </c>
      <c r="Y79" s="84">
        <v>1104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6386</v>
      </c>
      <c r="C80" s="110">
        <f t="shared" si="142"/>
        <v>5627</v>
      </c>
      <c r="D80" s="110">
        <f t="shared" si="142"/>
        <v>5126</v>
      </c>
      <c r="E80" s="110">
        <f t="shared" si="142"/>
        <v>5154</v>
      </c>
      <c r="F80" s="110">
        <f t="shared" si="142"/>
        <v>4914</v>
      </c>
      <c r="G80" s="110">
        <f t="shared" si="142"/>
        <v>5747</v>
      </c>
      <c r="H80" s="110">
        <f t="shared" si="142"/>
        <v>5858</v>
      </c>
      <c r="I80" s="110">
        <f t="shared" si="142"/>
        <v>5706</v>
      </c>
      <c r="J80" s="110">
        <f t="shared" si="142"/>
        <v>6825</v>
      </c>
      <c r="K80" s="110">
        <f t="shared" si="142"/>
        <v>7706</v>
      </c>
      <c r="L80" s="110">
        <f t="shared" ref="L80" si="143">SUM(L81:L82)</f>
        <v>7800</v>
      </c>
      <c r="M80" s="110">
        <f t="shared" ref="M80:V80" si="144">SUM(M81:M82)</f>
        <v>7884</v>
      </c>
      <c r="N80" s="110">
        <f t="shared" si="144"/>
        <v>7477</v>
      </c>
      <c r="O80" s="110">
        <f t="shared" si="144"/>
        <v>5918</v>
      </c>
      <c r="P80" s="110">
        <f t="shared" si="144"/>
        <v>5241</v>
      </c>
      <c r="Q80" s="110">
        <f t="shared" si="144"/>
        <v>5462</v>
      </c>
      <c r="R80" s="110">
        <f t="shared" si="144"/>
        <v>5670</v>
      </c>
      <c r="S80" s="110">
        <f t="shared" si="144"/>
        <v>6317</v>
      </c>
      <c r="T80" s="110">
        <f t="shared" si="144"/>
        <v>6037</v>
      </c>
      <c r="U80" s="110">
        <f t="shared" si="144"/>
        <v>6333</v>
      </c>
      <c r="V80" s="110">
        <f t="shared" si="144"/>
        <v>7107</v>
      </c>
      <c r="W80" s="110">
        <f t="shared" ref="W80:Y80" si="145">SUM(W81:W82)</f>
        <v>6506</v>
      </c>
      <c r="X80" s="110">
        <f t="shared" si="145"/>
        <v>6712</v>
      </c>
      <c r="Y80" s="110">
        <f t="shared" si="145"/>
        <v>6890</v>
      </c>
      <c r="DA80" s="176" t="s">
        <v>523</v>
      </c>
    </row>
    <row r="81" spans="1:105" ht="11.45" customHeight="1" x14ac:dyDescent="0.25">
      <c r="A81" s="128" t="s">
        <v>27</v>
      </c>
      <c r="B81" s="102">
        <v>5561</v>
      </c>
      <c r="C81" s="102">
        <v>4743</v>
      </c>
      <c r="D81" s="102">
        <v>4196</v>
      </c>
      <c r="E81" s="102">
        <v>4203</v>
      </c>
      <c r="F81" s="102">
        <v>3790</v>
      </c>
      <c r="G81" s="102">
        <v>4583</v>
      </c>
      <c r="H81" s="102">
        <v>4729</v>
      </c>
      <c r="I81" s="102">
        <v>4495</v>
      </c>
      <c r="J81" s="102">
        <v>5451</v>
      </c>
      <c r="K81" s="102">
        <v>6480</v>
      </c>
      <c r="L81" s="102">
        <v>6530</v>
      </c>
      <c r="M81" s="102">
        <v>6629</v>
      </c>
      <c r="N81" s="102">
        <v>6068</v>
      </c>
      <c r="O81" s="102">
        <v>4515</v>
      </c>
      <c r="P81" s="102">
        <v>3759</v>
      </c>
      <c r="Q81" s="102">
        <v>4191</v>
      </c>
      <c r="R81" s="102">
        <v>4310</v>
      </c>
      <c r="S81" s="102">
        <v>4880</v>
      </c>
      <c r="T81" s="102">
        <v>4651</v>
      </c>
      <c r="U81" s="102">
        <v>4905</v>
      </c>
      <c r="V81" s="102">
        <v>5771</v>
      </c>
      <c r="W81" s="102">
        <v>5076</v>
      </c>
      <c r="X81" s="102">
        <v>5259</v>
      </c>
      <c r="Y81" s="102">
        <v>5577</v>
      </c>
      <c r="DA81" s="175" t="s">
        <v>524</v>
      </c>
    </row>
    <row r="82" spans="1:105" ht="11.45" customHeight="1" x14ac:dyDescent="0.25">
      <c r="A82" s="138" t="s">
        <v>116</v>
      </c>
      <c r="B82" s="86">
        <v>825</v>
      </c>
      <c r="C82" s="86">
        <v>884</v>
      </c>
      <c r="D82" s="86">
        <v>930</v>
      </c>
      <c r="E82" s="86">
        <v>951</v>
      </c>
      <c r="F82" s="86">
        <v>1124</v>
      </c>
      <c r="G82" s="86">
        <v>1164</v>
      </c>
      <c r="H82" s="86">
        <v>1129</v>
      </c>
      <c r="I82" s="86">
        <v>1211</v>
      </c>
      <c r="J82" s="86">
        <v>1374</v>
      </c>
      <c r="K82" s="86">
        <v>1226</v>
      </c>
      <c r="L82" s="86">
        <v>1270</v>
      </c>
      <c r="M82" s="86">
        <v>1255</v>
      </c>
      <c r="N82" s="86">
        <v>1409</v>
      </c>
      <c r="O82" s="86">
        <v>1403</v>
      </c>
      <c r="P82" s="86">
        <v>1482</v>
      </c>
      <c r="Q82" s="86">
        <v>1271</v>
      </c>
      <c r="R82" s="86">
        <v>1360</v>
      </c>
      <c r="S82" s="86">
        <v>1437</v>
      </c>
      <c r="T82" s="86">
        <v>1386</v>
      </c>
      <c r="U82" s="86">
        <v>1428</v>
      </c>
      <c r="V82" s="86">
        <v>1336</v>
      </c>
      <c r="W82" s="86">
        <v>1430</v>
      </c>
      <c r="X82" s="86">
        <v>1453</v>
      </c>
      <c r="Y82" s="86">
        <v>1313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305318</v>
      </c>
      <c r="C84" s="54">
        <f t="shared" si="146"/>
        <v>312594</v>
      </c>
      <c r="D84" s="54">
        <f t="shared" ref="D84:V84" si="147">D85+D100</f>
        <v>320081</v>
      </c>
      <c r="E84" s="54">
        <f t="shared" si="147"/>
        <v>328449</v>
      </c>
      <c r="F84" s="54">
        <f t="shared" si="147"/>
        <v>336491</v>
      </c>
      <c r="G84" s="54">
        <f t="shared" si="147"/>
        <v>347625</v>
      </c>
      <c r="H84" s="54">
        <f t="shared" si="147"/>
        <v>358157</v>
      </c>
      <c r="I84" s="54">
        <f t="shared" si="147"/>
        <v>367288</v>
      </c>
      <c r="J84" s="54">
        <f t="shared" si="147"/>
        <v>377317</v>
      </c>
      <c r="K84" s="54">
        <f t="shared" si="147"/>
        <v>383973</v>
      </c>
      <c r="L84" s="54">
        <f t="shared" si="147"/>
        <v>392113</v>
      </c>
      <c r="M84" s="54">
        <f t="shared" si="147"/>
        <v>403040</v>
      </c>
      <c r="N84" s="54">
        <f t="shared" si="147"/>
        <v>415546</v>
      </c>
      <c r="O84" s="54">
        <f t="shared" si="147"/>
        <v>424312</v>
      </c>
      <c r="P84" s="54">
        <f t="shared" si="147"/>
        <v>435642</v>
      </c>
      <c r="Q84" s="54">
        <f t="shared" si="147"/>
        <v>446349</v>
      </c>
      <c r="R84" s="54">
        <f t="shared" si="147"/>
        <v>458900</v>
      </c>
      <c r="S84" s="54">
        <f t="shared" si="147"/>
        <v>476465</v>
      </c>
      <c r="T84" s="54">
        <f t="shared" si="147"/>
        <v>489837</v>
      </c>
      <c r="U84" s="54">
        <f t="shared" si="147"/>
        <v>505906</v>
      </c>
      <c r="V84" s="54">
        <f t="shared" si="147"/>
        <v>512962</v>
      </c>
      <c r="W84" s="54">
        <f t="shared" ref="W84:Y84" si="148">W85+W100</f>
        <v>522369</v>
      </c>
      <c r="X84" s="54">
        <f t="shared" si="148"/>
        <v>530149</v>
      </c>
      <c r="Y84" s="54">
        <f t="shared" si="148"/>
        <v>541640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285578</v>
      </c>
      <c r="C85" s="28">
        <f t="shared" si="149"/>
        <v>292459</v>
      </c>
      <c r="D85" s="28">
        <f t="shared" ref="D85:V85" si="150">D86+D87+D94</f>
        <v>299516</v>
      </c>
      <c r="E85" s="28">
        <f t="shared" si="150"/>
        <v>307158</v>
      </c>
      <c r="F85" s="28">
        <f t="shared" si="150"/>
        <v>314521</v>
      </c>
      <c r="G85" s="28">
        <f t="shared" si="150"/>
        <v>323837</v>
      </c>
      <c r="H85" s="28">
        <f t="shared" si="150"/>
        <v>333308</v>
      </c>
      <c r="I85" s="28">
        <f t="shared" si="150"/>
        <v>341299</v>
      </c>
      <c r="J85" s="28">
        <f t="shared" si="150"/>
        <v>348653</v>
      </c>
      <c r="K85" s="28">
        <f t="shared" si="150"/>
        <v>353691</v>
      </c>
      <c r="L85" s="28">
        <f t="shared" si="150"/>
        <v>360862</v>
      </c>
      <c r="M85" s="28">
        <f t="shared" si="150"/>
        <v>370525</v>
      </c>
      <c r="N85" s="28">
        <f t="shared" si="150"/>
        <v>381936</v>
      </c>
      <c r="O85" s="28">
        <f t="shared" si="150"/>
        <v>390759</v>
      </c>
      <c r="P85" s="28">
        <f t="shared" si="150"/>
        <v>401880</v>
      </c>
      <c r="Q85" s="28">
        <f t="shared" si="150"/>
        <v>411219</v>
      </c>
      <c r="R85" s="28">
        <f t="shared" si="150"/>
        <v>422092</v>
      </c>
      <c r="S85" s="28">
        <f t="shared" si="150"/>
        <v>437066</v>
      </c>
      <c r="T85" s="28">
        <f t="shared" si="150"/>
        <v>448944</v>
      </c>
      <c r="U85" s="28">
        <f t="shared" si="150"/>
        <v>463316</v>
      </c>
      <c r="V85" s="28">
        <f t="shared" si="150"/>
        <v>467983</v>
      </c>
      <c r="W85" s="28">
        <f t="shared" ref="W85:Y85" si="151">W86+W87+W94</f>
        <v>476226</v>
      </c>
      <c r="X85" s="28">
        <f t="shared" si="151"/>
        <v>482480</v>
      </c>
      <c r="Y85" s="28">
        <f t="shared" si="151"/>
        <v>492325</v>
      </c>
      <c r="DA85" s="173"/>
    </row>
    <row r="86" spans="1:105" ht="11.45" hidden="1" customHeight="1" x14ac:dyDescent="0.25">
      <c r="A86" s="136" t="s">
        <v>173</v>
      </c>
      <c r="B86" s="137">
        <v>8972</v>
      </c>
      <c r="C86" s="137">
        <v>10067</v>
      </c>
      <c r="D86" s="137">
        <v>11340</v>
      </c>
      <c r="E86" s="137">
        <v>12721</v>
      </c>
      <c r="F86" s="137">
        <v>14012</v>
      </c>
      <c r="G86" s="137">
        <v>15207</v>
      </c>
      <c r="H86" s="137">
        <v>16509</v>
      </c>
      <c r="I86" s="137">
        <v>17844</v>
      </c>
      <c r="J86" s="137">
        <v>19108</v>
      </c>
      <c r="K86" s="137">
        <v>20566</v>
      </c>
      <c r="L86" s="137">
        <v>22026</v>
      </c>
      <c r="M86" s="137">
        <v>23222</v>
      </c>
      <c r="N86" s="137">
        <v>24308</v>
      </c>
      <c r="O86" s="137">
        <v>25753</v>
      </c>
      <c r="P86" s="137">
        <v>27275</v>
      </c>
      <c r="Q86" s="137">
        <v>28259</v>
      </c>
      <c r="R86" s="137">
        <v>29253</v>
      </c>
      <c r="S86" s="137">
        <v>30300</v>
      </c>
      <c r="T86" s="137">
        <v>30636</v>
      </c>
      <c r="U86" s="137">
        <v>30805</v>
      </c>
      <c r="V86" s="137">
        <v>32219</v>
      </c>
      <c r="W86" s="137">
        <v>33962</v>
      </c>
      <c r="X86" s="137">
        <v>35163</v>
      </c>
      <c r="Y86" s="137">
        <v>36048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275555</v>
      </c>
      <c r="C87" s="110">
        <f t="shared" si="152"/>
        <v>281270</v>
      </c>
      <c r="D87" s="110">
        <f t="shared" ref="D87:V87" si="153">SUM(D88:D93)</f>
        <v>287000</v>
      </c>
      <c r="E87" s="110">
        <f t="shared" si="153"/>
        <v>293210</v>
      </c>
      <c r="F87" s="110">
        <f t="shared" si="153"/>
        <v>299240</v>
      </c>
      <c r="G87" s="110">
        <f t="shared" si="153"/>
        <v>307290</v>
      </c>
      <c r="H87" s="110">
        <f t="shared" si="153"/>
        <v>315420</v>
      </c>
      <c r="I87" s="110">
        <f t="shared" si="153"/>
        <v>322000</v>
      </c>
      <c r="J87" s="110">
        <f t="shared" si="153"/>
        <v>328000</v>
      </c>
      <c r="K87" s="110">
        <f t="shared" si="153"/>
        <v>331502</v>
      </c>
      <c r="L87" s="110">
        <f t="shared" si="153"/>
        <v>337200</v>
      </c>
      <c r="M87" s="110">
        <f t="shared" si="153"/>
        <v>345600</v>
      </c>
      <c r="N87" s="110">
        <f t="shared" si="153"/>
        <v>355900</v>
      </c>
      <c r="O87" s="110">
        <f t="shared" si="153"/>
        <v>363247</v>
      </c>
      <c r="P87" s="110">
        <f t="shared" si="153"/>
        <v>372827</v>
      </c>
      <c r="Q87" s="110">
        <f t="shared" si="153"/>
        <v>381103</v>
      </c>
      <c r="R87" s="110">
        <f t="shared" si="153"/>
        <v>390935</v>
      </c>
      <c r="S87" s="110">
        <f t="shared" si="153"/>
        <v>404803</v>
      </c>
      <c r="T87" s="110">
        <f t="shared" si="153"/>
        <v>416266</v>
      </c>
      <c r="U87" s="110">
        <f t="shared" si="153"/>
        <v>430353</v>
      </c>
      <c r="V87" s="110">
        <f t="shared" si="153"/>
        <v>433513</v>
      </c>
      <c r="W87" s="110">
        <f t="shared" ref="W87:Y87" si="154">SUM(W88:W93)</f>
        <v>439919</v>
      </c>
      <c r="X87" s="110">
        <f t="shared" si="154"/>
        <v>444817</v>
      </c>
      <c r="Y87" s="110">
        <f t="shared" si="154"/>
        <v>453659</v>
      </c>
      <c r="DA87" s="176"/>
    </row>
    <row r="88" spans="1:105" ht="11.45" hidden="1" customHeight="1" x14ac:dyDescent="0.25">
      <c r="A88" s="111" t="s">
        <v>110</v>
      </c>
      <c r="B88" s="84">
        <v>193570</v>
      </c>
      <c r="C88" s="84">
        <v>187393</v>
      </c>
      <c r="D88" s="84">
        <v>180869</v>
      </c>
      <c r="E88" s="84">
        <v>174546</v>
      </c>
      <c r="F88" s="84">
        <v>164745</v>
      </c>
      <c r="G88" s="84">
        <v>154960</v>
      </c>
      <c r="H88" s="84">
        <v>145733</v>
      </c>
      <c r="I88" s="84">
        <v>137098</v>
      </c>
      <c r="J88" s="84">
        <v>131185</v>
      </c>
      <c r="K88" s="84">
        <v>125342</v>
      </c>
      <c r="L88" s="84">
        <v>121570</v>
      </c>
      <c r="M88" s="84">
        <v>121127</v>
      </c>
      <c r="N88" s="84">
        <v>121879</v>
      </c>
      <c r="O88" s="84">
        <v>123213</v>
      </c>
      <c r="P88" s="84">
        <v>126429</v>
      </c>
      <c r="Q88" s="84">
        <v>130295</v>
      </c>
      <c r="R88" s="84">
        <v>137617</v>
      </c>
      <c r="S88" s="84">
        <v>151492</v>
      </c>
      <c r="T88" s="84">
        <v>166917</v>
      </c>
      <c r="U88" s="84">
        <v>183736</v>
      </c>
      <c r="V88" s="84">
        <v>192569</v>
      </c>
      <c r="W88" s="84">
        <v>199294</v>
      </c>
      <c r="X88" s="84">
        <v>204172</v>
      </c>
      <c r="Y88" s="84">
        <v>209968</v>
      </c>
      <c r="DA88" s="171"/>
    </row>
    <row r="89" spans="1:105" ht="11.45" hidden="1" customHeight="1" x14ac:dyDescent="0.25">
      <c r="A89" s="111" t="s">
        <v>111</v>
      </c>
      <c r="B89" s="84">
        <v>79520</v>
      </c>
      <c r="C89" s="84">
        <v>91218</v>
      </c>
      <c r="D89" s="84">
        <v>103354</v>
      </c>
      <c r="E89" s="84">
        <v>116034</v>
      </c>
      <c r="F89" s="84">
        <v>131995</v>
      </c>
      <c r="G89" s="84">
        <v>149945</v>
      </c>
      <c r="H89" s="84">
        <v>168517</v>
      </c>
      <c r="I89" s="84">
        <v>183792</v>
      </c>
      <c r="J89" s="84">
        <v>195672</v>
      </c>
      <c r="K89" s="84">
        <v>204916</v>
      </c>
      <c r="L89" s="84">
        <v>214179</v>
      </c>
      <c r="M89" s="84">
        <v>222968</v>
      </c>
      <c r="N89" s="84">
        <v>232217</v>
      </c>
      <c r="O89" s="84">
        <v>237753</v>
      </c>
      <c r="P89" s="84">
        <v>243810</v>
      </c>
      <c r="Q89" s="84">
        <v>248201</v>
      </c>
      <c r="R89" s="84">
        <v>250486</v>
      </c>
      <c r="S89" s="84">
        <v>250221</v>
      </c>
      <c r="T89" s="84">
        <v>246075</v>
      </c>
      <c r="U89" s="84">
        <v>241314</v>
      </c>
      <c r="V89" s="84">
        <v>232041</v>
      </c>
      <c r="W89" s="84">
        <v>222476</v>
      </c>
      <c r="X89" s="84">
        <v>212925</v>
      </c>
      <c r="Y89" s="84">
        <v>200414</v>
      </c>
      <c r="DA89" s="171"/>
    </row>
    <row r="90" spans="1:105" ht="11.45" hidden="1" customHeight="1" x14ac:dyDescent="0.25">
      <c r="A90" s="111" t="s">
        <v>112</v>
      </c>
      <c r="B90" s="84">
        <v>2465</v>
      </c>
      <c r="C90" s="84">
        <v>2659</v>
      </c>
      <c r="D90" s="84">
        <v>2777</v>
      </c>
      <c r="E90" s="84">
        <v>2630</v>
      </c>
      <c r="F90" s="84">
        <v>2500</v>
      </c>
      <c r="G90" s="84">
        <v>2385</v>
      </c>
      <c r="H90" s="84">
        <v>1170</v>
      </c>
      <c r="I90" s="84">
        <v>1110</v>
      </c>
      <c r="J90" s="84">
        <v>1142</v>
      </c>
      <c r="K90" s="84">
        <v>1242</v>
      </c>
      <c r="L90" s="84">
        <v>1255</v>
      </c>
      <c r="M90" s="84">
        <v>1199</v>
      </c>
      <c r="N90" s="84">
        <v>1214</v>
      </c>
      <c r="O90" s="84">
        <v>1275</v>
      </c>
      <c r="P90" s="84">
        <v>1235</v>
      </c>
      <c r="Q90" s="84">
        <v>1185</v>
      </c>
      <c r="R90" s="84">
        <v>1203</v>
      </c>
      <c r="S90" s="84">
        <v>1045</v>
      </c>
      <c r="T90" s="84">
        <v>293</v>
      </c>
      <c r="U90" s="84">
        <v>178</v>
      </c>
      <c r="V90" s="84">
        <v>355</v>
      </c>
      <c r="W90" s="84">
        <v>256</v>
      </c>
      <c r="X90" s="84">
        <v>264</v>
      </c>
      <c r="Y90" s="84">
        <v>269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X91" s="84">
        <v>0</v>
      </c>
      <c r="Y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490</v>
      </c>
      <c r="O92" s="84">
        <v>743</v>
      </c>
      <c r="P92" s="84">
        <v>789</v>
      </c>
      <c r="Q92" s="84">
        <v>787</v>
      </c>
      <c r="R92" s="84">
        <v>944</v>
      </c>
      <c r="S92" s="84">
        <v>1075</v>
      </c>
      <c r="T92" s="84">
        <v>1645</v>
      </c>
      <c r="U92" s="84">
        <v>2551</v>
      </c>
      <c r="V92" s="84">
        <v>4516</v>
      </c>
      <c r="W92" s="84">
        <v>9244</v>
      </c>
      <c r="X92" s="84">
        <v>12828</v>
      </c>
      <c r="Y92" s="84">
        <v>17345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1</v>
      </c>
      <c r="K93" s="84">
        <v>2</v>
      </c>
      <c r="L93" s="84">
        <v>196</v>
      </c>
      <c r="M93" s="84">
        <v>306</v>
      </c>
      <c r="N93" s="84">
        <v>100</v>
      </c>
      <c r="O93" s="84">
        <v>263</v>
      </c>
      <c r="P93" s="84">
        <v>564</v>
      </c>
      <c r="Q93" s="84">
        <v>635</v>
      </c>
      <c r="R93" s="84">
        <v>685</v>
      </c>
      <c r="S93" s="84">
        <v>970</v>
      </c>
      <c r="T93" s="84">
        <v>1336</v>
      </c>
      <c r="U93" s="84">
        <v>2574</v>
      </c>
      <c r="V93" s="84">
        <v>4032</v>
      </c>
      <c r="W93" s="84">
        <v>8649</v>
      </c>
      <c r="X93" s="84">
        <v>14628</v>
      </c>
      <c r="Y93" s="84">
        <v>25663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1051</v>
      </c>
      <c r="C94" s="110">
        <f t="shared" si="155"/>
        <v>1122</v>
      </c>
      <c r="D94" s="110">
        <f t="shared" ref="D94:V94" si="156">SUM(D95:D99)</f>
        <v>1176</v>
      </c>
      <c r="E94" s="110">
        <f t="shared" si="156"/>
        <v>1227</v>
      </c>
      <c r="F94" s="110">
        <f t="shared" si="156"/>
        <v>1269</v>
      </c>
      <c r="G94" s="110">
        <f t="shared" si="156"/>
        <v>1340</v>
      </c>
      <c r="H94" s="110">
        <f t="shared" si="156"/>
        <v>1379</v>
      </c>
      <c r="I94" s="110">
        <f t="shared" si="156"/>
        <v>1455</v>
      </c>
      <c r="J94" s="110">
        <f t="shared" si="156"/>
        <v>1545</v>
      </c>
      <c r="K94" s="110">
        <f t="shared" si="156"/>
        <v>1623</v>
      </c>
      <c r="L94" s="110">
        <f t="shared" si="156"/>
        <v>1636</v>
      </c>
      <c r="M94" s="110">
        <f t="shared" si="156"/>
        <v>1703</v>
      </c>
      <c r="N94" s="110">
        <f t="shared" si="156"/>
        <v>1728</v>
      </c>
      <c r="O94" s="110">
        <f t="shared" si="156"/>
        <v>1759</v>
      </c>
      <c r="P94" s="110">
        <f t="shared" si="156"/>
        <v>1778</v>
      </c>
      <c r="Q94" s="110">
        <f t="shared" si="156"/>
        <v>1857</v>
      </c>
      <c r="R94" s="110">
        <f t="shared" si="156"/>
        <v>1904</v>
      </c>
      <c r="S94" s="110">
        <f t="shared" si="156"/>
        <v>1963</v>
      </c>
      <c r="T94" s="110">
        <f t="shared" si="156"/>
        <v>2042</v>
      </c>
      <c r="U94" s="110">
        <f t="shared" si="156"/>
        <v>2158</v>
      </c>
      <c r="V94" s="110">
        <f t="shared" si="156"/>
        <v>2251</v>
      </c>
      <c r="W94" s="110">
        <f t="shared" ref="W94:Y94" si="157">SUM(W95:W99)</f>
        <v>2345</v>
      </c>
      <c r="X94" s="110">
        <f t="shared" si="157"/>
        <v>2500</v>
      </c>
      <c r="Y94" s="110">
        <f t="shared" si="157"/>
        <v>2618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1</v>
      </c>
      <c r="U95" s="102">
        <v>1</v>
      </c>
      <c r="V95" s="102">
        <v>1</v>
      </c>
      <c r="W95" s="102">
        <v>2</v>
      </c>
      <c r="X95" s="102">
        <v>3</v>
      </c>
      <c r="Y95" s="102">
        <v>3</v>
      </c>
      <c r="DA95" s="175"/>
    </row>
    <row r="96" spans="1:105" ht="11.45" hidden="1" customHeight="1" x14ac:dyDescent="0.25">
      <c r="A96" s="111" t="s">
        <v>111</v>
      </c>
      <c r="B96" s="102">
        <v>1051</v>
      </c>
      <c r="C96" s="102">
        <v>1122</v>
      </c>
      <c r="D96" s="102">
        <v>1176</v>
      </c>
      <c r="E96" s="102">
        <v>1224</v>
      </c>
      <c r="F96" s="102">
        <v>1266</v>
      </c>
      <c r="G96" s="102">
        <v>1337</v>
      </c>
      <c r="H96" s="102">
        <v>1376</v>
      </c>
      <c r="I96" s="102">
        <v>1452</v>
      </c>
      <c r="J96" s="102">
        <v>1542</v>
      </c>
      <c r="K96" s="102">
        <v>1621</v>
      </c>
      <c r="L96" s="102">
        <v>1634</v>
      </c>
      <c r="M96" s="102">
        <v>1701</v>
      </c>
      <c r="N96" s="102">
        <v>1726</v>
      </c>
      <c r="O96" s="102">
        <v>1757</v>
      </c>
      <c r="P96" s="102">
        <v>1776</v>
      </c>
      <c r="Q96" s="102">
        <v>1855</v>
      </c>
      <c r="R96" s="102">
        <v>1902</v>
      </c>
      <c r="S96" s="102">
        <v>1955</v>
      </c>
      <c r="T96" s="102">
        <v>2008</v>
      </c>
      <c r="U96" s="102">
        <v>2049</v>
      </c>
      <c r="V96" s="102">
        <v>2099</v>
      </c>
      <c r="W96" s="102">
        <v>2163</v>
      </c>
      <c r="X96" s="102">
        <v>2173</v>
      </c>
      <c r="Y96" s="102">
        <v>2214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X98" s="102">
        <v>0</v>
      </c>
      <c r="Y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3</v>
      </c>
      <c r="F99" s="102">
        <v>3</v>
      </c>
      <c r="G99" s="102">
        <v>3</v>
      </c>
      <c r="H99" s="102">
        <v>3</v>
      </c>
      <c r="I99" s="102">
        <v>3</v>
      </c>
      <c r="J99" s="102">
        <v>3</v>
      </c>
      <c r="K99" s="102">
        <v>2</v>
      </c>
      <c r="L99" s="102">
        <v>2</v>
      </c>
      <c r="M99" s="102">
        <v>2</v>
      </c>
      <c r="N99" s="102">
        <v>2</v>
      </c>
      <c r="O99" s="102">
        <v>2</v>
      </c>
      <c r="P99" s="102">
        <v>2</v>
      </c>
      <c r="Q99" s="102">
        <v>2</v>
      </c>
      <c r="R99" s="102">
        <v>2</v>
      </c>
      <c r="S99" s="102">
        <v>8</v>
      </c>
      <c r="T99" s="102">
        <v>33</v>
      </c>
      <c r="U99" s="102">
        <v>108</v>
      </c>
      <c r="V99" s="102">
        <v>151</v>
      </c>
      <c r="W99" s="102">
        <v>180</v>
      </c>
      <c r="X99" s="102">
        <v>324</v>
      </c>
      <c r="Y99" s="102">
        <v>401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19740</v>
      </c>
      <c r="C100" s="28">
        <f t="shared" si="158"/>
        <v>20135</v>
      </c>
      <c r="D100" s="28">
        <f t="shared" ref="D100:V100" si="159">D101+D107</f>
        <v>20565</v>
      </c>
      <c r="E100" s="28">
        <f t="shared" si="159"/>
        <v>21291</v>
      </c>
      <c r="F100" s="28">
        <f t="shared" si="159"/>
        <v>21970</v>
      </c>
      <c r="G100" s="28">
        <f t="shared" si="159"/>
        <v>23788</v>
      </c>
      <c r="H100" s="28">
        <f t="shared" si="159"/>
        <v>24849</v>
      </c>
      <c r="I100" s="28">
        <f t="shared" si="159"/>
        <v>25989</v>
      </c>
      <c r="J100" s="28">
        <f t="shared" si="159"/>
        <v>28664</v>
      </c>
      <c r="K100" s="28">
        <f t="shared" si="159"/>
        <v>30282</v>
      </c>
      <c r="L100" s="28">
        <f t="shared" si="159"/>
        <v>31251</v>
      </c>
      <c r="M100" s="28">
        <f t="shared" si="159"/>
        <v>32515</v>
      </c>
      <c r="N100" s="28">
        <f t="shared" si="159"/>
        <v>33610</v>
      </c>
      <c r="O100" s="28">
        <f t="shared" si="159"/>
        <v>33553</v>
      </c>
      <c r="P100" s="28">
        <f t="shared" si="159"/>
        <v>33762</v>
      </c>
      <c r="Q100" s="28">
        <f t="shared" si="159"/>
        <v>35130</v>
      </c>
      <c r="R100" s="28">
        <f t="shared" si="159"/>
        <v>36808</v>
      </c>
      <c r="S100" s="28">
        <f t="shared" si="159"/>
        <v>39399</v>
      </c>
      <c r="T100" s="28">
        <f t="shared" si="159"/>
        <v>40893</v>
      </c>
      <c r="U100" s="28">
        <f t="shared" si="159"/>
        <v>42590</v>
      </c>
      <c r="V100" s="28">
        <f t="shared" si="159"/>
        <v>44979</v>
      </c>
      <c r="W100" s="28">
        <f t="shared" ref="W100:Y100" si="160">W101+W107</f>
        <v>46143</v>
      </c>
      <c r="X100" s="28">
        <f t="shared" si="160"/>
        <v>47669</v>
      </c>
      <c r="Y100" s="28">
        <f t="shared" si="160"/>
        <v>49315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13354</v>
      </c>
      <c r="C101" s="137">
        <f t="shared" si="161"/>
        <v>14508</v>
      </c>
      <c r="D101" s="137">
        <f t="shared" ref="D101:V101" si="162">SUM(D102:D106)</f>
        <v>15439</v>
      </c>
      <c r="E101" s="137">
        <f t="shared" si="162"/>
        <v>16137</v>
      </c>
      <c r="F101" s="137">
        <f t="shared" si="162"/>
        <v>17056</v>
      </c>
      <c r="G101" s="137">
        <f t="shared" si="162"/>
        <v>18041</v>
      </c>
      <c r="H101" s="137">
        <f t="shared" si="162"/>
        <v>18991</v>
      </c>
      <c r="I101" s="137">
        <f t="shared" si="162"/>
        <v>20283</v>
      </c>
      <c r="J101" s="137">
        <f t="shared" si="162"/>
        <v>21839</v>
      </c>
      <c r="K101" s="137">
        <f t="shared" si="162"/>
        <v>22576</v>
      </c>
      <c r="L101" s="137">
        <f t="shared" si="162"/>
        <v>23451</v>
      </c>
      <c r="M101" s="137">
        <f t="shared" si="162"/>
        <v>24631</v>
      </c>
      <c r="N101" s="137">
        <f t="shared" si="162"/>
        <v>26133</v>
      </c>
      <c r="O101" s="137">
        <f t="shared" si="162"/>
        <v>27635</v>
      </c>
      <c r="P101" s="137">
        <f t="shared" si="162"/>
        <v>28521</v>
      </c>
      <c r="Q101" s="137">
        <f t="shared" si="162"/>
        <v>29668</v>
      </c>
      <c r="R101" s="137">
        <f t="shared" si="162"/>
        <v>31138</v>
      </c>
      <c r="S101" s="137">
        <f t="shared" si="162"/>
        <v>33082</v>
      </c>
      <c r="T101" s="137">
        <f t="shared" si="162"/>
        <v>34856</v>
      </c>
      <c r="U101" s="137">
        <f t="shared" si="162"/>
        <v>36257</v>
      </c>
      <c r="V101" s="137">
        <f t="shared" si="162"/>
        <v>37872</v>
      </c>
      <c r="W101" s="137">
        <f t="shared" ref="W101:Y101" si="163">SUM(W102:W106)</f>
        <v>39637</v>
      </c>
      <c r="X101" s="137">
        <f t="shared" si="163"/>
        <v>40957</v>
      </c>
      <c r="Y101" s="137">
        <f t="shared" si="163"/>
        <v>42425</v>
      </c>
      <c r="DA101" s="174"/>
    </row>
    <row r="102" spans="1:105" ht="11.45" hidden="1" customHeight="1" x14ac:dyDescent="0.25">
      <c r="A102" s="111" t="s">
        <v>110</v>
      </c>
      <c r="B102" s="84">
        <v>2479</v>
      </c>
      <c r="C102" s="84">
        <v>2282</v>
      </c>
      <c r="D102" s="84">
        <v>2094</v>
      </c>
      <c r="E102" s="84">
        <v>1923</v>
      </c>
      <c r="F102" s="84">
        <v>1739</v>
      </c>
      <c r="G102" s="84">
        <v>1565</v>
      </c>
      <c r="H102" s="84">
        <v>1423</v>
      </c>
      <c r="I102" s="84">
        <v>1325</v>
      </c>
      <c r="J102" s="84">
        <v>1305</v>
      </c>
      <c r="K102" s="84">
        <v>1231</v>
      </c>
      <c r="L102" s="84">
        <v>1207</v>
      </c>
      <c r="M102" s="84">
        <v>1180</v>
      </c>
      <c r="N102" s="84">
        <v>1143</v>
      </c>
      <c r="O102" s="84">
        <v>1141</v>
      </c>
      <c r="P102" s="84">
        <v>1122</v>
      </c>
      <c r="Q102" s="84">
        <v>1101</v>
      </c>
      <c r="R102" s="84">
        <v>1113</v>
      </c>
      <c r="S102" s="84">
        <v>1165</v>
      </c>
      <c r="T102" s="84">
        <v>1231</v>
      </c>
      <c r="U102" s="84">
        <v>1284</v>
      </c>
      <c r="V102" s="84">
        <v>1344</v>
      </c>
      <c r="W102" s="84">
        <v>1403</v>
      </c>
      <c r="X102" s="84">
        <v>1466</v>
      </c>
      <c r="Y102" s="84">
        <v>1649</v>
      </c>
      <c r="DA102" s="171"/>
    </row>
    <row r="103" spans="1:105" ht="11.45" hidden="1" customHeight="1" x14ac:dyDescent="0.25">
      <c r="A103" s="111" t="s">
        <v>111</v>
      </c>
      <c r="B103" s="84">
        <v>10875</v>
      </c>
      <c r="C103" s="84">
        <v>12226</v>
      </c>
      <c r="D103" s="84">
        <v>13345</v>
      </c>
      <c r="E103" s="84">
        <v>14214</v>
      </c>
      <c r="F103" s="84">
        <v>15317</v>
      </c>
      <c r="G103" s="84">
        <v>16476</v>
      </c>
      <c r="H103" s="84">
        <v>17567</v>
      </c>
      <c r="I103" s="84">
        <v>18956</v>
      </c>
      <c r="J103" s="84">
        <v>20532</v>
      </c>
      <c r="K103" s="84">
        <v>21338</v>
      </c>
      <c r="L103" s="84">
        <v>22237</v>
      </c>
      <c r="M103" s="84">
        <v>23444</v>
      </c>
      <c r="N103" s="84">
        <v>24964</v>
      </c>
      <c r="O103" s="84">
        <v>26365</v>
      </c>
      <c r="P103" s="84">
        <v>27241</v>
      </c>
      <c r="Q103" s="84">
        <v>28385</v>
      </c>
      <c r="R103" s="84">
        <v>29824</v>
      </c>
      <c r="S103" s="84">
        <v>31671</v>
      </c>
      <c r="T103" s="84">
        <v>33326</v>
      </c>
      <c r="U103" s="84">
        <v>34627</v>
      </c>
      <c r="V103" s="84">
        <v>36126</v>
      </c>
      <c r="W103" s="84">
        <v>37700</v>
      </c>
      <c r="X103" s="84">
        <v>38685</v>
      </c>
      <c r="Y103" s="84">
        <v>39565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59</v>
      </c>
      <c r="P104" s="84">
        <v>71</v>
      </c>
      <c r="Q104" s="84">
        <v>73</v>
      </c>
      <c r="R104" s="84">
        <v>77</v>
      </c>
      <c r="S104" s="84">
        <v>84</v>
      </c>
      <c r="T104" s="84">
        <v>85</v>
      </c>
      <c r="U104" s="84">
        <v>88</v>
      </c>
      <c r="V104" s="84">
        <v>95</v>
      </c>
      <c r="W104" s="84">
        <v>105</v>
      </c>
      <c r="X104" s="84">
        <v>106</v>
      </c>
      <c r="Y104" s="84">
        <v>107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X105" s="84">
        <v>0</v>
      </c>
      <c r="Y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1</v>
      </c>
      <c r="I106" s="84">
        <v>2</v>
      </c>
      <c r="J106" s="84">
        <v>2</v>
      </c>
      <c r="K106" s="84">
        <v>7</v>
      </c>
      <c r="L106" s="84">
        <v>7</v>
      </c>
      <c r="M106" s="84">
        <v>7</v>
      </c>
      <c r="N106" s="84">
        <v>26</v>
      </c>
      <c r="O106" s="84">
        <v>70</v>
      </c>
      <c r="P106" s="84">
        <v>87</v>
      </c>
      <c r="Q106" s="84">
        <v>109</v>
      </c>
      <c r="R106" s="84">
        <v>124</v>
      </c>
      <c r="S106" s="84">
        <v>162</v>
      </c>
      <c r="T106" s="84">
        <v>214</v>
      </c>
      <c r="U106" s="84">
        <v>258</v>
      </c>
      <c r="V106" s="84">
        <v>307</v>
      </c>
      <c r="W106" s="84">
        <v>429</v>
      </c>
      <c r="X106" s="84">
        <v>700</v>
      </c>
      <c r="Y106" s="84">
        <v>1104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6386</v>
      </c>
      <c r="C107" s="110">
        <f t="shared" si="164"/>
        <v>5627</v>
      </c>
      <c r="D107" s="110">
        <f t="shared" ref="D107:V107" si="165">SUM(D108:D109)</f>
        <v>5126</v>
      </c>
      <c r="E107" s="110">
        <f t="shared" si="165"/>
        <v>5154</v>
      </c>
      <c r="F107" s="110">
        <f t="shared" si="165"/>
        <v>4914</v>
      </c>
      <c r="G107" s="110">
        <f t="shared" si="165"/>
        <v>5747</v>
      </c>
      <c r="H107" s="110">
        <f t="shared" si="165"/>
        <v>5858</v>
      </c>
      <c r="I107" s="110">
        <f t="shared" si="165"/>
        <v>5706</v>
      </c>
      <c r="J107" s="110">
        <f t="shared" si="165"/>
        <v>6825</v>
      </c>
      <c r="K107" s="110">
        <f t="shared" si="165"/>
        <v>7706</v>
      </c>
      <c r="L107" s="110">
        <f t="shared" si="165"/>
        <v>7800</v>
      </c>
      <c r="M107" s="110">
        <f t="shared" si="165"/>
        <v>7884</v>
      </c>
      <c r="N107" s="110">
        <f t="shared" si="165"/>
        <v>7477</v>
      </c>
      <c r="O107" s="110">
        <f t="shared" si="165"/>
        <v>5918</v>
      </c>
      <c r="P107" s="110">
        <f t="shared" si="165"/>
        <v>5241</v>
      </c>
      <c r="Q107" s="110">
        <f t="shared" si="165"/>
        <v>5462</v>
      </c>
      <c r="R107" s="110">
        <f t="shared" si="165"/>
        <v>5670</v>
      </c>
      <c r="S107" s="110">
        <f t="shared" si="165"/>
        <v>6317</v>
      </c>
      <c r="T107" s="110">
        <f t="shared" si="165"/>
        <v>6037</v>
      </c>
      <c r="U107" s="110">
        <f t="shared" si="165"/>
        <v>6333</v>
      </c>
      <c r="V107" s="110">
        <f t="shared" si="165"/>
        <v>7107</v>
      </c>
      <c r="W107" s="110">
        <f t="shared" ref="W107:Y107" si="166">SUM(W108:W109)</f>
        <v>6506</v>
      </c>
      <c r="X107" s="110">
        <f t="shared" si="166"/>
        <v>6712</v>
      </c>
      <c r="Y107" s="110">
        <f t="shared" si="166"/>
        <v>6890</v>
      </c>
      <c r="DA107" s="176"/>
    </row>
    <row r="108" spans="1:105" ht="11.45" hidden="1" customHeight="1" x14ac:dyDescent="0.25">
      <c r="A108" s="128" t="s">
        <v>27</v>
      </c>
      <c r="B108" s="102">
        <v>5561</v>
      </c>
      <c r="C108" s="102">
        <v>4743</v>
      </c>
      <c r="D108" s="102">
        <v>4196</v>
      </c>
      <c r="E108" s="102">
        <v>4203</v>
      </c>
      <c r="F108" s="102">
        <v>3790</v>
      </c>
      <c r="G108" s="102">
        <v>4583</v>
      </c>
      <c r="H108" s="102">
        <v>4729</v>
      </c>
      <c r="I108" s="102">
        <v>4495</v>
      </c>
      <c r="J108" s="102">
        <v>5451</v>
      </c>
      <c r="K108" s="102">
        <v>6480</v>
      </c>
      <c r="L108" s="102">
        <v>6530</v>
      </c>
      <c r="M108" s="102">
        <v>6629</v>
      </c>
      <c r="N108" s="102">
        <v>6068</v>
      </c>
      <c r="O108" s="102">
        <v>4515</v>
      </c>
      <c r="P108" s="102">
        <v>3759</v>
      </c>
      <c r="Q108" s="102">
        <v>4191</v>
      </c>
      <c r="R108" s="102">
        <v>4310</v>
      </c>
      <c r="S108" s="102">
        <v>4880</v>
      </c>
      <c r="T108" s="102">
        <v>4651</v>
      </c>
      <c r="U108" s="102">
        <v>4905</v>
      </c>
      <c r="V108" s="102">
        <v>5771</v>
      </c>
      <c r="W108" s="102">
        <v>5076</v>
      </c>
      <c r="X108" s="102">
        <v>5259</v>
      </c>
      <c r="Y108" s="102">
        <v>5577</v>
      </c>
      <c r="DA108" s="175"/>
    </row>
    <row r="109" spans="1:105" ht="11.45" hidden="1" customHeight="1" x14ac:dyDescent="0.25">
      <c r="A109" s="138" t="s">
        <v>116</v>
      </c>
      <c r="B109" s="86">
        <v>825</v>
      </c>
      <c r="C109" s="86">
        <v>884</v>
      </c>
      <c r="D109" s="86">
        <v>930</v>
      </c>
      <c r="E109" s="86">
        <v>951</v>
      </c>
      <c r="F109" s="86">
        <v>1124</v>
      </c>
      <c r="G109" s="86">
        <v>1164</v>
      </c>
      <c r="H109" s="86">
        <v>1129</v>
      </c>
      <c r="I109" s="86">
        <v>1211</v>
      </c>
      <c r="J109" s="86">
        <v>1374</v>
      </c>
      <c r="K109" s="86">
        <v>1226</v>
      </c>
      <c r="L109" s="86">
        <v>1270</v>
      </c>
      <c r="M109" s="86">
        <v>1255</v>
      </c>
      <c r="N109" s="86">
        <v>1409</v>
      </c>
      <c r="O109" s="86">
        <v>1403</v>
      </c>
      <c r="P109" s="86">
        <v>1482</v>
      </c>
      <c r="Q109" s="86">
        <v>1271</v>
      </c>
      <c r="R109" s="86">
        <v>1360</v>
      </c>
      <c r="S109" s="86">
        <v>1437</v>
      </c>
      <c r="T109" s="86">
        <v>1386</v>
      </c>
      <c r="U109" s="86">
        <v>1428</v>
      </c>
      <c r="V109" s="86">
        <v>1336</v>
      </c>
      <c r="W109" s="86">
        <v>1430</v>
      </c>
      <c r="X109" s="86">
        <v>1453</v>
      </c>
      <c r="Y109" s="86">
        <v>1313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44021</v>
      </c>
      <c r="C111" s="54">
        <f t="shared" si="167"/>
        <v>57144</v>
      </c>
      <c r="D111" s="54">
        <f t="shared" si="167"/>
        <v>48884</v>
      </c>
      <c r="E111" s="54">
        <f t="shared" si="167"/>
        <v>50006</v>
      </c>
      <c r="F111" s="54">
        <f t="shared" si="167"/>
        <v>53625</v>
      </c>
      <c r="G111" s="54">
        <f t="shared" si="167"/>
        <v>54912</v>
      </c>
      <c r="H111" s="54">
        <f t="shared" si="167"/>
        <v>56580</v>
      </c>
      <c r="I111" s="54">
        <f t="shared" si="167"/>
        <v>57029</v>
      </c>
      <c r="J111" s="54">
        <f t="shared" si="167"/>
        <v>59425</v>
      </c>
      <c r="K111" s="54">
        <f t="shared" si="167"/>
        <v>52047</v>
      </c>
      <c r="L111" s="54">
        <f t="shared" ref="L111" si="168">L112+L127</f>
        <v>55282</v>
      </c>
      <c r="M111" s="54">
        <f t="shared" ref="M111:V111" si="169">M112+M127</f>
        <v>55478</v>
      </c>
      <c r="N111" s="54">
        <f t="shared" si="169"/>
        <v>58601</v>
      </c>
      <c r="O111" s="54">
        <f t="shared" si="169"/>
        <v>52624</v>
      </c>
      <c r="P111" s="54">
        <f t="shared" si="169"/>
        <v>55583</v>
      </c>
      <c r="Q111" s="54">
        <f t="shared" si="169"/>
        <v>52524</v>
      </c>
      <c r="R111" s="54">
        <f t="shared" si="169"/>
        <v>57404</v>
      </c>
      <c r="S111" s="54">
        <f t="shared" si="169"/>
        <v>60417</v>
      </c>
      <c r="T111" s="54">
        <f t="shared" si="169"/>
        <v>60382</v>
      </c>
      <c r="U111" s="54">
        <f t="shared" si="169"/>
        <v>62922</v>
      </c>
      <c r="V111" s="54">
        <f t="shared" si="169"/>
        <v>53702</v>
      </c>
      <c r="W111" s="54">
        <f t="shared" ref="W111:Y111" si="170">W112+W127</f>
        <v>53014</v>
      </c>
      <c r="X111" s="54">
        <f t="shared" si="170"/>
        <v>50495</v>
      </c>
      <c r="Y111" s="54">
        <f t="shared" si="170"/>
        <v>58226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43938</v>
      </c>
      <c r="C112" s="28">
        <f t="shared" si="171"/>
        <v>54366</v>
      </c>
      <c r="D112" s="28">
        <f t="shared" si="171"/>
        <v>46492</v>
      </c>
      <c r="E112" s="28">
        <f t="shared" si="171"/>
        <v>47526</v>
      </c>
      <c r="F112" s="28">
        <f t="shared" si="171"/>
        <v>50857</v>
      </c>
      <c r="G112" s="28">
        <f t="shared" si="171"/>
        <v>51448</v>
      </c>
      <c r="H112" s="28">
        <f t="shared" si="171"/>
        <v>53535</v>
      </c>
      <c r="I112" s="28">
        <f t="shared" si="171"/>
        <v>53361</v>
      </c>
      <c r="J112" s="28">
        <f t="shared" si="171"/>
        <v>54422</v>
      </c>
      <c r="K112" s="28">
        <f t="shared" si="171"/>
        <v>49642</v>
      </c>
      <c r="L112" s="28">
        <f t="shared" ref="L112" si="172">L113+L114+L121</f>
        <v>52022</v>
      </c>
      <c r="M112" s="28">
        <f t="shared" ref="M112:V112" si="173">M113+M114+M121</f>
        <v>51901</v>
      </c>
      <c r="N112" s="28">
        <f t="shared" si="173"/>
        <v>54888</v>
      </c>
      <c r="O112" s="28">
        <f t="shared" si="173"/>
        <v>48977</v>
      </c>
      <c r="P112" s="28">
        <f t="shared" si="173"/>
        <v>52242</v>
      </c>
      <c r="Q112" s="28">
        <f t="shared" si="173"/>
        <v>48709</v>
      </c>
      <c r="R112" s="28">
        <f t="shared" si="173"/>
        <v>52906</v>
      </c>
      <c r="S112" s="28">
        <f t="shared" si="173"/>
        <v>55220</v>
      </c>
      <c r="T112" s="28">
        <f t="shared" si="173"/>
        <v>55436</v>
      </c>
      <c r="U112" s="28">
        <f t="shared" si="173"/>
        <v>57837</v>
      </c>
      <c r="V112" s="28">
        <f t="shared" si="173"/>
        <v>48313</v>
      </c>
      <c r="W112" s="28">
        <f t="shared" ref="W112:Y112" si="174">W113+W114+W121</f>
        <v>47657</v>
      </c>
      <c r="X112" s="28">
        <f t="shared" si="174"/>
        <v>45373</v>
      </c>
      <c r="Y112" s="28">
        <f t="shared" si="174"/>
        <v>52471</v>
      </c>
      <c r="DA112" s="173" t="s">
        <v>527</v>
      </c>
    </row>
    <row r="113" spans="1:105" ht="11.45" customHeight="1" x14ac:dyDescent="0.25">
      <c r="A113" s="136" t="s">
        <v>173</v>
      </c>
      <c r="B113" s="137">
        <v>1512</v>
      </c>
      <c r="C113" s="137">
        <v>1475</v>
      </c>
      <c r="D113" s="137">
        <v>1710</v>
      </c>
      <c r="E113" s="137">
        <v>1861</v>
      </c>
      <c r="F113" s="137">
        <v>1778</v>
      </c>
      <c r="G113" s="137">
        <v>1686</v>
      </c>
      <c r="H113" s="137">
        <v>1836</v>
      </c>
      <c r="I113" s="137">
        <v>1900</v>
      </c>
      <c r="J113" s="137">
        <v>1838</v>
      </c>
      <c r="K113" s="137">
        <v>2094</v>
      </c>
      <c r="L113" s="137">
        <v>2122</v>
      </c>
      <c r="M113" s="137">
        <v>1832</v>
      </c>
      <c r="N113" s="137">
        <v>1721</v>
      </c>
      <c r="O113" s="137">
        <v>2172</v>
      </c>
      <c r="P113" s="137">
        <v>2290</v>
      </c>
      <c r="Q113" s="137">
        <v>1985</v>
      </c>
      <c r="R113" s="137">
        <v>2140</v>
      </c>
      <c r="S113" s="137">
        <v>2206</v>
      </c>
      <c r="T113" s="137">
        <v>2407</v>
      </c>
      <c r="U113" s="137">
        <v>2556</v>
      </c>
      <c r="V113" s="137">
        <v>2903</v>
      </c>
      <c r="W113" s="137">
        <v>3074</v>
      </c>
      <c r="X113" s="137">
        <v>2975</v>
      </c>
      <c r="Y113" s="137">
        <v>3049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42304</v>
      </c>
      <c r="C114" s="110">
        <f t="shared" si="175"/>
        <v>52740</v>
      </c>
      <c r="D114" s="110">
        <f t="shared" si="175"/>
        <v>44693</v>
      </c>
      <c r="E114" s="110">
        <f t="shared" si="175"/>
        <v>45530</v>
      </c>
      <c r="F114" s="110">
        <f t="shared" si="175"/>
        <v>48953</v>
      </c>
      <c r="G114" s="110">
        <f t="shared" si="175"/>
        <v>49604</v>
      </c>
      <c r="H114" s="110">
        <f t="shared" si="175"/>
        <v>51531</v>
      </c>
      <c r="I114" s="110">
        <f t="shared" si="175"/>
        <v>51285</v>
      </c>
      <c r="J114" s="110">
        <f t="shared" si="175"/>
        <v>52359</v>
      </c>
      <c r="K114" s="110">
        <f t="shared" si="175"/>
        <v>47339</v>
      </c>
      <c r="L114" s="110">
        <f t="shared" ref="L114" si="176">SUM(L115:L120)</f>
        <v>49726</v>
      </c>
      <c r="M114" s="110">
        <f t="shared" ref="M114:V114" si="177">SUM(M115:M120)</f>
        <v>49881</v>
      </c>
      <c r="N114" s="110">
        <f t="shared" si="177"/>
        <v>53008</v>
      </c>
      <c r="O114" s="110">
        <f t="shared" si="177"/>
        <v>46624</v>
      </c>
      <c r="P114" s="110">
        <f t="shared" si="177"/>
        <v>49793</v>
      </c>
      <c r="Q114" s="110">
        <f t="shared" si="177"/>
        <v>46473</v>
      </c>
      <c r="R114" s="110">
        <f t="shared" si="177"/>
        <v>50561</v>
      </c>
      <c r="S114" s="110">
        <f t="shared" si="177"/>
        <v>52775</v>
      </c>
      <c r="T114" s="110">
        <f t="shared" si="177"/>
        <v>52811</v>
      </c>
      <c r="U114" s="110">
        <f t="shared" si="177"/>
        <v>55008</v>
      </c>
      <c r="V114" s="110">
        <f t="shared" si="177"/>
        <v>45189</v>
      </c>
      <c r="W114" s="110">
        <f t="shared" ref="W114:Y114" si="178">SUM(W115:W120)</f>
        <v>44372</v>
      </c>
      <c r="X114" s="110">
        <f t="shared" si="178"/>
        <v>42094</v>
      </c>
      <c r="Y114" s="110">
        <f t="shared" si="178"/>
        <v>49155</v>
      </c>
      <c r="DA114" s="176" t="s">
        <v>529</v>
      </c>
    </row>
    <row r="115" spans="1:105" ht="11.45" customHeight="1" x14ac:dyDescent="0.25">
      <c r="A115" s="111" t="s">
        <v>110</v>
      </c>
      <c r="B115" s="84">
        <v>16004</v>
      </c>
      <c r="C115" s="84">
        <v>25191</v>
      </c>
      <c r="D115" s="84">
        <v>17125</v>
      </c>
      <c r="E115" s="84">
        <v>16478</v>
      </c>
      <c r="F115" s="84">
        <v>13756</v>
      </c>
      <c r="G115" s="84">
        <v>12837</v>
      </c>
      <c r="H115" s="84">
        <v>12218</v>
      </c>
      <c r="I115" s="84">
        <v>11503</v>
      </c>
      <c r="J115" s="84">
        <v>12013</v>
      </c>
      <c r="K115" s="84">
        <v>12758</v>
      </c>
      <c r="L115" s="84">
        <v>14183</v>
      </c>
      <c r="M115" s="84">
        <v>14425</v>
      </c>
      <c r="N115" s="84">
        <v>16194</v>
      </c>
      <c r="O115" s="84">
        <v>13846</v>
      </c>
      <c r="P115" s="84">
        <v>18706</v>
      </c>
      <c r="Q115" s="84">
        <v>18496</v>
      </c>
      <c r="R115" s="84">
        <v>22523</v>
      </c>
      <c r="S115" s="84">
        <v>28560</v>
      </c>
      <c r="T115" s="84">
        <v>31968</v>
      </c>
      <c r="U115" s="84">
        <v>28508</v>
      </c>
      <c r="V115" s="84">
        <v>21025</v>
      </c>
      <c r="W115" s="84">
        <v>19056</v>
      </c>
      <c r="X115" s="84">
        <v>18170</v>
      </c>
      <c r="Y115" s="84">
        <v>19947</v>
      </c>
      <c r="DA115" s="171" t="s">
        <v>530</v>
      </c>
    </row>
    <row r="116" spans="1:105" ht="11.45" customHeight="1" x14ac:dyDescent="0.25">
      <c r="A116" s="111" t="s">
        <v>111</v>
      </c>
      <c r="B116" s="84">
        <v>26300</v>
      </c>
      <c r="C116" s="84">
        <v>26834</v>
      </c>
      <c r="D116" s="84">
        <v>27152</v>
      </c>
      <c r="E116" s="84">
        <v>28884</v>
      </c>
      <c r="F116" s="84">
        <v>35004</v>
      </c>
      <c r="G116" s="84">
        <v>36561</v>
      </c>
      <c r="H116" s="84">
        <v>39280</v>
      </c>
      <c r="I116" s="84">
        <v>39753</v>
      </c>
      <c r="J116" s="84">
        <v>40313</v>
      </c>
      <c r="K116" s="84">
        <v>34480</v>
      </c>
      <c r="L116" s="84">
        <v>35322</v>
      </c>
      <c r="M116" s="84">
        <v>34999</v>
      </c>
      <c r="N116" s="84">
        <v>36060</v>
      </c>
      <c r="O116" s="84">
        <v>32096</v>
      </c>
      <c r="P116" s="84">
        <v>30581</v>
      </c>
      <c r="Q116" s="84">
        <v>27771</v>
      </c>
      <c r="R116" s="84">
        <v>27524</v>
      </c>
      <c r="S116" s="84">
        <v>23135</v>
      </c>
      <c r="T116" s="84">
        <v>19646</v>
      </c>
      <c r="U116" s="84">
        <v>24302</v>
      </c>
      <c r="V116" s="84">
        <v>18629</v>
      </c>
      <c r="W116" s="84">
        <v>15754</v>
      </c>
      <c r="X116" s="84">
        <v>13279</v>
      </c>
      <c r="Y116" s="84">
        <v>12743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715</v>
      </c>
      <c r="D117" s="84">
        <v>416</v>
      </c>
      <c r="E117" s="84">
        <v>168</v>
      </c>
      <c r="F117" s="84">
        <v>193</v>
      </c>
      <c r="G117" s="84">
        <v>206</v>
      </c>
      <c r="H117" s="84">
        <v>33</v>
      </c>
      <c r="I117" s="84">
        <v>29</v>
      </c>
      <c r="J117" s="84">
        <v>32</v>
      </c>
      <c r="K117" s="84">
        <v>100</v>
      </c>
      <c r="L117" s="84">
        <v>25</v>
      </c>
      <c r="M117" s="84">
        <v>151</v>
      </c>
      <c r="N117" s="84">
        <v>203</v>
      </c>
      <c r="O117" s="84">
        <v>235</v>
      </c>
      <c r="P117" s="84">
        <v>121</v>
      </c>
      <c r="Q117" s="84">
        <v>100</v>
      </c>
      <c r="R117" s="84">
        <v>157</v>
      </c>
      <c r="S117" s="84">
        <v>0</v>
      </c>
      <c r="T117" s="84">
        <v>2</v>
      </c>
      <c r="U117" s="84">
        <v>1</v>
      </c>
      <c r="V117" s="84">
        <v>177</v>
      </c>
      <c r="W117" s="84">
        <v>98</v>
      </c>
      <c r="X117" s="84">
        <v>36</v>
      </c>
      <c r="Y117" s="84">
        <v>32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X118" s="84">
        <v>0</v>
      </c>
      <c r="Y118" s="84">
        <v>0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490</v>
      </c>
      <c r="O119" s="84">
        <v>280</v>
      </c>
      <c r="P119" s="84">
        <v>73</v>
      </c>
      <c r="Q119" s="84">
        <v>25</v>
      </c>
      <c r="R119" s="84">
        <v>195</v>
      </c>
      <c r="S119" s="84">
        <v>694</v>
      </c>
      <c r="T119" s="84">
        <v>703</v>
      </c>
      <c r="U119" s="84">
        <v>931</v>
      </c>
      <c r="V119" s="84">
        <v>2833</v>
      </c>
      <c r="W119" s="84">
        <v>4778</v>
      </c>
      <c r="X119" s="84">
        <v>3951</v>
      </c>
      <c r="Y119" s="84">
        <v>5053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1</v>
      </c>
      <c r="K120" s="84">
        <v>1</v>
      </c>
      <c r="L120" s="84">
        <v>196</v>
      </c>
      <c r="M120" s="84">
        <v>306</v>
      </c>
      <c r="N120" s="84">
        <v>61</v>
      </c>
      <c r="O120" s="84">
        <v>167</v>
      </c>
      <c r="P120" s="84">
        <v>312</v>
      </c>
      <c r="Q120" s="84">
        <v>81</v>
      </c>
      <c r="R120" s="84">
        <v>162</v>
      </c>
      <c r="S120" s="84">
        <v>386</v>
      </c>
      <c r="T120" s="84">
        <v>492</v>
      </c>
      <c r="U120" s="84">
        <v>1266</v>
      </c>
      <c r="V120" s="84">
        <v>2525</v>
      </c>
      <c r="W120" s="84">
        <v>4686</v>
      </c>
      <c r="X120" s="84">
        <v>6658</v>
      </c>
      <c r="Y120" s="84">
        <v>11380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122</v>
      </c>
      <c r="C121" s="110">
        <f t="shared" si="179"/>
        <v>151</v>
      </c>
      <c r="D121" s="110">
        <f t="shared" si="179"/>
        <v>89</v>
      </c>
      <c r="E121" s="110">
        <f t="shared" si="179"/>
        <v>135</v>
      </c>
      <c r="F121" s="110">
        <f t="shared" si="179"/>
        <v>126</v>
      </c>
      <c r="G121" s="110">
        <f t="shared" si="179"/>
        <v>158</v>
      </c>
      <c r="H121" s="110">
        <f t="shared" si="179"/>
        <v>168</v>
      </c>
      <c r="I121" s="110">
        <f t="shared" si="179"/>
        <v>176</v>
      </c>
      <c r="J121" s="110">
        <f t="shared" si="179"/>
        <v>225</v>
      </c>
      <c r="K121" s="110">
        <f t="shared" si="179"/>
        <v>209</v>
      </c>
      <c r="L121" s="110">
        <f t="shared" ref="L121" si="180">SUM(L122:L126)</f>
        <v>174</v>
      </c>
      <c r="M121" s="110">
        <f t="shared" ref="M121:V121" si="181">SUM(M122:M126)</f>
        <v>188</v>
      </c>
      <c r="N121" s="110">
        <f t="shared" si="181"/>
        <v>159</v>
      </c>
      <c r="O121" s="110">
        <f t="shared" si="181"/>
        <v>181</v>
      </c>
      <c r="P121" s="110">
        <f t="shared" si="181"/>
        <v>159</v>
      </c>
      <c r="Q121" s="110">
        <f t="shared" si="181"/>
        <v>251</v>
      </c>
      <c r="R121" s="110">
        <f t="shared" si="181"/>
        <v>205</v>
      </c>
      <c r="S121" s="110">
        <f t="shared" si="181"/>
        <v>239</v>
      </c>
      <c r="T121" s="110">
        <f t="shared" si="181"/>
        <v>218</v>
      </c>
      <c r="U121" s="110">
        <f t="shared" si="181"/>
        <v>273</v>
      </c>
      <c r="V121" s="110">
        <f t="shared" si="181"/>
        <v>221</v>
      </c>
      <c r="W121" s="110">
        <f t="shared" ref="W121:Y121" si="182">SUM(W122:W126)</f>
        <v>211</v>
      </c>
      <c r="X121" s="110">
        <f t="shared" si="182"/>
        <v>304</v>
      </c>
      <c r="Y121" s="110">
        <f t="shared" si="182"/>
        <v>267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1</v>
      </c>
      <c r="U122" s="102">
        <v>0</v>
      </c>
      <c r="V122" s="102">
        <v>0</v>
      </c>
      <c r="W122" s="102">
        <v>1</v>
      </c>
      <c r="X122" s="102">
        <v>1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122</v>
      </c>
      <c r="C123" s="102">
        <v>151</v>
      </c>
      <c r="D123" s="102">
        <v>89</v>
      </c>
      <c r="E123" s="102">
        <v>132</v>
      </c>
      <c r="F123" s="102">
        <v>126</v>
      </c>
      <c r="G123" s="102">
        <v>158</v>
      </c>
      <c r="H123" s="102">
        <v>168</v>
      </c>
      <c r="I123" s="102">
        <v>176</v>
      </c>
      <c r="J123" s="102">
        <v>225</v>
      </c>
      <c r="K123" s="102">
        <v>209</v>
      </c>
      <c r="L123" s="102">
        <v>174</v>
      </c>
      <c r="M123" s="102">
        <v>188</v>
      </c>
      <c r="N123" s="102">
        <v>159</v>
      </c>
      <c r="O123" s="102">
        <v>181</v>
      </c>
      <c r="P123" s="102">
        <v>159</v>
      </c>
      <c r="Q123" s="102">
        <v>251</v>
      </c>
      <c r="R123" s="102">
        <v>205</v>
      </c>
      <c r="S123" s="102">
        <v>231</v>
      </c>
      <c r="T123" s="102">
        <v>191</v>
      </c>
      <c r="U123" s="102">
        <v>198</v>
      </c>
      <c r="V123" s="102">
        <v>178</v>
      </c>
      <c r="W123" s="102">
        <v>180</v>
      </c>
      <c r="X123" s="102">
        <v>158</v>
      </c>
      <c r="Y123" s="102">
        <v>187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X125" s="102">
        <v>0</v>
      </c>
      <c r="Y125" s="102">
        <v>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3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8</v>
      </c>
      <c r="T126" s="102">
        <v>26</v>
      </c>
      <c r="U126" s="102">
        <v>75</v>
      </c>
      <c r="V126" s="102">
        <v>43</v>
      </c>
      <c r="W126" s="102">
        <v>30</v>
      </c>
      <c r="X126" s="102">
        <v>145</v>
      </c>
      <c r="Y126" s="102">
        <v>80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83</v>
      </c>
      <c r="C127" s="28">
        <f t="shared" si="183"/>
        <v>2778</v>
      </c>
      <c r="D127" s="28">
        <f t="shared" si="183"/>
        <v>2392</v>
      </c>
      <c r="E127" s="28">
        <f t="shared" si="183"/>
        <v>2480</v>
      </c>
      <c r="F127" s="28">
        <f t="shared" si="183"/>
        <v>2768</v>
      </c>
      <c r="G127" s="28">
        <f t="shared" si="183"/>
        <v>3464</v>
      </c>
      <c r="H127" s="28">
        <f t="shared" si="183"/>
        <v>3045</v>
      </c>
      <c r="I127" s="28">
        <f t="shared" si="183"/>
        <v>3668</v>
      </c>
      <c r="J127" s="28">
        <f t="shared" si="183"/>
        <v>5003</v>
      </c>
      <c r="K127" s="28">
        <f t="shared" si="183"/>
        <v>2405</v>
      </c>
      <c r="L127" s="28">
        <f t="shared" ref="L127" si="184">L128+L134</f>
        <v>3260</v>
      </c>
      <c r="M127" s="28">
        <f t="shared" ref="M127:V127" si="185">M128+M134</f>
        <v>3577</v>
      </c>
      <c r="N127" s="28">
        <f t="shared" si="185"/>
        <v>3713</v>
      </c>
      <c r="O127" s="28">
        <f t="shared" si="185"/>
        <v>3647</v>
      </c>
      <c r="P127" s="28">
        <f t="shared" si="185"/>
        <v>3341</v>
      </c>
      <c r="Q127" s="28">
        <f t="shared" si="185"/>
        <v>3815</v>
      </c>
      <c r="R127" s="28">
        <f t="shared" si="185"/>
        <v>4498</v>
      </c>
      <c r="S127" s="28">
        <f t="shared" si="185"/>
        <v>5197</v>
      </c>
      <c r="T127" s="28">
        <f t="shared" si="185"/>
        <v>4946</v>
      </c>
      <c r="U127" s="28">
        <f t="shared" si="185"/>
        <v>5085</v>
      </c>
      <c r="V127" s="28">
        <f t="shared" si="185"/>
        <v>5389</v>
      </c>
      <c r="W127" s="28">
        <f t="shared" ref="W127:Y127" si="186">W128+W134</f>
        <v>5357</v>
      </c>
      <c r="X127" s="28">
        <f t="shared" si="186"/>
        <v>5122</v>
      </c>
      <c r="Y127" s="28">
        <f t="shared" si="186"/>
        <v>5755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2323</v>
      </c>
      <c r="D128" s="137">
        <f t="shared" si="187"/>
        <v>2232</v>
      </c>
      <c r="E128" s="137">
        <f t="shared" si="187"/>
        <v>2114</v>
      </c>
      <c r="F128" s="137">
        <f t="shared" si="187"/>
        <v>2427</v>
      </c>
      <c r="G128" s="137">
        <f t="shared" si="187"/>
        <v>2563</v>
      </c>
      <c r="H128" s="137">
        <f t="shared" si="187"/>
        <v>2793</v>
      </c>
      <c r="I128" s="137">
        <f t="shared" si="187"/>
        <v>3280</v>
      </c>
      <c r="J128" s="137">
        <f t="shared" si="187"/>
        <v>3793</v>
      </c>
      <c r="K128" s="137">
        <f t="shared" si="187"/>
        <v>1365</v>
      </c>
      <c r="L128" s="137">
        <f t="shared" ref="L128" si="188">SUM(L129:L133)</f>
        <v>2643</v>
      </c>
      <c r="M128" s="137">
        <f t="shared" ref="M128:V128" si="189">SUM(M129:M133)</f>
        <v>3002</v>
      </c>
      <c r="N128" s="137">
        <f t="shared" si="189"/>
        <v>3395</v>
      </c>
      <c r="O128" s="137">
        <f t="shared" si="189"/>
        <v>3491</v>
      </c>
      <c r="P128" s="137">
        <f t="shared" si="189"/>
        <v>2996</v>
      </c>
      <c r="Q128" s="137">
        <f t="shared" si="189"/>
        <v>3383</v>
      </c>
      <c r="R128" s="137">
        <f t="shared" si="189"/>
        <v>3851</v>
      </c>
      <c r="S128" s="137">
        <f t="shared" si="189"/>
        <v>4440</v>
      </c>
      <c r="T128" s="137">
        <f t="shared" si="189"/>
        <v>4427</v>
      </c>
      <c r="U128" s="137">
        <f t="shared" si="189"/>
        <v>4309</v>
      </c>
      <c r="V128" s="137">
        <f t="shared" si="189"/>
        <v>4504</v>
      </c>
      <c r="W128" s="137">
        <f t="shared" ref="W128:Y128" si="190">SUM(W129:W133)</f>
        <v>4818</v>
      </c>
      <c r="X128" s="137">
        <f t="shared" si="190"/>
        <v>4492</v>
      </c>
      <c r="Y128" s="137">
        <f t="shared" si="190"/>
        <v>5338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20</v>
      </c>
      <c r="D129" s="84">
        <v>51</v>
      </c>
      <c r="E129" s="84">
        <v>84</v>
      </c>
      <c r="F129" s="84">
        <v>77</v>
      </c>
      <c r="G129" s="84">
        <v>86</v>
      </c>
      <c r="H129" s="84">
        <v>86</v>
      </c>
      <c r="I129" s="84">
        <v>126</v>
      </c>
      <c r="J129" s="84">
        <v>179</v>
      </c>
      <c r="K129" s="84">
        <v>159</v>
      </c>
      <c r="L129" s="84">
        <v>139</v>
      </c>
      <c r="M129" s="84">
        <v>115</v>
      </c>
      <c r="N129" s="84">
        <v>86</v>
      </c>
      <c r="O129" s="84">
        <v>109</v>
      </c>
      <c r="P129" s="84">
        <v>84</v>
      </c>
      <c r="Q129" s="84">
        <v>78</v>
      </c>
      <c r="R129" s="84">
        <v>111</v>
      </c>
      <c r="S129" s="84">
        <v>152</v>
      </c>
      <c r="T129" s="84">
        <v>170</v>
      </c>
      <c r="U129" s="84">
        <v>160</v>
      </c>
      <c r="V129" s="84">
        <v>170</v>
      </c>
      <c r="W129" s="84">
        <v>173</v>
      </c>
      <c r="X129" s="84">
        <v>181</v>
      </c>
      <c r="Y129" s="84">
        <v>303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2303</v>
      </c>
      <c r="D130" s="84">
        <v>2181</v>
      </c>
      <c r="E130" s="84">
        <v>2030</v>
      </c>
      <c r="F130" s="84">
        <v>2350</v>
      </c>
      <c r="G130" s="84">
        <v>2477</v>
      </c>
      <c r="H130" s="84">
        <v>2706</v>
      </c>
      <c r="I130" s="84">
        <v>3153</v>
      </c>
      <c r="J130" s="84">
        <v>3614</v>
      </c>
      <c r="K130" s="84">
        <v>1201</v>
      </c>
      <c r="L130" s="84">
        <v>2504</v>
      </c>
      <c r="M130" s="84">
        <v>2887</v>
      </c>
      <c r="N130" s="84">
        <v>3289</v>
      </c>
      <c r="O130" s="84">
        <v>3279</v>
      </c>
      <c r="P130" s="84">
        <v>2879</v>
      </c>
      <c r="Q130" s="84">
        <v>3280</v>
      </c>
      <c r="R130" s="84">
        <v>3719</v>
      </c>
      <c r="S130" s="84">
        <v>4241</v>
      </c>
      <c r="T130" s="84">
        <v>4190</v>
      </c>
      <c r="U130" s="84">
        <v>4018</v>
      </c>
      <c r="V130" s="84">
        <v>4237</v>
      </c>
      <c r="W130" s="84">
        <v>4490</v>
      </c>
      <c r="X130" s="84">
        <v>4030</v>
      </c>
      <c r="Y130" s="84">
        <v>4573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59</v>
      </c>
      <c r="P131" s="84">
        <v>12</v>
      </c>
      <c r="Q131" s="84">
        <v>2</v>
      </c>
      <c r="R131" s="84">
        <v>5</v>
      </c>
      <c r="S131" s="84">
        <v>8</v>
      </c>
      <c r="T131" s="84">
        <v>13</v>
      </c>
      <c r="U131" s="84">
        <v>45</v>
      </c>
      <c r="V131" s="84">
        <v>36</v>
      </c>
      <c r="W131" s="84">
        <v>30</v>
      </c>
      <c r="X131" s="84">
        <v>5</v>
      </c>
      <c r="Y131" s="84">
        <v>4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X132" s="84">
        <v>0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1</v>
      </c>
      <c r="I133" s="84">
        <v>1</v>
      </c>
      <c r="J133" s="84">
        <v>0</v>
      </c>
      <c r="K133" s="84">
        <v>5</v>
      </c>
      <c r="L133" s="84">
        <v>0</v>
      </c>
      <c r="M133" s="84">
        <v>0</v>
      </c>
      <c r="N133" s="84">
        <v>20</v>
      </c>
      <c r="O133" s="84">
        <v>44</v>
      </c>
      <c r="P133" s="84">
        <v>21</v>
      </c>
      <c r="Q133" s="84">
        <v>23</v>
      </c>
      <c r="R133" s="84">
        <v>16</v>
      </c>
      <c r="S133" s="84">
        <v>39</v>
      </c>
      <c r="T133" s="84">
        <v>54</v>
      </c>
      <c r="U133" s="84">
        <v>86</v>
      </c>
      <c r="V133" s="84">
        <v>61</v>
      </c>
      <c r="W133" s="84">
        <v>125</v>
      </c>
      <c r="X133" s="84">
        <v>276</v>
      </c>
      <c r="Y133" s="84">
        <v>458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83</v>
      </c>
      <c r="C134" s="110">
        <f t="shared" si="191"/>
        <v>455</v>
      </c>
      <c r="D134" s="110">
        <f t="shared" si="191"/>
        <v>160</v>
      </c>
      <c r="E134" s="110">
        <f t="shared" si="191"/>
        <v>366</v>
      </c>
      <c r="F134" s="110">
        <f t="shared" si="191"/>
        <v>341</v>
      </c>
      <c r="G134" s="110">
        <f t="shared" si="191"/>
        <v>901</v>
      </c>
      <c r="H134" s="110">
        <f t="shared" si="191"/>
        <v>252</v>
      </c>
      <c r="I134" s="110">
        <f t="shared" si="191"/>
        <v>388</v>
      </c>
      <c r="J134" s="110">
        <f t="shared" si="191"/>
        <v>1210</v>
      </c>
      <c r="K134" s="110">
        <f t="shared" si="191"/>
        <v>1040</v>
      </c>
      <c r="L134" s="110">
        <f t="shared" ref="L134" si="192">SUM(L135:L136)</f>
        <v>617</v>
      </c>
      <c r="M134" s="110">
        <f t="shared" ref="M134:V134" si="193">SUM(M135:M136)</f>
        <v>575</v>
      </c>
      <c r="N134" s="110">
        <f t="shared" si="193"/>
        <v>318</v>
      </c>
      <c r="O134" s="110">
        <f t="shared" si="193"/>
        <v>156</v>
      </c>
      <c r="P134" s="110">
        <f t="shared" si="193"/>
        <v>345</v>
      </c>
      <c r="Q134" s="110">
        <f t="shared" si="193"/>
        <v>432</v>
      </c>
      <c r="R134" s="110">
        <f t="shared" si="193"/>
        <v>647</v>
      </c>
      <c r="S134" s="110">
        <f t="shared" si="193"/>
        <v>757</v>
      </c>
      <c r="T134" s="110">
        <f t="shared" si="193"/>
        <v>519</v>
      </c>
      <c r="U134" s="110">
        <f t="shared" si="193"/>
        <v>776</v>
      </c>
      <c r="V134" s="110">
        <f t="shared" si="193"/>
        <v>885</v>
      </c>
      <c r="W134" s="110">
        <f t="shared" ref="W134:Y134" si="194">SUM(W135:W136)</f>
        <v>539</v>
      </c>
      <c r="X134" s="110">
        <f t="shared" si="194"/>
        <v>630</v>
      </c>
      <c r="Y134" s="110">
        <f t="shared" si="194"/>
        <v>417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360</v>
      </c>
      <c r="D135" s="102">
        <v>70</v>
      </c>
      <c r="E135" s="102">
        <v>293</v>
      </c>
      <c r="F135" s="102">
        <v>108</v>
      </c>
      <c r="G135" s="102">
        <v>793</v>
      </c>
      <c r="H135" s="102">
        <v>212</v>
      </c>
      <c r="I135" s="102">
        <v>224</v>
      </c>
      <c r="J135" s="102">
        <v>956</v>
      </c>
      <c r="K135" s="102">
        <v>1040</v>
      </c>
      <c r="L135" s="102">
        <v>480</v>
      </c>
      <c r="M135" s="102">
        <v>492</v>
      </c>
      <c r="N135" s="102">
        <v>66</v>
      </c>
      <c r="O135" s="102">
        <v>61</v>
      </c>
      <c r="P135" s="102">
        <v>164</v>
      </c>
      <c r="Q135" s="102">
        <v>432</v>
      </c>
      <c r="R135" s="102">
        <v>466</v>
      </c>
      <c r="S135" s="102">
        <v>581</v>
      </c>
      <c r="T135" s="102">
        <v>464</v>
      </c>
      <c r="U135" s="102">
        <v>625</v>
      </c>
      <c r="V135" s="102">
        <v>866</v>
      </c>
      <c r="W135" s="102">
        <v>331</v>
      </c>
      <c r="X135" s="102">
        <v>492</v>
      </c>
      <c r="Y135" s="102">
        <v>417</v>
      </c>
      <c r="DA135" s="175" t="s">
        <v>550</v>
      </c>
    </row>
    <row r="136" spans="1:105" ht="11.45" customHeight="1" x14ac:dyDescent="0.25">
      <c r="A136" s="138" t="s">
        <v>116</v>
      </c>
      <c r="B136" s="86">
        <v>83</v>
      </c>
      <c r="C136" s="86">
        <v>95</v>
      </c>
      <c r="D136" s="86">
        <v>90</v>
      </c>
      <c r="E136" s="86">
        <v>73</v>
      </c>
      <c r="F136" s="86">
        <v>233</v>
      </c>
      <c r="G136" s="86">
        <v>108</v>
      </c>
      <c r="H136" s="86">
        <v>40</v>
      </c>
      <c r="I136" s="86">
        <v>164</v>
      </c>
      <c r="J136" s="86">
        <v>254</v>
      </c>
      <c r="K136" s="86">
        <v>0</v>
      </c>
      <c r="L136" s="86">
        <v>137</v>
      </c>
      <c r="M136" s="86">
        <v>83</v>
      </c>
      <c r="N136" s="86">
        <v>252</v>
      </c>
      <c r="O136" s="86">
        <v>95</v>
      </c>
      <c r="P136" s="86">
        <v>181</v>
      </c>
      <c r="Q136" s="86">
        <v>0</v>
      </c>
      <c r="R136" s="86">
        <v>181</v>
      </c>
      <c r="S136" s="86">
        <v>176</v>
      </c>
      <c r="T136" s="86">
        <v>55</v>
      </c>
      <c r="U136" s="86">
        <v>151</v>
      </c>
      <c r="V136" s="86">
        <v>19</v>
      </c>
      <c r="W136" s="86">
        <v>208</v>
      </c>
      <c r="X136" s="86">
        <v>138</v>
      </c>
      <c r="Y136" s="86">
        <v>0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1.491356967786202</v>
      </c>
      <c r="C141" s="32">
        <f t="shared" si="195"/>
        <v>1.4801333535833194</v>
      </c>
      <c r="D141" s="32">
        <f t="shared" si="195"/>
        <v>1.4756095125717523</v>
      </c>
      <c r="E141" s="32">
        <f t="shared" si="195"/>
        <v>1.4627796919510214</v>
      </c>
      <c r="F141" s="32">
        <f t="shared" si="195"/>
        <v>1.4521556993806968</v>
      </c>
      <c r="G141" s="32">
        <f t="shared" si="195"/>
        <v>1.4388961110312759</v>
      </c>
      <c r="H141" s="32">
        <f t="shared" si="195"/>
        <v>1.4381642876355751</v>
      </c>
      <c r="I141" s="32">
        <f t="shared" si="195"/>
        <v>1.4430936819123392</v>
      </c>
      <c r="J141" s="32">
        <f t="shared" si="195"/>
        <v>1.4383915305720767</v>
      </c>
      <c r="K141" s="32">
        <f t="shared" si="195"/>
        <v>1.4370665246995433</v>
      </c>
      <c r="L141" s="32">
        <f t="shared" ref="L141" si="196">IF(L4=0,0,L4/L31)</f>
        <v>1.4477947497140626</v>
      </c>
      <c r="M141" s="32">
        <f t="shared" ref="M141:V141" si="197">IF(M4=0,0,M4/M31)</f>
        <v>1.4495268183911885</v>
      </c>
      <c r="N141" s="32">
        <f t="shared" si="197"/>
        <v>1.4451945645996482</v>
      </c>
      <c r="O141" s="32">
        <f t="shared" si="197"/>
        <v>1.4429693868328908</v>
      </c>
      <c r="P141" s="32">
        <f t="shared" si="197"/>
        <v>1.4369594066813469</v>
      </c>
      <c r="Q141" s="32">
        <f t="shared" si="197"/>
        <v>1.4580351833441834</v>
      </c>
      <c r="R141" s="32">
        <f t="shared" si="197"/>
        <v>1.4383529273105977</v>
      </c>
      <c r="S141" s="32">
        <f t="shared" si="197"/>
        <v>1.4330084536830203</v>
      </c>
      <c r="T141" s="32">
        <f t="shared" si="197"/>
        <v>1.412445297988866</v>
      </c>
      <c r="U141" s="32">
        <f t="shared" si="197"/>
        <v>1.4023121556719531</v>
      </c>
      <c r="V141" s="32">
        <f t="shared" si="197"/>
        <v>1.2715660688739163</v>
      </c>
      <c r="W141" s="32">
        <f t="shared" ref="W141:Y141" si="198">IF(W4=0,0,W4/W31)</f>
        <v>1.3146131346471113</v>
      </c>
      <c r="X141" s="32">
        <f t="shared" si="198"/>
        <v>1.369102323470176</v>
      </c>
      <c r="Y141" s="32">
        <f t="shared" si="198"/>
        <v>1.3952916235828234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1.1549472685768511</v>
      </c>
      <c r="C142" s="141">
        <v>1.1549251164250132</v>
      </c>
      <c r="D142" s="141">
        <v>1.1547244330057382</v>
      </c>
      <c r="E142" s="141">
        <v>1.1552093820866829</v>
      </c>
      <c r="F142" s="141">
        <v>1.1553640856511078</v>
      </c>
      <c r="G142" s="141">
        <v>1.1543178727366701</v>
      </c>
      <c r="H142" s="141">
        <v>1.1546398637822315</v>
      </c>
      <c r="I142" s="141">
        <v>1.1564931393319675</v>
      </c>
      <c r="J142" s="141">
        <v>1.1571017737935942</v>
      </c>
      <c r="K142" s="141">
        <v>1.1576570562583655</v>
      </c>
      <c r="L142" s="141">
        <v>1.15566821133542</v>
      </c>
      <c r="M142" s="141">
        <v>1.1546558434345868</v>
      </c>
      <c r="N142" s="141">
        <v>1.1475295413899489</v>
      </c>
      <c r="O142" s="141">
        <v>1.1469392088128179</v>
      </c>
      <c r="P142" s="141">
        <v>1.1494295322312342</v>
      </c>
      <c r="Q142" s="141">
        <v>1.1514161199072459</v>
      </c>
      <c r="R142" s="141">
        <v>1.1519831604499042</v>
      </c>
      <c r="S142" s="141">
        <v>1.1513706074929511</v>
      </c>
      <c r="T142" s="141">
        <v>1.1507901997221006</v>
      </c>
      <c r="U142" s="141">
        <v>1.1514425840296338</v>
      </c>
      <c r="V142" s="141">
        <v>1.1502475537305195</v>
      </c>
      <c r="W142" s="141">
        <v>1.1507635684329809</v>
      </c>
      <c r="X142" s="141">
        <v>1.1507854970222515</v>
      </c>
      <c r="Y142" s="141">
        <v>1.152143437043645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1.3575991793509188</v>
      </c>
      <c r="C143" s="130">
        <f t="shared" si="199"/>
        <v>1.3441576033177407</v>
      </c>
      <c r="D143" s="130">
        <f t="shared" si="199"/>
        <v>1.3308491121957833</v>
      </c>
      <c r="E143" s="130">
        <f t="shared" si="199"/>
        <v>1.3176723883126567</v>
      </c>
      <c r="F143" s="130">
        <f t="shared" si="199"/>
        <v>1.3046261270422339</v>
      </c>
      <c r="G143" s="130">
        <f t="shared" si="199"/>
        <v>1.2917090366754795</v>
      </c>
      <c r="H143" s="130">
        <f t="shared" si="199"/>
        <v>1.2917090366754798</v>
      </c>
      <c r="I143" s="130">
        <f t="shared" si="199"/>
        <v>1.2917090366754791</v>
      </c>
      <c r="J143" s="130">
        <f t="shared" si="199"/>
        <v>1.2814513100499758</v>
      </c>
      <c r="K143" s="130">
        <f t="shared" si="199"/>
        <v>1.2814513100499754</v>
      </c>
      <c r="L143" s="130">
        <f t="shared" ref="L143" si="200">IF(L6=0,0,L6/L33)</f>
        <v>1.2814508163273091</v>
      </c>
      <c r="M143" s="130">
        <f t="shared" ref="M143:V143" si="201">IF(M6=0,0,M6/M33)</f>
        <v>1.2773119424164856</v>
      </c>
      <c r="N143" s="130">
        <f t="shared" si="201"/>
        <v>1.2738568111654673</v>
      </c>
      <c r="O143" s="130">
        <f t="shared" si="201"/>
        <v>1.2710474118456105</v>
      </c>
      <c r="P143" s="130">
        <f t="shared" si="201"/>
        <v>1.2698583494670421</v>
      </c>
      <c r="Q143" s="130">
        <f t="shared" si="201"/>
        <v>1.284575227304859</v>
      </c>
      <c r="R143" s="130">
        <f t="shared" si="201"/>
        <v>1.2687565876601912</v>
      </c>
      <c r="S143" s="130">
        <f t="shared" si="201"/>
        <v>1.2619626851682497</v>
      </c>
      <c r="T143" s="130">
        <f t="shared" si="201"/>
        <v>1.243240405399832</v>
      </c>
      <c r="U143" s="130">
        <f t="shared" si="201"/>
        <v>1.2312524030005261</v>
      </c>
      <c r="V143" s="130">
        <f t="shared" si="201"/>
        <v>1.1511004006299352</v>
      </c>
      <c r="W143" s="130">
        <f t="shared" ref="W143:Y143" si="202">IF(W6=0,0,W6/W33)</f>
        <v>1.1889678750254737</v>
      </c>
      <c r="X143" s="130">
        <f t="shared" si="202"/>
        <v>1.1995212091370315</v>
      </c>
      <c r="Y143" s="130">
        <f t="shared" si="202"/>
        <v>1.21173143606692</v>
      </c>
      <c r="DA143" s="176" t="s">
        <v>554</v>
      </c>
    </row>
    <row r="144" spans="1:105" ht="11.45" customHeight="1" x14ac:dyDescent="0.25">
      <c r="A144" s="111" t="s">
        <v>110</v>
      </c>
      <c r="B144" s="96">
        <v>1.3400648517839804</v>
      </c>
      <c r="C144" s="96">
        <v>1.3248306888199068</v>
      </c>
      <c r="D144" s="96">
        <v>1.3097378282250252</v>
      </c>
      <c r="E144" s="96">
        <v>1.2950116683053159</v>
      </c>
      <c r="F144" s="96">
        <v>1.2799545347693919</v>
      </c>
      <c r="G144" s="96">
        <v>1.2651945453168385</v>
      </c>
      <c r="H144" s="96">
        <v>1.2629869681253807</v>
      </c>
      <c r="I144" s="96">
        <v>1.261665286162011</v>
      </c>
      <c r="J144" s="96">
        <v>1.2508428151528919</v>
      </c>
      <c r="K144" s="96">
        <v>1.2498672022598698</v>
      </c>
      <c r="L144" s="96">
        <v>1.2492059783718763</v>
      </c>
      <c r="M144" s="96">
        <v>1.2450447368236899</v>
      </c>
      <c r="N144" s="96">
        <v>1.2412550741367037</v>
      </c>
      <c r="O144" s="96">
        <v>1.2379879172133179</v>
      </c>
      <c r="P144" s="96">
        <v>1.236444375612834</v>
      </c>
      <c r="Q144" s="96">
        <v>1.2506901088454569</v>
      </c>
      <c r="R144" s="96">
        <v>1.235810559369986</v>
      </c>
      <c r="S144" s="96">
        <v>1.230359042213329</v>
      </c>
      <c r="T144" s="96">
        <v>1.2134851217138991</v>
      </c>
      <c r="U144" s="96">
        <v>1.2035091347359728</v>
      </c>
      <c r="V144" s="96">
        <v>1.1266562343111768</v>
      </c>
      <c r="W144" s="96">
        <v>1.1662427753960749</v>
      </c>
      <c r="X144" s="96">
        <v>1.1792408157877028</v>
      </c>
      <c r="Y144" s="96">
        <v>1.1956357038605951</v>
      </c>
      <c r="DA144" s="171" t="s">
        <v>555</v>
      </c>
    </row>
    <row r="145" spans="1:105" ht="11.45" customHeight="1" x14ac:dyDescent="0.25">
      <c r="A145" s="111" t="s">
        <v>111</v>
      </c>
      <c r="B145" s="96">
        <v>1.3952573211562622</v>
      </c>
      <c r="C145" s="96">
        <v>1.3793957176084826</v>
      </c>
      <c r="D145" s="96">
        <v>1.363681236168151</v>
      </c>
      <c r="E145" s="96">
        <v>1.3483485584897996</v>
      </c>
      <c r="F145" s="96">
        <v>1.3326712755779637</v>
      </c>
      <c r="G145" s="96">
        <v>1.3173033750495304</v>
      </c>
      <c r="H145" s="96">
        <v>1.315004875663998</v>
      </c>
      <c r="I145" s="96">
        <v>1.3136287583565589</v>
      </c>
      <c r="J145" s="96">
        <v>1.3023605485468821</v>
      </c>
      <c r="K145" s="96">
        <v>1.3013447536547236</v>
      </c>
      <c r="L145" s="96">
        <v>1.3006562963241566</v>
      </c>
      <c r="M145" s="96">
        <v>1.2963236681476338</v>
      </c>
      <c r="N145" s="96">
        <v>1.2923779228341206</v>
      </c>
      <c r="O145" s="96">
        <v>1.2889762034243091</v>
      </c>
      <c r="P145" s="96">
        <v>1.2873690888762945</v>
      </c>
      <c r="Q145" s="96">
        <v>1.3022015528138389</v>
      </c>
      <c r="R145" s="96">
        <v>1.2867091680135661</v>
      </c>
      <c r="S145" s="96">
        <v>1.2810331223997222</v>
      </c>
      <c r="T145" s="96">
        <v>1.263464225579471</v>
      </c>
      <c r="U145" s="96">
        <v>1.2530773634450143</v>
      </c>
      <c r="V145" s="96">
        <v>1.1730591674397695</v>
      </c>
      <c r="W145" s="96">
        <v>1.2142761363009611</v>
      </c>
      <c r="X145" s="96">
        <v>1.2278095194002643</v>
      </c>
      <c r="Y145" s="96">
        <v>1.2448796541648524</v>
      </c>
      <c r="DA145" s="171" t="s">
        <v>556</v>
      </c>
    </row>
    <row r="146" spans="1:105" ht="11.45" customHeight="1" x14ac:dyDescent="0.25">
      <c r="A146" s="111" t="s">
        <v>112</v>
      </c>
      <c r="B146" s="96">
        <v>1.3168712039703909</v>
      </c>
      <c r="C146" s="96">
        <v>1.3038328752182085</v>
      </c>
      <c r="D146" s="96">
        <v>1.2909236388299097</v>
      </c>
      <c r="E146" s="96">
        <v>1.278142216663277</v>
      </c>
      <c r="F146" s="96">
        <v>1.2654873432309668</v>
      </c>
      <c r="G146" s="96">
        <v>1.2529577655752153</v>
      </c>
      <c r="H146" s="96">
        <v>1.2529577655752155</v>
      </c>
      <c r="I146" s="96">
        <v>1.2529577655752147</v>
      </c>
      <c r="J146" s="96">
        <v>1.2430077707484766</v>
      </c>
      <c r="K146" s="96">
        <v>1.2430077707484763</v>
      </c>
      <c r="L146" s="96">
        <v>1.2430072918374895</v>
      </c>
      <c r="M146" s="96">
        <v>1.238992584143991</v>
      </c>
      <c r="N146" s="96">
        <v>1.2356411068305035</v>
      </c>
      <c r="O146" s="96">
        <v>1.2329159894902422</v>
      </c>
      <c r="P146" s="96">
        <v>1.231762598983031</v>
      </c>
      <c r="Q146" s="96">
        <v>1.2460379704857132</v>
      </c>
      <c r="R146" s="96">
        <v>1.2306938900303854</v>
      </c>
      <c r="S146" s="96">
        <v>1.2241038046132022</v>
      </c>
      <c r="T146" s="96">
        <v>1.2059431932378371</v>
      </c>
      <c r="U146" s="96">
        <v>1.1943148309105103</v>
      </c>
      <c r="V146" s="96">
        <v>1.1165673886110372</v>
      </c>
      <c r="W146" s="96">
        <v>1.1532988387747096</v>
      </c>
      <c r="X146" s="96">
        <v>1.1635355728629206</v>
      </c>
      <c r="Y146" s="96">
        <v>1.1753794929849126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X147" s="96">
        <v>0</v>
      </c>
      <c r="Y147" s="96">
        <v>0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1.2356411068305035</v>
      </c>
      <c r="O148" s="96">
        <v>1.2329159894902422</v>
      </c>
      <c r="P148" s="96">
        <v>1.231762598983031</v>
      </c>
      <c r="Q148" s="96">
        <v>1.2460379704857132</v>
      </c>
      <c r="R148" s="96">
        <v>1.2306938900303854</v>
      </c>
      <c r="S148" s="96">
        <v>1.2241038046132022</v>
      </c>
      <c r="T148" s="96">
        <v>1.2059431932378371</v>
      </c>
      <c r="U148" s="96">
        <v>1.1943148309105103</v>
      </c>
      <c r="V148" s="96">
        <v>1.1165673886110372</v>
      </c>
      <c r="W148" s="96">
        <v>1.1532988387747096</v>
      </c>
      <c r="X148" s="96">
        <v>1.1635355728629206</v>
      </c>
      <c r="Y148" s="96">
        <v>1.1753794929849126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1.1533061790449786</v>
      </c>
      <c r="K149" s="96">
        <v>1.1533061790449781</v>
      </c>
      <c r="L149" s="96">
        <v>1.1533057346945781</v>
      </c>
      <c r="M149" s="96">
        <v>1.149580748174837</v>
      </c>
      <c r="N149" s="96">
        <v>1.1464711300489208</v>
      </c>
      <c r="O149" s="96">
        <v>1.1439426706610496</v>
      </c>
      <c r="P149" s="96">
        <v>1.1428725145203382</v>
      </c>
      <c r="Q149" s="96">
        <v>1.1561177045743731</v>
      </c>
      <c r="R149" s="96">
        <v>1.141880928894172</v>
      </c>
      <c r="S149" s="96">
        <v>1.1357664166514247</v>
      </c>
      <c r="T149" s="96">
        <v>1.1189163648598488</v>
      </c>
      <c r="U149" s="96">
        <v>1.1081271627004734</v>
      </c>
      <c r="V149" s="96">
        <v>1.0359903605669418</v>
      </c>
      <c r="W149" s="96">
        <v>1.0700710875229267</v>
      </c>
      <c r="X149" s="96">
        <v>1.0795690882233284</v>
      </c>
      <c r="Y149" s="96">
        <v>1.0905582924602282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15.975161212885762</v>
      </c>
      <c r="C150" s="130">
        <f t="shared" si="203"/>
        <v>15.56015516095024</v>
      </c>
      <c r="D150" s="130">
        <f t="shared" si="203"/>
        <v>15.834099578947365</v>
      </c>
      <c r="E150" s="130">
        <f t="shared" si="203"/>
        <v>15.850091626697015</v>
      </c>
      <c r="F150" s="130">
        <f t="shared" si="203"/>
        <v>16.238392777979257</v>
      </c>
      <c r="G150" s="130">
        <f t="shared" si="203"/>
        <v>16.252386452152336</v>
      </c>
      <c r="H150" s="130">
        <f t="shared" si="203"/>
        <v>16.487649119220613</v>
      </c>
      <c r="I150" s="130">
        <f t="shared" si="203"/>
        <v>16.671698342802618</v>
      </c>
      <c r="J150" s="130">
        <f t="shared" si="203"/>
        <v>16.894844211012462</v>
      </c>
      <c r="K150" s="130">
        <f t="shared" si="203"/>
        <v>16.289981798344947</v>
      </c>
      <c r="L150" s="130">
        <f t="shared" ref="L150" si="204">IF(L13=0,0,L13/L40)</f>
        <v>16.427419354838701</v>
      </c>
      <c r="M150" s="130">
        <f t="shared" ref="M150:V150" si="205">IF(M13=0,0,M13/M40)</f>
        <v>16.851018675721551</v>
      </c>
      <c r="N150" s="130">
        <f t="shared" si="205"/>
        <v>17.204018109790582</v>
      </c>
      <c r="O150" s="130">
        <f t="shared" si="205"/>
        <v>17.53190803958972</v>
      </c>
      <c r="P150" s="130">
        <f t="shared" si="205"/>
        <v>17.87294257011699</v>
      </c>
      <c r="Q150" s="130">
        <f t="shared" si="205"/>
        <v>18.34496839594204</v>
      </c>
      <c r="R150" s="130">
        <f t="shared" si="205"/>
        <v>18.342110692400478</v>
      </c>
      <c r="S150" s="130">
        <f t="shared" si="205"/>
        <v>18.336332922994188</v>
      </c>
      <c r="T150" s="130">
        <f t="shared" si="205"/>
        <v>18.332397464909942</v>
      </c>
      <c r="U150" s="130">
        <f t="shared" si="205"/>
        <v>18.324806581626131</v>
      </c>
      <c r="V150" s="130">
        <f t="shared" si="205"/>
        <v>12.533220296867885</v>
      </c>
      <c r="W150" s="130">
        <f t="shared" ref="W150:Y150" si="206">IF(W13=0,0,W13/W40)</f>
        <v>13.47158104125864</v>
      </c>
      <c r="X150" s="130">
        <f t="shared" si="206"/>
        <v>18.395509716245829</v>
      </c>
      <c r="Y150" s="130">
        <f t="shared" si="206"/>
        <v>20.522597732761998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7.0509221018884407</v>
      </c>
      <c r="U151" s="97">
        <v>7.0480025313946655</v>
      </c>
      <c r="V151" s="97">
        <v>6.4820469344949183</v>
      </c>
      <c r="W151" s="97">
        <v>6.5181377323561014</v>
      </c>
      <c r="X151" s="97">
        <v>7.0751960447099327</v>
      </c>
      <c r="Y151" s="97">
        <v>7.893306820293077</v>
      </c>
      <c r="DA151" s="175" t="s">
        <v>562</v>
      </c>
    </row>
    <row r="152" spans="1:105" ht="11.45" customHeight="1" x14ac:dyDescent="0.25">
      <c r="A152" s="111" t="s">
        <v>111</v>
      </c>
      <c r="B152" s="97">
        <v>15.975161212885762</v>
      </c>
      <c r="C152" s="97">
        <v>15.56015516095024</v>
      </c>
      <c r="D152" s="97">
        <v>15.834099578947365</v>
      </c>
      <c r="E152" s="97">
        <v>15.850091626697013</v>
      </c>
      <c r="F152" s="97">
        <v>16.238392777979257</v>
      </c>
      <c r="G152" s="97">
        <v>16.252386452152336</v>
      </c>
      <c r="H152" s="97">
        <v>16.487649119220613</v>
      </c>
      <c r="I152" s="97">
        <v>16.671698342802614</v>
      </c>
      <c r="J152" s="97">
        <v>16.894844211012462</v>
      </c>
      <c r="K152" s="97">
        <v>16.289981798344947</v>
      </c>
      <c r="L152" s="97">
        <v>16.427419354838701</v>
      </c>
      <c r="M152" s="97">
        <v>16.851018675721551</v>
      </c>
      <c r="N152" s="97">
        <v>17.204018109790582</v>
      </c>
      <c r="O152" s="97">
        <v>17.53190803958972</v>
      </c>
      <c r="P152" s="97">
        <v>17.872942570116994</v>
      </c>
      <c r="Q152" s="97">
        <v>18.344968395942043</v>
      </c>
      <c r="R152" s="97">
        <v>18.342110692400478</v>
      </c>
      <c r="S152" s="97">
        <v>18.336332922994188</v>
      </c>
      <c r="T152" s="97">
        <v>18.334142914796718</v>
      </c>
      <c r="U152" s="97">
        <v>18.326423400988194</v>
      </c>
      <c r="V152" s="97">
        <v>12.534033527368166</v>
      </c>
      <c r="W152" s="97">
        <v>13.473335896905509</v>
      </c>
      <c r="X152" s="97">
        <v>18.399437428397288</v>
      </c>
      <c r="Y152" s="97">
        <v>20.526689106310837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X154" s="97">
        <v>0</v>
      </c>
      <c r="Y154" s="97">
        <v>0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15.850091626697015</v>
      </c>
      <c r="F155" s="97">
        <v>16.238392777979257</v>
      </c>
      <c r="G155" s="97">
        <v>16.252386452152336</v>
      </c>
      <c r="H155" s="97">
        <v>16.487649119220613</v>
      </c>
      <c r="I155" s="97">
        <v>16.671698342802618</v>
      </c>
      <c r="J155" s="97">
        <v>16.894844211012458</v>
      </c>
      <c r="K155" s="97">
        <v>16.289981798344947</v>
      </c>
      <c r="L155" s="97">
        <v>16.427419354838698</v>
      </c>
      <c r="M155" s="97">
        <v>16.851018675721551</v>
      </c>
      <c r="N155" s="97">
        <v>17.204018109790582</v>
      </c>
      <c r="O155" s="97">
        <v>17.53190803958972</v>
      </c>
      <c r="P155" s="97">
        <v>17.87294257011699</v>
      </c>
      <c r="Q155" s="97">
        <v>18.34496839594204</v>
      </c>
      <c r="R155" s="97">
        <v>18.342110692400478</v>
      </c>
      <c r="S155" s="97">
        <v>18.336332922994188</v>
      </c>
      <c r="T155" s="97">
        <v>18.334142914796718</v>
      </c>
      <c r="U155" s="97">
        <v>18.326423400988194</v>
      </c>
      <c r="V155" s="97">
        <v>12.534033527368166</v>
      </c>
      <c r="W155" s="97">
        <v>13.473335896905509</v>
      </c>
      <c r="X155" s="97">
        <v>18.399437428397281</v>
      </c>
      <c r="Y155" s="97">
        <v>20.526689106310833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3.6471651259923008</v>
      </c>
      <c r="C156" s="32">
        <f t="shared" si="207"/>
        <v>3.7108214241521997</v>
      </c>
      <c r="D156" s="32">
        <f t="shared" si="207"/>
        <v>3.7675452124720366</v>
      </c>
      <c r="E156" s="32">
        <f t="shared" si="207"/>
        <v>3.6806990638163004</v>
      </c>
      <c r="F156" s="32">
        <f t="shared" si="207"/>
        <v>3.8362514999780184</v>
      </c>
      <c r="G156" s="32">
        <f t="shared" si="207"/>
        <v>3.7150467925199662</v>
      </c>
      <c r="H156" s="32">
        <f t="shared" si="207"/>
        <v>3.5931721510365939</v>
      </c>
      <c r="I156" s="32">
        <f t="shared" si="207"/>
        <v>3.5517312822640768</v>
      </c>
      <c r="J156" s="32">
        <f t="shared" si="207"/>
        <v>3.6535956411479851</v>
      </c>
      <c r="K156" s="32">
        <f t="shared" si="207"/>
        <v>3.5192121850839992</v>
      </c>
      <c r="L156" s="32">
        <f t="shared" ref="L156" si="208">IF(L19=0,0,L19/L46)</f>
        <v>3.6003478244688534</v>
      </c>
      <c r="M156" s="32">
        <f t="shared" ref="M156:V156" si="209">IF(M19=0,0,M19/M46)</f>
        <v>3.5344380042362911</v>
      </c>
      <c r="N156" s="32">
        <f t="shared" si="209"/>
        <v>4.0337490931936024</v>
      </c>
      <c r="O156" s="32">
        <f t="shared" si="209"/>
        <v>3.6855409012233751</v>
      </c>
      <c r="P156" s="32">
        <f t="shared" si="209"/>
        <v>3.9770785744184654</v>
      </c>
      <c r="Q156" s="32">
        <f t="shared" si="209"/>
        <v>3.4629238530168616</v>
      </c>
      <c r="R156" s="32">
        <f t="shared" si="209"/>
        <v>3.5122943503637032</v>
      </c>
      <c r="S156" s="32">
        <f t="shared" si="209"/>
        <v>3.4700502344392405</v>
      </c>
      <c r="T156" s="32">
        <f t="shared" si="209"/>
        <v>2.8940155531257479</v>
      </c>
      <c r="U156" s="32">
        <f t="shared" si="209"/>
        <v>2.9049487525792661</v>
      </c>
      <c r="V156" s="32">
        <f t="shared" si="209"/>
        <v>2.6195818173421972</v>
      </c>
      <c r="W156" s="32">
        <f t="shared" ref="W156:Y156" si="210">IF(W19=0,0,W19/W46)</f>
        <v>2.7313154311806911</v>
      </c>
      <c r="X156" s="32">
        <f t="shared" si="210"/>
        <v>2.9074010889661226</v>
      </c>
      <c r="Y156" s="32">
        <f t="shared" si="210"/>
        <v>2.640865425732104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0.25465730841025008</v>
      </c>
      <c r="C157" s="141">
        <f t="shared" si="211"/>
        <v>0.25719399105469465</v>
      </c>
      <c r="D157" s="141">
        <f t="shared" si="211"/>
        <v>0.25811149100426239</v>
      </c>
      <c r="E157" s="141">
        <f t="shared" si="211"/>
        <v>0.25936394436292592</v>
      </c>
      <c r="F157" s="141">
        <f t="shared" si="211"/>
        <v>0.26099442873403716</v>
      </c>
      <c r="G157" s="141">
        <f t="shared" si="211"/>
        <v>0.2621657957694476</v>
      </c>
      <c r="H157" s="141">
        <f t="shared" si="211"/>
        <v>0.26281917044454267</v>
      </c>
      <c r="I157" s="141">
        <f t="shared" si="211"/>
        <v>0.26253970150755679</v>
      </c>
      <c r="J157" s="141">
        <f t="shared" si="211"/>
        <v>0.26356838489197965</v>
      </c>
      <c r="K157" s="141">
        <f t="shared" si="211"/>
        <v>0.2654364212171379</v>
      </c>
      <c r="L157" s="141">
        <f t="shared" ref="L157" si="212">IF(L20=0,0,L20/L47)</f>
        <v>0.26536293081926454</v>
      </c>
      <c r="M157" s="141">
        <f t="shared" ref="M157:V157" si="213">IF(M20=0,0,M20/M47)</f>
        <v>0.26529202976891664</v>
      </c>
      <c r="N157" s="141">
        <f t="shared" si="213"/>
        <v>0.26689411233190774</v>
      </c>
      <c r="O157" s="141">
        <f t="shared" si="213"/>
        <v>0.26839288056275329</v>
      </c>
      <c r="P157" s="141">
        <f t="shared" si="213"/>
        <v>0.26707444056652374</v>
      </c>
      <c r="Q157" s="141">
        <f t="shared" si="213"/>
        <v>0.26677132083429278</v>
      </c>
      <c r="R157" s="141">
        <f t="shared" si="213"/>
        <v>0.26632749949364953</v>
      </c>
      <c r="S157" s="141">
        <f t="shared" si="213"/>
        <v>0.26758705652439774</v>
      </c>
      <c r="T157" s="141">
        <f t="shared" si="213"/>
        <v>0.26804048363634919</v>
      </c>
      <c r="U157" s="141">
        <f t="shared" si="213"/>
        <v>0.26895272349771476</v>
      </c>
      <c r="V157" s="141">
        <f t="shared" si="213"/>
        <v>0.27058505861333337</v>
      </c>
      <c r="W157" s="141">
        <f t="shared" ref="W157:Y157" si="214">IF(W20=0,0,W20/W47)</f>
        <v>0.2703724009398592</v>
      </c>
      <c r="X157" s="141">
        <f t="shared" si="214"/>
        <v>0.27722620234530337</v>
      </c>
      <c r="Y157" s="141">
        <f t="shared" si="214"/>
        <v>0.2787328539141497</v>
      </c>
      <c r="DA157" s="174" t="s">
        <v>568</v>
      </c>
    </row>
    <row r="158" spans="1:105" ht="11.45" customHeight="1" x14ac:dyDescent="0.25">
      <c r="A158" s="111" t="s">
        <v>110</v>
      </c>
      <c r="B158" s="96">
        <v>0.20474503960180085</v>
      </c>
      <c r="C158" s="96">
        <v>0.2058751596778336</v>
      </c>
      <c r="D158" s="96">
        <v>0.20598505478085452</v>
      </c>
      <c r="E158" s="96">
        <v>0.20662740147581068</v>
      </c>
      <c r="F158" s="96">
        <v>0.20755674911693048</v>
      </c>
      <c r="G158" s="96">
        <v>0.208200740722567</v>
      </c>
      <c r="H158" s="96">
        <v>0.20858286955829572</v>
      </c>
      <c r="I158" s="96">
        <v>0.2083011172607003</v>
      </c>
      <c r="J158" s="96">
        <v>0.20930141164563595</v>
      </c>
      <c r="K158" s="96">
        <v>0.2110239999868537</v>
      </c>
      <c r="L158" s="96">
        <v>0.21123110984945775</v>
      </c>
      <c r="M158" s="96">
        <v>0.21141609622865798</v>
      </c>
      <c r="N158" s="96">
        <v>0.21299535403237135</v>
      </c>
      <c r="O158" s="96">
        <v>0.21470233503171898</v>
      </c>
      <c r="P158" s="96">
        <v>0.21395485292009533</v>
      </c>
      <c r="Q158" s="96">
        <v>0.21348387096774191</v>
      </c>
      <c r="R158" s="96">
        <v>0.21309747800047737</v>
      </c>
      <c r="S158" s="96">
        <v>0.21409650792970605</v>
      </c>
      <c r="T158" s="96">
        <v>0.21370908340223238</v>
      </c>
      <c r="U158" s="96">
        <v>0.21443967740449332</v>
      </c>
      <c r="V158" s="96">
        <v>0.21574770445169617</v>
      </c>
      <c r="W158" s="96">
        <v>0.21558316908950567</v>
      </c>
      <c r="X158" s="96">
        <v>0.22113193932376554</v>
      </c>
      <c r="Y158" s="96">
        <v>0.2224766324311368</v>
      </c>
      <c r="DA158" s="171" t="s">
        <v>569</v>
      </c>
    </row>
    <row r="159" spans="1:105" ht="11.45" customHeight="1" x14ac:dyDescent="0.25">
      <c r="A159" s="111" t="s">
        <v>111</v>
      </c>
      <c r="B159" s="96">
        <v>0.26031614159878086</v>
      </c>
      <c r="C159" s="96">
        <v>0.26197865661115827</v>
      </c>
      <c r="D159" s="96">
        <v>0.26220377788514737</v>
      </c>
      <c r="E159" s="96">
        <v>0.26292719499611872</v>
      </c>
      <c r="F159" s="96">
        <v>0.26401925871937554</v>
      </c>
      <c r="G159" s="96">
        <v>0.26471552871262316</v>
      </c>
      <c r="H159" s="96">
        <v>0.26499573416004973</v>
      </c>
      <c r="I159" s="96">
        <v>0.26440954438023895</v>
      </c>
      <c r="J159" s="96">
        <v>0.26525607373838966</v>
      </c>
      <c r="K159" s="96">
        <v>0.26695780476694614</v>
      </c>
      <c r="L159" s="96">
        <v>0.26677510648439007</v>
      </c>
      <c r="M159" s="96">
        <v>0.26658499134128333</v>
      </c>
      <c r="N159" s="96">
        <v>0.26805757378906842</v>
      </c>
      <c r="O159" s="96">
        <v>0.26955559732255419</v>
      </c>
      <c r="P159" s="96">
        <v>0.26817859473902078</v>
      </c>
      <c r="Q159" s="96">
        <v>0.26782349710431119</v>
      </c>
      <c r="R159" s="96">
        <v>0.26733875268179264</v>
      </c>
      <c r="S159" s="96">
        <v>0.26859207307618593</v>
      </c>
      <c r="T159" s="96">
        <v>0.26907428250479515</v>
      </c>
      <c r="U159" s="96">
        <v>0.26999415008286465</v>
      </c>
      <c r="V159" s="96">
        <v>0.27164104516855708</v>
      </c>
      <c r="W159" s="96">
        <v>0.27143388394815754</v>
      </c>
      <c r="X159" s="96">
        <v>0.27842016336033082</v>
      </c>
      <c r="Y159" s="96">
        <v>0.28011322351151802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0.20397725056918495</v>
      </c>
      <c r="P160" s="96">
        <v>0.20204497227815515</v>
      </c>
      <c r="Q160" s="96">
        <v>0.20089072127582452</v>
      </c>
      <c r="R160" s="96">
        <v>0.20093469996576424</v>
      </c>
      <c r="S160" s="96">
        <v>0.20228703104036258</v>
      </c>
      <c r="T160" s="96">
        <v>0.20306209557939212</v>
      </c>
      <c r="U160" s="96">
        <v>0.20417043360599166</v>
      </c>
      <c r="V160" s="96">
        <v>0.20583333617642813</v>
      </c>
      <c r="W160" s="96">
        <v>0.20609440663096662</v>
      </c>
      <c r="X160" s="96">
        <v>0.21182862731949989</v>
      </c>
      <c r="Y160" s="96">
        <v>0.21354991511246699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0.27127969810185998</v>
      </c>
      <c r="I162" s="96">
        <v>0.27123653225042843</v>
      </c>
      <c r="J162" s="96">
        <v>0.27120036209470538</v>
      </c>
      <c r="K162" s="96">
        <v>0.27112022220987719</v>
      </c>
      <c r="L162" s="96">
        <v>0.2711071946051134</v>
      </c>
      <c r="M162" s="96">
        <v>0.27109280441135786</v>
      </c>
      <c r="N162" s="96">
        <v>0.27102243171518836</v>
      </c>
      <c r="O162" s="96">
        <v>0.27094510893536672</v>
      </c>
      <c r="P162" s="96">
        <v>0.27087444506583941</v>
      </c>
      <c r="Q162" s="96">
        <v>0.27085266400869873</v>
      </c>
      <c r="R162" s="96">
        <v>0.27090195912529996</v>
      </c>
      <c r="S162" s="96">
        <v>0.27093636732466497</v>
      </c>
      <c r="T162" s="96">
        <v>0.27093915868290425</v>
      </c>
      <c r="U162" s="96">
        <v>0.27095725725694003</v>
      </c>
      <c r="V162" s="96">
        <v>0.27174633770490181</v>
      </c>
      <c r="W162" s="96">
        <v>0.27097400759882712</v>
      </c>
      <c r="X162" s="96">
        <v>0.27128184802889654</v>
      </c>
      <c r="Y162" s="96">
        <v>0.27133420365944461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10.70719908585672</v>
      </c>
      <c r="C163" s="130">
        <f t="shared" si="215"/>
        <v>10.656977516847032</v>
      </c>
      <c r="D163" s="130">
        <f t="shared" si="215"/>
        <v>10.592508252102268</v>
      </c>
      <c r="E163" s="130">
        <f t="shared" si="215"/>
        <v>10.610495022224942</v>
      </c>
      <c r="F163" s="130">
        <f t="shared" si="215"/>
        <v>10.930420783928236</v>
      </c>
      <c r="G163" s="130">
        <f t="shared" si="215"/>
        <v>10.992499173772718</v>
      </c>
      <c r="H163" s="130">
        <f t="shared" si="215"/>
        <v>10.775253548808834</v>
      </c>
      <c r="I163" s="130">
        <f t="shared" si="215"/>
        <v>10.997866667204766</v>
      </c>
      <c r="J163" s="130">
        <f t="shared" si="215"/>
        <v>11.427424113456281</v>
      </c>
      <c r="K163" s="130">
        <f t="shared" si="215"/>
        <v>12.968691372446298</v>
      </c>
      <c r="L163" s="130">
        <f t="shared" ref="L163" si="216">IF(L26=0,0,L26/L53)</f>
        <v>13.157802083599238</v>
      </c>
      <c r="M163" s="130">
        <f t="shared" ref="M163:V163" si="217">IF(M26=0,0,M26/M53)</f>
        <v>13.263405023449804</v>
      </c>
      <c r="N163" s="130">
        <f t="shared" si="217"/>
        <v>13.019746069932468</v>
      </c>
      <c r="O163" s="130">
        <f t="shared" si="217"/>
        <v>12.92551217909346</v>
      </c>
      <c r="P163" s="130">
        <f t="shared" si="217"/>
        <v>13.046613377376222</v>
      </c>
      <c r="Q163" s="130">
        <f t="shared" si="217"/>
        <v>12.97222575488256</v>
      </c>
      <c r="R163" s="130">
        <f t="shared" si="217"/>
        <v>13.216473652575221</v>
      </c>
      <c r="S163" s="130">
        <f t="shared" si="217"/>
        <v>13.23569743880541</v>
      </c>
      <c r="T163" s="130">
        <f t="shared" si="217"/>
        <v>11.351142955614089</v>
      </c>
      <c r="U163" s="130">
        <f t="shared" si="217"/>
        <v>11.473387536748854</v>
      </c>
      <c r="V163" s="130">
        <f t="shared" si="217"/>
        <v>11.1767146572566</v>
      </c>
      <c r="W163" s="130">
        <f t="shared" ref="W163:Y163" si="218">IF(W26=0,0,W26/W53)</f>
        <v>11.110759082983479</v>
      </c>
      <c r="X163" s="130">
        <f t="shared" si="218"/>
        <v>11.055605416705193</v>
      </c>
      <c r="Y163" s="130">
        <f t="shared" si="218"/>
        <v>10.744666476018843</v>
      </c>
      <c r="DA163" s="176" t="s">
        <v>574</v>
      </c>
    </row>
    <row r="164" spans="1:105" ht="11.45" customHeight="1" x14ac:dyDescent="0.25">
      <c r="A164" s="128" t="s">
        <v>27</v>
      </c>
      <c r="B164" s="97">
        <v>6.693548387096774</v>
      </c>
      <c r="C164" s="97">
        <v>6.859154929577465</v>
      </c>
      <c r="D164" s="97">
        <v>7.024096385542169</v>
      </c>
      <c r="E164" s="97">
        <v>6.9753086419753085</v>
      </c>
      <c r="F164" s="97">
        <v>7.1298701298701301</v>
      </c>
      <c r="G164" s="97">
        <v>6.8611111111111107</v>
      </c>
      <c r="H164" s="97">
        <v>6.8</v>
      </c>
      <c r="I164" s="97">
        <v>6.9367088607594933</v>
      </c>
      <c r="J164" s="97">
        <v>7.5</v>
      </c>
      <c r="K164" s="97">
        <v>11.276595744680851</v>
      </c>
      <c r="L164" s="97">
        <v>11.038461538461538</v>
      </c>
      <c r="M164" s="97">
        <v>11.607142857142858</v>
      </c>
      <c r="N164" s="97">
        <v>11.6</v>
      </c>
      <c r="O164" s="97">
        <v>10.943661971830986</v>
      </c>
      <c r="P164" s="97">
        <v>11.628865979381443</v>
      </c>
      <c r="Q164" s="97">
        <v>11.642857142857142</v>
      </c>
      <c r="R164" s="97">
        <v>12.264367816091953</v>
      </c>
      <c r="S164" s="97">
        <v>12.107142857142856</v>
      </c>
      <c r="T164" s="97">
        <v>7.5232558139534884</v>
      </c>
      <c r="U164" s="97">
        <v>7.776470588235294</v>
      </c>
      <c r="V164" s="97">
        <v>7</v>
      </c>
      <c r="W164" s="97">
        <v>7.0568181818181817</v>
      </c>
      <c r="X164" s="97">
        <v>6.8372093023255811</v>
      </c>
      <c r="Y164" s="97">
        <v>6.3205128205128203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14.257421972058395</v>
      </c>
      <c r="C165" s="98">
        <v>14.245058387803748</v>
      </c>
      <c r="D165" s="98">
        <v>14.338603689647606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14.178700182725072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15071.428035438214</v>
      </c>
      <c r="C167" s="54">
        <f t="shared" si="219"/>
        <v>15450.492882022716</v>
      </c>
      <c r="D167" s="54">
        <f t="shared" si="219"/>
        <v>15591.951006411753</v>
      </c>
      <c r="E167" s="54">
        <f t="shared" si="219"/>
        <v>15604.76737502789</v>
      </c>
      <c r="F167" s="54">
        <f t="shared" si="219"/>
        <v>15680.157083945327</v>
      </c>
      <c r="G167" s="54">
        <f t="shared" si="219"/>
        <v>15814.10264975831</v>
      </c>
      <c r="H167" s="54">
        <f t="shared" si="219"/>
        <v>15852.969628362178</v>
      </c>
      <c r="I167" s="54">
        <f t="shared" si="219"/>
        <v>15783.003123806886</v>
      </c>
      <c r="J167" s="54">
        <f t="shared" si="219"/>
        <v>15777.810877714062</v>
      </c>
      <c r="K167" s="54">
        <f t="shared" si="219"/>
        <v>15414.017887557418</v>
      </c>
      <c r="L167" s="54">
        <f t="shared" si="219"/>
        <v>14775.820073755254</v>
      </c>
      <c r="M167" s="54">
        <f>IF(M30=0,0,M30*1000000/M57)</f>
        <v>14671.362335763686</v>
      </c>
      <c r="N167" s="54">
        <f t="shared" ref="N167:V167" si="220">IF(N30=0,0,N30*1000000/N57)</f>
        <v>14689.690232446954</v>
      </c>
      <c r="O167" s="54">
        <f t="shared" si="220"/>
        <v>14623.877584236188</v>
      </c>
      <c r="P167" s="54">
        <f t="shared" si="220"/>
        <v>14913.602832089766</v>
      </c>
      <c r="Q167" s="54">
        <f t="shared" si="220"/>
        <v>14739.795448200586</v>
      </c>
      <c r="R167" s="54">
        <f t="shared" si="220"/>
        <v>14947.451650342091</v>
      </c>
      <c r="S167" s="54">
        <f t="shared" si="220"/>
        <v>14763.70905900672</v>
      </c>
      <c r="T167" s="54">
        <f t="shared" si="220"/>
        <v>14859.05930924982</v>
      </c>
      <c r="U167" s="54">
        <f t="shared" si="220"/>
        <v>14830.519236982203</v>
      </c>
      <c r="V167" s="54">
        <f t="shared" si="220"/>
        <v>13902.336600630699</v>
      </c>
      <c r="W167" s="54">
        <f t="shared" ref="W167:Y191" si="221">IF(W30=0,0,W30*1000000/W57)</f>
        <v>14154.757150644689</v>
      </c>
      <c r="X167" s="54">
        <f t="shared" si="221"/>
        <v>14323.071865444581</v>
      </c>
      <c r="Y167" s="54">
        <f t="shared" si="221"/>
        <v>14459.945128907435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14688.072850685359</v>
      </c>
      <c r="C168" s="28">
        <f t="shared" si="219"/>
        <v>15009.400331304458</v>
      </c>
      <c r="D168" s="28">
        <f t="shared" si="219"/>
        <v>15069.151981524272</v>
      </c>
      <c r="E168" s="28">
        <f t="shared" si="219"/>
        <v>15092.605712247978</v>
      </c>
      <c r="F168" s="28">
        <f t="shared" si="219"/>
        <v>15138.261936915769</v>
      </c>
      <c r="G168" s="28">
        <f t="shared" si="219"/>
        <v>15335.495916343642</v>
      </c>
      <c r="H168" s="28">
        <f t="shared" si="219"/>
        <v>15368.30693132691</v>
      </c>
      <c r="I168" s="28">
        <f t="shared" si="219"/>
        <v>15245.180982111875</v>
      </c>
      <c r="J168" s="28">
        <f t="shared" si="219"/>
        <v>15272.682684673826</v>
      </c>
      <c r="K168" s="28">
        <f t="shared" si="219"/>
        <v>15064.546397075734</v>
      </c>
      <c r="L168" s="28">
        <f t="shared" si="219"/>
        <v>14341.922187869081</v>
      </c>
      <c r="M168" s="28">
        <f t="shared" ref="M168:M192" si="222">IF(M31=0,0,M31*1000000/M58)</f>
        <v>14213.645617682394</v>
      </c>
      <c r="N168" s="28">
        <f t="shared" si="219"/>
        <v>14122.759542033471</v>
      </c>
      <c r="O168" s="28">
        <f t="shared" si="219"/>
        <v>14075.894531052607</v>
      </c>
      <c r="P168" s="28">
        <f t="shared" si="219"/>
        <v>14255.263146667883</v>
      </c>
      <c r="Q168" s="28">
        <f t="shared" si="219"/>
        <v>14142.316520662294</v>
      </c>
      <c r="R168" s="28">
        <f t="shared" si="219"/>
        <v>14336.344081233672</v>
      </c>
      <c r="S168" s="28">
        <f t="shared" si="219"/>
        <v>14184.967842840633</v>
      </c>
      <c r="T168" s="28">
        <f t="shared" si="219"/>
        <v>14296.884517816936</v>
      </c>
      <c r="U168" s="28">
        <f t="shared" si="219"/>
        <v>14300.336502090289</v>
      </c>
      <c r="V168" s="28">
        <f t="shared" si="219"/>
        <v>13387.764659400456</v>
      </c>
      <c r="W168" s="28">
        <f t="shared" si="221"/>
        <v>13588.185508080778</v>
      </c>
      <c r="X168" s="28">
        <f t="shared" si="221"/>
        <v>13958.905552434755</v>
      </c>
      <c r="Y168" s="28">
        <f t="shared" si="221"/>
        <v>14202.202129491947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3438.6295722866153</v>
      </c>
      <c r="C169" s="137">
        <f t="shared" si="219"/>
        <v>3203.3360300251347</v>
      </c>
      <c r="D169" s="137">
        <f t="shared" si="219"/>
        <v>3061.7938972291245</v>
      </c>
      <c r="E169" s="137">
        <f t="shared" si="219"/>
        <v>2801.922992535764</v>
      </c>
      <c r="F169" s="137">
        <f t="shared" si="219"/>
        <v>2727.2159426960798</v>
      </c>
      <c r="G169" s="137">
        <f t="shared" si="219"/>
        <v>2611.8289352566981</v>
      </c>
      <c r="H169" s="137">
        <f t="shared" si="219"/>
        <v>2456.3844070583627</v>
      </c>
      <c r="I169" s="137">
        <f t="shared" si="219"/>
        <v>2357.6991240342832</v>
      </c>
      <c r="J169" s="137">
        <f t="shared" si="219"/>
        <v>2227.1954730252328</v>
      </c>
      <c r="K169" s="137">
        <f t="shared" si="219"/>
        <v>2146.187450056676</v>
      </c>
      <c r="L169" s="137">
        <f t="shared" si="219"/>
        <v>2081.9761229403498</v>
      </c>
      <c r="M169" s="137">
        <f t="shared" si="222"/>
        <v>2034.8366459137317</v>
      </c>
      <c r="N169" s="137">
        <f t="shared" si="219"/>
        <v>2054.9295513491938</v>
      </c>
      <c r="O169" s="137">
        <f t="shared" si="219"/>
        <v>2009.3282358165534</v>
      </c>
      <c r="P169" s="137">
        <f t="shared" si="219"/>
        <v>1985.9795037755762</v>
      </c>
      <c r="Q169" s="137">
        <f t="shared" si="219"/>
        <v>2002.1621470510993</v>
      </c>
      <c r="R169" s="137">
        <f t="shared" si="219"/>
        <v>2030.7400531512935</v>
      </c>
      <c r="S169" s="137">
        <f t="shared" si="219"/>
        <v>1860.0040492545781</v>
      </c>
      <c r="T169" s="137">
        <f t="shared" si="219"/>
        <v>1750.0282790326905</v>
      </c>
      <c r="U169" s="137">
        <f t="shared" si="219"/>
        <v>1840.8695366268059</v>
      </c>
      <c r="V169" s="137">
        <f t="shared" si="219"/>
        <v>1588.1307885139638</v>
      </c>
      <c r="W169" s="137">
        <f t="shared" si="221"/>
        <v>1575.0301640542193</v>
      </c>
      <c r="X169" s="137">
        <f t="shared" si="221"/>
        <v>1545.1133708485856</v>
      </c>
      <c r="Y169" s="137">
        <f t="shared" si="221"/>
        <v>1628.9996140184717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14969.529981526059</v>
      </c>
      <c r="C170" s="110">
        <f t="shared" si="219"/>
        <v>15341.025342908979</v>
      </c>
      <c r="D170" s="110">
        <f t="shared" si="219"/>
        <v>15446.898600909435</v>
      </c>
      <c r="E170" s="110">
        <f t="shared" si="219"/>
        <v>15529.77011598311</v>
      </c>
      <c r="F170" s="110">
        <f t="shared" si="219"/>
        <v>15625.147195925985</v>
      </c>
      <c r="G170" s="110">
        <f t="shared" si="219"/>
        <v>15871.845384202812</v>
      </c>
      <c r="H170" s="110">
        <f t="shared" si="219"/>
        <v>15953.626906490981</v>
      </c>
      <c r="I170" s="110">
        <f t="shared" si="219"/>
        <v>15868.042901280249</v>
      </c>
      <c r="J170" s="110">
        <f t="shared" si="219"/>
        <v>15940.3865820669</v>
      </c>
      <c r="K170" s="110">
        <f t="shared" si="219"/>
        <v>15771.991719259444</v>
      </c>
      <c r="L170" s="110">
        <f t="shared" si="219"/>
        <v>15042.632605128707</v>
      </c>
      <c r="M170" s="110">
        <f t="shared" si="222"/>
        <v>14932.432147109106</v>
      </c>
      <c r="N170" s="110">
        <f t="shared" si="219"/>
        <v>14851.440224089822</v>
      </c>
      <c r="O170" s="110">
        <f t="shared" si="219"/>
        <v>14838.355715616615</v>
      </c>
      <c r="P170" s="110">
        <f t="shared" si="219"/>
        <v>15065.12761485995</v>
      </c>
      <c r="Q170" s="110">
        <f t="shared" si="219"/>
        <v>14955.114724836525</v>
      </c>
      <c r="R170" s="110">
        <f t="shared" si="219"/>
        <v>15172.177209963764</v>
      </c>
      <c r="S170" s="110">
        <f t="shared" si="219"/>
        <v>15021.965359691108</v>
      </c>
      <c r="T170" s="110">
        <f t="shared" si="219"/>
        <v>15137.064052490818</v>
      </c>
      <c r="U170" s="110">
        <f t="shared" si="219"/>
        <v>15109.219777862672</v>
      </c>
      <c r="V170" s="110">
        <f t="shared" si="219"/>
        <v>14181.269217476512</v>
      </c>
      <c r="W170" s="110">
        <f t="shared" si="221"/>
        <v>14437.189476656569</v>
      </c>
      <c r="X170" s="110">
        <f t="shared" si="221"/>
        <v>14869.015074458379</v>
      </c>
      <c r="Y170" s="110">
        <f t="shared" si="221"/>
        <v>15136.329523905939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14301.790920793874</v>
      </c>
      <c r="C171" s="84">
        <f t="shared" si="219"/>
        <v>14585.900157054277</v>
      </c>
      <c r="D171" s="84">
        <f t="shared" si="219"/>
        <v>14619.296076215429</v>
      </c>
      <c r="E171" s="84">
        <f t="shared" si="219"/>
        <v>14718.872928286406</v>
      </c>
      <c r="F171" s="84">
        <f t="shared" si="219"/>
        <v>14821.679555589753</v>
      </c>
      <c r="G171" s="84">
        <f t="shared" si="219"/>
        <v>15185.215320984416</v>
      </c>
      <c r="H171" s="84">
        <f t="shared" si="219"/>
        <v>15323.564939715125</v>
      </c>
      <c r="I171" s="84">
        <f t="shared" si="219"/>
        <v>15582.132127977258</v>
      </c>
      <c r="J171" s="84">
        <f t="shared" si="219"/>
        <v>16028.89179155714</v>
      </c>
      <c r="K171" s="84">
        <f t="shared" si="219"/>
        <v>15958.585272573167</v>
      </c>
      <c r="L171" s="84">
        <f t="shared" si="219"/>
        <v>15353.383996110766</v>
      </c>
      <c r="M171" s="84">
        <f t="shared" si="222"/>
        <v>15543.940151858718</v>
      </c>
      <c r="N171" s="84">
        <f t="shared" si="219"/>
        <v>15468.440599086314</v>
      </c>
      <c r="O171" s="84">
        <f t="shared" si="219"/>
        <v>15053.822764193967</v>
      </c>
      <c r="P171" s="84">
        <f t="shared" si="219"/>
        <v>14857.011440564134</v>
      </c>
      <c r="Q171" s="84">
        <f t="shared" si="219"/>
        <v>14546.955772157849</v>
      </c>
      <c r="R171" s="84">
        <f t="shared" si="219"/>
        <v>14766.17022084253</v>
      </c>
      <c r="S171" s="84">
        <f t="shared" si="219"/>
        <v>14634.357062563055</v>
      </c>
      <c r="T171" s="84">
        <f t="shared" si="219"/>
        <v>14762.389759984406</v>
      </c>
      <c r="U171" s="84">
        <f t="shared" si="219"/>
        <v>14757.051259031192</v>
      </c>
      <c r="V171" s="84">
        <f t="shared" si="219"/>
        <v>13869.82237395063</v>
      </c>
      <c r="W171" s="84">
        <f t="shared" si="221"/>
        <v>14142.526246964304</v>
      </c>
      <c r="X171" s="84">
        <f t="shared" si="221"/>
        <v>14602.801484366286</v>
      </c>
      <c r="Y171" s="84">
        <f t="shared" si="221"/>
        <v>14924.489513466488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16651.109085848431</v>
      </c>
      <c r="C172" s="84">
        <f t="shared" si="219"/>
        <v>16917.451062279528</v>
      </c>
      <c r="D172" s="84">
        <f t="shared" si="219"/>
        <v>16922.276576283803</v>
      </c>
      <c r="E172" s="84">
        <f t="shared" si="219"/>
        <v>16775.710136513349</v>
      </c>
      <c r="F172" s="84">
        <f t="shared" si="219"/>
        <v>16652.570268645384</v>
      </c>
      <c r="G172" s="84">
        <f t="shared" si="219"/>
        <v>16604.539836758744</v>
      </c>
      <c r="H172" s="84">
        <f t="shared" si="219"/>
        <v>16507.595014697516</v>
      </c>
      <c r="I172" s="84">
        <f t="shared" si="219"/>
        <v>16088.317593964992</v>
      </c>
      <c r="J172" s="84">
        <f t="shared" si="219"/>
        <v>15888.691090401953</v>
      </c>
      <c r="K172" s="84">
        <f t="shared" si="219"/>
        <v>15666.630388247782</v>
      </c>
      <c r="L172" s="84">
        <f t="shared" si="219"/>
        <v>14876.130070929479</v>
      </c>
      <c r="M172" s="84">
        <f t="shared" si="222"/>
        <v>14608.85492772796</v>
      </c>
      <c r="N172" s="84">
        <f t="shared" si="219"/>
        <v>14537.58526678917</v>
      </c>
      <c r="O172" s="84">
        <f t="shared" si="219"/>
        <v>14739.254784387293</v>
      </c>
      <c r="P172" s="84">
        <f t="shared" si="219"/>
        <v>15186.400845170849</v>
      </c>
      <c r="Q172" s="84">
        <f t="shared" si="219"/>
        <v>15181.869655765666</v>
      </c>
      <c r="R172" s="84">
        <f t="shared" si="219"/>
        <v>15410.651899880351</v>
      </c>
      <c r="S172" s="84">
        <f t="shared" si="219"/>
        <v>15273.085647582813</v>
      </c>
      <c r="T172" s="84">
        <f t="shared" si="219"/>
        <v>15406.706437689794</v>
      </c>
      <c r="U172" s="84">
        <f t="shared" si="219"/>
        <v>15401.134933459061</v>
      </c>
      <c r="V172" s="84">
        <f t="shared" si="219"/>
        <v>14475.182211866006</v>
      </c>
      <c r="W172" s="84">
        <f t="shared" si="221"/>
        <v>14759.788470354815</v>
      </c>
      <c r="X172" s="84">
        <f t="shared" si="221"/>
        <v>15240.152800147298</v>
      </c>
      <c r="Y172" s="84">
        <f t="shared" si="221"/>
        <v>15575.881168619193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13158.203251389619</v>
      </c>
      <c r="C173" s="84">
        <f t="shared" si="219"/>
        <v>14478.585584852262</v>
      </c>
      <c r="D173" s="84">
        <f t="shared" si="219"/>
        <v>14439.129703551751</v>
      </c>
      <c r="E173" s="84">
        <f t="shared" si="219"/>
        <v>14376.711629863006</v>
      </c>
      <c r="F173" s="84">
        <f t="shared" si="219"/>
        <v>14326.174365363744</v>
      </c>
      <c r="G173" s="84">
        <f t="shared" si="219"/>
        <v>14419.570712430972</v>
      </c>
      <c r="H173" s="84">
        <f t="shared" si="219"/>
        <v>14644.034524872228</v>
      </c>
      <c r="I173" s="84">
        <f t="shared" si="219"/>
        <v>14708.645496216552</v>
      </c>
      <c r="J173" s="84">
        <f t="shared" si="219"/>
        <v>14632.73693030438</v>
      </c>
      <c r="K173" s="84">
        <f t="shared" si="219"/>
        <v>14327.198118284006</v>
      </c>
      <c r="L173" s="84">
        <f t="shared" si="219"/>
        <v>13497.361836163542</v>
      </c>
      <c r="M173" s="84">
        <f t="shared" si="222"/>
        <v>13528.447392644706</v>
      </c>
      <c r="N173" s="84">
        <f t="shared" si="219"/>
        <v>13317.834819988408</v>
      </c>
      <c r="O173" s="84">
        <f t="shared" si="219"/>
        <v>13173.962451165396</v>
      </c>
      <c r="P173" s="84">
        <f t="shared" si="219"/>
        <v>13520.269408097638</v>
      </c>
      <c r="Q173" s="84">
        <f t="shared" si="219"/>
        <v>13552.167803045577</v>
      </c>
      <c r="R173" s="84">
        <f t="shared" si="219"/>
        <v>13483.98756683737</v>
      </c>
      <c r="S173" s="84">
        <f t="shared" si="219"/>
        <v>13098.993927342843</v>
      </c>
      <c r="T173" s="84">
        <f t="shared" si="219"/>
        <v>13213.594078128686</v>
      </c>
      <c r="U173" s="84">
        <f t="shared" si="219"/>
        <v>13208.815665843931</v>
      </c>
      <c r="V173" s="84">
        <f t="shared" si="219"/>
        <v>12168.835315921257</v>
      </c>
      <c r="W173" s="84">
        <f t="shared" si="221"/>
        <v>12408.094942414373</v>
      </c>
      <c r="X173" s="84">
        <f t="shared" si="221"/>
        <v>12811.922288787655</v>
      </c>
      <c r="Y173" s="84">
        <f t="shared" si="221"/>
        <v>13094.158682569863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X174" s="84">
        <f t="shared" si="221"/>
        <v>0</v>
      </c>
      <c r="Y174" s="84">
        <f t="shared" si="221"/>
        <v>0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14063.452773642235</v>
      </c>
      <c r="O175" s="84">
        <f t="shared" si="219"/>
        <v>13911.525505304469</v>
      </c>
      <c r="P175" s="84">
        <f t="shared" si="219"/>
        <v>13994.503703989605</v>
      </c>
      <c r="Q175" s="84">
        <f t="shared" si="219"/>
        <v>13749.748268438589</v>
      </c>
      <c r="R175" s="84">
        <f t="shared" si="219"/>
        <v>13956.949248040646</v>
      </c>
      <c r="S175" s="84">
        <f t="shared" si="219"/>
        <v>13832.359761883035</v>
      </c>
      <c r="T175" s="84">
        <f t="shared" si="219"/>
        <v>13953.375965358548</v>
      </c>
      <c r="U175" s="84">
        <f t="shared" si="219"/>
        <v>13948.330026855181</v>
      </c>
      <c r="V175" s="84">
        <f t="shared" si="219"/>
        <v>13109.72337832919</v>
      </c>
      <c r="W175" s="84">
        <f t="shared" si="221"/>
        <v>13367.48243558451</v>
      </c>
      <c r="X175" s="84">
        <f t="shared" si="221"/>
        <v>13802.533503835217</v>
      </c>
      <c r="Y175" s="84">
        <f t="shared" si="221"/>
        <v>14106.592269832398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14080.626981211524</v>
      </c>
      <c r="K176" s="84">
        <f t="shared" si="219"/>
        <v>14095.490992893036</v>
      </c>
      <c r="L176" s="84">
        <f t="shared" si="219"/>
        <v>14137.604470533375</v>
      </c>
      <c r="M176" s="84">
        <f t="shared" si="222"/>
        <v>14150.121951919733</v>
      </c>
      <c r="N176" s="84">
        <f t="shared" si="219"/>
        <v>14161.227489960756</v>
      </c>
      <c r="O176" s="84">
        <f t="shared" si="219"/>
        <v>14168.920372048831</v>
      </c>
      <c r="P176" s="84">
        <f t="shared" si="219"/>
        <v>14173.134120133569</v>
      </c>
      <c r="Q176" s="84">
        <f t="shared" si="219"/>
        <v>14185.643277956397</v>
      </c>
      <c r="R176" s="84">
        <f t="shared" si="219"/>
        <v>14175.038494908862</v>
      </c>
      <c r="S176" s="84">
        <f t="shared" si="219"/>
        <v>14168.684696207773</v>
      </c>
      <c r="T176" s="84">
        <f t="shared" si="219"/>
        <v>14162.515063175457</v>
      </c>
      <c r="U176" s="84">
        <f t="shared" si="219"/>
        <v>14162.258940719468</v>
      </c>
      <c r="V176" s="84">
        <f t="shared" si="219"/>
        <v>13518.73378207082</v>
      </c>
      <c r="W176" s="84">
        <f t="shared" si="221"/>
        <v>14132.171562991934</v>
      </c>
      <c r="X176" s="84">
        <f t="shared" si="221"/>
        <v>14154.820308074821</v>
      </c>
      <c r="Y176" s="84">
        <f t="shared" si="221"/>
        <v>14154.271955290144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36926.974282640418</v>
      </c>
      <c r="C177" s="110">
        <f t="shared" si="219"/>
        <v>37803.947841977963</v>
      </c>
      <c r="D177" s="110">
        <f t="shared" si="219"/>
        <v>38666.227587276873</v>
      </c>
      <c r="E177" s="110">
        <f t="shared" si="219"/>
        <v>38050.062972459687</v>
      </c>
      <c r="F177" s="110">
        <f t="shared" si="219"/>
        <v>37366.813209405685</v>
      </c>
      <c r="G177" s="110">
        <f t="shared" si="219"/>
        <v>36733.985321526146</v>
      </c>
      <c r="H177" s="110">
        <f t="shared" si="219"/>
        <v>36065.408009571023</v>
      </c>
      <c r="I177" s="110">
        <f t="shared" si="219"/>
        <v>35453.214180269184</v>
      </c>
      <c r="J177" s="110">
        <f t="shared" si="219"/>
        <v>34862.51523823601</v>
      </c>
      <c r="K177" s="110">
        <f t="shared" si="219"/>
        <v>34263.209927481978</v>
      </c>
      <c r="L177" s="110">
        <f t="shared" si="219"/>
        <v>34976.408328562211</v>
      </c>
      <c r="M177" s="110">
        <f t="shared" si="222"/>
        <v>34415.452647946338</v>
      </c>
      <c r="N177" s="110">
        <f t="shared" si="219"/>
        <v>33802.942799960554</v>
      </c>
      <c r="O177" s="110">
        <f t="shared" si="219"/>
        <v>33284.845009672521</v>
      </c>
      <c r="P177" s="110">
        <f t="shared" si="219"/>
        <v>32649.735181113818</v>
      </c>
      <c r="Q177" s="110">
        <f t="shared" si="219"/>
        <v>32079.197747624003</v>
      </c>
      <c r="R177" s="110">
        <f t="shared" si="219"/>
        <v>31783.513437008689</v>
      </c>
      <c r="S177" s="110">
        <f t="shared" si="219"/>
        <v>31824.95619334251</v>
      </c>
      <c r="T177" s="110">
        <f t="shared" si="219"/>
        <v>31264.227099029875</v>
      </c>
      <c r="U177" s="110">
        <f t="shared" si="219"/>
        <v>30847.387240102707</v>
      </c>
      <c r="V177" s="110">
        <f t="shared" si="219"/>
        <v>29459.671456764409</v>
      </c>
      <c r="W177" s="110">
        <f t="shared" si="221"/>
        <v>28299.402967328937</v>
      </c>
      <c r="X177" s="110">
        <f t="shared" si="221"/>
        <v>26628.500441687458</v>
      </c>
      <c r="Y177" s="110">
        <f t="shared" si="221"/>
        <v>25456.405588364792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9875.9238250545313</v>
      </c>
      <c r="U178" s="102">
        <f t="shared" si="219"/>
        <v>9542.9583919604538</v>
      </c>
      <c r="V178" s="102">
        <f t="shared" si="219"/>
        <v>8910.8492275602985</v>
      </c>
      <c r="W178" s="102">
        <f t="shared" si="221"/>
        <v>8371.8610954601045</v>
      </c>
      <c r="X178" s="102">
        <f t="shared" si="221"/>
        <v>7696.5482878885114</v>
      </c>
      <c r="Y178" s="102">
        <f t="shared" si="221"/>
        <v>7194.4063597072482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36926.974282640418</v>
      </c>
      <c r="C179" s="102">
        <f t="shared" si="219"/>
        <v>37803.947841977963</v>
      </c>
      <c r="D179" s="102">
        <f t="shared" si="219"/>
        <v>38666.227587276873</v>
      </c>
      <c r="E179" s="102">
        <f t="shared" si="219"/>
        <v>38040.517727727798</v>
      </c>
      <c r="F179" s="102">
        <f t="shared" si="219"/>
        <v>37355.875465089492</v>
      </c>
      <c r="G179" s="102">
        <f t="shared" si="219"/>
        <v>36722.12797148923</v>
      </c>
      <c r="H179" s="102">
        <f t="shared" si="219"/>
        <v>36052.344904656849</v>
      </c>
      <c r="I179" s="102">
        <f t="shared" si="219"/>
        <v>35439.495541035118</v>
      </c>
      <c r="J179" s="102">
        <f t="shared" si="219"/>
        <v>34848.379251906888</v>
      </c>
      <c r="K179" s="102">
        <f t="shared" si="219"/>
        <v>34253.460706663594</v>
      </c>
      <c r="L179" s="102">
        <f t="shared" si="219"/>
        <v>34967.556430477627</v>
      </c>
      <c r="M179" s="102">
        <f t="shared" si="222"/>
        <v>34406.249718212639</v>
      </c>
      <c r="N179" s="102">
        <f t="shared" si="219"/>
        <v>33793.119453740823</v>
      </c>
      <c r="O179" s="102">
        <f t="shared" si="219"/>
        <v>33274.568048117675</v>
      </c>
      <c r="P179" s="102">
        <f t="shared" si="219"/>
        <v>32638.807028773848</v>
      </c>
      <c r="Q179" s="102">
        <f t="shared" si="219"/>
        <v>32068.079595622108</v>
      </c>
      <c r="R179" s="102">
        <f t="shared" si="219"/>
        <v>31772.37973823518</v>
      </c>
      <c r="S179" s="102">
        <f t="shared" si="219"/>
        <v>31781.809618485688</v>
      </c>
      <c r="T179" s="102">
        <f t="shared" si="219"/>
        <v>31093.000129008127</v>
      </c>
      <c r="U179" s="102">
        <f t="shared" si="219"/>
        <v>30253.982388212811</v>
      </c>
      <c r="V179" s="102">
        <f t="shared" si="219"/>
        <v>28648.801502554044</v>
      </c>
      <c r="W179" s="102">
        <f t="shared" si="221"/>
        <v>27167.634683011591</v>
      </c>
      <c r="X179" s="102">
        <f t="shared" si="221"/>
        <v>24363.761341328358</v>
      </c>
      <c r="Y179" s="102">
        <f t="shared" si="221"/>
        <v>22503.153159457928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X181" s="102">
        <f t="shared" si="221"/>
        <v>0</v>
      </c>
      <c r="Y181" s="102">
        <f t="shared" si="221"/>
        <v>0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41944.522823073457</v>
      </c>
      <c r="F182" s="102">
        <f t="shared" si="223"/>
        <v>41982.541310840381</v>
      </c>
      <c r="G182" s="102">
        <f t="shared" si="223"/>
        <v>42018.41098797899</v>
      </c>
      <c r="H182" s="102">
        <f t="shared" si="223"/>
        <v>42057.018796871133</v>
      </c>
      <c r="I182" s="102">
        <f t="shared" si="223"/>
        <v>42093.035569555985</v>
      </c>
      <c r="J182" s="102">
        <f t="shared" si="223"/>
        <v>42128.412211404095</v>
      </c>
      <c r="K182" s="102">
        <f t="shared" si="223"/>
        <v>42164.953400782309</v>
      </c>
      <c r="L182" s="102">
        <f t="shared" si="223"/>
        <v>42208.409063668209</v>
      </c>
      <c r="M182" s="102">
        <f t="shared" si="222"/>
        <v>42242.544386456051</v>
      </c>
      <c r="N182" s="102">
        <f t="shared" si="223"/>
        <v>42280.490587589848</v>
      </c>
      <c r="O182" s="102">
        <f t="shared" si="223"/>
        <v>42313.155735607339</v>
      </c>
      <c r="P182" s="102">
        <f t="shared" si="223"/>
        <v>42353.934459000979</v>
      </c>
      <c r="Q182" s="102">
        <f t="shared" si="223"/>
        <v>42391.283729378221</v>
      </c>
      <c r="R182" s="102">
        <f t="shared" si="223"/>
        <v>42371.660970611432</v>
      </c>
      <c r="S182" s="102">
        <f t="shared" si="223"/>
        <v>42368.900423978608</v>
      </c>
      <c r="T182" s="102">
        <f t="shared" si="223"/>
        <v>42331.25919229156</v>
      </c>
      <c r="U182" s="102">
        <f t="shared" si="223"/>
        <v>42302.859187978116</v>
      </c>
      <c r="V182" s="102">
        <f t="shared" si="223"/>
        <v>40867.385735683383</v>
      </c>
      <c r="W182" s="102">
        <f t="shared" si="221"/>
        <v>42120.902315785315</v>
      </c>
      <c r="X182" s="102">
        <f t="shared" si="221"/>
        <v>41992.926125458187</v>
      </c>
      <c r="Y182" s="102">
        <f t="shared" si="221"/>
        <v>41898.517496808126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20617.416229528957</v>
      </c>
      <c r="C183" s="28">
        <f t="shared" si="223"/>
        <v>21857.32110603619</v>
      </c>
      <c r="D183" s="28">
        <f t="shared" si="223"/>
        <v>23206.182600780783</v>
      </c>
      <c r="E183" s="28">
        <f t="shared" si="223"/>
        <v>22993.549114549398</v>
      </c>
      <c r="F183" s="28">
        <f t="shared" si="223"/>
        <v>23437.890517667842</v>
      </c>
      <c r="G183" s="28">
        <f t="shared" si="223"/>
        <v>22329.59654284751</v>
      </c>
      <c r="H183" s="28">
        <f t="shared" si="223"/>
        <v>22353.913498273643</v>
      </c>
      <c r="I183" s="28">
        <f t="shared" si="223"/>
        <v>22845.92047877884</v>
      </c>
      <c r="J183" s="28">
        <f t="shared" si="223"/>
        <v>21921.910092340713</v>
      </c>
      <c r="K183" s="28">
        <f t="shared" si="223"/>
        <v>19495.813044414906</v>
      </c>
      <c r="L183" s="28">
        <f t="shared" si="223"/>
        <v>19786.132028465698</v>
      </c>
      <c r="M183" s="28">
        <f t="shared" si="222"/>
        <v>19887.277666136488</v>
      </c>
      <c r="N183" s="28">
        <f t="shared" si="223"/>
        <v>21132.154980253119</v>
      </c>
      <c r="O183" s="28">
        <f t="shared" si="223"/>
        <v>21005.700666493001</v>
      </c>
      <c r="P183" s="28">
        <f t="shared" si="223"/>
        <v>22750.032924422761</v>
      </c>
      <c r="Q183" s="28">
        <f t="shared" si="223"/>
        <v>21733.666416130247</v>
      </c>
      <c r="R183" s="28">
        <f t="shared" si="223"/>
        <v>21955.265605463559</v>
      </c>
      <c r="S183" s="28">
        <f t="shared" si="223"/>
        <v>21183.874758259168</v>
      </c>
      <c r="T183" s="28">
        <f t="shared" si="223"/>
        <v>21030.897999613557</v>
      </c>
      <c r="U183" s="28">
        <f t="shared" si="223"/>
        <v>20598.120645744384</v>
      </c>
      <c r="V183" s="28">
        <f t="shared" si="223"/>
        <v>19256.188859968468</v>
      </c>
      <c r="W183" s="28">
        <f t="shared" si="221"/>
        <v>20002.147806901139</v>
      </c>
      <c r="X183" s="28">
        <f t="shared" si="221"/>
        <v>18008.967577563177</v>
      </c>
      <c r="Y183" s="28">
        <f t="shared" si="221"/>
        <v>17033.063291479288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20585.19062900262</v>
      </c>
      <c r="C184" s="137">
        <f t="shared" si="223"/>
        <v>20261.017823636856</v>
      </c>
      <c r="D184" s="137">
        <f t="shared" si="223"/>
        <v>20414.014766580662</v>
      </c>
      <c r="E184" s="137">
        <f t="shared" si="223"/>
        <v>20310.09295664079</v>
      </c>
      <c r="F184" s="137">
        <f t="shared" si="223"/>
        <v>20073.905176154985</v>
      </c>
      <c r="G184" s="137">
        <f t="shared" si="223"/>
        <v>19968.450071698131</v>
      </c>
      <c r="H184" s="137">
        <f t="shared" si="223"/>
        <v>19983.045322827362</v>
      </c>
      <c r="I184" s="137">
        <f t="shared" si="223"/>
        <v>20304.004043046243</v>
      </c>
      <c r="J184" s="137">
        <f t="shared" si="223"/>
        <v>20035.638052770038</v>
      </c>
      <c r="K184" s="137">
        <f t="shared" si="223"/>
        <v>19452.336275811362</v>
      </c>
      <c r="L184" s="137">
        <f t="shared" si="223"/>
        <v>19546.571512192564</v>
      </c>
      <c r="M184" s="137">
        <f t="shared" si="222"/>
        <v>19650.041624156656</v>
      </c>
      <c r="N184" s="137">
        <f t="shared" si="223"/>
        <v>19150.582177663902</v>
      </c>
      <c r="O184" s="137">
        <f t="shared" si="223"/>
        <v>18618.505100931023</v>
      </c>
      <c r="P184" s="137">
        <f t="shared" si="223"/>
        <v>19112.402044990507</v>
      </c>
      <c r="Q184" s="137">
        <f t="shared" si="223"/>
        <v>19261.109888246221</v>
      </c>
      <c r="R184" s="137">
        <f t="shared" si="223"/>
        <v>19447.973041490797</v>
      </c>
      <c r="S184" s="137">
        <f t="shared" si="223"/>
        <v>18998.668901643112</v>
      </c>
      <c r="T184" s="137">
        <f t="shared" si="223"/>
        <v>18827.418099424136</v>
      </c>
      <c r="U184" s="137">
        <f t="shared" si="223"/>
        <v>18503.552433489735</v>
      </c>
      <c r="V184" s="137">
        <f t="shared" si="223"/>
        <v>17944.010375876333</v>
      </c>
      <c r="W184" s="137">
        <f t="shared" si="221"/>
        <v>17999.154020726164</v>
      </c>
      <c r="X184" s="137">
        <f t="shared" si="221"/>
        <v>15845.471666974316</v>
      </c>
      <c r="Y184" s="137">
        <f t="shared" si="221"/>
        <v>15330.656084002198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11291.915540567241</v>
      </c>
      <c r="C185" s="84">
        <f t="shared" si="223"/>
        <v>10985.373315996618</v>
      </c>
      <c r="D185" s="84">
        <f t="shared" si="223"/>
        <v>10956.100530343319</v>
      </c>
      <c r="E185" s="84">
        <f t="shared" si="223"/>
        <v>10786.858823218121</v>
      </c>
      <c r="F185" s="84">
        <f t="shared" si="223"/>
        <v>10547.517771728968</v>
      </c>
      <c r="G185" s="84">
        <f t="shared" si="223"/>
        <v>10385.399653729342</v>
      </c>
      <c r="H185" s="84">
        <f t="shared" si="223"/>
        <v>10290.616071923359</v>
      </c>
      <c r="I185" s="84">
        <f t="shared" si="223"/>
        <v>10360.40107748391</v>
      </c>
      <c r="J185" s="84">
        <f t="shared" si="223"/>
        <v>10115.183782612688</v>
      </c>
      <c r="K185" s="84">
        <f t="shared" si="223"/>
        <v>9709.0181018758503</v>
      </c>
      <c r="L185" s="84">
        <f t="shared" si="223"/>
        <v>9661.513402656723</v>
      </c>
      <c r="M185" s="84">
        <f t="shared" si="222"/>
        <v>9619.3188037049222</v>
      </c>
      <c r="N185" s="84">
        <f t="shared" si="223"/>
        <v>9267.9549231568199</v>
      </c>
      <c r="O185" s="84">
        <f t="shared" si="223"/>
        <v>8905.3445422271925</v>
      </c>
      <c r="P185" s="84">
        <f t="shared" si="223"/>
        <v>9061.9958149941449</v>
      </c>
      <c r="Q185" s="84">
        <f t="shared" si="223"/>
        <v>9162.3994214116337</v>
      </c>
      <c r="R185" s="84">
        <f t="shared" si="223"/>
        <v>9245.7685134035492</v>
      </c>
      <c r="S185" s="84">
        <f t="shared" si="223"/>
        <v>9032.0565232792214</v>
      </c>
      <c r="T185" s="84">
        <f t="shared" si="223"/>
        <v>9114.2231410271779</v>
      </c>
      <c r="U185" s="84">
        <f t="shared" si="223"/>
        <v>8960.0171133494932</v>
      </c>
      <c r="V185" s="84">
        <f t="shared" si="223"/>
        <v>8691.6783782377515</v>
      </c>
      <c r="W185" s="84">
        <f t="shared" si="221"/>
        <v>8724.8969509138242</v>
      </c>
      <c r="X185" s="84">
        <f t="shared" si="221"/>
        <v>7683.8201624316926</v>
      </c>
      <c r="Y185" s="84">
        <f t="shared" si="221"/>
        <v>7454.397624334244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22703.630072150328</v>
      </c>
      <c r="C186" s="84">
        <f t="shared" si="223"/>
        <v>21992.329844447831</v>
      </c>
      <c r="D186" s="84">
        <f t="shared" si="223"/>
        <v>21898.081638868483</v>
      </c>
      <c r="E186" s="84">
        <f t="shared" si="223"/>
        <v>21598.483222475308</v>
      </c>
      <c r="F186" s="84">
        <f t="shared" si="223"/>
        <v>21155.473870827365</v>
      </c>
      <c r="G186" s="84">
        <f t="shared" si="223"/>
        <v>20878.711901275772</v>
      </c>
      <c r="H186" s="84">
        <f t="shared" si="223"/>
        <v>20768.559757231647</v>
      </c>
      <c r="I186" s="84">
        <f t="shared" si="223"/>
        <v>20999.799852217679</v>
      </c>
      <c r="J186" s="84">
        <f t="shared" si="223"/>
        <v>20666.841536398759</v>
      </c>
      <c r="K186" s="84">
        <f t="shared" si="223"/>
        <v>20016.478876289719</v>
      </c>
      <c r="L186" s="84">
        <f t="shared" si="223"/>
        <v>20085.113253032461</v>
      </c>
      <c r="M186" s="84">
        <f t="shared" si="222"/>
        <v>20156.833989301223</v>
      </c>
      <c r="N186" s="84">
        <f t="shared" si="223"/>
        <v>19609.222861475195</v>
      </c>
      <c r="O186" s="84">
        <f t="shared" si="223"/>
        <v>19070.365758049509</v>
      </c>
      <c r="P186" s="84">
        <f t="shared" si="223"/>
        <v>19565.017508221728</v>
      </c>
      <c r="Q186" s="84">
        <f t="shared" si="223"/>
        <v>19695.064700137336</v>
      </c>
      <c r="R186" s="84">
        <f t="shared" si="223"/>
        <v>19874.270995917821</v>
      </c>
      <c r="S186" s="84">
        <f t="shared" si="223"/>
        <v>19414.885710568051</v>
      </c>
      <c r="T186" s="84">
        <f t="shared" si="223"/>
        <v>19241.540539593785</v>
      </c>
      <c r="U186" s="84">
        <f t="shared" si="223"/>
        <v>18915.987666123598</v>
      </c>
      <c r="V186" s="84">
        <f t="shared" si="223"/>
        <v>18349.482921824132</v>
      </c>
      <c r="W186" s="84">
        <f t="shared" si="221"/>
        <v>18419.612487770009</v>
      </c>
      <c r="X186" s="84">
        <f t="shared" si="221"/>
        <v>16221.737702344091</v>
      </c>
      <c r="Y186" s="84">
        <f t="shared" si="221"/>
        <v>15737.391093840817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10899.006896143021</v>
      </c>
      <c r="P187" s="84">
        <f t="shared" si="223"/>
        <v>11430.24017610438</v>
      </c>
      <c r="Q187" s="84">
        <f t="shared" si="223"/>
        <v>11762.407063915138</v>
      </c>
      <c r="R187" s="84">
        <f t="shared" si="223"/>
        <v>11749.54047438503</v>
      </c>
      <c r="S187" s="84">
        <f t="shared" si="223"/>
        <v>11362.015926768252</v>
      </c>
      <c r="T187" s="84">
        <f t="shared" si="223"/>
        <v>11146.827403055499</v>
      </c>
      <c r="U187" s="84">
        <f t="shared" si="223"/>
        <v>10847.541985442243</v>
      </c>
      <c r="V187" s="84">
        <f t="shared" si="223"/>
        <v>10416.38513850669</v>
      </c>
      <c r="W187" s="84">
        <f t="shared" si="221"/>
        <v>10350.577202882778</v>
      </c>
      <c r="X187" s="84">
        <f t="shared" si="221"/>
        <v>9023.4441709159673</v>
      </c>
      <c r="Y187" s="84">
        <f t="shared" si="221"/>
        <v>8665.5988294433264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X188" s="84">
        <f t="shared" si="221"/>
        <v>0</v>
      </c>
      <c r="Y188" s="84">
        <f t="shared" si="221"/>
        <v>0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13177.800179156711</v>
      </c>
      <c r="I189" s="84">
        <f t="shared" si="223"/>
        <v>13188.289401269745</v>
      </c>
      <c r="J189" s="84">
        <f t="shared" si="223"/>
        <v>13197.086398003126</v>
      </c>
      <c r="K189" s="84">
        <f t="shared" si="223"/>
        <v>13216.602434019092</v>
      </c>
      <c r="L189" s="84">
        <f t="shared" si="223"/>
        <v>13219.778248323613</v>
      </c>
      <c r="M189" s="84">
        <f t="shared" si="222"/>
        <v>13223.28729328101</v>
      </c>
      <c r="N189" s="84">
        <f t="shared" si="223"/>
        <v>13240.463763683194</v>
      </c>
      <c r="O189" s="84">
        <f t="shared" si="223"/>
        <v>13259.367481427547</v>
      </c>
      <c r="P189" s="84">
        <f t="shared" si="223"/>
        <v>13276.67157217557</v>
      </c>
      <c r="Q189" s="84">
        <f t="shared" si="223"/>
        <v>13282.01075642728</v>
      </c>
      <c r="R189" s="84">
        <f t="shared" si="223"/>
        <v>13269.930739852778</v>
      </c>
      <c r="S189" s="84">
        <f t="shared" si="223"/>
        <v>13261.506649924713</v>
      </c>
      <c r="T189" s="84">
        <f t="shared" si="223"/>
        <v>13260.823528789884</v>
      </c>
      <c r="U189" s="84">
        <f t="shared" si="223"/>
        <v>13256.395340758612</v>
      </c>
      <c r="V189" s="84">
        <f t="shared" si="223"/>
        <v>13065.044276417726</v>
      </c>
      <c r="W189" s="84">
        <f t="shared" si="221"/>
        <v>13252.298606430872</v>
      </c>
      <c r="X189" s="84">
        <f t="shared" si="221"/>
        <v>13177.278012634288</v>
      </c>
      <c r="Y189" s="84">
        <f t="shared" si="221"/>
        <v>13164.569727086835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20684.804370685979</v>
      </c>
      <c r="C190" s="110">
        <f t="shared" si="223"/>
        <v>25973.043164157672</v>
      </c>
      <c r="D190" s="110">
        <f t="shared" si="223"/>
        <v>31615.913227432287</v>
      </c>
      <c r="E190" s="110">
        <f t="shared" si="223"/>
        <v>31395.35975098153</v>
      </c>
      <c r="F190" s="110">
        <f t="shared" si="223"/>
        <v>35113.94545963838</v>
      </c>
      <c r="G190" s="110">
        <f t="shared" si="223"/>
        <v>29741.714776013661</v>
      </c>
      <c r="H190" s="110">
        <f t="shared" si="223"/>
        <v>30040.010719151131</v>
      </c>
      <c r="I190" s="110">
        <f t="shared" si="223"/>
        <v>31881.618176984972</v>
      </c>
      <c r="J190" s="110">
        <f t="shared" si="223"/>
        <v>27957.704242111256</v>
      </c>
      <c r="K190" s="110">
        <f t="shared" si="223"/>
        <v>19623.185420225131</v>
      </c>
      <c r="L190" s="110">
        <f t="shared" si="223"/>
        <v>20506.379934506887</v>
      </c>
      <c r="M190" s="110">
        <f t="shared" si="222"/>
        <v>20628.44470697935</v>
      </c>
      <c r="N190" s="110">
        <f t="shared" si="223"/>
        <v>28057.986470164036</v>
      </c>
      <c r="O190" s="110">
        <f t="shared" si="223"/>
        <v>32153.072997399624</v>
      </c>
      <c r="P190" s="110">
        <f t="shared" si="223"/>
        <v>42545.657864756169</v>
      </c>
      <c r="Q190" s="110">
        <f t="shared" si="223"/>
        <v>35163.876425149523</v>
      </c>
      <c r="R190" s="110">
        <f t="shared" si="223"/>
        <v>35724.591153432491</v>
      </c>
      <c r="S190" s="110">
        <f t="shared" si="223"/>
        <v>32627.753205080808</v>
      </c>
      <c r="T190" s="110">
        <f t="shared" si="223"/>
        <v>33753.193080117511</v>
      </c>
      <c r="U190" s="110">
        <f t="shared" si="223"/>
        <v>32589.713835657058</v>
      </c>
      <c r="V190" s="110">
        <f t="shared" si="223"/>
        <v>26248.565889592406</v>
      </c>
      <c r="W190" s="110">
        <f t="shared" si="221"/>
        <v>32205.139614865715</v>
      </c>
      <c r="X190" s="110">
        <f t="shared" si="221"/>
        <v>31210.740821005955</v>
      </c>
      <c r="Y190" s="110">
        <f t="shared" si="221"/>
        <v>27515.592431858877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11149.073907570581</v>
      </c>
      <c r="C191" s="102">
        <f t="shared" si="223"/>
        <v>14969.428631667721</v>
      </c>
      <c r="D191" s="102">
        <f t="shared" si="223"/>
        <v>19780.743565300287</v>
      </c>
      <c r="E191" s="102">
        <f t="shared" si="223"/>
        <v>19271.948608137045</v>
      </c>
      <c r="F191" s="102">
        <f t="shared" si="223"/>
        <v>20316.622691292876</v>
      </c>
      <c r="G191" s="102">
        <f t="shared" si="223"/>
        <v>15710.233471525202</v>
      </c>
      <c r="H191" s="102">
        <f t="shared" si="223"/>
        <v>16916.895749629944</v>
      </c>
      <c r="I191" s="102">
        <f t="shared" si="223"/>
        <v>17575.083426028919</v>
      </c>
      <c r="J191" s="102">
        <f t="shared" si="223"/>
        <v>13575.490735644837</v>
      </c>
      <c r="K191" s="102">
        <f t="shared" si="223"/>
        <v>7253.0864197530864</v>
      </c>
      <c r="L191" s="102">
        <f t="shared" si="223"/>
        <v>7963.2465543644721</v>
      </c>
      <c r="M191" s="102">
        <f t="shared" si="222"/>
        <v>8447.7296726504755</v>
      </c>
      <c r="N191" s="102">
        <f t="shared" si="223"/>
        <v>14831.905075807515</v>
      </c>
      <c r="O191" s="102">
        <f t="shared" si="223"/>
        <v>15725.359911406424</v>
      </c>
      <c r="P191" s="102">
        <f t="shared" si="223"/>
        <v>25804.735301942004</v>
      </c>
      <c r="Q191" s="102">
        <f t="shared" si="223"/>
        <v>20042.949176807444</v>
      </c>
      <c r="R191" s="102">
        <f t="shared" si="223"/>
        <v>20185.614849187936</v>
      </c>
      <c r="S191" s="102">
        <f t="shared" si="223"/>
        <v>17213.114754098362</v>
      </c>
      <c r="T191" s="102">
        <f t="shared" si="223"/>
        <v>18490.647172651043</v>
      </c>
      <c r="U191" s="102">
        <f t="shared" si="223"/>
        <v>17329.255861365953</v>
      </c>
      <c r="V191" s="102">
        <f t="shared" si="223"/>
        <v>12649.454167388667</v>
      </c>
      <c r="W191" s="102">
        <f t="shared" si="221"/>
        <v>17336.485421591806</v>
      </c>
      <c r="X191" s="102">
        <f t="shared" si="221"/>
        <v>16352.918805856627</v>
      </c>
      <c r="Y191" s="102">
        <f t="shared" si="221"/>
        <v>13986.013986013986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84961.406922667462</v>
      </c>
      <c r="C192" s="86">
        <f t="shared" si="223"/>
        <v>85011.667290401805</v>
      </c>
      <c r="D192" s="86">
        <f t="shared" si="223"/>
        <v>85014.162584750447</v>
      </c>
      <c r="E192" s="86">
        <f t="shared" si="223"/>
        <v>84975.48281446773</v>
      </c>
      <c r="F192" s="86">
        <f t="shared" si="223"/>
        <v>85008.832730127237</v>
      </c>
      <c r="G192" s="86">
        <f t="shared" si="223"/>
        <v>84987.658778136174</v>
      </c>
      <c r="H192" s="86">
        <f t="shared" si="223"/>
        <v>85008.31071106052</v>
      </c>
      <c r="I192" s="86">
        <f t="shared" si="223"/>
        <v>84984.734366536955</v>
      </c>
      <c r="J192" s="86">
        <f t="shared" si="223"/>
        <v>85015.525074533711</v>
      </c>
      <c r="K192" s="86">
        <f t="shared" si="223"/>
        <v>85005.111621741307</v>
      </c>
      <c r="L192" s="86">
        <f t="shared" si="223"/>
        <v>84999.813770987181</v>
      </c>
      <c r="M192" s="86">
        <f t="shared" si="222"/>
        <v>84967.855035717308</v>
      </c>
      <c r="N192" s="86">
        <f t="shared" si="223"/>
        <v>85017.434235213965</v>
      </c>
      <c r="O192" s="86">
        <f t="shared" si="223"/>
        <v>85019.163220677801</v>
      </c>
      <c r="P192" s="86">
        <f t="shared" si="223"/>
        <v>85007.957401610722</v>
      </c>
      <c r="Q192" s="86">
        <f t="shared" si="223"/>
        <v>85023.676659454504</v>
      </c>
      <c r="R192" s="86">
        <f t="shared" si="223"/>
        <v>84969.435176442799</v>
      </c>
      <c r="S192" s="86">
        <f t="shared" si="223"/>
        <v>84975.307582808236</v>
      </c>
      <c r="T192" s="86">
        <f t="shared" si="223"/>
        <v>84969.716179415162</v>
      </c>
      <c r="U192" s="86">
        <f t="shared" si="223"/>
        <v>85007.463390207384</v>
      </c>
      <c r="V192" s="86">
        <f t="shared" ref="V192:W192" si="224">IF(V55=0,0,V55*1000000/V82)</f>
        <v>84991.435462075766</v>
      </c>
      <c r="W192" s="86">
        <f t="shared" si="224"/>
        <v>84983.663170850588</v>
      </c>
      <c r="X192" s="86">
        <f t="shared" ref="X192:Y192" si="225">IF(X55=0,0,X55*1000000/X82)</f>
        <v>84987.262484922234</v>
      </c>
      <c r="Y192" s="86">
        <f t="shared" si="225"/>
        <v>84982.811771140652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21905.15978922095</v>
      </c>
      <c r="C195" s="28">
        <f t="shared" si="226"/>
        <v>22215.91404764825</v>
      </c>
      <c r="D195" s="28">
        <f t="shared" si="226"/>
        <v>22236.184010326684</v>
      </c>
      <c r="E195" s="28">
        <f t="shared" si="226"/>
        <v>22077.157134500321</v>
      </c>
      <c r="F195" s="28">
        <f t="shared" si="226"/>
        <v>21983.113350410098</v>
      </c>
      <c r="G195" s="28">
        <f t="shared" si="226"/>
        <v>22066.18543476288</v>
      </c>
      <c r="H195" s="28">
        <f t="shared" si="226"/>
        <v>22102.150190056636</v>
      </c>
      <c r="I195" s="28">
        <f t="shared" si="226"/>
        <v>22000.224354895796</v>
      </c>
      <c r="J195" s="28">
        <f t="shared" si="226"/>
        <v>21968.097422749637</v>
      </c>
      <c r="K195" s="28">
        <f t="shared" si="226"/>
        <v>21648.755337020651</v>
      </c>
      <c r="L195" s="28">
        <f t="shared" si="226"/>
        <v>20764.159644404474</v>
      </c>
      <c r="M195" s="28">
        <f>IF(M4=0,0,M4*1000000/M58)</f>
        <v>20603.060509939016</v>
      </c>
      <c r="N195" s="28">
        <f t="shared" ref="N195:V195" si="227">IF(N4=0,0,N4*1000000/N58)</f>
        <v>20410.135327294585</v>
      </c>
      <c r="O195" s="28">
        <f t="shared" si="227"/>
        <v>20311.08490059742</v>
      </c>
      <c r="P195" s="28">
        <f t="shared" si="227"/>
        <v>20484.234473322351</v>
      </c>
      <c r="Q195" s="28">
        <f t="shared" si="227"/>
        <v>20619.995061115322</v>
      </c>
      <c r="R195" s="28">
        <f t="shared" si="227"/>
        <v>20620.722476174411</v>
      </c>
      <c r="S195" s="28">
        <f t="shared" si="227"/>
        <v>20327.178834012426</v>
      </c>
      <c r="T195" s="28">
        <f t="shared" si="227"/>
        <v>20193.567313080348</v>
      </c>
      <c r="U195" s="28">
        <f t="shared" si="227"/>
        <v>20053.535707080555</v>
      </c>
      <c r="V195" s="28">
        <f t="shared" si="227"/>
        <v>17023.427278962983</v>
      </c>
      <c r="W195" s="28">
        <f t="shared" ref="W195:Y195" si="228">IF(W4=0,0,W4*1000000/W58)</f>
        <v>17863.207144944521</v>
      </c>
      <c r="X195" s="28">
        <f t="shared" si="228"/>
        <v>19111.170024939165</v>
      </c>
      <c r="Y195" s="28">
        <f t="shared" si="228"/>
        <v>19816.21366771025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3971.4358321600121</v>
      </c>
      <c r="C196" s="137">
        <f t="shared" si="229"/>
        <v>3699.6132374252179</v>
      </c>
      <c r="D196" s="137">
        <f t="shared" si="229"/>
        <v>3535.5282219583305</v>
      </c>
      <c r="E196" s="137">
        <f t="shared" si="229"/>
        <v>3236.8077288617087</v>
      </c>
      <c r="F196" s="137">
        <f t="shared" si="229"/>
        <v>3150.9273540061804</v>
      </c>
      <c r="G196" s="137">
        <f t="shared" si="229"/>
        <v>3014.8808204975935</v>
      </c>
      <c r="H196" s="137">
        <f t="shared" si="229"/>
        <v>2836.2393571626658</v>
      </c>
      <c r="I196" s="137">
        <f t="shared" si="229"/>
        <v>2726.6628615546383</v>
      </c>
      <c r="J196" s="137">
        <f t="shared" si="229"/>
        <v>2577.0918324225599</v>
      </c>
      <c r="K196" s="137">
        <f t="shared" si="229"/>
        <v>2484.5490456112593</v>
      </c>
      <c r="L196" s="137">
        <f t="shared" si="229"/>
        <v>2406.0736220415261</v>
      </c>
      <c r="M196" s="137">
        <f>IF(M5=0,0,M5*1000000/M59)</f>
        <v>2349.5360236391257</v>
      </c>
      <c r="N196" s="137">
        <f t="shared" ref="N196:V196" si="230">IF(N5=0,0,N5*1000000/N59)</f>
        <v>2358.0923656483938</v>
      </c>
      <c r="O196" s="137">
        <f t="shared" si="230"/>
        <v>2304.5773370326929</v>
      </c>
      <c r="P196" s="137">
        <f t="shared" si="230"/>
        <v>2282.7434920455789</v>
      </c>
      <c r="Q196" s="137">
        <f t="shared" si="230"/>
        <v>2305.3217707827375</v>
      </c>
      <c r="R196" s="137">
        <f t="shared" si="230"/>
        <v>2339.3783444814335</v>
      </c>
      <c r="S196" s="137">
        <f t="shared" si="230"/>
        <v>2141.5539921295922</v>
      </c>
      <c r="T196" s="137">
        <f t="shared" si="230"/>
        <v>2013.915392747354</v>
      </c>
      <c r="U196" s="137">
        <f t="shared" si="230"/>
        <v>2119.6555761150044</v>
      </c>
      <c r="V196" s="137">
        <f t="shared" si="230"/>
        <v>1826.7435544923076</v>
      </c>
      <c r="W196" s="137">
        <f t="shared" ref="W196:Y196" si="231">IF(W5=0,0,W5*1000000/W59)</f>
        <v>1812.487331976617</v>
      </c>
      <c r="X196" s="137">
        <f t="shared" si="231"/>
        <v>1778.0940584277159</v>
      </c>
      <c r="Y196" s="137">
        <f t="shared" si="231"/>
        <v>1876.841214238013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20322.62161818875</v>
      </c>
      <c r="C197" s="110">
        <f t="shared" si="232"/>
        <v>20620.755857361255</v>
      </c>
      <c r="D197" s="110">
        <f t="shared" si="232"/>
        <v>20557.491289198606</v>
      </c>
      <c r="E197" s="110">
        <f t="shared" si="232"/>
        <v>20463.149278673987</v>
      </c>
      <c r="F197" s="110">
        <f t="shared" si="232"/>
        <v>20384.975270685736</v>
      </c>
      <c r="G197" s="110">
        <f t="shared" si="232"/>
        <v>20501.806111490772</v>
      </c>
      <c r="H197" s="110">
        <f t="shared" si="232"/>
        <v>20607.444042863481</v>
      </c>
      <c r="I197" s="110">
        <f t="shared" si="232"/>
        <v>20496.894409937886</v>
      </c>
      <c r="J197" s="110">
        <f t="shared" si="232"/>
        <v>20426.829268292684</v>
      </c>
      <c r="K197" s="110">
        <f t="shared" si="232"/>
        <v>20211.039450742377</v>
      </c>
      <c r="L197" s="110">
        <f t="shared" si="232"/>
        <v>19276.393831553978</v>
      </c>
      <c r="M197" s="110">
        <f>IF(M6=0,0,M6*1000000/M60)</f>
        <v>19073.373910826307</v>
      </c>
      <c r="N197" s="110">
        <f t="shared" ref="N197:V197" si="233">IF(N6=0,0,N6*1000000/N60)</f>
        <v>18918.608285073617</v>
      </c>
      <c r="O197" s="110">
        <f t="shared" si="233"/>
        <v>18860.253628379018</v>
      </c>
      <c r="P197" s="110">
        <f t="shared" si="233"/>
        <v>19130.578087516413</v>
      </c>
      <c r="Q197" s="110">
        <f t="shared" si="233"/>
        <v>19210.96989702712</v>
      </c>
      <c r="R197" s="110">
        <f t="shared" si="233"/>
        <v>19249.799784289342</v>
      </c>
      <c r="S197" s="110">
        <f t="shared" si="233"/>
        <v>18957.159741820222</v>
      </c>
      <c r="T197" s="110">
        <f t="shared" si="233"/>
        <v>18819.009649181909</v>
      </c>
      <c r="U197" s="110">
        <f t="shared" si="233"/>
        <v>18603.263158956492</v>
      </c>
      <c r="V197" s="110">
        <f t="shared" si="233"/>
        <v>16324.064677678185</v>
      </c>
      <c r="W197" s="110">
        <f t="shared" ref="W197:Y209" si="234">IF(W6=0,0,W6*1000000/W60)</f>
        <v>17165.354493400493</v>
      </c>
      <c r="X197" s="110">
        <f t="shared" si="234"/>
        <v>17835.698940791066</v>
      </c>
      <c r="Y197" s="110">
        <f t="shared" si="234"/>
        <v>18341.166310784665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19165.327330519121</v>
      </c>
      <c r="C198" s="84">
        <f t="shared" si="232"/>
        <v>19323.848152128605</v>
      </c>
      <c r="D198" s="84">
        <f t="shared" si="232"/>
        <v>19147.445093041028</v>
      </c>
      <c r="E198" s="84">
        <f t="shared" si="232"/>
        <v>19061.112186434129</v>
      </c>
      <c r="F198" s="84">
        <f t="shared" si="232"/>
        <v>18971.07596007589</v>
      </c>
      <c r="G198" s="84">
        <f t="shared" si="232"/>
        <v>19212.251593571167</v>
      </c>
      <c r="H198" s="84">
        <f t="shared" si="232"/>
        <v>19353.462824083188</v>
      </c>
      <c r="I198" s="84">
        <f t="shared" si="232"/>
        <v>19659.435190258693</v>
      </c>
      <c r="J198" s="84">
        <f t="shared" si="232"/>
        <v>20049.62413233241</v>
      </c>
      <c r="K198" s="84">
        <f t="shared" si="232"/>
        <v>19946.112326656588</v>
      </c>
      <c r="L198" s="84">
        <f t="shared" si="232"/>
        <v>19179.539076180656</v>
      </c>
      <c r="M198" s="84">
        <f t="shared" ref="M198:M219" si="235">IF(M7=0,0,M7*1000000/M61)</f>
        <v>19352.900875574123</v>
      </c>
      <c r="N198" s="84">
        <f t="shared" si="232"/>
        <v>19200.280382598081</v>
      </c>
      <c r="O198" s="84">
        <f t="shared" si="232"/>
        <v>18636.450689942922</v>
      </c>
      <c r="P198" s="84">
        <f t="shared" si="232"/>
        <v>18369.868234101054</v>
      </c>
      <c r="Q198" s="84">
        <f t="shared" si="232"/>
        <v>18193.73369805015</v>
      </c>
      <c r="R198" s="84">
        <f t="shared" si="232"/>
        <v>18248.189080371838</v>
      </c>
      <c r="S198" s="84">
        <f t="shared" si="232"/>
        <v>18005.513538902949</v>
      </c>
      <c r="T198" s="84">
        <f t="shared" si="232"/>
        <v>17913.940334682695</v>
      </c>
      <c r="U198" s="84">
        <f t="shared" si="232"/>
        <v>17760.245992011027</v>
      </c>
      <c r="V198" s="84">
        <f t="shared" si="232"/>
        <v>15626.521846400125</v>
      </c>
      <c r="W198" s="84">
        <f t="shared" si="234"/>
        <v>16493.619061371486</v>
      </c>
      <c r="X198" s="84">
        <f t="shared" si="234"/>
        <v>17220.219535209977</v>
      </c>
      <c r="Y198" s="84">
        <f t="shared" si="234"/>
        <v>17844.252524193573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23232.581857401579</v>
      </c>
      <c r="C199" s="84">
        <f t="shared" si="232"/>
        <v>23335.859548159453</v>
      </c>
      <c r="D199" s="84">
        <f t="shared" si="232"/>
        <v>23076.591040326042</v>
      </c>
      <c r="E199" s="84">
        <f t="shared" si="232"/>
        <v>22619.504580210494</v>
      </c>
      <c r="F199" s="84">
        <f t="shared" si="232"/>
        <v>22192.402061567318</v>
      </c>
      <c r="G199" s="84">
        <f t="shared" si="232"/>
        <v>21873.216368106667</v>
      </c>
      <c r="H199" s="84">
        <f t="shared" si="232"/>
        <v>21707.567929813937</v>
      </c>
      <c r="I199" s="84">
        <f t="shared" si="232"/>
        <v>21134.076665006214</v>
      </c>
      <c r="J199" s="84">
        <f t="shared" si="232"/>
        <v>20692.804444187845</v>
      </c>
      <c r="K199" s="84">
        <f t="shared" si="232"/>
        <v>20387.687263193915</v>
      </c>
      <c r="L199" s="84">
        <f t="shared" si="232"/>
        <v>19348.732241691549</v>
      </c>
      <c r="M199" s="84">
        <f t="shared" si="235"/>
        <v>18937.804407348944</v>
      </c>
      <c r="N199" s="84">
        <f t="shared" si="232"/>
        <v>18788.054250116904</v>
      </c>
      <c r="O199" s="84">
        <f t="shared" si="232"/>
        <v>18998.548673283116</v>
      </c>
      <c r="P199" s="84">
        <f t="shared" si="232"/>
        <v>19550.503019357788</v>
      </c>
      <c r="Q199" s="84">
        <f t="shared" si="232"/>
        <v>19769.854240355355</v>
      </c>
      <c r="R199" s="84">
        <f t="shared" si="232"/>
        <v>19829.027084641726</v>
      </c>
      <c r="S199" s="84">
        <f t="shared" si="232"/>
        <v>19565.328595801398</v>
      </c>
      <c r="T199" s="84">
        <f t="shared" si="232"/>
        <v>19465.822418025989</v>
      </c>
      <c r="U199" s="84">
        <f t="shared" si="232"/>
        <v>19298.813556479785</v>
      </c>
      <c r="V199" s="84">
        <f t="shared" si="232"/>
        <v>16980.2451939905</v>
      </c>
      <c r="W199" s="84">
        <f t="shared" si="234"/>
        <v>17922.45891640192</v>
      </c>
      <c r="X199" s="84">
        <f t="shared" si="234"/>
        <v>18712.004685135445</v>
      </c>
      <c r="Y199" s="84">
        <f t="shared" si="234"/>
        <v>19390.097562503495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17327.658957744559</v>
      </c>
      <c r="C200" s="84">
        <f t="shared" si="232"/>
        <v>18877.655872190833</v>
      </c>
      <c r="D200" s="84">
        <f t="shared" si="232"/>
        <v>18639.813858446061</v>
      </c>
      <c r="E200" s="84">
        <f t="shared" si="232"/>
        <v>18375.482070921818</v>
      </c>
      <c r="F200" s="84">
        <f t="shared" si="232"/>
        <v>18129.592336287747</v>
      </c>
      <c r="G200" s="84">
        <f t="shared" si="232"/>
        <v>18067.113100401322</v>
      </c>
      <c r="H200" s="84">
        <f t="shared" si="232"/>
        <v>18348.356777290217</v>
      </c>
      <c r="I200" s="84">
        <f t="shared" si="232"/>
        <v>18429.311595577437</v>
      </c>
      <c r="J200" s="84">
        <f t="shared" si="232"/>
        <v>18188.605711686552</v>
      </c>
      <c r="K200" s="84">
        <f t="shared" si="232"/>
        <v>17808.81859407997</v>
      </c>
      <c r="L200" s="84">
        <f t="shared" si="232"/>
        <v>16777.319182920328</v>
      </c>
      <c r="M200" s="84">
        <f t="shared" si="235"/>
        <v>16761.645994468901</v>
      </c>
      <c r="N200" s="84">
        <f t="shared" si="232"/>
        <v>16456.064157556295</v>
      </c>
      <c r="O200" s="84">
        <f t="shared" si="232"/>
        <v>16242.388950985884</v>
      </c>
      <c r="P200" s="84">
        <f t="shared" si="232"/>
        <v>16653.762185069114</v>
      </c>
      <c r="Q200" s="84">
        <f t="shared" si="232"/>
        <v>16886.515664988736</v>
      </c>
      <c r="R200" s="84">
        <f t="shared" si="232"/>
        <v>16594.661111752433</v>
      </c>
      <c r="S200" s="84">
        <f t="shared" si="232"/>
        <v>16034.528303065603</v>
      </c>
      <c r="T200" s="84">
        <f t="shared" si="232"/>
        <v>15934.843836727081</v>
      </c>
      <c r="U200" s="84">
        <f t="shared" si="232"/>
        <v>15775.484448480493</v>
      </c>
      <c r="V200" s="84">
        <f t="shared" si="232"/>
        <v>13587.324671135966</v>
      </c>
      <c r="W200" s="84">
        <f t="shared" si="234"/>
        <v>14310.241488492842</v>
      </c>
      <c r="X200" s="84">
        <f t="shared" si="234"/>
        <v>14907.127339759765</v>
      </c>
      <c r="Y200" s="84">
        <f t="shared" si="234"/>
        <v>15390.605593382958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0</v>
      </c>
      <c r="M201" s="84">
        <f t="shared" si="235"/>
        <v>0</v>
      </c>
      <c r="N201" s="84">
        <f t="shared" si="232"/>
        <v>0</v>
      </c>
      <c r="O201" s="84">
        <f t="shared" si="232"/>
        <v>0</v>
      </c>
      <c r="P201" s="84">
        <f t="shared" si="232"/>
        <v>0</v>
      </c>
      <c r="Q201" s="84">
        <f t="shared" si="232"/>
        <v>0</v>
      </c>
      <c r="R201" s="84">
        <f t="shared" si="232"/>
        <v>0</v>
      </c>
      <c r="S201" s="84">
        <f t="shared" si="232"/>
        <v>0</v>
      </c>
      <c r="T201" s="84">
        <f t="shared" si="232"/>
        <v>0</v>
      </c>
      <c r="U201" s="84">
        <f t="shared" si="232"/>
        <v>0</v>
      </c>
      <c r="V201" s="84">
        <f t="shared" si="232"/>
        <v>0</v>
      </c>
      <c r="W201" s="84">
        <f t="shared" si="234"/>
        <v>0</v>
      </c>
      <c r="X201" s="84">
        <f t="shared" si="234"/>
        <v>0</v>
      </c>
      <c r="Y201" s="84">
        <f t="shared" si="234"/>
        <v>0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17377.380351081807</v>
      </c>
      <c r="O202" s="84">
        <f t="shared" si="232"/>
        <v>17151.742233691202</v>
      </c>
      <c r="P202" s="84">
        <f t="shared" si="232"/>
        <v>17237.906253903893</v>
      </c>
      <c r="Q202" s="84">
        <f t="shared" si="232"/>
        <v>17132.708427094665</v>
      </c>
      <c r="R202" s="84">
        <f t="shared" si="232"/>
        <v>17176.732163027802</v>
      </c>
      <c r="S202" s="84">
        <f t="shared" si="232"/>
        <v>16932.244211299592</v>
      </c>
      <c r="T202" s="84">
        <f t="shared" si="232"/>
        <v>16826.978768112574</v>
      </c>
      <c r="U202" s="84">
        <f t="shared" si="232"/>
        <v>16658.697417507537</v>
      </c>
      <c r="V202" s="84">
        <f t="shared" si="232"/>
        <v>14637.889597954088</v>
      </c>
      <c r="W202" s="84">
        <f t="shared" si="234"/>
        <v>15416.701970300943</v>
      </c>
      <c r="X202" s="84">
        <f t="shared" si="234"/>
        <v>16059.738727344564</v>
      </c>
      <c r="Y202" s="84">
        <f t="shared" si="234"/>
        <v>16580.599269860493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16239.274102258692</v>
      </c>
      <c r="K203" s="84">
        <f t="shared" si="232"/>
        <v>16256.416858776372</v>
      </c>
      <c r="L203" s="84">
        <f t="shared" si="232"/>
        <v>16304.980310709847</v>
      </c>
      <c r="M203" s="84">
        <f t="shared" si="235"/>
        <v>16266.707780253073</v>
      </c>
      <c r="N203" s="84">
        <f t="shared" si="232"/>
        <v>16235.438483295149</v>
      </c>
      <c r="O203" s="84">
        <f t="shared" si="232"/>
        <v>16208.432610785294</v>
      </c>
      <c r="P203" s="84">
        <f t="shared" si="232"/>
        <v>16198.085430511052</v>
      </c>
      <c r="Q203" s="84">
        <f t="shared" si="232"/>
        <v>16400.273344421836</v>
      </c>
      <c r="R203" s="84">
        <f t="shared" si="232"/>
        <v>16186.206123677177</v>
      </c>
      <c r="S203" s="84">
        <f t="shared" si="232"/>
        <v>16092.316246075783</v>
      </c>
      <c r="T203" s="84">
        <f t="shared" si="232"/>
        <v>15846.669871761134</v>
      </c>
      <c r="U203" s="84">
        <f t="shared" si="232"/>
        <v>15693.583817408875</v>
      </c>
      <c r="V203" s="84">
        <f t="shared" si="232"/>
        <v>14005.277885296045</v>
      </c>
      <c r="W203" s="84">
        <f t="shared" si="234"/>
        <v>15122.428193471356</v>
      </c>
      <c r="X203" s="84">
        <f t="shared" si="234"/>
        <v>15281.106453953387</v>
      </c>
      <c r="Y203" s="84">
        <f t="shared" si="234"/>
        <v>15436.058654578916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589914.36726926733</v>
      </c>
      <c r="C204" s="110">
        <f t="shared" si="232"/>
        <v>588235.29411764711</v>
      </c>
      <c r="D204" s="110">
        <f t="shared" si="232"/>
        <v>612244.89795918367</v>
      </c>
      <c r="E204" s="110">
        <f t="shared" si="232"/>
        <v>603096.98451507743</v>
      </c>
      <c r="F204" s="110">
        <f t="shared" si="232"/>
        <v>606776.98975571315</v>
      </c>
      <c r="G204" s="110">
        <f t="shared" si="232"/>
        <v>597014.92537313432</v>
      </c>
      <c r="H204" s="110">
        <f t="shared" si="232"/>
        <v>594633.79260333569</v>
      </c>
      <c r="I204" s="110">
        <f t="shared" si="232"/>
        <v>591065.29209621996</v>
      </c>
      <c r="J204" s="110">
        <f t="shared" si="232"/>
        <v>588996.76375404536</v>
      </c>
      <c r="K204" s="110">
        <f t="shared" si="232"/>
        <v>558147.06607155327</v>
      </c>
      <c r="L204" s="110">
        <f t="shared" si="232"/>
        <v>574572.12713936437</v>
      </c>
      <c r="M204" s="110">
        <f t="shared" si="235"/>
        <v>579935.43530395441</v>
      </c>
      <c r="N204" s="110">
        <f t="shared" si="232"/>
        <v>581546.44009473652</v>
      </c>
      <c r="O204" s="110">
        <f t="shared" si="232"/>
        <v>583546.84182157542</v>
      </c>
      <c r="P204" s="110">
        <f t="shared" si="232"/>
        <v>583546.84182157542</v>
      </c>
      <c r="Q204" s="110">
        <f t="shared" si="232"/>
        <v>588491.86884733743</v>
      </c>
      <c r="R204" s="110">
        <f t="shared" si="232"/>
        <v>582976.72165501129</v>
      </c>
      <c r="S204" s="110">
        <f t="shared" si="232"/>
        <v>583552.99202083412</v>
      </c>
      <c r="T204" s="110">
        <f t="shared" si="232"/>
        <v>573148.23761262395</v>
      </c>
      <c r="U204" s="110">
        <f t="shared" si="232"/>
        <v>565272.40472340409</v>
      </c>
      <c r="V204" s="110">
        <f t="shared" si="232"/>
        <v>369224.55224097922</v>
      </c>
      <c r="W204" s="110">
        <f t="shared" si="234"/>
        <v>381237.70049360697</v>
      </c>
      <c r="X204" s="110">
        <f t="shared" si="234"/>
        <v>489844.83860411798</v>
      </c>
      <c r="Y204" s="110">
        <f t="shared" si="234"/>
        <v>522431.57161204529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0</v>
      </c>
      <c r="E205" s="102">
        <f t="shared" si="232"/>
        <v>0</v>
      </c>
      <c r="F205" s="102">
        <f t="shared" si="232"/>
        <v>0</v>
      </c>
      <c r="G205" s="102">
        <f t="shared" si="232"/>
        <v>0</v>
      </c>
      <c r="H205" s="102">
        <f t="shared" si="232"/>
        <v>0</v>
      </c>
      <c r="I205" s="102">
        <f t="shared" si="232"/>
        <v>0</v>
      </c>
      <c r="J205" s="102">
        <f t="shared" si="232"/>
        <v>0</v>
      </c>
      <c r="K205" s="102">
        <f t="shared" si="232"/>
        <v>0</v>
      </c>
      <c r="L205" s="102">
        <f t="shared" si="232"/>
        <v>0</v>
      </c>
      <c r="M205" s="102">
        <f t="shared" si="235"/>
        <v>0</v>
      </c>
      <c r="N205" s="102">
        <f t="shared" si="232"/>
        <v>0</v>
      </c>
      <c r="O205" s="102">
        <f t="shared" si="232"/>
        <v>0</v>
      </c>
      <c r="P205" s="102">
        <f t="shared" si="232"/>
        <v>0</v>
      </c>
      <c r="Q205" s="102">
        <f t="shared" si="232"/>
        <v>0</v>
      </c>
      <c r="R205" s="102">
        <f t="shared" si="232"/>
        <v>0</v>
      </c>
      <c r="S205" s="102">
        <f t="shared" si="232"/>
        <v>0</v>
      </c>
      <c r="T205" s="102">
        <f t="shared" si="232"/>
        <v>69634.369574643628</v>
      </c>
      <c r="U205" s="102">
        <f t="shared" si="232"/>
        <v>67258.794903531249</v>
      </c>
      <c r="V205" s="102">
        <f t="shared" si="232"/>
        <v>57760.542919253647</v>
      </c>
      <c r="W205" s="102">
        <f t="shared" si="234"/>
        <v>54568.943696362592</v>
      </c>
      <c r="X205" s="102">
        <f t="shared" si="234"/>
        <v>54454.588004387799</v>
      </c>
      <c r="Y205" s="102">
        <f t="shared" si="234"/>
        <v>56787.656787037115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589914.36726926733</v>
      </c>
      <c r="C206" s="102">
        <f t="shared" si="232"/>
        <v>588235.29411764711</v>
      </c>
      <c r="D206" s="102">
        <f t="shared" si="232"/>
        <v>612244.89795918367</v>
      </c>
      <c r="E206" s="102">
        <f t="shared" si="232"/>
        <v>602945.69151147758</v>
      </c>
      <c r="F206" s="102">
        <f t="shared" si="232"/>
        <v>606599.37836740166</v>
      </c>
      <c r="G206" s="102">
        <f t="shared" si="232"/>
        <v>596822.21513803594</v>
      </c>
      <c r="H206" s="102">
        <f t="shared" si="232"/>
        <v>594418.41271310335</v>
      </c>
      <c r="I206" s="102">
        <f t="shared" si="232"/>
        <v>590836.5790812358</v>
      </c>
      <c r="J206" s="102">
        <f t="shared" si="232"/>
        <v>588757.9384672459</v>
      </c>
      <c r="K206" s="102">
        <f t="shared" si="232"/>
        <v>557988.25144187373</v>
      </c>
      <c r="L206" s="102">
        <f t="shared" si="232"/>
        <v>574426.71329744265</v>
      </c>
      <c r="M206" s="102">
        <f t="shared" si="235"/>
        <v>579780.35656314052</v>
      </c>
      <c r="N206" s="102">
        <f t="shared" si="232"/>
        <v>581377.43906847353</v>
      </c>
      <c r="O206" s="102">
        <f t="shared" si="232"/>
        <v>583366.6670766694</v>
      </c>
      <c r="P206" s="102">
        <f t="shared" si="232"/>
        <v>583351.52358240588</v>
      </c>
      <c r="Q206" s="102">
        <f t="shared" si="232"/>
        <v>588287.9067002415</v>
      </c>
      <c r="R206" s="102">
        <f t="shared" si="232"/>
        <v>582772.50611969188</v>
      </c>
      <c r="S206" s="102">
        <f t="shared" si="232"/>
        <v>582761.84205977258</v>
      </c>
      <c r="T206" s="102">
        <f t="shared" si="232"/>
        <v>570063.50801502785</v>
      </c>
      <c r="U206" s="102">
        <f t="shared" si="232"/>
        <v>554447.29081242799</v>
      </c>
      <c r="V206" s="102">
        <f t="shared" si="232"/>
        <v>359085.03855192784</v>
      </c>
      <c r="W206" s="102">
        <f t="shared" si="234"/>
        <v>366038.66760863515</v>
      </c>
      <c r="X206" s="102">
        <f t="shared" si="234"/>
        <v>448279.50232017593</v>
      </c>
      <c r="Y206" s="102">
        <f t="shared" si="234"/>
        <v>461915.22881588934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0</v>
      </c>
      <c r="P208" s="102">
        <f t="shared" si="232"/>
        <v>0</v>
      </c>
      <c r="Q208" s="102">
        <f t="shared" si="232"/>
        <v>0</v>
      </c>
      <c r="R208" s="102">
        <f t="shared" si="232"/>
        <v>0</v>
      </c>
      <c r="S208" s="102">
        <f t="shared" si="232"/>
        <v>0</v>
      </c>
      <c r="T208" s="102">
        <f t="shared" si="232"/>
        <v>0</v>
      </c>
      <c r="U208" s="102">
        <f t="shared" si="232"/>
        <v>0</v>
      </c>
      <c r="V208" s="102">
        <f t="shared" si="232"/>
        <v>0</v>
      </c>
      <c r="W208" s="102">
        <f t="shared" si="234"/>
        <v>0</v>
      </c>
      <c r="X208" s="102">
        <f t="shared" si="234"/>
        <v>0</v>
      </c>
      <c r="Y208" s="102">
        <f t="shared" si="234"/>
        <v>0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664824.52998379839</v>
      </c>
      <c r="F209" s="102">
        <f t="shared" si="232"/>
        <v>681728.99562316621</v>
      </c>
      <c r="G209" s="102">
        <f t="shared" si="232"/>
        <v>682899.45348199864</v>
      </c>
      <c r="H209" s="102">
        <f t="shared" si="232"/>
        <v>693421.36892327713</v>
      </c>
      <c r="I209" s="102">
        <f t="shared" si="232"/>
        <v>701762.39134849829</v>
      </c>
      <c r="J209" s="102">
        <f t="shared" si="232"/>
        <v>711752.96116898686</v>
      </c>
      <c r="K209" s="102">
        <f t="shared" si="232"/>
        <v>686866.3234268066</v>
      </c>
      <c r="L209" s="102">
        <f t="shared" si="232"/>
        <v>693375.23598945222</v>
      </c>
      <c r="M209" s="102">
        <f t="shared" si="235"/>
        <v>711829.90436616761</v>
      </c>
      <c r="N209" s="102">
        <f t="shared" si="232"/>
        <v>727394.32575972599</v>
      </c>
      <c r="O209" s="102">
        <f t="shared" si="232"/>
        <v>741830.35522150609</v>
      </c>
      <c r="P209" s="102">
        <f t="shared" si="232"/>
        <v>756989.43820422352</v>
      </c>
      <c r="Q209" s="102">
        <f t="shared" si="232"/>
        <v>777666.76027885545</v>
      </c>
      <c r="R209" s="102">
        <f t="shared" si="232"/>
        <v>777185.69574381993</v>
      </c>
      <c r="S209" s="102">
        <f t="shared" si="232"/>
        <v>776890.26375526143</v>
      </c>
      <c r="T209" s="102">
        <f t="shared" si="232"/>
        <v>776107.35579477565</v>
      </c>
      <c r="U209" s="102">
        <f t="shared" si="232"/>
        <v>775260.10855127044</v>
      </c>
      <c r="V209" s="102">
        <f t="shared" si="232"/>
        <v>512233.18298694305</v>
      </c>
      <c r="W209" s="102">
        <f t="shared" si="234"/>
        <v>567509.06518132065</v>
      </c>
      <c r="X209" s="102">
        <f t="shared" si="234"/>
        <v>772646.21668067737</v>
      </c>
      <c r="Y209" s="102">
        <f t="shared" si="234"/>
        <v>860037.84267230518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75195.121460405702</v>
      </c>
      <c r="C210" s="28">
        <f t="shared" si="232"/>
        <v>81108.615434853142</v>
      </c>
      <c r="D210" s="28">
        <f t="shared" si="232"/>
        <v>87430.34215732351</v>
      </c>
      <c r="E210" s="28">
        <f t="shared" si="232"/>
        <v>84632.334699736093</v>
      </c>
      <c r="F210" s="28">
        <f t="shared" ref="B210:V219" si="236">IF(F19=0,0,F19*1000000/F73)</f>
        <v>89913.642654723822</v>
      </c>
      <c r="G210" s="28">
        <f t="shared" si="236"/>
        <v>82955.496014770557</v>
      </c>
      <c r="H210" s="28">
        <f t="shared" si="236"/>
        <v>80321.459448677851</v>
      </c>
      <c r="I210" s="28">
        <f t="shared" si="236"/>
        <v>81142.570436596303</v>
      </c>
      <c r="J210" s="28">
        <f t="shared" si="236"/>
        <v>80093.795159014044</v>
      </c>
      <c r="K210" s="28">
        <f t="shared" si="236"/>
        <v>68609.902824024524</v>
      </c>
      <c r="L210" s="28">
        <f t="shared" si="236"/>
        <v>71236.957403339969</v>
      </c>
      <c r="M210" s="28">
        <f t="shared" si="235"/>
        <v>70290.349983992404</v>
      </c>
      <c r="N210" s="28">
        <f t="shared" si="236"/>
        <v>85241.81098882269</v>
      </c>
      <c r="O210" s="28">
        <f t="shared" si="236"/>
        <v>77417.368965215079</v>
      </c>
      <c r="P210" s="28">
        <f t="shared" si="236"/>
        <v>90478.668511036434</v>
      </c>
      <c r="Q210" s="28">
        <f t="shared" si="236"/>
        <v>75262.031845928912</v>
      </c>
      <c r="R210" s="28">
        <f t="shared" si="236"/>
        <v>77113.355346804194</v>
      </c>
      <c r="S210" s="28">
        <f t="shared" si="236"/>
        <v>73509.109571228721</v>
      </c>
      <c r="T210" s="28">
        <f t="shared" si="236"/>
        <v>60863.745907082819</v>
      </c>
      <c r="U210" s="28">
        <f t="shared" si="236"/>
        <v>59836.484875332375</v>
      </c>
      <c r="V210" s="28">
        <f t="shared" si="236"/>
        <v>50443.162208880778</v>
      </c>
      <c r="W210" s="28">
        <f t="shared" ref="W210:Y210" si="237">IF(W19=0,0,W19*1000000/W73)</f>
        <v>54632.174961746103</v>
      </c>
      <c r="X210" s="28">
        <f t="shared" si="237"/>
        <v>52359.291946162775</v>
      </c>
      <c r="Y210" s="28">
        <f t="shared" si="237"/>
        <v>44982.027940774315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5242.1692386937102</v>
      </c>
      <c r="C211" s="137">
        <f t="shared" si="236"/>
        <v>5211.0120368914668</v>
      </c>
      <c r="D211" s="137">
        <f t="shared" si="236"/>
        <v>5269.0917887851656</v>
      </c>
      <c r="E211" s="137">
        <f t="shared" si="236"/>
        <v>5267.7058196120361</v>
      </c>
      <c r="F211" s="137">
        <f t="shared" si="236"/>
        <v>5239.1774139118024</v>
      </c>
      <c r="G211" s="137">
        <f t="shared" si="236"/>
        <v>5235.0446033292237</v>
      </c>
      <c r="H211" s="137">
        <f t="shared" si="236"/>
        <v>5251.927394701187</v>
      </c>
      <c r="I211" s="137">
        <f t="shared" si="236"/>
        <v>5330.6071608695875</v>
      </c>
      <c r="J211" s="137">
        <f t="shared" si="236"/>
        <v>5280.7607618488883</v>
      </c>
      <c r="K211" s="137">
        <f t="shared" si="236"/>
        <v>5163.3585253636766</v>
      </c>
      <c r="L211" s="137">
        <f t="shared" si="236"/>
        <v>5186.9355039437623</v>
      </c>
      <c r="M211" s="137">
        <f t="shared" si="235"/>
        <v>5212.9994275162189</v>
      </c>
      <c r="N211" s="137">
        <f t="shared" si="236"/>
        <v>5111.1776309468605</v>
      </c>
      <c r="O211" s="137">
        <f t="shared" si="236"/>
        <v>4997.0742158111925</v>
      </c>
      <c r="P211" s="137">
        <f t="shared" si="236"/>
        <v>5104.4340840483246</v>
      </c>
      <c r="Q211" s="137">
        <f t="shared" si="236"/>
        <v>5138.311725621902</v>
      </c>
      <c r="R211" s="137">
        <f t="shared" si="236"/>
        <v>5179.5300303601498</v>
      </c>
      <c r="S211" s="137">
        <f t="shared" si="236"/>
        <v>5083.7978892722922</v>
      </c>
      <c r="T211" s="137">
        <f t="shared" si="236"/>
        <v>5046.5102529934011</v>
      </c>
      <c r="U211" s="137">
        <f t="shared" si="236"/>
        <v>4976.580821369831</v>
      </c>
      <c r="V211" s="137">
        <f t="shared" si="236"/>
        <v>4855.3810993147599</v>
      </c>
      <c r="W211" s="137">
        <f t="shared" ref="W211:Y211" si="238">IF(W20=0,0,W20*1000000/W74)</f>
        <v>4866.4744874700536</v>
      </c>
      <c r="X211" s="137">
        <f t="shared" si="238"/>
        <v>4392.7799346053926</v>
      </c>
      <c r="Y211" s="137">
        <f t="shared" si="238"/>
        <v>4273.1575226702544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2311.9636945336301</v>
      </c>
      <c r="C212" s="84">
        <f t="shared" si="236"/>
        <v>2261.6154855514155</v>
      </c>
      <c r="D212" s="84">
        <f t="shared" si="236"/>
        <v>2256.7929679273179</v>
      </c>
      <c r="E212" s="84">
        <f t="shared" si="236"/>
        <v>2228.8606087279818</v>
      </c>
      <c r="F212" s="84">
        <f t="shared" si="236"/>
        <v>2189.2084999531153</v>
      </c>
      <c r="G212" s="84">
        <f t="shared" si="236"/>
        <v>2162.24790060634</v>
      </c>
      <c r="H212" s="84">
        <f t="shared" si="236"/>
        <v>2146.4462298044914</v>
      </c>
      <c r="I212" s="84">
        <f t="shared" si="236"/>
        <v>2158.0831197088614</v>
      </c>
      <c r="J212" s="84">
        <f t="shared" si="236"/>
        <v>2117.1222447558794</v>
      </c>
      <c r="K212" s="84">
        <f t="shared" si="236"/>
        <v>2048.8358358026121</v>
      </c>
      <c r="L212" s="84">
        <f t="shared" si="236"/>
        <v>2040.8121988685905</v>
      </c>
      <c r="M212" s="84">
        <f t="shared" si="235"/>
        <v>2033.6788298582189</v>
      </c>
      <c r="N212" s="84">
        <f t="shared" si="236"/>
        <v>1974.0313400138457</v>
      </c>
      <c r="O212" s="84">
        <f t="shared" si="236"/>
        <v>1911.9982674781529</v>
      </c>
      <c r="P212" s="84">
        <f t="shared" si="236"/>
        <v>1938.8579817595917</v>
      </c>
      <c r="Q212" s="84">
        <f t="shared" si="236"/>
        <v>1956.0244958355543</v>
      </c>
      <c r="R212" s="84">
        <f t="shared" si="236"/>
        <v>1970.249952382519</v>
      </c>
      <c r="S212" s="84">
        <f t="shared" si="236"/>
        <v>1933.7317610578032</v>
      </c>
      <c r="T212" s="84">
        <f t="shared" si="236"/>
        <v>1947.7922733923333</v>
      </c>
      <c r="U212" s="84">
        <f t="shared" si="236"/>
        <v>1921.3831793254049</v>
      </c>
      <c r="V212" s="84">
        <f t="shared" si="236"/>
        <v>1875.2096579372362</v>
      </c>
      <c r="W212" s="84">
        <f t="shared" ref="W212:Y212" si="239">IF(W21=0,0,W21*1000000/W75)</f>
        <v>1880.9409346573675</v>
      </c>
      <c r="X212" s="84">
        <f t="shared" si="239"/>
        <v>1699.1380539335714</v>
      </c>
      <c r="Y212" s="84">
        <f t="shared" si="239"/>
        <v>1658.4292802645489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5910.1213806682244</v>
      </c>
      <c r="C213" s="84">
        <f t="shared" si="236"/>
        <v>5761.5210283979268</v>
      </c>
      <c r="D213" s="84">
        <f t="shared" si="236"/>
        <v>5741.7597341486971</v>
      </c>
      <c r="E213" s="84">
        <f t="shared" si="236"/>
        <v>5678.8286098561648</v>
      </c>
      <c r="F213" s="84">
        <f t="shared" si="236"/>
        <v>5585.452529232959</v>
      </c>
      <c r="G213" s="84">
        <f t="shared" si="236"/>
        <v>5526.9192597847532</v>
      </c>
      <c r="H213" s="84">
        <f t="shared" si="236"/>
        <v>5503.5797403144643</v>
      </c>
      <c r="I213" s="84">
        <f t="shared" si="236"/>
        <v>5552.5475110010857</v>
      </c>
      <c r="J213" s="84">
        <f t="shared" si="236"/>
        <v>5482.0052425186041</v>
      </c>
      <c r="K213" s="84">
        <f t="shared" si="236"/>
        <v>5343.5552599782523</v>
      </c>
      <c r="L213" s="84">
        <f t="shared" si="236"/>
        <v>5358.2082268287695</v>
      </c>
      <c r="M213" s="84">
        <f t="shared" si="235"/>
        <v>5373.5094145055518</v>
      </c>
      <c r="N213" s="84">
        <f t="shared" si="236"/>
        <v>5256.4007041361738</v>
      </c>
      <c r="O213" s="84">
        <f t="shared" si="236"/>
        <v>5140.5238330706188</v>
      </c>
      <c r="P213" s="84">
        <f t="shared" si="236"/>
        <v>5246.9189013992409</v>
      </c>
      <c r="Q213" s="84">
        <f t="shared" si="236"/>
        <v>5274.8011036864527</v>
      </c>
      <c r="R213" s="84">
        <f t="shared" si="236"/>
        <v>5313.1628185085992</v>
      </c>
      <c r="S213" s="84">
        <f t="shared" si="236"/>
        <v>5214.6844015386923</v>
      </c>
      <c r="T213" s="84">
        <f t="shared" si="236"/>
        <v>5177.4037149781261</v>
      </c>
      <c r="U213" s="84">
        <f t="shared" si="236"/>
        <v>5107.2060128929916</v>
      </c>
      <c r="V213" s="84">
        <f t="shared" si="236"/>
        <v>4984.4727191868969</v>
      </c>
      <c r="W213" s="84">
        <f t="shared" ref="W213:Y213" si="240">IF(W22=0,0,W22*1000000/W76)</f>
        <v>4999.7069583753982</v>
      </c>
      <c r="X213" s="84">
        <f t="shared" si="240"/>
        <v>4516.4588610750789</v>
      </c>
      <c r="Y213" s="84">
        <f t="shared" si="240"/>
        <v>4408.2513489572057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2223.1494606098399</v>
      </c>
      <c r="P214" s="84">
        <f t="shared" si="236"/>
        <v>2309.4225595136645</v>
      </c>
      <c r="Q214" s="84">
        <f t="shared" si="236"/>
        <v>2362.9584390097652</v>
      </c>
      <c r="R214" s="84">
        <f t="shared" si="236"/>
        <v>2360.8903899561592</v>
      </c>
      <c r="S214" s="84">
        <f t="shared" si="236"/>
        <v>2298.3884684592635</v>
      </c>
      <c r="T214" s="84">
        <f t="shared" si="236"/>
        <v>2263.4981315262426</v>
      </c>
      <c r="U214" s="84">
        <f t="shared" si="236"/>
        <v>2214.7473507269424</v>
      </c>
      <c r="V214" s="84">
        <f t="shared" si="236"/>
        <v>2144.0393039573969</v>
      </c>
      <c r="W214" s="84">
        <f t="shared" ref="W214:Y214" si="241">IF(W23=0,0,W23*1000000/W77)</f>
        <v>2133.1960669161363</v>
      </c>
      <c r="X214" s="84">
        <f t="shared" si="241"/>
        <v>1911.4237924192721</v>
      </c>
      <c r="Y214" s="84">
        <f t="shared" si="241"/>
        <v>1850.5378944263155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0</v>
      </c>
      <c r="R215" s="84">
        <f t="shared" si="236"/>
        <v>0</v>
      </c>
      <c r="S215" s="84">
        <f t="shared" si="236"/>
        <v>0</v>
      </c>
      <c r="T215" s="84">
        <f t="shared" si="236"/>
        <v>0</v>
      </c>
      <c r="U215" s="84">
        <f t="shared" si="236"/>
        <v>0</v>
      </c>
      <c r="V215" s="84">
        <f t="shared" si="236"/>
        <v>0</v>
      </c>
      <c r="W215" s="84">
        <f t="shared" ref="W215:Y215" si="242">IF(W24=0,0,W24*1000000/W78)</f>
        <v>0</v>
      </c>
      <c r="X215" s="84">
        <f t="shared" si="242"/>
        <v>0</v>
      </c>
      <c r="Y215" s="84">
        <f t="shared" si="242"/>
        <v>0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3574.8696542482694</v>
      </c>
      <c r="I216" s="84">
        <f t="shared" si="236"/>
        <v>3577.1458835154845</v>
      </c>
      <c r="J216" s="84">
        <f t="shared" si="236"/>
        <v>3579.0546097335587</v>
      </c>
      <c r="K216" s="84">
        <f t="shared" si="236"/>
        <v>3583.28818877086</v>
      </c>
      <c r="L216" s="84">
        <f t="shared" si="236"/>
        <v>3583.9769942047146</v>
      </c>
      <c r="M216" s="84">
        <f t="shared" si="235"/>
        <v>3584.7380358726223</v>
      </c>
      <c r="N216" s="84">
        <f t="shared" si="236"/>
        <v>3588.4626862702544</v>
      </c>
      <c r="O216" s="84">
        <f t="shared" si="236"/>
        <v>3592.5607666694455</v>
      </c>
      <c r="P216" s="84">
        <f t="shared" si="236"/>
        <v>3596.3110444344634</v>
      </c>
      <c r="Q216" s="84">
        <f t="shared" si="236"/>
        <v>3597.467996770521</v>
      </c>
      <c r="R216" s="84">
        <f t="shared" si="236"/>
        <v>3594.8502348831585</v>
      </c>
      <c r="S216" s="84">
        <f t="shared" si="236"/>
        <v>3593.0244369824886</v>
      </c>
      <c r="T216" s="84">
        <f t="shared" si="236"/>
        <v>3592.8763703327932</v>
      </c>
      <c r="U216" s="84">
        <f t="shared" si="236"/>
        <v>3591.9165226456325</v>
      </c>
      <c r="V216" s="84">
        <f t="shared" si="236"/>
        <v>3550.3779340689061</v>
      </c>
      <c r="W216" s="84">
        <f t="shared" ref="W216:Y216" si="243">IF(W25=0,0,W25*1000000/W79)</f>
        <v>3591.0284632809248</v>
      </c>
      <c r="X216" s="84">
        <f t="shared" si="243"/>
        <v>3574.7563312579746</v>
      </c>
      <c r="Y216" s="84">
        <f t="shared" si="243"/>
        <v>3571.9980434183385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221476.31844893401</v>
      </c>
      <c r="C217" s="110">
        <f t="shared" si="236"/>
        <v>276794.13704452582</v>
      </c>
      <c r="D217" s="110">
        <f t="shared" si="236"/>
        <v>334891.8217593258</v>
      </c>
      <c r="E217" s="110">
        <f t="shared" si="236"/>
        <v>333120.30835875083</v>
      </c>
      <c r="F217" s="110">
        <f t="shared" si="236"/>
        <v>383810.19925775391</v>
      </c>
      <c r="G217" s="110">
        <f t="shared" si="236"/>
        <v>326935.77510191401</v>
      </c>
      <c r="H217" s="110">
        <f t="shared" si="236"/>
        <v>323688.73210778862</v>
      </c>
      <c r="I217" s="110">
        <f t="shared" si="236"/>
        <v>350629.78584521258</v>
      </c>
      <c r="J217" s="110">
        <f t="shared" si="236"/>
        <v>319484.54361318116</v>
      </c>
      <c r="K217" s="110">
        <f t="shared" si="236"/>
        <v>254487.03545918764</v>
      </c>
      <c r="L217" s="110">
        <f t="shared" si="236"/>
        <v>269818.88862933236</v>
      </c>
      <c r="M217" s="110">
        <f t="shared" si="235"/>
        <v>273603.41715250647</v>
      </c>
      <c r="N217" s="110">
        <f t="shared" si="236"/>
        <v>365307.8590751366</v>
      </c>
      <c r="O217" s="110">
        <f t="shared" si="236"/>
        <v>415594.93662316987</v>
      </c>
      <c r="P217" s="110">
        <f t="shared" si="236"/>
        <v>555076.74904759962</v>
      </c>
      <c r="Q217" s="110">
        <f t="shared" si="236"/>
        <v>456153.74340383231</v>
      </c>
      <c r="R217" s="110">
        <f t="shared" si="236"/>
        <v>472153.11772836233</v>
      </c>
      <c r="S217" s="110">
        <f t="shared" si="236"/>
        <v>431851.06953046296</v>
      </c>
      <c r="T217" s="110">
        <f t="shared" si="236"/>
        <v>383137.31986085803</v>
      </c>
      <c r="U217" s="110">
        <f t="shared" si="236"/>
        <v>373914.41654823936</v>
      </c>
      <c r="V217" s="110">
        <f t="shared" si="236"/>
        <v>293372.73111017304</v>
      </c>
      <c r="W217" s="110">
        <f t="shared" ref="W217:Y217" si="244">IF(W26=0,0,W26*1000000/W80)</f>
        <v>357823.54749462038</v>
      </c>
      <c r="X217" s="110">
        <f t="shared" si="244"/>
        <v>345053.63528009533</v>
      </c>
      <c r="Y217" s="110">
        <f t="shared" si="244"/>
        <v>295645.8635703919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74626.86567164179</v>
      </c>
      <c r="C218" s="163">
        <f t="shared" si="236"/>
        <v>102677.6301918617</v>
      </c>
      <c r="D218" s="163">
        <f t="shared" si="236"/>
        <v>138941.84938036226</v>
      </c>
      <c r="E218" s="163">
        <f t="shared" si="236"/>
        <v>134427.78967404235</v>
      </c>
      <c r="F218" s="163">
        <f t="shared" si="236"/>
        <v>144854.88126649076</v>
      </c>
      <c r="G218" s="163">
        <f t="shared" si="236"/>
        <v>107789.65742963125</v>
      </c>
      <c r="H218" s="163">
        <f t="shared" si="236"/>
        <v>115034.89109748362</v>
      </c>
      <c r="I218" s="163">
        <f t="shared" si="236"/>
        <v>121913.23692992213</v>
      </c>
      <c r="J218" s="163">
        <f t="shared" si="236"/>
        <v>101816.18051733627</v>
      </c>
      <c r="K218" s="163">
        <f t="shared" si="236"/>
        <v>81790.123456790127</v>
      </c>
      <c r="L218" s="163">
        <f t="shared" si="236"/>
        <v>87901.990811638592</v>
      </c>
      <c r="M218" s="163">
        <f t="shared" si="235"/>
        <v>98054.005128978737</v>
      </c>
      <c r="N218" s="163">
        <f t="shared" si="236"/>
        <v>172050.09887936717</v>
      </c>
      <c r="O218" s="163">
        <f t="shared" si="236"/>
        <v>172093.02325581395</v>
      </c>
      <c r="P218" s="163">
        <f t="shared" si="236"/>
        <v>300079.80845969671</v>
      </c>
      <c r="Q218" s="163">
        <f t="shared" si="236"/>
        <v>233357.19398711526</v>
      </c>
      <c r="R218" s="163">
        <f t="shared" si="236"/>
        <v>247563.80510440835</v>
      </c>
      <c r="S218" s="163">
        <f t="shared" si="236"/>
        <v>208401.63934426228</v>
      </c>
      <c r="T218" s="163">
        <f t="shared" si="236"/>
        <v>139109.8688454096</v>
      </c>
      <c r="U218" s="163">
        <f t="shared" si="236"/>
        <v>134760.44852191641</v>
      </c>
      <c r="V218" s="163">
        <f t="shared" si="236"/>
        <v>88546.179171720665</v>
      </c>
      <c r="W218" s="163">
        <f t="shared" ref="W218:Y218" si="245">IF(W27=0,0,W27*1000000/W81)</f>
        <v>122340.42553191489</v>
      </c>
      <c r="X218" s="163">
        <f t="shared" si="245"/>
        <v>111808.32857957786</v>
      </c>
      <c r="Y218" s="163">
        <f t="shared" si="245"/>
        <v>88398.780706473015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1211330.6298362333</v>
      </c>
      <c r="C219" s="86">
        <f t="shared" si="236"/>
        <v>1210996.1641963199</v>
      </c>
      <c r="D219" s="86">
        <f t="shared" si="236"/>
        <v>1218984.3853100042</v>
      </c>
      <c r="E219" s="86">
        <f t="shared" si="236"/>
        <v>1211253.4903059956</v>
      </c>
      <c r="F219" s="86">
        <f t="shared" si="236"/>
        <v>1189540.3195307853</v>
      </c>
      <c r="G219" s="86">
        <f t="shared" si="236"/>
        <v>1189776.5459713915</v>
      </c>
      <c r="H219" s="86">
        <f t="shared" si="236"/>
        <v>1197669.2583591016</v>
      </c>
      <c r="I219" s="86">
        <f t="shared" si="236"/>
        <v>1199581.798540696</v>
      </c>
      <c r="J219" s="86">
        <f t="shared" si="236"/>
        <v>1183029.1194759542</v>
      </c>
      <c r="K219" s="86">
        <f t="shared" si="236"/>
        <v>1167273.3240199836</v>
      </c>
      <c r="L219" s="86">
        <f t="shared" si="236"/>
        <v>1205186.8750462933</v>
      </c>
      <c r="M219" s="86">
        <f t="shared" si="235"/>
        <v>1200868.0006616421</v>
      </c>
      <c r="N219" s="86">
        <f t="shared" si="236"/>
        <v>1197591.8114299474</v>
      </c>
      <c r="O219" s="86">
        <f t="shared" si="236"/>
        <v>1199209.4333114179</v>
      </c>
      <c r="P219" s="86">
        <f t="shared" si="236"/>
        <v>1201860.4870165114</v>
      </c>
      <c r="Q219" s="86">
        <f t="shared" si="236"/>
        <v>1190803.8917952261</v>
      </c>
      <c r="R219" s="86">
        <f t="shared" si="236"/>
        <v>1183903.071705746</v>
      </c>
      <c r="S219" s="86">
        <f t="shared" si="236"/>
        <v>1190677.2485900728</v>
      </c>
      <c r="T219" s="86">
        <f t="shared" si="236"/>
        <v>1202020.2020202021</v>
      </c>
      <c r="U219" s="86">
        <f t="shared" si="236"/>
        <v>1195378.1512605043</v>
      </c>
      <c r="V219" s="86">
        <f t="shared" si="236"/>
        <v>1178143.7125748503</v>
      </c>
      <c r="W219" s="86">
        <f t="shared" ref="W219:Y219" si="246">IF(W28=0,0,W28*1000000/W82)</f>
        <v>1193706.2937062937</v>
      </c>
      <c r="X219" s="86">
        <f t="shared" si="246"/>
        <v>1189263.5925671025</v>
      </c>
      <c r="Y219" s="86">
        <f t="shared" si="246"/>
        <v>1175932.9779131759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5.6959430906392775E-3</v>
      </c>
      <c r="C223" s="154">
        <f t="shared" si="251"/>
        <v>5.7322776278869178E-3</v>
      </c>
      <c r="D223" s="154">
        <f t="shared" si="251"/>
        <v>6.019869497163227E-3</v>
      </c>
      <c r="E223" s="154">
        <f t="shared" si="251"/>
        <v>6.072019746000897E-3</v>
      </c>
      <c r="F223" s="154">
        <f t="shared" si="251"/>
        <v>6.3855700286591221E-3</v>
      </c>
      <c r="G223" s="154">
        <f t="shared" si="251"/>
        <v>6.4159351242427855E-3</v>
      </c>
      <c r="H223" s="154">
        <f t="shared" si="251"/>
        <v>6.3559926069654046E-3</v>
      </c>
      <c r="I223" s="154">
        <f t="shared" si="251"/>
        <v>6.4797989619015256E-3</v>
      </c>
      <c r="J223" s="154">
        <f t="shared" si="251"/>
        <v>6.4292346226859816E-3</v>
      </c>
      <c r="K223" s="154">
        <f t="shared" si="251"/>
        <v>6.6732971632170283E-3</v>
      </c>
      <c r="L223" s="154">
        <f t="shared" ref="L223" si="252">IF(L5=0,0,L5/L$4)</f>
        <v>7.072761862273862E-3</v>
      </c>
      <c r="M223" s="154">
        <f t="shared" ref="M223:V223" si="253">IF(M5=0,0,M5/M$4)</f>
        <v>7.1471430544665562E-3</v>
      </c>
      <c r="N223" s="154">
        <f t="shared" si="253"/>
        <v>7.3531522824123096E-3</v>
      </c>
      <c r="O223" s="154">
        <f t="shared" si="253"/>
        <v>7.4778543782949578E-3</v>
      </c>
      <c r="P223" s="154">
        <f t="shared" si="253"/>
        <v>7.5632027109645353E-3</v>
      </c>
      <c r="Q223" s="154">
        <f t="shared" si="253"/>
        <v>7.6829253156770385E-3</v>
      </c>
      <c r="R223" s="154">
        <f t="shared" si="253"/>
        <v>7.8624858744709893E-3</v>
      </c>
      <c r="S223" s="154">
        <f t="shared" si="253"/>
        <v>7.3037773440313624E-3</v>
      </c>
      <c r="T223" s="154">
        <f t="shared" si="253"/>
        <v>6.8056257660534187E-3</v>
      </c>
      <c r="U223" s="154">
        <f t="shared" si="253"/>
        <v>7.0277816091991732E-3</v>
      </c>
      <c r="V223" s="154">
        <f t="shared" si="253"/>
        <v>7.3877563439639568E-3</v>
      </c>
      <c r="W223" s="154">
        <f t="shared" ref="W223:Y223" si="254">IF(W5=0,0,W5/W$4)</f>
        <v>7.2359523891439128E-3</v>
      </c>
      <c r="X223" s="154">
        <f t="shared" si="254"/>
        <v>6.7806926535258641E-3</v>
      </c>
      <c r="Y223" s="154">
        <f t="shared" si="254"/>
        <v>6.9348351236817041E-3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0.89519336313382958</v>
      </c>
      <c r="C224" s="156">
        <f t="shared" si="255"/>
        <v>0.89268619036505503</v>
      </c>
      <c r="D224" s="156">
        <f t="shared" si="255"/>
        <v>0.88587353020645576</v>
      </c>
      <c r="E224" s="156">
        <f t="shared" si="255"/>
        <v>0.88480235630919801</v>
      </c>
      <c r="F224" s="156">
        <f t="shared" si="255"/>
        <v>0.88224862049857045</v>
      </c>
      <c r="G224" s="156">
        <f t="shared" si="255"/>
        <v>0.88163093080524935</v>
      </c>
      <c r="H224" s="156">
        <f t="shared" si="255"/>
        <v>0.88233415957031758</v>
      </c>
      <c r="I224" s="156">
        <f t="shared" si="255"/>
        <v>0.87898570065032844</v>
      </c>
      <c r="J224" s="156">
        <f t="shared" si="255"/>
        <v>0.87476006938607154</v>
      </c>
      <c r="K224" s="156">
        <f t="shared" si="255"/>
        <v>0.87501976194024567</v>
      </c>
      <c r="L224" s="156">
        <f t="shared" ref="L224" si="256">IF(L6=0,0,L6/L$4)</f>
        <v>0.86747675374935751</v>
      </c>
      <c r="M224" s="156">
        <f t="shared" ref="M224:V224" si="257">IF(M6=0,0,M6/M$4)</f>
        <v>0.86347944262066556</v>
      </c>
      <c r="N224" s="156">
        <f t="shared" si="257"/>
        <v>0.86373534826348286</v>
      </c>
      <c r="O224" s="156">
        <f t="shared" si="257"/>
        <v>0.86319209385772</v>
      </c>
      <c r="P224" s="156">
        <f t="shared" si="257"/>
        <v>0.86640174448470608</v>
      </c>
      <c r="Q224" s="156">
        <f t="shared" si="257"/>
        <v>0.86343555724509657</v>
      </c>
      <c r="R224" s="156">
        <f t="shared" si="257"/>
        <v>0.86460904116770476</v>
      </c>
      <c r="S224" s="156">
        <f t="shared" si="257"/>
        <v>0.86375954711445246</v>
      </c>
      <c r="T224" s="156">
        <f t="shared" si="257"/>
        <v>0.86409697863111445</v>
      </c>
      <c r="U224" s="156">
        <f t="shared" si="257"/>
        <v>0.86167939999744392</v>
      </c>
      <c r="V224" s="156">
        <f t="shared" si="257"/>
        <v>0.88828710021381529</v>
      </c>
      <c r="W224" s="156">
        <f t="shared" ref="W224:Y224" si="258">IF(W6=0,0,W6/W$4)</f>
        <v>0.88767289590005305</v>
      </c>
      <c r="X224" s="156">
        <f t="shared" si="258"/>
        <v>0.86040894754015562</v>
      </c>
      <c r="Y224" s="156">
        <f t="shared" si="258"/>
        <v>0.85287211280901265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0.59303881303498729</v>
      </c>
      <c r="C225" s="103">
        <f t="shared" si="259"/>
        <v>0.55733690672087932</v>
      </c>
      <c r="D225" s="103">
        <f t="shared" si="259"/>
        <v>0.51998963133290377</v>
      </c>
      <c r="E225" s="103">
        <f t="shared" si="259"/>
        <v>0.49062893616135089</v>
      </c>
      <c r="F225" s="103">
        <f t="shared" si="259"/>
        <v>0.45202802225788147</v>
      </c>
      <c r="G225" s="103">
        <f t="shared" si="259"/>
        <v>0.41662386348603647</v>
      </c>
      <c r="H225" s="103">
        <f t="shared" si="259"/>
        <v>0.3828567641268939</v>
      </c>
      <c r="I225" s="103">
        <f t="shared" si="259"/>
        <v>0.35895501914928468</v>
      </c>
      <c r="J225" s="103">
        <f t="shared" si="259"/>
        <v>0.34340337778939212</v>
      </c>
      <c r="K225" s="103">
        <f t="shared" si="259"/>
        <v>0.32651109199765299</v>
      </c>
      <c r="L225" s="103">
        <f t="shared" ref="L225" si="260">IF(L7=0,0,L7/L$4)</f>
        <v>0.31117813358319285</v>
      </c>
      <c r="M225" s="103">
        <f t="shared" ref="M225:V225" si="261">IF(M7=0,0,M7/M$4)</f>
        <v>0.30707027591543046</v>
      </c>
      <c r="N225" s="103">
        <f t="shared" si="261"/>
        <v>0.30019259377271346</v>
      </c>
      <c r="O225" s="103">
        <f t="shared" si="261"/>
        <v>0.28931944641971974</v>
      </c>
      <c r="P225" s="103">
        <f t="shared" si="261"/>
        <v>0.2821217779116918</v>
      </c>
      <c r="Q225" s="103">
        <f t="shared" si="261"/>
        <v>0.27956825410448427</v>
      </c>
      <c r="R225" s="103">
        <f t="shared" si="261"/>
        <v>0.28852327962191437</v>
      </c>
      <c r="S225" s="103">
        <f t="shared" si="261"/>
        <v>0.30702311967316687</v>
      </c>
      <c r="T225" s="103">
        <f t="shared" si="261"/>
        <v>0.32982720597033882</v>
      </c>
      <c r="U225" s="103">
        <f t="shared" si="261"/>
        <v>0.35121655628186332</v>
      </c>
      <c r="V225" s="103">
        <f t="shared" si="261"/>
        <v>0.37772142688200411</v>
      </c>
      <c r="W225" s="103">
        <f t="shared" ref="W225:Y225" si="262">IF(W7=0,0,W7/W$4)</f>
        <v>0.38640047079540979</v>
      </c>
      <c r="X225" s="103">
        <f t="shared" si="262"/>
        <v>0.38130129048562472</v>
      </c>
      <c r="Y225" s="103">
        <f t="shared" si="262"/>
        <v>0.38404216215535236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0.29532667383837219</v>
      </c>
      <c r="C226" s="103">
        <f t="shared" si="263"/>
        <v>0.32762359458059148</v>
      </c>
      <c r="D226" s="103">
        <f t="shared" si="263"/>
        <v>0.35811182062486296</v>
      </c>
      <c r="E226" s="103">
        <f t="shared" si="263"/>
        <v>0.38704670320365059</v>
      </c>
      <c r="F226" s="103">
        <f t="shared" si="263"/>
        <v>0.42366534913048765</v>
      </c>
      <c r="G226" s="103">
        <f t="shared" si="263"/>
        <v>0.45897698257490915</v>
      </c>
      <c r="H226" s="103">
        <f t="shared" si="263"/>
        <v>0.49656330669123816</v>
      </c>
      <c r="I226" s="103">
        <f t="shared" si="263"/>
        <v>0.51730628718050897</v>
      </c>
      <c r="J226" s="103">
        <f t="shared" si="263"/>
        <v>0.52864263397964439</v>
      </c>
      <c r="K226" s="103">
        <f t="shared" si="263"/>
        <v>0.54561574157174908</v>
      </c>
      <c r="L226" s="103">
        <f t="shared" ref="L226" si="264">IF(L8=0,0,L8/L$4)</f>
        <v>0.55306208952599623</v>
      </c>
      <c r="M226" s="103">
        <f t="shared" ref="M226:V226" si="265">IF(M8=0,0,M8/M$4)</f>
        <v>0.55312451990669265</v>
      </c>
      <c r="N226" s="103">
        <f t="shared" si="265"/>
        <v>0.55967941770241236</v>
      </c>
      <c r="O226" s="103">
        <f t="shared" si="265"/>
        <v>0.56912061929380586</v>
      </c>
      <c r="P226" s="103">
        <f t="shared" si="265"/>
        <v>0.57901967130750287</v>
      </c>
      <c r="Q226" s="103">
        <f t="shared" si="265"/>
        <v>0.57868905005276428</v>
      </c>
      <c r="R226" s="103">
        <f t="shared" si="265"/>
        <v>0.57065531327700469</v>
      </c>
      <c r="S226" s="103">
        <f t="shared" si="265"/>
        <v>0.55104462452221781</v>
      </c>
      <c r="T226" s="103">
        <f t="shared" si="265"/>
        <v>0.52836620616690677</v>
      </c>
      <c r="U226" s="103">
        <f t="shared" si="265"/>
        <v>0.50123902337326109</v>
      </c>
      <c r="V226" s="103">
        <f t="shared" si="265"/>
        <v>0.49457437244157565</v>
      </c>
      <c r="W226" s="103">
        <f t="shared" ref="W226:Y226" si="266">IF(W8=0,0,W8/W$4)</f>
        <v>0.46871432225697085</v>
      </c>
      <c r="X226" s="103">
        <f t="shared" si="266"/>
        <v>0.43209613506385752</v>
      </c>
      <c r="Y226" s="103">
        <f t="shared" si="266"/>
        <v>0.3983230918898587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6.8278762604699591E-3</v>
      </c>
      <c r="C227" s="103">
        <f t="shared" si="267"/>
        <v>7.7256890635842698E-3</v>
      </c>
      <c r="D227" s="103">
        <f t="shared" si="267"/>
        <v>7.7720782486889739E-3</v>
      </c>
      <c r="E227" s="103">
        <f t="shared" si="267"/>
        <v>7.1267169441965985E-3</v>
      </c>
      <c r="F227" s="103">
        <f t="shared" si="267"/>
        <v>6.5552491102013602E-3</v>
      </c>
      <c r="G227" s="103">
        <f t="shared" si="267"/>
        <v>6.0300847443038458E-3</v>
      </c>
      <c r="H227" s="103">
        <f t="shared" si="267"/>
        <v>2.9140887521856072E-3</v>
      </c>
      <c r="I227" s="103">
        <f t="shared" si="267"/>
        <v>2.7243943205347669E-3</v>
      </c>
      <c r="J227" s="103">
        <f t="shared" si="267"/>
        <v>2.7119373978498991E-3</v>
      </c>
      <c r="K227" s="103">
        <f t="shared" si="267"/>
        <v>2.8886821959153829E-3</v>
      </c>
      <c r="L227" s="103">
        <f t="shared" ref="L227" si="268">IF(L9=0,0,L9/L$4)</f>
        <v>2.8100288690273488E-3</v>
      </c>
      <c r="M227" s="103">
        <f t="shared" ref="M227:V227" si="269">IF(M9=0,0,M9/M$4)</f>
        <v>2.632610403784378E-3</v>
      </c>
      <c r="N227" s="103">
        <f t="shared" si="269"/>
        <v>2.5627614285341142E-3</v>
      </c>
      <c r="O227" s="103">
        <f t="shared" si="269"/>
        <v>2.6092637450062387E-3</v>
      </c>
      <c r="P227" s="103">
        <f t="shared" si="269"/>
        <v>2.4984069786721224E-3</v>
      </c>
      <c r="Q227" s="103">
        <f t="shared" si="269"/>
        <v>2.3599166697837281E-3</v>
      </c>
      <c r="R227" s="103">
        <f t="shared" si="269"/>
        <v>2.2936281859358915E-3</v>
      </c>
      <c r="S227" s="103">
        <f t="shared" si="269"/>
        <v>1.8860289189328277E-3</v>
      </c>
      <c r="T227" s="103">
        <f t="shared" si="269"/>
        <v>5.1500353957398943E-4</v>
      </c>
      <c r="U227" s="103">
        <f t="shared" si="269"/>
        <v>3.0222783024348325E-4</v>
      </c>
      <c r="V227" s="103">
        <f t="shared" si="269"/>
        <v>6.0545968294623562E-4</v>
      </c>
      <c r="W227" s="103">
        <f t="shared" ref="W227:Y227" si="270">IF(W9=0,0,W9/W$4)</f>
        <v>4.3064002409774294E-4</v>
      </c>
      <c r="X227" s="103">
        <f t="shared" si="270"/>
        <v>4.2680676693204706E-4</v>
      </c>
      <c r="Y227" s="103">
        <f t="shared" si="270"/>
        <v>4.243609597482972E-4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0</v>
      </c>
      <c r="O228" s="103">
        <f t="shared" si="273"/>
        <v>0</v>
      </c>
      <c r="P228" s="103">
        <f t="shared" si="273"/>
        <v>0</v>
      </c>
      <c r="Q228" s="103">
        <f t="shared" si="273"/>
        <v>0</v>
      </c>
      <c r="R228" s="103">
        <f t="shared" si="273"/>
        <v>0</v>
      </c>
      <c r="S228" s="103">
        <f t="shared" si="273"/>
        <v>0</v>
      </c>
      <c r="T228" s="103">
        <f t="shared" si="273"/>
        <v>0</v>
      </c>
      <c r="U228" s="103">
        <f t="shared" si="273"/>
        <v>0</v>
      </c>
      <c r="V228" s="103">
        <f t="shared" si="273"/>
        <v>0</v>
      </c>
      <c r="W228" s="103">
        <f t="shared" ref="W228:Y228" si="274">IF(W10=0,0,W10/W$4)</f>
        <v>0</v>
      </c>
      <c r="X228" s="103">
        <f t="shared" si="274"/>
        <v>0</v>
      </c>
      <c r="Y228" s="103">
        <f t="shared" si="274"/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1.0923049638423268E-3</v>
      </c>
      <c r="O229" s="103">
        <f t="shared" si="277"/>
        <v>1.6056650116481987E-3</v>
      </c>
      <c r="P229" s="103">
        <f t="shared" si="277"/>
        <v>1.6521344449531023E-3</v>
      </c>
      <c r="Q229" s="103">
        <f t="shared" si="277"/>
        <v>1.5901534166708755E-3</v>
      </c>
      <c r="R229" s="103">
        <f t="shared" si="277"/>
        <v>1.8629514618825397E-3</v>
      </c>
      <c r="S229" s="103">
        <f t="shared" si="277"/>
        <v>2.0487966552183746E-3</v>
      </c>
      <c r="T229" s="103">
        <f t="shared" si="277"/>
        <v>3.0532813916777459E-3</v>
      </c>
      <c r="U229" s="103">
        <f t="shared" si="277"/>
        <v>4.5738639740791447E-3</v>
      </c>
      <c r="V229" s="103">
        <f t="shared" si="277"/>
        <v>8.2976540409308956E-3</v>
      </c>
      <c r="W229" s="103">
        <f t="shared" ref="W229:Y229" si="278">IF(W11=0,0,W11/W$4)</f>
        <v>1.675247107849423E-2</v>
      </c>
      <c r="X229" s="103">
        <f t="shared" si="278"/>
        <v>2.2342452077096668E-2</v>
      </c>
      <c r="Y229" s="103">
        <f t="shared" si="278"/>
        <v>2.9478267895864264E-2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2.1202191851449626E-6</v>
      </c>
      <c r="K230" s="103">
        <f t="shared" si="279"/>
        <v>4.2461749282889253E-6</v>
      </c>
      <c r="L230" s="103">
        <f t="shared" ref="L230" si="280">IF(L12=0,0,L12/L$4)</f>
        <v>4.2650177114105019E-4</v>
      </c>
      <c r="M230" s="103">
        <f t="shared" ref="M230:V230" si="281">IF(M12=0,0,M12/M$4)</f>
        <v>6.5203639475812131E-4</v>
      </c>
      <c r="N230" s="103">
        <f t="shared" si="281"/>
        <v>2.0827039598078829E-4</v>
      </c>
      <c r="O230" s="103">
        <f t="shared" si="281"/>
        <v>5.3709938754002674E-4</v>
      </c>
      <c r="P230" s="103">
        <f t="shared" si="281"/>
        <v>1.1097538418862237E-3</v>
      </c>
      <c r="Q230" s="103">
        <f t="shared" si="281"/>
        <v>1.2281830013933434E-3</v>
      </c>
      <c r="R230" s="103">
        <f t="shared" si="281"/>
        <v>1.2738686209672755E-3</v>
      </c>
      <c r="S230" s="103">
        <f t="shared" si="281"/>
        <v>1.7569773449165344E-3</v>
      </c>
      <c r="T230" s="103">
        <f t="shared" si="281"/>
        <v>2.335281562617089E-3</v>
      </c>
      <c r="U230" s="103">
        <f t="shared" si="281"/>
        <v>4.3477285379968636E-3</v>
      </c>
      <c r="V230" s="103">
        <f t="shared" si="281"/>
        <v>7.0881871663584011E-3</v>
      </c>
      <c r="W230" s="103">
        <f t="shared" ref="W230:Y230" si="282">IF(W12=0,0,W12/W$4)</f>
        <v>1.5374991745080571E-2</v>
      </c>
      <c r="X230" s="103">
        <f t="shared" si="282"/>
        <v>2.4242263146644571E-2</v>
      </c>
      <c r="Y230" s="103">
        <f t="shared" si="282"/>
        <v>4.0604229908189078E-2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9.9110693775531111E-2</v>
      </c>
      <c r="C231" s="156">
        <f t="shared" si="283"/>
        <v>0.10158153200705798</v>
      </c>
      <c r="D231" s="156">
        <f t="shared" si="283"/>
        <v>0.10810660029638104</v>
      </c>
      <c r="E231" s="156">
        <f t="shared" si="283"/>
        <v>0.10912562394480109</v>
      </c>
      <c r="F231" s="156">
        <f t="shared" si="283"/>
        <v>0.11136580947277037</v>
      </c>
      <c r="G231" s="156">
        <f t="shared" si="283"/>
        <v>0.11195313407050787</v>
      </c>
      <c r="H231" s="156">
        <f t="shared" si="283"/>
        <v>0.111309847822717</v>
      </c>
      <c r="I231" s="156">
        <f t="shared" si="283"/>
        <v>0.11453450038777008</v>
      </c>
      <c r="J231" s="156">
        <f t="shared" si="283"/>
        <v>0.11881069599124257</v>
      </c>
      <c r="K231" s="156">
        <f t="shared" si="283"/>
        <v>0.11830694089653727</v>
      </c>
      <c r="L231" s="156">
        <f t="shared" ref="L231" si="284">IF(L13=0,0,L13/L$4)</f>
        <v>0.12545048438836862</v>
      </c>
      <c r="M231" s="156">
        <f t="shared" ref="M231:V231" si="285">IF(M13=0,0,M13/M$4)</f>
        <v>0.12937341432486782</v>
      </c>
      <c r="N231" s="156">
        <f t="shared" si="285"/>
        <v>0.12891149945410482</v>
      </c>
      <c r="O231" s="156">
        <f t="shared" si="285"/>
        <v>0.12933005176398504</v>
      </c>
      <c r="P231" s="156">
        <f t="shared" si="285"/>
        <v>0.12603505280432936</v>
      </c>
      <c r="Q231" s="156">
        <f t="shared" si="285"/>
        <v>0.12888151743922649</v>
      </c>
      <c r="R231" s="156">
        <f t="shared" si="285"/>
        <v>0.12752847295782441</v>
      </c>
      <c r="S231" s="156">
        <f t="shared" si="285"/>
        <v>0.12893667554151622</v>
      </c>
      <c r="T231" s="156">
        <f t="shared" si="285"/>
        <v>0.12909739560283201</v>
      </c>
      <c r="U231" s="156">
        <f t="shared" si="285"/>
        <v>0.1312928183933568</v>
      </c>
      <c r="V231" s="156">
        <f t="shared" si="285"/>
        <v>0.1043251434422208</v>
      </c>
      <c r="W231" s="156">
        <f t="shared" ref="W231:Y231" si="286">IF(W13=0,0,W13/W$4)</f>
        <v>0.10509115171080295</v>
      </c>
      <c r="X231" s="156">
        <f t="shared" si="286"/>
        <v>0.13281035980631853</v>
      </c>
      <c r="Y231" s="156">
        <f t="shared" si="286"/>
        <v>0.14019305206730551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0</v>
      </c>
      <c r="E232" s="103">
        <f t="shared" si="287"/>
        <v>0</v>
      </c>
      <c r="F232" s="103">
        <f t="shared" si="287"/>
        <v>0</v>
      </c>
      <c r="G232" s="103">
        <f t="shared" si="287"/>
        <v>0</v>
      </c>
      <c r="H232" s="103">
        <f t="shared" si="287"/>
        <v>0</v>
      </c>
      <c r="I232" s="103">
        <f t="shared" si="287"/>
        <v>0</v>
      </c>
      <c r="J232" s="103">
        <f t="shared" si="287"/>
        <v>0</v>
      </c>
      <c r="K232" s="103">
        <f t="shared" si="287"/>
        <v>0</v>
      </c>
      <c r="L232" s="103">
        <f t="shared" ref="L232" si="288">IF(L14=0,0,L14/L$4)</f>
        <v>0</v>
      </c>
      <c r="M232" s="103">
        <f t="shared" ref="M232:V232" si="289">IF(M14=0,0,M14/M$4)</f>
        <v>0</v>
      </c>
      <c r="N232" s="103">
        <f t="shared" si="289"/>
        <v>0</v>
      </c>
      <c r="O232" s="103">
        <f t="shared" si="289"/>
        <v>0</v>
      </c>
      <c r="P232" s="103">
        <f t="shared" si="289"/>
        <v>0</v>
      </c>
      <c r="Q232" s="103">
        <f t="shared" si="289"/>
        <v>0</v>
      </c>
      <c r="R232" s="103">
        <f t="shared" si="289"/>
        <v>0</v>
      </c>
      <c r="S232" s="103">
        <f t="shared" si="289"/>
        <v>0</v>
      </c>
      <c r="T232" s="103">
        <f t="shared" si="289"/>
        <v>7.6810117591799282E-6</v>
      </c>
      <c r="U232" s="103">
        <f t="shared" si="289"/>
        <v>7.2390375231168858E-6</v>
      </c>
      <c r="V232" s="103">
        <f t="shared" si="289"/>
        <v>7.2502701628045583E-6</v>
      </c>
      <c r="W232" s="103">
        <f t="shared" ref="W232:Y232" si="290">IF(W14=0,0,W14/W$4)</f>
        <v>1.2829301334252493E-5</v>
      </c>
      <c r="X232" s="103">
        <f t="shared" si="290"/>
        <v>1.7716957344884717E-5</v>
      </c>
      <c r="Y232" s="103">
        <f t="shared" si="290"/>
        <v>1.746234795221495E-5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9.9110693775531111E-2</v>
      </c>
      <c r="C233" s="103">
        <f t="shared" si="291"/>
        <v>0.10158153200705798</v>
      </c>
      <c r="D233" s="103">
        <f t="shared" si="291"/>
        <v>0.10810660029638104</v>
      </c>
      <c r="E233" s="103">
        <f t="shared" si="291"/>
        <v>0.10883150478947018</v>
      </c>
      <c r="F233" s="103">
        <f t="shared" si="291"/>
        <v>0.11107001219443804</v>
      </c>
      <c r="G233" s="103">
        <f t="shared" si="291"/>
        <v>0.11166643631773657</v>
      </c>
      <c r="H233" s="103">
        <f t="shared" si="291"/>
        <v>0.11102746504081991</v>
      </c>
      <c r="I233" s="103">
        <f t="shared" si="291"/>
        <v>0.11425411897538393</v>
      </c>
      <c r="J233" s="103">
        <f t="shared" si="291"/>
        <v>0.11853191401973603</v>
      </c>
      <c r="K233" s="103">
        <f t="shared" si="291"/>
        <v>0.11812753146166871</v>
      </c>
      <c r="L233" s="103">
        <f t="shared" ref="L233" si="292">IF(L15=0,0,L15/L$4)</f>
        <v>0.1252654114964159</v>
      </c>
      <c r="M233" s="103">
        <f t="shared" ref="M233:V233" si="293">IF(M15=0,0,M15/M$4)</f>
        <v>0.12918692371436183</v>
      </c>
      <c r="N233" s="103">
        <f t="shared" si="293"/>
        <v>0.12872487720252102</v>
      </c>
      <c r="O233" s="103">
        <f t="shared" si="293"/>
        <v>0.12914311596221009</v>
      </c>
      <c r="P233" s="103">
        <f t="shared" si="293"/>
        <v>0.12585114350752422</v>
      </c>
      <c r="Q233" s="103">
        <f t="shared" si="293"/>
        <v>0.12869809105614133</v>
      </c>
      <c r="R233" s="103">
        <f t="shared" si="293"/>
        <v>0.12734988844387973</v>
      </c>
      <c r="S233" s="103">
        <f t="shared" si="293"/>
        <v>0.12823711463100151</v>
      </c>
      <c r="T233" s="103">
        <f t="shared" si="293"/>
        <v>0.12626463608217309</v>
      </c>
      <c r="U233" s="103">
        <f t="shared" si="293"/>
        <v>0.12227395792260701</v>
      </c>
      <c r="V233" s="103">
        <f t="shared" si="293"/>
        <v>9.4609047910713104E-2</v>
      </c>
      <c r="W233" s="103">
        <f t="shared" ref="W233:Y233" si="294">IF(W15=0,0,W15/W$4)</f>
        <v>9.307026456088921E-2</v>
      </c>
      <c r="X233" s="103">
        <f t="shared" si="294"/>
        <v>0.10564331381995536</v>
      </c>
      <c r="Y233" s="103">
        <f t="shared" si="294"/>
        <v>0.10482559381577188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0</v>
      </c>
      <c r="P235" s="103">
        <f t="shared" si="301"/>
        <v>0</v>
      </c>
      <c r="Q235" s="103">
        <f t="shared" si="301"/>
        <v>0</v>
      </c>
      <c r="R235" s="103">
        <f t="shared" si="301"/>
        <v>0</v>
      </c>
      <c r="S235" s="103">
        <f t="shared" si="301"/>
        <v>0</v>
      </c>
      <c r="T235" s="103">
        <f t="shared" si="301"/>
        <v>0</v>
      </c>
      <c r="U235" s="103">
        <f t="shared" si="301"/>
        <v>0</v>
      </c>
      <c r="V235" s="103">
        <f t="shared" si="301"/>
        <v>0</v>
      </c>
      <c r="W235" s="103">
        <f t="shared" ref="W235:Y235" si="302">IF(W17=0,0,W17/W$4)</f>
        <v>0</v>
      </c>
      <c r="X235" s="103">
        <f t="shared" si="302"/>
        <v>0</v>
      </c>
      <c r="Y235" s="103">
        <f t="shared" si="302"/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2.9411915533090994E-4</v>
      </c>
      <c r="F236" s="103">
        <f t="shared" si="303"/>
        <v>2.9579727833233498E-4</v>
      </c>
      <c r="G236" s="103">
        <f t="shared" si="303"/>
        <v>2.866977527713003E-4</v>
      </c>
      <c r="H236" s="103">
        <f t="shared" si="303"/>
        <v>2.8238278189708567E-4</v>
      </c>
      <c r="I236" s="103">
        <f t="shared" si="303"/>
        <v>2.8038141238614076E-4</v>
      </c>
      <c r="J236" s="103">
        <f t="shared" si="303"/>
        <v>2.787819715065335E-4</v>
      </c>
      <c r="K236" s="103">
        <f t="shared" si="303"/>
        <v>1.7940943486856605E-4</v>
      </c>
      <c r="L236" s="103">
        <f t="shared" ref="L236" si="304">IF(L18=0,0,L18/L$4)</f>
        <v>1.8507289195271527E-4</v>
      </c>
      <c r="M236" s="103">
        <f t="shared" ref="M236:V236" si="305">IF(M18=0,0,M18/M$4)</f>
        <v>1.8649061050601349E-4</v>
      </c>
      <c r="N236" s="103">
        <f t="shared" si="305"/>
        <v>1.8662225158381954E-4</v>
      </c>
      <c r="O236" s="103">
        <f t="shared" si="305"/>
        <v>1.8693580177496947E-4</v>
      </c>
      <c r="P236" s="103">
        <f t="shared" si="305"/>
        <v>1.839092968051482E-4</v>
      </c>
      <c r="Q236" s="103">
        <f t="shared" si="305"/>
        <v>1.8342638308515579E-4</v>
      </c>
      <c r="R236" s="103">
        <f t="shared" si="305"/>
        <v>1.7858451394465476E-4</v>
      </c>
      <c r="S236" s="103">
        <f t="shared" si="305"/>
        <v>6.9956091051472471E-4</v>
      </c>
      <c r="T236" s="103">
        <f t="shared" si="305"/>
        <v>2.825078508899753E-3</v>
      </c>
      <c r="U236" s="103">
        <f t="shared" si="305"/>
        <v>9.0116214332266586E-3</v>
      </c>
      <c r="V236" s="103">
        <f t="shared" si="305"/>
        <v>9.7088452613449047E-3</v>
      </c>
      <c r="W236" s="103">
        <f t="shared" ref="W236:Y236" si="306">IF(W18=0,0,W18/W$4)</f>
        <v>1.200805784857949E-2</v>
      </c>
      <c r="X236" s="103">
        <f t="shared" si="306"/>
        <v>2.7149329029018281E-2</v>
      </c>
      <c r="Y236" s="103">
        <f t="shared" si="306"/>
        <v>3.5349995903581441E-2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4.7161281336062809E-2</v>
      </c>
      <c r="C238" s="154">
        <f t="shared" si="311"/>
        <v>4.6292539037231316E-2</v>
      </c>
      <c r="D238" s="154">
        <f t="shared" si="311"/>
        <v>4.5244317306915048E-2</v>
      </c>
      <c r="E238" s="154">
        <f t="shared" si="311"/>
        <v>4.7175002380303421E-2</v>
      </c>
      <c r="F238" s="154">
        <f t="shared" si="311"/>
        <v>4.5236046632017003E-2</v>
      </c>
      <c r="G238" s="154">
        <f t="shared" si="311"/>
        <v>4.7860573520791615E-2</v>
      </c>
      <c r="H238" s="154">
        <f t="shared" si="311"/>
        <v>4.9971920478919699E-2</v>
      </c>
      <c r="I238" s="154">
        <f t="shared" si="311"/>
        <v>5.1270852505603204E-2</v>
      </c>
      <c r="J238" s="154">
        <f t="shared" si="311"/>
        <v>5.0233515576644114E-2</v>
      </c>
      <c r="K238" s="154">
        <f t="shared" si="311"/>
        <v>5.6105820643406565E-2</v>
      </c>
      <c r="L238" s="154">
        <f t="shared" ref="L238" si="312">IF(L20=0,0,L20/L$19)</f>
        <v>5.4639024065652686E-2</v>
      </c>
      <c r="M238" s="154">
        <f t="shared" ref="M238:V238" si="313">IF(M20=0,0,M20/M$19)</f>
        <v>5.6181102477868387E-2</v>
      </c>
      <c r="N238" s="154">
        <f t="shared" si="313"/>
        <v>4.6621802746034564E-2</v>
      </c>
      <c r="O238" s="154">
        <f t="shared" si="313"/>
        <v>5.3162513245913146E-2</v>
      </c>
      <c r="P238" s="154">
        <f t="shared" si="313"/>
        <v>4.7658238045055597E-2</v>
      </c>
      <c r="Q238" s="154">
        <f t="shared" si="313"/>
        <v>5.7657343627121313E-2</v>
      </c>
      <c r="R238" s="154">
        <f t="shared" si="313"/>
        <v>5.6821049232348146E-2</v>
      </c>
      <c r="S238" s="154">
        <f t="shared" si="313"/>
        <v>5.8070246921529081E-2</v>
      </c>
      <c r="T238" s="154">
        <f t="shared" si="313"/>
        <v>7.0674225279771671E-2</v>
      </c>
      <c r="U238" s="154">
        <f t="shared" si="313"/>
        <v>7.0802601505075738E-2</v>
      </c>
      <c r="V238" s="154">
        <f t="shared" si="313"/>
        <v>8.1045604185458212E-2</v>
      </c>
      <c r="W238" s="154">
        <f t="shared" ref="W238:Y238" si="314">IF(W20=0,0,W20/W$19)</f>
        <v>7.6517524306316573E-2</v>
      </c>
      <c r="X238" s="154">
        <f t="shared" si="314"/>
        <v>7.2083817539458611E-2</v>
      </c>
      <c r="Y238" s="154">
        <f t="shared" si="314"/>
        <v>8.172457771331558E-2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3.8611860032268805E-3</v>
      </c>
      <c r="C239" s="103">
        <f t="shared" si="315"/>
        <v>3.1602088681721252E-3</v>
      </c>
      <c r="D239" s="103">
        <f t="shared" si="315"/>
        <v>2.6283155555257708E-3</v>
      </c>
      <c r="E239" s="103">
        <f t="shared" si="315"/>
        <v>2.378645990040736E-3</v>
      </c>
      <c r="F239" s="103">
        <f t="shared" si="315"/>
        <v>1.9272189540338273E-3</v>
      </c>
      <c r="G239" s="103">
        <f t="shared" si="315"/>
        <v>1.7148128597814845E-3</v>
      </c>
      <c r="H239" s="103">
        <f t="shared" si="315"/>
        <v>1.5303275841842578E-3</v>
      </c>
      <c r="I239" s="103">
        <f t="shared" si="315"/>
        <v>1.3559563702126944E-3</v>
      </c>
      <c r="J239" s="103">
        <f t="shared" si="315"/>
        <v>1.2034298487563016E-3</v>
      </c>
      <c r="K239" s="103">
        <f t="shared" si="315"/>
        <v>1.213930589689485E-3</v>
      </c>
      <c r="L239" s="103">
        <f t="shared" ref="L239" si="316">IF(L21=0,0,L21/L$19)</f>
        <v>1.1064735348669814E-3</v>
      </c>
      <c r="M239" s="103">
        <f t="shared" ref="M239:V239" si="317">IF(M21=0,0,M21/M$19)</f>
        <v>1.0499893909071802E-3</v>
      </c>
      <c r="N239" s="103">
        <f t="shared" si="317"/>
        <v>7.8755173640005123E-4</v>
      </c>
      <c r="O239" s="103">
        <f t="shared" si="317"/>
        <v>8.3985318641826266E-4</v>
      </c>
      <c r="P239" s="103">
        <f t="shared" si="317"/>
        <v>7.1213853924019651E-4</v>
      </c>
      <c r="Q239" s="103">
        <f t="shared" si="317"/>
        <v>8.1453081626563695E-4</v>
      </c>
      <c r="R239" s="103">
        <f t="shared" si="317"/>
        <v>7.7258214896456655E-4</v>
      </c>
      <c r="S239" s="103">
        <f t="shared" si="317"/>
        <v>7.7784989020799537E-4</v>
      </c>
      <c r="T239" s="103">
        <f t="shared" si="317"/>
        <v>9.63369829928527E-4</v>
      </c>
      <c r="U239" s="103">
        <f t="shared" si="317"/>
        <v>9.6806673109608836E-4</v>
      </c>
      <c r="V239" s="103">
        <f t="shared" si="317"/>
        <v>1.1108028876106724E-3</v>
      </c>
      <c r="W239" s="103">
        <f t="shared" ref="W239:Y239" si="318">IF(W21=0,0,W21/W$19)</f>
        <v>1.0468356680980585E-3</v>
      </c>
      <c r="X239" s="103">
        <f t="shared" si="318"/>
        <v>9.9800526037949373E-4</v>
      </c>
      <c r="Y239" s="103">
        <f t="shared" si="318"/>
        <v>1.2328196385880011E-3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4.3300095332835936E-2</v>
      </c>
      <c r="C240" s="103">
        <f t="shared" si="319"/>
        <v>4.3132330169059187E-2</v>
      </c>
      <c r="D240" s="103">
        <f t="shared" si="319"/>
        <v>4.2616001751389278E-2</v>
      </c>
      <c r="E240" s="103">
        <f t="shared" si="319"/>
        <v>4.4796356390262693E-2</v>
      </c>
      <c r="F240" s="103">
        <f t="shared" si="319"/>
        <v>4.3308827677983178E-2</v>
      </c>
      <c r="G240" s="103">
        <f t="shared" si="319"/>
        <v>4.6145760661010123E-2</v>
      </c>
      <c r="H240" s="103">
        <f t="shared" si="319"/>
        <v>4.8439801795270312E-2</v>
      </c>
      <c r="I240" s="103">
        <f t="shared" si="319"/>
        <v>4.991150356929671E-2</v>
      </c>
      <c r="J240" s="103">
        <f t="shared" si="319"/>
        <v>4.9026967824508279E-2</v>
      </c>
      <c r="K240" s="103">
        <f t="shared" si="319"/>
        <v>5.4879817242246415E-2</v>
      </c>
      <c r="L240" s="103">
        <f t="shared" ref="L240" si="320">IF(L22=0,0,L22/L$19)</f>
        <v>5.3521281307803148E-2</v>
      </c>
      <c r="M240" s="103">
        <f t="shared" ref="M240:V240" si="321">IF(M22=0,0,M22/M$19)</f>
        <v>5.5120133752884416E-2</v>
      </c>
      <c r="N240" s="103">
        <f t="shared" si="321"/>
        <v>4.5801685295795591E-2</v>
      </c>
      <c r="O240" s="103">
        <f t="shared" si="321"/>
        <v>5.2175352050456508E-2</v>
      </c>
      <c r="P240" s="103">
        <f t="shared" si="321"/>
        <v>4.6789998516293618E-2</v>
      </c>
      <c r="Q240" s="103">
        <f t="shared" si="321"/>
        <v>5.6629261544089066E-2</v>
      </c>
      <c r="R240" s="103">
        <f t="shared" si="321"/>
        <v>5.5827373313138133E-2</v>
      </c>
      <c r="S240" s="103">
        <f t="shared" si="321"/>
        <v>5.7024757194451027E-2</v>
      </c>
      <c r="T240" s="103">
        <f t="shared" si="321"/>
        <v>6.9324631641783749E-2</v>
      </c>
      <c r="U240" s="103">
        <f t="shared" si="321"/>
        <v>6.9394416882947813E-2</v>
      </c>
      <c r="V240" s="103">
        <f t="shared" si="321"/>
        <v>7.9364630970144373E-2</v>
      </c>
      <c r="W240" s="103">
        <f t="shared" ref="W240:Y240" si="322">IF(W22=0,0,W22/W$19)</f>
        <v>7.4770723513450182E-2</v>
      </c>
      <c r="X240" s="103">
        <f t="shared" si="322"/>
        <v>7.0002065333071767E-2</v>
      </c>
      <c r="Y240" s="103">
        <f t="shared" si="322"/>
        <v>7.8624781346274833E-2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5.049529433722193E-5</v>
      </c>
      <c r="P241" s="103">
        <f t="shared" si="325"/>
        <v>5.3676895070421974E-5</v>
      </c>
      <c r="Q241" s="103">
        <f t="shared" si="325"/>
        <v>6.5241637768394066E-5</v>
      </c>
      <c r="R241" s="103">
        <f t="shared" si="325"/>
        <v>6.4046400794427652E-5</v>
      </c>
      <c r="S241" s="103">
        <f t="shared" si="325"/>
        <v>6.6661696042489261E-5</v>
      </c>
      <c r="T241" s="103">
        <f t="shared" si="325"/>
        <v>7.7302121982691431E-5</v>
      </c>
      <c r="U241" s="103">
        <f t="shared" si="325"/>
        <v>7.6477406225706088E-5</v>
      </c>
      <c r="V241" s="103">
        <f t="shared" si="325"/>
        <v>8.9772691895072452E-5</v>
      </c>
      <c r="W241" s="103">
        <f t="shared" ref="W241:Y241" si="326">IF(W23=0,0,W23/W$19)</f>
        <v>8.8851702932411043E-5</v>
      </c>
      <c r="X241" s="103">
        <f t="shared" si="326"/>
        <v>8.1177009181239101E-5</v>
      </c>
      <c r="Y241" s="103">
        <f t="shared" si="326"/>
        <v>8.926139956377837E-5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0</v>
      </c>
      <c r="R242" s="103">
        <f t="shared" si="329"/>
        <v>0</v>
      </c>
      <c r="S242" s="103">
        <f t="shared" si="329"/>
        <v>0</v>
      </c>
      <c r="T242" s="103">
        <f t="shared" si="329"/>
        <v>0</v>
      </c>
      <c r="U242" s="103">
        <f t="shared" si="329"/>
        <v>0</v>
      </c>
      <c r="V242" s="103">
        <f t="shared" si="329"/>
        <v>0</v>
      </c>
      <c r="W242" s="103">
        <f t="shared" ref="W242:Y242" si="330">IF(W24=0,0,W24/W$19)</f>
        <v>0</v>
      </c>
      <c r="X242" s="103">
        <f t="shared" si="330"/>
        <v>0</v>
      </c>
      <c r="Y242" s="103">
        <f t="shared" si="330"/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1.7910994651325941E-6</v>
      </c>
      <c r="I243" s="103">
        <f t="shared" si="331"/>
        <v>3.3925660937976857E-6</v>
      </c>
      <c r="J243" s="103">
        <f t="shared" si="331"/>
        <v>3.117903379534396E-6</v>
      </c>
      <c r="K243" s="103">
        <f t="shared" si="331"/>
        <v>1.2072811470660831E-5</v>
      </c>
      <c r="L243" s="103">
        <f t="shared" ref="L243" si="332">IF(L25=0,0,L25/L$19)</f>
        <v>1.1269222982552238E-5</v>
      </c>
      <c r="M243" s="103">
        <f t="shared" ref="M243:V243" si="333">IF(M25=0,0,M25/M$19)</f>
        <v>1.0979334076790643E-5</v>
      </c>
      <c r="N243" s="103">
        <f t="shared" si="333"/>
        <v>3.2565713838922025E-5</v>
      </c>
      <c r="O243" s="103">
        <f t="shared" si="333"/>
        <v>9.6812714701141863E-5</v>
      </c>
      <c r="P243" s="103">
        <f t="shared" si="333"/>
        <v>1.0242409445136522E-4</v>
      </c>
      <c r="Q243" s="103">
        <f t="shared" si="333"/>
        <v>1.4830962899822951E-4</v>
      </c>
      <c r="R243" s="103">
        <f t="shared" si="333"/>
        <v>1.5704736945101552E-4</v>
      </c>
      <c r="S243" s="103">
        <f t="shared" si="333"/>
        <v>2.0097814082757721E-4</v>
      </c>
      <c r="T243" s="103">
        <f t="shared" si="333"/>
        <v>3.0892168607668584E-4</v>
      </c>
      <c r="U243" s="103">
        <f t="shared" si="333"/>
        <v>3.6364048480614026E-4</v>
      </c>
      <c r="V243" s="103">
        <f t="shared" si="333"/>
        <v>4.8039763580809631E-4</v>
      </c>
      <c r="W243" s="103">
        <f t="shared" ref="W243:Y243" si="334">IF(W25=0,0,W25/W$19)</f>
        <v>6.1111342183591856E-4</v>
      </c>
      <c r="X243" s="103">
        <f t="shared" si="334"/>
        <v>1.0025699368261161E-3</v>
      </c>
      <c r="Y243" s="103">
        <f t="shared" si="334"/>
        <v>1.7777153288889606E-3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0.9528387186639371</v>
      </c>
      <c r="C244" s="156">
        <f t="shared" si="335"/>
        <v>0.95370746096276859</v>
      </c>
      <c r="D244" s="156">
        <f t="shared" si="335"/>
        <v>0.95475568269308497</v>
      </c>
      <c r="E244" s="156">
        <f t="shared" si="335"/>
        <v>0.95282499761969663</v>
      </c>
      <c r="F244" s="156">
        <f t="shared" si="335"/>
        <v>0.95476395336798303</v>
      </c>
      <c r="G244" s="156">
        <f t="shared" si="335"/>
        <v>0.95213942647920846</v>
      </c>
      <c r="H244" s="156">
        <f t="shared" si="335"/>
        <v>0.95002807952108026</v>
      </c>
      <c r="I244" s="156">
        <f t="shared" si="335"/>
        <v>0.94872914749439674</v>
      </c>
      <c r="J244" s="156">
        <f t="shared" si="335"/>
        <v>0.94976648442335587</v>
      </c>
      <c r="K244" s="156">
        <f t="shared" si="335"/>
        <v>0.94389417935659337</v>
      </c>
      <c r="L244" s="156">
        <f t="shared" ref="L244" si="336">IF(L26=0,0,L26/L$19)</f>
        <v>0.94536097593434731</v>
      </c>
      <c r="M244" s="156">
        <f t="shared" ref="M244:V244" si="337">IF(M26=0,0,M26/M$19)</f>
        <v>0.94381889752213155</v>
      </c>
      <c r="N244" s="156">
        <f t="shared" si="337"/>
        <v>0.95337819725396544</v>
      </c>
      <c r="O244" s="156">
        <f t="shared" si="337"/>
        <v>0.94683748675408685</v>
      </c>
      <c r="P244" s="156">
        <f t="shared" si="337"/>
        <v>0.95234176195494435</v>
      </c>
      <c r="Q244" s="156">
        <f t="shared" si="337"/>
        <v>0.94234265637287862</v>
      </c>
      <c r="R244" s="156">
        <f t="shared" si="337"/>
        <v>0.9431789507676519</v>
      </c>
      <c r="S244" s="156">
        <f t="shared" si="337"/>
        <v>0.94192975307847093</v>
      </c>
      <c r="T244" s="156">
        <f t="shared" si="337"/>
        <v>0.92932577472022848</v>
      </c>
      <c r="U244" s="156">
        <f t="shared" si="337"/>
        <v>0.92919739849492422</v>
      </c>
      <c r="V244" s="156">
        <f t="shared" si="337"/>
        <v>0.91895439581454186</v>
      </c>
      <c r="W244" s="156">
        <f t="shared" ref="W244:Y244" si="338">IF(W26=0,0,W26/W$19)</f>
        <v>0.92348247569368347</v>
      </c>
      <c r="X244" s="156">
        <f t="shared" si="338"/>
        <v>0.92791618246054131</v>
      </c>
      <c r="Y244" s="156">
        <f t="shared" si="338"/>
        <v>0.91827542228668457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0.27958333639059901</v>
      </c>
      <c r="C245" s="103">
        <f t="shared" si="339"/>
        <v>0.29820185412665262</v>
      </c>
      <c r="D245" s="103">
        <f t="shared" si="339"/>
        <v>0.32424826648901656</v>
      </c>
      <c r="E245" s="103">
        <f t="shared" si="339"/>
        <v>0.3135566863639318</v>
      </c>
      <c r="F245" s="103">
        <f t="shared" si="339"/>
        <v>0.27791801231507751</v>
      </c>
      <c r="G245" s="103">
        <f t="shared" si="339"/>
        <v>0.25033631477824797</v>
      </c>
      <c r="H245" s="103">
        <f t="shared" si="339"/>
        <v>0.27255766035391887</v>
      </c>
      <c r="I245" s="103">
        <f t="shared" si="339"/>
        <v>0.25986167183850667</v>
      </c>
      <c r="J245" s="103">
        <f t="shared" si="339"/>
        <v>0.24174489695344598</v>
      </c>
      <c r="K245" s="103">
        <f t="shared" si="339"/>
        <v>0.25509650603287631</v>
      </c>
      <c r="L245" s="103">
        <f t="shared" ref="L245" si="340">IF(L27=0,0,L27/L$19)</f>
        <v>0.25783543980988533</v>
      </c>
      <c r="M245" s="103">
        <f t="shared" ref="M245:V245" si="341">IF(M27=0,0,M27/M$19)</f>
        <v>0.28440281622884866</v>
      </c>
      <c r="N245" s="103">
        <f t="shared" si="341"/>
        <v>0.3644007971383913</v>
      </c>
      <c r="O245" s="103">
        <f t="shared" si="341"/>
        <v>0.29912399621814145</v>
      </c>
      <c r="P245" s="103">
        <f t="shared" si="341"/>
        <v>0.36926209833740065</v>
      </c>
      <c r="Q245" s="103">
        <f t="shared" si="341"/>
        <v>0.36990037042280971</v>
      </c>
      <c r="R245" s="103">
        <f t="shared" si="341"/>
        <v>0.37591754749388939</v>
      </c>
      <c r="S245" s="103">
        <f t="shared" si="341"/>
        <v>0.35115155168999085</v>
      </c>
      <c r="T245" s="103">
        <f t="shared" si="341"/>
        <v>0.2599540753324634</v>
      </c>
      <c r="U245" s="103">
        <f t="shared" si="341"/>
        <v>0.25937478057649699</v>
      </c>
      <c r="V245" s="103">
        <f t="shared" si="341"/>
        <v>0.22522095743943926</v>
      </c>
      <c r="W245" s="103">
        <f t="shared" ref="W245:Y245" si="342">IF(W27=0,0,W27/W$19)</f>
        <v>0.24634133050076351</v>
      </c>
      <c r="X245" s="103">
        <f t="shared" si="342"/>
        <v>0.23558493751588874</v>
      </c>
      <c r="Y245" s="103">
        <f t="shared" si="342"/>
        <v>0.22224338889903558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0.67325538227333814</v>
      </c>
      <c r="C246" s="105">
        <f t="shared" si="343"/>
        <v>0.65550560683611603</v>
      </c>
      <c r="D246" s="105">
        <f t="shared" si="343"/>
        <v>0.63050741620406847</v>
      </c>
      <c r="E246" s="105">
        <f t="shared" si="343"/>
        <v>0.63926831125576478</v>
      </c>
      <c r="F246" s="105">
        <f t="shared" si="343"/>
        <v>0.67684594105290552</v>
      </c>
      <c r="G246" s="105">
        <f t="shared" si="343"/>
        <v>0.70180311170096044</v>
      </c>
      <c r="H246" s="105">
        <f t="shared" si="343"/>
        <v>0.67747041916716144</v>
      </c>
      <c r="I246" s="105">
        <f t="shared" si="343"/>
        <v>0.68886747565589002</v>
      </c>
      <c r="J246" s="105">
        <f t="shared" si="343"/>
        <v>0.70802158746990995</v>
      </c>
      <c r="K246" s="105">
        <f t="shared" si="343"/>
        <v>0.68879767332371711</v>
      </c>
      <c r="L246" s="105">
        <f t="shared" ref="L246" si="344">IF(L28=0,0,L28/L$19)</f>
        <v>0.68752553612446199</v>
      </c>
      <c r="M246" s="105">
        <f t="shared" ref="M246:V246" si="345">IF(M28=0,0,M28/M$19)</f>
        <v>0.65941608129328289</v>
      </c>
      <c r="N246" s="105">
        <f t="shared" si="345"/>
        <v>0.58897740011557409</v>
      </c>
      <c r="O246" s="105">
        <f t="shared" si="345"/>
        <v>0.6477134905359454</v>
      </c>
      <c r="P246" s="105">
        <f t="shared" si="345"/>
        <v>0.58307966361754371</v>
      </c>
      <c r="Q246" s="105">
        <f t="shared" si="345"/>
        <v>0.57244228595006896</v>
      </c>
      <c r="R246" s="105">
        <f t="shared" si="345"/>
        <v>0.56726140327376251</v>
      </c>
      <c r="S246" s="105">
        <f t="shared" si="345"/>
        <v>0.59077820138848003</v>
      </c>
      <c r="T246" s="105">
        <f t="shared" si="345"/>
        <v>0.66937169938776508</v>
      </c>
      <c r="U246" s="105">
        <f t="shared" si="345"/>
        <v>0.66982261791842723</v>
      </c>
      <c r="V246" s="105">
        <f t="shared" si="345"/>
        <v>0.6937334383751026</v>
      </c>
      <c r="W246" s="105">
        <f t="shared" ref="W246:Y246" si="346">IF(W28=0,0,W28/W$19)</f>
        <v>0.67714114519292001</v>
      </c>
      <c r="X246" s="105">
        <f t="shared" si="346"/>
        <v>0.69233124494465259</v>
      </c>
      <c r="Y246" s="105">
        <f t="shared" si="346"/>
        <v>0.69603203338764896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7.3550409161154857E-3</v>
      </c>
      <c r="C250" s="154">
        <f t="shared" si="351"/>
        <v>7.3463943145492937E-3</v>
      </c>
      <c r="D250" s="154">
        <f t="shared" si="351"/>
        <v>7.6927242903592798E-3</v>
      </c>
      <c r="E250" s="154">
        <f t="shared" si="351"/>
        <v>7.6886729897673528E-3</v>
      </c>
      <c r="F250" s="154">
        <f t="shared" si="351"/>
        <v>8.0259045837366271E-3</v>
      </c>
      <c r="G250" s="154">
        <f t="shared" si="351"/>
        <v>7.9976792501834006E-3</v>
      </c>
      <c r="H250" s="154">
        <f t="shared" si="351"/>
        <v>7.9167209331145998E-3</v>
      </c>
      <c r="I250" s="154">
        <f t="shared" si="351"/>
        <v>8.0856138475526775E-3</v>
      </c>
      <c r="J250" s="154">
        <f t="shared" si="351"/>
        <v>7.992172200214696E-3</v>
      </c>
      <c r="K250" s="154">
        <f t="shared" si="351"/>
        <v>8.2839489560294528E-3</v>
      </c>
      <c r="L250" s="154">
        <f t="shared" ref="L250" si="352">IF(L32=0,0,L32/L$31)</f>
        <v>8.8605945804681608E-3</v>
      </c>
      <c r="M250" s="154">
        <f t="shared" ref="M250:V250" si="353">IF(M32=0,0,M32/M$31)</f>
        <v>8.9723492859233919E-3</v>
      </c>
      <c r="N250" s="154">
        <f t="shared" si="353"/>
        <v>9.2605334572425039E-3</v>
      </c>
      <c r="O250" s="154">
        <f t="shared" si="353"/>
        <v>9.4079222893102069E-3</v>
      </c>
      <c r="P250" s="154">
        <f t="shared" si="353"/>
        <v>9.4551383755224431E-3</v>
      </c>
      <c r="Q250" s="154">
        <f t="shared" si="353"/>
        <v>9.7288679805570474E-3</v>
      </c>
      <c r="R250" s="154">
        <f t="shared" si="353"/>
        <v>9.8170094509600798E-3</v>
      </c>
      <c r="S250" s="154">
        <f t="shared" si="353"/>
        <v>9.0903611831862213E-3</v>
      </c>
      <c r="T250" s="154">
        <f t="shared" si="353"/>
        <v>8.3530204857977814E-3</v>
      </c>
      <c r="U250" s="154">
        <f t="shared" si="353"/>
        <v>8.558953537655652E-3</v>
      </c>
      <c r="V250" s="154">
        <f t="shared" si="353"/>
        <v>8.1669552450910239E-3</v>
      </c>
      <c r="W250" s="154">
        <f t="shared" ref="W250:Y250" si="354">IF(W32=0,0,W32/W$31)</f>
        <v>8.2662314948005137E-3</v>
      </c>
      <c r="X250" s="154">
        <f t="shared" si="354"/>
        <v>8.0670655745150657E-3</v>
      </c>
      <c r="Y250" s="154">
        <f t="shared" si="354"/>
        <v>8.398361738560586E-3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0.98339250636841291</v>
      </c>
      <c r="C251" s="156">
        <f t="shared" si="355"/>
        <v>0.98299083484052596</v>
      </c>
      <c r="D251" s="156">
        <f t="shared" si="355"/>
        <v>0.98223261835550668</v>
      </c>
      <c r="E251" s="156">
        <f t="shared" si="355"/>
        <v>0.98224029711731553</v>
      </c>
      <c r="F251" s="156">
        <f t="shared" si="355"/>
        <v>0.98201495123536053</v>
      </c>
      <c r="G251" s="156">
        <f t="shared" si="355"/>
        <v>0.98209061149369792</v>
      </c>
      <c r="H251" s="156">
        <f t="shared" si="355"/>
        <v>0.98237408117922753</v>
      </c>
      <c r="I251" s="156">
        <f t="shared" si="355"/>
        <v>0.98200033837686873</v>
      </c>
      <c r="J251" s="156">
        <f t="shared" si="355"/>
        <v>0.98189253483107108</v>
      </c>
      <c r="K251" s="156">
        <f t="shared" si="355"/>
        <v>0.98127927177026408</v>
      </c>
      <c r="L251" s="156">
        <f t="shared" ref="L251" si="356">IF(L33=0,0,L33/L$31)</f>
        <v>0.9800831007910713</v>
      </c>
      <c r="M251" s="156">
        <f t="shared" ref="M251:V251" si="357">IF(M33=0,0,M33/M$31)</f>
        <v>0.97989893278553275</v>
      </c>
      <c r="N251" s="156">
        <f t="shared" si="357"/>
        <v>0.97991047315664614</v>
      </c>
      <c r="O251" s="156">
        <f t="shared" si="357"/>
        <v>0.97994752578448019</v>
      </c>
      <c r="P251" s="156">
        <f t="shared" si="357"/>
        <v>0.98041182091289569</v>
      </c>
      <c r="Q251" s="156">
        <f t="shared" si="357"/>
        <v>0.98002778992948092</v>
      </c>
      <c r="R251" s="156">
        <f t="shared" si="357"/>
        <v>0.9801824537803715</v>
      </c>
      <c r="S251" s="156">
        <f t="shared" si="357"/>
        <v>0.98083306860963382</v>
      </c>
      <c r="T251" s="156">
        <f t="shared" si="357"/>
        <v>0.98170048944104893</v>
      </c>
      <c r="U251" s="156">
        <f t="shared" si="357"/>
        <v>0.98139381816744709</v>
      </c>
      <c r="V251" s="156">
        <f t="shared" si="357"/>
        <v>0.98124866904065744</v>
      </c>
      <c r="W251" s="156">
        <f t="shared" ref="W251:Y251" si="358">IF(W33=0,0,W33/W$31)</f>
        <v>0.98147853506592486</v>
      </c>
      <c r="X251" s="156">
        <f t="shared" si="358"/>
        <v>0.98204840417889128</v>
      </c>
      <c r="Y251" s="156">
        <f t="shared" si="358"/>
        <v>0.98207018450586758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0.65999236142189199</v>
      </c>
      <c r="C252" s="103">
        <f t="shared" si="359"/>
        <v>0.62267046784320634</v>
      </c>
      <c r="D252" s="103">
        <f t="shared" si="359"/>
        <v>0.58584369321711438</v>
      </c>
      <c r="E252" s="103">
        <f t="shared" si="359"/>
        <v>0.55418963524825582</v>
      </c>
      <c r="F252" s="103">
        <f t="shared" si="359"/>
        <v>0.51284248851841652</v>
      </c>
      <c r="G252" s="103">
        <f t="shared" si="359"/>
        <v>0.47382314376225643</v>
      </c>
      <c r="H252" s="103">
        <f t="shared" si="359"/>
        <v>0.43595930864138172</v>
      </c>
      <c r="I252" s="103">
        <f t="shared" si="359"/>
        <v>0.41057301481348524</v>
      </c>
      <c r="J252" s="103">
        <f t="shared" si="359"/>
        <v>0.39489255100508291</v>
      </c>
      <c r="K252" s="103">
        <f t="shared" si="359"/>
        <v>0.37541441155070904</v>
      </c>
      <c r="L252" s="103">
        <f t="shared" ref="L252" si="360">IF(L34=0,0,L34/L$31)</f>
        <v>0.3606467434735986</v>
      </c>
      <c r="M252" s="103">
        <f t="shared" ref="M252:V252" si="361">IF(M34=0,0,M34/M$31)</f>
        <v>0.35750249521614552</v>
      </c>
      <c r="N252" s="103">
        <f t="shared" si="361"/>
        <v>0.34951454692350831</v>
      </c>
      <c r="O252" s="103">
        <f t="shared" si="361"/>
        <v>0.33722389240989536</v>
      </c>
      <c r="P252" s="103">
        <f t="shared" si="361"/>
        <v>0.32787365982310301</v>
      </c>
      <c r="Q252" s="103">
        <f t="shared" si="361"/>
        <v>0.32591634630158661</v>
      </c>
      <c r="R252" s="103">
        <f t="shared" si="361"/>
        <v>0.33581061489958458</v>
      </c>
      <c r="S252" s="103">
        <f t="shared" si="361"/>
        <v>0.35759214251501148</v>
      </c>
      <c r="T252" s="103">
        <f t="shared" si="361"/>
        <v>0.38390490158102308</v>
      </c>
      <c r="U252" s="103">
        <f t="shared" si="361"/>
        <v>0.40923266133359937</v>
      </c>
      <c r="V252" s="103">
        <f t="shared" si="361"/>
        <v>0.42630372538030137</v>
      </c>
      <c r="W252" s="103">
        <f t="shared" ref="W252:Y252" si="362">IF(W34=0,0,W34/W$31)</f>
        <v>0.43555865455969006</v>
      </c>
      <c r="X252" s="103">
        <f t="shared" si="362"/>
        <v>0.44269200637982975</v>
      </c>
      <c r="Y252" s="103">
        <f t="shared" si="362"/>
        <v>0.44817230719004769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0.3156675733741966</v>
      </c>
      <c r="C253" s="103">
        <f t="shared" si="363"/>
        <v>0.35155003279286001</v>
      </c>
      <c r="D253" s="103">
        <f t="shared" si="363"/>
        <v>0.38750493521733659</v>
      </c>
      <c r="E253" s="103">
        <f t="shared" si="363"/>
        <v>0.41989443584010588</v>
      </c>
      <c r="F253" s="103">
        <f t="shared" si="363"/>
        <v>0.46165026788255287</v>
      </c>
      <c r="G253" s="103">
        <f t="shared" si="363"/>
        <v>0.50134252123591105</v>
      </c>
      <c r="H253" s="103">
        <f t="shared" si="363"/>
        <v>0.54306993643120349</v>
      </c>
      <c r="I253" s="103">
        <f t="shared" si="363"/>
        <v>0.56828950332792116</v>
      </c>
      <c r="J253" s="103">
        <f t="shared" si="363"/>
        <v>0.58385912277828977</v>
      </c>
      <c r="K253" s="103">
        <f t="shared" si="363"/>
        <v>0.60251990516720022</v>
      </c>
      <c r="L253" s="103">
        <f t="shared" ref="L253" si="364">IF(L35=0,0,L35/L$31)</f>
        <v>0.61562796546987719</v>
      </c>
      <c r="M253" s="103">
        <f t="shared" ref="M253:V253" si="365">IF(M35=0,0,M35/M$31)</f>
        <v>0.61849431991022719</v>
      </c>
      <c r="N253" s="103">
        <f t="shared" si="365"/>
        <v>0.62585845679572127</v>
      </c>
      <c r="O253" s="103">
        <f t="shared" si="365"/>
        <v>0.63711310486156836</v>
      </c>
      <c r="P253" s="103">
        <f t="shared" si="365"/>
        <v>0.64630087092203659</v>
      </c>
      <c r="Q253" s="103">
        <f t="shared" si="365"/>
        <v>0.64794040013986576</v>
      </c>
      <c r="R253" s="103">
        <f t="shared" si="365"/>
        <v>0.63790929663188034</v>
      </c>
      <c r="S253" s="103">
        <f t="shared" si="365"/>
        <v>0.61641778927440405</v>
      </c>
      <c r="T253" s="103">
        <f t="shared" si="365"/>
        <v>0.59066837699689356</v>
      </c>
      <c r="U253" s="103">
        <f t="shared" si="365"/>
        <v>0.56093390230993945</v>
      </c>
      <c r="V253" s="103">
        <f t="shared" si="365"/>
        <v>0.53610594246825016</v>
      </c>
      <c r="W253" s="103">
        <f t="shared" ref="W253:Y253" si="366">IF(W35=0,0,W35/W$31)</f>
        <v>0.50744471213384001</v>
      </c>
      <c r="X253" s="103">
        <f t="shared" si="366"/>
        <v>0.48182052112397317</v>
      </c>
      <c r="Y253" s="103">
        <f t="shared" si="366"/>
        <v>0.44645028275153475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7.7325715723242615E-3</v>
      </c>
      <c r="C254" s="103">
        <f t="shared" si="367"/>
        <v>8.7703342044594471E-3</v>
      </c>
      <c r="D254" s="103">
        <f t="shared" si="367"/>
        <v>8.8839899210556919E-3</v>
      </c>
      <c r="E254" s="103">
        <f t="shared" si="367"/>
        <v>8.1562260289540327E-3</v>
      </c>
      <c r="F254" s="103">
        <f t="shared" si="367"/>
        <v>7.5221948343909819E-3</v>
      </c>
      <c r="G254" s="103">
        <f t="shared" si="367"/>
        <v>6.9249464955305129E-3</v>
      </c>
      <c r="H254" s="103">
        <f t="shared" si="367"/>
        <v>3.3448361066423129E-3</v>
      </c>
      <c r="I254" s="103">
        <f t="shared" si="367"/>
        <v>3.1378202354623358E-3</v>
      </c>
      <c r="J254" s="103">
        <f t="shared" si="367"/>
        <v>3.138216732273596E-3</v>
      </c>
      <c r="K254" s="103">
        <f t="shared" si="367"/>
        <v>3.3396641452578413E-3</v>
      </c>
      <c r="L254" s="103">
        <f t="shared" ref="L254" si="368">IF(L36=0,0,L36/L$31)</f>
        <v>3.2729856613380476E-3</v>
      </c>
      <c r="M254" s="103">
        <f t="shared" ref="M254:V254" si="369">IF(M36=0,0,M36/M$31)</f>
        <v>3.0799533681612622E-3</v>
      </c>
      <c r="N254" s="103">
        <f t="shared" si="369"/>
        <v>2.9973823842614987E-3</v>
      </c>
      <c r="O254" s="103">
        <f t="shared" si="369"/>
        <v>3.0538071841972347E-3</v>
      </c>
      <c r="P254" s="103">
        <f t="shared" si="369"/>
        <v>2.9146114784499057E-3</v>
      </c>
      <c r="Q254" s="103">
        <f t="shared" si="369"/>
        <v>2.7614259082039462E-3</v>
      </c>
      <c r="R254" s="103">
        <f t="shared" si="369"/>
        <v>2.6806396311283651E-3</v>
      </c>
      <c r="S254" s="103">
        <f t="shared" si="369"/>
        <v>2.2078972179776857E-3</v>
      </c>
      <c r="T254" s="103">
        <f t="shared" si="369"/>
        <v>6.0319120502340525E-4</v>
      </c>
      <c r="U254" s="103">
        <f t="shared" si="369"/>
        <v>3.548626787207272E-4</v>
      </c>
      <c r="V254" s="103">
        <f t="shared" si="369"/>
        <v>6.895078584224938E-4</v>
      </c>
      <c r="W254" s="103">
        <f t="shared" ref="W254:Y254" si="370">IF(W36=0,0,W36/W$31)</f>
        <v>4.9087453567984616E-4</v>
      </c>
      <c r="X254" s="103">
        <f t="shared" si="370"/>
        <v>5.02212523542933E-4</v>
      </c>
      <c r="Y254" s="103">
        <f t="shared" si="370"/>
        <v>5.0375839977324422E-4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0</v>
      </c>
      <c r="O255" s="103">
        <f t="shared" si="373"/>
        <v>0</v>
      </c>
      <c r="P255" s="103">
        <f t="shared" si="373"/>
        <v>0</v>
      </c>
      <c r="Q255" s="103">
        <f t="shared" si="373"/>
        <v>0</v>
      </c>
      <c r="R255" s="103">
        <f t="shared" si="373"/>
        <v>0</v>
      </c>
      <c r="S255" s="103">
        <f t="shared" si="373"/>
        <v>0</v>
      </c>
      <c r="T255" s="103">
        <f t="shared" si="373"/>
        <v>0</v>
      </c>
      <c r="U255" s="103">
        <f t="shared" si="373"/>
        <v>0</v>
      </c>
      <c r="V255" s="103">
        <f t="shared" si="373"/>
        <v>0</v>
      </c>
      <c r="W255" s="103">
        <f t="shared" ref="W255:Y255" si="374">IF(W37=0,0,W37/W$31)</f>
        <v>0</v>
      </c>
      <c r="X255" s="103">
        <f t="shared" si="374"/>
        <v>0</v>
      </c>
      <c r="Y255" s="103">
        <f t="shared" si="374"/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1.2775499195549879E-3</v>
      </c>
      <c r="O256" s="103">
        <f t="shared" si="377"/>
        <v>1.879224113457217E-3</v>
      </c>
      <c r="P256" s="103">
        <f t="shared" si="377"/>
        <v>1.9273601372031364E-3</v>
      </c>
      <c r="Q256" s="103">
        <f t="shared" si="377"/>
        <v>1.8606974131914571E-3</v>
      </c>
      <c r="R256" s="103">
        <f t="shared" si="377"/>
        <v>2.1772934036181409E-3</v>
      </c>
      <c r="S256" s="103">
        <f t="shared" si="377"/>
        <v>2.39844277563792E-3</v>
      </c>
      <c r="T256" s="103">
        <f t="shared" si="377"/>
        <v>3.5761161630949228E-3</v>
      </c>
      <c r="U256" s="103">
        <f t="shared" si="377"/>
        <v>5.3704307132746388E-3</v>
      </c>
      <c r="V256" s="103">
        <f t="shared" si="377"/>
        <v>9.4495105600632696E-3</v>
      </c>
      <c r="W256" s="103">
        <f t="shared" ref="W256:Y256" si="378">IF(W38=0,0,W38/W$31)</f>
        <v>1.9095673885341044E-2</v>
      </c>
      <c r="X256" s="103">
        <f t="shared" si="378"/>
        <v>2.6289787578654373E-2</v>
      </c>
      <c r="Y256" s="103">
        <f t="shared" si="378"/>
        <v>3.499361739617983E-2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2.6443154248894446E-6</v>
      </c>
      <c r="K257" s="103">
        <f t="shared" si="379"/>
        <v>5.2909070967741025E-6</v>
      </c>
      <c r="L257" s="103">
        <f t="shared" ref="L257" si="380">IF(L39=0,0,L39/L$31)</f>
        <v>5.354061862575286E-4</v>
      </c>
      <c r="M257" s="103">
        <f t="shared" ref="M257:V257" si="381">IF(M39=0,0,M39/M$31)</f>
        <v>8.2216429099877012E-4</v>
      </c>
      <c r="N257" s="103">
        <f t="shared" si="381"/>
        <v>2.625371336002226E-4</v>
      </c>
      <c r="O257" s="103">
        <f t="shared" si="381"/>
        <v>6.7749721536228226E-4</v>
      </c>
      <c r="P257" s="103">
        <f t="shared" si="381"/>
        <v>1.3953185521032978E-3</v>
      </c>
      <c r="Q257" s="103">
        <f t="shared" si="381"/>
        <v>1.548920166633046E-3</v>
      </c>
      <c r="R257" s="103">
        <f t="shared" si="381"/>
        <v>1.6046092141601986E-3</v>
      </c>
      <c r="S257" s="103">
        <f t="shared" si="381"/>
        <v>2.2167968266028262E-3</v>
      </c>
      <c r="T257" s="103">
        <f t="shared" si="381"/>
        <v>2.9479034950139022E-3</v>
      </c>
      <c r="U257" s="103">
        <f t="shared" si="381"/>
        <v>5.501961131912831E-3</v>
      </c>
      <c r="V257" s="103">
        <f t="shared" si="381"/>
        <v>8.6999827736201265E-3</v>
      </c>
      <c r="W257" s="103">
        <f t="shared" ref="W257:Y257" si="382">IF(W39=0,0,W39/W$31)</f>
        <v>1.8888619951373815E-2</v>
      </c>
      <c r="X257" s="103">
        <f t="shared" si="382"/>
        <v>3.0743876572891023E-2</v>
      </c>
      <c r="Y257" s="103">
        <f t="shared" si="382"/>
        <v>5.1950218768331939E-2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9.2524527154716901E-3</v>
      </c>
      <c r="C258" s="156">
        <f t="shared" si="383"/>
        <v>9.6627708449249228E-3</v>
      </c>
      <c r="D258" s="156">
        <f t="shared" si="383"/>
        <v>1.0074657354133995E-2</v>
      </c>
      <c r="E258" s="156">
        <f t="shared" si="383"/>
        <v>1.0071029892917005E-2</v>
      </c>
      <c r="F258" s="156">
        <f t="shared" si="383"/>
        <v>9.9591441809029312E-3</v>
      </c>
      <c r="G258" s="156">
        <f t="shared" si="383"/>
        <v>9.9117092561187194E-3</v>
      </c>
      <c r="H258" s="156">
        <f t="shared" si="383"/>
        <v>9.7091978876579395E-3</v>
      </c>
      <c r="I258" s="156">
        <f t="shared" si="383"/>
        <v>9.9140477755784596E-3</v>
      </c>
      <c r="J258" s="156">
        <f t="shared" si="383"/>
        <v>1.0115292968714256E-2</v>
      </c>
      <c r="K258" s="156">
        <f t="shared" si="383"/>
        <v>1.0436779273706405E-2</v>
      </c>
      <c r="L258" s="156">
        <f t="shared" ref="L258" si="384">IF(L40=0,0,L40/L$31)</f>
        <v>1.1056304628460582E-2</v>
      </c>
      <c r="M258" s="156">
        <f t="shared" ref="M258:V258" si="385">IF(M40=0,0,M40/M$31)</f>
        <v>1.1128717928543908E-2</v>
      </c>
      <c r="N258" s="156">
        <f t="shared" si="385"/>
        <v>1.0828993386111391E-2</v>
      </c>
      <c r="O258" s="156">
        <f t="shared" si="385"/>
        <v>1.0644551926209556E-2</v>
      </c>
      <c r="P258" s="156">
        <f t="shared" si="385"/>
        <v>1.0133040711581935E-2</v>
      </c>
      <c r="Q258" s="156">
        <f t="shared" si="385"/>
        <v>1.0243342089962183E-2</v>
      </c>
      <c r="R258" s="156">
        <f t="shared" si="385"/>
        <v>1.0000536768668418E-2</v>
      </c>
      <c r="S258" s="156">
        <f t="shared" si="385"/>
        <v>1.0076570207180027E-2</v>
      </c>
      <c r="T258" s="156">
        <f t="shared" si="385"/>
        <v>9.9464900731533606E-3</v>
      </c>
      <c r="U258" s="156">
        <f t="shared" si="385"/>
        <v>1.0047228294897306E-2</v>
      </c>
      <c r="V258" s="156">
        <f t="shared" si="385"/>
        <v>1.0584375714251477E-2</v>
      </c>
      <c r="W258" s="156">
        <f t="shared" ref="W258:Y258" si="386">IF(W40=0,0,W40/W$31)</f>
        <v>1.0255233439274635E-2</v>
      </c>
      <c r="X258" s="156">
        <f t="shared" si="386"/>
        <v>9.8845302465937323E-3</v>
      </c>
      <c r="Y258" s="156">
        <f t="shared" si="386"/>
        <v>9.5314537555717185E-3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0</v>
      </c>
      <c r="E259" s="103">
        <f t="shared" si="387"/>
        <v>0</v>
      </c>
      <c r="F259" s="103">
        <f t="shared" si="387"/>
        <v>0</v>
      </c>
      <c r="G259" s="103">
        <f t="shared" si="387"/>
        <v>0</v>
      </c>
      <c r="H259" s="103">
        <f t="shared" si="387"/>
        <v>0</v>
      </c>
      <c r="I259" s="103">
        <f t="shared" si="387"/>
        <v>0</v>
      </c>
      <c r="J259" s="103">
        <f t="shared" si="387"/>
        <v>0</v>
      </c>
      <c r="K259" s="103">
        <f t="shared" si="387"/>
        <v>0</v>
      </c>
      <c r="L259" s="103">
        <f t="shared" ref="L259" si="388">IF(L41=0,0,L41/L$31)</f>
        <v>0</v>
      </c>
      <c r="M259" s="103">
        <f t="shared" ref="M259:V259" si="389">IF(M41=0,0,M41/M$31)</f>
        <v>0</v>
      </c>
      <c r="N259" s="103">
        <f t="shared" si="389"/>
        <v>0</v>
      </c>
      <c r="O259" s="103">
        <f t="shared" si="389"/>
        <v>0</v>
      </c>
      <c r="P259" s="103">
        <f t="shared" si="389"/>
        <v>0</v>
      </c>
      <c r="Q259" s="103">
        <f t="shared" si="389"/>
        <v>0</v>
      </c>
      <c r="R259" s="103">
        <f t="shared" si="389"/>
        <v>0</v>
      </c>
      <c r="S259" s="103">
        <f t="shared" si="389"/>
        <v>0</v>
      </c>
      <c r="T259" s="103">
        <f t="shared" si="389"/>
        <v>1.5386652676456603E-6</v>
      </c>
      <c r="U259" s="103">
        <f t="shared" si="389"/>
        <v>1.4403216044281739E-6</v>
      </c>
      <c r="V259" s="103">
        <f t="shared" si="389"/>
        <v>1.4222663955316767E-6</v>
      </c>
      <c r="W259" s="103">
        <f t="shared" ref="W259:Y259" si="390">IF(W41=0,0,W41/W$31)</f>
        <v>2.5874826115798668E-6</v>
      </c>
      <c r="X259" s="103">
        <f t="shared" si="390"/>
        <v>3.4283611807251515E-6</v>
      </c>
      <c r="Y259" s="103">
        <f t="shared" si="390"/>
        <v>3.0868010556961365E-6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9.2524527154716901E-3</v>
      </c>
      <c r="C260" s="103">
        <f t="shared" si="391"/>
        <v>9.6627708449249228E-3</v>
      </c>
      <c r="D260" s="103">
        <f t="shared" si="391"/>
        <v>1.0074657354133995E-2</v>
      </c>
      <c r="E260" s="103">
        <f t="shared" si="391"/>
        <v>1.0043886104883175E-2</v>
      </c>
      <c r="F260" s="103">
        <f t="shared" si="391"/>
        <v>9.9326918275533995E-3</v>
      </c>
      <c r="G260" s="103">
        <f t="shared" si="391"/>
        <v>9.8863266279909344E-3</v>
      </c>
      <c r="H260" s="103">
        <f t="shared" si="391"/>
        <v>9.6845665512296231E-3</v>
      </c>
      <c r="I260" s="103">
        <f t="shared" si="391"/>
        <v>9.8897781039217151E-3</v>
      </c>
      <c r="J260" s="103">
        <f t="shared" si="391"/>
        <v>1.0091558057537637E-2</v>
      </c>
      <c r="K260" s="103">
        <f t="shared" si="391"/>
        <v>1.042095216620828E-2</v>
      </c>
      <c r="L260" s="103">
        <f t="shared" ref="L260" si="392">IF(L42=0,0,L42/L$31)</f>
        <v>1.1039993633075623E-2</v>
      </c>
      <c r="M260" s="103">
        <f t="shared" ref="M260:V260" si="393">IF(M42=0,0,M42/M$31)</f>
        <v>1.1112675981970311E-2</v>
      </c>
      <c r="N260" s="103">
        <f t="shared" si="393"/>
        <v>1.0813316498194794E-2</v>
      </c>
      <c r="O260" s="103">
        <f t="shared" si="393"/>
        <v>1.0629166114314168E-2</v>
      </c>
      <c r="P260" s="103">
        <f t="shared" si="393"/>
        <v>1.0118254663174765E-2</v>
      </c>
      <c r="Q260" s="103">
        <f t="shared" si="393"/>
        <v>1.0228763590053133E-2</v>
      </c>
      <c r="R260" s="103">
        <f t="shared" si="393"/>
        <v>9.9865325156839966E-3</v>
      </c>
      <c r="S260" s="103">
        <f t="shared" si="393"/>
        <v>1.0021898605020323E-2</v>
      </c>
      <c r="T260" s="103">
        <f t="shared" si="393"/>
        <v>9.7273099901827656E-3</v>
      </c>
      <c r="U260" s="103">
        <f t="shared" si="393"/>
        <v>9.3562313696052071E-3</v>
      </c>
      <c r="V260" s="103">
        <f t="shared" si="393"/>
        <v>9.598000106593764E-3</v>
      </c>
      <c r="W260" s="103">
        <f t="shared" ref="W260:Y260" si="394">IF(W42=0,0,W42/W$31)</f>
        <v>9.0810021492099512E-3</v>
      </c>
      <c r="X260" s="103">
        <f t="shared" si="394"/>
        <v>7.8609200402378083E-3</v>
      </c>
      <c r="Y260" s="103">
        <f t="shared" si="394"/>
        <v>7.125468322276788E-3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0</v>
      </c>
      <c r="P262" s="103">
        <f t="shared" si="401"/>
        <v>0</v>
      </c>
      <c r="Q262" s="103">
        <f t="shared" si="401"/>
        <v>0</v>
      </c>
      <c r="R262" s="103">
        <f t="shared" si="401"/>
        <v>0</v>
      </c>
      <c r="S262" s="103">
        <f t="shared" si="401"/>
        <v>0</v>
      </c>
      <c r="T262" s="103">
        <f t="shared" si="401"/>
        <v>0</v>
      </c>
      <c r="U262" s="103">
        <f t="shared" si="401"/>
        <v>0</v>
      </c>
      <c r="V262" s="103">
        <f t="shared" si="401"/>
        <v>0</v>
      </c>
      <c r="W262" s="103">
        <f t="shared" ref="W262:Y262" si="402">IF(W44=0,0,W44/W$31)</f>
        <v>0</v>
      </c>
      <c r="X262" s="103">
        <f t="shared" si="402"/>
        <v>0</v>
      </c>
      <c r="Y262" s="103">
        <f t="shared" si="402"/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2.714378803382972E-5</v>
      </c>
      <c r="F263" s="103">
        <f t="shared" si="403"/>
        <v>2.6452353349532163E-5</v>
      </c>
      <c r="G263" s="103">
        <f t="shared" si="403"/>
        <v>2.5382628127784779E-5</v>
      </c>
      <c r="H263" s="103">
        <f t="shared" si="403"/>
        <v>2.4631336428317413E-5</v>
      </c>
      <c r="I263" s="103">
        <f t="shared" si="403"/>
        <v>2.4269671656743712E-5</v>
      </c>
      <c r="J263" s="103">
        <f t="shared" si="403"/>
        <v>2.3734911176618257E-5</v>
      </c>
      <c r="K263" s="103">
        <f t="shared" si="403"/>
        <v>1.5827107498123416E-5</v>
      </c>
      <c r="L263" s="103">
        <f t="shared" ref="L263" si="404">IF(L45=0,0,L45/L$31)</f>
        <v>1.6310995384957724E-5</v>
      </c>
      <c r="M263" s="103">
        <f t="shared" ref="M263:V263" si="405">IF(M45=0,0,M45/M$31)</f>
        <v>1.6041946573597097E-5</v>
      </c>
      <c r="N263" s="103">
        <f t="shared" si="405"/>
        <v>1.5676887916596545E-5</v>
      </c>
      <c r="O263" s="103">
        <f t="shared" si="405"/>
        <v>1.5385811895386546E-5</v>
      </c>
      <c r="P263" s="103">
        <f t="shared" si="405"/>
        <v>1.4786048407169458E-5</v>
      </c>
      <c r="Q263" s="103">
        <f t="shared" si="405"/>
        <v>1.4578499909047785E-5</v>
      </c>
      <c r="R263" s="103">
        <f t="shared" si="405"/>
        <v>1.4004252984421255E-5</v>
      </c>
      <c r="S263" s="103">
        <f t="shared" si="405"/>
        <v>5.4671602159702417E-5</v>
      </c>
      <c r="T263" s="103">
        <f t="shared" si="405"/>
        <v>2.1764141770294995E-4</v>
      </c>
      <c r="U263" s="103">
        <f t="shared" si="405"/>
        <v>6.8955660368766976E-4</v>
      </c>
      <c r="V263" s="103">
        <f t="shared" si="405"/>
        <v>9.8495334126218236E-4</v>
      </c>
      <c r="W263" s="103">
        <f t="shared" ref="W263:Y263" si="406">IF(W45=0,0,W45/W$31)</f>
        <v>1.1716438074531024E-3</v>
      </c>
      <c r="X263" s="103">
        <f t="shared" si="406"/>
        <v>2.0201818451751987E-3</v>
      </c>
      <c r="Y263" s="103">
        <f t="shared" si="406"/>
        <v>2.402898632239235E-3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0.67543704777128077</v>
      </c>
      <c r="C265" s="154">
        <f t="shared" si="411"/>
        <v>0.66791352680253213</v>
      </c>
      <c r="D265" s="154">
        <f t="shared" si="411"/>
        <v>0.66041232956350071</v>
      </c>
      <c r="E265" s="154">
        <f t="shared" si="411"/>
        <v>0.66947234135885014</v>
      </c>
      <c r="F265" s="154">
        <f t="shared" si="411"/>
        <v>0.6649063452691214</v>
      </c>
      <c r="G265" s="154">
        <f t="shared" si="411"/>
        <v>0.67821307361905647</v>
      </c>
      <c r="H265" s="154">
        <f t="shared" si="411"/>
        <v>0.68319869016768653</v>
      </c>
      <c r="I265" s="154">
        <f t="shared" si="411"/>
        <v>0.69361048887783905</v>
      </c>
      <c r="J265" s="154">
        <f t="shared" si="411"/>
        <v>0.6963390302884207</v>
      </c>
      <c r="K265" s="154">
        <f t="shared" si="411"/>
        <v>0.74386283071867121</v>
      </c>
      <c r="L265" s="154">
        <f t="shared" ref="L265" si="412">IF(L47=0,0,L47/L$46)</f>
        <v>0.74132242517270508</v>
      </c>
      <c r="M265" s="154">
        <f t="shared" ref="M265:V265" si="413">IF(M47=0,0,M47/M$46)</f>
        <v>0.74849072507242476</v>
      </c>
      <c r="N265" s="154">
        <f t="shared" si="413"/>
        <v>0.70462646368158521</v>
      </c>
      <c r="O265" s="154">
        <f t="shared" si="413"/>
        <v>0.7300216629026085</v>
      </c>
      <c r="P265" s="154">
        <f t="shared" si="413"/>
        <v>0.70969186351740854</v>
      </c>
      <c r="Q265" s="154">
        <f t="shared" si="413"/>
        <v>0.74844248595961504</v>
      </c>
      <c r="R265" s="154">
        <f t="shared" si="413"/>
        <v>0.74934901795701714</v>
      </c>
      <c r="S265" s="154">
        <f t="shared" si="413"/>
        <v>0.75305090074722592</v>
      </c>
      <c r="T265" s="154">
        <f t="shared" si="413"/>
        <v>0.76306498328163486</v>
      </c>
      <c r="U265" s="154">
        <f t="shared" si="413"/>
        <v>0.7647363679635103</v>
      </c>
      <c r="V265" s="154">
        <f t="shared" si="413"/>
        <v>0.7846168306104595</v>
      </c>
      <c r="W265" s="154">
        <f t="shared" ref="W265:Y265" si="414">IF(W47=0,0,W47/W$46)</f>
        <v>0.77298383328731068</v>
      </c>
      <c r="X265" s="154">
        <f t="shared" si="414"/>
        <v>0.75597677217399506</v>
      </c>
      <c r="Y265" s="154">
        <f t="shared" si="414"/>
        <v>0.7743027371367055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6.8780093345982146E-2</v>
      </c>
      <c r="C266" s="103">
        <f t="shared" si="415"/>
        <v>5.6961562488451731E-2</v>
      </c>
      <c r="D266" s="103">
        <f t="shared" si="415"/>
        <v>4.8072893922434592E-2</v>
      </c>
      <c r="E266" s="103">
        <f t="shared" si="415"/>
        <v>4.2371340907165538E-2</v>
      </c>
      <c r="F266" s="103">
        <f t="shared" si="415"/>
        <v>3.5620603206852133E-2</v>
      </c>
      <c r="G266" s="103">
        <f t="shared" si="415"/>
        <v>3.0598402255408885E-2</v>
      </c>
      <c r="H266" s="103">
        <f t="shared" si="415"/>
        <v>2.6362330085391659E-2</v>
      </c>
      <c r="I266" s="103">
        <f t="shared" si="415"/>
        <v>2.3120340019310587E-2</v>
      </c>
      <c r="J266" s="103">
        <f t="shared" si="415"/>
        <v>2.1007245079109237E-2</v>
      </c>
      <c r="K266" s="103">
        <f t="shared" si="415"/>
        <v>2.024451874359116E-2</v>
      </c>
      <c r="L266" s="103">
        <f t="shared" ref="L266" si="416">IF(L48=0,0,L48/L$46)</f>
        <v>1.8859388595410181E-2</v>
      </c>
      <c r="M266" s="103">
        <f t="shared" ref="M266:V266" si="417">IF(M48=0,0,M48/M$46)</f>
        <v>1.7553641721080086E-2</v>
      </c>
      <c r="N266" s="103">
        <f t="shared" si="417"/>
        <v>1.4914814067089657E-2</v>
      </c>
      <c r="O266" s="103">
        <f t="shared" si="417"/>
        <v>1.4416765747377653E-2</v>
      </c>
      <c r="P266" s="103">
        <f t="shared" si="417"/>
        <v>1.323751664323122E-2</v>
      </c>
      <c r="Q266" s="103">
        <f t="shared" si="417"/>
        <v>1.3212511932996471E-2</v>
      </c>
      <c r="R266" s="103">
        <f t="shared" si="417"/>
        <v>1.2733777717416335E-2</v>
      </c>
      <c r="S266" s="103">
        <f t="shared" si="417"/>
        <v>1.260729668118178E-2</v>
      </c>
      <c r="T266" s="103">
        <f t="shared" si="417"/>
        <v>1.3045806134397283E-2</v>
      </c>
      <c r="U266" s="103">
        <f t="shared" si="417"/>
        <v>1.3114104054570563E-2</v>
      </c>
      <c r="V266" s="103">
        <f t="shared" si="417"/>
        <v>1.3487230626305972E-2</v>
      </c>
      <c r="W266" s="103">
        <f t="shared" ref="W266:Y266" si="418">IF(W48=0,0,W48/W$46)</f>
        <v>1.3262809087844324E-2</v>
      </c>
      <c r="X266" s="103">
        <f t="shared" si="418"/>
        <v>1.3121585193412253E-2</v>
      </c>
      <c r="Y266" s="103">
        <f t="shared" si="418"/>
        <v>1.463394480639822E-2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0.60665695442529866</v>
      </c>
      <c r="C267" s="103">
        <f t="shared" si="419"/>
        <v>0.61095196431408039</v>
      </c>
      <c r="D267" s="103">
        <f t="shared" si="419"/>
        <v>0.61233943564106608</v>
      </c>
      <c r="E267" s="103">
        <f t="shared" si="419"/>
        <v>0.62710100045168471</v>
      </c>
      <c r="F267" s="103">
        <f t="shared" si="419"/>
        <v>0.62928574206226928</v>
      </c>
      <c r="G267" s="103">
        <f t="shared" si="419"/>
        <v>0.6476146713636477</v>
      </c>
      <c r="H267" s="103">
        <f t="shared" si="419"/>
        <v>0.65681263649087651</v>
      </c>
      <c r="I267" s="103">
        <f t="shared" si="419"/>
        <v>0.67044572459523877</v>
      </c>
      <c r="J267" s="103">
        <f t="shared" si="419"/>
        <v>0.67528978099475589</v>
      </c>
      <c r="K267" s="103">
        <f t="shared" si="419"/>
        <v>0.72346160368939982</v>
      </c>
      <c r="L267" s="103">
        <f t="shared" ref="L267" si="420">IF(L49=0,0,L49/L$46)</f>
        <v>0.72231337945547713</v>
      </c>
      <c r="M267" s="103">
        <f t="shared" ref="M267:V267" si="421">IF(M49=0,0,M49/M$46)</f>
        <v>0.73079393762784794</v>
      </c>
      <c r="N267" s="103">
        <f t="shared" si="421"/>
        <v>0.68922695940698908</v>
      </c>
      <c r="O267" s="103">
        <f t="shared" si="421"/>
        <v>0.71337562984301184</v>
      </c>
      <c r="P267" s="103">
        <f t="shared" si="421"/>
        <v>0.69389393578303682</v>
      </c>
      <c r="Q267" s="103">
        <f t="shared" si="421"/>
        <v>0.73220917021846998</v>
      </c>
      <c r="R267" s="103">
        <f t="shared" si="421"/>
        <v>0.73345957485173374</v>
      </c>
      <c r="S267" s="103">
        <f t="shared" si="421"/>
        <v>0.73672603143175186</v>
      </c>
      <c r="T267" s="103">
        <f t="shared" si="421"/>
        <v>0.74561775402099306</v>
      </c>
      <c r="U267" s="103">
        <f t="shared" si="421"/>
        <v>0.74663552783723308</v>
      </c>
      <c r="V267" s="103">
        <f t="shared" si="421"/>
        <v>0.76535614895921722</v>
      </c>
      <c r="W267" s="103">
        <f t="shared" ref="W267:Y267" si="422">IF(W49=0,0,W49/W$46)</f>
        <v>0.75238370376720121</v>
      </c>
      <c r="X267" s="103">
        <f t="shared" si="422"/>
        <v>0.7309961984177491</v>
      </c>
      <c r="Y267" s="103">
        <f t="shared" si="422"/>
        <v>0.74126263680152815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9.1236876700631034E-4</v>
      </c>
      <c r="P268" s="103">
        <f t="shared" si="425"/>
        <v>1.0565827346200403E-3</v>
      </c>
      <c r="Q268" s="103">
        <f t="shared" si="425"/>
        <v>1.1246254789829655E-3</v>
      </c>
      <c r="R268" s="103">
        <f t="shared" si="425"/>
        <v>1.1195169958684345E-3</v>
      </c>
      <c r="S268" s="103">
        <f t="shared" si="425"/>
        <v>1.1435208317146233E-3</v>
      </c>
      <c r="T268" s="103">
        <f t="shared" si="425"/>
        <v>1.1017001605800256E-3</v>
      </c>
      <c r="U268" s="103">
        <f t="shared" si="425"/>
        <v>1.0881249644823356E-3</v>
      </c>
      <c r="V268" s="103">
        <f t="shared" si="425"/>
        <v>1.1425112945777837E-3</v>
      </c>
      <c r="W268" s="103">
        <f t="shared" ref="W268:Y268" si="426">IF(W50=0,0,W50/W$46)</f>
        <v>1.1775284505441443E-3</v>
      </c>
      <c r="X268" s="103">
        <f t="shared" si="426"/>
        <v>1.1141748302818805E-3</v>
      </c>
      <c r="Y268" s="103">
        <f t="shared" si="426"/>
        <v>1.1038512651072429E-3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0</v>
      </c>
      <c r="R269" s="103">
        <f t="shared" si="429"/>
        <v>0</v>
      </c>
      <c r="S269" s="103">
        <f t="shared" si="429"/>
        <v>0</v>
      </c>
      <c r="T269" s="103">
        <f t="shared" si="429"/>
        <v>0</v>
      </c>
      <c r="U269" s="103">
        <f t="shared" si="429"/>
        <v>0</v>
      </c>
      <c r="V269" s="103">
        <f t="shared" si="429"/>
        <v>0</v>
      </c>
      <c r="W269" s="103">
        <f t="shared" ref="W269:Y269" si="430">IF(W51=0,0,W51/W$46)</f>
        <v>0</v>
      </c>
      <c r="X269" s="103">
        <f t="shared" si="430"/>
        <v>0</v>
      </c>
      <c r="Y269" s="103">
        <f t="shared" si="430"/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2.372359141830986E-5</v>
      </c>
      <c r="I270" s="103">
        <f t="shared" si="431"/>
        <v>4.4424263289742202E-5</v>
      </c>
      <c r="J270" s="103">
        <f t="shared" si="431"/>
        <v>4.2004214555618538E-5</v>
      </c>
      <c r="K270" s="103">
        <f t="shared" si="431"/>
        <v>1.5670828568029862E-4</v>
      </c>
      <c r="L270" s="103">
        <f t="shared" ref="L270" si="432">IF(L52=0,0,L52/L$46)</f>
        <v>1.4965712181775164E-4</v>
      </c>
      <c r="M270" s="103">
        <f t="shared" ref="M270:V270" si="433">IF(M52=0,0,M52/M$46)</f>
        <v>1.4314572349670817E-4</v>
      </c>
      <c r="N270" s="103">
        <f t="shared" si="433"/>
        <v>4.8469020750651183E-4</v>
      </c>
      <c r="O270" s="103">
        <f t="shared" si="433"/>
        <v>1.3168985452128733E-3</v>
      </c>
      <c r="P270" s="103">
        <f t="shared" si="433"/>
        <v>1.5038283565204044E-3</v>
      </c>
      <c r="Q270" s="103">
        <f t="shared" si="433"/>
        <v>1.8961783291655417E-3</v>
      </c>
      <c r="R270" s="103">
        <f t="shared" si="433"/>
        <v>2.0361483919987219E-3</v>
      </c>
      <c r="S270" s="103">
        <f t="shared" si="433"/>
        <v>2.5740518025776601E-3</v>
      </c>
      <c r="T270" s="103">
        <f t="shared" si="433"/>
        <v>3.2997229656643572E-3</v>
      </c>
      <c r="U270" s="103">
        <f t="shared" si="433"/>
        <v>3.8986111072242197E-3</v>
      </c>
      <c r="V270" s="103">
        <f t="shared" si="433"/>
        <v>4.6309397303585737E-3</v>
      </c>
      <c r="W270" s="103">
        <f t="shared" ref="W270:Y270" si="434">IF(W52=0,0,W52/W$46)</f>
        <v>6.1597919817210694E-3</v>
      </c>
      <c r="X270" s="103">
        <f t="shared" si="434"/>
        <v>1.0744813732551905E-2</v>
      </c>
      <c r="Y270" s="103">
        <f t="shared" si="434"/>
        <v>1.7302304263671915E-2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0.32456295222871923</v>
      </c>
      <c r="C271" s="156">
        <f t="shared" si="435"/>
        <v>0.33208647319746787</v>
      </c>
      <c r="D271" s="156">
        <f t="shared" si="435"/>
        <v>0.33958767043649918</v>
      </c>
      <c r="E271" s="156">
        <f t="shared" si="435"/>
        <v>0.33052765864114991</v>
      </c>
      <c r="F271" s="156">
        <f t="shared" si="435"/>
        <v>0.33509365473087854</v>
      </c>
      <c r="G271" s="156">
        <f t="shared" si="435"/>
        <v>0.32178692638094347</v>
      </c>
      <c r="H271" s="156">
        <f t="shared" si="435"/>
        <v>0.31680130983231364</v>
      </c>
      <c r="I271" s="156">
        <f t="shared" si="435"/>
        <v>0.30638951112216095</v>
      </c>
      <c r="J271" s="156">
        <f t="shared" si="435"/>
        <v>0.3036609697115793</v>
      </c>
      <c r="K271" s="156">
        <f t="shared" si="435"/>
        <v>0.25613716928132879</v>
      </c>
      <c r="L271" s="156">
        <f t="shared" ref="L271" si="436">IF(L53=0,0,L53/L$46)</f>
        <v>0.25867757482729492</v>
      </c>
      <c r="M271" s="156">
        <f t="shared" ref="M271:V271" si="437">IF(M53=0,0,M53/M$46)</f>
        <v>0.25150927492757519</v>
      </c>
      <c r="N271" s="156">
        <f t="shared" si="437"/>
        <v>0.29537353631841468</v>
      </c>
      <c r="O271" s="156">
        <f t="shared" si="437"/>
        <v>0.26997833709739144</v>
      </c>
      <c r="P271" s="156">
        <f t="shared" si="437"/>
        <v>0.29030813648259146</v>
      </c>
      <c r="Q271" s="156">
        <f t="shared" si="437"/>
        <v>0.25155751404038496</v>
      </c>
      <c r="R271" s="156">
        <f t="shared" si="437"/>
        <v>0.25065098204298297</v>
      </c>
      <c r="S271" s="156">
        <f t="shared" si="437"/>
        <v>0.24694909925277403</v>
      </c>
      <c r="T271" s="156">
        <f t="shared" si="437"/>
        <v>0.23693501671836512</v>
      </c>
      <c r="U271" s="156">
        <f t="shared" si="437"/>
        <v>0.2352636320364897</v>
      </c>
      <c r="V271" s="156">
        <f t="shared" si="437"/>
        <v>0.2153831693895405</v>
      </c>
      <c r="W271" s="156">
        <f t="shared" ref="W271:Y271" si="438">IF(W53=0,0,W53/W$46)</f>
        <v>0.22701616671268934</v>
      </c>
      <c r="X271" s="156">
        <f t="shared" si="438"/>
        <v>0.24402322782600488</v>
      </c>
      <c r="Y271" s="156">
        <f t="shared" si="438"/>
        <v>0.22569726286329447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0.15233872011114877</v>
      </c>
      <c r="C272" s="104">
        <f t="shared" si="439"/>
        <v>0.16132801203300104</v>
      </c>
      <c r="D272" s="104">
        <f t="shared" si="439"/>
        <v>0.17391845683916513</v>
      </c>
      <c r="E272" s="104">
        <f t="shared" si="439"/>
        <v>0.16545616275787303</v>
      </c>
      <c r="F272" s="104">
        <f t="shared" si="439"/>
        <v>0.14953475620095838</v>
      </c>
      <c r="G272" s="104">
        <f t="shared" si="439"/>
        <v>0.13554817990953502</v>
      </c>
      <c r="H272" s="104">
        <f t="shared" si="439"/>
        <v>0.14402155804932235</v>
      </c>
      <c r="I272" s="104">
        <f t="shared" si="439"/>
        <v>0.13305428373264785</v>
      </c>
      <c r="J272" s="104">
        <f t="shared" si="439"/>
        <v>0.11776508023718386</v>
      </c>
      <c r="K272" s="104">
        <f t="shared" si="439"/>
        <v>7.9610793250854447E-2</v>
      </c>
      <c r="L272" s="104">
        <f t="shared" ref="L272" si="440">IF(L54=0,0,L54/L$46)</f>
        <v>8.4096616322483483E-2</v>
      </c>
      <c r="M272" s="104">
        <f t="shared" ref="M272:V272" si="441">IF(M54=0,0,M54/M$46)</f>
        <v>8.6602201296461637E-2</v>
      </c>
      <c r="N272" s="104">
        <f t="shared" si="441"/>
        <v>0.12671563663931135</v>
      </c>
      <c r="O272" s="104">
        <f t="shared" si="441"/>
        <v>0.1007371870071475</v>
      </c>
      <c r="P272" s="104">
        <f t="shared" si="441"/>
        <v>0.12628784115719913</v>
      </c>
      <c r="Q272" s="104">
        <f t="shared" si="441"/>
        <v>0.11001911302869256</v>
      </c>
      <c r="R272" s="104">
        <f t="shared" si="441"/>
        <v>0.1076560241884601</v>
      </c>
      <c r="S272" s="104">
        <f t="shared" si="441"/>
        <v>0.10064418489509017</v>
      </c>
      <c r="T272" s="104">
        <f t="shared" si="441"/>
        <v>9.9998080048700366E-2</v>
      </c>
      <c r="U272" s="104">
        <f t="shared" si="441"/>
        <v>9.6891055747849231E-2</v>
      </c>
      <c r="V272" s="104">
        <f t="shared" si="441"/>
        <v>8.4283532141822284E-2</v>
      </c>
      <c r="W272" s="104">
        <f t="shared" ref="W272:Y272" si="442">IF(W54=0,0,W54/W$46)</f>
        <v>9.5345502746247965E-2</v>
      </c>
      <c r="X272" s="104">
        <f t="shared" si="442"/>
        <v>0.10017828526102573</v>
      </c>
      <c r="Y272" s="104">
        <f t="shared" si="442"/>
        <v>9.2858743982956946E-2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0.17222423211757043</v>
      </c>
      <c r="C273" s="105">
        <f t="shared" si="443"/>
        <v>0.17075846116446677</v>
      </c>
      <c r="D273" s="105">
        <f t="shared" si="443"/>
        <v>0.16566921359733408</v>
      </c>
      <c r="E273" s="105">
        <f t="shared" si="443"/>
        <v>0.16507149588327685</v>
      </c>
      <c r="F273" s="105">
        <f t="shared" si="443"/>
        <v>0.18555889852992019</v>
      </c>
      <c r="G273" s="105">
        <f t="shared" si="443"/>
        <v>0.18623874647140845</v>
      </c>
      <c r="H273" s="105">
        <f t="shared" si="443"/>
        <v>0.17277975178299129</v>
      </c>
      <c r="I273" s="105">
        <f t="shared" si="443"/>
        <v>0.17333522738951312</v>
      </c>
      <c r="J273" s="105">
        <f t="shared" si="443"/>
        <v>0.18589588947439545</v>
      </c>
      <c r="K273" s="105">
        <f t="shared" si="443"/>
        <v>0.1765263760304743</v>
      </c>
      <c r="L273" s="105">
        <f t="shared" ref="L273" si="444">IF(L55=0,0,L55/L$46)</f>
        <v>0.17458095850481145</v>
      </c>
      <c r="M273" s="105">
        <f t="shared" ref="M273:V273" si="445">IF(M55=0,0,M55/M$46)</f>
        <v>0.16490707363111359</v>
      </c>
      <c r="N273" s="105">
        <f t="shared" si="445"/>
        <v>0.16865789967910327</v>
      </c>
      <c r="O273" s="105">
        <f t="shared" si="445"/>
        <v>0.16924115009024396</v>
      </c>
      <c r="P273" s="105">
        <f t="shared" si="445"/>
        <v>0.16402029532539236</v>
      </c>
      <c r="Q273" s="105">
        <f t="shared" si="445"/>
        <v>0.14153840101169241</v>
      </c>
      <c r="R273" s="105">
        <f t="shared" si="445"/>
        <v>0.14299495785452285</v>
      </c>
      <c r="S273" s="105">
        <f t="shared" si="445"/>
        <v>0.14630491435768386</v>
      </c>
      <c r="T273" s="105">
        <f t="shared" si="445"/>
        <v>0.13693693666966475</v>
      </c>
      <c r="U273" s="105">
        <f t="shared" si="445"/>
        <v>0.13837257628864047</v>
      </c>
      <c r="V273" s="105">
        <f t="shared" si="445"/>
        <v>0.13109963724771823</v>
      </c>
      <c r="W273" s="105">
        <f t="shared" ref="W273:Y273" si="446">IF(W55=0,0,W55/W$46)</f>
        <v>0.13167066396644139</v>
      </c>
      <c r="X273" s="105">
        <f t="shared" si="446"/>
        <v>0.14384494256497918</v>
      </c>
      <c r="Y273" s="105">
        <f t="shared" si="446"/>
        <v>0.13283851888033754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1579.5997274290628</v>
      </c>
      <c r="C4" s="145">
        <f t="shared" si="0"/>
        <v>1657.2960653482373</v>
      </c>
      <c r="D4" s="145">
        <f t="shared" si="0"/>
        <v>1724.4900146173682</v>
      </c>
      <c r="E4" s="145">
        <f t="shared" si="0"/>
        <v>1904.220476103465</v>
      </c>
      <c r="F4" s="145">
        <f t="shared" si="0"/>
        <v>2216.8073656107704</v>
      </c>
      <c r="G4" s="145">
        <f t="shared" si="0"/>
        <v>2337.6900099932441</v>
      </c>
      <c r="H4" s="145">
        <f t="shared" si="0"/>
        <v>2236.364683478017</v>
      </c>
      <c r="I4" s="145">
        <f t="shared" si="0"/>
        <v>2190.6883868645964</v>
      </c>
      <c r="J4" s="145">
        <f t="shared" si="0"/>
        <v>2219.4729038797532</v>
      </c>
      <c r="K4" s="145">
        <f t="shared" si="0"/>
        <v>2046.4155405556155</v>
      </c>
      <c r="L4" s="145">
        <f t="shared" ref="L4" si="1">L5+L9+L10+L15</f>
        <v>2160.955923615441</v>
      </c>
      <c r="M4" s="145">
        <f t="shared" ref="M4:V4" si="2">M5+M9+M10+M15</f>
        <v>2292.2545660029782</v>
      </c>
      <c r="N4" s="145">
        <f t="shared" si="2"/>
        <v>2191.8814909537223</v>
      </c>
      <c r="O4" s="145">
        <f t="shared" si="2"/>
        <v>2150.9927390226285</v>
      </c>
      <c r="P4" s="145">
        <f t="shared" si="2"/>
        <v>2071.7513844921036</v>
      </c>
      <c r="Q4" s="145">
        <f t="shared" si="2"/>
        <v>1943.0324735573079</v>
      </c>
      <c r="R4" s="145">
        <f t="shared" si="2"/>
        <v>1892.0349512715384</v>
      </c>
      <c r="S4" s="145">
        <f t="shared" si="2"/>
        <v>1951.2468327759516</v>
      </c>
      <c r="T4" s="145">
        <f t="shared" si="2"/>
        <v>2085.431259634955</v>
      </c>
      <c r="U4" s="145">
        <f t="shared" si="2"/>
        <v>2138.6192208056727</v>
      </c>
      <c r="V4" s="145">
        <f t="shared" si="2"/>
        <v>1655.1323971749039</v>
      </c>
      <c r="W4" s="145">
        <f t="shared" ref="W4:Y4" si="3">W5+W9+W10+W15</f>
        <v>1759.4616860516037</v>
      </c>
      <c r="X4" s="145">
        <f t="shared" si="3"/>
        <v>1545.6066608315623</v>
      </c>
      <c r="Y4" s="145">
        <f t="shared" si="3"/>
        <v>1502.4201215310145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1579.5997274290628</v>
      </c>
      <c r="C5" s="97">
        <f t="shared" si="4"/>
        <v>1657.2960653482373</v>
      </c>
      <c r="D5" s="97">
        <f t="shared" si="4"/>
        <v>1724.4900146173682</v>
      </c>
      <c r="E5" s="97">
        <f t="shared" si="4"/>
        <v>1904.1687781599312</v>
      </c>
      <c r="F5" s="97">
        <f t="shared" si="4"/>
        <v>2216.2332648323304</v>
      </c>
      <c r="G5" s="97">
        <f t="shared" si="4"/>
        <v>2337.096862424763</v>
      </c>
      <c r="H5" s="97">
        <f t="shared" si="4"/>
        <v>2235.8017145313838</v>
      </c>
      <c r="I5" s="97">
        <f t="shared" si="4"/>
        <v>2144.8668632846084</v>
      </c>
      <c r="J5" s="97">
        <f t="shared" si="4"/>
        <v>2174.0701427343074</v>
      </c>
      <c r="K5" s="97">
        <f t="shared" si="4"/>
        <v>2003.947018916595</v>
      </c>
      <c r="L5" s="97">
        <f t="shared" ref="L5" si="5">SUM(L6:L8)</f>
        <v>2118.5339466895957</v>
      </c>
      <c r="M5" s="97">
        <f t="shared" ref="M5:V5" si="6">SUM(M6:M8)</f>
        <v>2245.3168374892521</v>
      </c>
      <c r="N5" s="97">
        <f t="shared" si="6"/>
        <v>2143.3717110920034</v>
      </c>
      <c r="O5" s="97">
        <f t="shared" si="6"/>
        <v>2095.7348237317283</v>
      </c>
      <c r="P5" s="97">
        <f t="shared" si="6"/>
        <v>2000.9346517626827</v>
      </c>
      <c r="Q5" s="97">
        <f t="shared" si="6"/>
        <v>1859.5493551160794</v>
      </c>
      <c r="R5" s="97">
        <f t="shared" si="6"/>
        <v>1802.4171969045569</v>
      </c>
      <c r="S5" s="97">
        <f t="shared" si="6"/>
        <v>1837.5181427343075</v>
      </c>
      <c r="T5" s="97">
        <f t="shared" si="6"/>
        <v>1961.7134995700776</v>
      </c>
      <c r="U5" s="97">
        <f t="shared" si="6"/>
        <v>2006.6607050730868</v>
      </c>
      <c r="V5" s="97">
        <f t="shared" si="6"/>
        <v>1509.056061908856</v>
      </c>
      <c r="W5" s="97">
        <f t="shared" ref="W5:Y5" si="7">SUM(W6:W8)</f>
        <v>1614.5680137575241</v>
      </c>
      <c r="X5" s="97">
        <f t="shared" si="7"/>
        <v>1405.5890799656058</v>
      </c>
      <c r="Y5" s="97">
        <f t="shared" si="7"/>
        <v>1361.9496130696473</v>
      </c>
      <c r="DA5" s="175"/>
    </row>
    <row r="6" spans="1:105" ht="11.45" customHeight="1" x14ac:dyDescent="0.25">
      <c r="A6" s="128" t="s">
        <v>52</v>
      </c>
      <c r="B6" s="97">
        <v>2.1974204643164228</v>
      </c>
      <c r="C6" s="97">
        <v>3.2960447119518479</v>
      </c>
      <c r="D6" s="97">
        <v>4.3947549441100593</v>
      </c>
      <c r="E6" s="97">
        <v>3.2960447119518479</v>
      </c>
      <c r="F6" s="97">
        <v>3.2960447119518479</v>
      </c>
      <c r="G6" s="97">
        <v>2.1974204643164228</v>
      </c>
      <c r="H6" s="97">
        <v>1.098710232158211</v>
      </c>
      <c r="I6" s="97">
        <v>2.1974204643164228</v>
      </c>
      <c r="J6" s="97">
        <v>2.1974204643164228</v>
      </c>
      <c r="K6" s="97">
        <v>1.4821152192605329</v>
      </c>
      <c r="L6" s="97">
        <v>1.485468615649183</v>
      </c>
      <c r="M6" s="97">
        <v>0.68555460017196901</v>
      </c>
      <c r="N6" s="97">
        <v>1.873258813413585</v>
      </c>
      <c r="O6" s="97">
        <v>1.284350816852966</v>
      </c>
      <c r="P6" s="97">
        <v>1.4809974204643159</v>
      </c>
      <c r="Q6" s="97">
        <v>0.74273430782459149</v>
      </c>
      <c r="R6" s="97">
        <v>0.80318142734307818</v>
      </c>
      <c r="S6" s="97">
        <v>0.69441100601891659</v>
      </c>
      <c r="T6" s="97">
        <v>0.36913155631986239</v>
      </c>
      <c r="U6" s="97">
        <v>0.32304385210662079</v>
      </c>
      <c r="V6" s="97">
        <v>0.1911435941530524</v>
      </c>
      <c r="W6" s="97">
        <v>0.28237317282889068</v>
      </c>
      <c r="X6" s="97">
        <v>0.27136715391229582</v>
      </c>
      <c r="Y6" s="97">
        <v>0.39776440240756672</v>
      </c>
      <c r="DA6" s="175" t="s">
        <v>630</v>
      </c>
    </row>
    <row r="7" spans="1:105" ht="11.45" customHeight="1" x14ac:dyDescent="0.25">
      <c r="A7" s="128" t="s">
        <v>53</v>
      </c>
      <c r="B7" s="97">
        <v>595.36070507308682</v>
      </c>
      <c r="C7" s="97">
        <v>586.20103181427339</v>
      </c>
      <c r="D7" s="97">
        <v>572.4496990541702</v>
      </c>
      <c r="E7" s="97">
        <v>582.63852106620811</v>
      </c>
      <c r="F7" s="97">
        <v>564.85795356835763</v>
      </c>
      <c r="G7" s="97">
        <v>514.36001719690444</v>
      </c>
      <c r="H7" s="97">
        <v>462.20369733447978</v>
      </c>
      <c r="I7" s="97">
        <v>442.30928632846081</v>
      </c>
      <c r="J7" s="97">
        <v>421.9758383490971</v>
      </c>
      <c r="K7" s="97">
        <v>389.02510748065339</v>
      </c>
      <c r="L7" s="97">
        <v>361.56766981943252</v>
      </c>
      <c r="M7" s="97">
        <v>368.86027515047289</v>
      </c>
      <c r="N7" s="97">
        <v>359.25030094582968</v>
      </c>
      <c r="O7" s="97">
        <v>327.19097162510752</v>
      </c>
      <c r="P7" s="97">
        <v>313.94239036973352</v>
      </c>
      <c r="Q7" s="97">
        <v>292.7237317282889</v>
      </c>
      <c r="R7" s="97">
        <v>284.47394668959578</v>
      </c>
      <c r="S7" s="97">
        <v>300.62184006878761</v>
      </c>
      <c r="T7" s="97">
        <v>328.27970765262251</v>
      </c>
      <c r="U7" s="97">
        <v>342.82889079965611</v>
      </c>
      <c r="V7" s="97">
        <v>261.77472055030091</v>
      </c>
      <c r="W7" s="97">
        <v>317.10799656061909</v>
      </c>
      <c r="X7" s="97">
        <v>322.15924333619938</v>
      </c>
      <c r="Y7" s="97">
        <v>358.57480653482372</v>
      </c>
      <c r="DA7" s="175" t="s">
        <v>631</v>
      </c>
    </row>
    <row r="8" spans="1:105" ht="11.45" customHeight="1" x14ac:dyDescent="0.25">
      <c r="A8" s="128" t="s">
        <v>54</v>
      </c>
      <c r="B8" s="97">
        <v>982.04160189165952</v>
      </c>
      <c r="C8" s="97">
        <v>1067.798988822012</v>
      </c>
      <c r="D8" s="97">
        <v>1147.645560619088</v>
      </c>
      <c r="E8" s="97">
        <v>1318.2342123817712</v>
      </c>
      <c r="F8" s="97">
        <v>1648.079266552021</v>
      </c>
      <c r="G8" s="97">
        <v>1820.539424763542</v>
      </c>
      <c r="H8" s="97">
        <v>1772.499306964746</v>
      </c>
      <c r="I8" s="97">
        <v>1700.360156491831</v>
      </c>
      <c r="J8" s="97">
        <v>1749.896883920894</v>
      </c>
      <c r="K8" s="97">
        <v>1613.4397962166811</v>
      </c>
      <c r="L8" s="97">
        <v>1755.4808082545139</v>
      </c>
      <c r="M8" s="97">
        <v>1875.7710077386071</v>
      </c>
      <c r="N8" s="97">
        <v>1782.24815133276</v>
      </c>
      <c r="O8" s="97">
        <v>1767.259501289768</v>
      </c>
      <c r="P8" s="97">
        <v>1685.511263972485</v>
      </c>
      <c r="Q8" s="97">
        <v>1566.082889079966</v>
      </c>
      <c r="R8" s="97">
        <v>1517.140068787618</v>
      </c>
      <c r="S8" s="97">
        <v>1536.2018916595009</v>
      </c>
      <c r="T8" s="97">
        <v>1633.0646603611351</v>
      </c>
      <c r="U8" s="97">
        <v>1663.508770421324</v>
      </c>
      <c r="V8" s="97">
        <v>1247.0901977644021</v>
      </c>
      <c r="W8" s="97">
        <v>1297.177644024076</v>
      </c>
      <c r="X8" s="97">
        <v>1083.158469475494</v>
      </c>
      <c r="Y8" s="97">
        <v>1002.977042132416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X9" s="97">
        <v>0</v>
      </c>
      <c r="Y9" s="97">
        <v>0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0.52235597592433358</v>
      </c>
      <c r="G10" s="97">
        <f t="shared" si="8"/>
        <v>0.54135855546001721</v>
      </c>
      <c r="H10" s="97">
        <f t="shared" si="8"/>
        <v>0.51092003439380906</v>
      </c>
      <c r="I10" s="97">
        <f t="shared" si="8"/>
        <v>45.769217540842646</v>
      </c>
      <c r="J10" s="97">
        <f t="shared" si="8"/>
        <v>45.350214961306961</v>
      </c>
      <c r="K10" s="97">
        <f t="shared" si="8"/>
        <v>42.431986242476349</v>
      </c>
      <c r="L10" s="97">
        <f t="shared" si="8"/>
        <v>42.34763542562338</v>
      </c>
      <c r="M10" s="97">
        <f t="shared" si="8"/>
        <v>46.841616509028377</v>
      </c>
      <c r="N10" s="97">
        <f t="shared" si="8"/>
        <v>48.382631126397236</v>
      </c>
      <c r="O10" s="97">
        <f t="shared" si="8"/>
        <v>55.052450558899395</v>
      </c>
      <c r="P10" s="97">
        <f t="shared" si="8"/>
        <v>70.536801375752361</v>
      </c>
      <c r="Q10" s="97">
        <f t="shared" si="8"/>
        <v>83.186844368013752</v>
      </c>
      <c r="R10" s="97">
        <f t="shared" si="8"/>
        <v>89.2810834049871</v>
      </c>
      <c r="S10" s="97">
        <f t="shared" si="8"/>
        <v>113.21797076526222</v>
      </c>
      <c r="T10" s="97">
        <f t="shared" si="8"/>
        <v>122.66405846947552</v>
      </c>
      <c r="U10" s="97">
        <f t="shared" si="8"/>
        <v>129.42992261392948</v>
      </c>
      <c r="V10" s="97">
        <f t="shared" si="8"/>
        <v>142.24780739466894</v>
      </c>
      <c r="W10" s="97">
        <f t="shared" si="8"/>
        <v>138.4006878761823</v>
      </c>
      <c r="X10" s="97">
        <f t="shared" ref="X10:Y10" si="9">SUM(X11:X13)</f>
        <v>129.44608770421326</v>
      </c>
      <c r="Y10" s="97">
        <f t="shared" si="9"/>
        <v>125.23129836629403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1.2906276870163369</v>
      </c>
      <c r="J12" s="97">
        <v>0.92184006878761815</v>
      </c>
      <c r="K12" s="97">
        <v>0.73490971625107482</v>
      </c>
      <c r="L12" s="97">
        <v>0.71504729148753221</v>
      </c>
      <c r="M12" s="97">
        <v>6.376182287188306</v>
      </c>
      <c r="N12" s="97">
        <v>1.27652622527945</v>
      </c>
      <c r="O12" s="97">
        <v>0.6421324161650902</v>
      </c>
      <c r="P12" s="97">
        <v>3.0920894239036971</v>
      </c>
      <c r="Q12" s="97">
        <v>7.1488392089423902</v>
      </c>
      <c r="R12" s="97">
        <v>8.8370593293207218</v>
      </c>
      <c r="S12" s="97">
        <v>6.710318142734307</v>
      </c>
      <c r="T12" s="97">
        <v>9.9893379191745488</v>
      </c>
      <c r="U12" s="97">
        <v>17.051332760103179</v>
      </c>
      <c r="V12" s="97">
        <v>13.809544282029229</v>
      </c>
      <c r="W12" s="97">
        <v>17.873258813413589</v>
      </c>
      <c r="X12" s="97">
        <v>19.885124677558039</v>
      </c>
      <c r="Y12" s="97">
        <v>23.304557179707651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0.52235597592433358</v>
      </c>
      <c r="G13" s="97">
        <v>0.54135855546001721</v>
      </c>
      <c r="H13" s="97">
        <v>0.51092003439380906</v>
      </c>
      <c r="I13" s="97">
        <v>44.478589853826307</v>
      </c>
      <c r="J13" s="97">
        <v>44.428374892519344</v>
      </c>
      <c r="K13" s="97">
        <v>41.697076526225274</v>
      </c>
      <c r="L13" s="97">
        <v>41.632588134135851</v>
      </c>
      <c r="M13" s="97">
        <v>40.46543422184007</v>
      </c>
      <c r="N13" s="97">
        <v>47.106104901117789</v>
      </c>
      <c r="O13" s="97">
        <v>54.410318142734305</v>
      </c>
      <c r="P13" s="97">
        <v>67.44471195184866</v>
      </c>
      <c r="Q13" s="97">
        <v>76.038005159071361</v>
      </c>
      <c r="R13" s="97">
        <v>80.444024075666377</v>
      </c>
      <c r="S13" s="97">
        <v>106.50765262252791</v>
      </c>
      <c r="T13" s="97">
        <v>112.67472055030098</v>
      </c>
      <c r="U13" s="97">
        <v>112.37858985382628</v>
      </c>
      <c r="V13" s="97">
        <v>128.4382631126397</v>
      </c>
      <c r="W13" s="97">
        <v>120.52742906276872</v>
      </c>
      <c r="X13" s="97">
        <v>109.5609630266552</v>
      </c>
      <c r="Y13" s="97">
        <v>101.92674118658637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5.1697943533829678E-2</v>
      </c>
      <c r="F15" s="98">
        <v>5.1744802515683086E-2</v>
      </c>
      <c r="G15" s="98">
        <v>5.178901302085704E-2</v>
      </c>
      <c r="H15" s="98">
        <v>5.2048912239483373E-2</v>
      </c>
      <c r="I15" s="98">
        <v>5.2306039145293685E-2</v>
      </c>
      <c r="J15" s="98">
        <v>5.2546184139095883E-2</v>
      </c>
      <c r="K15" s="98">
        <v>3.6535396544305411E-2</v>
      </c>
      <c r="L15" s="98">
        <v>7.4341500221834583E-2</v>
      </c>
      <c r="M15" s="98">
        <v>9.6112004697644027E-2</v>
      </c>
      <c r="N15" s="98">
        <v>0.12714873532139903</v>
      </c>
      <c r="O15" s="98">
        <v>0.20546473200100659</v>
      </c>
      <c r="P15" s="98">
        <v>0.2799313536683869</v>
      </c>
      <c r="Q15" s="98">
        <v>0.29627407321491783</v>
      </c>
      <c r="R15" s="98">
        <v>0.33667096199422941</v>
      </c>
      <c r="S15" s="98">
        <v>0.51071927638195658</v>
      </c>
      <c r="T15" s="98">
        <v>1.0537015954016655</v>
      </c>
      <c r="U15" s="98">
        <v>2.5285931186561208</v>
      </c>
      <c r="V15" s="98">
        <v>3.8285278713787507</v>
      </c>
      <c r="W15" s="98">
        <v>6.4929844178974161</v>
      </c>
      <c r="X15" s="98">
        <v>10.571493161743076</v>
      </c>
      <c r="Y15" s="98">
        <v>15.239210095073418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1579.5997274290626</v>
      </c>
      <c r="C17" s="79">
        <f t="shared" si="10"/>
        <v>1657.2960653482373</v>
      </c>
      <c r="D17" s="79">
        <f t="shared" si="10"/>
        <v>1724.4900146173684</v>
      </c>
      <c r="E17" s="79">
        <f t="shared" si="10"/>
        <v>1904.220476103465</v>
      </c>
      <c r="F17" s="79">
        <f t="shared" si="10"/>
        <v>2216.8073656107708</v>
      </c>
      <c r="G17" s="79">
        <f t="shared" si="10"/>
        <v>2337.6900099932436</v>
      </c>
      <c r="H17" s="79">
        <f t="shared" si="10"/>
        <v>2236.3646834780175</v>
      </c>
      <c r="I17" s="79">
        <f t="shared" si="10"/>
        <v>2190.6883868645964</v>
      </c>
      <c r="J17" s="79">
        <f t="shared" si="10"/>
        <v>2219.4729038797536</v>
      </c>
      <c r="K17" s="79">
        <f t="shared" si="10"/>
        <v>2046.4155405556157</v>
      </c>
      <c r="L17" s="79">
        <f t="shared" ref="L17" si="11">L18+L42</f>
        <v>2160.955923615441</v>
      </c>
      <c r="M17" s="79">
        <f t="shared" ref="M17:V17" si="12">M18+M42</f>
        <v>2292.2545660029778</v>
      </c>
      <c r="N17" s="79">
        <f t="shared" si="12"/>
        <v>2191.8814909537218</v>
      </c>
      <c r="O17" s="79">
        <f t="shared" si="12"/>
        <v>2150.9927390226285</v>
      </c>
      <c r="P17" s="79">
        <f t="shared" si="12"/>
        <v>2071.7513844921036</v>
      </c>
      <c r="Q17" s="79">
        <f t="shared" si="12"/>
        <v>1943.0324735573081</v>
      </c>
      <c r="R17" s="79">
        <f t="shared" si="12"/>
        <v>1892.0349512715384</v>
      </c>
      <c r="S17" s="79">
        <f t="shared" si="12"/>
        <v>1951.2468327759516</v>
      </c>
      <c r="T17" s="79">
        <f t="shared" si="12"/>
        <v>2085.4312596349546</v>
      </c>
      <c r="U17" s="79">
        <f t="shared" si="12"/>
        <v>2138.6192208056727</v>
      </c>
      <c r="V17" s="79">
        <f t="shared" si="12"/>
        <v>1655.1323971749039</v>
      </c>
      <c r="W17" s="79">
        <f t="shared" ref="W17:Y17" si="13">W18+W42</f>
        <v>1759.4616860516039</v>
      </c>
      <c r="X17" s="79">
        <f t="shared" si="13"/>
        <v>1545.6066608315621</v>
      </c>
      <c r="Y17" s="79">
        <f t="shared" si="13"/>
        <v>1502.420121531015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914.21820805270784</v>
      </c>
      <c r="C18" s="32">
        <f t="shared" si="14"/>
        <v>937.11212877608875</v>
      </c>
      <c r="D18" s="32">
        <f t="shared" si="14"/>
        <v>959.38414946882563</v>
      </c>
      <c r="E18" s="32">
        <f t="shared" si="14"/>
        <v>1016.7818398435963</v>
      </c>
      <c r="F18" s="32">
        <f t="shared" si="14"/>
        <v>1037.1095074641964</v>
      </c>
      <c r="G18" s="32">
        <f t="shared" si="14"/>
        <v>1002.42456489707</v>
      </c>
      <c r="H18" s="32">
        <f t="shared" si="14"/>
        <v>963.70837190596296</v>
      </c>
      <c r="I18" s="32">
        <f t="shared" si="14"/>
        <v>979.20840939662708</v>
      </c>
      <c r="J18" s="32">
        <f t="shared" si="14"/>
        <v>995.75956477896568</v>
      </c>
      <c r="K18" s="32">
        <f t="shared" si="14"/>
        <v>977.19561322047127</v>
      </c>
      <c r="L18" s="32">
        <f t="shared" ref="L18" si="15">L19+L21+L33</f>
        <v>956.27822223064038</v>
      </c>
      <c r="M18" s="32">
        <f t="shared" ref="M18:V18" si="16">M19+M21+M33</f>
        <v>1023.7298131250136</v>
      </c>
      <c r="N18" s="32">
        <f t="shared" si="16"/>
        <v>1019.4714551451226</v>
      </c>
      <c r="O18" s="32">
        <f t="shared" si="16"/>
        <v>961.26720387616024</v>
      </c>
      <c r="P18" s="32">
        <f t="shared" si="16"/>
        <v>951.28601695204088</v>
      </c>
      <c r="Q18" s="32">
        <f t="shared" si="16"/>
        <v>921.33871061175535</v>
      </c>
      <c r="R18" s="32">
        <f t="shared" si="16"/>
        <v>897.0733777688306</v>
      </c>
      <c r="S18" s="32">
        <f t="shared" si="16"/>
        <v>897.06339975615424</v>
      </c>
      <c r="T18" s="32">
        <f t="shared" si="16"/>
        <v>934.16279928704796</v>
      </c>
      <c r="U18" s="32">
        <f t="shared" si="16"/>
        <v>922.40230922206047</v>
      </c>
      <c r="V18" s="32">
        <f t="shared" si="16"/>
        <v>707.03104298539631</v>
      </c>
      <c r="W18" s="32">
        <f t="shared" ref="W18:Y18" si="17">W19+W21+W33</f>
        <v>783.97790049296748</v>
      </c>
      <c r="X18" s="32">
        <f t="shared" si="17"/>
        <v>806.78065700871184</v>
      </c>
      <c r="Y18" s="32">
        <f t="shared" si="17"/>
        <v>840.82172838737426</v>
      </c>
      <c r="DA18" s="173" t="s">
        <v>391</v>
      </c>
    </row>
    <row r="19" spans="1:105" ht="11.45" customHeight="1" x14ac:dyDescent="0.25">
      <c r="A19" s="107" t="s">
        <v>174</v>
      </c>
      <c r="B19" s="129">
        <v>1.5658453299469843</v>
      </c>
      <c r="C19" s="129">
        <v>1.5954840517365898</v>
      </c>
      <c r="D19" s="129">
        <v>1.6741078489515919</v>
      </c>
      <c r="E19" s="129">
        <v>1.6996852398974149</v>
      </c>
      <c r="F19" s="129">
        <v>1.7981571194216976</v>
      </c>
      <c r="G19" s="129">
        <v>1.8193856751247359</v>
      </c>
      <c r="H19" s="129">
        <v>1.8333825986257788</v>
      </c>
      <c r="I19" s="129">
        <v>1.8370737832395783</v>
      </c>
      <c r="J19" s="129">
        <v>1.8531256416941824</v>
      </c>
      <c r="K19" s="129">
        <v>1.9017470867140982</v>
      </c>
      <c r="L19" s="129">
        <v>1.9489312118192685</v>
      </c>
      <c r="M19" s="129">
        <v>1.9862822509542166</v>
      </c>
      <c r="N19" s="129">
        <v>2.0750545566300524</v>
      </c>
      <c r="O19" s="129">
        <v>2.1173131300413939</v>
      </c>
      <c r="P19" s="129">
        <v>2.1851750210474212</v>
      </c>
      <c r="Q19" s="129">
        <v>2.2550436353596348</v>
      </c>
      <c r="R19" s="129">
        <v>2.3372545397139688</v>
      </c>
      <c r="S19" s="129">
        <v>2.2538910216330579</v>
      </c>
      <c r="T19" s="129">
        <v>2.1493586638161051</v>
      </c>
      <c r="U19" s="129">
        <v>2.2398439667662129</v>
      </c>
      <c r="V19" s="129">
        <v>2.0006581680470994</v>
      </c>
      <c r="W19" s="129">
        <v>2.0807470930828251</v>
      </c>
      <c r="X19" s="129">
        <v>2.0928587504823173</v>
      </c>
      <c r="Y19" s="129">
        <v>2.2381594581234272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5.3448574105407183E-3</v>
      </c>
      <c r="J20" s="97">
        <v>4.0394770560159667E-3</v>
      </c>
      <c r="K20" s="97">
        <v>3.5858280742334342E-3</v>
      </c>
      <c r="L20" s="97">
        <v>3.8466587515413007E-3</v>
      </c>
      <c r="M20" s="97">
        <v>3.3751778258366165E-2</v>
      </c>
      <c r="N20" s="97">
        <v>7.3471968264006912E-3</v>
      </c>
      <c r="O20" s="97">
        <v>4.1472181399971842E-3</v>
      </c>
      <c r="P20" s="97">
        <v>2.1312371374739274E-2</v>
      </c>
      <c r="Q20" s="97">
        <v>5.3759316192041273E-2</v>
      </c>
      <c r="R20" s="97">
        <v>7.041828165781297E-2</v>
      </c>
      <c r="S20" s="97">
        <v>4.9211660446548282E-2</v>
      </c>
      <c r="T20" s="97">
        <v>6.3472168924210495E-2</v>
      </c>
      <c r="U20" s="97">
        <v>0.10612510026324973</v>
      </c>
      <c r="V20" s="97">
        <v>0.10025310255525409</v>
      </c>
      <c r="W20" s="97">
        <v>0.11102033538683255</v>
      </c>
      <c r="X20" s="97">
        <v>0.12167064006206744</v>
      </c>
      <c r="Y20" s="97">
        <v>0.13658584365960103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888.27917183283512</v>
      </c>
      <c r="C21" s="130">
        <f t="shared" si="18"/>
        <v>910.36176829800331</v>
      </c>
      <c r="D21" s="130">
        <f t="shared" si="18"/>
        <v>931.10271281339089</v>
      </c>
      <c r="E21" s="130">
        <f t="shared" si="18"/>
        <v>988.2854576043793</v>
      </c>
      <c r="F21" s="130">
        <f t="shared" si="18"/>
        <v>1008.4967926643752</v>
      </c>
      <c r="G21" s="130">
        <f t="shared" si="18"/>
        <v>973.16268260771437</v>
      </c>
      <c r="H21" s="130">
        <f t="shared" si="18"/>
        <v>934.56625443686596</v>
      </c>
      <c r="I21" s="130">
        <f t="shared" si="18"/>
        <v>949.33156669373273</v>
      </c>
      <c r="J21" s="130">
        <f t="shared" si="18"/>
        <v>964.93243004118187</v>
      </c>
      <c r="K21" s="130">
        <f t="shared" si="18"/>
        <v>945.62698609342465</v>
      </c>
      <c r="L21" s="130">
        <f t="shared" ref="L21" si="19">L22+L24+L26+L27+L29+L32</f>
        <v>923.99320291599986</v>
      </c>
      <c r="M21" s="130">
        <f t="shared" ref="M21:V21" si="20">M22+M24+M26+M27+M29+M32</f>
        <v>990.56441495596096</v>
      </c>
      <c r="N21" s="130">
        <f t="shared" si="20"/>
        <v>986.192824295322</v>
      </c>
      <c r="O21" s="130">
        <f t="shared" si="20"/>
        <v>927.72900652027886</v>
      </c>
      <c r="P21" s="130">
        <f t="shared" si="20"/>
        <v>917.79401618539805</v>
      </c>
      <c r="Q21" s="130">
        <f t="shared" si="20"/>
        <v>886.6958407377449</v>
      </c>
      <c r="R21" s="130">
        <f t="shared" si="20"/>
        <v>861.64215129121305</v>
      </c>
      <c r="S21" s="130">
        <f t="shared" si="20"/>
        <v>860.55463156481983</v>
      </c>
      <c r="T21" s="130">
        <f t="shared" si="20"/>
        <v>897.21430222014874</v>
      </c>
      <c r="U21" s="130">
        <f t="shared" si="20"/>
        <v>884.67797852475007</v>
      </c>
      <c r="V21" s="130">
        <f t="shared" si="20"/>
        <v>670.267025043221</v>
      </c>
      <c r="W21" s="130">
        <f t="shared" ref="W21:Y21" si="21">W22+W24+W26+W27+W29+W32</f>
        <v>747.72306254965019</v>
      </c>
      <c r="X21" s="130">
        <f t="shared" si="21"/>
        <v>772.27873737417201</v>
      </c>
      <c r="Y21" s="130">
        <f t="shared" si="21"/>
        <v>807.44320170579692</v>
      </c>
      <c r="DA21" s="176" t="s">
        <v>393</v>
      </c>
    </row>
    <row r="22" spans="1:105" ht="11.45" customHeight="1" x14ac:dyDescent="0.25">
      <c r="A22" s="111" t="s">
        <v>110</v>
      </c>
      <c r="B22" s="96">
        <v>590.75498341189564</v>
      </c>
      <c r="C22" s="96">
        <v>581.89222283315519</v>
      </c>
      <c r="D22" s="96">
        <v>568.31504250726414</v>
      </c>
      <c r="E22" s="96">
        <v>578.74992291942362</v>
      </c>
      <c r="F22" s="96">
        <v>561.15670907429001</v>
      </c>
      <c r="G22" s="96">
        <v>510.88887500791327</v>
      </c>
      <c r="H22" s="96">
        <v>458.9159875994236</v>
      </c>
      <c r="I22" s="96">
        <v>440.43683852970338</v>
      </c>
      <c r="J22" s="96">
        <v>419.80980327444382</v>
      </c>
      <c r="K22" s="96">
        <v>386.77740332303819</v>
      </c>
      <c r="L22" s="96">
        <v>359.29935429825457</v>
      </c>
      <c r="M22" s="96">
        <v>372.25866160496327</v>
      </c>
      <c r="N22" s="96">
        <v>356.84007573034302</v>
      </c>
      <c r="O22" s="96">
        <v>323.82822490077359</v>
      </c>
      <c r="P22" s="96">
        <v>312.99890781356879</v>
      </c>
      <c r="Q22" s="96">
        <v>295.84062112267287</v>
      </c>
      <c r="R22" s="96">
        <v>289.1752310119104</v>
      </c>
      <c r="S22" s="96">
        <v>303.47113968509984</v>
      </c>
      <c r="T22" s="96">
        <v>334.06864219983953</v>
      </c>
      <c r="U22" s="96">
        <v>354.97425446830857</v>
      </c>
      <c r="V22" s="96">
        <v>270.72644287366268</v>
      </c>
      <c r="W22" s="96">
        <v>327.91064928822902</v>
      </c>
      <c r="X22" s="96">
        <v>333.92190815341877</v>
      </c>
      <c r="Y22" s="96">
        <v>371.60369372958235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1.2814249061566456</v>
      </c>
      <c r="J23" s="96">
        <v>0.91510906225836419</v>
      </c>
      <c r="K23" s="96">
        <v>0.72928586614070745</v>
      </c>
      <c r="L23" s="96">
        <v>0.70915894683854375</v>
      </c>
      <c r="M23" s="96">
        <v>6.3255822757369513</v>
      </c>
      <c r="N23" s="96">
        <v>1.2634724535611221</v>
      </c>
      <c r="O23" s="96">
        <v>0.63428798957352173</v>
      </c>
      <c r="P23" s="96">
        <v>3.0527298266539153</v>
      </c>
      <c r="Q23" s="96">
        <v>7.0527191775813467</v>
      </c>
      <c r="R23" s="96">
        <v>8.7124540865591271</v>
      </c>
      <c r="S23" s="96">
        <v>6.6260163149722677</v>
      </c>
      <c r="T23" s="96">
        <v>9.865296865969702</v>
      </c>
      <c r="U23" s="96">
        <v>16.818885112211753</v>
      </c>
      <c r="V23" s="96">
        <v>13.56611852804706</v>
      </c>
      <c r="W23" s="96">
        <v>17.4959995772269</v>
      </c>
      <c r="X23" s="96">
        <v>19.412916560379514</v>
      </c>
      <c r="Y23" s="96">
        <v>22.677474489523156</v>
      </c>
      <c r="DA23" s="171" t="s">
        <v>642</v>
      </c>
    </row>
    <row r="24" spans="1:105" ht="11.45" customHeight="1" x14ac:dyDescent="0.25">
      <c r="A24" s="111" t="s">
        <v>111</v>
      </c>
      <c r="B24" s="96">
        <v>295.32676795662303</v>
      </c>
      <c r="C24" s="96">
        <v>325.1735007528963</v>
      </c>
      <c r="D24" s="96">
        <v>358.39291536201659</v>
      </c>
      <c r="E24" s="96">
        <v>406.23948997300391</v>
      </c>
      <c r="F24" s="96">
        <v>444.04403887813345</v>
      </c>
      <c r="G24" s="96">
        <v>460.07638713548459</v>
      </c>
      <c r="H24" s="96">
        <v>474.55155660528419</v>
      </c>
      <c r="I24" s="96">
        <v>506.69730769971295</v>
      </c>
      <c r="J24" s="96">
        <v>542.92501004377232</v>
      </c>
      <c r="K24" s="96">
        <v>557.36707584952717</v>
      </c>
      <c r="L24" s="96">
        <v>563.17021826358018</v>
      </c>
      <c r="M24" s="96">
        <v>617.56029495393716</v>
      </c>
      <c r="N24" s="96">
        <v>626.69373337186732</v>
      </c>
      <c r="O24" s="96">
        <v>601.52858673441597</v>
      </c>
      <c r="P24" s="96">
        <v>602.22974622583365</v>
      </c>
      <c r="Q24" s="96">
        <v>589.05812552430245</v>
      </c>
      <c r="R24" s="96">
        <v>570.5640807099702</v>
      </c>
      <c r="S24" s="96">
        <v>555.40212402690508</v>
      </c>
      <c r="T24" s="96">
        <v>561.21878414946559</v>
      </c>
      <c r="U24" s="96">
        <v>526.77081530415046</v>
      </c>
      <c r="V24" s="96">
        <v>395.71209439267199</v>
      </c>
      <c r="W24" s="96">
        <v>411.60013111124618</v>
      </c>
      <c r="X24" s="96">
        <v>426.71868112788252</v>
      </c>
      <c r="Y24" s="96">
        <v>418.53273879202857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0.14069442496720483</v>
      </c>
      <c r="G25" s="96">
        <v>0.13676839084919395</v>
      </c>
      <c r="H25" s="96">
        <v>0.1367492944655897</v>
      </c>
      <c r="I25" s="96">
        <v>12.916483988228034</v>
      </c>
      <c r="J25" s="96">
        <v>13.443089967256517</v>
      </c>
      <c r="K25" s="96">
        <v>14.04148381781965</v>
      </c>
      <c r="L25" s="96">
        <v>13.046607850954144</v>
      </c>
      <c r="M25" s="96">
        <v>13.041107530505109</v>
      </c>
      <c r="N25" s="96">
        <v>16.137443387189482</v>
      </c>
      <c r="O25" s="96">
        <v>17.966681682394547</v>
      </c>
      <c r="P25" s="96">
        <v>23.170696994611529</v>
      </c>
      <c r="Q25" s="96">
        <v>27.276191993383037</v>
      </c>
      <c r="R25" s="96">
        <v>28.72992467212249</v>
      </c>
      <c r="S25" s="96">
        <v>36.010368782222052</v>
      </c>
      <c r="T25" s="96">
        <v>36.222571572284835</v>
      </c>
      <c r="U25" s="96">
        <v>33.334187023471408</v>
      </c>
      <c r="V25" s="96">
        <v>36.949125766582682</v>
      </c>
      <c r="W25" s="96">
        <v>34.992542910720125</v>
      </c>
      <c r="X25" s="96">
        <v>39.197575198181205</v>
      </c>
      <c r="Y25" s="96">
        <v>38.6094054423667</v>
      </c>
      <c r="DA25" s="171" t="s">
        <v>644</v>
      </c>
    </row>
    <row r="26" spans="1:105" ht="11.45" customHeight="1" x14ac:dyDescent="0.25">
      <c r="A26" s="111" t="s">
        <v>112</v>
      </c>
      <c r="B26" s="96">
        <v>2.1974204643164228</v>
      </c>
      <c r="C26" s="96">
        <v>3.2960447119518479</v>
      </c>
      <c r="D26" s="96">
        <v>4.3947549441100593</v>
      </c>
      <c r="E26" s="96">
        <v>3.2960447119518479</v>
      </c>
      <c r="F26" s="96">
        <v>3.2960447119518479</v>
      </c>
      <c r="G26" s="96">
        <v>2.1974204643164228</v>
      </c>
      <c r="H26" s="96">
        <v>1.098710232158211</v>
      </c>
      <c r="I26" s="96">
        <v>2.1974204643164228</v>
      </c>
      <c r="J26" s="96">
        <v>2.1974204643164228</v>
      </c>
      <c r="K26" s="96">
        <v>1.4821152192605329</v>
      </c>
      <c r="L26" s="96">
        <v>1.485468615649183</v>
      </c>
      <c r="M26" s="96">
        <v>0.68555460017196901</v>
      </c>
      <c r="N26" s="96">
        <v>1.873258813413585</v>
      </c>
      <c r="O26" s="96">
        <v>1.2041766256185542</v>
      </c>
      <c r="P26" s="96">
        <v>1.3661517482782746</v>
      </c>
      <c r="Q26" s="96">
        <v>0.65182185764511857</v>
      </c>
      <c r="R26" s="96">
        <v>0.70741076928338842</v>
      </c>
      <c r="S26" s="96">
        <v>0.59520360256453386</v>
      </c>
      <c r="T26" s="96">
        <v>0.25581513475939577</v>
      </c>
      <c r="U26" s="96">
        <v>0.19838229779665228</v>
      </c>
      <c r="V26" s="96">
        <v>0.10852571006424484</v>
      </c>
      <c r="W26" s="96">
        <v>0.18278967628614207</v>
      </c>
      <c r="X26" s="96">
        <v>0.18620037885257557</v>
      </c>
      <c r="Y26" s="96">
        <v>0.27779862747593453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X27" s="96">
        <v>0</v>
      </c>
      <c r="Y27" s="96">
        <v>0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0.7670476339534642</v>
      </c>
      <c r="O29" s="96">
        <v>1.116959030862303</v>
      </c>
      <c r="P29" s="96">
        <v>1.0922811609126897</v>
      </c>
      <c r="Q29" s="96">
        <v>1.0264661482916433</v>
      </c>
      <c r="R29" s="96">
        <v>1.0707174350966406</v>
      </c>
      <c r="S29" s="96">
        <v>0.90632451507231848</v>
      </c>
      <c r="T29" s="96">
        <v>1.4082053974793161</v>
      </c>
      <c r="U29" s="96">
        <v>2.1802932653126699</v>
      </c>
      <c r="V29" s="96">
        <v>2.8346669256307027</v>
      </c>
      <c r="W29" s="96">
        <v>6.0575273354877819</v>
      </c>
      <c r="X29" s="96">
        <v>8.1477582947703002</v>
      </c>
      <c r="Y29" s="96">
        <v>11.280947575305069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2.4749656609334247E-3</v>
      </c>
      <c r="O30" s="96">
        <v>1.9823338577671626E-3</v>
      </c>
      <c r="P30" s="96">
        <v>9.4843079277002057E-3</v>
      </c>
      <c r="Q30" s="96">
        <v>2.1628262970629936E-2</v>
      </c>
      <c r="R30" s="96">
        <v>2.7733433790236722E-2</v>
      </c>
      <c r="S30" s="96">
        <v>1.5786179923660888E-2</v>
      </c>
      <c r="T30" s="96">
        <v>3.2986922553410999E-2</v>
      </c>
      <c r="U30" s="96">
        <v>8.1020573557402609E-2</v>
      </c>
      <c r="V30" s="96">
        <v>9.4838768933018694E-2</v>
      </c>
      <c r="W30" s="96">
        <v>0.21303084389953947</v>
      </c>
      <c r="X30" s="96">
        <v>0.29760041520911379</v>
      </c>
      <c r="Y30" s="96">
        <v>0.42847368376214218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6.8047880228515101E-2</v>
      </c>
      <c r="O31" s="96">
        <v>0.1049019450059821</v>
      </c>
      <c r="P31" s="96">
        <v>0.11984724395791553</v>
      </c>
      <c r="Q31" s="96">
        <v>0.11922475813750287</v>
      </c>
      <c r="R31" s="96">
        <v>0.15021650121882996</v>
      </c>
      <c r="S31" s="96">
        <v>0.1833184455155063</v>
      </c>
      <c r="T31" s="96">
        <v>0.29116892331274968</v>
      </c>
      <c r="U31" s="96">
        <v>0.47029777493074715</v>
      </c>
      <c r="V31" s="96">
        <v>0.94205759108366516</v>
      </c>
      <c r="W31" s="96">
        <v>2.0648956465591906</v>
      </c>
      <c r="X31" s="96">
        <v>3.0287284877450413</v>
      </c>
      <c r="Y31" s="96">
        <v>4.2597775757315866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1.9625864931964123E-4</v>
      </c>
      <c r="K32" s="96">
        <v>3.9170159877966474E-4</v>
      </c>
      <c r="L32" s="96">
        <v>3.8161738515856435E-2</v>
      </c>
      <c r="M32" s="96">
        <v>5.9903796888584937E-2</v>
      </c>
      <c r="N32" s="96">
        <v>1.8708745744557741E-2</v>
      </c>
      <c r="O32" s="96">
        <v>5.1059228608402195E-2</v>
      </c>
      <c r="P32" s="96">
        <v>0.10692923680458122</v>
      </c>
      <c r="Q32" s="96">
        <v>0.11880608483280092</v>
      </c>
      <c r="R32" s="96">
        <v>0.1247113649525806</v>
      </c>
      <c r="S32" s="96">
        <v>0.17983973517796287</v>
      </c>
      <c r="T32" s="96">
        <v>0.26285533860495419</v>
      </c>
      <c r="U32" s="96">
        <v>0.55423318918161668</v>
      </c>
      <c r="V32" s="96">
        <v>0.88529514119152208</v>
      </c>
      <c r="W32" s="96">
        <v>1.9719651384011296</v>
      </c>
      <c r="X32" s="96">
        <v>3.3041894192477606</v>
      </c>
      <c r="Y32" s="96">
        <v>5.7480229814049881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24.373190889925677</v>
      </c>
      <c r="C33" s="130">
        <f t="shared" si="22"/>
        <v>25.154876426348839</v>
      </c>
      <c r="D33" s="130">
        <f t="shared" si="22"/>
        <v>26.607328806483164</v>
      </c>
      <c r="E33" s="130">
        <f t="shared" si="22"/>
        <v>26.796696999319618</v>
      </c>
      <c r="F33" s="130">
        <f t="shared" si="22"/>
        <v>26.814557680399467</v>
      </c>
      <c r="G33" s="130">
        <f t="shared" si="22"/>
        <v>27.442496614230901</v>
      </c>
      <c r="H33" s="130">
        <f t="shared" si="22"/>
        <v>27.308734870471234</v>
      </c>
      <c r="I33" s="130">
        <f t="shared" si="22"/>
        <v>28.039768919654747</v>
      </c>
      <c r="J33" s="130">
        <f t="shared" si="22"/>
        <v>28.974009096089578</v>
      </c>
      <c r="K33" s="130">
        <f t="shared" si="22"/>
        <v>29.666880040332586</v>
      </c>
      <c r="L33" s="130">
        <f t="shared" ref="L33" si="23">L34+L36+L38+L39+L41</f>
        <v>30.336088102821236</v>
      </c>
      <c r="M33" s="130">
        <f t="shared" ref="M33:V33" si="24">M34+M36+M38+M39+M41</f>
        <v>31.179115918098375</v>
      </c>
      <c r="N33" s="130">
        <f t="shared" si="24"/>
        <v>31.203576293170549</v>
      </c>
      <c r="O33" s="130">
        <f t="shared" si="24"/>
        <v>31.420884225840066</v>
      </c>
      <c r="P33" s="130">
        <f t="shared" si="24"/>
        <v>31.306825745595411</v>
      </c>
      <c r="Q33" s="130">
        <f t="shared" si="24"/>
        <v>32.38782623865081</v>
      </c>
      <c r="R33" s="130">
        <f t="shared" si="24"/>
        <v>33.093971937903618</v>
      </c>
      <c r="S33" s="130">
        <f t="shared" si="24"/>
        <v>34.254877169701388</v>
      </c>
      <c r="T33" s="130">
        <f t="shared" si="24"/>
        <v>34.799138403083141</v>
      </c>
      <c r="U33" s="130">
        <f t="shared" si="24"/>
        <v>35.484486730544162</v>
      </c>
      <c r="V33" s="130">
        <f t="shared" si="24"/>
        <v>34.763359774128212</v>
      </c>
      <c r="W33" s="130">
        <f t="shared" ref="W33:Y33" si="25">W34+W36+W38+W39+W41</f>
        <v>34.174090850234457</v>
      </c>
      <c r="X33" s="130">
        <f t="shared" si="25"/>
        <v>32.409060884057531</v>
      </c>
      <c r="Y33" s="130">
        <f t="shared" si="25"/>
        <v>31.1403672234539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1.3239003210894632E-3</v>
      </c>
      <c r="U34" s="97">
        <v>1.2792652012167652E-3</v>
      </c>
      <c r="V34" s="97">
        <v>1.1945288726932575E-3</v>
      </c>
      <c r="W34" s="97">
        <v>2.1755248762511739E-3</v>
      </c>
      <c r="X34" s="97">
        <v>2.9502943246511055E-3</v>
      </c>
      <c r="Y34" s="97">
        <v>2.7578097945125989E-3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3.9095766673866039E-5</v>
      </c>
      <c r="U35" s="97">
        <v>6.0612323785403181E-5</v>
      </c>
      <c r="V35" s="97">
        <v>5.9857914506317569E-5</v>
      </c>
      <c r="W35" s="97">
        <v>1.1607729848895604E-4</v>
      </c>
      <c r="X35" s="97">
        <v>1.7151859807502948E-4</v>
      </c>
      <c r="Y35" s="97">
        <v>1.6829800757450845E-4</v>
      </c>
      <c r="DA35" s="175" t="s">
        <v>653</v>
      </c>
    </row>
    <row r="36" spans="1:105" ht="11.45" customHeight="1" x14ac:dyDescent="0.25">
      <c r="A36" s="111" t="s">
        <v>111</v>
      </c>
      <c r="B36" s="97">
        <v>24.373190889925677</v>
      </c>
      <c r="C36" s="97">
        <v>25.154876426348839</v>
      </c>
      <c r="D36" s="97">
        <v>26.607328806483164</v>
      </c>
      <c r="E36" s="97">
        <v>26.744999055785787</v>
      </c>
      <c r="F36" s="97">
        <v>26.762812877883785</v>
      </c>
      <c r="G36" s="97">
        <v>27.390707601210043</v>
      </c>
      <c r="H36" s="97">
        <v>27.256898272111702</v>
      </c>
      <c r="I36" s="97">
        <v>27.987887929490157</v>
      </c>
      <c r="J36" s="97">
        <v>28.922084503101313</v>
      </c>
      <c r="K36" s="97">
        <v>29.632233619563657</v>
      </c>
      <c r="L36" s="97">
        <v>30.301405975071518</v>
      </c>
      <c r="M36" s="97">
        <v>31.144405741776062</v>
      </c>
      <c r="N36" s="97">
        <v>31.168834936924032</v>
      </c>
      <c r="O36" s="97">
        <v>31.386116029045382</v>
      </c>
      <c r="P36" s="97">
        <v>31.272024041428011</v>
      </c>
      <c r="Q36" s="97">
        <v>32.352993845049831</v>
      </c>
      <c r="R36" s="97">
        <v>33.059155668080848</v>
      </c>
      <c r="S36" s="97">
        <v>34.143156405980001</v>
      </c>
      <c r="T36" s="97">
        <v>34.34719875981952</v>
      </c>
      <c r="U36" s="97">
        <v>34.04644336814453</v>
      </c>
      <c r="V36" s="97">
        <v>32.846346684103061</v>
      </c>
      <c r="W36" s="97">
        <v>31.845191477065967</v>
      </c>
      <c r="X36" s="97">
        <v>28.406770498076167</v>
      </c>
      <c r="Y36" s="97">
        <v>26.29221567351593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8.4797412839318839E-3</v>
      </c>
      <c r="G37" s="97">
        <v>8.1425239538213835E-3</v>
      </c>
      <c r="H37" s="97">
        <v>7.8544924279574518E-3</v>
      </c>
      <c r="I37" s="97">
        <v>0.71345377370708507</v>
      </c>
      <c r="J37" s="97">
        <v>0.71612502062566585</v>
      </c>
      <c r="K37" s="97">
        <v>0.74651077697901924</v>
      </c>
      <c r="L37" s="97">
        <v>0.70197348557996819</v>
      </c>
      <c r="M37" s="97">
        <v>0.65768079258151935</v>
      </c>
      <c r="N37" s="97">
        <v>0.8026014661627453</v>
      </c>
      <c r="O37" s="97">
        <v>0.93745229798950847</v>
      </c>
      <c r="P37" s="97">
        <v>1.2031863221854462</v>
      </c>
      <c r="Q37" s="97">
        <v>1.4980974430882563</v>
      </c>
      <c r="R37" s="97">
        <v>1.6646457149669938</v>
      </c>
      <c r="S37" s="97">
        <v>2.2137251558455806</v>
      </c>
      <c r="T37" s="97">
        <v>2.2168606976877507</v>
      </c>
      <c r="U37" s="97">
        <v>2.1544673276223083</v>
      </c>
      <c r="V37" s="97">
        <v>3.066986861916281</v>
      </c>
      <c r="W37" s="97">
        <v>2.7073466333764302</v>
      </c>
      <c r="X37" s="97">
        <v>2.609392492010727</v>
      </c>
      <c r="Y37" s="97">
        <v>2.4254418372306774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X39" s="97">
        <v>0</v>
      </c>
      <c r="Y39" s="97">
        <v>0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5.1697943533829678E-2</v>
      </c>
      <c r="F41" s="97">
        <v>5.1744802515683086E-2</v>
      </c>
      <c r="G41" s="97">
        <v>5.178901302085704E-2</v>
      </c>
      <c r="H41" s="97">
        <v>5.1836598359531416E-2</v>
      </c>
      <c r="I41" s="97">
        <v>5.1880990164592265E-2</v>
      </c>
      <c r="J41" s="97">
        <v>5.1924592988264726E-2</v>
      </c>
      <c r="K41" s="97">
        <v>3.4646420768928689E-2</v>
      </c>
      <c r="L41" s="97">
        <v>3.4682127749719752E-2</v>
      </c>
      <c r="M41" s="97">
        <v>3.47101763223139E-2</v>
      </c>
      <c r="N41" s="97">
        <v>3.4741356246517002E-2</v>
      </c>
      <c r="O41" s="97">
        <v>3.4768196794683542E-2</v>
      </c>
      <c r="P41" s="97">
        <v>3.4801704167398667E-2</v>
      </c>
      <c r="Q41" s="97">
        <v>3.4832393600981157E-2</v>
      </c>
      <c r="R41" s="97">
        <v>3.4816269822770869E-2</v>
      </c>
      <c r="S41" s="97">
        <v>0.11172076372138723</v>
      </c>
      <c r="T41" s="97">
        <v>0.45061574294252987</v>
      </c>
      <c r="U41" s="97">
        <v>1.436764097198411</v>
      </c>
      <c r="V41" s="97">
        <v>1.915818561152453</v>
      </c>
      <c r="W41" s="97">
        <v>2.326723848292239</v>
      </c>
      <c r="X41" s="97">
        <v>3.9993400916567139</v>
      </c>
      <c r="Y41" s="97">
        <v>4.845393740143459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665.38151937635485</v>
      </c>
      <c r="C42" s="32">
        <f t="shared" si="26"/>
        <v>720.18393657214847</v>
      </c>
      <c r="D42" s="32">
        <f t="shared" si="26"/>
        <v>765.10586514854276</v>
      </c>
      <c r="E42" s="32">
        <f t="shared" si="26"/>
        <v>887.43863625986876</v>
      </c>
      <c r="F42" s="32">
        <f t="shared" si="26"/>
        <v>1179.6978581465742</v>
      </c>
      <c r="G42" s="32">
        <f t="shared" si="26"/>
        <v>1335.2654450961738</v>
      </c>
      <c r="H42" s="32">
        <f t="shared" si="26"/>
        <v>1272.6563115720544</v>
      </c>
      <c r="I42" s="32">
        <f t="shared" si="26"/>
        <v>1211.4799774679693</v>
      </c>
      <c r="J42" s="32">
        <f t="shared" si="26"/>
        <v>1223.7133391007878</v>
      </c>
      <c r="K42" s="32">
        <f t="shared" si="26"/>
        <v>1069.2199273351443</v>
      </c>
      <c r="L42" s="32">
        <f t="shared" ref="L42" si="27">L43+L52</f>
        <v>1204.6777013848005</v>
      </c>
      <c r="M42" s="32">
        <f t="shared" ref="M42:V42" si="28">M43+M52</f>
        <v>1268.5247528779641</v>
      </c>
      <c r="N42" s="32">
        <f t="shared" si="28"/>
        <v>1172.4100358085993</v>
      </c>
      <c r="O42" s="32">
        <f t="shared" si="28"/>
        <v>1189.7255351464685</v>
      </c>
      <c r="P42" s="32">
        <f t="shared" si="28"/>
        <v>1120.4653675400627</v>
      </c>
      <c r="Q42" s="32">
        <f t="shared" si="28"/>
        <v>1021.6937629455527</v>
      </c>
      <c r="R42" s="32">
        <f t="shared" si="28"/>
        <v>994.96157350270767</v>
      </c>
      <c r="S42" s="32">
        <f t="shared" si="28"/>
        <v>1054.1834330197973</v>
      </c>
      <c r="T42" s="32">
        <f t="shared" si="28"/>
        <v>1151.2684603479065</v>
      </c>
      <c r="U42" s="32">
        <f t="shared" si="28"/>
        <v>1216.216911583612</v>
      </c>
      <c r="V42" s="32">
        <f t="shared" si="28"/>
        <v>948.10135418950745</v>
      </c>
      <c r="W42" s="32">
        <f t="shared" ref="W42:Y42" si="29">W43+W52</f>
        <v>975.48378555863633</v>
      </c>
      <c r="X42" s="32">
        <f t="shared" si="29"/>
        <v>738.82600382285023</v>
      </c>
      <c r="Y42" s="32">
        <f t="shared" si="29"/>
        <v>661.59839314364069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32.941317572402824</v>
      </c>
      <c r="C43" s="141">
        <f t="shared" si="30"/>
        <v>33.972225422132524</v>
      </c>
      <c r="D43" s="141">
        <f t="shared" si="30"/>
        <v>35.401004263695761</v>
      </c>
      <c r="E43" s="141">
        <f t="shared" si="30"/>
        <v>36.077737675378394</v>
      </c>
      <c r="F43" s="141">
        <f t="shared" si="30"/>
        <v>36.929724225361838</v>
      </c>
      <c r="G43" s="141">
        <f t="shared" si="30"/>
        <v>38.195136186599797</v>
      </c>
      <c r="H43" s="141">
        <f t="shared" si="30"/>
        <v>39.614340798183996</v>
      </c>
      <c r="I43" s="141">
        <f t="shared" si="30"/>
        <v>42.383415891482784</v>
      </c>
      <c r="J43" s="141">
        <f t="shared" si="30"/>
        <v>44.434908590240923</v>
      </c>
      <c r="K43" s="141">
        <f t="shared" si="30"/>
        <v>44.496316736707982</v>
      </c>
      <c r="L43" s="141">
        <f t="shared" ref="L43" si="31">L44+L46+L48+L49+L51</f>
        <v>46.373108487864876</v>
      </c>
      <c r="M43" s="141">
        <f t="shared" ref="M43:V43" si="32">M44+M46+M48+M49+M51</f>
        <v>49.055912294995395</v>
      </c>
      <c r="N43" s="141">
        <f t="shared" si="32"/>
        <v>50.155646152302467</v>
      </c>
      <c r="O43" s="141">
        <f t="shared" si="32"/>
        <v>50.948923138264909</v>
      </c>
      <c r="P43" s="141">
        <f t="shared" si="32"/>
        <v>53.398191531805928</v>
      </c>
      <c r="Q43" s="141">
        <f t="shared" si="32"/>
        <v>55.171849382058596</v>
      </c>
      <c r="R43" s="141">
        <f t="shared" si="32"/>
        <v>57.558340087457125</v>
      </c>
      <c r="S43" s="141">
        <f t="shared" si="32"/>
        <v>58.489634257427639</v>
      </c>
      <c r="T43" s="141">
        <f t="shared" si="32"/>
        <v>60.130612368251903</v>
      </c>
      <c r="U43" s="141">
        <f t="shared" si="32"/>
        <v>60.63000517998524</v>
      </c>
      <c r="V43" s="141">
        <f t="shared" si="32"/>
        <v>61.238676673301441</v>
      </c>
      <c r="W43" s="141">
        <f t="shared" ref="W43:Y43" si="33">W44+W46+W48+W49+W51</f>
        <v>63.715846881165305</v>
      </c>
      <c r="X43" s="141">
        <f t="shared" si="33"/>
        <v>57.487895189683456</v>
      </c>
      <c r="Y43" s="141">
        <f t="shared" si="33"/>
        <v>57.052663251691477</v>
      </c>
      <c r="DA43" s="174" t="s">
        <v>400</v>
      </c>
    </row>
    <row r="44" spans="1:105" ht="11.45" customHeight="1" x14ac:dyDescent="0.25">
      <c r="A44" s="111" t="s">
        <v>110</v>
      </c>
      <c r="B44" s="96">
        <v>3.0398763312441082</v>
      </c>
      <c r="C44" s="96">
        <v>2.7133249293817077</v>
      </c>
      <c r="D44" s="96">
        <v>2.4605486979544735</v>
      </c>
      <c r="E44" s="96">
        <v>2.1889129068870377</v>
      </c>
      <c r="F44" s="96">
        <v>1.9030873746458514</v>
      </c>
      <c r="G44" s="96">
        <v>1.6517565138664287</v>
      </c>
      <c r="H44" s="96">
        <v>1.4543271364303993</v>
      </c>
      <c r="I44" s="96">
        <v>1.3260017025341733</v>
      </c>
      <c r="J44" s="96">
        <v>1.2347495017467311</v>
      </c>
      <c r="K44" s="96">
        <v>1.0808667871521755</v>
      </c>
      <c r="L44" s="96">
        <v>1.0344316008462342</v>
      </c>
      <c r="M44" s="96">
        <v>0.99151358174369564</v>
      </c>
      <c r="N44" s="96">
        <v>0.91269713041107192</v>
      </c>
      <c r="O44" s="96">
        <v>0.87550892460131136</v>
      </c>
      <c r="P44" s="96">
        <v>0.87796304206618137</v>
      </c>
      <c r="Q44" s="96">
        <v>0.86966478904470401</v>
      </c>
      <c r="R44" s="96">
        <v>0.87801953341430461</v>
      </c>
      <c r="S44" s="96">
        <v>0.88412143523222197</v>
      </c>
      <c r="T44" s="96">
        <v>0.93268433365379433</v>
      </c>
      <c r="U44" s="96">
        <v>0.95485036910135235</v>
      </c>
      <c r="V44" s="96">
        <v>0.9633599272006298</v>
      </c>
      <c r="W44" s="96">
        <v>0.9950517789159492</v>
      </c>
      <c r="X44" s="96">
        <v>0.90762100850640748</v>
      </c>
      <c r="Y44" s="96">
        <v>1.0135827174576517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3.8579234491503871E-3</v>
      </c>
      <c r="J45" s="96">
        <v>2.6915294732380505E-3</v>
      </c>
      <c r="K45" s="96">
        <v>2.0380220361338923E-3</v>
      </c>
      <c r="L45" s="96">
        <v>2.0416858974471805E-3</v>
      </c>
      <c r="M45" s="96">
        <v>1.6848233192988941E-2</v>
      </c>
      <c r="N45" s="96">
        <v>3.231609230993714E-3</v>
      </c>
      <c r="O45" s="96">
        <v>1.7148745938041767E-3</v>
      </c>
      <c r="P45" s="96">
        <v>8.5629179473419529E-3</v>
      </c>
      <c r="Q45" s="96">
        <v>2.0732452198373094E-2</v>
      </c>
      <c r="R45" s="96">
        <v>2.6453527313544788E-2</v>
      </c>
      <c r="S45" s="96">
        <v>1.9303987391829841E-2</v>
      </c>
      <c r="T45" s="96">
        <v>2.7542865960552096E-2</v>
      </c>
      <c r="U45" s="96">
        <v>4.5241361746989436E-2</v>
      </c>
      <c r="V45" s="96">
        <v>4.8274024579391908E-2</v>
      </c>
      <c r="W45" s="96">
        <v>5.3091979601826447E-2</v>
      </c>
      <c r="X45" s="96">
        <v>5.276554330926729E-2</v>
      </c>
      <c r="Y45" s="96">
        <v>6.1854864755176799E-2</v>
      </c>
      <c r="DA45" s="171" t="s">
        <v>661</v>
      </c>
    </row>
    <row r="46" spans="1:105" ht="11.45" customHeight="1" x14ac:dyDescent="0.25">
      <c r="A46" s="111" t="s">
        <v>111</v>
      </c>
      <c r="B46" s="96">
        <v>29.901441241158714</v>
      </c>
      <c r="C46" s="96">
        <v>31.258900492750819</v>
      </c>
      <c r="D46" s="96">
        <v>32.940455565741289</v>
      </c>
      <c r="E46" s="96">
        <v>33.888824768491354</v>
      </c>
      <c r="F46" s="96">
        <v>35.026636850715988</v>
      </c>
      <c r="G46" s="96">
        <v>36.543379672733366</v>
      </c>
      <c r="H46" s="96">
        <v>38.159801347873646</v>
      </c>
      <c r="I46" s="96">
        <v>41.056989139967911</v>
      </c>
      <c r="J46" s="96">
        <v>43.199733755992675</v>
      </c>
      <c r="K46" s="96">
        <v>43.413952675379207</v>
      </c>
      <c r="L46" s="96">
        <v>45.337179253062388</v>
      </c>
      <c r="M46" s="96">
        <v>48.062900681764951</v>
      </c>
      <c r="N46" s="96">
        <v>49.23729826878958</v>
      </c>
      <c r="O46" s="96">
        <v>49.978504660837245</v>
      </c>
      <c r="P46" s="96">
        <v>52.387029648815208</v>
      </c>
      <c r="Q46" s="96">
        <v>54.187861306190783</v>
      </c>
      <c r="R46" s="96">
        <v>56.55762306998308</v>
      </c>
      <c r="S46" s="96">
        <v>57.470465086773928</v>
      </c>
      <c r="T46" s="96">
        <v>59.035550022496203</v>
      </c>
      <c r="U46" s="96">
        <v>59.483195199228575</v>
      </c>
      <c r="V46" s="96">
        <v>60.107342284060898</v>
      </c>
      <c r="W46" s="96">
        <v>62.491811821061745</v>
      </c>
      <c r="X46" s="96">
        <v>56.255872243023767</v>
      </c>
      <c r="Y46" s="96">
        <v>55.533098961508813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1.1098116625317612E-2</v>
      </c>
      <c r="G47" s="96">
        <v>1.0863368287925345E-2</v>
      </c>
      <c r="H47" s="96">
        <v>1.0996330827778122E-2</v>
      </c>
      <c r="I47" s="96">
        <v>1.0466050140245262</v>
      </c>
      <c r="J47" s="96">
        <v>1.0696466301976342</v>
      </c>
      <c r="K47" s="96">
        <v>1.0937070745160027</v>
      </c>
      <c r="L47" s="96">
        <v>1.0502977245616376</v>
      </c>
      <c r="M47" s="96">
        <v>1.0149510276816538</v>
      </c>
      <c r="N47" s="96">
        <v>1.2678666963457195</v>
      </c>
      <c r="O47" s="96">
        <v>1.4927767424622707</v>
      </c>
      <c r="P47" s="96">
        <v>2.0155829200526418</v>
      </c>
      <c r="Q47" s="96">
        <v>2.5091556242992406</v>
      </c>
      <c r="R47" s="96">
        <v>2.8478768737299465</v>
      </c>
      <c r="S47" s="96">
        <v>3.7261878418028735</v>
      </c>
      <c r="T47" s="96">
        <v>3.8103133686800472</v>
      </c>
      <c r="U47" s="96">
        <v>3.7641112527843541</v>
      </c>
      <c r="V47" s="96">
        <v>5.6124484973283328</v>
      </c>
      <c r="W47" s="96">
        <v>5.3127957000726083</v>
      </c>
      <c r="X47" s="96">
        <v>5.1675585815854133</v>
      </c>
      <c r="Y47" s="96">
        <v>5.1228965730716309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8.0174191234411829E-2</v>
      </c>
      <c r="P48" s="96">
        <v>0.11484567218604144</v>
      </c>
      <c r="Q48" s="96">
        <v>9.0912450179472928E-2</v>
      </c>
      <c r="R48" s="96">
        <v>9.5770658059689803E-2</v>
      </c>
      <c r="S48" s="96">
        <v>9.9207403454382753E-2</v>
      </c>
      <c r="T48" s="96">
        <v>0.11331642156046663</v>
      </c>
      <c r="U48" s="96">
        <v>0.1246615543099685</v>
      </c>
      <c r="V48" s="96">
        <v>8.2617884088807561E-2</v>
      </c>
      <c r="W48" s="96">
        <v>9.9583496542748631E-2</v>
      </c>
      <c r="X48" s="96">
        <v>8.5166775059720243E-2</v>
      </c>
      <c r="Y48" s="96">
        <v>0.11996577493163221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X49" s="96">
        <v>0</v>
      </c>
      <c r="Y49" s="96">
        <v>0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2.1231387995195944E-4</v>
      </c>
      <c r="I51" s="96">
        <v>4.2504898070142092E-4</v>
      </c>
      <c r="J51" s="96">
        <v>4.2533250151151157E-4</v>
      </c>
      <c r="K51" s="96">
        <v>1.4972741765970589E-3</v>
      </c>
      <c r="L51" s="96">
        <v>1.4976339562584023E-3</v>
      </c>
      <c r="M51" s="96">
        <v>1.4980314867451866E-3</v>
      </c>
      <c r="N51" s="96">
        <v>5.6507531018091754E-3</v>
      </c>
      <c r="O51" s="96">
        <v>1.4735361591938738E-2</v>
      </c>
      <c r="P51" s="96">
        <v>1.8353168738491479E-2</v>
      </c>
      <c r="Q51" s="96">
        <v>2.3410836643632874E-2</v>
      </c>
      <c r="R51" s="96">
        <v>2.692682600004799E-2</v>
      </c>
      <c r="S51" s="96">
        <v>3.5840331967100243E-2</v>
      </c>
      <c r="T51" s="96">
        <v>4.9061590541431895E-2</v>
      </c>
      <c r="U51" s="96">
        <v>6.7298057345346121E-2</v>
      </c>
      <c r="V51" s="96">
        <v>8.5356577951110457E-2</v>
      </c>
      <c r="W51" s="96">
        <v>0.12939978464485744</v>
      </c>
      <c r="X51" s="96">
        <v>0.23923516309355977</v>
      </c>
      <c r="Y51" s="96">
        <v>0.38601579779338346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632.44020180395205</v>
      </c>
      <c r="C52" s="130">
        <f t="shared" si="34"/>
        <v>686.21171115001596</v>
      </c>
      <c r="D52" s="130">
        <f t="shared" si="34"/>
        <v>729.70486088484699</v>
      </c>
      <c r="E52" s="130">
        <f t="shared" si="34"/>
        <v>851.36089858449031</v>
      </c>
      <c r="F52" s="130">
        <f t="shared" si="34"/>
        <v>1142.7681339212122</v>
      </c>
      <c r="G52" s="130">
        <f t="shared" si="34"/>
        <v>1297.0703089095741</v>
      </c>
      <c r="H52" s="130">
        <f t="shared" si="34"/>
        <v>1233.0419707738704</v>
      </c>
      <c r="I52" s="130">
        <f t="shared" si="34"/>
        <v>1169.0965615764865</v>
      </c>
      <c r="J52" s="130">
        <f t="shared" si="34"/>
        <v>1179.278430510547</v>
      </c>
      <c r="K52" s="130">
        <f t="shared" si="34"/>
        <v>1024.7236105984364</v>
      </c>
      <c r="L52" s="130">
        <f t="shared" ref="L52" si="35">L53+L55</f>
        <v>1158.3045928969357</v>
      </c>
      <c r="M52" s="130">
        <f t="shared" ref="M52:V52" si="36">M53+M55</f>
        <v>1219.4688405829688</v>
      </c>
      <c r="N52" s="130">
        <f t="shared" si="36"/>
        <v>1122.2543896562968</v>
      </c>
      <c r="O52" s="130">
        <f t="shared" si="36"/>
        <v>1138.7766120082035</v>
      </c>
      <c r="P52" s="130">
        <f t="shared" si="36"/>
        <v>1067.0671760082569</v>
      </c>
      <c r="Q52" s="130">
        <f t="shared" si="36"/>
        <v>966.52191356349419</v>
      </c>
      <c r="R52" s="130">
        <f t="shared" si="36"/>
        <v>937.4032334152505</v>
      </c>
      <c r="S52" s="130">
        <f t="shared" si="36"/>
        <v>995.69379876236974</v>
      </c>
      <c r="T52" s="130">
        <f t="shared" si="36"/>
        <v>1091.1378479796547</v>
      </c>
      <c r="U52" s="130">
        <f t="shared" si="36"/>
        <v>1155.5869064036267</v>
      </c>
      <c r="V52" s="130">
        <f t="shared" si="36"/>
        <v>886.86267751620596</v>
      </c>
      <c r="W52" s="130">
        <f t="shared" ref="W52:Y52" si="37">W53+W55</f>
        <v>911.76793867747097</v>
      </c>
      <c r="X52" s="130">
        <f t="shared" si="37"/>
        <v>681.33810863316671</v>
      </c>
      <c r="Y52" s="130">
        <f t="shared" si="37"/>
        <v>604.54572989194924</v>
      </c>
      <c r="DA52" s="176" t="s">
        <v>401</v>
      </c>
    </row>
    <row r="53" spans="1:105" ht="11.45" customHeight="1" x14ac:dyDescent="0.25">
      <c r="A53" s="128" t="s">
        <v>27</v>
      </c>
      <c r="B53" s="97">
        <v>27.536144899931855</v>
      </c>
      <c r="C53" s="97">
        <v>31.355133675074057</v>
      </c>
      <c r="D53" s="97">
        <v>36.361420866744311</v>
      </c>
      <c r="E53" s="97">
        <v>36.566770669462016</v>
      </c>
      <c r="F53" s="97">
        <v>36.717044601073056</v>
      </c>
      <c r="G53" s="97">
        <v>35.470916548156715</v>
      </c>
      <c r="H53" s="97">
        <v>38.521080306563206</v>
      </c>
      <c r="I53" s="97">
        <v>37.088149602265702</v>
      </c>
      <c r="J53" s="97">
        <v>34.245901675015162</v>
      </c>
      <c r="K53" s="97">
        <v>22.182269951305059</v>
      </c>
      <c r="L53" s="97">
        <v>24.959037511721736</v>
      </c>
      <c r="M53" s="97">
        <v>27.107230417285979</v>
      </c>
      <c r="N53" s="97">
        <v>39.845919357130242</v>
      </c>
      <c r="O53" s="97">
        <v>31.952322216418466</v>
      </c>
      <c r="P53" s="97">
        <v>41.406562315762798</v>
      </c>
      <c r="Q53" s="97">
        <v>36.181979562817943</v>
      </c>
      <c r="R53" s="97">
        <v>36.615220977715424</v>
      </c>
      <c r="S53" s="97">
        <v>35.462965500615816</v>
      </c>
      <c r="T53" s="97">
        <v>36.884368847271517</v>
      </c>
      <c r="U53" s="97">
        <v>36.512604036913274</v>
      </c>
      <c r="V53" s="97">
        <v>29.999397905727747</v>
      </c>
      <c r="W53" s="97">
        <v>35.174754174860766</v>
      </c>
      <c r="X53" s="97">
        <v>32.456464865858159</v>
      </c>
      <c r="Y53" s="97">
        <v>29.305793392699165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1.1633718785403868E-2</v>
      </c>
      <c r="G54" s="97">
        <v>1.0544553717356575E-2</v>
      </c>
      <c r="H54" s="97">
        <v>1.1100438889417252E-2</v>
      </c>
      <c r="I54" s="97">
        <v>0.94543326599748312</v>
      </c>
      <c r="J54" s="97">
        <v>0.84794534919275222</v>
      </c>
      <c r="K54" s="97">
        <v>0.55882738335238002</v>
      </c>
      <c r="L54" s="97">
        <v>0.57821021814098472</v>
      </c>
      <c r="M54" s="97">
        <v>0.57242719393476094</v>
      </c>
      <c r="N54" s="97">
        <v>1.0260374942263262</v>
      </c>
      <c r="O54" s="97">
        <v>0.95436395698540366</v>
      </c>
      <c r="P54" s="97">
        <v>1.5931111258115465</v>
      </c>
      <c r="Q54" s="97">
        <v>1.6753976874144172</v>
      </c>
      <c r="R54" s="97">
        <v>1.8437062130407895</v>
      </c>
      <c r="S54" s="97">
        <v>2.2992970508094928</v>
      </c>
      <c r="T54" s="97">
        <v>2.380616487193393</v>
      </c>
      <c r="U54" s="97">
        <v>2.3105265825664105</v>
      </c>
      <c r="V54" s="97">
        <v>2.8011565525731754</v>
      </c>
      <c r="W54" s="97">
        <v>2.9904123001971925</v>
      </c>
      <c r="X54" s="97">
        <v>2.9813897973342662</v>
      </c>
      <c r="Y54" s="97">
        <v>2.7034426558233733</v>
      </c>
      <c r="DA54" s="175" t="s">
        <v>669</v>
      </c>
    </row>
    <row r="55" spans="1:105" ht="11.45" customHeight="1" x14ac:dyDescent="0.25">
      <c r="A55" s="128" t="s">
        <v>116</v>
      </c>
      <c r="B55" s="97">
        <v>604.90405690402019</v>
      </c>
      <c r="C55" s="97">
        <v>654.8565774749419</v>
      </c>
      <c r="D55" s="97">
        <v>693.34344001810268</v>
      </c>
      <c r="E55" s="97">
        <v>814.7941279150283</v>
      </c>
      <c r="F55" s="97">
        <v>1106.0510893201392</v>
      </c>
      <c r="G55" s="97">
        <v>1261.5993923614174</v>
      </c>
      <c r="H55" s="97">
        <v>1194.5208904673073</v>
      </c>
      <c r="I55" s="97">
        <v>1132.0084119742207</v>
      </c>
      <c r="J55" s="97">
        <v>1145.0325288355318</v>
      </c>
      <c r="K55" s="97">
        <v>1002.5413406471314</v>
      </c>
      <c r="L55" s="97">
        <v>1133.3455553852139</v>
      </c>
      <c r="M55" s="97">
        <v>1192.3616101656828</v>
      </c>
      <c r="N55" s="97">
        <v>1082.4084702991665</v>
      </c>
      <c r="O55" s="97">
        <v>1106.8242897917851</v>
      </c>
      <c r="P55" s="97">
        <v>1025.6606136924941</v>
      </c>
      <c r="Q55" s="97">
        <v>930.33993400067629</v>
      </c>
      <c r="R55" s="97">
        <v>900.78801243753503</v>
      </c>
      <c r="S55" s="97">
        <v>960.2308332617539</v>
      </c>
      <c r="T55" s="97">
        <v>1054.2534791323831</v>
      </c>
      <c r="U55" s="97">
        <v>1119.0743023667135</v>
      </c>
      <c r="V55" s="97">
        <v>856.86327961047823</v>
      </c>
      <c r="W55" s="97">
        <v>876.59318450261014</v>
      </c>
      <c r="X55" s="97">
        <v>648.88164376730856</v>
      </c>
      <c r="Y55" s="97">
        <v>575.23993649925012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0.35044997426247537</v>
      </c>
      <c r="G56" s="98">
        <v>0.37503971865171992</v>
      </c>
      <c r="H56" s="98">
        <v>0.34421947778306655</v>
      </c>
      <c r="I56" s="98">
        <v>28.856613811869174</v>
      </c>
      <c r="J56" s="98">
        <v>28.351567925246773</v>
      </c>
      <c r="K56" s="98">
        <v>25.256547473558218</v>
      </c>
      <c r="L56" s="98">
        <v>26.255498854899113</v>
      </c>
      <c r="M56" s="98">
        <v>25.17926767713703</v>
      </c>
      <c r="N56" s="98">
        <v>27.872155857193512</v>
      </c>
      <c r="O56" s="98">
        <v>33.059043462902579</v>
      </c>
      <c r="P56" s="98">
        <v>39.4621345891875</v>
      </c>
      <c r="Q56" s="98">
        <v>43.079162410886411</v>
      </c>
      <c r="R56" s="98">
        <v>45.357870601806155</v>
      </c>
      <c r="S56" s="98">
        <v>62.258073791847913</v>
      </c>
      <c r="T56" s="98">
        <v>68.044358424454956</v>
      </c>
      <c r="U56" s="98">
        <v>70.815297667381799</v>
      </c>
      <c r="V56" s="98">
        <v>80.008545434239238</v>
      </c>
      <c r="W56" s="98">
        <v>74.524331518402363</v>
      </c>
      <c r="X56" s="98">
        <v>59.605046957543593</v>
      </c>
      <c r="Y56" s="98">
        <v>53.065554678093989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34.327346759909503</v>
      </c>
      <c r="C60" s="79">
        <f>IF(C17=0,0,C17/TrRoad_act!C30*100)</f>
        <v>34.31445638920993</v>
      </c>
      <c r="D60" s="79">
        <f>IF(D17=0,0,D17/TrRoad_act!D30*100)</f>
        <v>34.554159002405122</v>
      </c>
      <c r="E60" s="79">
        <f>IF(E17=0,0,E17/TrRoad_act!E30*100)</f>
        <v>37.152837494657533</v>
      </c>
      <c r="F60" s="79">
        <f>IF(F17=0,0,F17/TrRoad_act!F30*100)</f>
        <v>42.014973488085531</v>
      </c>
      <c r="G60" s="79">
        <f>IF(G17=0,0,G17/TrRoad_act!G30*100)</f>
        <v>42.523731328611639</v>
      </c>
      <c r="H60" s="79">
        <f>IF(H17=0,0,H17/TrRoad_act!H30*100)</f>
        <v>39.387512504172307</v>
      </c>
      <c r="I60" s="79">
        <f>IF(I17=0,0,I17/TrRoad_act!I30*100)</f>
        <v>37.790638019900442</v>
      </c>
      <c r="J60" s="79">
        <f>IF(J17=0,0,J17/TrRoad_act!J30*100)</f>
        <v>37.28178765896984</v>
      </c>
      <c r="K60" s="79">
        <f>IF(K17=0,0,K17/TrRoad_act!K30*100)</f>
        <v>34.576201428903275</v>
      </c>
      <c r="L60" s="79">
        <f>IF(L17=0,0,L17/TrRoad_act!L30*100)</f>
        <v>37.297787798592935</v>
      </c>
      <c r="M60" s="79">
        <f>IF(M17=0,0,M17/TrRoad_act!M30*100)</f>
        <v>38.765398556829147</v>
      </c>
      <c r="N60" s="79">
        <f>IF(N17=0,0,N17/TrRoad_act!N30*100)</f>
        <v>35.907512918558723</v>
      </c>
      <c r="O60" s="79">
        <f>IF(O17=0,0,O17/TrRoad_act!O30*100)</f>
        <v>34.664990631674556</v>
      </c>
      <c r="P60" s="79">
        <f>IF(P17=0,0,P17/TrRoad_act!P30*100)</f>
        <v>31.887856094571454</v>
      </c>
      <c r="Q60" s="79">
        <f>IF(Q17=0,0,Q17/TrRoad_act!Q30*100)</f>
        <v>29.533440032099595</v>
      </c>
      <c r="R60" s="79">
        <f>IF(R17=0,0,R17/TrRoad_act!R30*100)</f>
        <v>27.583154993631016</v>
      </c>
      <c r="S60" s="79">
        <f>IF(S17=0,0,S17/TrRoad_act!S30*100)</f>
        <v>27.738676077615303</v>
      </c>
      <c r="T60" s="79">
        <f>IF(T17=0,0,T17/TrRoad_act!T30*100)</f>
        <v>28.65187028683836</v>
      </c>
      <c r="U60" s="79">
        <f>IF(U17=0,0,U17/TrRoad_act!U30*100)</f>
        <v>28.50409646075174</v>
      </c>
      <c r="V60" s="79">
        <f>IF(V17=0,0,V17/TrRoad_act!V30*100)</f>
        <v>23.209177300829502</v>
      </c>
      <c r="W60" s="79">
        <f>IF(W17=0,0,W17/TrRoad_act!W30*100)</f>
        <v>23.795782768040514</v>
      </c>
      <c r="X60" s="79">
        <f>IF(X17=0,0,X17/TrRoad_act!X30*100)</f>
        <v>20.35470737138321</v>
      </c>
      <c r="Y60" s="79">
        <f>IF(Y17=0,0,Y17/TrRoad_act!Y30*100)</f>
        <v>19.182889141127582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21.795172017545706</v>
      </c>
      <c r="C61" s="32">
        <f>IF(C18=0,0,C18/TrRoad_act!C31*100)</f>
        <v>21.348296546498919</v>
      </c>
      <c r="D61" s="32">
        <f>IF(D18=0,0,D18/TrRoad_act!D31*100)</f>
        <v>21.256105591027165</v>
      </c>
      <c r="E61" s="32">
        <f>IF(E18=0,0,E18/TrRoad_act!E31*100)</f>
        <v>21.933186091049254</v>
      </c>
      <c r="F61" s="32">
        <f>IF(F18=0,0,F18/TrRoad_act!F31*100)</f>
        <v>21.7820601111939</v>
      </c>
      <c r="G61" s="32">
        <f>IF(G18=0,0,G18/TrRoad_act!G31*100)</f>
        <v>20.184937474367356</v>
      </c>
      <c r="H61" s="32">
        <f>IF(H18=0,0,H18/TrRoad_act!H31*100)</f>
        <v>18.813685013235553</v>
      </c>
      <c r="I61" s="32">
        <f>IF(I18=0,0,I18/TrRoad_act!I31*100)</f>
        <v>18.819476316383501</v>
      </c>
      <c r="J61" s="32">
        <f>IF(J18=0,0,J18/TrRoad_act!J31*100)</f>
        <v>18.700178480260128</v>
      </c>
      <c r="K61" s="32">
        <f>IF(K18=0,0,K18/TrRoad_act!K31*100)</f>
        <v>18.340089066537519</v>
      </c>
      <c r="L61" s="32">
        <f>IF(L18=0,0,L18/TrRoad_act!L31*100)</f>
        <v>18.477182646248721</v>
      </c>
      <c r="M61" s="32">
        <f>IF(M18=0,0,M18/TrRoad_act!M31*100)</f>
        <v>19.438482229796136</v>
      </c>
      <c r="N61" s="32">
        <f>IF(N18=0,0,N18/TrRoad_act!N31*100)</f>
        <v>18.900135162067798</v>
      </c>
      <c r="O61" s="32">
        <f>IF(O18=0,0,O18/TrRoad_act!O31*100)</f>
        <v>17.476687950736821</v>
      </c>
      <c r="P61" s="32">
        <f>IF(P18=0,0,P18/TrRoad_act!P31*100)</f>
        <v>16.60502297529418</v>
      </c>
      <c r="Q61" s="32">
        <f>IF(Q18=0,0,Q18/TrRoad_act!Q31*100)</f>
        <v>15.842568480117942</v>
      </c>
      <c r="R61" s="32">
        <f>IF(R18=0,0,R18/TrRoad_act!R31*100)</f>
        <v>14.82458114702828</v>
      </c>
      <c r="S61" s="32">
        <f>IF(S18=0,0,S18/TrRoad_act!S31*100)</f>
        <v>14.469307915925475</v>
      </c>
      <c r="T61" s="32">
        <f>IF(T18=0,0,T18/TrRoad_act!T31*100)</f>
        <v>14.554221752329971</v>
      </c>
      <c r="U61" s="32">
        <f>IF(U18=0,0,U18/TrRoad_act!U31*100)</f>
        <v>13.921846029070231</v>
      </c>
      <c r="V61" s="32">
        <f>IF(V18=0,0,V18/TrRoad_act!V31*100)</f>
        <v>11.284968102991471</v>
      </c>
      <c r="W61" s="32">
        <f>IF(W18=0,0,W18/TrRoad_act!W31*100)</f>
        <v>12.115162699536878</v>
      </c>
      <c r="X61" s="32">
        <f>IF(X18=0,0,X18/TrRoad_act!X31*100)</f>
        <v>11.979116622105995</v>
      </c>
      <c r="Y61" s="32">
        <f>IF(Y18=0,0,Y18/TrRoad_act!Y31*100)</f>
        <v>12.025311837514879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5.0754458970948013</v>
      </c>
      <c r="C62" s="141">
        <f>IF(C19=0,0,C19/TrRoad_act!C32*100)</f>
        <v>4.9475466774171464</v>
      </c>
      <c r="D62" s="141">
        <f>IF(D19=0,0,D19/TrRoad_act!D32*100)</f>
        <v>4.8216360429161327</v>
      </c>
      <c r="E62" s="141">
        <f>IF(E19=0,0,E19/TrRoad_act!E32*100)</f>
        <v>4.7686017665638385</v>
      </c>
      <c r="F62" s="141">
        <f>IF(F19=0,0,F19/TrRoad_act!F32*100)</f>
        <v>4.705523873861237</v>
      </c>
      <c r="G62" s="141">
        <f>IF(G19=0,0,G19/TrRoad_act!G32*100)</f>
        <v>4.5807490069514376</v>
      </c>
      <c r="H62" s="141">
        <f>IF(H19=0,0,H19/TrRoad_act!H32*100)</f>
        <v>4.5210155999528308</v>
      </c>
      <c r="I62" s="141">
        <f>IF(I19=0,0,I19/TrRoad_act!I32*100)</f>
        <v>4.3666260640984236</v>
      </c>
      <c r="J62" s="141">
        <f>IF(J19=0,0,J19/TrRoad_act!J32*100)</f>
        <v>4.3544298418198784</v>
      </c>
      <c r="K62" s="141">
        <f>IF(K19=0,0,K19/TrRoad_act!K32*100)</f>
        <v>4.3085910719001923</v>
      </c>
      <c r="L62" s="141">
        <f>IF(L19=0,0,L19/TrRoad_act!L32*100)</f>
        <v>4.2499628267865175</v>
      </c>
      <c r="M62" s="141">
        <f>IF(M19=0,0,M19/TrRoad_act!M32*100)</f>
        <v>4.2035071528496122</v>
      </c>
      <c r="N62" s="141">
        <f>IF(N19=0,0,N19/TrRoad_act!N32*100)</f>
        <v>4.1541612870464233</v>
      </c>
      <c r="O62" s="141">
        <f>IF(O19=0,0,O19/TrRoad_act!O32*100)</f>
        <v>4.0917244168508082</v>
      </c>
      <c r="P62" s="141">
        <f>IF(P19=0,0,P19/TrRoad_act!P32*100)</f>
        <v>4.0341004318247036</v>
      </c>
      <c r="Q62" s="141">
        <f>IF(Q19=0,0,Q19/TrRoad_act!Q32*100)</f>
        <v>3.9856477583334597</v>
      </c>
      <c r="R62" s="141">
        <f>IF(R19=0,0,R19/TrRoad_act!R32*100)</f>
        <v>3.9344249563122284</v>
      </c>
      <c r="S62" s="141">
        <f>IF(S19=0,0,S19/TrRoad_act!S32*100)</f>
        <v>3.9992301268339636</v>
      </c>
      <c r="T62" s="141">
        <f>IF(T19=0,0,T19/TrRoad_act!T32*100)</f>
        <v>4.0089603863417453</v>
      </c>
      <c r="U62" s="141">
        <f>IF(U19=0,0,U19/TrRoad_act!U32*100)</f>
        <v>3.9497857740402194</v>
      </c>
      <c r="V62" s="141">
        <f>IF(V19=0,0,V19/TrRoad_act!V32*100)</f>
        <v>3.9099803008260618</v>
      </c>
      <c r="W62" s="141">
        <f>IF(W19=0,0,W19/TrRoad_act!W32*100)</f>
        <v>3.8898885941327448</v>
      </c>
      <c r="X62" s="141">
        <f>IF(X19=0,0,X19/TrRoad_act!X32*100)</f>
        <v>3.8520653549402555</v>
      </c>
      <c r="Y62" s="141">
        <f>IF(Y19=0,0,Y19/TrRoad_act!Y32*100)</f>
        <v>3.8114380819463745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21.534412048478043</v>
      </c>
      <c r="C63" s="130">
        <f>IF(C21=0,0,C21/TrRoad_act!C33*100)</f>
        <v>21.097753321164557</v>
      </c>
      <c r="D63" s="130">
        <f>IF(D21=0,0,D21/TrRoad_act!D33*100)</f>
        <v>21.002664723911639</v>
      </c>
      <c r="E63" s="130">
        <f>IF(E21=0,0,E21/TrRoad_act!E33*100)</f>
        <v>21.703940987603822</v>
      </c>
      <c r="F63" s="130">
        <f>IF(F21=0,0,F21/TrRoad_act!F33*100)</f>
        <v>21.569037127020305</v>
      </c>
      <c r="G63" s="130">
        <f>IF(G21=0,0,G21/TrRoad_act!G33*100)</f>
        <v>19.953063988567244</v>
      </c>
      <c r="H63" s="130">
        <f>IF(H21=0,0,H21/TrRoad_act!H33*100)</f>
        <v>18.57211809581624</v>
      </c>
      <c r="I63" s="130">
        <f>IF(I21=0,0,I21/TrRoad_act!I33*100)</f>
        <v>18.579699446963406</v>
      </c>
      <c r="J63" s="130">
        <f>IF(J21=0,0,J21/TrRoad_act!J33*100)</f>
        <v>18.455431740089239</v>
      </c>
      <c r="K63" s="130">
        <f>IF(K21=0,0,K21/TrRoad_act!K33*100)</f>
        <v>18.086193136537744</v>
      </c>
      <c r="L63" s="130">
        <f>IF(L21=0,0,L21/TrRoad_act!L33*100)</f>
        <v>18.21618221780912</v>
      </c>
      <c r="M63" s="130">
        <f>IF(M21=0,0,M21/TrRoad_act!M33*100)</f>
        <v>19.194572258715603</v>
      </c>
      <c r="N63" s="130">
        <f>IF(N21=0,0,N21/TrRoad_act!N33*100)</f>
        <v>18.658008158183964</v>
      </c>
      <c r="O63" s="130">
        <f>IF(O21=0,0,O21/TrRoad_act!O33*100)</f>
        <v>17.212078623028955</v>
      </c>
      <c r="P63" s="130">
        <f>IF(P21=0,0,P21/TrRoad_act!P33*100)</f>
        <v>16.34048906647449</v>
      </c>
      <c r="Q63" s="130">
        <f>IF(Q21=0,0,Q21/TrRoad_act!Q33*100)</f>
        <v>15.557598339167122</v>
      </c>
      <c r="R63" s="130">
        <f>IF(R21=0,0,R21/TrRoad_act!R33*100)</f>
        <v>14.526951135220372</v>
      </c>
      <c r="S63" s="130">
        <f>IF(S21=0,0,S21/TrRoad_act!S33*100)</f>
        <v>14.151678960260419</v>
      </c>
      <c r="T63" s="130">
        <f>IF(T21=0,0,T21/TrRoad_act!T33*100)</f>
        <v>14.239134735380851</v>
      </c>
      <c r="U63" s="130">
        <f>IF(U21=0,0,U21/TrRoad_act!U33*100)</f>
        <v>13.605620205178628</v>
      </c>
      <c r="V63" s="130">
        <f>IF(V21=0,0,V21/TrRoad_act!V33*100)</f>
        <v>10.902613759091139</v>
      </c>
      <c r="W63" s="130">
        <f>IF(W21=0,0,W21/TrRoad_act!W33*100)</f>
        <v>11.772952732464665</v>
      </c>
      <c r="X63" s="130">
        <f>IF(X21=0,0,X21/TrRoad_act!X33*100)</f>
        <v>11.676441273181124</v>
      </c>
      <c r="Y63" s="130">
        <f>IF(Y21=0,0,Y21/TrRoad_act!Y33*100)</f>
        <v>11.758769500922799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21.339238582868056</v>
      </c>
      <c r="C64" s="96">
        <f>IF(C22=0,0,C22/TrRoad_act!C34*100)</f>
        <v>21.289033844710314</v>
      </c>
      <c r="D64" s="96">
        <f>IF(D22=0,0,D22/TrRoad_act!D34*100)</f>
        <v>21.49307490411277</v>
      </c>
      <c r="E64" s="96">
        <f>IF(E22=0,0,E22/TrRoad_act!E34*100)</f>
        <v>22.527162379753101</v>
      </c>
      <c r="F64" s="96">
        <f>IF(F22=0,0,F22/TrRoad_act!F34*100)</f>
        <v>22.981294987155863</v>
      </c>
      <c r="G64" s="96">
        <f>IF(G22=0,0,G22/TrRoad_act!G34*100)</f>
        <v>21.711302760035192</v>
      </c>
      <c r="H64" s="96">
        <f>IF(H22=0,0,H22/TrRoad_act!H34*100)</f>
        <v>20.550172390462588</v>
      </c>
      <c r="I64" s="96">
        <f>IF(I22=0,0,I22/TrRoad_act!I34*100)</f>
        <v>20.617007774028391</v>
      </c>
      <c r="J64" s="96">
        <f>IF(J22=0,0,J22/TrRoad_act!J34*100)</f>
        <v>19.964797022902864</v>
      </c>
      <c r="K64" s="96">
        <f>IF(K22=0,0,K22/TrRoad_act!K34*100)</f>
        <v>19.336153482657277</v>
      </c>
      <c r="L64" s="96">
        <f>IF(L22=0,0,L22/TrRoad_act!L34*100)</f>
        <v>19.249786098750082</v>
      </c>
      <c r="M64" s="96">
        <f>IF(M22=0,0,M22/TrRoad_act!M34*100)</f>
        <v>19.771641859449765</v>
      </c>
      <c r="N64" s="96">
        <f>IF(N22=0,0,N22/TrRoad_act!N34*100)</f>
        <v>18.927715814048536</v>
      </c>
      <c r="O64" s="96">
        <f>IF(O22=0,0,O22/TrRoad_act!O34*100)</f>
        <v>17.458678546259254</v>
      </c>
      <c r="P64" s="96">
        <f>IF(P22=0,0,P22/TrRoad_act!P34*100)</f>
        <v>16.6634399769016</v>
      </c>
      <c r="Q64" s="96">
        <f>IF(Q22=0,0,Q22/TrRoad_act!Q34*100)</f>
        <v>15.608383851818658</v>
      </c>
      <c r="R64" s="96">
        <f>IF(R22=0,0,R22/TrRoad_act!R34*100)</f>
        <v>14.230531942873933</v>
      </c>
      <c r="S64" s="96">
        <f>IF(S22=0,0,S22/TrRoad_act!S34*100)</f>
        <v>13.68844292033779</v>
      </c>
      <c r="T64" s="96">
        <f>IF(T22=0,0,T22/TrRoad_act!T34*100)</f>
        <v>13.557464437092639</v>
      </c>
      <c r="U64" s="96">
        <f>IF(U22=0,0,U22/TrRoad_act!U34*100)</f>
        <v>13.091910043091607</v>
      </c>
      <c r="V64" s="96">
        <f>IF(V22=0,0,V22/TrRoad_act!V34*100)</f>
        <v>10.136158724121218</v>
      </c>
      <c r="W64" s="96">
        <f>IF(W22=0,0,W22/TrRoad_act!W34*100)</f>
        <v>11.634140487720721</v>
      </c>
      <c r="X64" s="96">
        <f>IF(X22=0,0,X22/TrRoad_act!X34*100)</f>
        <v>11.199858844443646</v>
      </c>
      <c r="Y64" s="96">
        <f>IF(Y22=0,0,Y22/TrRoad_act!Y34*100)</f>
        <v>11.858436314447664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22.304026639594422</v>
      </c>
      <c r="C65" s="96">
        <f>IF(C24=0,0,C24/TrRoad_act!C35*100)</f>
        <v>21.071704718485428</v>
      </c>
      <c r="D65" s="96">
        <f>IF(D24=0,0,D24/TrRoad_act!D35*100)</f>
        <v>20.491480535302788</v>
      </c>
      <c r="E65" s="96">
        <f>IF(E24=0,0,E24/TrRoad_act!E35*100)</f>
        <v>20.869688220734741</v>
      </c>
      <c r="F65" s="96">
        <f>IF(F24=0,0,F24/TrRoad_act!F35*100)</f>
        <v>20.201670764108538</v>
      </c>
      <c r="G65" s="96">
        <f>IF(G24=0,0,G24/TrRoad_act!G35*100)</f>
        <v>18.478687082484527</v>
      </c>
      <c r="H65" s="96">
        <f>IF(H24=0,0,H24/TrRoad_act!H35*100)</f>
        <v>17.059090672251681</v>
      </c>
      <c r="I65" s="96">
        <f>IF(I24=0,0,I24/TrRoad_act!I35*100)</f>
        <v>17.136075306439679</v>
      </c>
      <c r="J65" s="96">
        <f>IF(J24=0,0,J24/TrRoad_act!J35*100)</f>
        <v>17.46316842023543</v>
      </c>
      <c r="K65" s="96">
        <f>IF(K24=0,0,K24/TrRoad_act!K35*100)</f>
        <v>17.361603899016629</v>
      </c>
      <c r="L65" s="96">
        <f>IF(L24=0,0,L24/TrRoad_act!L35*100)</f>
        <v>17.675545537656923</v>
      </c>
      <c r="M65" s="96">
        <f>IF(M24=0,0,M24/TrRoad_act!M35*100)</f>
        <v>18.959228085395456</v>
      </c>
      <c r="N65" s="96">
        <f>IF(N24=0,0,N24/TrRoad_act!N35*100)</f>
        <v>18.563893441548849</v>
      </c>
      <c r="O65" s="96">
        <f>IF(O24=0,0,O24/TrRoad_act!O35*100)</f>
        <v>17.165432071658675</v>
      </c>
      <c r="P65" s="96">
        <f>IF(P24=0,0,P24/TrRoad_act!P35*100)</f>
        <v>16.265065991054321</v>
      </c>
      <c r="Q65" s="96">
        <f>IF(Q24=0,0,Q24/TrRoad_act!Q35*100)</f>
        <v>15.632533414951007</v>
      </c>
      <c r="R65" s="96">
        <f>IF(R24=0,0,R24/TrRoad_act!R35*100)</f>
        <v>14.780868710613152</v>
      </c>
      <c r="S65" s="96">
        <f>IF(S24=0,0,S24/TrRoad_act!S35*100)</f>
        <v>14.533057562630075</v>
      </c>
      <c r="T65" s="96">
        <f>IF(T24=0,0,T24/TrRoad_act!T35*100)</f>
        <v>14.803175816541009</v>
      </c>
      <c r="U65" s="96">
        <f>IF(U24=0,0,U24/TrRoad_act!U35*100)</f>
        <v>14.173805254646595</v>
      </c>
      <c r="V65" s="96">
        <f>IF(V24=0,0,V24/TrRoad_act!V35*100)</f>
        <v>11.781227877253087</v>
      </c>
      <c r="W65" s="96">
        <f>IF(W24=0,0,W24/TrRoad_act!W35*100)</f>
        <v>12.534649757756618</v>
      </c>
      <c r="X65" s="96">
        <f>IF(X24=0,0,X24/TrRoad_act!X35*100)</f>
        <v>13.149997758994203</v>
      </c>
      <c r="Y65" s="96">
        <f>IF(Y24=0,0,Y24/TrRoad_act!Y35*100)</f>
        <v>13.407529280928593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6.7748494775043451</v>
      </c>
      <c r="C66" s="96">
        <f>IF(C26=0,0,C26/TrRoad_act!C36*100)</f>
        <v>8.5614755241835301</v>
      </c>
      <c r="D66" s="96">
        <f>IF(D26=0,0,D26/TrRoad_act!D36*100)</f>
        <v>10.960182003635669</v>
      </c>
      <c r="E66" s="96">
        <f>IF(E26=0,0,E26/TrRoad_act!E36*100)</f>
        <v>8.7172155369829003</v>
      </c>
      <c r="F66" s="96">
        <f>IF(F26=0,0,F26/TrRoad_act!F36*100)</f>
        <v>9.2028607997977847</v>
      </c>
      <c r="G66" s="96">
        <f>IF(G26=0,0,G26/TrRoad_act!G36*100)</f>
        <v>6.3895820331839301</v>
      </c>
      <c r="H66" s="96">
        <f>IF(H26=0,0,H26/TrRoad_act!H36*100)</f>
        <v>6.4126356223705443</v>
      </c>
      <c r="I66" s="96">
        <f>IF(I26=0,0,I26/TrRoad_act!I36*100)</f>
        <v>13.459146027212096</v>
      </c>
      <c r="J66" s="96">
        <f>IF(J26=0,0,J26/TrRoad_act!J36*100)</f>
        <v>13.149871107340427</v>
      </c>
      <c r="K66" s="96">
        <f>IF(K26=0,0,K26/TrRoad_act!K36*100)</f>
        <v>8.3291197221863822</v>
      </c>
      <c r="L66" s="96">
        <f>IF(L26=0,0,L26/TrRoad_act!L36*100)</f>
        <v>8.7694198730246331</v>
      </c>
      <c r="M66" s="96">
        <f>IF(M26=0,0,M26/TrRoad_act!M36*100)</f>
        <v>4.2264419574229954</v>
      </c>
      <c r="N66" s="96">
        <f>IF(N26=0,0,N26/TrRoad_act!N36*100)</f>
        <v>11.5863187926957</v>
      </c>
      <c r="O66" s="96">
        <f>IF(O26=0,0,O26/TrRoad_act!O36*100)</f>
        <v>7.1690826422808955</v>
      </c>
      <c r="P66" s="96">
        <f>IF(P26=0,0,P26/TrRoad_act!P36*100)</f>
        <v>8.1817581751086657</v>
      </c>
      <c r="Q66" s="96">
        <f>IF(Q26=0,0,Q26/TrRoad_act!Q36*100)</f>
        <v>4.0588387581753089</v>
      </c>
      <c r="R66" s="96">
        <f>IF(R26=0,0,R26/TrRoad_act!R36*100)</f>
        <v>4.3610161630230726</v>
      </c>
      <c r="S66" s="96">
        <f>IF(S26=0,0,S26/TrRoad_act!S36*100)</f>
        <v>4.3482181042292121</v>
      </c>
      <c r="T66" s="96">
        <f>IF(T26=0,0,T26/TrRoad_act!T36*100)</f>
        <v>6.6075073289574719</v>
      </c>
      <c r="U66" s="96">
        <f>IF(U26=0,0,U26/TrRoad_act!U36*100)</f>
        <v>8.4376019711924801</v>
      </c>
      <c r="V66" s="96">
        <f>IF(V26=0,0,V26/TrRoad_act!V36*100)</f>
        <v>2.5122061199489587</v>
      </c>
      <c r="W66" s="96">
        <f>IF(W26=0,0,W26/TrRoad_act!W36*100)</f>
        <v>5.7544866984537091</v>
      </c>
      <c r="X66" s="96">
        <f>IF(X26=0,0,X26/TrRoad_act!X36*100)</f>
        <v>5.5050635607422604</v>
      </c>
      <c r="Y66" s="96">
        <f>IF(Y26=0,0,Y26/TrRoad_act!Y36*100)</f>
        <v>7.8867888908477362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X67" s="96">
        <f>IF(X27=0,0,X27/TrRoad_act!X37*100)</f>
        <v>0</v>
      </c>
      <c r="Y67" s="96">
        <f>IF(Y27=0,0,Y27/TrRoad_act!Y37*100)</f>
        <v>0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11.131002889509396</v>
      </c>
      <c r="O68" s="96">
        <f>IF(O29=0,0,O29/TrRoad_act!O38*100)</f>
        <v>10.806216736035532</v>
      </c>
      <c r="P68" s="96">
        <f>IF(P29=0,0,P29/TrRoad_act!P38*100)</f>
        <v>9.8923605902718652</v>
      </c>
      <c r="Q68" s="96">
        <f>IF(Q29=0,0,Q29/TrRoad_act!Q38*100)</f>
        <v>9.4858259528357571</v>
      </c>
      <c r="R68" s="96">
        <f>IF(R29=0,0,R29/TrRoad_act!R38*100)</f>
        <v>8.1266654404162146</v>
      </c>
      <c r="S68" s="96">
        <f>IF(S29=0,0,S29/TrRoad_act!S38*100)</f>
        <v>6.0950740630933664</v>
      </c>
      <c r="T68" s="96">
        <f>IF(T29=0,0,T29/TrRoad_act!T38*100)</f>
        <v>6.135088135563536</v>
      </c>
      <c r="U68" s="96">
        <f>IF(U29=0,0,U29/TrRoad_act!U38*100)</f>
        <v>6.1274847656414719</v>
      </c>
      <c r="V68" s="96">
        <f>IF(V29=0,0,V29/TrRoad_act!V38*100)</f>
        <v>4.7880047795311258</v>
      </c>
      <c r="W68" s="96">
        <f>IF(W29=0,0,W29/TrRoad_act!W38*100)</f>
        <v>4.9021412823861059</v>
      </c>
      <c r="X68" s="96">
        <f>IF(X29=0,0,X29/TrRoad_act!X38*100)</f>
        <v>4.6017219719329834</v>
      </c>
      <c r="Y68" s="96">
        <f>IF(Y29=0,0,Y29/TrRoad_act!Y38*100)</f>
        <v>4.6105120658030403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1.393820385850139</v>
      </c>
      <c r="K69" s="96">
        <f>IF(K32=0,0,K32/TrRoad_act!K39*100)</f>
        <v>1.3894570929709407</v>
      </c>
      <c r="L69" s="96">
        <f>IF(L32=0,0,L32/TrRoad_act!L39*100)</f>
        <v>1.3771975863074497</v>
      </c>
      <c r="M69" s="96">
        <f>IF(M32=0,0,M32/TrRoad_act!M39*100)</f>
        <v>1.3834795402098956</v>
      </c>
      <c r="N69" s="96">
        <f>IF(N32=0,0,N32/TrRoad_act!N39*100)</f>
        <v>1.3211245817370587</v>
      </c>
      <c r="O69" s="96">
        <f>IF(O32=0,0,O32/TrRoad_act!O39*100)</f>
        <v>1.3701929896303162</v>
      </c>
      <c r="P69" s="96">
        <f>IF(P32=0,0,P32/TrRoad_act!P39*100)</f>
        <v>1.3376776356675508</v>
      </c>
      <c r="Q69" s="96">
        <f>IF(Q32=0,0,Q32/TrRoad_act!Q39*100)</f>
        <v>1.3189123180464002</v>
      </c>
      <c r="R69" s="96">
        <f>IF(R32=0,0,R32/TrRoad_act!R39*100)</f>
        <v>1.2843731384396431</v>
      </c>
      <c r="S69" s="96">
        <f>IF(S32=0,0,S32/TrRoad_act!S39*100)</f>
        <v>1.308532110202743</v>
      </c>
      <c r="T69" s="96">
        <f>IF(T32=0,0,T32/TrRoad_act!T39*100)</f>
        <v>1.3892165837790535</v>
      </c>
      <c r="U69" s="96">
        <f>IF(U32=0,0,U32/TrRoad_act!U39*100)</f>
        <v>1.5203775768975507</v>
      </c>
      <c r="V69" s="96">
        <f>IF(V32=0,0,V32/TrRoad_act!V39*100)</f>
        <v>1.6241702134154483</v>
      </c>
      <c r="W69" s="96">
        <f>IF(W32=0,0,W32/TrRoad_act!W39*100)</f>
        <v>1.6133345511946939</v>
      </c>
      <c r="X69" s="96">
        <f>IF(X32=0,0,X32/TrRoad_act!X39*100)</f>
        <v>1.5957895766069166</v>
      </c>
      <c r="Y69" s="96">
        <f>IF(Y32=0,0,Y32/TrRoad_act!Y39*100)</f>
        <v>1.5824264597484661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62.800911893387315</v>
      </c>
      <c r="C70" s="130">
        <f>IF(C33=0,0,C33/TrRoad_act!C40*100)</f>
        <v>59.305118219472334</v>
      </c>
      <c r="D70" s="130">
        <f>IF(D33=0,0,D33/TrRoad_act!D40*100)</f>
        <v>58.514318590506818</v>
      </c>
      <c r="E70" s="130">
        <f>IF(E33=0,0,E33/TrRoad_act!E40*100)</f>
        <v>57.395959828655798</v>
      </c>
      <c r="F70" s="130">
        <f>IF(F33=0,0,F33/TrRoad_act!F40*100)</f>
        <v>56.548742828845057</v>
      </c>
      <c r="G70" s="130">
        <f>IF(G33=0,0,G33/TrRoad_act!G40*100)</f>
        <v>55.750757523295334</v>
      </c>
      <c r="H70" s="130">
        <f>IF(H33=0,0,H33/TrRoad_act!H40*100)</f>
        <v>54.909370540750523</v>
      </c>
      <c r="I70" s="130">
        <f>IF(I33=0,0,I33/TrRoad_act!I40*100)</f>
        <v>54.357042910508881</v>
      </c>
      <c r="J70" s="130">
        <f>IF(J33=0,0,J33/TrRoad_act!J40*100)</f>
        <v>53.792458224933114</v>
      </c>
      <c r="K70" s="130">
        <f>IF(K33=0,0,K33/TrRoad_act!K40*100)</f>
        <v>53.348880272875007</v>
      </c>
      <c r="L70" s="130">
        <f>IF(L33=0,0,L33/TrRoad_act!L40*100)</f>
        <v>53.015280941529532</v>
      </c>
      <c r="M70" s="130">
        <f>IF(M33=0,0,M33/TrRoad_act!M40*100)</f>
        <v>53.198043800373362</v>
      </c>
      <c r="N70" s="130">
        <f>IF(N33=0,0,N33/TrRoad_act!N40*100)</f>
        <v>53.420275496487115</v>
      </c>
      <c r="O70" s="130">
        <f>IF(O33=0,0,O33/TrRoad_act!O40*100)</f>
        <v>53.666840004985858</v>
      </c>
      <c r="P70" s="130">
        <f>IF(P33=0,0,P33/TrRoad_act!P40*100)</f>
        <v>53.929651797055598</v>
      </c>
      <c r="Q70" s="130">
        <f>IF(Q33=0,0,Q33/TrRoad_act!Q40*100)</f>
        <v>54.368380692990378</v>
      </c>
      <c r="R70" s="130">
        <f>IF(R33=0,0,R33/TrRoad_act!R40*100)</f>
        <v>54.686489638598765</v>
      </c>
      <c r="S70" s="130">
        <f>IF(S33=0,0,S33/TrRoad_act!S40*100)</f>
        <v>54.832026938447633</v>
      </c>
      <c r="T70" s="130">
        <f>IF(T33=0,0,T33/TrRoad_act!T40*100)</f>
        <v>54.508603654977684</v>
      </c>
      <c r="U70" s="130">
        <f>IF(U33=0,0,U33/TrRoad_act!U40*100)</f>
        <v>53.305092581812396</v>
      </c>
      <c r="V70" s="130">
        <f>IF(V33=0,0,V33/TrRoad_act!V40*100)</f>
        <v>52.422574904044325</v>
      </c>
      <c r="W70" s="130">
        <f>IF(W33=0,0,W33/TrRoad_act!W40*100)</f>
        <v>51.496397599931264</v>
      </c>
      <c r="X70" s="130">
        <f>IF(X33=0,0,X33/TrRoad_act!X40*100)</f>
        <v>48.683268447697472</v>
      </c>
      <c r="Y70" s="130">
        <f>IF(Y33=0,0,Y33/TrRoad_act!Y40*100)</f>
        <v>46.72582796354677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13.405331435736882</v>
      </c>
      <c r="U71" s="97">
        <f>IF(U34=0,0,U34/TrRoad_act!U41*100)</f>
        <v>13.405331435736878</v>
      </c>
      <c r="V71" s="97">
        <f>IF(V34=0,0,V34/TrRoad_act!V41*100)</f>
        <v>13.405331435736878</v>
      </c>
      <c r="W71" s="97">
        <f>IF(W34=0,0,W34/TrRoad_act!W41*100)</f>
        <v>12.993077951513781</v>
      </c>
      <c r="X71" s="97">
        <f>IF(X34=0,0,X34/TrRoad_act!X41*100)</f>
        <v>12.777564757151225</v>
      </c>
      <c r="Y71" s="97">
        <f>IF(Y34=0,0,Y34/TrRoad_act!Y41*100)</f>
        <v>12.777564757151225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62.800911893387315</v>
      </c>
      <c r="C72" s="97">
        <f>IF(C36=0,0,C36/TrRoad_act!C42*100)</f>
        <v>59.305118219472334</v>
      </c>
      <c r="D72" s="97">
        <f>IF(D36=0,0,D36/TrRoad_act!D42*100)</f>
        <v>58.514318590506818</v>
      </c>
      <c r="E72" s="97">
        <f>IF(E36=0,0,E36/TrRoad_act!E42*100)</f>
        <v>57.440042170442737</v>
      </c>
      <c r="F72" s="97">
        <f>IF(F36=0,0,F36/TrRoad_act!F42*100)</f>
        <v>56.589926905921708</v>
      </c>
      <c r="G72" s="97">
        <f>IF(G36=0,0,G36/TrRoad_act!G42*100)</f>
        <v>55.788412678579625</v>
      </c>
      <c r="H72" s="97">
        <f>IF(H36=0,0,H36/TrRoad_act!H42*100)</f>
        <v>54.944532460521586</v>
      </c>
      <c r="I72" s="97">
        <f>IF(I36=0,0,I36/TrRoad_act!I42*100)</f>
        <v>54.389614230818673</v>
      </c>
      <c r="J72" s="97">
        <f>IF(J36=0,0,J36/TrRoad_act!J42*100)</f>
        <v>53.822347075260538</v>
      </c>
      <c r="K72" s="97">
        <f>IF(K36=0,0,K36/TrRoad_act!K42*100)</f>
        <v>53.367507317195503</v>
      </c>
      <c r="L72" s="97">
        <f>IF(L36=0,0,L36/TrRoad_act!L42*100)</f>
        <v>53.032908201969128</v>
      </c>
      <c r="M72" s="97">
        <f>IF(M36=0,0,M36/TrRoad_act!M42*100)</f>
        <v>53.215530742410166</v>
      </c>
      <c r="N72" s="97">
        <f>IF(N36=0,0,N36/TrRoad_act!N42*100)</f>
        <v>53.438159780643971</v>
      </c>
      <c r="O72" s="97">
        <f>IF(O36=0,0,O36/TrRoad_act!O42*100)</f>
        <v>53.68505322464047</v>
      </c>
      <c r="P72" s="97">
        <f>IF(P36=0,0,P36/TrRoad_act!P42*100)</f>
        <v>53.948422898622383</v>
      </c>
      <c r="Q72" s="97">
        <f>IF(Q36=0,0,Q36/TrRoad_act!Q42*100)</f>
        <v>54.387313653646089</v>
      </c>
      <c r="R72" s="97">
        <f>IF(R36=0,0,R36/TrRoad_act!R42*100)</f>
        <v>54.705564063167131</v>
      </c>
      <c r="S72" s="97">
        <f>IF(S36=0,0,S36/TrRoad_act!S42*100)</f>
        <v>54.951339588850622</v>
      </c>
      <c r="T72" s="97">
        <f>IF(T36=0,0,T36/TrRoad_act!T42*100)</f>
        <v>55.012956595624672</v>
      </c>
      <c r="U72" s="97">
        <f>IF(U36=0,0,U36/TrRoad_act!U42*100)</f>
        <v>54.922113623188963</v>
      </c>
      <c r="V72" s="97">
        <f>IF(V36=0,0,V36/TrRoad_act!V42*100)</f>
        <v>54.622072643525243</v>
      </c>
      <c r="W72" s="97">
        <f>IF(W36=0,0,W36/TrRoad_act!W42*100)</f>
        <v>54.192042057471298</v>
      </c>
      <c r="X72" s="97">
        <f>IF(X36=0,0,X36/TrRoad_act!X42*100)</f>
        <v>53.655938999072582</v>
      </c>
      <c r="Y72" s="97">
        <f>IF(Y36=0,0,Y36/TrRoad_act!Y42*100)</f>
        <v>52.772320762117417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X74" s="97">
        <f>IF(X39=0,0,X39/TrRoad_act!X44*100)</f>
        <v>0</v>
      </c>
      <c r="Y74" s="97">
        <f>IF(Y39=0,0,Y39/TrRoad_act!Y44*100)</f>
        <v>0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41.084381665990264</v>
      </c>
      <c r="F75" s="97">
        <f>IF(F41=0,0,F41/TrRoad_act!F45*100)</f>
        <v>41.084381665990264</v>
      </c>
      <c r="G75" s="97">
        <f>IF(G41=0,0,G41/TrRoad_act!G45*100)</f>
        <v>41.084381665990264</v>
      </c>
      <c r="H75" s="97">
        <f>IF(H41=0,0,H41/TrRoad_act!H45*100)</f>
        <v>41.084381665990264</v>
      </c>
      <c r="I75" s="97">
        <f>IF(I41=0,0,I41/TrRoad_act!I45*100)</f>
        <v>41.084381665990264</v>
      </c>
      <c r="J75" s="97">
        <f>IF(J41=0,0,J41/TrRoad_act!J45*100)</f>
        <v>41.084381665990264</v>
      </c>
      <c r="K75" s="97">
        <f>IF(K41=0,0,K41/TrRoad_act!K45*100)</f>
        <v>41.084381665990257</v>
      </c>
      <c r="L75" s="97">
        <f>IF(L41=0,0,L41/TrRoad_act!L45*100)</f>
        <v>41.084381665990264</v>
      </c>
      <c r="M75" s="97">
        <f>IF(M41=0,0,M41/TrRoad_act!M45*100)</f>
        <v>41.084381665990257</v>
      </c>
      <c r="N75" s="97">
        <f>IF(N41=0,0,N41/TrRoad_act!N45*100)</f>
        <v>41.084381665990257</v>
      </c>
      <c r="O75" s="97">
        <f>IF(O41=0,0,O41/TrRoad_act!O45*100)</f>
        <v>41.084381665990271</v>
      </c>
      <c r="P75" s="97">
        <f>IF(P41=0,0,P41/TrRoad_act!P45*100)</f>
        <v>41.084381665990271</v>
      </c>
      <c r="Q75" s="97">
        <f>IF(Q41=0,0,Q41/TrRoad_act!Q45*100)</f>
        <v>41.084381665990257</v>
      </c>
      <c r="R75" s="97">
        <f>IF(R41=0,0,R41/TrRoad_act!R45*100)</f>
        <v>41.084381665990264</v>
      </c>
      <c r="S75" s="97">
        <f>IF(S41=0,0,S41/TrRoad_act!S45*100)</f>
        <v>32.960721957442821</v>
      </c>
      <c r="T75" s="97">
        <f>IF(T41=0,0,T41/TrRoad_act!T45*100)</f>
        <v>32.257539165989535</v>
      </c>
      <c r="U75" s="97">
        <f>IF(U41=0,0,U41/TrRoad_act!U45*100)</f>
        <v>31.447924621927903</v>
      </c>
      <c r="V75" s="97">
        <f>IF(V41=0,0,V41/TrRoad_act!V45*100)</f>
        <v>31.045636787587167</v>
      </c>
      <c r="W75" s="97">
        <f>IF(W41=0,0,W41/TrRoad_act!W45*100)</f>
        <v>30.688429950322512</v>
      </c>
      <c r="X75" s="97">
        <f>IF(X41=0,0,X41/TrRoad_act!X45*100)</f>
        <v>29.39457522279308</v>
      </c>
      <c r="Y75" s="97">
        <f>IF(Y41=0,0,Y41/TrRoad_act!Y45*100)</f>
        <v>28.839388316971519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163.48930491517007</v>
      </c>
      <c r="C76" s="32">
        <f>IF(C42=0,0,C42/TrRoad_act!C46*100)</f>
        <v>163.64203209195159</v>
      </c>
      <c r="D76" s="32">
        <f>IF(D42=0,0,D42/TrRoad_act!D46*100)</f>
        <v>160.32051974123965</v>
      </c>
      <c r="E76" s="32">
        <f>IF(E42=0,0,E42/TrRoad_act!E46*100)</f>
        <v>181.27431041807128</v>
      </c>
      <c r="F76" s="32">
        <f>IF(F42=0,0,F42/TrRoad_act!F46*100)</f>
        <v>229.09848260875424</v>
      </c>
      <c r="G76" s="32">
        <f>IF(G42=0,0,G42/TrRoad_act!G46*100)</f>
        <v>251.37888997066881</v>
      </c>
      <c r="H76" s="32">
        <f>IF(H42=0,0,H42/TrRoad_act!H46*100)</f>
        <v>229.11243106738888</v>
      </c>
      <c r="I76" s="32">
        <f>IF(I42=0,0,I42/TrRoad_act!I46*100)</f>
        <v>204.04126665625947</v>
      </c>
      <c r="J76" s="32">
        <f>IF(J42=0,0,J42/TrRoad_act!J46*100)</f>
        <v>194.74418860340063</v>
      </c>
      <c r="K76" s="32">
        <f>IF(K42=0,0,K42/TrRoad_act!K46*100)</f>
        <v>181.10946079738679</v>
      </c>
      <c r="L76" s="32">
        <f>IF(L42=0,0,L42/TrRoad_act!L46*100)</f>
        <v>194.82561239540169</v>
      </c>
      <c r="M76" s="32">
        <f>IF(M42=0,0,M42/TrRoad_act!M46*100)</f>
        <v>196.17327856836019</v>
      </c>
      <c r="N76" s="32">
        <f>IF(N42=0,0,N42/TrRoad_act!N46*100)</f>
        <v>165.06964898867164</v>
      </c>
      <c r="O76" s="32">
        <f>IF(O42=0,0,O42/TrRoad_act!O46*100)</f>
        <v>168.80225876229355</v>
      </c>
      <c r="P76" s="32">
        <f>IF(P42=0,0,P42/TrRoad_act!P46*100)</f>
        <v>145.87747665777545</v>
      </c>
      <c r="Q76" s="32">
        <f>IF(Q42=0,0,Q42/TrRoad_act!Q46*100)</f>
        <v>133.81647807882976</v>
      </c>
      <c r="R76" s="32">
        <f>IF(R42=0,0,R42/TrRoad_act!R46*100)</f>
        <v>123.11908876275382</v>
      </c>
      <c r="S76" s="32">
        <f>IF(S42=0,0,S42/TrRoad_act!S46*100)</f>
        <v>126.30646707879214</v>
      </c>
      <c r="T76" s="32">
        <f>IF(T42=0,0,T42/TrRoad_act!T46*100)</f>
        <v>133.86585541327207</v>
      </c>
      <c r="U76" s="32">
        <f>IF(U42=0,0,U42/TrRoad_act!U46*100)</f>
        <v>138.63593009614681</v>
      </c>
      <c r="V76" s="32">
        <f>IF(V42=0,0,V42/TrRoad_act!V46*100)</f>
        <v>109.46483693087204</v>
      </c>
      <c r="W76" s="32">
        <f>IF(W42=0,0,W42/TrRoad_act!W46*100)</f>
        <v>105.69089994875149</v>
      </c>
      <c r="X76" s="32">
        <f>IF(X42=0,0,X42/TrRoad_act!X46*100)</f>
        <v>86.063165313057183</v>
      </c>
      <c r="Y76" s="32">
        <f>IF(Y42=0,0,Y42/TrRoad_act!Y46*100)</f>
        <v>78.763071549309018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11.983252235297059</v>
      </c>
      <c r="C77" s="141">
        <f>IF(C43=0,0,C43/TrRoad_act!C47*100)</f>
        <v>11.557268198919582</v>
      </c>
      <c r="D77" s="141">
        <f>IF(D43=0,0,D43/TrRoad_act!D47*100)</f>
        <v>11.232281797303164</v>
      </c>
      <c r="E77" s="141">
        <f>IF(E43=0,0,E43/TrRoad_act!E47*100)</f>
        <v>11.007902806215094</v>
      </c>
      <c r="F77" s="141">
        <f>IF(F43=0,0,F43/TrRoad_act!F47*100)</f>
        <v>10.786163740963062</v>
      </c>
      <c r="G77" s="141">
        <f>IF(G43=0,0,G43/TrRoad_act!G47*100)</f>
        <v>10.602373503571503</v>
      </c>
      <c r="H77" s="141">
        <f>IF(H43=0,0,H43/TrRoad_act!H47*100)</f>
        <v>10.43861611007144</v>
      </c>
      <c r="I77" s="141">
        <f>IF(I43=0,0,I43/TrRoad_act!I47*100)</f>
        <v>10.291580463243085</v>
      </c>
      <c r="J77" s="141">
        <f>IF(J43=0,0,J43/TrRoad_act!J47*100)</f>
        <v>10.155197295463065</v>
      </c>
      <c r="K77" s="141">
        <f>IF(K43=0,0,K43/TrRoad_act!K47*100)</f>
        <v>10.132236024283443</v>
      </c>
      <c r="L77" s="141">
        <f>IF(L43=0,0,L43/TrRoad_act!L47*100)</f>
        <v>10.116592321424102</v>
      </c>
      <c r="M77" s="141">
        <f>IF(M43=0,0,M43/TrRoad_act!M47*100)</f>
        <v>10.135515399390849</v>
      </c>
      <c r="N77" s="141">
        <f>IF(N43=0,0,N43/TrRoad_act!N47*100)</f>
        <v>10.021865738366326</v>
      </c>
      <c r="O77" s="141">
        <f>IF(O43=0,0,O43/TrRoad_act!O47*100)</f>
        <v>9.9021780743768417</v>
      </c>
      <c r="P77" s="141">
        <f>IF(P43=0,0,P43/TrRoad_act!P47*100)</f>
        <v>9.7959492738822629</v>
      </c>
      <c r="Q77" s="141">
        <f>IF(Q43=0,0,Q43/TrRoad_act!Q47*100)</f>
        <v>9.6549040603461211</v>
      </c>
      <c r="R77" s="141">
        <f>IF(R43=0,0,R43/TrRoad_act!R47*100)</f>
        <v>9.5048048130498906</v>
      </c>
      <c r="S77" s="141">
        <f>IF(S43=0,0,S43/TrRoad_act!S47*100)</f>
        <v>9.3060198422583706</v>
      </c>
      <c r="T77" s="141">
        <f>IF(T43=0,0,T43/TrRoad_act!T47*100)</f>
        <v>9.1627811290397343</v>
      </c>
      <c r="U77" s="141">
        <f>IF(U43=0,0,U43/TrRoad_act!U47*100)</f>
        <v>9.0373400452023365</v>
      </c>
      <c r="V77" s="141">
        <f>IF(V43=0,0,V43/TrRoad_act!V47*100)</f>
        <v>9.0113123825739727</v>
      </c>
      <c r="W77" s="141">
        <f>IF(W43=0,0,W43/TrRoad_act!W47*100)</f>
        <v>8.9308869088857641</v>
      </c>
      <c r="X77" s="141">
        <f>IF(X43=0,0,X43/TrRoad_act!X47*100)</f>
        <v>8.8581513983997002</v>
      </c>
      <c r="Y77" s="141">
        <f>IF(Y43=0,0,Y43/TrRoad_act!Y47*100)</f>
        <v>8.7718930957252219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10.859548469333431</v>
      </c>
      <c r="C78" s="96">
        <f>IF(C44=0,0,C44/TrRoad_act!C48*100)</f>
        <v>10.823590301199483</v>
      </c>
      <c r="D78" s="96">
        <f>IF(D44=0,0,D44/TrRoad_act!D48*100)</f>
        <v>10.725048847802192</v>
      </c>
      <c r="E78" s="96">
        <f>IF(E44=0,0,E44/TrRoad_act!E48*100)</f>
        <v>10.552471868278145</v>
      </c>
      <c r="F78" s="96">
        <f>IF(F44=0,0,F44/TrRoad_act!F48*100)</f>
        <v>10.375496310168977</v>
      </c>
      <c r="G78" s="96">
        <f>IF(G44=0,0,G44/TrRoad_act!G48*100)</f>
        <v>10.162685186025772</v>
      </c>
      <c r="H78" s="96">
        <f>IF(H44=0,0,H44/TrRoad_act!H48*100)</f>
        <v>9.9315225277725911</v>
      </c>
      <c r="I78" s="96">
        <f>IF(I44=0,0,I44/TrRoad_act!I48*100)</f>
        <v>9.6594330125646408</v>
      </c>
      <c r="J78" s="96">
        <f>IF(J44=0,0,J44/TrRoad_act!J48*100)</f>
        <v>9.3539397889992522</v>
      </c>
      <c r="K78" s="96">
        <f>IF(K44=0,0,K44/TrRoad_act!K48*100)</f>
        <v>9.0435471735342077</v>
      </c>
      <c r="L78" s="96">
        <f>IF(L44=0,0,L44/TrRoad_act!L48*100)</f>
        <v>8.8705254973713004</v>
      </c>
      <c r="M78" s="96">
        <f>IF(M44=0,0,M44/TrRoad_act!M48*100)</f>
        <v>8.7351897196378196</v>
      </c>
      <c r="N78" s="96">
        <f>IF(N44=0,0,N44/TrRoad_act!N48*100)</f>
        <v>8.6158185053600249</v>
      </c>
      <c r="O78" s="96">
        <f>IF(O44=0,0,O44/TrRoad_act!O48*100)</f>
        <v>8.6163673492568975</v>
      </c>
      <c r="P78" s="96">
        <f>IF(P44=0,0,P44/TrRoad_act!P48*100)</f>
        <v>8.6349439012784561</v>
      </c>
      <c r="Q78" s="96">
        <f>IF(Q44=0,0,Q44/TrRoad_act!Q48*100)</f>
        <v>8.6209543910416695</v>
      </c>
      <c r="R78" s="96">
        <f>IF(R44=0,0,R44/TrRoad_act!R48*100)</f>
        <v>8.532297654826376</v>
      </c>
      <c r="S78" s="96">
        <f>IF(S44=0,0,S44/TrRoad_act!S48*100)</f>
        <v>8.4023225226352558</v>
      </c>
      <c r="T78" s="96">
        <f>IF(T44=0,0,T44/TrRoad_act!T48*100)</f>
        <v>8.3129845229572386</v>
      </c>
      <c r="U78" s="96">
        <f>IF(U44=0,0,U44/TrRoad_act!U48*100)</f>
        <v>8.2996820879864703</v>
      </c>
      <c r="V78" s="96">
        <f>IF(V44=0,0,V44/TrRoad_act!V48*100)</f>
        <v>8.246803769387121</v>
      </c>
      <c r="W78" s="96">
        <f>IF(W44=0,0,W44/TrRoad_act!W48*100)</f>
        <v>8.1288236741644742</v>
      </c>
      <c r="X78" s="96">
        <f>IF(X44=0,0,X44/TrRoad_act!X48*100)</f>
        <v>8.0573713092034218</v>
      </c>
      <c r="Y78" s="96">
        <f>IF(Y44=0,0,Y44/TrRoad_act!Y48*100)</f>
        <v>8.2456706940279858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12.110652818695012</v>
      </c>
      <c r="C79" s="96">
        <f>IF(C46=0,0,C46/TrRoad_act!C49*100)</f>
        <v>11.625672004551502</v>
      </c>
      <c r="D79" s="96">
        <f>IF(D46=0,0,D46/TrRoad_act!D49*100)</f>
        <v>11.272103102866797</v>
      </c>
      <c r="E79" s="96">
        <f>IF(E46=0,0,E46/TrRoad_act!E49*100)</f>
        <v>11.038674913925171</v>
      </c>
      <c r="F79" s="96">
        <f>IF(F46=0,0,F46/TrRoad_act!F49*100)</f>
        <v>10.809409495037126</v>
      </c>
      <c r="G79" s="96">
        <f>IF(G46=0,0,G46/TrRoad_act!G49*100)</f>
        <v>10.623147832199571</v>
      </c>
      <c r="H79" s="96">
        <f>IF(H46=0,0,H46/TrRoad_act!H49*100)</f>
        <v>10.459288044334341</v>
      </c>
      <c r="I79" s="96">
        <f>IF(I46=0,0,I46/TrRoad_act!I49*100)</f>
        <v>10.313955237585303</v>
      </c>
      <c r="J79" s="96">
        <f>IF(J46=0,0,J46/TrRoad_act!J49*100)</f>
        <v>10.180654641501082</v>
      </c>
      <c r="K79" s="96">
        <f>IF(K46=0,0,K46/TrRoad_act!K49*100)</f>
        <v>10.164544818248674</v>
      </c>
      <c r="L79" s="96">
        <f>IF(L46=0,0,L46/TrRoad_act!L49*100)</f>
        <v>10.150887511708691</v>
      </c>
      <c r="M79" s="96">
        <f>IF(M46=0,0,M46/TrRoad_act!M49*100)</f>
        <v>10.170819476058512</v>
      </c>
      <c r="N79" s="96">
        <f>IF(N46=0,0,N46/TrRoad_act!N49*100)</f>
        <v>10.058185900036772</v>
      </c>
      <c r="O79" s="96">
        <f>IF(O46=0,0,O46/TrRoad_act!O49*100)</f>
        <v>9.9402306042723101</v>
      </c>
      <c r="P79" s="96">
        <f>IF(P46=0,0,P46/TrRoad_act!P49*100)</f>
        <v>9.8292524064709088</v>
      </c>
      <c r="Q79" s="96">
        <f>IF(Q46=0,0,Q46/TrRoad_act!Q49*100)</f>
        <v>9.6929439218429785</v>
      </c>
      <c r="R79" s="96">
        <f>IF(R46=0,0,R46/TrRoad_act!R49*100)</f>
        <v>9.5418822118901687</v>
      </c>
      <c r="S79" s="96">
        <f>IF(S46=0,0,S46/TrRoad_act!S49*100)</f>
        <v>9.3464803472002984</v>
      </c>
      <c r="T79" s="96">
        <f>IF(T46=0,0,T46/TrRoad_act!T49*100)</f>
        <v>9.2064157617647471</v>
      </c>
      <c r="U79" s="96">
        <f>IF(U46=0,0,U46/TrRoad_act!U49*100)</f>
        <v>9.081349706909041</v>
      </c>
      <c r="V79" s="96">
        <f>IF(V46=0,0,V46/TrRoad_act!V49*100)</f>
        <v>9.0674217706059625</v>
      </c>
      <c r="W79" s="96">
        <f>IF(W46=0,0,W46/TrRoad_act!W49*100)</f>
        <v>8.9991455667827545</v>
      </c>
      <c r="X79" s="96">
        <f>IF(X46=0,0,X46/TrRoad_act!X49*100)</f>
        <v>8.96453746934157</v>
      </c>
      <c r="Y79" s="96">
        <f>IF(Y46=0,0,Y46/TrRoad_act!Y49*100)</f>
        <v>8.9188323755706769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12.467967128952893</v>
      </c>
      <c r="P80" s="96">
        <f>IF(P48=0,0,P48/TrRoad_act!P50*100)</f>
        <v>14.151449608716154</v>
      </c>
      <c r="Q80" s="96">
        <f>IF(Q48=0,0,Q48/TrRoad_act!Q50*100)</f>
        <v>10.587765098492246</v>
      </c>
      <c r="R80" s="96">
        <f>IF(R48=0,0,R48/TrRoad_act!R50*100)</f>
        <v>10.585731269299453</v>
      </c>
      <c r="S80" s="96">
        <f>IF(S48=0,0,S48/TrRoad_act!S50*100)</f>
        <v>10.394638811688489</v>
      </c>
      <c r="T80" s="96">
        <f>IF(T48=0,0,T48/TrRoad_act!T50*100)</f>
        <v>11.959765080189337</v>
      </c>
      <c r="U80" s="96">
        <f>IF(U48=0,0,U48/TrRoad_act!U50*100)</f>
        <v>13.059258711377405</v>
      </c>
      <c r="V80" s="96">
        <f>IF(V48=0,0,V48/TrRoad_act!V50*100)</f>
        <v>8.3489802480709532</v>
      </c>
      <c r="W80" s="96">
        <f>IF(W48=0,0,W48/TrRoad_act!W50*100)</f>
        <v>9.1629117313760613</v>
      </c>
      <c r="X80" s="96">
        <f>IF(X48=0,0,X48/TrRoad_act!X50*100)</f>
        <v>8.9041404463111284</v>
      </c>
      <c r="Y80" s="96">
        <f>IF(Y48=0,0,Y48/TrRoad_act!Y50*100)</f>
        <v>12.938234145357871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X81" s="96">
        <f>IF(X49=0,0,X49/TrRoad_act!X51*100)</f>
        <v>0</v>
      </c>
      <c r="Y81" s="96">
        <f>IF(Y49=0,0,Y49/TrRoad_act!Y51*100)</f>
        <v>0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1.6111481208204665</v>
      </c>
      <c r="I82" s="96">
        <f>IF(I51=0,0,I51/TrRoad_act!I52*100)</f>
        <v>1.6114636544922116</v>
      </c>
      <c r="J82" s="96">
        <f>IF(J51=0,0,J51/TrRoad_act!J52*100)</f>
        <v>1.6114636544922118</v>
      </c>
      <c r="K82" s="96">
        <f>IF(K51=0,0,K51/TrRoad_act!K52*100)</f>
        <v>1.6183910502738212</v>
      </c>
      <c r="L82" s="96">
        <f>IF(L51=0,0,L51/TrRoad_act!L52*100)</f>
        <v>1.6183910502738208</v>
      </c>
      <c r="M82" s="96">
        <f>IF(M51=0,0,M51/TrRoad_act!M52*100)</f>
        <v>1.6183910502738208</v>
      </c>
      <c r="N82" s="96">
        <f>IF(N51=0,0,N51/TrRoad_act!N52*100)</f>
        <v>1.6414580458882149</v>
      </c>
      <c r="O82" s="96">
        <f>IF(O51=0,0,O51/TrRoad_act!O52*100)</f>
        <v>1.5875958328629198</v>
      </c>
      <c r="P82" s="96">
        <f>IF(P51=0,0,P51/TrRoad_act!P52*100)</f>
        <v>1.5889220529752712</v>
      </c>
      <c r="Q82" s="96">
        <f>IF(Q51=0,0,Q51/TrRoad_act!Q52*100)</f>
        <v>1.6170617670036229</v>
      </c>
      <c r="R82" s="96">
        <f>IF(R51=0,0,R51/TrRoad_act!R52*100)</f>
        <v>1.6364201655467072</v>
      </c>
      <c r="S82" s="96">
        <f>IF(S51=0,0,S51/TrRoad_act!S52*100)</f>
        <v>1.6682615551990971</v>
      </c>
      <c r="T82" s="96">
        <f>IF(T51=0,0,T51/TrRoad_act!T52*100)</f>
        <v>1.7288501606816635</v>
      </c>
      <c r="U82" s="96">
        <f>IF(U51=0,0,U51/TrRoad_act!U52*100)</f>
        <v>1.9676931534101814</v>
      </c>
      <c r="V82" s="96">
        <f>IF(V51=0,0,V51/TrRoad_act!V52*100)</f>
        <v>2.1280789409084417</v>
      </c>
      <c r="W82" s="96">
        <f>IF(W51=0,0,W51/TrRoad_act!W52*100)</f>
        <v>2.2760670325674024</v>
      </c>
      <c r="X82" s="96">
        <f>IF(X51=0,0,X51/TrRoad_act!X52*100)</f>
        <v>2.5935896501341467</v>
      </c>
      <c r="Y82" s="96">
        <f>IF(Y51=0,0,Y51/TrRoad_act!Y52*100)</f>
        <v>2.6560077389802412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478.78345737117724</v>
      </c>
      <c r="C83" s="130">
        <f>IF(C52=0,0,C52/TrRoad_act!C53*100)</f>
        <v>469.5246235949287</v>
      </c>
      <c r="D83" s="130">
        <f>IF(D52=0,0,D52/TrRoad_act!D53*100)</f>
        <v>450.25952254577157</v>
      </c>
      <c r="E83" s="130">
        <f>IF(E52=0,0,E52/TrRoad_act!E53*100)</f>
        <v>526.14303041353128</v>
      </c>
      <c r="F83" s="130">
        <f>IF(F52=0,0,F52/TrRoad_act!F53*100)</f>
        <v>662.28259104013944</v>
      </c>
      <c r="G83" s="130">
        <f>IF(G52=0,0,G52/TrRoad_act!G53*100)</f>
        <v>758.8506605767916</v>
      </c>
      <c r="H83" s="130">
        <f>IF(H52=0,0,H52/TrRoad_act!H53*100)</f>
        <v>700.69401648409087</v>
      </c>
      <c r="I83" s="130">
        <f>IF(I52=0,0,I52/TrRoad_act!I53*100)</f>
        <v>642.65554580723358</v>
      </c>
      <c r="J83" s="130">
        <f>IF(J52=0,0,J52/TrRoad_act!J53*100)</f>
        <v>618.03375173485097</v>
      </c>
      <c r="K83" s="130">
        <f>IF(K52=0,0,K52/TrRoad_act!K53*100)</f>
        <v>677.65435026030889</v>
      </c>
      <c r="L83" s="130">
        <f>IF(L52=0,0,L52/TrRoad_act!L53*100)</f>
        <v>724.16774343994632</v>
      </c>
      <c r="M83" s="130">
        <f>IF(M52=0,0,M52/TrRoad_act!M53*100)</f>
        <v>749.82101297215797</v>
      </c>
      <c r="N83" s="130">
        <f>IF(N52=0,0,N52/TrRoad_act!N53*100)</f>
        <v>534.94290363108666</v>
      </c>
      <c r="O83" s="130">
        <f>IF(O52=0,0,O52/TrRoad_act!O53*100)</f>
        <v>598.46821783998735</v>
      </c>
      <c r="P83" s="130">
        <f>IF(P52=0,0,P52/TrRoad_act!P53*100)</f>
        <v>478.5445314964594</v>
      </c>
      <c r="Q83" s="130">
        <f>IF(Q52=0,0,Q52/TrRoad_act!Q53*100)</f>
        <v>503.22622309695726</v>
      </c>
      <c r="R83" s="130">
        <f>IF(R52=0,0,R52/TrRoad_act!R53*100)</f>
        <v>462.78164029028221</v>
      </c>
      <c r="S83" s="130">
        <f>IF(S52=0,0,S52/TrRoad_act!S53*100)</f>
        <v>483.08967643609577</v>
      </c>
      <c r="T83" s="130">
        <f>IF(T52=0,0,T52/TrRoad_act!T53*100)</f>
        <v>535.48040193247607</v>
      </c>
      <c r="U83" s="130">
        <f>IF(U52=0,0,U52/TrRoad_act!U53*100)</f>
        <v>559.90271999837557</v>
      </c>
      <c r="V83" s="130">
        <f>IF(V52=0,0,V52/TrRoad_act!V53*100)</f>
        <v>475.40580751890707</v>
      </c>
      <c r="W83" s="130">
        <f>IF(W52=0,0,W52/TrRoad_act!W53*100)</f>
        <v>435.15609562860112</v>
      </c>
      <c r="X83" s="130">
        <f>IF(X52=0,0,X52/TrRoad_act!X53*100)</f>
        <v>325.24202437014287</v>
      </c>
      <c r="Y83" s="130">
        <f>IF(Y52=0,0,Y52/TrRoad_act!Y53*100)</f>
        <v>318.88278042171669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44.413136935373956</v>
      </c>
      <c r="C84" s="97">
        <f>IF(C53=0,0,C53/TrRoad_act!C54*100)</f>
        <v>44.16216010573811</v>
      </c>
      <c r="D84" s="97">
        <f>IF(D53=0,0,D53/TrRoad_act!D54*100)</f>
        <v>43.808940803306399</v>
      </c>
      <c r="E84" s="97">
        <f>IF(E53=0,0,E53/TrRoad_act!E54*100)</f>
        <v>45.144161320323477</v>
      </c>
      <c r="F84" s="97">
        <f>IF(F53=0,0,F53/TrRoad_act!F54*100)</f>
        <v>47.684473507887084</v>
      </c>
      <c r="G84" s="97">
        <f>IF(G53=0,0,G53/TrRoad_act!G54*100)</f>
        <v>49.265161872439883</v>
      </c>
      <c r="H84" s="97">
        <f>IF(H53=0,0,H53/TrRoad_act!H54*100)</f>
        <v>48.151350383204004</v>
      </c>
      <c r="I84" s="97">
        <f>IF(I53=0,0,I53/TrRoad_act!I54*100)</f>
        <v>46.947024812994556</v>
      </c>
      <c r="J84" s="97">
        <f>IF(J53=0,0,J53/TrRoad_act!J54*100)</f>
        <v>46.278245506777246</v>
      </c>
      <c r="K84" s="97">
        <f>IF(K53=0,0,K53/TrRoad_act!K54*100)</f>
        <v>47.196319045329915</v>
      </c>
      <c r="L84" s="97">
        <f>IF(L53=0,0,L53/TrRoad_act!L54*100)</f>
        <v>47.998149061003339</v>
      </c>
      <c r="M84" s="97">
        <f>IF(M53=0,0,M53/TrRoad_act!M54*100)</f>
        <v>48.405768602296391</v>
      </c>
      <c r="N84" s="97">
        <f>IF(N53=0,0,N53/TrRoad_act!N54*100)</f>
        <v>44.273243730144713</v>
      </c>
      <c r="O84" s="97">
        <f>IF(O53=0,0,O53/TrRoad_act!O54*100)</f>
        <v>45.003270727349957</v>
      </c>
      <c r="P84" s="97">
        <f>IF(P53=0,0,P53/TrRoad_act!P54*100)</f>
        <v>42.687177645116286</v>
      </c>
      <c r="Q84" s="97">
        <f>IF(Q53=0,0,Q53/TrRoad_act!Q54*100)</f>
        <v>43.073785193830879</v>
      </c>
      <c r="R84" s="97">
        <f>IF(R53=0,0,R53/TrRoad_act!R54*100)</f>
        <v>42.086460893925775</v>
      </c>
      <c r="S84" s="97">
        <f>IF(S53=0,0,S53/TrRoad_act!S54*100)</f>
        <v>42.217816072161682</v>
      </c>
      <c r="T84" s="97">
        <f>IF(T53=0,0,T53/TrRoad_act!T54*100)</f>
        <v>42.888800985199438</v>
      </c>
      <c r="U84" s="97">
        <f>IF(U53=0,0,U53/TrRoad_act!U54*100)</f>
        <v>42.956004749309734</v>
      </c>
      <c r="V84" s="97">
        <f>IF(V53=0,0,V53/TrRoad_act!V54*100)</f>
        <v>41.09506562428458</v>
      </c>
      <c r="W84" s="97">
        <f>IF(W53=0,0,W53/TrRoad_act!W54*100)</f>
        <v>39.971311562341775</v>
      </c>
      <c r="X84" s="97">
        <f>IF(X53=0,0,X53/TrRoad_act!X54*100)</f>
        <v>37.740075425416464</v>
      </c>
      <c r="Y84" s="97">
        <f>IF(Y53=0,0,Y53/TrRoad_act!Y54*100)</f>
        <v>37.571529990639959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863.00011408582191</v>
      </c>
      <c r="C85" s="98">
        <f>IF(C55=0,0,C55/TrRoad_act!C55*100)</f>
        <v>871.3956650660549</v>
      </c>
      <c r="D85" s="98">
        <f>IF(D55=0,0,D55/TrRoad_act!D55*100)</f>
        <v>876.94868478108992</v>
      </c>
      <c r="E85" s="98">
        <f>IF(E55=0,0,E55/TrRoad_act!E55*100)</f>
        <v>1008.2627734084889</v>
      </c>
      <c r="F85" s="98">
        <f>IF(F55=0,0,F55/TrRoad_act!F55*100)</f>
        <v>1157.5634985840827</v>
      </c>
      <c r="G85" s="98">
        <f>IF(G55=0,0,G55/TrRoad_act!G55*100)</f>
        <v>1275.3007799097236</v>
      </c>
      <c r="H85" s="98">
        <f>IF(H55=0,0,H55/TrRoad_act!H55*100)</f>
        <v>1244.6247172501514</v>
      </c>
      <c r="I85" s="98">
        <f>IF(I55=0,0,I55/TrRoad_act!I55*100)</f>
        <v>1099.9288408438479</v>
      </c>
      <c r="J85" s="98">
        <f>IF(J55=0,0,J55/TrRoad_act!J55*100)</f>
        <v>980.24097028808819</v>
      </c>
      <c r="K85" s="98">
        <f>IF(K55=0,0,K55/TrRoad_act!K55*100)</f>
        <v>961.98162817220452</v>
      </c>
      <c r="L85" s="98">
        <f>IF(L55=0,0,L55/TrRoad_act!L55*100)</f>
        <v>1049.8823885789125</v>
      </c>
      <c r="M85" s="98">
        <f>IF(M55=0,0,M55/TrRoad_act!M55*100)</f>
        <v>1118.1745520156448</v>
      </c>
      <c r="N85" s="98">
        <f>IF(N55=0,0,N55/TrRoad_act!N55*100)</f>
        <v>903.59162066266595</v>
      </c>
      <c r="O85" s="98">
        <f>IF(O55=0,0,O55/TrRoad_act!O55*100)</f>
        <v>927.90642982009354</v>
      </c>
      <c r="P85" s="98">
        <f>IF(P55=0,0,P55/TrRoad_act!P55*100)</f>
        <v>814.13400328211424</v>
      </c>
      <c r="Q85" s="98">
        <f>IF(Q55=0,0,Q55/TrRoad_act!Q55*100)</f>
        <v>860.90698474347585</v>
      </c>
      <c r="R85" s="98">
        <f>IF(R55=0,0,R55/TrRoad_act!R55*100)</f>
        <v>779.50868499586727</v>
      </c>
      <c r="S85" s="98">
        <f>IF(S55=0,0,S55/TrRoad_act!S55*100)</f>
        <v>786.36854594168335</v>
      </c>
      <c r="T85" s="98">
        <f>IF(T55=0,0,T55/TrRoad_act!T55*100)</f>
        <v>895.19499421716876</v>
      </c>
      <c r="U85" s="98">
        <f>IF(U55=0,0,U55/TrRoad_act!U55*100)</f>
        <v>921.87844054421544</v>
      </c>
      <c r="V85" s="98">
        <f>IF(V55=0,0,V55/TrRoad_act!V55*100)</f>
        <v>754.62277670736466</v>
      </c>
      <c r="W85" s="98">
        <f>IF(W55=0,0,W55/TrRoad_act!W55*100)</f>
        <v>721.31772631702938</v>
      </c>
      <c r="X85" s="98">
        <f>IF(X55=0,0,X55/TrRoad_act!X55*100)</f>
        <v>525.46771003493541</v>
      </c>
      <c r="Y85" s="98">
        <f>IF(Y55=0,0,Y55/TrRoad_act!Y55*100)</f>
        <v>515.529126703521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146.14322719730117</v>
      </c>
      <c r="C88" s="29">
        <f>IF(TrRoad_act!C4=0,0,C18/TrRoad_act!C4*1000)</f>
        <v>144.2322510658644</v>
      </c>
      <c r="D88" s="29">
        <f>IF(TrRoad_act!D4=0,0,D18/TrRoad_act!D4*1000)</f>
        <v>144.04966496848587</v>
      </c>
      <c r="E88" s="29">
        <f>IF(TrRoad_act!E4=0,0,E18/TrRoad_act!E4*1000)</f>
        <v>149.94182795766929</v>
      </c>
      <c r="F88" s="29">
        <f>IF(TrRoad_act!F4=0,0,F18/TrRoad_act!F4*1000)</f>
        <v>149.99810365020315</v>
      </c>
      <c r="G88" s="29">
        <f>IF(TrRoad_act!G4=0,0,G18/TrRoad_act!G4*1000)</f>
        <v>140.28071463686527</v>
      </c>
      <c r="H88" s="29">
        <f>IF(TrRoad_act!H4=0,0,H18/TrRoad_act!H4*1000)</f>
        <v>130.81735636869647</v>
      </c>
      <c r="I88" s="29">
        <f>IF(TrRoad_act!I4=0,0,I18/TrRoad_act!I4*1000)</f>
        <v>130.41063482063453</v>
      </c>
      <c r="J88" s="29">
        <f>IF(TrRoad_act!J4=0,0,J18/TrRoad_act!J4*1000)</f>
        <v>130.00756805640185</v>
      </c>
      <c r="K88" s="29">
        <f>IF(TrRoad_act!K4=0,0,K18/TrRoad_act!K4*1000)</f>
        <v>127.6217123655566</v>
      </c>
      <c r="L88" s="29">
        <f>IF(TrRoad_act!L4=0,0,L18/TrRoad_act!L4*1000)</f>
        <v>127.62294275412961</v>
      </c>
      <c r="M88" s="29">
        <f>IF(TrRoad_act!M4=0,0,M18/TrRoad_act!M4*1000)</f>
        <v>134.10226001455194</v>
      </c>
      <c r="N88" s="29">
        <f>IF(TrRoad_act!N4=0,0,N18/TrRoad_act!N4*1000)</f>
        <v>130.7791741335781</v>
      </c>
      <c r="O88" s="29">
        <f>IF(TrRoad_act!O4=0,0,O18/TrRoad_act!O4*1000)</f>
        <v>121.1161380845066</v>
      </c>
      <c r="P88" s="29">
        <f>IF(TrRoad_act!P4=0,0,P18/TrRoad_act!P4*1000)</f>
        <v>115.55666011222561</v>
      </c>
      <c r="Q88" s="29">
        <f>IF(TrRoad_act!Q4=0,0,Q18/TrRoad_act!Q4*1000)</f>
        <v>108.65696974322019</v>
      </c>
      <c r="R88" s="29">
        <f>IF(TrRoad_act!R4=0,0,R18/TrRoad_act!R4*1000)</f>
        <v>103.06636754824125</v>
      </c>
      <c r="S88" s="29">
        <f>IF(TrRoad_act!S4=0,0,S18/TrRoad_act!S4*1000)</f>
        <v>100.97154611152118</v>
      </c>
      <c r="T88" s="29">
        <f>IF(TrRoad_act!T4=0,0,T18/TrRoad_act!T4*1000)</f>
        <v>103.04272861436294</v>
      </c>
      <c r="U88" s="29">
        <f>IF(TrRoad_act!U4=0,0,U18/TrRoad_act!U4*1000)</f>
        <v>99.27779612235642</v>
      </c>
      <c r="V88" s="29">
        <f>IF(TrRoad_act!V4=0,0,V18/TrRoad_act!V4*1000)</f>
        <v>88.748578459515699</v>
      </c>
      <c r="W88" s="29">
        <f>IF(TrRoad_act!W4=0,0,W18/TrRoad_act!W4*1000)</f>
        <v>92.157627063333877</v>
      </c>
      <c r="X88" s="29">
        <f>IF(TrRoad_act!X4=0,0,X18/TrRoad_act!X4*1000)</f>
        <v>87.496138285291138</v>
      </c>
      <c r="Y88" s="29">
        <f>IF(TrRoad_act!Y4=0,0,Y18/TrRoad_act!Y4*1000)</f>
        <v>86.184935351624489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43.945260837309625</v>
      </c>
      <c r="C89" s="152">
        <f>IF(TrRoad_act!C5=0,0,C19/TrRoad_act!C5*1000)</f>
        <v>42.838679383230648</v>
      </c>
      <c r="D89" s="152">
        <f>IF(TrRoad_act!D5=0,0,D19/TrRoad_act!D5*1000)</f>
        <v>41.755728943618642</v>
      </c>
      <c r="E89" s="152">
        <f>IF(TrRoad_act!E5=0,0,E19/TrRoad_act!E5*1000)</f>
        <v>41.279112172290333</v>
      </c>
      <c r="F89" s="152">
        <f>IF(TrRoad_act!F5=0,0,F19/TrRoad_act!F5*1000)</f>
        <v>40.727628046438973</v>
      </c>
      <c r="G89" s="152">
        <f>IF(TrRoad_act!G5=0,0,G19/TrRoad_act!G5*1000)</f>
        <v>39.683601156511116</v>
      </c>
      <c r="H89" s="152">
        <f>IF(TrRoad_act!H5=0,0,H19/TrRoad_act!H5*1000)</f>
        <v>39.155201043755994</v>
      </c>
      <c r="I89" s="152">
        <f>IF(TrRoad_act!I5=0,0,I19/TrRoad_act!I5*1000)</f>
        <v>37.757474865961981</v>
      </c>
      <c r="J89" s="152">
        <f>IF(TrRoad_act!J5=0,0,J19/TrRoad_act!J5*1000)</f>
        <v>37.632211275104559</v>
      </c>
      <c r="K89" s="152">
        <f>IF(TrRoad_act!K5=0,0,K19/TrRoad_act!K5*1000)</f>
        <v>37.218199021961496</v>
      </c>
      <c r="L89" s="152">
        <f>IF(TrRoad_act!L5=0,0,L19/TrRoad_act!L5*1000)</f>
        <v>36.774939252465195</v>
      </c>
      <c r="M89" s="152">
        <f>IF(TrRoad_act!M5=0,0,M19/TrRoad_act!M5*1000)</f>
        <v>36.404848914513359</v>
      </c>
      <c r="N89" s="152">
        <f>IF(TrRoad_act!N5=0,0,N19/TrRoad_act!N5*1000)</f>
        <v>36.200909320510235</v>
      </c>
      <c r="O89" s="152">
        <f>IF(TrRoad_act!O5=0,0,O19/TrRoad_act!O5*1000)</f>
        <v>35.675163822205533</v>
      </c>
      <c r="P89" s="152">
        <f>IF(TrRoad_act!P5=0,0,P19/TrRoad_act!P5*1000)</f>
        <v>35.096544143892345</v>
      </c>
      <c r="Q89" s="152">
        <f>IF(TrRoad_act!Q5=0,0,Q19/TrRoad_act!Q5*1000)</f>
        <v>34.615181161911558</v>
      </c>
      <c r="R89" s="152">
        <f>IF(TrRoad_act!R5=0,0,R19/TrRoad_act!R5*1000)</f>
        <v>34.15349365676186</v>
      </c>
      <c r="S89" s="152">
        <f>IF(TrRoad_act!S5=0,0,S19/TrRoad_act!S5*1000)</f>
        <v>34.734516417281803</v>
      </c>
      <c r="T89" s="152">
        <f>IF(TrRoad_act!T5=0,0,T19/TrRoad_act!T5*1000)</f>
        <v>34.836587827302083</v>
      </c>
      <c r="U89" s="152">
        <f>IF(TrRoad_act!U5=0,0,U19/TrRoad_act!U5*1000)</f>
        <v>34.30293293667664</v>
      </c>
      <c r="V89" s="152">
        <f>IF(TrRoad_act!V5=0,0,V19/TrRoad_act!V5*1000)</f>
        <v>33.992511335017312</v>
      </c>
      <c r="W89" s="152">
        <f>IF(TrRoad_act!W5=0,0,W19/TrRoad_act!W5*1000)</f>
        <v>33.802674162075604</v>
      </c>
      <c r="X89" s="152">
        <f>IF(TrRoad_act!X5=0,0,X19/TrRoad_act!X5*1000)</f>
        <v>33.473356806353394</v>
      </c>
      <c r="Y89" s="152">
        <f>IF(TrRoad_act!Y5=0,0,Y19/TrRoad_act!Y5*1000)</f>
        <v>33.081281022841871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158.62128068443482</v>
      </c>
      <c r="C90" s="116">
        <f>IF(TrRoad_act!C6=0,0,C21/TrRoad_act!C6*1000)</f>
        <v>156.95892556862125</v>
      </c>
      <c r="D90" s="116">
        <f>IF(TrRoad_act!D6=0,0,D21/TrRoad_act!D6*1000)</f>
        <v>157.81401912091371</v>
      </c>
      <c r="E90" s="116">
        <f>IF(TrRoad_act!E6=0,0,E21/TrRoad_act!E6*1000)</f>
        <v>164.71424293406324</v>
      </c>
      <c r="F90" s="116">
        <f>IF(TrRoad_act!F6=0,0,F21/TrRoad_act!F6*1000)</f>
        <v>165.32734305973366</v>
      </c>
      <c r="G90" s="116">
        <f>IF(TrRoad_act!G6=0,0,G21/TrRoad_act!G6*1000)</f>
        <v>154.47026708058962</v>
      </c>
      <c r="H90" s="116">
        <f>IF(TrRoad_act!H6=0,0,H21/TrRoad_act!H6*1000)</f>
        <v>143.77942375951787</v>
      </c>
      <c r="I90" s="116">
        <f>IF(TrRoad_act!I6=0,0,I21/TrRoad_act!I6*1000)</f>
        <v>143.83811616571708</v>
      </c>
      <c r="J90" s="116">
        <f>IF(TrRoad_act!J6=0,0,J21/TrRoad_act!J6*1000)</f>
        <v>144.01976567778834</v>
      </c>
      <c r="K90" s="116">
        <f>IF(TrRoad_act!K6=0,0,K21/TrRoad_act!K6*1000)</f>
        <v>141.138356133347</v>
      </c>
      <c r="L90" s="116">
        <f>IF(TrRoad_act!L6=0,0,L21/TrRoad_act!L6*1000)</f>
        <v>142.15280044861532</v>
      </c>
      <c r="M90" s="116">
        <f>IF(TrRoad_act!M6=0,0,M21/TrRoad_act!M6*1000)</f>
        <v>150.2731762015965</v>
      </c>
      <c r="N90" s="116">
        <f>IF(TrRoad_act!N6=0,0,N21/TrRoad_act!N6*1000)</f>
        <v>146.46864541324328</v>
      </c>
      <c r="O90" s="116">
        <f>IF(TrRoad_act!O6=0,0,O21/TrRoad_act!O6*1000)</f>
        <v>135.41649558167421</v>
      </c>
      <c r="P90" s="116">
        <f>IF(TrRoad_act!P6=0,0,P21/TrRoad_act!P6*1000)</f>
        <v>128.67962063117176</v>
      </c>
      <c r="Q90" s="116">
        <f>IF(TrRoad_act!Q6=0,0,Q21/TrRoad_act!Q6*1000)</f>
        <v>121.11083888647147</v>
      </c>
      <c r="R90" s="116">
        <f>IF(TrRoad_act!R6=0,0,R21/TrRoad_act!R6*1000)</f>
        <v>114.49754252713366</v>
      </c>
      <c r="S90" s="116">
        <f>IF(TrRoad_act!S6=0,0,S21/TrRoad_act!S6*1000)</f>
        <v>112.14023304004162</v>
      </c>
      <c r="T90" s="116">
        <f>IF(TrRoad_act!T6=0,0,T21/TrRoad_act!T6*1000)</f>
        <v>114.53243213086753</v>
      </c>
      <c r="U90" s="116">
        <f>IF(TrRoad_act!U6=0,0,U21/TrRoad_act!U6*1000)</f>
        <v>110.50228346374902</v>
      </c>
      <c r="V90" s="116">
        <f>IF(TrRoad_act!V6=0,0,V21/TrRoad_act!V6*1000)</f>
        <v>94.714707362839292</v>
      </c>
      <c r="W90" s="116">
        <f>IF(TrRoad_act!W6=0,0,W21/TrRoad_act!W6*1000)</f>
        <v>99.018257597686812</v>
      </c>
      <c r="X90" s="116">
        <f>IF(TrRoad_act!X6=0,0,X21/TrRoad_act!X6*1000)</f>
        <v>97.342516199288184</v>
      </c>
      <c r="Y90" s="116">
        <f>IF(TrRoad_act!Y6=0,0,Y21/TrRoad_act!Y6*1000)</f>
        <v>97.041053412708521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159.24034239432436</v>
      </c>
      <c r="C91" s="87">
        <f>IF(TrRoad_act!C7=0,0,C22/TrRoad_act!C7*1000)</f>
        <v>160.69248715602689</v>
      </c>
      <c r="D91" s="87">
        <f>IF(TrRoad_act!D7=0,0,D22/TrRoad_act!D7*1000)</f>
        <v>164.10211601844381</v>
      </c>
      <c r="E91" s="87">
        <f>IF(TrRoad_act!E7=0,0,E22/TrRoad_act!E7*1000)</f>
        <v>173.95335448392294</v>
      </c>
      <c r="F91" s="87">
        <f>IF(TrRoad_act!F7=0,0,F22/TrRoad_act!F7*1000)</f>
        <v>179.54774457122716</v>
      </c>
      <c r="G91" s="87">
        <f>IF(TrRoad_act!G7=0,0,G22/TrRoad_act!G7*1000)</f>
        <v>171.60446067682108</v>
      </c>
      <c r="H91" s="87">
        <f>IF(TrRoad_act!H7=0,0,H22/TrRoad_act!H7*1000)</f>
        <v>162.71088229013708</v>
      </c>
      <c r="I91" s="87">
        <f>IF(TrRoad_act!I7=0,0,I22/TrRoad_act!I7*1000)</f>
        <v>163.41107265260013</v>
      </c>
      <c r="J91" s="87">
        <f>IF(TrRoad_act!J7=0,0,J22/TrRoad_act!J7*1000)</f>
        <v>159.61075829070134</v>
      </c>
      <c r="K91" s="87">
        <f>IF(TrRoad_act!K7=0,0,K22/TrRoad_act!K7*1000)</f>
        <v>154.70566351125791</v>
      </c>
      <c r="L91" s="87">
        <f>IF(TrRoad_act!L7=0,0,L22/TrRoad_act!L7*1000)</f>
        <v>154.09617334555864</v>
      </c>
      <c r="M91" s="87">
        <f>IF(TrRoad_act!M7=0,0,M22/TrRoad_act!M7*1000)</f>
        <v>158.80266206249277</v>
      </c>
      <c r="N91" s="87">
        <f>IF(TrRoad_act!N7=0,0,N22/TrRoad_act!N7*1000)</f>
        <v>152.48852720471507</v>
      </c>
      <c r="O91" s="87">
        <f>IF(TrRoad_act!O7=0,0,O22/TrRoad_act!O7*1000)</f>
        <v>141.02462797503173</v>
      </c>
      <c r="P91" s="87">
        <f>IF(TrRoad_act!P7=0,0,P22/TrRoad_act!P7*1000)</f>
        <v>134.76902241269443</v>
      </c>
      <c r="Q91" s="87">
        <f>IF(TrRoad_act!Q7=0,0,Q22/TrRoad_act!Q7*1000)</f>
        <v>124.798171356989</v>
      </c>
      <c r="R91" s="87">
        <f>IF(TrRoad_act!R7=0,0,R22/TrRoad_act!R7*1000)</f>
        <v>115.15140273707188</v>
      </c>
      <c r="S91" s="87">
        <f>IF(TrRoad_act!S7=0,0,S22/TrRoad_act!S7*1000)</f>
        <v>111.25567781997398</v>
      </c>
      <c r="T91" s="87">
        <f>IF(TrRoad_act!T7=0,0,T22/TrRoad_act!T7*1000)</f>
        <v>111.7233676334192</v>
      </c>
      <c r="U91" s="87">
        <f>IF(TrRoad_act!U7=0,0,U22/TrRoad_act!U7*1000)</f>
        <v>108.78114395005174</v>
      </c>
      <c r="V91" s="87">
        <f>IF(TrRoad_act!V7=0,0,V22/TrRoad_act!V7*1000)</f>
        <v>89.966738881255438</v>
      </c>
      <c r="W91" s="87">
        <f>IF(TrRoad_act!W7=0,0,W22/TrRoad_act!W7*1000)</f>
        <v>99.757449590798785</v>
      </c>
      <c r="X91" s="87">
        <f>IF(TrRoad_act!X7=0,0,X22/TrRoad_act!X7*1000)</f>
        <v>94.975162786936139</v>
      </c>
      <c r="Y91" s="87">
        <f>IF(TrRoad_act!Y7=0,0,Y22/TrRoad_act!Y7*1000)</f>
        <v>99.181015389201661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159.85600864728576</v>
      </c>
      <c r="C92" s="87">
        <f>IF(TrRoad_act!C8=0,0,C24/TrRoad_act!C8*1000)</f>
        <v>152.76040406315272</v>
      </c>
      <c r="D92" s="87">
        <f>IF(TrRoad_act!D8=0,0,D24/TrRoad_act!D8*1000)</f>
        <v>150.26591253013362</v>
      </c>
      <c r="E92" s="87">
        <f>IF(TrRoad_act!E8=0,0,E24/TrRoad_act!E8*1000)</f>
        <v>154.77962348333403</v>
      </c>
      <c r="F92" s="87">
        <f>IF(TrRoad_act!F8=0,0,F24/TrRoad_act!F8*1000)</f>
        <v>151.58780064008894</v>
      </c>
      <c r="G92" s="87">
        <f>IF(TrRoad_act!G8=0,0,G24/TrRoad_act!G8*1000)</f>
        <v>140.27662444719488</v>
      </c>
      <c r="H92" s="87">
        <f>IF(TrRoad_act!H8=0,0,H24/TrRoad_act!H8*1000)</f>
        <v>129.72644427373604</v>
      </c>
      <c r="I92" s="87">
        <f>IF(TrRoad_act!I8=0,0,I24/TrRoad_act!I8*1000)</f>
        <v>130.4483873197029</v>
      </c>
      <c r="J92" s="87">
        <f>IF(TrRoad_act!J8=0,0,J24/TrRoad_act!J8*1000)</f>
        <v>134.0885858353133</v>
      </c>
      <c r="K92" s="87">
        <f>IF(TrRoad_act!K8=0,0,K24/TrRoad_act!K8*1000)</f>
        <v>133.4127935757065</v>
      </c>
      <c r="L92" s="87">
        <f>IF(TrRoad_act!L8=0,0,L24/TrRoad_act!L8*1000)</f>
        <v>135.89712814684847</v>
      </c>
      <c r="M92" s="87">
        <f>IF(TrRoad_act!M8=0,0,M24/TrRoad_act!M8*1000)</f>
        <v>146.25381416114246</v>
      </c>
      <c r="N92" s="87">
        <f>IF(TrRoad_act!N8=0,0,N24/TrRoad_act!N8*1000)</f>
        <v>143.64136924313249</v>
      </c>
      <c r="O92" s="87">
        <f>IF(TrRoad_act!O8=0,0,O24/TrRoad_act!O8*1000)</f>
        <v>133.17105487329238</v>
      </c>
      <c r="P92" s="87">
        <f>IF(TrRoad_act!P8=0,0,P24/TrRoad_act!P8*1000)</f>
        <v>126.34345605774644</v>
      </c>
      <c r="Q92" s="87">
        <f>IF(TrRoad_act!Q8=0,0,Q24/TrRoad_act!Q8*1000)</f>
        <v>120.04695725613081</v>
      </c>
      <c r="R92" s="87">
        <f>IF(TrRoad_act!R8=0,0,R24/TrRoad_act!R8*1000)</f>
        <v>114.87342344371416</v>
      </c>
      <c r="S92" s="87">
        <f>IF(TrRoad_act!S8=0,0,S24/TrRoad_act!S8*1000)</f>
        <v>113.44794532248876</v>
      </c>
      <c r="T92" s="87">
        <f>IF(TrRoad_act!T8=0,0,T24/TrRoad_act!T8*1000)</f>
        <v>117.16339502807631</v>
      </c>
      <c r="U92" s="87">
        <f>IF(TrRoad_act!U8=0,0,U24/TrRoad_act!U8*1000)</f>
        <v>113.1119727171462</v>
      </c>
      <c r="V92" s="87">
        <f>IF(TrRoad_act!V8=0,0,V24/TrRoad_act!V8*1000)</f>
        <v>100.43165941037661</v>
      </c>
      <c r="W92" s="87">
        <f>IF(TrRoad_act!W8=0,0,W24/TrRoad_act!W8*1000)</f>
        <v>103.22734164850522</v>
      </c>
      <c r="X92" s="87">
        <f>IF(TrRoad_act!X8=0,0,X24/TrRoad_act!X8*1000)</f>
        <v>107.10128526628016</v>
      </c>
      <c r="Y92" s="87">
        <f>IF(TrRoad_act!Y8=0,0,Y24/TrRoad_act!Y8*1000)</f>
        <v>107.70140901630569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51.4465610386046</v>
      </c>
      <c r="C93" s="87">
        <f>IF(TrRoad_act!C9=0,0,C26/TrRoad_act!C9*1000)</f>
        <v>65.663902842998098</v>
      </c>
      <c r="D93" s="87">
        <f>IF(TrRoad_act!D9=0,0,D26/TrRoad_act!D9*1000)</f>
        <v>84.901861535124993</v>
      </c>
      <c r="E93" s="87">
        <f>IF(TrRoad_act!E9=0,0,E26/TrRoad_act!E9*1000)</f>
        <v>68.202234644436487</v>
      </c>
      <c r="F93" s="87">
        <f>IF(TrRoad_act!F9=0,0,F26/TrRoad_act!F9*1000)</f>
        <v>72.721871530548782</v>
      </c>
      <c r="G93" s="87">
        <f>IF(TrRoad_act!G9=0,0,G26/TrRoad_act!G9*1000)</f>
        <v>50.9959889210676</v>
      </c>
      <c r="H93" s="87">
        <f>IF(TrRoad_act!H9=0,0,H26/TrRoad_act!H9*1000)</f>
        <v>51.179982267212274</v>
      </c>
      <c r="I93" s="87">
        <f>IF(TrRoad_act!I9=0,0,I26/TrRoad_act!I9*1000)</f>
        <v>107.41899206022478</v>
      </c>
      <c r="J93" s="87">
        <f>IF(TrRoad_act!J9=0,0,J26/TrRoad_act!J9*1000)</f>
        <v>105.79073934044868</v>
      </c>
      <c r="K93" s="87">
        <f>IF(TrRoad_act!K9=0,0,K26/TrRoad_act!K9*1000)</f>
        <v>67.007784811924452</v>
      </c>
      <c r="L93" s="87">
        <f>IF(TrRoad_act!L9=0,0,L26/TrRoad_act!L9*1000)</f>
        <v>70.550027587216633</v>
      </c>
      <c r="M93" s="87">
        <f>IF(TrRoad_act!M9=0,0,M26/TrRoad_act!M9*1000)</f>
        <v>34.111922956689895</v>
      </c>
      <c r="N93" s="87">
        <f>IF(TrRoad_act!N9=0,0,N26/TrRoad_act!N9*1000)</f>
        <v>93.767670310154472</v>
      </c>
      <c r="O93" s="87">
        <f>IF(TrRoad_act!O9=0,0,O26/TrRoad_act!O9*1000)</f>
        <v>58.147373408994426</v>
      </c>
      <c r="P93" s="87">
        <f>IF(TrRoad_act!P9=0,0,P26/TrRoad_act!P9*1000)</f>
        <v>66.423174253412924</v>
      </c>
      <c r="Q93" s="87">
        <f>IF(TrRoad_act!Q9=0,0,Q26/TrRoad_act!Q9*1000)</f>
        <v>32.573957249417923</v>
      </c>
      <c r="R93" s="87">
        <f>IF(TrRoad_act!R9=0,0,R26/TrRoad_act!R9*1000)</f>
        <v>35.435425481111317</v>
      </c>
      <c r="S93" s="87">
        <f>IF(TrRoad_act!S9=0,0,S26/TrRoad_act!S9*1000)</f>
        <v>35.521645205597423</v>
      </c>
      <c r="T93" s="87">
        <f>IF(TrRoad_act!T9=0,0,T26/TrRoad_act!T9*1000)</f>
        <v>54.791198839283432</v>
      </c>
      <c r="U93" s="87">
        <f>IF(TrRoad_act!U9=0,0,U26/TrRoad_act!U9*1000)</f>
        <v>70.648054874776207</v>
      </c>
      <c r="V93" s="87">
        <f>IF(TrRoad_act!V9=0,0,V26/TrRoad_act!V9*1000)</f>
        <v>22.499368560943172</v>
      </c>
      <c r="W93" s="87">
        <f>IF(TrRoad_act!W9=0,0,W26/TrRoad_act!W9*1000)</f>
        <v>49.895885654124164</v>
      </c>
      <c r="X93" s="87">
        <f>IF(TrRoad_act!X9=0,0,X26/TrRoad_act!X9*1000)</f>
        <v>47.313238109229921</v>
      </c>
      <c r="Y93" s="87">
        <f>IF(TrRoad_act!Y9=0,0,Y26/TrRoad_act!Y9*1000)</f>
        <v>67.099936130576779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X94" s="87">
        <f>IF(TrRoad_act!X10=0,0,X27/TrRoad_act!X10*1000)</f>
        <v>0</v>
      </c>
      <c r="Y94" s="87">
        <f>IF(TrRoad_act!Y10=0,0,Y27/TrRoad_act!Y10*1000)</f>
        <v>0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90.082814726527786</v>
      </c>
      <c r="O95" s="87">
        <f>IF(TrRoad_act!O11=0,0,O29/TrRoad_act!O11*1000)</f>
        <v>87.647632346007939</v>
      </c>
      <c r="P95" s="87">
        <f>IF(TrRoad_act!P11=0,0,P29/TrRoad_act!P11*1000)</f>
        <v>80.310610164971763</v>
      </c>
      <c r="Q95" s="87">
        <f>IF(TrRoad_act!Q11=0,0,Q29/TrRoad_act!Q11*1000)</f>
        <v>76.127904426043486</v>
      </c>
      <c r="R95" s="87">
        <f>IF(TrRoad_act!R11=0,0,R29/TrRoad_act!R11*1000)</f>
        <v>66.033198882750355</v>
      </c>
      <c r="S95" s="87">
        <f>IF(TrRoad_act!S11=0,0,S29/TrRoad_act!S11*1000)</f>
        <v>49.792133968730823</v>
      </c>
      <c r="T95" s="87">
        <f>IF(TrRoad_act!T11=0,0,T29/TrRoad_act!T11*1000)</f>
        <v>50.873773905480881</v>
      </c>
      <c r="U95" s="87">
        <f>IF(TrRoad_act!U11=0,0,U29/TrRoad_act!U11*1000)</f>
        <v>51.305439797394619</v>
      </c>
      <c r="V95" s="87">
        <f>IF(TrRoad_act!V11=0,0,V29/TrRoad_act!V11*1000)</f>
        <v>42.881467149843964</v>
      </c>
      <c r="W95" s="87">
        <f>IF(TrRoad_act!W11=0,0,W29/TrRoad_act!W11*1000)</f>
        <v>42.505386440813986</v>
      </c>
      <c r="X95" s="87">
        <f>IF(TrRoad_act!X11=0,0,X29/TrRoad_act!X11*1000)</f>
        <v>39.549473855881203</v>
      </c>
      <c r="Y95" s="87">
        <f>IF(TrRoad_act!Y11=0,0,Y29/TrRoad_act!Y11*1000)</f>
        <v>39.22573171746005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12.08543239579557</v>
      </c>
      <c r="K96" s="87">
        <f>IF(TrRoad_act!K12=0,0,K32/TrRoad_act!K12*1000)</f>
        <v>12.047599485866908</v>
      </c>
      <c r="L96" s="87">
        <f>IF(TrRoad_act!L12=0,0,L32/TrRoad_act!L12*1000)</f>
        <v>11.941305283391861</v>
      </c>
      <c r="M96" s="87">
        <f>IF(TrRoad_act!M12=0,0,M32/TrRoad_act!M12*1000)</f>
        <v>12.034644303207184</v>
      </c>
      <c r="N96" s="87">
        <f>IF(TrRoad_act!N12=0,0,N32/TrRoad_act!N12*1000)</f>
        <v>11.523400346598221</v>
      </c>
      <c r="O96" s="87">
        <f>IF(TrRoad_act!O12=0,0,O32/TrRoad_act!O12*1000)</f>
        <v>11.977811692595779</v>
      </c>
      <c r="P96" s="87">
        <f>IF(TrRoad_act!P12=0,0,P32/TrRoad_act!P12*1000)</f>
        <v>11.704521883868841</v>
      </c>
      <c r="Q96" s="87">
        <f>IF(TrRoad_act!Q12=0,0,Q32/TrRoad_act!Q12*1000)</f>
        <v>11.40811452698893</v>
      </c>
      <c r="R96" s="87">
        <f>IF(TrRoad_act!R12=0,0,R32/TrRoad_act!R12*1000)</f>
        <v>11.247872750475517</v>
      </c>
      <c r="S96" s="87">
        <f>IF(TrRoad_act!S12=0,0,S32/TrRoad_act!S12*1000)</f>
        <v>11.521137542177753</v>
      </c>
      <c r="T96" s="87">
        <f>IF(TrRoad_act!T12=0,0,T32/TrRoad_act!T12*1000)</f>
        <v>12.415732108387401</v>
      </c>
      <c r="U96" s="87">
        <f>IF(TrRoad_act!U12=0,0,U32/TrRoad_act!U12*1000)</f>
        <v>13.720244644057232</v>
      </c>
      <c r="V96" s="87">
        <f>IF(TrRoad_act!V12=0,0,V32/TrRoad_act!V12*1000)</f>
        <v>15.677464532842054</v>
      </c>
      <c r="W96" s="87">
        <f>IF(TrRoad_act!W12=0,0,W32/TrRoad_act!W12*1000)</f>
        <v>15.076891339334757</v>
      </c>
      <c r="X96" s="87">
        <f>IF(TrRoad_act!X12=0,0,X32/TrRoad_act!X12*1000)</f>
        <v>14.781727209632725</v>
      </c>
      <c r="Y96" s="87">
        <f>IF(TrRoad_act!Y12=0,0,Y32/TrRoad_act!Y12*1000)</f>
        <v>14.51024187050667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39.311598209557545</v>
      </c>
      <c r="C97" s="116">
        <f>IF(TrRoad_act!C13=0,0,C33/TrRoad_act!C13*1000)</f>
        <v>38.113449130831576</v>
      </c>
      <c r="D97" s="116">
        <f>IF(TrRoad_act!D13=0,0,D33/TrRoad_act!D13*1000)</f>
        <v>36.954623342337726</v>
      </c>
      <c r="E97" s="116">
        <f>IF(TrRoad_act!E13=0,0,E33/TrRoad_act!E13*1000)</f>
        <v>36.211752701783269</v>
      </c>
      <c r="F97" s="116">
        <f>IF(TrRoad_act!F13=0,0,F33/TrRoad_act!F13*1000)</f>
        <v>34.824100883635666</v>
      </c>
      <c r="G97" s="116">
        <f>IF(TrRoad_act!G13=0,0,G33/TrRoad_act!G13*1000)</f>
        <v>34.303120767788627</v>
      </c>
      <c r="H97" s="116">
        <f>IF(TrRoad_act!H13=0,0,H33/TrRoad_act!H13*1000)</f>
        <v>33.303335207891749</v>
      </c>
      <c r="I97" s="116">
        <f>IF(TrRoad_act!I13=0,0,I33/TrRoad_act!I13*1000)</f>
        <v>32.604382464714824</v>
      </c>
      <c r="J97" s="116">
        <f>IF(TrRoad_act!J13=0,0,J33/TrRoad_act!J13*1000)</f>
        <v>31.839570435263269</v>
      </c>
      <c r="K97" s="116">
        <f>IF(TrRoad_act!K13=0,0,K33/TrRoad_act!K13*1000)</f>
        <v>32.749502690233349</v>
      </c>
      <c r="L97" s="116">
        <f>IF(TrRoad_act!L13=0,0,L33/TrRoad_act!L13*1000)</f>
        <v>32.272434151937482</v>
      </c>
      <c r="M97" s="116">
        <f>IF(TrRoad_act!M13=0,0,M33/TrRoad_act!M13*1000)</f>
        <v>31.569630788564453</v>
      </c>
      <c r="N97" s="116">
        <f>IF(TrRoad_act!N13=0,0,N33/TrRoad_act!N13*1000)</f>
        <v>31.051045840323969</v>
      </c>
      <c r="O97" s="116">
        <f>IF(TrRoad_act!O13=0,0,O33/TrRoad_act!O13*1000)</f>
        <v>30.610952261327153</v>
      </c>
      <c r="P97" s="116">
        <f>IF(TrRoad_act!P13=0,0,P33/TrRoad_act!P13*1000)</f>
        <v>30.173907617889576</v>
      </c>
      <c r="Q97" s="116">
        <f>IF(TrRoad_act!Q13=0,0,Q33/TrRoad_act!Q13*1000)</f>
        <v>29.636671767184303</v>
      </c>
      <c r="R97" s="116">
        <f>IF(TrRoad_act!R13=0,0,R33/TrRoad_act!R13*1000)</f>
        <v>29.814720102663287</v>
      </c>
      <c r="S97" s="116">
        <f>IF(TrRoad_act!S13=0,0,S33/TrRoad_act!S13*1000)</f>
        <v>29.903485701705922</v>
      </c>
      <c r="T97" s="116">
        <f>IF(TrRoad_act!T13=0,0,T33/TrRoad_act!T13*1000)</f>
        <v>29.733483446075535</v>
      </c>
      <c r="U97" s="116">
        <f>IF(TrRoad_act!U13=0,0,U33/TrRoad_act!U13*1000)</f>
        <v>29.089034224928852</v>
      </c>
      <c r="V97" s="116">
        <f>IF(TrRoad_act!V13=0,0,V33/TrRoad_act!V13*1000)</f>
        <v>41.826899761065398</v>
      </c>
      <c r="W97" s="116">
        <f>IF(TrRoad_act!W13=0,0,W33/TrRoad_act!W13*1000)</f>
        <v>38.225949457763122</v>
      </c>
      <c r="X97" s="116">
        <f>IF(TrRoad_act!X13=0,0,X33/TrRoad_act!X13*1000)</f>
        <v>26.46475645342041</v>
      </c>
      <c r="Y97" s="116">
        <f>IF(TrRoad_act!Y13=0,0,Y33/TrRoad_act!Y13*1000)</f>
        <v>22.767989009965483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19.012167830001335</v>
      </c>
      <c r="U98" s="101">
        <f>IF(TrRoad_act!U14=0,0,U34/TrRoad_act!U14*1000)</f>
        <v>19.020043446386527</v>
      </c>
      <c r="V98" s="101">
        <f>IF(TrRoad_act!V14=0,0,V34/TrRoad_act!V14*1000)</f>
        <v>20.680707145761239</v>
      </c>
      <c r="W98" s="101">
        <f>IF(TrRoad_act!W14=0,0,W34/TrRoad_act!W14*1000)</f>
        <v>19.933727216312121</v>
      </c>
      <c r="X98" s="101">
        <f>IF(TrRoad_act!X14=0,0,X34/TrRoad_act!X14*1000)</f>
        <v>18.059661776729012</v>
      </c>
      <c r="Y98" s="101">
        <f>IF(TrRoad_act!Y14=0,0,Y34/TrRoad_act!Y14*1000)</f>
        <v>16.187847562571747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39.311598209557545</v>
      </c>
      <c r="C99" s="101">
        <f>IF(TrRoad_act!C15=0,0,C36/TrRoad_act!C15*1000)</f>
        <v>38.113449130831576</v>
      </c>
      <c r="D99" s="101">
        <f>IF(TrRoad_act!D15=0,0,D36/TrRoad_act!D15*1000)</f>
        <v>36.954623342337726</v>
      </c>
      <c r="E99" s="101">
        <f>IF(TrRoad_act!E15=0,0,E36/TrRoad_act!E15*1000)</f>
        <v>36.239564744025785</v>
      </c>
      <c r="F99" s="101">
        <f>IF(TrRoad_act!F15=0,0,F36/TrRoad_act!F15*1000)</f>
        <v>34.849463047021999</v>
      </c>
      <c r="G99" s="101">
        <f>IF(TrRoad_act!G15=0,0,G36/TrRoad_act!G15*1000)</f>
        <v>34.326289768473636</v>
      </c>
      <c r="H99" s="101">
        <f>IF(TrRoad_act!H15=0,0,H36/TrRoad_act!H15*1000)</f>
        <v>33.324661425787831</v>
      </c>
      <c r="I99" s="101">
        <f>IF(TrRoad_act!I15=0,0,I36/TrRoad_act!I15*1000)</f>
        <v>32.623919358701315</v>
      </c>
      <c r="J99" s="101">
        <f>IF(TrRoad_act!J15=0,0,J36/TrRoad_act!J15*1000)</f>
        <v>31.857261542653262</v>
      </c>
      <c r="K99" s="101">
        <f>IF(TrRoad_act!K15=0,0,K36/TrRoad_act!K15*1000)</f>
        <v>32.760937352684834</v>
      </c>
      <c r="L99" s="101">
        <f>IF(TrRoad_act!L15=0,0,L36/TrRoad_act!L15*1000)</f>
        <v>32.283164541208521</v>
      </c>
      <c r="M99" s="101">
        <f>IF(TrRoad_act!M15=0,0,M36/TrRoad_act!M15*1000)</f>
        <v>31.580008168337926</v>
      </c>
      <c r="N99" s="101">
        <f>IF(TrRoad_act!N15=0,0,N36/TrRoad_act!N15*1000)</f>
        <v>31.061441251467301</v>
      </c>
      <c r="O99" s="101">
        <f>IF(TrRoad_act!O15=0,0,O36/TrRoad_act!O15*1000)</f>
        <v>30.62134087368668</v>
      </c>
      <c r="P99" s="101">
        <f>IF(TrRoad_act!P15=0,0,P36/TrRoad_act!P15*1000)</f>
        <v>30.184410142302184</v>
      </c>
      <c r="Q99" s="101">
        <f>IF(TrRoad_act!Q15=0,0,Q36/TrRoad_act!Q15*1000)</f>
        <v>29.64699228682057</v>
      </c>
      <c r="R99" s="101">
        <f>IF(TrRoad_act!R15=0,0,R36/TrRoad_act!R15*1000)</f>
        <v>29.825119355447349</v>
      </c>
      <c r="S99" s="101">
        <f>IF(TrRoad_act!S15=0,0,S36/TrRoad_act!S15*1000)</f>
        <v>29.968554683003365</v>
      </c>
      <c r="T99" s="101">
        <f>IF(TrRoad_act!T15=0,0,T36/TrRoad_act!T15*1000)</f>
        <v>30.00574221073952</v>
      </c>
      <c r="U99" s="101">
        <f>IF(TrRoad_act!U15=0,0,U36/TrRoad_act!U15*1000)</f>
        <v>29.968811928806279</v>
      </c>
      <c r="V99" s="101">
        <f>IF(TrRoad_act!V15=0,0,V36/TrRoad_act!V15*1000)</f>
        <v>43.579006330450213</v>
      </c>
      <c r="W99" s="101">
        <f>IF(TrRoad_act!W15=0,0,W36/TrRoad_act!W15*1000)</f>
        <v>40.221696001743624</v>
      </c>
      <c r="X99" s="101">
        <f>IF(TrRoad_act!X15=0,0,X36/TrRoad_act!X15*1000)</f>
        <v>29.161728019064967</v>
      </c>
      <c r="Y99" s="101">
        <f>IF(TrRoad_act!Y15=0,0,Y36/TrRoad_act!Y15*1000)</f>
        <v>25.709124588384206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X101" s="101">
        <f>IF(TrRoad_act!X17=0,0,X39/TrRoad_act!X17*1000)</f>
        <v>0</v>
      </c>
      <c r="Y101" s="101">
        <f>IF(TrRoad_act!Y17=0,0,Y39/TrRoad_act!Y17*1000)</f>
        <v>0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25.920595687150485</v>
      </c>
      <c r="F102" s="101">
        <f>IF(TrRoad_act!F18=0,0,F41/TrRoad_act!F18*1000)</f>
        <v>25.300768510603117</v>
      </c>
      <c r="G102" s="101">
        <f>IF(TrRoad_act!G18=0,0,G41/TrRoad_act!G18*1000)</f>
        <v>25.278983973796276</v>
      </c>
      <c r="H102" s="101">
        <f>IF(TrRoad_act!H18=0,0,H41/TrRoad_act!H18*1000)</f>
        <v>24.91827753545277</v>
      </c>
      <c r="I102" s="101">
        <f>IF(TrRoad_act!I18=0,0,I41/TrRoad_act!I18*1000)</f>
        <v>24.643189206771432</v>
      </c>
      <c r="J102" s="101">
        <f>IF(TrRoad_act!J18=0,0,J41/TrRoad_act!J18*1000)</f>
        <v>24.317703763856255</v>
      </c>
      <c r="K102" s="101">
        <f>IF(TrRoad_act!K18=0,0,K41/TrRoad_act!K18*1000)</f>
        <v>25.220643076571402</v>
      </c>
      <c r="L102" s="101">
        <f>IF(TrRoad_act!L18=0,0,L41/TrRoad_act!L18*1000)</f>
        <v>25.009638323921436</v>
      </c>
      <c r="M102" s="101">
        <f>IF(TrRoad_act!M18=0,0,M41/TrRoad_act!M18*1000)</f>
        <v>24.38094839048717</v>
      </c>
      <c r="N102" s="101">
        <f>IF(TrRoad_act!N18=0,0,N41/TrRoad_act!N18*1000)</f>
        <v>23.880689617857165</v>
      </c>
      <c r="O102" s="101">
        <f>IF(TrRoad_act!O18=0,0,O41/TrRoad_act!O18*1000)</f>
        <v>23.434061810737017</v>
      </c>
      <c r="P102" s="101">
        <f>IF(TrRoad_act!P18=0,0,P41/TrRoad_act!P18*1000)</f>
        <v>22.98691527979399</v>
      </c>
      <c r="Q102" s="101">
        <f>IF(TrRoad_act!Q18=0,0,Q41/TrRoad_act!Q18*1000)</f>
        <v>22.395449683673615</v>
      </c>
      <c r="R102" s="101">
        <f>IF(TrRoad_act!R18=0,0,R41/TrRoad_act!R18*1000)</f>
        <v>22.398938898025726</v>
      </c>
      <c r="S102" s="101">
        <f>IF(TrRoad_act!S18=0,0,S41/TrRoad_act!S18*1000)</f>
        <v>17.975634548012223</v>
      </c>
      <c r="T102" s="101">
        <f>IF(TrRoad_act!T18=0,0,T41/TrRoad_act!T18*1000)</f>
        <v>17.5942444192228</v>
      </c>
      <c r="U102" s="101">
        <f>IF(TrRoad_act!U18=0,0,U41/TrRoad_act!U18*1000)</f>
        <v>17.159881081996705</v>
      </c>
      <c r="V102" s="101">
        <f>IF(TrRoad_act!V18=0,0,V41/TrRoad_act!V18*1000)</f>
        <v>24.769071121278525</v>
      </c>
      <c r="W102" s="101">
        <f>IF(TrRoad_act!W18=0,0,W41/TrRoad_act!W18*1000)</f>
        <v>22.777157925210549</v>
      </c>
      <c r="X102" s="101">
        <f>IF(TrRoad_act!X18=0,0,X41/TrRoad_act!X18*1000)</f>
        <v>15.975801073910091</v>
      </c>
      <c r="Y102" s="101">
        <f>IF(TrRoad_act!Y18=0,0,Y41/TrRoad_act!Y18*1000)</f>
        <v>14.049702885647049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448.26406062623442</v>
      </c>
      <c r="C103" s="29">
        <f>IF(TrRoad_act!C19=0,0,C42/TrRoad_act!C19*1000)</f>
        <v>440.9860065668301</v>
      </c>
      <c r="D103" s="29">
        <f>IF(TrRoad_act!D19=0,0,D42/TrRoad_act!D19*1000)</f>
        <v>425.53044674956129</v>
      </c>
      <c r="E103" s="29">
        <f>IF(TrRoad_act!E19=0,0,E42/TrRoad_act!E19*1000)</f>
        <v>492.49967811853281</v>
      </c>
      <c r="F103" s="29">
        <f>IF(TrRoad_act!F19=0,0,F42/TrRoad_act!F19*1000)</f>
        <v>597.19359538879814</v>
      </c>
      <c r="G103" s="29">
        <f>IF(TrRoad_act!G19=0,0,G42/TrRoad_act!G19*1000)</f>
        <v>676.65066958727357</v>
      </c>
      <c r="H103" s="29">
        <f>IF(TrRoad_act!H19=0,0,H42/TrRoad_act!H19*1000)</f>
        <v>637.632769699866</v>
      </c>
      <c r="I103" s="29">
        <f>IF(TrRoad_act!I19=0,0,I42/TrRoad_act!I19*1000)</f>
        <v>574.4839641308447</v>
      </c>
      <c r="J103" s="29">
        <f>IF(TrRoad_act!J19=0,0,J42/TrRoad_act!J19*1000)</f>
        <v>533.02063975040949</v>
      </c>
      <c r="K103" s="29">
        <f>IF(TrRoad_act!K19=0,0,K42/TrRoad_act!K19*1000)</f>
        <v>514.63069366777586</v>
      </c>
      <c r="L103" s="29">
        <f>IF(TrRoad_act!L19=0,0,L42/TrRoad_act!L19*1000)</f>
        <v>541.12997380786021</v>
      </c>
      <c r="M103" s="29">
        <f>IF(TrRoad_act!M19=0,0,M42/TrRoad_act!M19*1000)</f>
        <v>555.03386488384206</v>
      </c>
      <c r="N103" s="29">
        <f>IF(TrRoad_act!N19=0,0,N42/TrRoad_act!N19*1000)</f>
        <v>409.22140959933284</v>
      </c>
      <c r="O103" s="29">
        <f>IF(TrRoad_act!O19=0,0,O42/TrRoad_act!O19*1000)</f>
        <v>458.0121704964975</v>
      </c>
      <c r="P103" s="29">
        <f>IF(TrRoad_act!P19=0,0,P42/TrRoad_act!P19*1000)</f>
        <v>366.79556093282832</v>
      </c>
      <c r="Q103" s="29">
        <f>IF(TrRoad_act!Q19=0,0,Q42/TrRoad_act!Q19*1000)</f>
        <v>386.42627952171193</v>
      </c>
      <c r="R103" s="29">
        <f>IF(TrRoad_act!R19=0,0,R42/TrRoad_act!R19*1000)</f>
        <v>350.53750193233276</v>
      </c>
      <c r="S103" s="29">
        <f>IF(TrRoad_act!S19=0,0,S42/TrRoad_act!S19*1000)</f>
        <v>363.99031295062287</v>
      </c>
      <c r="T103" s="29">
        <f>IF(TrRoad_act!T19=0,0,T42/TrRoad_act!T19*1000)</f>
        <v>462.56093982869987</v>
      </c>
      <c r="U103" s="29">
        <f>IF(TrRoad_act!U19=0,0,U42/TrRoad_act!U19*1000)</f>
        <v>477.24053642272958</v>
      </c>
      <c r="V103" s="29">
        <f>IF(TrRoad_act!V19=0,0,V42/TrRoad_act!V19*1000)</f>
        <v>417.87141827825792</v>
      </c>
      <c r="W103" s="29">
        <f>IF(TrRoad_act!W19=0,0,W42/TrRoad_act!W19*1000)</f>
        <v>386.95969986543633</v>
      </c>
      <c r="X103" s="29">
        <f>IF(TrRoad_act!X19=0,0,X42/TrRoad_act!X19*1000)</f>
        <v>296.01407813897953</v>
      </c>
      <c r="Y103" s="29">
        <f>IF(TrRoad_act!Y19=0,0,Y42/TrRoad_act!Y19*1000)</f>
        <v>298.24719874725997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470.56384558939004</v>
      </c>
      <c r="C104" s="152">
        <f>IF(TrRoad_act!C20=0,0,C43/TrRoad_act!C20*1000)</f>
        <v>449.35996177538311</v>
      </c>
      <c r="D104" s="152">
        <f>IF(TrRoad_act!D20=0,0,D43/TrRoad_act!D20*1000)</f>
        <v>435.17170636613292</v>
      </c>
      <c r="E104" s="152">
        <f>IF(TrRoad_act!E20=0,0,E43/TrRoad_act!E20*1000)</f>
        <v>424.41916254989644</v>
      </c>
      <c r="F104" s="152">
        <f>IF(TrRoad_act!F20=0,0,F43/TrRoad_act!F20*1000)</f>
        <v>413.27180021741219</v>
      </c>
      <c r="G104" s="152">
        <f>IF(TrRoad_act!G20=0,0,G43/TrRoad_act!G20*1000)</f>
        <v>404.41482735968287</v>
      </c>
      <c r="H104" s="152">
        <f>IF(TrRoad_act!H20=0,0,H43/TrRoad_act!H20*1000)</f>
        <v>397.1786415890117</v>
      </c>
      <c r="I104" s="152">
        <f>IF(TrRoad_act!I20=0,0,I43/TrRoad_act!I20*1000)</f>
        <v>392.0009203997231</v>
      </c>
      <c r="J104" s="152">
        <f>IF(TrRoad_act!J20=0,0,J43/TrRoad_act!J20*1000)</f>
        <v>385.2964876506357</v>
      </c>
      <c r="K104" s="152">
        <f>IF(TrRoad_act!K20=0,0,K43/TrRoad_act!K20*1000)</f>
        <v>381.71988522987419</v>
      </c>
      <c r="L104" s="152">
        <f>IF(TrRoad_act!L20=0,0,L43/TrRoad_act!L20*1000)</f>
        <v>381.2360788370396</v>
      </c>
      <c r="M104" s="152">
        <f>IF(TrRoad_act!M20=0,0,M43/TrRoad_act!M20*1000)</f>
        <v>382.05125906795683</v>
      </c>
      <c r="N104" s="152">
        <f>IF(TrRoad_act!N20=0,0,N43/TrRoad_act!N20*1000)</f>
        <v>375.49969352277066</v>
      </c>
      <c r="O104" s="152">
        <f>IF(TrRoad_act!O20=0,0,O43/TrRoad_act!O20*1000)</f>
        <v>368.94339572698175</v>
      </c>
      <c r="P104" s="152">
        <f>IF(TrRoad_act!P20=0,0,P43/TrRoad_act!P20*1000)</f>
        <v>366.78722430730903</v>
      </c>
      <c r="Q104" s="152">
        <f>IF(TrRoad_act!Q20=0,0,Q43/TrRoad_act!Q20*1000)</f>
        <v>361.91686685628946</v>
      </c>
      <c r="R104" s="152">
        <f>IF(TrRoad_act!R20=0,0,R43/TrRoad_act!R20*1000)</f>
        <v>356.8840931229683</v>
      </c>
      <c r="S104" s="152">
        <f>IF(TrRoad_act!S20=0,0,S43/TrRoad_act!S20*1000)</f>
        <v>347.77541048252749</v>
      </c>
      <c r="T104" s="152">
        <f>IF(TrRoad_act!T20=0,0,T43/TrRoad_act!T20*1000)</f>
        <v>341.84317998287486</v>
      </c>
      <c r="U104" s="152">
        <f>IF(TrRoad_act!U20=0,0,U43/TrRoad_act!U20*1000)</f>
        <v>336.01965162026426</v>
      </c>
      <c r="V104" s="152">
        <f>IF(TrRoad_act!V20=0,0,V43/TrRoad_act!V20*1000)</f>
        <v>333.03067171388642</v>
      </c>
      <c r="W104" s="152">
        <f>IF(TrRoad_act!W20=0,0,W43/TrRoad_act!W20*1000)</f>
        <v>330.31799391655818</v>
      </c>
      <c r="X104" s="152">
        <f>IF(TrRoad_act!X20=0,0,X43/TrRoad_act!X20*1000)</f>
        <v>319.52792786037924</v>
      </c>
      <c r="Y104" s="152">
        <f>IF(TrRoad_act!Y20=0,0,Y43/TrRoad_act!Y20*1000)</f>
        <v>314.70610559697371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530.39372726458544</v>
      </c>
      <c r="C105" s="87">
        <f>IF(TrRoad_act!C21=0,0,C44/TrRoad_act!C21*1000)</f>
        <v>525.73561172396512</v>
      </c>
      <c r="D105" s="87">
        <f>IF(TrRoad_act!D21=0,0,D44/TrRoad_act!D21*1000)</f>
        <v>520.67121370589075</v>
      </c>
      <c r="E105" s="87">
        <f>IF(TrRoad_act!E21=0,0,E44/TrRoad_act!E21*1000)</f>
        <v>510.70050694672722</v>
      </c>
      <c r="F105" s="87">
        <f>IF(TrRoad_act!F21=0,0,F44/TrRoad_act!F21*1000)</f>
        <v>499.88720455068267</v>
      </c>
      <c r="G105" s="87">
        <f>IF(TrRoad_act!G21=0,0,G44/TrRoad_act!G21*1000)</f>
        <v>488.11954994760657</v>
      </c>
      <c r="H105" s="87">
        <f>IF(TrRoad_act!H21=0,0,H44/TrRoad_act!H21*1000)</f>
        <v>476.14276996016122</v>
      </c>
      <c r="I105" s="87">
        <f>IF(TrRoad_act!I21=0,0,I44/TrRoad_act!I21*1000)</f>
        <v>463.72449363655261</v>
      </c>
      <c r="J105" s="87">
        <f>IF(TrRoad_act!J21=0,0,J44/TrRoad_act!J21*1000)</f>
        <v>446.91240806517931</v>
      </c>
      <c r="K105" s="87">
        <f>IF(TrRoad_act!K21=0,0,K44/TrRoad_act!K21*1000)</f>
        <v>428.5553858375161</v>
      </c>
      <c r="L105" s="87">
        <f>IF(TrRoad_act!L21=0,0,L44/TrRoad_act!L21*1000)</f>
        <v>419.94408416891014</v>
      </c>
      <c r="M105" s="87">
        <f>IF(TrRoad_act!M21=0,0,M44/TrRoad_act!M21*1000)</f>
        <v>413.17524424395003</v>
      </c>
      <c r="N105" s="87">
        <f>IF(TrRoad_act!N21=0,0,N44/TrRoad_act!N21*1000)</f>
        <v>404.50734451468742</v>
      </c>
      <c r="O105" s="87">
        <f>IF(TrRoad_act!O21=0,0,O44/TrRoad_act!O21*1000)</f>
        <v>401.31689056776952</v>
      </c>
      <c r="P105" s="87">
        <f>IF(TrRoad_act!P21=0,0,P44/TrRoad_act!P21*1000)</f>
        <v>403.58719530906399</v>
      </c>
      <c r="Q105" s="87">
        <f>IF(TrRoad_act!Q21=0,0,Q44/TrRoad_act!Q21*1000)</f>
        <v>403.82228184087609</v>
      </c>
      <c r="R105" s="87">
        <f>IF(TrRoad_act!R21=0,0,R44/TrRoad_act!R21*1000)</f>
        <v>400.3941170438095</v>
      </c>
      <c r="S105" s="87">
        <f>IF(TrRoad_act!S21=0,0,S44/TrRoad_act!S21*1000)</f>
        <v>392.4549075501024</v>
      </c>
      <c r="T105" s="87">
        <f>IF(TrRoad_act!T21=0,0,T44/TrRoad_act!T21*1000)</f>
        <v>388.98601737535699</v>
      </c>
      <c r="U105" s="87">
        <f>IF(TrRoad_act!U21=0,0,U44/TrRoad_act!U21*1000)</f>
        <v>387.04041101176176</v>
      </c>
      <c r="V105" s="87">
        <f>IF(TrRoad_act!V21=0,0,V44/TrRoad_act!V21*1000)</f>
        <v>382.24294392126433</v>
      </c>
      <c r="W105" s="87">
        <f>IF(TrRoad_act!W21=0,0,W44/TrRoad_act!W21*1000)</f>
        <v>377.06207346778331</v>
      </c>
      <c r="X105" s="87">
        <f>IF(TrRoad_act!X21=0,0,X44/TrRoad_act!X21*1000)</f>
        <v>364.36940470215825</v>
      </c>
      <c r="Y105" s="87">
        <f>IF(TrRoad_act!Y21=0,0,Y44/TrRoad_act!Y21*1000)</f>
        <v>370.63086598905033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465.22865406329186</v>
      </c>
      <c r="C106" s="87">
        <f>IF(TrRoad_act!C22=0,0,C46/TrRoad_act!C22*1000)</f>
        <v>443.76408959936379</v>
      </c>
      <c r="D106" s="87">
        <f>IF(TrRoad_act!D22=0,0,D46/TrRoad_act!D22*1000)</f>
        <v>429.89857712135233</v>
      </c>
      <c r="E106" s="87">
        <f>IF(TrRoad_act!E22=0,0,E46/TrRoad_act!E22*1000)</f>
        <v>419.83770123467531</v>
      </c>
      <c r="F106" s="87">
        <f>IF(TrRoad_act!F22=0,0,F46/TrRoad_act!F22*1000)</f>
        <v>409.4174624786134</v>
      </c>
      <c r="G106" s="87">
        <f>IF(TrRoad_act!G22=0,0,G46/TrRoad_act!G22*1000)</f>
        <v>401.30429385319991</v>
      </c>
      <c r="H106" s="87">
        <f>IF(TrRoad_act!H22=0,0,H46/TrRoad_act!H22*1000)</f>
        <v>394.69646851059247</v>
      </c>
      <c r="I106" s="87">
        <f>IF(TrRoad_act!I22=0,0,I46/TrRoad_act!I22*1000)</f>
        <v>390.07499754824022</v>
      </c>
      <c r="J106" s="87">
        <f>IF(TrRoad_act!J22=0,0,J46/TrRoad_act!J22*1000)</f>
        <v>383.80477016114673</v>
      </c>
      <c r="K106" s="87">
        <f>IF(TrRoad_act!K22=0,0,K46/TrRoad_act!K22*1000)</f>
        <v>380.7547348961125</v>
      </c>
      <c r="L106" s="87">
        <f>IF(TrRoad_act!L22=0,0,L46/TrRoad_act!L22*1000)</f>
        <v>380.50355018048333</v>
      </c>
      <c r="M106" s="87">
        <f>IF(TrRoad_act!M22=0,0,M46/TrRoad_act!M22*1000)</f>
        <v>381.52258403166377</v>
      </c>
      <c r="N106" s="87">
        <f>IF(TrRoad_act!N22=0,0,N46/TrRoad_act!N22*1000)</f>
        <v>375.22483539120026</v>
      </c>
      <c r="O106" s="87">
        <f>IF(TrRoad_act!O22=0,0,O46/TrRoad_act!O22*1000)</f>
        <v>368.76365035661587</v>
      </c>
      <c r="P106" s="87">
        <f>IF(TrRoad_act!P22=0,0,P46/TrRoad_act!P22*1000)</f>
        <v>366.51890192937623</v>
      </c>
      <c r="Q106" s="87">
        <f>IF(TrRoad_act!Q22=0,0,Q46/TrRoad_act!Q22*1000)</f>
        <v>361.9153668980656</v>
      </c>
      <c r="R106" s="87">
        <f>IF(TrRoad_act!R22=0,0,R46/TrRoad_act!R22*1000)</f>
        <v>356.92102683099063</v>
      </c>
      <c r="S106" s="87">
        <f>IF(TrRoad_act!S22=0,0,S46/TrRoad_act!S22*1000)</f>
        <v>347.98049846203673</v>
      </c>
      <c r="T106" s="87">
        <f>IF(TrRoad_act!T22=0,0,T46/TrRoad_act!T22*1000)</f>
        <v>342.15145632138518</v>
      </c>
      <c r="U106" s="87">
        <f>IF(TrRoad_act!U22=0,0,U46/TrRoad_act!U22*1000)</f>
        <v>336.35357299859493</v>
      </c>
      <c r="V106" s="87">
        <f>IF(TrRoad_act!V22=0,0,V46/TrRoad_act!V22*1000)</f>
        <v>333.80160811042009</v>
      </c>
      <c r="W106" s="87">
        <f>IF(TrRoad_act!W22=0,0,W46/TrRoad_act!W22*1000)</f>
        <v>331.5409791837759</v>
      </c>
      <c r="X106" s="87">
        <f>IF(TrRoad_act!X22=0,0,X46/TrRoad_act!X22*1000)</f>
        <v>321.97874468379229</v>
      </c>
      <c r="Y106" s="87">
        <f>IF(TrRoad_act!Y22=0,0,Y46/TrRoad_act!Y22*1000)</f>
        <v>318.40097599690586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611.24302313919122</v>
      </c>
      <c r="P107" s="87">
        <f>IF(TrRoad_act!P23=0,0,P48/TrRoad_act!P23*1000)</f>
        <v>700.41087630895697</v>
      </c>
      <c r="Q107" s="87">
        <f>IF(TrRoad_act!Q23=0,0,Q48/TrRoad_act!Q23*1000)</f>
        <v>527.04102166845041</v>
      </c>
      <c r="R107" s="87">
        <f>IF(TrRoad_act!R23=0,0,R48/TrRoad_act!R23*1000)</f>
        <v>526.8244494904601</v>
      </c>
      <c r="S107" s="87">
        <f>IF(TrRoad_act!S23=0,0,S48/TrRoad_act!S23*1000)</f>
        <v>513.85591840608083</v>
      </c>
      <c r="T107" s="87">
        <f>IF(TrRoad_act!T23=0,0,T48/TrRoad_act!T23*1000)</f>
        <v>588.97082914784426</v>
      </c>
      <c r="U107" s="87">
        <f>IF(TrRoad_act!U23=0,0,U48/TrRoad_act!U23*1000)</f>
        <v>639.62536008417248</v>
      </c>
      <c r="V107" s="87">
        <f>IF(TrRoad_act!V23=0,0,V48/TrRoad_act!V23*1000)</f>
        <v>405.61846798784347</v>
      </c>
      <c r="W107" s="87">
        <f>IF(TrRoad_act!W23=0,0,W48/TrRoad_act!W23*1000)</f>
        <v>444.5977880313464</v>
      </c>
      <c r="X107" s="87">
        <f>IF(TrRoad_act!X23=0,0,X48/TrRoad_act!X23*1000)</f>
        <v>420.34641677024445</v>
      </c>
      <c r="Y107" s="87">
        <f>IF(TrRoad_act!Y23=0,0,Y48/TrRoad_act!Y23*1000)</f>
        <v>605.86463537313489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X108" s="87">
        <f>IF(TrRoad_act!X24=0,0,X49/TrRoad_act!X24*1000)</f>
        <v>0</v>
      </c>
      <c r="Y108" s="87">
        <f>IF(TrRoad_act!Y24=0,0,Y49/TrRoad_act!Y24*1000)</f>
        <v>0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59.390663293038365</v>
      </c>
      <c r="I109" s="87">
        <f>IF(TrRoad_act!I25=0,0,I51/TrRoad_act!I25*1000)</f>
        <v>59.411748156563689</v>
      </c>
      <c r="J109" s="87">
        <f>IF(TrRoad_act!J25=0,0,J51/TrRoad_act!J25*1000)</f>
        <v>59.419671937217977</v>
      </c>
      <c r="K109" s="87">
        <f>IF(TrRoad_act!K25=0,0,K51/TrRoad_act!K25*1000)</f>
        <v>59.692745789393996</v>
      </c>
      <c r="L109" s="87">
        <f>IF(TrRoad_act!L25=0,0,L51/TrRoad_act!L25*1000)</f>
        <v>59.695614224886974</v>
      </c>
      <c r="M109" s="87">
        <f>IF(TrRoad_act!M25=0,0,M51/TrRoad_act!M25*1000)</f>
        <v>59.698782997503123</v>
      </c>
      <c r="N109" s="87">
        <f>IF(TrRoad_act!N25=0,0,N51/TrRoad_act!N25*1000)</f>
        <v>60.565394366071807</v>
      </c>
      <c r="O109" s="87">
        <f>IF(TrRoad_act!O25=0,0,O51/TrRoad_act!O25*1000)</f>
        <v>58.594740429200257</v>
      </c>
      <c r="P109" s="87">
        <f>IF(TrRoad_act!P25=0,0,P51/TrRoad_act!P25*1000)</f>
        <v>58.658986918794206</v>
      </c>
      <c r="Q109" s="87">
        <f>IF(TrRoad_act!Q25=0,0,Q51/TrRoad_act!Q25*1000)</f>
        <v>59.702634748746249</v>
      </c>
      <c r="R109" s="87">
        <f>IF(TrRoad_act!R25=0,0,R51/TrRoad_act!R25*1000)</f>
        <v>60.406361431657849</v>
      </c>
      <c r="S109" s="87">
        <f>IF(TrRoad_act!S25=0,0,S51/TrRoad_act!S25*1000)</f>
        <v>61.573924965193306</v>
      </c>
      <c r="T109" s="87">
        <f>IF(TrRoad_act!T25=0,0,T51/TrRoad_act!T25*1000)</f>
        <v>63.809534549601118</v>
      </c>
      <c r="U109" s="87">
        <f>IF(TrRoad_act!U25=0,0,U51/TrRoad_act!U25*1000)</f>
        <v>72.620057249261322</v>
      </c>
      <c r="V109" s="87">
        <f>IF(TrRoad_act!V25=0,0,V51/TrRoad_act!V25*1000)</f>
        <v>78.311227995992056</v>
      </c>
      <c r="W109" s="87">
        <f>IF(TrRoad_act!W25=0,0,W51/TrRoad_act!W25*1000)</f>
        <v>83.995769658360899</v>
      </c>
      <c r="X109" s="87">
        <f>IF(TrRoad_act!X25=0,0,X51/TrRoad_act!X25*1000)</f>
        <v>95.604983119175785</v>
      </c>
      <c r="Y109" s="87">
        <f>IF(TrRoad_act!Y25=0,0,Y51/TrRoad_act!Y25*1000)</f>
        <v>97.886949126171871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447.1603203900529</v>
      </c>
      <c r="C110" s="116">
        <f>IF(TrRoad_act!C26=0,0,C52/TrRoad_act!C26*1000)</f>
        <v>440.57953847860045</v>
      </c>
      <c r="D110" s="116">
        <f>IF(TrRoad_act!D26=0,0,D52/TrRoad_act!D26*1000)</f>
        <v>425.07356315385431</v>
      </c>
      <c r="E110" s="116">
        <f>IF(TrRoad_act!E26=0,0,E52/TrRoad_act!E26*1000)</f>
        <v>495.87038994077295</v>
      </c>
      <c r="F110" s="116">
        <f>IF(TrRoad_act!F26=0,0,F52/TrRoad_act!F26*1000)</f>
        <v>605.90768107842655</v>
      </c>
      <c r="G110" s="116">
        <f>IF(TrRoad_act!G26=0,0,G52/TrRoad_act!G26*1000)</f>
        <v>690.33497167536984</v>
      </c>
      <c r="H110" s="116">
        <f>IF(TrRoad_act!H26=0,0,H52/TrRoad_act!H26*1000)</f>
        <v>650.28076908830622</v>
      </c>
      <c r="I110" s="116">
        <f>IF(TrRoad_act!I26=0,0,I52/TrRoad_act!I26*1000)</f>
        <v>584.3456419812843</v>
      </c>
      <c r="J110" s="116">
        <f>IF(TrRoad_act!J26=0,0,J52/TrRoad_act!J26*1000)</f>
        <v>540.83382711514992</v>
      </c>
      <c r="K110" s="116">
        <f>IF(TrRoad_act!K26=0,0,K52/TrRoad_act!K26*1000)</f>
        <v>522.53101781732209</v>
      </c>
      <c r="L110" s="116">
        <f>IF(TrRoad_act!L26=0,0,L52/TrRoad_act!L26*1000)</f>
        <v>550.37136053490065</v>
      </c>
      <c r="M110" s="116">
        <f>IF(TrRoad_act!M26=0,0,M52/TrRoad_act!M26*1000)</f>
        <v>565.33070629032932</v>
      </c>
      <c r="N110" s="116">
        <f>IF(TrRoad_act!N26=0,0,N52/TrRoad_act!N26*1000)</f>
        <v>410.87045842351154</v>
      </c>
      <c r="O110" s="116">
        <f>IF(TrRoad_act!O26=0,0,O52/TrRoad_act!O26*1000)</f>
        <v>463.01315533785015</v>
      </c>
      <c r="P110" s="116">
        <f>IF(TrRoad_act!P26=0,0,P52/TrRoad_act!P26*1000)</f>
        <v>366.79597812432348</v>
      </c>
      <c r="Q110" s="116">
        <f>IF(TrRoad_act!Q26=0,0,Q52/TrRoad_act!Q26*1000)</f>
        <v>387.92589074974279</v>
      </c>
      <c r="R110" s="116">
        <f>IF(TrRoad_act!R26=0,0,R52/TrRoad_act!R26*1000)</f>
        <v>350.15515670483671</v>
      </c>
      <c r="S110" s="116">
        <f>IF(TrRoad_act!S26=0,0,S52/TrRoad_act!S26*1000)</f>
        <v>364.98996646730325</v>
      </c>
      <c r="T110" s="116">
        <f>IF(TrRoad_act!T26=0,0,T52/TrRoad_act!T26*1000)</f>
        <v>471.74139558134658</v>
      </c>
      <c r="U110" s="116">
        <f>IF(TrRoad_act!U26=0,0,U52/TrRoad_act!U26*1000)</f>
        <v>488.00122736639639</v>
      </c>
      <c r="V110" s="116">
        <f>IF(TrRoad_act!V26=0,0,V52/TrRoad_act!V26*1000)</f>
        <v>425.35380216604602</v>
      </c>
      <c r="W110" s="116">
        <f>IF(TrRoad_act!W26=0,0,W52/TrRoad_act!W26*1000)</f>
        <v>391.65289462090681</v>
      </c>
      <c r="X110" s="116">
        <f>IF(TrRoad_act!X26=0,0,X52/TrRoad_act!X26*1000)</f>
        <v>294.18743896078007</v>
      </c>
      <c r="Y110" s="116">
        <f>IF(TrRoad_act!Y26=0,0,Y52/TrRoad_act!Y26*1000)</f>
        <v>296.78239071769724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66.352156385377967</v>
      </c>
      <c r="C111" s="101">
        <f>IF(TrRoad_act!C27=0,0,C53/TrRoad_act!C27*1000)</f>
        <v>64.384258059700329</v>
      </c>
      <c r="D111" s="101">
        <f>IF(TrRoad_act!D27=0,0,D53/TrRoad_act!D27*1000)</f>
        <v>62.369504059595734</v>
      </c>
      <c r="E111" s="101">
        <f>IF(TrRoad_act!E27=0,0,E53/TrRoad_act!E27*1000)</f>
        <v>64.719948087543386</v>
      </c>
      <c r="F111" s="101">
        <f>IF(TrRoad_act!F27=0,0,F53/TrRoad_act!F27*1000)</f>
        <v>66.879862661335267</v>
      </c>
      <c r="G111" s="101">
        <f>IF(TrRoad_act!G27=0,0,G53/TrRoad_act!G27*1000)</f>
        <v>71.803474793839499</v>
      </c>
      <c r="H111" s="101">
        <f>IF(TrRoad_act!H27=0,0,H53/TrRoad_act!H27*1000)</f>
        <v>70.810809387064722</v>
      </c>
      <c r="I111" s="101">
        <f>IF(TrRoad_act!I27=0,0,I53/TrRoad_act!I27*1000)</f>
        <v>67.67910511362355</v>
      </c>
      <c r="J111" s="101">
        <f>IF(TrRoad_act!J27=0,0,J53/TrRoad_act!J27*1000)</f>
        <v>61.704327342369666</v>
      </c>
      <c r="K111" s="101">
        <f>IF(TrRoad_act!K27=0,0,K53/TrRoad_act!K27*1000)</f>
        <v>41.853339530764259</v>
      </c>
      <c r="L111" s="101">
        <f>IF(TrRoad_act!L27=0,0,L53/TrRoad_act!L27*1000)</f>
        <v>43.482643748644143</v>
      </c>
      <c r="M111" s="101">
        <f>IF(TrRoad_act!M27=0,0,M53/TrRoad_act!M27*1000)</f>
        <v>41.703431411209195</v>
      </c>
      <c r="N111" s="101">
        <f>IF(TrRoad_act!N27=0,0,N53/TrRoad_act!N27*1000)</f>
        <v>38.16658942253855</v>
      </c>
      <c r="O111" s="101">
        <f>IF(TrRoad_act!O27=0,0,O53/TrRoad_act!O27*1000)</f>
        <v>41.122679815210383</v>
      </c>
      <c r="P111" s="101">
        <f>IF(TrRoad_act!P27=0,0,P53/TrRoad_act!P27*1000)</f>
        <v>36.70794531539255</v>
      </c>
      <c r="Q111" s="101">
        <f>IF(TrRoad_act!Q27=0,0,Q53/TrRoad_act!Q27*1000)</f>
        <v>36.995889123535726</v>
      </c>
      <c r="R111" s="101">
        <f>IF(TrRoad_act!R27=0,0,R53/TrRoad_act!R27*1000)</f>
        <v>34.316045902263753</v>
      </c>
      <c r="S111" s="101">
        <f>IF(TrRoad_act!S27=0,0,S53/TrRoad_act!S27*1000)</f>
        <v>34.870172566977203</v>
      </c>
      <c r="T111" s="101">
        <f>IF(TrRoad_act!T27=0,0,T53/TrRoad_act!T27*1000)</f>
        <v>57.008298063789056</v>
      </c>
      <c r="U111" s="101">
        <f>IF(TrRoad_act!U27=0,0,U53/TrRoad_act!U27*1000)</f>
        <v>55.238432733605556</v>
      </c>
      <c r="V111" s="101">
        <f>IF(TrRoad_act!V27=0,0,V53/TrRoad_act!V27*1000)</f>
        <v>58.707236606120837</v>
      </c>
      <c r="W111" s="101">
        <f>IF(TrRoad_act!W27=0,0,W53/TrRoad_act!W27*1000)</f>
        <v>56.642116223608319</v>
      </c>
      <c r="X111" s="101">
        <f>IF(TrRoad_act!X27=0,0,X53/TrRoad_act!X27*1000)</f>
        <v>55.198069499758773</v>
      </c>
      <c r="Y111" s="101">
        <f>IF(TrRoad_act!Y27=0,0,Y53/TrRoad_act!Y27*1000)</f>
        <v>59.443799985191006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605.29885120684798</v>
      </c>
      <c r="C112" s="88">
        <f>IF(TrRoad_act!C28=0,0,C55/TrRoad_act!C28*1000)</f>
        <v>611.71786127048915</v>
      </c>
      <c r="D112" s="88">
        <f>IF(TrRoad_act!D28=0,0,D55/TrRoad_act!D28*1000)</f>
        <v>611.59977900375486</v>
      </c>
      <c r="E112" s="88">
        <f>IF(TrRoad_act!E28=0,0,E55/TrRoad_act!E28*1000)</f>
        <v>707.34670042185905</v>
      </c>
      <c r="F112" s="88">
        <f>IF(TrRoad_act!F28=0,0,F55/TrRoad_act!F28*1000)</f>
        <v>827.23654011534745</v>
      </c>
      <c r="G112" s="88">
        <f>IF(TrRoad_act!G28=0,0,G55/TrRoad_act!G28*1000)</f>
        <v>910.96792830092215</v>
      </c>
      <c r="H112" s="88">
        <f>IF(TrRoad_act!H28=0,0,H55/TrRoad_act!H28*1000)</f>
        <v>883.41120843015983</v>
      </c>
      <c r="I112" s="88">
        <f>IF(TrRoad_act!I28=0,0,I55/TrRoad_act!I28*1000)</f>
        <v>779.24790518598456</v>
      </c>
      <c r="J112" s="88">
        <f>IF(TrRoad_act!J28=0,0,J55/TrRoad_act!J28*1000)</f>
        <v>704.42645423239776</v>
      </c>
      <c r="K112" s="88">
        <f>IF(TrRoad_act!K28=0,0,K55/TrRoad_act!K28*1000)</f>
        <v>700.55019675445556</v>
      </c>
      <c r="L112" s="88">
        <f>IF(TrRoad_act!L28=0,0,L55/TrRoad_act!L28*1000)</f>
        <v>740.46448196856545</v>
      </c>
      <c r="M112" s="88">
        <f>IF(TrRoad_act!M28=0,0,M55/TrRoad_act!M28*1000)</f>
        <v>791.16849801931949</v>
      </c>
      <c r="N112" s="88">
        <f>IF(TrRoad_act!N28=0,0,N55/TrRoad_act!N28*1000)</f>
        <v>641.46264571943595</v>
      </c>
      <c r="O112" s="88">
        <f>IF(TrRoad_act!O28=0,0,O55/TrRoad_act!O28*1000)</f>
        <v>657.84862943038877</v>
      </c>
      <c r="P112" s="88">
        <f>IF(TrRoad_act!P28=0,0,P55/TrRoad_act!P28*1000)</f>
        <v>575.83945406184228</v>
      </c>
      <c r="Q112" s="88">
        <f>IF(TrRoad_act!Q28=0,0,Q55/TrRoad_act!Q28*1000)</f>
        <v>614.68960262083579</v>
      </c>
      <c r="R112" s="88">
        <f>IF(TrRoad_act!R28=0,0,R55/TrRoad_act!R28*1000)</f>
        <v>559.45806934854204</v>
      </c>
      <c r="S112" s="88">
        <f>IF(TrRoad_act!S28=0,0,S55/TrRoad_act!S28*1000)</f>
        <v>561.20925417838157</v>
      </c>
      <c r="T112" s="88">
        <f>IF(TrRoad_act!T28=0,0,T55/TrRoad_act!T28*1000)</f>
        <v>632.80520956325518</v>
      </c>
      <c r="U112" s="88">
        <f>IF(TrRoad_act!U28=0,0,U55/TrRoad_act!U28*1000)</f>
        <v>655.57955616093352</v>
      </c>
      <c r="V112" s="88">
        <f>IF(TrRoad_act!V28=0,0,V55/TrRoad_act!V28*1000)</f>
        <v>544.38581932050715</v>
      </c>
      <c r="W112" s="88">
        <f>IF(TrRoad_act!W28=0,0,W55/TrRoad_act!W28*1000)</f>
        <v>513.52852050533693</v>
      </c>
      <c r="X112" s="88">
        <f>IF(TrRoad_act!X28=0,0,X55/TrRoad_act!X28*1000)</f>
        <v>375.51021051348874</v>
      </c>
      <c r="Y112" s="88">
        <f>IF(TrRoad_act!Y28=0,0,Y55/TrRoad_act!Y28*1000)</f>
        <v>372.56472571194956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174.52578354290952</v>
      </c>
      <c r="C116" s="152">
        <f>IF(C19=0,0,1000000*C19/TrRoad_act!C59)</f>
        <v>158.48654532001487</v>
      </c>
      <c r="D116" s="152">
        <f>IF(D19=0,0,1000000*D19/TrRoad_act!D59)</f>
        <v>147.62855810860597</v>
      </c>
      <c r="E116" s="152">
        <f>IF(E19=0,0,1000000*E19/TrRoad_act!E59)</f>
        <v>133.61254931981881</v>
      </c>
      <c r="F116" s="152">
        <f>IF(F19=0,0,1000000*F19/TrRoad_act!F59)</f>
        <v>128.32979727531387</v>
      </c>
      <c r="G116" s="152">
        <f>IF(G19=0,0,1000000*G19/TrRoad_act!G59)</f>
        <v>119.64132801504149</v>
      </c>
      <c r="H116" s="152">
        <f>IF(H19=0,0,1000000*H19/TrRoad_act!H59)</f>
        <v>111.05352223791742</v>
      </c>
      <c r="I116" s="152">
        <f>IF(I19=0,0,1000000*I19/TrRoad_act!I59)</f>
        <v>102.95190446310123</v>
      </c>
      <c r="J116" s="152">
        <f>IF(J19=0,0,1000000*J19/TrRoad_act!J59)</f>
        <v>96.98166431307213</v>
      </c>
      <c r="K116" s="152">
        <f>IF(K19=0,0,1000000*K19/TrRoad_act!K59)</f>
        <v>92.47044085938434</v>
      </c>
      <c r="L116" s="152">
        <f>IF(L19=0,0,1000000*L19/TrRoad_act!L59)</f>
        <v>88.483211287536022</v>
      </c>
      <c r="M116" s="152">
        <f>IF(M19=0,0,1000000*M19/TrRoad_act!M59)</f>
        <v>85.53450395978885</v>
      </c>
      <c r="N116" s="152">
        <f>IF(N19=0,0,1000000*N19/TrRoad_act!N59)</f>
        <v>85.365087898224957</v>
      </c>
      <c r="O116" s="152">
        <f>IF(O19=0,0,1000000*O19/TrRoad_act!O59)</f>
        <v>82.216174039583507</v>
      </c>
      <c r="P116" s="152">
        <f>IF(P19=0,0,1000000*P19/TrRoad_act!P59)</f>
        <v>80.116407737760639</v>
      </c>
      <c r="Q116" s="152">
        <f>IF(Q19=0,0,1000000*Q19/TrRoad_act!Q59)</f>
        <v>79.799130732143198</v>
      </c>
      <c r="R116" s="152">
        <f>IF(R19=0,0,1000000*R19/TrRoad_act!R59)</f>
        <v>79.897943449012715</v>
      </c>
      <c r="S116" s="152">
        <f>IF(S19=0,0,1000000*S19/TrRoad_act!S59)</f>
        <v>74.385842298120721</v>
      </c>
      <c r="T116" s="152">
        <f>IF(T19=0,0,1000000*T19/TrRoad_act!T59)</f>
        <v>70.157940456198759</v>
      </c>
      <c r="U116" s="152">
        <f>IF(U19=0,0,1000000*U19/TrRoad_act!U59)</f>
        <v>72.71040307632569</v>
      </c>
      <c r="V116" s="152">
        <f>IF(V19=0,0,1000000*V19/TrRoad_act!V59)</f>
        <v>62.095600982249586</v>
      </c>
      <c r="W116" s="152">
        <f>IF(W19=0,0,1000000*W19/TrRoad_act!W59)</f>
        <v>61.266918705695339</v>
      </c>
      <c r="X116" s="152">
        <f>IF(X19=0,0,1000000*X19/TrRoad_act!X59)</f>
        <v>59.518776853007914</v>
      </c>
      <c r="Y116" s="152">
        <f>IF(Y19=0,0,1000000*Y19/TrRoad_act!Y59)</f>
        <v>62.088311643459484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3223.6002679422804</v>
      </c>
      <c r="C117" s="116">
        <f>IF(C21=0,0,1000000*C21/TrRoad_act!C60)</f>
        <v>3236.611683784276</v>
      </c>
      <c r="D117" s="116">
        <f>IF(D21=0,0,1000000*D21/TrRoad_act!D60)</f>
        <v>3244.2603233916057</v>
      </c>
      <c r="E117" s="116">
        <f>IF(E21=0,0,1000000*E21/TrRoad_act!E60)</f>
        <v>3370.5721414835075</v>
      </c>
      <c r="F117" s="116">
        <f>IF(F21=0,0,1000000*F21/TrRoad_act!F60)</f>
        <v>3370.1937998408475</v>
      </c>
      <c r="G117" s="116">
        <f>IF(G21=0,0,1000000*G21/TrRoad_act!G60)</f>
        <v>3166.9194656764439</v>
      </c>
      <c r="H117" s="116">
        <f>IF(H21=0,0,1000000*H21/TrRoad_act!H60)</f>
        <v>2962.9264296394203</v>
      </c>
      <c r="I117" s="116">
        <f>IF(I21=0,0,1000000*I21/TrRoad_act!I60)</f>
        <v>2948.2346791730829</v>
      </c>
      <c r="J117" s="116">
        <f>IF(J21=0,0,1000000*J21/TrRoad_act!J60)</f>
        <v>2941.8671647597012</v>
      </c>
      <c r="K117" s="116">
        <f>IF(K21=0,0,1000000*K21/TrRoad_act!K60)</f>
        <v>2852.5528838240029</v>
      </c>
      <c r="L117" s="116">
        <f>IF(L21=0,0,1000000*L21/TrRoad_act!L60)</f>
        <v>2740.1933657058121</v>
      </c>
      <c r="M117" s="116">
        <f>IF(M21=0,0,1000000*M21/TrRoad_act!M60)</f>
        <v>2866.2164784605352</v>
      </c>
      <c r="N117" s="116">
        <f>IF(N21=0,0,1000000*N21/TrRoad_act!N60)</f>
        <v>2770.9829286184936</v>
      </c>
      <c r="O117" s="116">
        <f>IF(O21=0,0,1000000*O21/TrRoad_act!O60)</f>
        <v>2553.9894521366418</v>
      </c>
      <c r="P117" s="116">
        <f>IF(P21=0,0,1000000*P21/TrRoad_act!P60)</f>
        <v>2461.7155307566195</v>
      </c>
      <c r="Q117" s="116">
        <f>IF(Q21=0,0,1000000*Q21/TrRoad_act!Q60)</f>
        <v>2326.6566800517048</v>
      </c>
      <c r="R117" s="116">
        <f>IF(R21=0,0,1000000*R21/TrRoad_act!R60)</f>
        <v>2204.0547694404772</v>
      </c>
      <c r="S117" s="116">
        <f>IF(S21=0,0,1000000*S21/TrRoad_act!S60)</f>
        <v>2125.8603112250153</v>
      </c>
      <c r="T117" s="116">
        <f>IF(T21=0,0,1000000*T21/TrRoad_act!T60)</f>
        <v>2155.3869454150681</v>
      </c>
      <c r="U117" s="116">
        <f>IF(U21=0,0,1000000*U21/TrRoad_act!U60)</f>
        <v>2055.7030589417295</v>
      </c>
      <c r="V117" s="116">
        <f>IF(V21=0,0,1000000*V21/TrRoad_act!V60)</f>
        <v>1546.1290089183508</v>
      </c>
      <c r="W117" s="116">
        <f>IF(W21=0,0,1000000*W21/TrRoad_act!W60)</f>
        <v>1699.6834929831405</v>
      </c>
      <c r="X117" s="116">
        <f>IF(X21=0,0,1000000*X21/TrRoad_act!X60)</f>
        <v>1736.1718130695813</v>
      </c>
      <c r="Y117" s="116">
        <f>IF(Y21=0,0,1000000*Y21/TrRoad_act!Y60)</f>
        <v>1779.8460996162248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3051.8932862111674</v>
      </c>
      <c r="C118" s="87">
        <f>IF(C22=0,0,1000000*C22/TrRoad_act!C61)</f>
        <v>3105.1972209909395</v>
      </c>
      <c r="D118" s="87">
        <f>IF(D22=0,0,1000000*D22/TrRoad_act!D61)</f>
        <v>3142.1362561150013</v>
      </c>
      <c r="E118" s="87">
        <f>IF(E22=0,0,1000000*E22/TrRoad_act!E61)</f>
        <v>3315.7444050245986</v>
      </c>
      <c r="F118" s="87">
        <f>IF(F22=0,0,1000000*F22/TrRoad_act!F61)</f>
        <v>3406.213900721054</v>
      </c>
      <c r="G118" s="87">
        <f>IF(G22=0,0,1000000*G22/TrRoad_act!G61)</f>
        <v>3296.9080731021768</v>
      </c>
      <c r="H118" s="87">
        <f>IF(H22=0,0,1000000*H22/TrRoad_act!H61)</f>
        <v>3149.019011475943</v>
      </c>
      <c r="I118" s="87">
        <f>IF(I22=0,0,1000000*I22/TrRoad_act!I61)</f>
        <v>3212.5693921844477</v>
      </c>
      <c r="J118" s="87">
        <f>IF(J22=0,0,1000000*J22/TrRoad_act!J61)</f>
        <v>3200.135711205121</v>
      </c>
      <c r="K118" s="87">
        <f>IF(K22=0,0,1000000*K22/TrRoad_act!K61)</f>
        <v>3085.7765419654879</v>
      </c>
      <c r="L118" s="87">
        <f>IF(L22=0,0,1000000*L22/TrRoad_act!L61)</f>
        <v>2955.4935781710501</v>
      </c>
      <c r="M118" s="87">
        <f>IF(M22=0,0,1000000*M22/TrRoad_act!M61)</f>
        <v>3073.2921776727176</v>
      </c>
      <c r="N118" s="87">
        <f>IF(N22=0,0,1000000*N22/TrRoad_act!N61)</f>
        <v>2927.8224774599648</v>
      </c>
      <c r="O118" s="87">
        <f>IF(O22=0,0,1000000*O22/TrRoad_act!O61)</f>
        <v>2628.1985253242237</v>
      </c>
      <c r="P118" s="87">
        <f>IF(P22=0,0,1000000*P22/TrRoad_act!P61)</f>
        <v>2475.6891837598082</v>
      </c>
      <c r="Q118" s="87">
        <f>IF(Q22=0,0,1000000*Q22/TrRoad_act!Q61)</f>
        <v>2270.5446956726878</v>
      </c>
      <c r="R118" s="87">
        <f>IF(R22=0,0,1000000*R22/TrRoad_act!R61)</f>
        <v>2101.3045700161347</v>
      </c>
      <c r="S118" s="87">
        <f>IF(S22=0,0,1000000*S22/TrRoad_act!S61)</f>
        <v>2003.2156132673663</v>
      </c>
      <c r="T118" s="87">
        <f>IF(T22=0,0,1000000*T22/TrRoad_act!T61)</f>
        <v>2001.4057417748913</v>
      </c>
      <c r="U118" s="87">
        <f>IF(U22=0,0,1000000*U22/TrRoad_act!U61)</f>
        <v>1931.9798758452812</v>
      </c>
      <c r="V118" s="87">
        <f>IF(V22=0,0,1000000*V22/TrRoad_act!V61)</f>
        <v>1405.8672105773132</v>
      </c>
      <c r="W118" s="87">
        <f>IF(W22=0,0,1000000*W22/TrRoad_act!W61)</f>
        <v>1645.361372084604</v>
      </c>
      <c r="X118" s="87">
        <f>IF(X22=0,0,1000000*X22/TrRoad_act!X61)</f>
        <v>1635.4931535833452</v>
      </c>
      <c r="Y118" s="87">
        <f>IF(Y22=0,0,1000000*Y22/TrRoad_act!Y61)</f>
        <v>1769.8110842108433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3713.867806295561</v>
      </c>
      <c r="C119" s="87">
        <f>IF(C24=0,0,1000000*C24/TrRoad_act!C62)</f>
        <v>3564.7953337378185</v>
      </c>
      <c r="D119" s="87">
        <f>IF(D24=0,0,1000000*D24/TrRoad_act!D62)</f>
        <v>3467.6250107592991</v>
      </c>
      <c r="E119" s="87">
        <f>IF(E24=0,0,1000000*E24/TrRoad_act!E62)</f>
        <v>3501.0384023045308</v>
      </c>
      <c r="F119" s="87">
        <f>IF(F24=0,0,1000000*F24/TrRoad_act!F62)</f>
        <v>3364.0974194335654</v>
      </c>
      <c r="G119" s="87">
        <f>IF(G24=0,0,1000000*G24/TrRoad_act!G62)</f>
        <v>3068.3009579211348</v>
      </c>
      <c r="H119" s="87">
        <f>IF(H24=0,0,1000000*H24/TrRoad_act!H62)</f>
        <v>2816.045601365347</v>
      </c>
      <c r="I119" s="87">
        <f>IF(I24=0,0,1000000*I24/TrRoad_act!I62)</f>
        <v>2756.9062184410254</v>
      </c>
      <c r="J119" s="87">
        <f>IF(J24=0,0,1000000*J24/TrRoad_act!J62)</f>
        <v>2774.6688848878343</v>
      </c>
      <c r="K119" s="87">
        <f>IF(K24=0,0,1000000*K24/TrRoad_act!K62)</f>
        <v>2719.9783123305506</v>
      </c>
      <c r="L119" s="87">
        <f>IF(L24=0,0,1000000*L24/TrRoad_act!L62)</f>
        <v>2629.4371449282153</v>
      </c>
      <c r="M119" s="87">
        <f>IF(M24=0,0,1000000*M24/TrRoad_act!M62)</f>
        <v>2769.7261264124768</v>
      </c>
      <c r="N119" s="87">
        <f>IF(N24=0,0,1000000*N24/TrRoad_act!N62)</f>
        <v>2698.7418379010464</v>
      </c>
      <c r="O119" s="87">
        <f>IF(O24=0,0,1000000*O24/TrRoad_act!O62)</f>
        <v>2530.0567678827019</v>
      </c>
      <c r="P119" s="87">
        <f>IF(P24=0,0,1000000*P24/TrRoad_act!P62)</f>
        <v>2470.0781191330693</v>
      </c>
      <c r="Q119" s="87">
        <f>IF(Q24=0,0,1000000*Q24/TrRoad_act!Q62)</f>
        <v>2373.3108469518756</v>
      </c>
      <c r="R119" s="87">
        <f>IF(R24=0,0,1000000*R24/TrRoad_act!R62)</f>
        <v>2277.8282247709262</v>
      </c>
      <c r="S119" s="87">
        <f>IF(S24=0,0,1000000*S24/TrRoad_act!S62)</f>
        <v>2219.6463287530028</v>
      </c>
      <c r="T119" s="87">
        <f>IF(T24=0,0,1000000*T24/TrRoad_act!T62)</f>
        <v>2280.6818415095622</v>
      </c>
      <c r="U119" s="87">
        <f>IF(U24=0,0,1000000*U24/TrRoad_act!U62)</f>
        <v>2182.9268724738326</v>
      </c>
      <c r="V119" s="87">
        <f>IF(V24=0,0,1000000*V24/TrRoad_act!V62)</f>
        <v>1705.3542020275383</v>
      </c>
      <c r="W119" s="87">
        <f>IF(W24=0,0,1000000*W24/TrRoad_act!W62)</f>
        <v>1850.0877897447192</v>
      </c>
      <c r="X119" s="87">
        <f>IF(X24=0,0,1000000*X24/TrRoad_act!X62)</f>
        <v>2004.0797516866621</v>
      </c>
      <c r="Y119" s="87">
        <f>IF(Y24=0,0,1000000*Y24/TrRoad_act!Y62)</f>
        <v>2088.3408284452612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891.44846422572925</v>
      </c>
      <c r="C120" s="87">
        <f>IF(C26=0,0,1000000*C26/TrRoad_act!C63)</f>
        <v>1239.5805610950915</v>
      </c>
      <c r="D120" s="87">
        <f>IF(D26=0,0,1000000*D26/TrRoad_act!D63)</f>
        <v>1582.5548952502913</v>
      </c>
      <c r="E120" s="87">
        <f>IF(E26=0,0,1000000*E26/TrRoad_act!E63)</f>
        <v>1253.2489399056458</v>
      </c>
      <c r="F120" s="87">
        <f>IF(F26=0,0,1000000*F26/TrRoad_act!F63)</f>
        <v>1318.4178847807393</v>
      </c>
      <c r="G120" s="87">
        <f>IF(G26=0,0,1000000*G26/TrRoad_act!G63)</f>
        <v>921.3502995037411</v>
      </c>
      <c r="H120" s="87">
        <f>IF(H26=0,0,1000000*H26/TrRoad_act!H63)</f>
        <v>939.06857449419749</v>
      </c>
      <c r="I120" s="87">
        <f>IF(I26=0,0,1000000*I26/TrRoad_act!I63)</f>
        <v>1979.6580759607411</v>
      </c>
      <c r="J120" s="87">
        <f>IF(J26=0,0,1000000*J26/TrRoad_act!J63)</f>
        <v>1924.1860458112283</v>
      </c>
      <c r="K120" s="87">
        <f>IF(K26=0,0,1000000*K26/TrRoad_act!K63)</f>
        <v>1193.3294841067093</v>
      </c>
      <c r="L120" s="87">
        <f>IF(L26=0,0,1000000*L26/TrRoad_act!L63)</f>
        <v>1183.6403311945683</v>
      </c>
      <c r="M120" s="87">
        <f>IF(M26=0,0,1000000*M26/TrRoad_act!M63)</f>
        <v>571.77197679063306</v>
      </c>
      <c r="N120" s="87">
        <f>IF(N26=0,0,1000000*N26/TrRoad_act!N63)</f>
        <v>1543.0467985284886</v>
      </c>
      <c r="O120" s="87">
        <f>IF(O26=0,0,1000000*O26/TrRoad_act!O63)</f>
        <v>944.45225538710133</v>
      </c>
      <c r="P120" s="87">
        <f>IF(P26=0,0,1000000*P26/TrRoad_act!P63)</f>
        <v>1106.1957475937447</v>
      </c>
      <c r="Q120" s="87">
        <f>IF(Q26=0,0,1000000*Q26/TrRoad_act!Q63)</f>
        <v>550.06063936296925</v>
      </c>
      <c r="R120" s="87">
        <f>IF(R26=0,0,1000000*R26/TrRoad_act!R63)</f>
        <v>588.03887720979913</v>
      </c>
      <c r="S120" s="87">
        <f>IF(S26=0,0,1000000*S26/TrRoad_act!S63)</f>
        <v>569.57282542060648</v>
      </c>
      <c r="T120" s="87">
        <f>IF(T26=0,0,1000000*T26/TrRoad_act!T63)</f>
        <v>873.08919713104353</v>
      </c>
      <c r="U120" s="87">
        <f>IF(U26=0,0,1000000*U26/TrRoad_act!U63)</f>
        <v>1114.5072909924286</v>
      </c>
      <c r="V120" s="87">
        <f>IF(V26=0,0,1000000*V26/TrRoad_act!V63)</f>
        <v>305.70622553308408</v>
      </c>
      <c r="W120" s="87">
        <f>IF(W26=0,0,1000000*W26/TrRoad_act!W63)</f>
        <v>714.02217299274241</v>
      </c>
      <c r="X120" s="87">
        <f>IF(X26=0,0,1000000*X26/TrRoad_act!X63)</f>
        <v>705.30446535066494</v>
      </c>
      <c r="Y120" s="87">
        <f>IF(Y26=0,0,1000000*Y26/TrRoad_act!Y63)</f>
        <v>1032.708652326894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X121" s="87">
        <f>IF(X27=0,0,1000000*X27/TrRoad_act!X64)</f>
        <v>0</v>
      </c>
      <c r="Y121" s="87">
        <f>IF(Y27=0,0,1000000*Y27/TrRoad_act!Y64)</f>
        <v>0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1565.4033345989067</v>
      </c>
      <c r="O122" s="87">
        <f>IF(O29=0,0,1000000*O29/TrRoad_act!O65)</f>
        <v>1503.3095973920633</v>
      </c>
      <c r="P122" s="87">
        <f>IF(P29=0,0,1000000*P29/TrRoad_act!P65)</f>
        <v>1384.3867692176043</v>
      </c>
      <c r="Q122" s="87">
        <f>IF(Q29=0,0,1000000*Q29/TrRoad_act!Q65)</f>
        <v>1304.2771896971324</v>
      </c>
      <c r="R122" s="87">
        <f>IF(R29=0,0,1000000*R29/TrRoad_act!R65)</f>
        <v>1134.2345710769498</v>
      </c>
      <c r="S122" s="87">
        <f>IF(S29=0,0,1000000*S29/TrRoad_act!S65)</f>
        <v>843.0925721602963</v>
      </c>
      <c r="T122" s="87">
        <f>IF(T29=0,0,1000000*T29/TrRoad_act!T65)</f>
        <v>856.05191336128632</v>
      </c>
      <c r="U122" s="87">
        <f>IF(U29=0,0,1000000*U29/TrRoad_act!U65)</f>
        <v>854.68179745694624</v>
      </c>
      <c r="V122" s="87">
        <f>IF(V29=0,0,1000000*V29/TrRoad_act!V65)</f>
        <v>627.69418193771094</v>
      </c>
      <c r="W122" s="87">
        <f>IF(W29=0,0,1000000*W29/TrRoad_act!W65)</f>
        <v>655.2928748905</v>
      </c>
      <c r="X122" s="87">
        <f>IF(X29=0,0,1000000*X29/TrRoad_act!X65)</f>
        <v>635.15421692939663</v>
      </c>
      <c r="Y122" s="87">
        <f>IF(Y29=0,0,1000000*Y29/TrRoad_act!Y65)</f>
        <v>650.3861386742617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196.25864931964122</v>
      </c>
      <c r="K123" s="87">
        <f>IF(K32=0,0,1000000*K32/TrRoad_act!K66)</f>
        <v>195.85079938983236</v>
      </c>
      <c r="L123" s="87">
        <f>IF(L32=0,0,1000000*L32/TrRoad_act!L66)</f>
        <v>194.70274752987979</v>
      </c>
      <c r="M123" s="87">
        <f>IF(M32=0,0,1000000*M32/TrRoad_act!M66)</f>
        <v>195.76404211955864</v>
      </c>
      <c r="N123" s="87">
        <f>IF(N32=0,0,1000000*N32/TrRoad_act!N66)</f>
        <v>187.08745744557743</v>
      </c>
      <c r="O123" s="87">
        <f>IF(O32=0,0,1000000*O32/TrRoad_act!O66)</f>
        <v>194.14155364411482</v>
      </c>
      <c r="P123" s="87">
        <f>IF(P32=0,0,1000000*P32/TrRoad_act!P66)</f>
        <v>189.59084539819364</v>
      </c>
      <c r="Q123" s="87">
        <f>IF(Q32=0,0,1000000*Q32/TrRoad_act!Q66)</f>
        <v>187.09619658708806</v>
      </c>
      <c r="R123" s="87">
        <f>IF(R32=0,0,1000000*R32/TrRoad_act!R66)</f>
        <v>182.06038679208845</v>
      </c>
      <c r="S123" s="87">
        <f>IF(S32=0,0,1000000*S32/TrRoad_act!S66)</f>
        <v>185.40178884326068</v>
      </c>
      <c r="T123" s="87">
        <f>IF(T32=0,0,1000000*T32/TrRoad_act!T66)</f>
        <v>196.74800793783996</v>
      </c>
      <c r="U123" s="87">
        <f>IF(U32=0,0,1000000*U32/TrRoad_act!U66)</f>
        <v>215.31980931686738</v>
      </c>
      <c r="V123" s="87">
        <f>IF(V32=0,0,1000000*V32/TrRoad_act!V66)</f>
        <v>219.56724731932593</v>
      </c>
      <c r="W123" s="87">
        <f>IF(W32=0,0,1000000*W32/TrRoad_act!W66)</f>
        <v>227.99920665986008</v>
      </c>
      <c r="X123" s="87">
        <f>IF(X32=0,0,1000000*X32/TrRoad_act!X66)</f>
        <v>225.88114706369706</v>
      </c>
      <c r="Y123" s="87">
        <f>IF(Y32=0,0,1000000*Y32/TrRoad_act!Y66)</f>
        <v>223.98094460526781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23190.476584134802</v>
      </c>
      <c r="C124" s="116">
        <f>IF(C33=0,0,1000000*C33/TrRoad_act!C67)</f>
        <v>22419.675959312692</v>
      </c>
      <c r="D124" s="116">
        <f>IF(D33=0,0,1000000*D33/TrRoad_act!D67)</f>
        <v>22625.279597349629</v>
      </c>
      <c r="E124" s="116">
        <f>IF(E33=0,0,1000000*E33/TrRoad_act!E67)</f>
        <v>21839.198858451196</v>
      </c>
      <c r="F124" s="116">
        <f>IF(F33=0,0,1000000*F33/TrRoad_act!F67)</f>
        <v>21130.463105121722</v>
      </c>
      <c r="G124" s="116">
        <f>IF(G33=0,0,1000000*G33/TrRoad_act!G67)</f>
        <v>20479.475085246941</v>
      </c>
      <c r="H124" s="116">
        <f>IF(H33=0,0,1000000*H33/TrRoad_act!H67)</f>
        <v>19803.288521008872</v>
      </c>
      <c r="I124" s="116">
        <f>IF(I33=0,0,1000000*I33/TrRoad_act!I67)</f>
        <v>19271.31884512354</v>
      </c>
      <c r="J124" s="116">
        <f>IF(J33=0,0,1000000*J33/TrRoad_act!J67)</f>
        <v>18753.40394568905</v>
      </c>
      <c r="K124" s="116">
        <f>IF(K33=0,0,1000000*K33/TrRoad_act!K67)</f>
        <v>18279.038841856182</v>
      </c>
      <c r="L124" s="116">
        <f>IF(L33=0,0,1000000*L33/TrRoad_act!L67)</f>
        <v>18542.841138643787</v>
      </c>
      <c r="M124" s="116">
        <f>IF(M33=0,0,1000000*M33/TrRoad_act!M67)</f>
        <v>18308.347573751249</v>
      </c>
      <c r="N124" s="116">
        <f>IF(N33=0,0,1000000*N33/TrRoad_act!N67)</f>
        <v>18057.625169658884</v>
      </c>
      <c r="O124" s="116">
        <f>IF(O33=0,0,1000000*O33/TrRoad_act!O67)</f>
        <v>17862.924517248473</v>
      </c>
      <c r="P124" s="116">
        <f>IF(P33=0,0,1000000*P33/TrRoad_act!P67)</f>
        <v>17607.888495835439</v>
      </c>
      <c r="Q124" s="116">
        <f>IF(Q33=0,0,1000000*Q33/TrRoad_act!Q67)</f>
        <v>17440.940354685412</v>
      </c>
      <c r="R124" s="116">
        <f>IF(R33=0,0,1000000*R33/TrRoad_act!R67)</f>
        <v>17381.287782512405</v>
      </c>
      <c r="S124" s="116">
        <f>IF(S33=0,0,1000000*S33/TrRoad_act!S67)</f>
        <v>17450.268553082726</v>
      </c>
      <c r="T124" s="116">
        <f>IF(T33=0,0,1000000*T33/TrRoad_act!T67)</f>
        <v>17041.693635202319</v>
      </c>
      <c r="U124" s="116">
        <f>IF(U33=0,0,1000000*U33/TrRoad_act!U67)</f>
        <v>16443.228327406934</v>
      </c>
      <c r="V124" s="116">
        <f>IF(V33=0,0,1000000*V33/TrRoad_act!V67)</f>
        <v>15443.518335907691</v>
      </c>
      <c r="W124" s="116">
        <f>IF(W33=0,0,1000000*W33/TrRoad_act!W67)</f>
        <v>14573.173070462455</v>
      </c>
      <c r="X124" s="116">
        <f>IF(X33=0,0,1000000*X33/TrRoad_act!X67)</f>
        <v>12963.624353623014</v>
      </c>
      <c r="Y124" s="116">
        <f>IF(Y33=0,0,1000000*Y33/TrRoad_act!Y67)</f>
        <v>11894.716280922041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1323.9003210894632</v>
      </c>
      <c r="U125" s="101">
        <f>IF(U34=0,0,1000000*U34/TrRoad_act!U68)</f>
        <v>1279.2652012167653</v>
      </c>
      <c r="V125" s="101">
        <f>IF(V34=0,0,1000000*V34/TrRoad_act!V68)</f>
        <v>1194.5288726932577</v>
      </c>
      <c r="W125" s="101">
        <f>IF(W34=0,0,1000000*W34/TrRoad_act!W68)</f>
        <v>1087.7624381255869</v>
      </c>
      <c r="X125" s="101">
        <f>IF(X34=0,0,1000000*X34/TrRoad_act!X68)</f>
        <v>983.4314415503685</v>
      </c>
      <c r="Y125" s="101">
        <f>IF(Y34=0,0,1000000*Y34/TrRoad_act!Y68)</f>
        <v>919.26993150419958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23190.476584134802</v>
      </c>
      <c r="C126" s="101">
        <f>IF(C36=0,0,1000000*C36/TrRoad_act!C69)</f>
        <v>22419.675959312692</v>
      </c>
      <c r="D126" s="101">
        <f>IF(D36=0,0,1000000*D36/TrRoad_act!D69)</f>
        <v>22625.279597349629</v>
      </c>
      <c r="E126" s="101">
        <f>IF(E36=0,0,1000000*E36/TrRoad_act!E69)</f>
        <v>21850.489424661591</v>
      </c>
      <c r="F126" s="101">
        <f>IF(F36=0,0,1000000*F36/TrRoad_act!F69)</f>
        <v>21139.662620761283</v>
      </c>
      <c r="G126" s="101">
        <f>IF(G36=0,0,1000000*G36/TrRoad_act!G69)</f>
        <v>20486.692297090533</v>
      </c>
      <c r="H126" s="101">
        <f>IF(H36=0,0,1000000*H36/TrRoad_act!H69)</f>
        <v>19808.792348918389</v>
      </c>
      <c r="I126" s="101">
        <f>IF(I36=0,0,1000000*I36/TrRoad_act!I69)</f>
        <v>19275.404910117188</v>
      </c>
      <c r="J126" s="101">
        <f>IF(J36=0,0,1000000*J36/TrRoad_act!J69)</f>
        <v>18756.215631064406</v>
      </c>
      <c r="K126" s="101">
        <f>IF(K36=0,0,1000000*K36/TrRoad_act!K69)</f>
        <v>18280.218149021381</v>
      </c>
      <c r="L126" s="101">
        <f>IF(L36=0,0,1000000*L36/TrRoad_act!L69)</f>
        <v>18544.31210224695</v>
      </c>
      <c r="M126" s="101">
        <f>IF(M36=0,0,1000000*M36/TrRoad_act!M69)</f>
        <v>18309.468396105854</v>
      </c>
      <c r="N126" s="101">
        <f>IF(N36=0,0,1000000*N36/TrRoad_act!N69)</f>
        <v>18058.421168553901</v>
      </c>
      <c r="O126" s="101">
        <f>IF(O36=0,0,1000000*O36/TrRoad_act!O69)</f>
        <v>17863.469566901185</v>
      </c>
      <c r="P126" s="101">
        <f>IF(P36=0,0,1000000*P36/TrRoad_act!P69)</f>
        <v>17608.121644948205</v>
      </c>
      <c r="Q126" s="101">
        <f>IF(Q36=0,0,1000000*Q36/TrRoad_act!Q69)</f>
        <v>17440.967032371878</v>
      </c>
      <c r="R126" s="101">
        <f>IF(R36=0,0,1000000*R36/TrRoad_act!R69)</f>
        <v>17381.259552092979</v>
      </c>
      <c r="S126" s="101">
        <f>IF(S36=0,0,1000000*S36/TrRoad_act!S69)</f>
        <v>17464.530130936062</v>
      </c>
      <c r="T126" s="101">
        <f>IF(T36=0,0,1000000*T36/TrRoad_act!T69)</f>
        <v>17105.178665248764</v>
      </c>
      <c r="U126" s="101">
        <f>IF(U36=0,0,1000000*U36/TrRoad_act!U69)</f>
        <v>16616.126582793815</v>
      </c>
      <c r="V126" s="101">
        <f>IF(V36=0,0,1000000*V36/TrRoad_act!V69)</f>
        <v>15648.569168224421</v>
      </c>
      <c r="W126" s="101">
        <f>IF(W36=0,0,1000000*W36/TrRoad_act!W69)</f>
        <v>14722.696013437802</v>
      </c>
      <c r="X126" s="101">
        <f>IF(X36=0,0,1000000*X36/TrRoad_act!X69)</f>
        <v>13072.604923182773</v>
      </c>
      <c r="Y126" s="101">
        <f>IF(Y36=0,0,1000000*Y36/TrRoad_act!Y69)</f>
        <v>11875.436166899697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X128" s="101">
        <f>IF(X39=0,0,1000000*X39/TrRoad_act!X71)</f>
        <v>0</v>
      </c>
      <c r="Y128" s="101">
        <f>IF(Y39=0,0,1000000*Y39/TrRoad_act!Y71)</f>
        <v>0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17232.647844609892</v>
      </c>
      <c r="F129" s="101">
        <f>IF(F41=0,0,1000000*F41/TrRoad_act!F72)</f>
        <v>17248.267505227694</v>
      </c>
      <c r="G129" s="101">
        <f>IF(G41=0,0,1000000*G41/TrRoad_act!G72)</f>
        <v>17263.004340285679</v>
      </c>
      <c r="H129" s="101">
        <f>IF(H41=0,0,1000000*H41/TrRoad_act!H72)</f>
        <v>17278.866119843806</v>
      </c>
      <c r="I129" s="101">
        <f>IF(I41=0,0,1000000*I41/TrRoad_act!I72)</f>
        <v>17293.663388197423</v>
      </c>
      <c r="J129" s="101">
        <f>IF(J41=0,0,1000000*J41/TrRoad_act!J72)</f>
        <v>17308.197662754908</v>
      </c>
      <c r="K129" s="101">
        <f>IF(K41=0,0,1000000*K41/TrRoad_act!K72)</f>
        <v>17323.210384464346</v>
      </c>
      <c r="L129" s="101">
        <f>IF(L41=0,0,1000000*L41/TrRoad_act!L72)</f>
        <v>17341.063874859876</v>
      </c>
      <c r="M129" s="101">
        <f>IF(M41=0,0,1000000*M41/TrRoad_act!M72)</f>
        <v>17355.088161156949</v>
      </c>
      <c r="N129" s="101">
        <f>IF(N41=0,0,1000000*N41/TrRoad_act!N72)</f>
        <v>17370.678123258502</v>
      </c>
      <c r="O129" s="101">
        <f>IF(O41=0,0,1000000*O41/TrRoad_act!O72)</f>
        <v>17384.098397341771</v>
      </c>
      <c r="P129" s="101">
        <f>IF(P41=0,0,1000000*P41/TrRoad_act!P72)</f>
        <v>17400.852083699334</v>
      </c>
      <c r="Q129" s="101">
        <f>IF(Q41=0,0,1000000*Q41/TrRoad_act!Q72)</f>
        <v>17416.196800490579</v>
      </c>
      <c r="R129" s="101">
        <f>IF(R41=0,0,1000000*R41/TrRoad_act!R72)</f>
        <v>17408.134911385434</v>
      </c>
      <c r="S129" s="101">
        <f>IF(S41=0,0,1000000*S41/TrRoad_act!S72)</f>
        <v>13965.095465173403</v>
      </c>
      <c r="T129" s="101">
        <f>IF(T41=0,0,1000000*T41/TrRoad_act!T72)</f>
        <v>13655.022513409995</v>
      </c>
      <c r="U129" s="101">
        <f>IF(U41=0,0,1000000*U41/TrRoad_act!U72)</f>
        <v>13303.371270355659</v>
      </c>
      <c r="V129" s="101">
        <f>IF(V41=0,0,1000000*V41/TrRoad_act!V72)</f>
        <v>12687.54014008247</v>
      </c>
      <c r="W129" s="101">
        <f>IF(W41=0,0,1000000*W41/TrRoad_act!W72)</f>
        <v>12926.24360162355</v>
      </c>
      <c r="X129" s="101">
        <f>IF(X41=0,0,1000000*X41/TrRoad_act!X72)</f>
        <v>12343.642258199734</v>
      </c>
      <c r="Y129" s="101">
        <f>IF(Y41=0,0,1000000*Y41/TrRoad_act!Y72)</f>
        <v>12083.276159958752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2466.7753161901169</v>
      </c>
      <c r="C131" s="152">
        <f>IF(C43=0,0,1000000*C43/TrRoad_act!C74)</f>
        <v>2341.6201697086108</v>
      </c>
      <c r="D131" s="152">
        <f>IF(D43=0,0,1000000*D43/TrRoad_act!D74)</f>
        <v>2292.9596647254202</v>
      </c>
      <c r="E131" s="152">
        <f>IF(E43=0,0,1000000*E43/TrRoad_act!E74)</f>
        <v>2235.7152925189562</v>
      </c>
      <c r="F131" s="152">
        <f>IF(F43=0,0,1000000*F43/TrRoad_act!F74)</f>
        <v>2165.2042815057362</v>
      </c>
      <c r="G131" s="152">
        <f>IF(G43=0,0,1000000*G43/TrRoad_act!G74)</f>
        <v>2117.1296594756277</v>
      </c>
      <c r="H131" s="152">
        <f>IF(H43=0,0,1000000*H43/TrRoad_act!H74)</f>
        <v>2085.9533883515346</v>
      </c>
      <c r="I131" s="152">
        <f>IF(I43=0,0,1000000*I43/TrRoad_act!I74)</f>
        <v>2089.6029133502334</v>
      </c>
      <c r="J131" s="152">
        <f>IF(J43=0,0,1000000*J43/TrRoad_act!J74)</f>
        <v>2034.6585736636716</v>
      </c>
      <c r="K131" s="152">
        <f>IF(K43=0,0,1000000*K43/TrRoad_act!K74)</f>
        <v>1970.9566237025153</v>
      </c>
      <c r="L131" s="152">
        <f>IF(L43=0,0,1000000*L43/TrRoad_act!L74)</f>
        <v>1977.4469527041438</v>
      </c>
      <c r="M131" s="152">
        <f>IF(M43=0,0,1000000*M43/TrRoad_act!M74)</f>
        <v>1991.6329948031098</v>
      </c>
      <c r="N131" s="152">
        <f>IF(N43=0,0,1000000*N43/TrRoad_act!N74)</f>
        <v>1919.2456339609867</v>
      </c>
      <c r="O131" s="152">
        <f>IF(O43=0,0,1000000*O43/TrRoad_act!O74)</f>
        <v>1843.6375298811258</v>
      </c>
      <c r="P131" s="152">
        <f>IF(P43=0,0,1000000*P43/TrRoad_act!P74)</f>
        <v>1872.241209347706</v>
      </c>
      <c r="Q131" s="152">
        <f>IF(Q43=0,0,1000000*Q43/TrRoad_act!Q74)</f>
        <v>1859.6416806680127</v>
      </c>
      <c r="R131" s="152">
        <f>IF(R43=0,0,1000000*R43/TrRoad_act!R74)</f>
        <v>1848.4918776882628</v>
      </c>
      <c r="S131" s="152">
        <f>IF(S43=0,0,1000000*S43/TrRoad_act!S74)</f>
        <v>1768.0198977518783</v>
      </c>
      <c r="T131" s="152">
        <f>IF(T43=0,0,1000000*T43/TrRoad_act!T74)</f>
        <v>1725.1151126994464</v>
      </c>
      <c r="U131" s="152">
        <f>IF(U43=0,0,1000000*U43/TrRoad_act!U74)</f>
        <v>1672.2289538567791</v>
      </c>
      <c r="V131" s="152">
        <f>IF(V43=0,0,1000000*V43/TrRoad_act!V74)</f>
        <v>1616.9908289317027</v>
      </c>
      <c r="W131" s="152">
        <f>IF(W43=0,0,1000000*W43/TrRoad_act!W74)</f>
        <v>1607.4840901472187</v>
      </c>
      <c r="X131" s="152">
        <f>IF(X43=0,0,1000000*X43/TrRoad_act!X74)</f>
        <v>1403.6158700511137</v>
      </c>
      <c r="Y131" s="152">
        <f>IF(Y43=0,0,1000000*Y43/TrRoad_act!Y74)</f>
        <v>1344.7887625619676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1226.2510412440936</v>
      </c>
      <c r="C132" s="87">
        <f>IF(C44=0,0,1000000*C44/TrRoad_act!C75)</f>
        <v>1189.011800780766</v>
      </c>
      <c r="D132" s="87">
        <f>IF(D44=0,0,1000000*D44/TrRoad_act!D75)</f>
        <v>1175.0471336936359</v>
      </c>
      <c r="E132" s="87">
        <f>IF(E44=0,0,1000000*E44/TrRoad_act!E75)</f>
        <v>1138.2802427909712</v>
      </c>
      <c r="F132" s="87">
        <f>IF(F44=0,0,1000000*F44/TrRoad_act!F75)</f>
        <v>1094.3573172201561</v>
      </c>
      <c r="G132" s="87">
        <f>IF(G44=0,0,1000000*G44/TrRoad_act!G75)</f>
        <v>1055.4354721191239</v>
      </c>
      <c r="H132" s="87">
        <f>IF(H44=0,0,1000000*H44/TrRoad_act!H75)</f>
        <v>1022.0148534296551</v>
      </c>
      <c r="I132" s="87">
        <f>IF(I44=0,0,1000000*I44/TrRoad_act!I75)</f>
        <v>1000.7560019125835</v>
      </c>
      <c r="J132" s="87">
        <f>IF(J44=0,0,1000000*J44/TrRoad_act!J75)</f>
        <v>946.16820057220775</v>
      </c>
      <c r="K132" s="87">
        <f>IF(K44=0,0,1000000*K44/TrRoad_act!K75)</f>
        <v>878.03963213011821</v>
      </c>
      <c r="L132" s="87">
        <f>IF(L44=0,0,1000000*L44/TrRoad_act!L75)</f>
        <v>857.02700981460998</v>
      </c>
      <c r="M132" s="87">
        <f>IF(M44=0,0,1000000*M44/TrRoad_act!M75)</f>
        <v>840.26574724042007</v>
      </c>
      <c r="N132" s="87">
        <f>IF(N44=0,0,1000000*N44/TrRoad_act!N75)</f>
        <v>798.51017533777076</v>
      </c>
      <c r="O132" s="87">
        <f>IF(O44=0,0,1000000*O44/TrRoad_act!O75)</f>
        <v>767.31719947529473</v>
      </c>
      <c r="P132" s="87">
        <f>IF(P44=0,0,1000000*P44/TrRoad_act!P75)</f>
        <v>782.49825496094593</v>
      </c>
      <c r="Q132" s="87">
        <f>IF(Q44=0,0,1000000*Q44/TrRoad_act!Q75)</f>
        <v>789.8862752449628</v>
      </c>
      <c r="R132" s="87">
        <f>IF(R44=0,0,1000000*R44/TrRoad_act!R75)</f>
        <v>788.87649003980653</v>
      </c>
      <c r="S132" s="87">
        <f>IF(S44=0,0,1000000*S44/TrRoad_act!S75)</f>
        <v>758.9025195126369</v>
      </c>
      <c r="T132" s="87">
        <f>IF(T44=0,0,1000000*T44/TrRoad_act!T75)</f>
        <v>757.66395910137646</v>
      </c>
      <c r="U132" s="87">
        <f>IF(U44=0,0,1000000*U44/TrRoad_act!U75)</f>
        <v>743.65293543719031</v>
      </c>
      <c r="V132" s="87">
        <f>IF(V44=0,0,1000000*V44/TrRoad_act!V75)</f>
        <v>716.78566011951625</v>
      </c>
      <c r="W132" s="87">
        <f>IF(W44=0,0,1000000*W44/TrRoad_act!W75)</f>
        <v>709.23148889233721</v>
      </c>
      <c r="X132" s="87">
        <f>IF(X44=0,0,1000000*X44/TrRoad_act!X75)</f>
        <v>619.11392121855897</v>
      </c>
      <c r="Y132" s="87">
        <f>IF(Y44=0,0,1000000*Y44/TrRoad_act!Y75)</f>
        <v>614.66508032604713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2749.5578152789622</v>
      </c>
      <c r="C133" s="87">
        <f>IF(C46=0,0,1000000*C46/TrRoad_act!C76)</f>
        <v>2556.7561338745968</v>
      </c>
      <c r="D133" s="87">
        <f>IF(D46=0,0,1000000*D46/TrRoad_act!D76)</f>
        <v>2468.3743398831989</v>
      </c>
      <c r="E133" s="87">
        <f>IF(E46=0,0,1000000*E46/TrRoad_act!E76)</f>
        <v>2384.1863492677185</v>
      </c>
      <c r="F133" s="87">
        <f>IF(F46=0,0,1000000*F46/TrRoad_act!F76)</f>
        <v>2286.781801313311</v>
      </c>
      <c r="G133" s="87">
        <f>IF(G46=0,0,1000000*G46/TrRoad_act!G76)</f>
        <v>2217.9764307315713</v>
      </c>
      <c r="H133" s="87">
        <f>IF(H46=0,0,1000000*H46/TrRoad_act!H76)</f>
        <v>2172.2434876685629</v>
      </c>
      <c r="I133" s="87">
        <f>IF(I46=0,0,1000000*I46/TrRoad_act!I76)</f>
        <v>2165.9099567402359</v>
      </c>
      <c r="J133" s="87">
        <f>IF(J46=0,0,1000000*J46/TrRoad_act!J76)</f>
        <v>2104.019762127054</v>
      </c>
      <c r="K133" s="87">
        <f>IF(K46=0,0,1000000*K46/TrRoad_act!K76)</f>
        <v>2034.583966415747</v>
      </c>
      <c r="L133" s="87">
        <f>IF(L46=0,0,1000000*L46/TrRoad_act!L76)</f>
        <v>2038.8172529146193</v>
      </c>
      <c r="M133" s="87">
        <f>IF(M46=0,0,1000000*M46/TrRoad_act!M76)</f>
        <v>2050.1151971406312</v>
      </c>
      <c r="N133" s="87">
        <f>IF(N46=0,0,1000000*N46/TrRoad_act!N76)</f>
        <v>1972.3320889596853</v>
      </c>
      <c r="O133" s="87">
        <f>IF(O46=0,0,1000000*O46/TrRoad_act!O76)</f>
        <v>1895.6383334283046</v>
      </c>
      <c r="P133" s="87">
        <f>IF(P46=0,0,1000000*P46/TrRoad_act!P76)</f>
        <v>1923.094954253339</v>
      </c>
      <c r="Q133" s="87">
        <f>IF(Q46=0,0,1000000*Q46/TrRoad_act!Q76)</f>
        <v>1909.0315767550037</v>
      </c>
      <c r="R133" s="87">
        <f>IF(R46=0,0,1000000*R46/TrRoad_act!R76)</f>
        <v>1896.3795289023296</v>
      </c>
      <c r="S133" s="87">
        <f>IF(S46=0,0,1000000*S46/TrRoad_act!S76)</f>
        <v>1814.6084773696418</v>
      </c>
      <c r="T133" s="87">
        <f>IF(T46=0,0,1000000*T46/TrRoad_act!T76)</f>
        <v>1771.4562210435156</v>
      </c>
      <c r="U133" s="87">
        <f>IF(U46=0,0,1000000*U46/TrRoad_act!U76)</f>
        <v>1717.8269904764657</v>
      </c>
      <c r="V133" s="87">
        <f>IF(V46=0,0,1000000*V46/TrRoad_act!V76)</f>
        <v>1663.8250092471044</v>
      </c>
      <c r="W133" s="87">
        <f>IF(W46=0,0,1000000*W46/TrRoad_act!W76)</f>
        <v>1657.6077406117174</v>
      </c>
      <c r="X133" s="87">
        <f>IF(X46=0,0,1000000*X46/TrRoad_act!X76)</f>
        <v>1454.2037545049443</v>
      </c>
      <c r="Y133" s="87">
        <f>IF(Y46=0,0,1000000*Y46/TrRoad_act!Y76)</f>
        <v>1403.591531947651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1358.8845971934209</v>
      </c>
      <c r="P134" s="87">
        <f>IF(P48=0,0,1000000*P48/TrRoad_act!P77)</f>
        <v>1617.5446786766399</v>
      </c>
      <c r="Q134" s="87">
        <f>IF(Q48=0,0,1000000*Q48/TrRoad_act!Q77)</f>
        <v>1245.3760298557936</v>
      </c>
      <c r="R134" s="87">
        <f>IF(R48=0,0,1000000*R48/TrRoad_act!R77)</f>
        <v>1243.7747799959714</v>
      </c>
      <c r="S134" s="87">
        <f>IF(S48=0,0,1000000*S48/TrRoad_act!S77)</f>
        <v>1181.0405173140805</v>
      </c>
      <c r="T134" s="87">
        <f>IF(T48=0,0,1000000*T48/TrRoad_act!T77)</f>
        <v>1333.1343712996074</v>
      </c>
      <c r="U134" s="87">
        <f>IF(U48=0,0,1000000*U48/TrRoad_act!U77)</f>
        <v>1416.6085717041876</v>
      </c>
      <c r="V134" s="87">
        <f>IF(V48=0,0,1000000*V48/TrRoad_act!V77)</f>
        <v>869.66193777692172</v>
      </c>
      <c r="W134" s="87">
        <f>IF(W48=0,0,1000000*W48/TrRoad_act!W77)</f>
        <v>948.41425278808219</v>
      </c>
      <c r="X134" s="87">
        <f>IF(X48=0,0,1000000*X48/TrRoad_act!X77)</f>
        <v>803.46014207283247</v>
      </c>
      <c r="Y134" s="87">
        <f>IF(Y48=0,0,1000000*Y48/TrRoad_act!Y77)</f>
        <v>1121.1754666507684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X135" s="87">
        <f>IF(X49=0,0,1000000*X49/TrRoad_act!X78)</f>
        <v>0</v>
      </c>
      <c r="Y135" s="87">
        <f>IF(Y49=0,0,1000000*Y49/TrRoad_act!Y78)</f>
        <v>0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212.31387995195945</v>
      </c>
      <c r="I136" s="87">
        <f>IF(I51=0,0,1000000*I51/TrRoad_act!I79)</f>
        <v>212.52449035071047</v>
      </c>
      <c r="J136" s="87">
        <f>IF(J51=0,0,1000000*J51/TrRoad_act!J79)</f>
        <v>212.66625075575578</v>
      </c>
      <c r="K136" s="87">
        <f>IF(K51=0,0,1000000*K51/TrRoad_act!K79)</f>
        <v>213.89631094243697</v>
      </c>
      <c r="L136" s="87">
        <f>IF(L51=0,0,1000000*L51/TrRoad_act!L79)</f>
        <v>213.94770803691463</v>
      </c>
      <c r="M136" s="87">
        <f>IF(M51=0,0,1000000*M51/TrRoad_act!M79)</f>
        <v>214.00449810645523</v>
      </c>
      <c r="N136" s="87">
        <f>IF(N51=0,0,1000000*N51/TrRoad_act!N79)</f>
        <v>217.33665776189133</v>
      </c>
      <c r="O136" s="87">
        <f>IF(O51=0,0,1000000*O51/TrRoad_act!O79)</f>
        <v>210.50516559912481</v>
      </c>
      <c r="P136" s="87">
        <f>IF(P51=0,0,1000000*P51/TrRoad_act!P79)</f>
        <v>210.95596251139634</v>
      </c>
      <c r="Q136" s="87">
        <f>IF(Q51=0,0,1000000*Q51/TrRoad_act!Q79)</f>
        <v>214.77831783149423</v>
      </c>
      <c r="R136" s="87">
        <f>IF(R51=0,0,1000000*R51/TrRoad_act!R79)</f>
        <v>217.15182258103218</v>
      </c>
      <c r="S136" s="87">
        <f>IF(S51=0,0,1000000*S51/TrRoad_act!S79)</f>
        <v>221.23661708086573</v>
      </c>
      <c r="T136" s="87">
        <f>IF(T51=0,0,1000000*T51/TrRoad_act!T79)</f>
        <v>229.25976888519574</v>
      </c>
      <c r="U136" s="87">
        <f>IF(U51=0,0,1000000*U51/TrRoad_act!U79)</f>
        <v>260.84518350909349</v>
      </c>
      <c r="V136" s="87">
        <f>IF(V51=0,0,1000000*V51/TrRoad_act!V79)</f>
        <v>278.03445586680931</v>
      </c>
      <c r="W136" s="87">
        <f>IF(W51=0,0,1000000*W51/TrRoad_act!W79)</f>
        <v>301.63119963836232</v>
      </c>
      <c r="X136" s="87">
        <f>IF(X51=0,0,1000000*X51/TrRoad_act!X79)</f>
        <v>341.76451870508538</v>
      </c>
      <c r="Y136" s="87">
        <f>IF(Y51=0,0,1000000*Y51/TrRoad_act!Y79)</f>
        <v>349.65199075487635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99035.421516434712</v>
      </c>
      <c r="C137" s="116">
        <f>IF(C52=0,0,1000000*C52/TrRoad_act!C80)</f>
        <v>121949.83315265967</v>
      </c>
      <c r="D137" s="116">
        <f>IF(D52=0,0,1000000*D52/TrRoad_act!D80)</f>
        <v>142353.65994632209</v>
      </c>
      <c r="E137" s="116">
        <f>IF(E52=0,0,1000000*E52/TrRoad_act!E80)</f>
        <v>165184.4972030443</v>
      </c>
      <c r="F137" s="116">
        <f>IF(F52=0,0,1000000*F52/TrRoad_act!F80)</f>
        <v>232553.54780651449</v>
      </c>
      <c r="G137" s="116">
        <f>IF(G52=0,0,1000000*G52/TrRoad_act!G80)</f>
        <v>225695.19904464486</v>
      </c>
      <c r="H137" s="116">
        <f>IF(H52=0,0,1000000*H52/TrRoad_act!H80)</f>
        <v>210488.5576602715</v>
      </c>
      <c r="I137" s="116">
        <f>IF(I52=0,0,1000000*I52/TrRoad_act!I80)</f>
        <v>204888.98730748097</v>
      </c>
      <c r="J137" s="116">
        <f>IF(J52=0,0,1000000*J52/TrRoad_act!J80)</f>
        <v>172788.04842645375</v>
      </c>
      <c r="K137" s="116">
        <f>IF(K52=0,0,1000000*K52/TrRoad_act!K80)</f>
        <v>132977.36965980227</v>
      </c>
      <c r="L137" s="116">
        <f>IF(L52=0,0,1000000*L52/TrRoad_act!L80)</f>
        <v>148500.58883294047</v>
      </c>
      <c r="M137" s="116">
        <f>IF(M52=0,0,1000000*M52/TrRoad_act!M80)</f>
        <v>154676.41306227405</v>
      </c>
      <c r="N137" s="116">
        <f>IF(N52=0,0,1000000*N52/TrRoad_act!N80)</f>
        <v>150094.20752391289</v>
      </c>
      <c r="O137" s="116">
        <f>IF(O52=0,0,1000000*O52/TrRoad_act!O80)</f>
        <v>192425.92294832773</v>
      </c>
      <c r="P137" s="116">
        <f>IF(P52=0,0,1000000*P52/TrRoad_act!P80)</f>
        <v>203599.91910098394</v>
      </c>
      <c r="Q137" s="116">
        <f>IF(Q52=0,0,1000000*Q52/TrRoad_act!Q80)</f>
        <v>176953.8472287613</v>
      </c>
      <c r="R137" s="116">
        <f>IF(R52=0,0,1000000*R52/TrRoad_act!R80)</f>
        <v>165326.84892685193</v>
      </c>
      <c r="S137" s="116">
        <f>IF(S52=0,0,1000000*S52/TrRoad_act!S80)</f>
        <v>157621.30738679273</v>
      </c>
      <c r="T137" s="116">
        <f>IF(T52=0,0,1000000*T52/TrRoad_act!T80)</f>
        <v>180741.73397045798</v>
      </c>
      <c r="U137" s="116">
        <f>IF(U52=0,0,1000000*U52/TrRoad_act!U80)</f>
        <v>182470.69420553083</v>
      </c>
      <c r="V137" s="116">
        <f>IF(V52=0,0,1000000*V52/TrRoad_act!V80)</f>
        <v>124787.20662954917</v>
      </c>
      <c r="W137" s="116">
        <f>IF(W52=0,0,1000000*W52/TrRoad_act!W80)</f>
        <v>140142.62813978957</v>
      </c>
      <c r="X137" s="116">
        <f>IF(X52=0,0,1000000*X52/TrRoad_act!X80)</f>
        <v>101510.44526715833</v>
      </c>
      <c r="Y137" s="116">
        <f>IF(Y52=0,0,1000000*Y52/TrRoad_act!Y80)</f>
        <v>87742.486196219033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4951.6534615953706</v>
      </c>
      <c r="C138" s="101">
        <f>IF(C53=0,0,1000000*C53/TrRoad_act!C81)</f>
        <v>6610.8230392312998</v>
      </c>
      <c r="D138" s="101">
        <f>IF(D53=0,0,1000000*D53/TrRoad_act!D81)</f>
        <v>8665.7342389762416</v>
      </c>
      <c r="E138" s="101">
        <f>IF(E53=0,0,1000000*E53/TrRoad_act!E81)</f>
        <v>8700.1595692272222</v>
      </c>
      <c r="F138" s="101">
        <f>IF(F53=0,0,1000000*F53/TrRoad_act!F81)</f>
        <v>9687.8745649269276</v>
      </c>
      <c r="G138" s="101">
        <f>IF(G53=0,0,1000000*G53/TrRoad_act!G81)</f>
        <v>7739.671950285122</v>
      </c>
      <c r="H138" s="101">
        <f>IF(H53=0,0,1000000*H53/TrRoad_act!H81)</f>
        <v>8145.71374636566</v>
      </c>
      <c r="I138" s="101">
        <f>IF(I53=0,0,1000000*I53/TrRoad_act!I81)</f>
        <v>8250.9787769222912</v>
      </c>
      <c r="J138" s="101">
        <f>IF(J53=0,0,1000000*J53/TrRoad_act!J81)</f>
        <v>6282.4989313915166</v>
      </c>
      <c r="K138" s="101">
        <f>IF(K53=0,0,1000000*K53/TrRoad_act!K81)</f>
        <v>3423.1898073001635</v>
      </c>
      <c r="L138" s="101">
        <f>IF(L53=0,0,1000000*L53/TrRoad_act!L81)</f>
        <v>3822.210951259071</v>
      </c>
      <c r="M138" s="101">
        <f>IF(M53=0,0,1000000*M53/TrRoad_act!M81)</f>
        <v>4089.1884774907194</v>
      </c>
      <c r="N138" s="101">
        <f>IF(N53=0,0,1000000*N53/TrRoad_act!N81)</f>
        <v>6566.5654840359666</v>
      </c>
      <c r="O138" s="101">
        <f>IF(O53=0,0,1000000*O53/TrRoad_act!O81)</f>
        <v>7076.9262937803915</v>
      </c>
      <c r="P138" s="101">
        <f>IF(P53=0,0,1000000*P53/TrRoad_act!P81)</f>
        <v>11015.313199192018</v>
      </c>
      <c r="Q138" s="101">
        <f>IF(Q53=0,0,1000000*Q53/TrRoad_act!Q81)</f>
        <v>8633.2568749267357</v>
      </c>
      <c r="R138" s="101">
        <f>IF(R53=0,0,1000000*R53/TrRoad_act!R81)</f>
        <v>8495.4108997019539</v>
      </c>
      <c r="S138" s="101">
        <f>IF(S53=0,0,1000000*S53/TrRoad_act!S81)</f>
        <v>7267.001127175371</v>
      </c>
      <c r="T138" s="101">
        <f>IF(T53=0,0,1000000*T53/TrRoad_act!T81)</f>
        <v>7930.4168667537124</v>
      </c>
      <c r="U138" s="101">
        <f>IF(U53=0,0,1000000*U53/TrRoad_act!U81)</f>
        <v>7443.955970828395</v>
      </c>
      <c r="V138" s="101">
        <f>IF(V53=0,0,1000000*V53/TrRoad_act!V81)</f>
        <v>5198.3014912021745</v>
      </c>
      <c r="W138" s="101">
        <f>IF(W53=0,0,1000000*W53/TrRoad_act!W81)</f>
        <v>6929.620601824422</v>
      </c>
      <c r="X138" s="101">
        <f>IF(X53=0,0,1000000*X53/TrRoad_act!X81)</f>
        <v>6171.6038915874042</v>
      </c>
      <c r="Y138" s="101">
        <f>IF(Y53=0,0,1000000*Y53/TrRoad_act!Y81)</f>
        <v>5254.7594392503433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733217.03867153963</v>
      </c>
      <c r="C139" s="88">
        <f>IF(C55=0,0,1000000*C55/TrRoad_act!C82)</f>
        <v>740787.9835689388</v>
      </c>
      <c r="D139" s="88">
        <f>IF(D55=0,0,1000000*D55/TrRoad_act!D82)</f>
        <v>745530.58066462656</v>
      </c>
      <c r="E139" s="88">
        <f>IF(E55=0,0,1000000*E55/TrRoad_act!E82)</f>
        <v>856776.15974240622</v>
      </c>
      <c r="F139" s="88">
        <f>IF(F55=0,0,1000000*F55/TrRoad_act!F82)</f>
        <v>984031.21825635154</v>
      </c>
      <c r="G139" s="88">
        <f>IF(G55=0,0,1000000*G55/TrRoad_act!G82)</f>
        <v>1083848.2752245853</v>
      </c>
      <c r="H139" s="88">
        <f>IF(H55=0,0,1000000*H55/TrRoad_act!H82)</f>
        <v>1058034.4468266673</v>
      </c>
      <c r="I139" s="88">
        <f>IF(I55=0,0,1000000*I55/TrRoad_act!I82)</f>
        <v>934771.60361207323</v>
      </c>
      <c r="J139" s="88">
        <f>IF(J55=0,0,1000000*J55/TrRoad_act!J82)</f>
        <v>833357.0078861221</v>
      </c>
      <c r="K139" s="88">
        <f>IF(K55=0,0,1000000*K55/TrRoad_act!K82)</f>
        <v>817733.55680842698</v>
      </c>
      <c r="L139" s="88">
        <f>IF(L55=0,0,1000000*L55/TrRoad_act!L82)</f>
        <v>892398.07510646759</v>
      </c>
      <c r="M139" s="88">
        <f>IF(M55=0,0,1000000*M55/TrRoad_act!M82)</f>
        <v>950088.93240293453</v>
      </c>
      <c r="N139" s="88">
        <f>IF(N55=0,0,1000000*N55/TrRoad_act!N82)</f>
        <v>768210.41185178596</v>
      </c>
      <c r="O139" s="88">
        <f>IF(O55=0,0,1000000*O55/TrRoad_act!O82)</f>
        <v>788898.28210390953</v>
      </c>
      <c r="P139" s="88">
        <f>IF(P55=0,0,1000000*P55/TrRoad_act!P82)</f>
        <v>692078.68670208775</v>
      </c>
      <c r="Q139" s="88">
        <f>IF(Q55=0,0,1000000*Q55/TrRoad_act!Q82)</f>
        <v>731974.77104695223</v>
      </c>
      <c r="R139" s="88">
        <f>IF(R55=0,0,1000000*R55/TrRoad_act!R82)</f>
        <v>662344.12679230515</v>
      </c>
      <c r="S139" s="88">
        <f>IF(S55=0,0,1000000*S55/TrRoad_act!S82)</f>
        <v>668219.09064840223</v>
      </c>
      <c r="T139" s="88">
        <f>IF(T55=0,0,1000000*T55/TrRoad_act!T82)</f>
        <v>760644.6458386603</v>
      </c>
      <c r="U139" s="88">
        <f>IF(U55=0,0,1000000*U55/TrRoad_act!U82)</f>
        <v>783665.47784783866</v>
      </c>
      <c r="V139" s="88">
        <f>IF(V55=0,0,1000000*V55/TrRoad_act!V82)</f>
        <v>641364.73024736403</v>
      </c>
      <c r="W139" s="88">
        <f>IF(W55=0,0,1000000*W55/TrRoad_act!W82)</f>
        <v>613002.22692490218</v>
      </c>
      <c r="X139" s="88">
        <f>IF(X55=0,0,1000000*X55/TrRoad_act!X82)</f>
        <v>446580.62200090062</v>
      </c>
      <c r="Y139" s="88">
        <f>IF(Y55=0,0,1000000*Y55/TrRoad_act!Y82)</f>
        <v>438111.14737185847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0.57876574183807838</v>
      </c>
      <c r="C142" s="46">
        <f t="shared" si="42"/>
        <v>0.5654464210528245</v>
      </c>
      <c r="D142" s="46">
        <f t="shared" si="42"/>
        <v>0.55632919955277027</v>
      </c>
      <c r="E142" s="46">
        <f t="shared" si="42"/>
        <v>0.53396224471033882</v>
      </c>
      <c r="F142" s="46">
        <f t="shared" si="42"/>
        <v>0.46783925547741667</v>
      </c>
      <c r="G142" s="46">
        <f t="shared" si="42"/>
        <v>0.42880987667820303</v>
      </c>
      <c r="H142" s="46">
        <f t="shared" si="42"/>
        <v>0.43092630599370479</v>
      </c>
      <c r="I142" s="46">
        <f t="shared" si="42"/>
        <v>0.44698662542239087</v>
      </c>
      <c r="J142" s="46">
        <f t="shared" si="42"/>
        <v>0.44864686702789947</v>
      </c>
      <c r="K142" s="46">
        <f t="shared" si="42"/>
        <v>0.47751573121613217</v>
      </c>
      <c r="L142" s="46">
        <f t="shared" ref="L142" si="43">IF(L18=0,0,L18/L$17)</f>
        <v>0.44252555629673157</v>
      </c>
      <c r="M142" s="46">
        <f t="shared" ref="M142:V142" si="44">IF(M18=0,0,M18/M$17)</f>
        <v>0.44660389308771203</v>
      </c>
      <c r="N142" s="46">
        <f t="shared" si="44"/>
        <v>0.46511248867817878</v>
      </c>
      <c r="O142" s="46">
        <f t="shared" si="44"/>
        <v>0.44689467632184682</v>
      </c>
      <c r="P142" s="46">
        <f t="shared" si="44"/>
        <v>0.45916996801488885</v>
      </c>
      <c r="Q142" s="46">
        <f t="shared" si="44"/>
        <v>0.47417566260483873</v>
      </c>
      <c r="R142" s="46">
        <f t="shared" si="44"/>
        <v>0.47413150437097062</v>
      </c>
      <c r="S142" s="46">
        <f t="shared" si="44"/>
        <v>0.45973855520879553</v>
      </c>
      <c r="T142" s="46">
        <f t="shared" si="44"/>
        <v>0.44794705889781711</v>
      </c>
      <c r="U142" s="46">
        <f t="shared" si="44"/>
        <v>0.43130740631544862</v>
      </c>
      <c r="V142" s="46">
        <f t="shared" si="44"/>
        <v>0.42717491615305608</v>
      </c>
      <c r="W142" s="46">
        <f t="shared" ref="W142:Y142" si="45">IF(W18=0,0,W18/W$17)</f>
        <v>0.44557827357541785</v>
      </c>
      <c r="X142" s="46">
        <f t="shared" si="45"/>
        <v>0.52198316522177157</v>
      </c>
      <c r="Y142" s="46">
        <f t="shared" si="45"/>
        <v>0.55964487984262989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9.9129247920011682E-4</v>
      </c>
      <c r="C143" s="154">
        <f t="shared" si="46"/>
        <v>9.6270309517771085E-4</v>
      </c>
      <c r="D143" s="154">
        <f t="shared" si="46"/>
        <v>9.7078431000543932E-4</v>
      </c>
      <c r="E143" s="154">
        <f t="shared" si="46"/>
        <v>8.9258846925930398E-4</v>
      </c>
      <c r="F143" s="154">
        <f t="shared" si="46"/>
        <v>8.1114721437524305E-4</v>
      </c>
      <c r="G143" s="154">
        <f t="shared" si="46"/>
        <v>7.7828354800985543E-4</v>
      </c>
      <c r="H143" s="154">
        <f t="shared" si="46"/>
        <v>8.1980484317722426E-4</v>
      </c>
      <c r="I143" s="154">
        <f t="shared" si="46"/>
        <v>8.3858288301280224E-4</v>
      </c>
      <c r="J143" s="154">
        <f t="shared" si="46"/>
        <v>8.3493952030449332E-4</v>
      </c>
      <c r="K143" s="154">
        <f t="shared" si="46"/>
        <v>9.293064135926963E-4</v>
      </c>
      <c r="L143" s="154">
        <f t="shared" ref="L143" si="47">IF(L19=0,0,L19/L$17)</f>
        <v>9.0188383322440042E-4</v>
      </c>
      <c r="M143" s="154">
        <f t="shared" ref="M143:V143" si="48">IF(M19=0,0,M19/M$17)</f>
        <v>8.6651905090005452E-4</v>
      </c>
      <c r="N143" s="154">
        <f t="shared" si="48"/>
        <v>9.4670015928970857E-4</v>
      </c>
      <c r="O143" s="154">
        <f t="shared" si="48"/>
        <v>9.8434229536426151E-4</v>
      </c>
      <c r="P143" s="154">
        <f t="shared" si="48"/>
        <v>1.0547477064112708E-3</v>
      </c>
      <c r="Q143" s="154">
        <f t="shared" si="48"/>
        <v>1.1605794890453354E-3</v>
      </c>
      <c r="R143" s="154">
        <f t="shared" si="48"/>
        <v>1.2353125602374425E-3</v>
      </c>
      <c r="S143" s="154">
        <f t="shared" si="48"/>
        <v>1.1551029750687912E-3</v>
      </c>
      <c r="T143" s="154">
        <f t="shared" si="48"/>
        <v>1.0306542850001877E-3</v>
      </c>
      <c r="U143" s="154">
        <f t="shared" si="48"/>
        <v>1.0473318227834903E-3</v>
      </c>
      <c r="V143" s="154">
        <f t="shared" si="48"/>
        <v>1.2087602003694466E-3</v>
      </c>
      <c r="W143" s="154">
        <f t="shared" ref="W143:Y143" si="49">IF(W19=0,0,W19/W$17)</f>
        <v>1.1826043781335276E-3</v>
      </c>
      <c r="X143" s="154">
        <f t="shared" si="49"/>
        <v>1.3540694430990124E-3</v>
      </c>
      <c r="Y143" s="154">
        <f t="shared" si="49"/>
        <v>1.4897027975388601E-3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0.56234447018966482</v>
      </c>
      <c r="C144" s="156">
        <f t="shared" si="50"/>
        <v>0.54930545442809253</v>
      </c>
      <c r="D144" s="156">
        <f t="shared" si="50"/>
        <v>0.53992931528802435</v>
      </c>
      <c r="E144" s="156">
        <f t="shared" si="50"/>
        <v>0.51899739027419278</v>
      </c>
      <c r="F144" s="156">
        <f t="shared" si="50"/>
        <v>0.45493208309803501</v>
      </c>
      <c r="G144" s="156">
        <f t="shared" si="50"/>
        <v>0.41629244187535669</v>
      </c>
      <c r="H144" s="156">
        <f t="shared" si="50"/>
        <v>0.41789528395852632</v>
      </c>
      <c r="I144" s="156">
        <f t="shared" si="50"/>
        <v>0.4333485183862481</v>
      </c>
      <c r="J144" s="156">
        <f t="shared" si="50"/>
        <v>0.43475747253072117</v>
      </c>
      <c r="K144" s="156">
        <f t="shared" si="50"/>
        <v>0.46208942775946693</v>
      </c>
      <c r="L144" s="156">
        <f t="shared" ref="L144" si="51">IF(L21=0,0,L21/L$17)</f>
        <v>0.42758539996969958</v>
      </c>
      <c r="M144" s="156">
        <f t="shared" ref="M144:V144" si="52">IF(M21=0,0,M21/M$17)</f>
        <v>0.43213543104997099</v>
      </c>
      <c r="N144" s="156">
        <f t="shared" si="52"/>
        <v>0.44992981069711674</v>
      </c>
      <c r="O144" s="156">
        <f t="shared" si="52"/>
        <v>0.43130271417923144</v>
      </c>
      <c r="P144" s="156">
        <f t="shared" si="52"/>
        <v>0.44300393524795356</v>
      </c>
      <c r="Q144" s="156">
        <f t="shared" si="52"/>
        <v>0.45634638268004868</v>
      </c>
      <c r="R144" s="156">
        <f t="shared" si="52"/>
        <v>0.45540498642065153</v>
      </c>
      <c r="S144" s="156">
        <f t="shared" si="52"/>
        <v>0.44102807349111606</v>
      </c>
      <c r="T144" s="156">
        <f t="shared" si="52"/>
        <v>0.43022962184675512</v>
      </c>
      <c r="U144" s="156">
        <f t="shared" si="52"/>
        <v>0.41366783292608267</v>
      </c>
      <c r="V144" s="156">
        <f t="shared" si="52"/>
        <v>0.40496278496347471</v>
      </c>
      <c r="W144" s="156">
        <f t="shared" ref="W144:Y144" si="53">IF(W21=0,0,W21/W$17)</f>
        <v>0.42497263138909858</v>
      </c>
      <c r="X144" s="156">
        <f t="shared" si="53"/>
        <v>0.49966059085089165</v>
      </c>
      <c r="Y144" s="156">
        <f t="shared" si="53"/>
        <v>0.53742837315236835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0.37399030472954137</v>
      </c>
      <c r="C145" s="103">
        <f t="shared" si="54"/>
        <v>0.35110939740925878</v>
      </c>
      <c r="D145" s="103">
        <f t="shared" si="54"/>
        <v>0.32955542664209769</v>
      </c>
      <c r="E145" s="103">
        <f t="shared" si="54"/>
        <v>0.30393010167798318</v>
      </c>
      <c r="F145" s="103">
        <f t="shared" si="54"/>
        <v>0.25313733515121245</v>
      </c>
      <c r="G145" s="103">
        <f t="shared" si="54"/>
        <v>0.21854432060022785</v>
      </c>
      <c r="H145" s="103">
        <f t="shared" si="54"/>
        <v>0.2052062398363905</v>
      </c>
      <c r="I145" s="103">
        <f t="shared" si="54"/>
        <v>0.20104951538090488</v>
      </c>
      <c r="J145" s="103">
        <f t="shared" si="54"/>
        <v>0.18914842462847578</v>
      </c>
      <c r="K145" s="103">
        <f t="shared" si="54"/>
        <v>0.18900237789340943</v>
      </c>
      <c r="L145" s="103">
        <f t="shared" ref="L145" si="55">IF(L22=0,0,L22/L$17)</f>
        <v>0.16626871023686585</v>
      </c>
      <c r="M145" s="103">
        <f t="shared" ref="M145:V145" si="56">IF(M22=0,0,M22/M$17)</f>
        <v>0.16239848188156239</v>
      </c>
      <c r="N145" s="103">
        <f t="shared" si="56"/>
        <v>0.16280080707058497</v>
      </c>
      <c r="O145" s="103">
        <f t="shared" si="56"/>
        <v>0.15054826500619206</v>
      </c>
      <c r="P145" s="103">
        <f t="shared" si="56"/>
        <v>0.1510793766841389</v>
      </c>
      <c r="Q145" s="103">
        <f t="shared" si="56"/>
        <v>0.15225716767411882</v>
      </c>
      <c r="R145" s="103">
        <f t="shared" si="56"/>
        <v>0.15283820778129428</v>
      </c>
      <c r="S145" s="103">
        <f t="shared" si="56"/>
        <v>0.15552678143408696</v>
      </c>
      <c r="T145" s="103">
        <f t="shared" si="56"/>
        <v>0.16019163453909133</v>
      </c>
      <c r="U145" s="103">
        <f t="shared" si="56"/>
        <v>0.16598291599314283</v>
      </c>
      <c r="V145" s="103">
        <f t="shared" si="56"/>
        <v>0.16356784710139055</v>
      </c>
      <c r="W145" s="103">
        <f t="shared" ref="W145:Y145" si="57">IF(W22=0,0,W22/W$17)</f>
        <v>0.18636987203972091</v>
      </c>
      <c r="X145" s="103">
        <f t="shared" si="57"/>
        <v>0.21604585216639999</v>
      </c>
      <c r="Y145" s="103">
        <f t="shared" si="57"/>
        <v>0.24733673917446347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0.18696304059085481</v>
      </c>
      <c r="C146" s="103">
        <f t="shared" si="58"/>
        <v>0.19620724839201836</v>
      </c>
      <c r="D146" s="103">
        <f t="shared" si="58"/>
        <v>0.20782545119087698</v>
      </c>
      <c r="E146" s="103">
        <f t="shared" si="58"/>
        <v>0.21333637310962886</v>
      </c>
      <c r="F146" s="103">
        <f t="shared" si="58"/>
        <v>0.20030790485748465</v>
      </c>
      <c r="G146" s="103">
        <f t="shared" si="58"/>
        <v>0.1968081247593706</v>
      </c>
      <c r="H146" s="103">
        <f t="shared" si="58"/>
        <v>0.21219775115892847</v>
      </c>
      <c r="I146" s="103">
        <f t="shared" si="58"/>
        <v>0.23129592996332948</v>
      </c>
      <c r="J146" s="103">
        <f t="shared" si="58"/>
        <v>0.24461889536687348</v>
      </c>
      <c r="K146" s="103">
        <f t="shared" si="58"/>
        <v>0.27236260906140219</v>
      </c>
      <c r="L146" s="103">
        <f t="shared" ref="L146" si="59">IF(L24=0,0,L24/L$17)</f>
        <v>0.26061161734449184</v>
      </c>
      <c r="M146" s="103">
        <f t="shared" ref="M146:V146" si="60">IF(M24=0,0,M24/M$17)</f>
        <v>0.26941174165955828</v>
      </c>
      <c r="N146" s="103">
        <f t="shared" si="60"/>
        <v>0.28591588366357484</v>
      </c>
      <c r="O146" s="103">
        <f t="shared" si="60"/>
        <v>0.27965161193790894</v>
      </c>
      <c r="P146" s="103">
        <f t="shared" si="60"/>
        <v>0.29068630084370484</v>
      </c>
      <c r="Q146" s="103">
        <f t="shared" si="60"/>
        <v>0.30316432357193368</v>
      </c>
      <c r="R146" s="103">
        <f t="shared" si="60"/>
        <v>0.3015610680587712</v>
      </c>
      <c r="S146" s="103">
        <f t="shared" si="60"/>
        <v>0.28463960309765596</v>
      </c>
      <c r="T146" s="103">
        <f t="shared" si="60"/>
        <v>0.26911401733169782</v>
      </c>
      <c r="U146" s="103">
        <f t="shared" si="60"/>
        <v>0.24631351396238849</v>
      </c>
      <c r="V146" s="103">
        <f t="shared" si="60"/>
        <v>0.23908183724039306</v>
      </c>
      <c r="W146" s="103">
        <f t="shared" ref="W146:Y146" si="61">IF(W24=0,0,W24/W$17)</f>
        <v>0.23393526234431125</v>
      </c>
      <c r="X146" s="103">
        <f t="shared" si="61"/>
        <v>0.2760849134140641</v>
      </c>
      <c r="Y146" s="103">
        <f t="shared" si="61"/>
        <v>0.27857237319580763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1.3911248692685695E-3</v>
      </c>
      <c r="C147" s="103">
        <f t="shared" si="62"/>
        <v>1.9888086268154328E-3</v>
      </c>
      <c r="D147" s="103">
        <f t="shared" si="62"/>
        <v>2.5484374550496726E-3</v>
      </c>
      <c r="E147" s="103">
        <f t="shared" si="62"/>
        <v>1.7309154865808505E-3</v>
      </c>
      <c r="F147" s="103">
        <f t="shared" si="62"/>
        <v>1.4868430893379531E-3</v>
      </c>
      <c r="G147" s="103">
        <f t="shared" si="62"/>
        <v>9.3999651575820949E-4</v>
      </c>
      <c r="H147" s="103">
        <f t="shared" si="62"/>
        <v>4.9129296320736266E-4</v>
      </c>
      <c r="I147" s="103">
        <f t="shared" si="62"/>
        <v>1.0030730420137305E-3</v>
      </c>
      <c r="J147" s="103">
        <f t="shared" si="62"/>
        <v>9.9006410957989976E-4</v>
      </c>
      <c r="K147" s="103">
        <f t="shared" si="62"/>
        <v>7.2424939602351167E-4</v>
      </c>
      <c r="L147" s="103">
        <f t="shared" ref="L147" si="63">IF(L26=0,0,L26/L$17)</f>
        <v>6.874127322152332E-4</v>
      </c>
      <c r="M147" s="103">
        <f t="shared" ref="M147:V147" si="64">IF(M26=0,0,M26/M$17)</f>
        <v>2.990743743472506E-4</v>
      </c>
      <c r="N147" s="103">
        <f t="shared" si="64"/>
        <v>8.5463508001908486E-4</v>
      </c>
      <c r="O147" s="103">
        <f t="shared" si="64"/>
        <v>5.5982365898906285E-4</v>
      </c>
      <c r="P147" s="103">
        <f t="shared" si="64"/>
        <v>6.5941876931009799E-4</v>
      </c>
      <c r="Q147" s="103">
        <f t="shared" si="64"/>
        <v>3.3546627064434063E-4</v>
      </c>
      <c r="R147" s="103">
        <f t="shared" si="64"/>
        <v>3.7388884851623612E-4</v>
      </c>
      <c r="S147" s="103">
        <f t="shared" si="64"/>
        <v>3.0503757523991178E-4</v>
      </c>
      <c r="T147" s="103">
        <f t="shared" si="64"/>
        <v>1.2266773770532963E-4</v>
      </c>
      <c r="U147" s="103">
        <f t="shared" si="64"/>
        <v>9.2761860487682602E-5</v>
      </c>
      <c r="V147" s="103">
        <f t="shared" si="64"/>
        <v>6.5569201744515511E-5</v>
      </c>
      <c r="W147" s="103">
        <f t="shared" ref="W147:Y147" si="65">IF(W26=0,0,W26/W$17)</f>
        <v>1.0388954629432093E-4</v>
      </c>
      <c r="X147" s="103">
        <f t="shared" si="65"/>
        <v>1.204707404356013E-4</v>
      </c>
      <c r="Y147" s="103">
        <f t="shared" si="65"/>
        <v>1.8490076343815782E-4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0</v>
      </c>
      <c r="O148" s="103">
        <f t="shared" si="68"/>
        <v>0</v>
      </c>
      <c r="P148" s="103">
        <f t="shared" si="68"/>
        <v>0</v>
      </c>
      <c r="Q148" s="103">
        <f t="shared" si="68"/>
        <v>0</v>
      </c>
      <c r="R148" s="103">
        <f t="shared" si="68"/>
        <v>0</v>
      </c>
      <c r="S148" s="103">
        <f t="shared" si="68"/>
        <v>0</v>
      </c>
      <c r="T148" s="103">
        <f t="shared" si="68"/>
        <v>0</v>
      </c>
      <c r="U148" s="103">
        <f t="shared" si="68"/>
        <v>0</v>
      </c>
      <c r="V148" s="103">
        <f t="shared" si="68"/>
        <v>0</v>
      </c>
      <c r="W148" s="103">
        <f t="shared" ref="W148:Y148" si="69">IF(W27=0,0,W27/W$17)</f>
        <v>0</v>
      </c>
      <c r="X148" s="103">
        <f t="shared" si="69"/>
        <v>0</v>
      </c>
      <c r="Y148" s="103">
        <f t="shared" si="69"/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3.499494097282193E-4</v>
      </c>
      <c r="O149" s="103">
        <f t="shared" si="72"/>
        <v>5.1927605825848977E-4</v>
      </c>
      <c r="P149" s="103">
        <f t="shared" si="72"/>
        <v>5.2722598333412765E-4</v>
      </c>
      <c r="Q149" s="103">
        <f t="shared" si="72"/>
        <v>5.282804905531954E-4</v>
      </c>
      <c r="R149" s="103">
        <f t="shared" si="72"/>
        <v>5.6590785195435585E-4</v>
      </c>
      <c r="S149" s="103">
        <f t="shared" si="72"/>
        <v>4.6448481035222546E-4</v>
      </c>
      <c r="T149" s="103">
        <f t="shared" si="72"/>
        <v>6.7525860225468002E-4</v>
      </c>
      <c r="U149" s="103">
        <f t="shared" si="72"/>
        <v>1.0194864256813784E-3</v>
      </c>
      <c r="V149" s="103">
        <f t="shared" si="72"/>
        <v>1.7126526738701455E-3</v>
      </c>
      <c r="W149" s="103">
        <f t="shared" ref="W149:Y149" si="73">IF(W29=0,0,W29/W$17)</f>
        <v>3.4428299198043001E-3</v>
      </c>
      <c r="X149" s="103">
        <f t="shared" si="73"/>
        <v>5.2715600296304828E-3</v>
      </c>
      <c r="Y149" s="103">
        <f t="shared" si="73"/>
        <v>7.5085173671725165E-3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8.8425791987174492E-8</v>
      </c>
      <c r="K150" s="103">
        <f t="shared" si="74"/>
        <v>1.9140863183306119E-7</v>
      </c>
      <c r="L150" s="103">
        <f t="shared" ref="L150" si="75">IF(L32=0,0,L32/L$17)</f>
        <v>1.7659656126631676E-5</v>
      </c>
      <c r="M150" s="103">
        <f t="shared" ref="M150:V150" si="76">IF(M32=0,0,M32/M$17)</f>
        <v>2.6133134503049396E-5</v>
      </c>
      <c r="N150" s="103">
        <f t="shared" si="76"/>
        <v>8.5354732095562673E-6</v>
      </c>
      <c r="O150" s="103">
        <f t="shared" si="76"/>
        <v>2.3737517882837004E-5</v>
      </c>
      <c r="P150" s="103">
        <f t="shared" si="76"/>
        <v>5.1612967465589628E-5</v>
      </c>
      <c r="Q150" s="103">
        <f t="shared" si="76"/>
        <v>6.1144672798643697E-5</v>
      </c>
      <c r="R150" s="103">
        <f t="shared" si="76"/>
        <v>6.5913880115570054E-5</v>
      </c>
      <c r="S150" s="103">
        <f t="shared" si="76"/>
        <v>9.216657378098747E-5</v>
      </c>
      <c r="T150" s="103">
        <f t="shared" si="76"/>
        <v>1.260436360059961E-4</v>
      </c>
      <c r="U150" s="103">
        <f t="shared" si="76"/>
        <v>2.5915468438220753E-4</v>
      </c>
      <c r="V150" s="103">
        <f t="shared" si="76"/>
        <v>5.3487874607651082E-4</v>
      </c>
      <c r="W150" s="103">
        <f t="shared" ref="W150:Y150" si="77">IF(W32=0,0,W32/W$17)</f>
        <v>1.1207775389678438E-3</v>
      </c>
      <c r="X150" s="103">
        <f t="shared" si="77"/>
        <v>2.1377945003614642E-3</v>
      </c>
      <c r="Y150" s="103">
        <f t="shared" si="77"/>
        <v>3.8258426514865668E-3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1.5429979169213449E-2</v>
      </c>
      <c r="C151" s="156">
        <f t="shared" si="78"/>
        <v>1.5178263529554209E-2</v>
      </c>
      <c r="D151" s="156">
        <f t="shared" si="78"/>
        <v>1.5429099954740431E-2</v>
      </c>
      <c r="E151" s="156">
        <f t="shared" si="78"/>
        <v>1.407226596688672E-2</v>
      </c>
      <c r="F151" s="156">
        <f t="shared" si="78"/>
        <v>1.2096025165006418E-2</v>
      </c>
      <c r="G151" s="156">
        <f t="shared" si="78"/>
        <v>1.1739151254836485E-2</v>
      </c>
      <c r="H151" s="156">
        <f t="shared" si="78"/>
        <v>1.2211217192001265E-2</v>
      </c>
      <c r="I151" s="156">
        <f t="shared" si="78"/>
        <v>1.2799524153129977E-2</v>
      </c>
      <c r="J151" s="156">
        <f t="shared" si="78"/>
        <v>1.3054454976873792E-2</v>
      </c>
      <c r="K151" s="156">
        <f t="shared" si="78"/>
        <v>1.4496997043072604E-2</v>
      </c>
      <c r="L151" s="156">
        <f t="shared" ref="L151" si="79">IF(L33=0,0,L33/L$17)</f>
        <v>1.4038272493807598E-2</v>
      </c>
      <c r="M151" s="156">
        <f t="shared" ref="M151:V151" si="80">IF(M33=0,0,M33/M$17)</f>
        <v>1.3601942986840962E-2</v>
      </c>
      <c r="N151" s="156">
        <f t="shared" si="80"/>
        <v>1.4235977821772374E-2</v>
      </c>
      <c r="O151" s="156">
        <f t="shared" si="80"/>
        <v>1.4607619847251152E-2</v>
      </c>
      <c r="P151" s="156">
        <f t="shared" si="80"/>
        <v>1.5111285060523987E-2</v>
      </c>
      <c r="Q151" s="156">
        <f t="shared" si="80"/>
        <v>1.6668700435744702E-2</v>
      </c>
      <c r="R151" s="156">
        <f t="shared" si="80"/>
        <v>1.7491205390081657E-2</v>
      </c>
      <c r="S151" s="156">
        <f t="shared" si="80"/>
        <v>1.7555378742610695E-2</v>
      </c>
      <c r="T151" s="156">
        <f t="shared" si="80"/>
        <v>1.6686782766061815E-2</v>
      </c>
      <c r="U151" s="156">
        <f t="shared" si="80"/>
        <v>1.65922415665825E-2</v>
      </c>
      <c r="V151" s="156">
        <f t="shared" si="80"/>
        <v>2.1003370989211952E-2</v>
      </c>
      <c r="W151" s="156">
        <f t="shared" ref="W151:Y151" si="81">IF(W33=0,0,W33/W$17)</f>
        <v>1.9423037808185696E-2</v>
      </c>
      <c r="X151" s="156">
        <f t="shared" si="81"/>
        <v>2.0968504927780861E-2</v>
      </c>
      <c r="Y151" s="156">
        <f t="shared" si="81"/>
        <v>2.0726803892722665E-2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0</v>
      </c>
      <c r="E152" s="103">
        <f t="shared" si="82"/>
        <v>0</v>
      </c>
      <c r="F152" s="103">
        <f t="shared" si="82"/>
        <v>0</v>
      </c>
      <c r="G152" s="103">
        <f t="shared" si="82"/>
        <v>0</v>
      </c>
      <c r="H152" s="103">
        <f t="shared" si="82"/>
        <v>0</v>
      </c>
      <c r="I152" s="103">
        <f t="shared" si="82"/>
        <v>0</v>
      </c>
      <c r="J152" s="103">
        <f t="shared" si="82"/>
        <v>0</v>
      </c>
      <c r="K152" s="103">
        <f t="shared" si="82"/>
        <v>0</v>
      </c>
      <c r="L152" s="103">
        <f t="shared" ref="L152" si="83">IF(L34=0,0,L34/L$17)</f>
        <v>0</v>
      </c>
      <c r="M152" s="103">
        <f t="shared" ref="M152:V152" si="84">IF(M34=0,0,M34/M$17)</f>
        <v>0</v>
      </c>
      <c r="N152" s="103">
        <f t="shared" si="84"/>
        <v>0</v>
      </c>
      <c r="O152" s="103">
        <f t="shared" si="84"/>
        <v>0</v>
      </c>
      <c r="P152" s="103">
        <f t="shared" si="84"/>
        <v>0</v>
      </c>
      <c r="Q152" s="103">
        <f t="shared" si="84"/>
        <v>0</v>
      </c>
      <c r="R152" s="103">
        <f t="shared" si="84"/>
        <v>0</v>
      </c>
      <c r="S152" s="103">
        <f t="shared" si="84"/>
        <v>0</v>
      </c>
      <c r="T152" s="103">
        <f t="shared" si="84"/>
        <v>6.348328744823774E-7</v>
      </c>
      <c r="U152" s="103">
        <f t="shared" si="84"/>
        <v>5.9817343301292935E-7</v>
      </c>
      <c r="V152" s="103">
        <f t="shared" si="84"/>
        <v>7.2171197587103197E-7</v>
      </c>
      <c r="W152" s="103">
        <f t="shared" ref="W152:Y152" si="85">IF(W34=0,0,W34/W$17)</f>
        <v>1.2364718672182368E-6</v>
      </c>
      <c r="X152" s="103">
        <f t="shared" si="85"/>
        <v>1.9088260936089641E-6</v>
      </c>
      <c r="Y152" s="103">
        <f t="shared" si="85"/>
        <v>1.8355783146077018E-6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1.5429979169213449E-2</v>
      </c>
      <c r="C153" s="103">
        <f t="shared" si="86"/>
        <v>1.5178263529554209E-2</v>
      </c>
      <c r="D153" s="103">
        <f t="shared" si="86"/>
        <v>1.5429099954740431E-2</v>
      </c>
      <c r="E153" s="103">
        <f t="shared" si="86"/>
        <v>1.4045116829387885E-2</v>
      </c>
      <c r="F153" s="103">
        <f t="shared" si="86"/>
        <v>1.2072683126668583E-2</v>
      </c>
      <c r="G153" s="103">
        <f t="shared" si="86"/>
        <v>1.1716997328182622E-2</v>
      </c>
      <c r="H153" s="103">
        <f t="shared" si="86"/>
        <v>1.2188038236108027E-2</v>
      </c>
      <c r="I153" s="103">
        <f t="shared" si="86"/>
        <v>1.2775841647450178E-2</v>
      </c>
      <c r="J153" s="103">
        <f t="shared" si="86"/>
        <v>1.3031059965879291E-2</v>
      </c>
      <c r="K153" s="103">
        <f t="shared" si="86"/>
        <v>1.4480066747107629E-2</v>
      </c>
      <c r="L153" s="103">
        <f t="shared" ref="L153" si="87">IF(L36=0,0,L36/L$17)</f>
        <v>1.4022223055977466E-2</v>
      </c>
      <c r="M153" s="103">
        <f t="shared" ref="M153:V153" si="88">IF(M36=0,0,M36/M$17)</f>
        <v>1.3586800612674886E-2</v>
      </c>
      <c r="N153" s="103">
        <f t="shared" si="88"/>
        <v>1.4220127805980051E-2</v>
      </c>
      <c r="O153" s="103">
        <f t="shared" si="88"/>
        <v>1.4591456056381973E-2</v>
      </c>
      <c r="P153" s="103">
        <f t="shared" si="88"/>
        <v>1.5094486855667987E-2</v>
      </c>
      <c r="Q153" s="103">
        <f t="shared" si="88"/>
        <v>1.6650773615645188E-2</v>
      </c>
      <c r="R153" s="103">
        <f t="shared" si="88"/>
        <v>1.7472803896071532E-2</v>
      </c>
      <c r="S153" s="103">
        <f t="shared" si="88"/>
        <v>1.7498122652891669E-2</v>
      </c>
      <c r="T153" s="103">
        <f t="shared" si="88"/>
        <v>1.6470069968085088E-2</v>
      </c>
      <c r="U153" s="103">
        <f t="shared" si="88"/>
        <v>1.5919824827590561E-2</v>
      </c>
      <c r="V153" s="103">
        <f t="shared" si="88"/>
        <v>1.9845147578627251E-2</v>
      </c>
      <c r="W153" s="103">
        <f t="shared" ref="W153:Y153" si="89">IF(W36=0,0,W36/W$17)</f>
        <v>1.809939467822658E-2</v>
      </c>
      <c r="X153" s="103">
        <f t="shared" si="89"/>
        <v>1.8379042493769308E-2</v>
      </c>
      <c r="Y153" s="103">
        <f t="shared" si="89"/>
        <v>1.749990917768281E-2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0</v>
      </c>
      <c r="P155" s="103">
        <f t="shared" si="96"/>
        <v>0</v>
      </c>
      <c r="Q155" s="103">
        <f t="shared" si="96"/>
        <v>0</v>
      </c>
      <c r="R155" s="103">
        <f t="shared" si="96"/>
        <v>0</v>
      </c>
      <c r="S155" s="103">
        <f t="shared" si="96"/>
        <v>0</v>
      </c>
      <c r="T155" s="103">
        <f t="shared" si="96"/>
        <v>0</v>
      </c>
      <c r="U155" s="103">
        <f t="shared" si="96"/>
        <v>0</v>
      </c>
      <c r="V155" s="103">
        <f t="shared" si="96"/>
        <v>0</v>
      </c>
      <c r="W155" s="103">
        <f t="shared" ref="W155:Y155" si="97">IF(W39=0,0,W39/W$17)</f>
        <v>0</v>
      </c>
      <c r="X155" s="103">
        <f t="shared" si="97"/>
        <v>0</v>
      </c>
      <c r="Y155" s="103">
        <f t="shared" si="97"/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2.7149137498834821E-5</v>
      </c>
      <c r="F156" s="103">
        <f t="shared" si="98"/>
        <v>2.3342038337835661E-5</v>
      </c>
      <c r="G156" s="103">
        <f t="shared" si="98"/>
        <v>2.2153926653862339E-5</v>
      </c>
      <c r="H156" s="103">
        <f t="shared" si="98"/>
        <v>2.3178955893237683E-5</v>
      </c>
      <c r="I156" s="103">
        <f t="shared" si="98"/>
        <v>2.36825056797998E-5</v>
      </c>
      <c r="J156" s="103">
        <f t="shared" si="98"/>
        <v>2.3395010994501373E-5</v>
      </c>
      <c r="K156" s="103">
        <f t="shared" si="98"/>
        <v>1.6930295964973933E-5</v>
      </c>
      <c r="L156" s="103">
        <f t="shared" ref="L156" si="99">IF(L41=0,0,L41/L$17)</f>
        <v>1.6049437830131195E-5</v>
      </c>
      <c r="M156" s="103">
        <f t="shared" ref="M156:V156" si="100">IF(M41=0,0,M41/M$17)</f>
        <v>1.5142374166076286E-5</v>
      </c>
      <c r="N156" s="103">
        <f t="shared" si="100"/>
        <v>1.5850015792323011E-5</v>
      </c>
      <c r="O156" s="103">
        <f t="shared" si="100"/>
        <v>1.6163790869178653E-5</v>
      </c>
      <c r="P156" s="103">
        <f t="shared" si="100"/>
        <v>1.6798204855999366E-5</v>
      </c>
      <c r="Q156" s="103">
        <f t="shared" si="100"/>
        <v>1.7926820099516882E-5</v>
      </c>
      <c r="R156" s="103">
        <f t="shared" si="100"/>
        <v>1.8401494010125269E-5</v>
      </c>
      <c r="S156" s="103">
        <f t="shared" si="100"/>
        <v>5.7256089719027037E-5</v>
      </c>
      <c r="T156" s="103">
        <f t="shared" si="100"/>
        <v>2.1607796510224371E-4</v>
      </c>
      <c r="U156" s="103">
        <f t="shared" si="100"/>
        <v>6.7181856555892415E-4</v>
      </c>
      <c r="V156" s="103">
        <f t="shared" si="100"/>
        <v>1.1575016986088281E-3</v>
      </c>
      <c r="W156" s="103">
        <f t="shared" ref="W156:Y156" si="101">IF(W41=0,0,W41/W$17)</f>
        <v>1.3224066580918986E-3</v>
      </c>
      <c r="X156" s="103">
        <f t="shared" si="101"/>
        <v>2.5875536079179437E-3</v>
      </c>
      <c r="Y156" s="103">
        <f t="shared" si="101"/>
        <v>3.2250591367252494E-3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0.42123425816192167</v>
      </c>
      <c r="C157" s="46">
        <f t="shared" si="102"/>
        <v>0.43455357894717545</v>
      </c>
      <c r="D157" s="46">
        <f t="shared" si="102"/>
        <v>0.44367080044722973</v>
      </c>
      <c r="E157" s="46">
        <f t="shared" si="102"/>
        <v>0.46603775528966118</v>
      </c>
      <c r="F157" s="46">
        <f t="shared" si="102"/>
        <v>0.53216074452258322</v>
      </c>
      <c r="G157" s="46">
        <f t="shared" si="102"/>
        <v>0.57119012332179708</v>
      </c>
      <c r="H157" s="46">
        <f t="shared" si="102"/>
        <v>0.56907369400629515</v>
      </c>
      <c r="I157" s="46">
        <f t="shared" si="102"/>
        <v>0.55301337457760913</v>
      </c>
      <c r="J157" s="46">
        <f t="shared" si="102"/>
        <v>0.55135313297210053</v>
      </c>
      <c r="K157" s="46">
        <f t="shared" si="102"/>
        <v>0.52248426878386778</v>
      </c>
      <c r="L157" s="46">
        <f t="shared" ref="L157" si="103">IF(L42=0,0,L42/L$17)</f>
        <v>0.55747444370326837</v>
      </c>
      <c r="M157" s="46">
        <f t="shared" ref="M157:V157" si="104">IF(M42=0,0,M42/M$17)</f>
        <v>0.55339610691228802</v>
      </c>
      <c r="N157" s="46">
        <f t="shared" si="104"/>
        <v>0.53488751132182122</v>
      </c>
      <c r="O157" s="46">
        <f t="shared" si="104"/>
        <v>0.55310532367815335</v>
      </c>
      <c r="P157" s="46">
        <f t="shared" si="104"/>
        <v>0.54083003198511115</v>
      </c>
      <c r="Q157" s="46">
        <f t="shared" si="104"/>
        <v>0.52582433739516132</v>
      </c>
      <c r="R157" s="46">
        <f t="shared" si="104"/>
        <v>0.52586849562902926</v>
      </c>
      <c r="S157" s="46">
        <f t="shared" si="104"/>
        <v>0.54026144479120441</v>
      </c>
      <c r="T157" s="46">
        <f t="shared" si="104"/>
        <v>0.55205294110218284</v>
      </c>
      <c r="U157" s="46">
        <f t="shared" si="104"/>
        <v>0.56869259368455127</v>
      </c>
      <c r="V157" s="46">
        <f t="shared" si="104"/>
        <v>0.57282508384694386</v>
      </c>
      <c r="W157" s="46">
        <f t="shared" ref="W157:Y157" si="105">IF(W42=0,0,W42/W$17)</f>
        <v>0.5544217264245821</v>
      </c>
      <c r="X157" s="46">
        <f t="shared" si="105"/>
        <v>0.47801683477822848</v>
      </c>
      <c r="Y157" s="46">
        <f t="shared" si="105"/>
        <v>0.44035512015737011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2.0854218318977373E-2</v>
      </c>
      <c r="C158" s="154">
        <f t="shared" si="106"/>
        <v>2.0498585697778841E-2</v>
      </c>
      <c r="D158" s="154">
        <f t="shared" si="106"/>
        <v>2.052839040158233E-2</v>
      </c>
      <c r="E158" s="154">
        <f t="shared" si="106"/>
        <v>1.8946197737145919E-2</v>
      </c>
      <c r="F158" s="154">
        <f t="shared" si="106"/>
        <v>1.6658968568153881E-2</v>
      </c>
      <c r="G158" s="154">
        <f t="shared" si="106"/>
        <v>1.633883706707126E-2</v>
      </c>
      <c r="H158" s="154">
        <f t="shared" si="106"/>
        <v>1.7713721331252364E-2</v>
      </c>
      <c r="I158" s="154">
        <f t="shared" si="106"/>
        <v>1.9347076537956948E-2</v>
      </c>
      <c r="J158" s="154">
        <f t="shared" si="106"/>
        <v>2.0020478066015764E-2</v>
      </c>
      <c r="K158" s="154">
        <f t="shared" si="106"/>
        <v>2.1743539303179318E-2</v>
      </c>
      <c r="L158" s="154">
        <f t="shared" ref="L158" si="107">IF(L43=0,0,L43/L$17)</f>
        <v>2.145953463515313E-2</v>
      </c>
      <c r="M158" s="154">
        <f t="shared" ref="M158:V158" si="108">IF(M43=0,0,M43/M$17)</f>
        <v>2.1400726176994633E-2</v>
      </c>
      <c r="N158" s="154">
        <f t="shared" si="108"/>
        <v>2.2882462559816116E-2</v>
      </c>
      <c r="O158" s="154">
        <f t="shared" si="108"/>
        <v>2.3686236691535818E-2</v>
      </c>
      <c r="P158" s="154">
        <f t="shared" si="108"/>
        <v>2.5774420585169135E-2</v>
      </c>
      <c r="Q158" s="154">
        <f t="shared" si="108"/>
        <v>2.839471297206364E-2</v>
      </c>
      <c r="R158" s="154">
        <f t="shared" si="108"/>
        <v>3.0421393668639767E-2</v>
      </c>
      <c r="S158" s="154">
        <f t="shared" si="108"/>
        <v>2.997551784579558E-2</v>
      </c>
      <c r="T158" s="154">
        <f t="shared" si="108"/>
        <v>2.8833658309493977E-2</v>
      </c>
      <c r="U158" s="154">
        <f t="shared" si="108"/>
        <v>2.8350070265030333E-2</v>
      </c>
      <c r="V158" s="154">
        <f t="shared" si="108"/>
        <v>3.6999261677088738E-2</v>
      </c>
      <c r="W158" s="154">
        <f t="shared" ref="W158:Y158" si="109">IF(W43=0,0,W43/W$17)</f>
        <v>3.6213261923395218E-2</v>
      </c>
      <c r="X158" s="154">
        <f t="shared" si="109"/>
        <v>3.7194388874303902E-2</v>
      </c>
      <c r="Y158" s="154">
        <f t="shared" si="109"/>
        <v>3.7973841293840606E-2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1.9244598985793534E-3</v>
      </c>
      <c r="C159" s="103">
        <f t="shared" si="110"/>
        <v>1.6371998860756202E-3</v>
      </c>
      <c r="D159" s="103">
        <f t="shared" si="110"/>
        <v>1.426826874669044E-3</v>
      </c>
      <c r="E159" s="103">
        <f t="shared" si="110"/>
        <v>1.1495060232553154E-3</v>
      </c>
      <c r="F159" s="103">
        <f t="shared" si="110"/>
        <v>8.5848116718139657E-4</v>
      </c>
      <c r="G159" s="103">
        <f t="shared" si="110"/>
        <v>7.065763667575423E-4</v>
      </c>
      <c r="H159" s="103">
        <f t="shared" si="110"/>
        <v>6.5030857765497121E-4</v>
      </c>
      <c r="I159" s="103">
        <f t="shared" si="110"/>
        <v>6.0528996752112318E-4</v>
      </c>
      <c r="J159" s="103">
        <f t="shared" si="110"/>
        <v>5.5632555801349282E-4</v>
      </c>
      <c r="K159" s="103">
        <f t="shared" si="110"/>
        <v>5.2817561523145625E-4</v>
      </c>
      <c r="L159" s="103">
        <f t="shared" ref="L159" si="111">IF(L44=0,0,L44/L$17)</f>
        <v>4.7869167045089597E-4</v>
      </c>
      <c r="M159" s="103">
        <f t="shared" ref="M159:V159" si="112">IF(M44=0,0,M44/M$17)</f>
        <v>4.3254950669488934E-4</v>
      </c>
      <c r="N159" s="103">
        <f t="shared" si="112"/>
        <v>4.163989404436018E-4</v>
      </c>
      <c r="O159" s="103">
        <f t="shared" si="112"/>
        <v>4.0702551371657653E-4</v>
      </c>
      <c r="P159" s="103">
        <f t="shared" si="112"/>
        <v>4.2377818527748528E-4</v>
      </c>
      <c r="Q159" s="103">
        <f t="shared" si="112"/>
        <v>4.4758119119466894E-4</v>
      </c>
      <c r="R159" s="103">
        <f t="shared" si="112"/>
        <v>4.64060948146985E-4</v>
      </c>
      <c r="S159" s="103">
        <f t="shared" si="112"/>
        <v>4.5310589125949891E-4</v>
      </c>
      <c r="T159" s="103">
        <f t="shared" si="112"/>
        <v>4.4723810930936969E-4</v>
      </c>
      <c r="U159" s="103">
        <f t="shared" si="112"/>
        <v>4.4647984073650836E-4</v>
      </c>
      <c r="V159" s="103">
        <f t="shared" si="112"/>
        <v>5.8204402792487182E-4</v>
      </c>
      <c r="W159" s="103">
        <f t="shared" ref="W159:Y159" si="113">IF(W44=0,0,W44/W$17)</f>
        <v>5.6554330611707619E-4</v>
      </c>
      <c r="X159" s="103">
        <f t="shared" si="113"/>
        <v>5.8722638269305351E-4</v>
      </c>
      <c r="Y159" s="103">
        <f t="shared" si="113"/>
        <v>6.7463334851025419E-4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1.892975842039802E-2</v>
      </c>
      <c r="C160" s="103">
        <f t="shared" si="114"/>
        <v>1.886138581170322E-2</v>
      </c>
      <c r="D160" s="103">
        <f t="shared" si="114"/>
        <v>1.9101563526913289E-2</v>
      </c>
      <c r="E160" s="103">
        <f t="shared" si="114"/>
        <v>1.7796691713890603E-2</v>
      </c>
      <c r="F160" s="103">
        <f t="shared" si="114"/>
        <v>1.5800487400972483E-2</v>
      </c>
      <c r="G160" s="103">
        <f t="shared" si="114"/>
        <v>1.5632260700313719E-2</v>
      </c>
      <c r="H160" s="103">
        <f t="shared" si="114"/>
        <v>1.7063317816541052E-2</v>
      </c>
      <c r="I160" s="103">
        <f t="shared" si="114"/>
        <v>1.8741592545131608E-2</v>
      </c>
      <c r="J160" s="103">
        <f t="shared" si="114"/>
        <v>1.9463960871284935E-2</v>
      </c>
      <c r="K160" s="103">
        <f t="shared" si="114"/>
        <v>2.1214632030986249E-2</v>
      </c>
      <c r="L160" s="103">
        <f t="shared" ref="L160" si="115">IF(L46=0,0,L46/L$17)</f>
        <v>2.098014992235931E-2</v>
      </c>
      <c r="M160" s="103">
        <f t="shared" ref="M160:V160" si="116">IF(M46=0,0,M46/M$17)</f>
        <v>2.0967523151485139E-2</v>
      </c>
      <c r="N160" s="103">
        <f t="shared" si="116"/>
        <v>2.246348558167972E-2</v>
      </c>
      <c r="O160" s="103">
        <f t="shared" si="116"/>
        <v>2.3235087573353016E-2</v>
      </c>
      <c r="P160" s="103">
        <f t="shared" si="116"/>
        <v>2.528634953062095E-2</v>
      </c>
      <c r="Q160" s="103">
        <f t="shared" si="116"/>
        <v>2.7888294222372684E-2</v>
      </c>
      <c r="R160" s="103">
        <f t="shared" si="116"/>
        <v>2.9892483239790914E-2</v>
      </c>
      <c r="S160" s="103">
        <f t="shared" si="116"/>
        <v>2.9453200959210921E-2</v>
      </c>
      <c r="T160" s="103">
        <f t="shared" si="116"/>
        <v>2.8308557162814427E-2</v>
      </c>
      <c r="U160" s="103">
        <f t="shared" si="116"/>
        <v>2.7813831756744303E-2</v>
      </c>
      <c r="V160" s="103">
        <f t="shared" si="116"/>
        <v>3.6315730624726053E-2</v>
      </c>
      <c r="W160" s="103">
        <f t="shared" ref="W160:Y160" si="117">IF(W46=0,0,W46/W$17)</f>
        <v>3.5517574674387598E-2</v>
      </c>
      <c r="X160" s="103">
        <f t="shared" si="117"/>
        <v>3.6397276013780358E-2</v>
      </c>
      <c r="Y160" s="103">
        <f t="shared" si="117"/>
        <v>3.6962430258800569E-2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3.7273111052360647E-5</v>
      </c>
      <c r="P161" s="103">
        <f t="shared" si="120"/>
        <v>5.5434099402905054E-5</v>
      </c>
      <c r="Q161" s="103">
        <f t="shared" si="120"/>
        <v>4.6788950476483916E-5</v>
      </c>
      <c r="R161" s="103">
        <f t="shared" si="120"/>
        <v>5.0617805974105984E-5</v>
      </c>
      <c r="S161" s="103">
        <f t="shared" si="120"/>
        <v>5.0843082375818549E-5</v>
      </c>
      <c r="T161" s="103">
        <f t="shared" si="120"/>
        <v>5.4337164573001635E-5</v>
      </c>
      <c r="U161" s="103">
        <f t="shared" si="120"/>
        <v>5.8290673298543207E-5</v>
      </c>
      <c r="V161" s="103">
        <f t="shared" si="120"/>
        <v>4.9916178445800204E-5</v>
      </c>
      <c r="W161" s="103">
        <f t="shared" ref="W161:Y161" si="121">IF(W48=0,0,W48/W$17)</f>
        <v>5.6598843460026279E-5</v>
      </c>
      <c r="X161" s="103">
        <f t="shared" si="121"/>
        <v>5.5102489668295747E-5</v>
      </c>
      <c r="Y161" s="103">
        <f t="shared" si="121"/>
        <v>7.9848354805966778E-5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0</v>
      </c>
      <c r="R162" s="103">
        <f t="shared" si="124"/>
        <v>0</v>
      </c>
      <c r="S162" s="103">
        <f t="shared" si="124"/>
        <v>0</v>
      </c>
      <c r="T162" s="103">
        <f t="shared" si="124"/>
        <v>0</v>
      </c>
      <c r="U162" s="103">
        <f t="shared" si="124"/>
        <v>0</v>
      </c>
      <c r="V162" s="103">
        <f t="shared" si="124"/>
        <v>0</v>
      </c>
      <c r="W162" s="103">
        <f t="shared" ref="W162:Y162" si="125">IF(W49=0,0,W49/W$17)</f>
        <v>0</v>
      </c>
      <c r="X162" s="103">
        <f t="shared" si="125"/>
        <v>0</v>
      </c>
      <c r="Y162" s="103">
        <f t="shared" si="125"/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9.4937056339919791E-8</v>
      </c>
      <c r="I163" s="103">
        <f t="shared" si="126"/>
        <v>1.9402530421488589E-7</v>
      </c>
      <c r="J163" s="103">
        <f t="shared" si="126"/>
        <v>1.9163671733410592E-7</v>
      </c>
      <c r="K163" s="103">
        <f t="shared" si="126"/>
        <v>7.3165696161129559E-7</v>
      </c>
      <c r="L163" s="103">
        <f t="shared" ref="L163" si="127">IF(L51=0,0,L51/L$17)</f>
        <v>6.9304234292421315E-7</v>
      </c>
      <c r="M163" s="103">
        <f t="shared" ref="M163:V163" si="128">IF(M51=0,0,M51/M$17)</f>
        <v>6.5351881460413707E-7</v>
      </c>
      <c r="N163" s="103">
        <f t="shared" si="128"/>
        <v>2.5780376927907926E-6</v>
      </c>
      <c r="O163" s="103">
        <f t="shared" si="128"/>
        <v>6.8504934138616456E-6</v>
      </c>
      <c r="P163" s="103">
        <f t="shared" si="128"/>
        <v>8.8587698677902985E-6</v>
      </c>
      <c r="Q163" s="103">
        <f t="shared" si="128"/>
        <v>1.2048608019799207E-5</v>
      </c>
      <c r="R163" s="103">
        <f t="shared" si="128"/>
        <v>1.4231674727759057E-5</v>
      </c>
      <c r="S163" s="103">
        <f t="shared" si="128"/>
        <v>1.8367912949338041E-5</v>
      </c>
      <c r="T163" s="103">
        <f t="shared" si="128"/>
        <v>2.3525872797178605E-5</v>
      </c>
      <c r="U163" s="103">
        <f t="shared" si="128"/>
        <v>3.1467994250979008E-5</v>
      </c>
      <c r="V163" s="103">
        <f t="shared" si="128"/>
        <v>5.157084599202037E-5</v>
      </c>
      <c r="W163" s="103">
        <f t="shared" ref="W163:Y163" si="129">IF(W51=0,0,W51/W$17)</f>
        <v>7.3545099430521056E-5</v>
      </c>
      <c r="X163" s="103">
        <f t="shared" si="129"/>
        <v>1.547839881621934E-4</v>
      </c>
      <c r="Y163" s="103">
        <f t="shared" si="129"/>
        <v>2.5692933172381956E-4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0.40038003984294429</v>
      </c>
      <c r="C164" s="156">
        <f t="shared" si="130"/>
        <v>0.4140549932493966</v>
      </c>
      <c r="D164" s="156">
        <f t="shared" si="130"/>
        <v>0.4231424100456474</v>
      </c>
      <c r="E164" s="156">
        <f t="shared" si="130"/>
        <v>0.44709155755251523</v>
      </c>
      <c r="F164" s="156">
        <f t="shared" si="130"/>
        <v>0.51550177595442925</v>
      </c>
      <c r="G164" s="156">
        <f t="shared" si="130"/>
        <v>0.5548512862547258</v>
      </c>
      <c r="H164" s="156">
        <f t="shared" si="130"/>
        <v>0.55135997267504278</v>
      </c>
      <c r="I164" s="156">
        <f t="shared" si="130"/>
        <v>0.53366629803965215</v>
      </c>
      <c r="J164" s="156">
        <f t="shared" si="130"/>
        <v>0.53133265490608472</v>
      </c>
      <c r="K164" s="156">
        <f t="shared" si="130"/>
        <v>0.50074072948068848</v>
      </c>
      <c r="L164" s="156">
        <f t="shared" ref="L164" si="131">IF(L52=0,0,L52/L$17)</f>
        <v>0.53601490906811533</v>
      </c>
      <c r="M164" s="156">
        <f t="shared" ref="M164:V164" si="132">IF(M52=0,0,M52/M$17)</f>
        <v>0.5319953807352934</v>
      </c>
      <c r="N164" s="156">
        <f t="shared" si="132"/>
        <v>0.51200504876200514</v>
      </c>
      <c r="O164" s="156">
        <f t="shared" si="132"/>
        <v>0.52941908698661744</v>
      </c>
      <c r="P164" s="156">
        <f t="shared" si="132"/>
        <v>0.51505561139994205</v>
      </c>
      <c r="Q164" s="156">
        <f t="shared" si="132"/>
        <v>0.49742962442309768</v>
      </c>
      <c r="R164" s="156">
        <f t="shared" si="132"/>
        <v>0.49544710196038955</v>
      </c>
      <c r="S164" s="156">
        <f t="shared" si="132"/>
        <v>0.51028592694540886</v>
      </c>
      <c r="T164" s="156">
        <f t="shared" si="132"/>
        <v>0.52321928279268892</v>
      </c>
      <c r="U164" s="156">
        <f t="shared" si="132"/>
        <v>0.54034252341952083</v>
      </c>
      <c r="V164" s="156">
        <f t="shared" si="132"/>
        <v>0.53582582216985508</v>
      </c>
      <c r="W164" s="156">
        <f t="shared" ref="W164:Y164" si="133">IF(W52=0,0,W52/W$17)</f>
        <v>0.51820846450118685</v>
      </c>
      <c r="X164" s="156">
        <f t="shared" si="133"/>
        <v>0.44082244590392455</v>
      </c>
      <c r="Y164" s="156">
        <f t="shared" si="133"/>
        <v>0.40238127886352953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1.7432356072097678E-2</v>
      </c>
      <c r="C165" s="104">
        <f t="shared" si="134"/>
        <v>1.891945219123271E-2</v>
      </c>
      <c r="D165" s="104">
        <f t="shared" si="134"/>
        <v>2.108531830195156E-2</v>
      </c>
      <c r="E165" s="104">
        <f t="shared" si="134"/>
        <v>1.9203013058806735E-2</v>
      </c>
      <c r="F165" s="104">
        <f t="shared" si="134"/>
        <v>1.6563028962580537E-2</v>
      </c>
      <c r="G165" s="104">
        <f t="shared" si="134"/>
        <v>1.5173490238878692E-2</v>
      </c>
      <c r="H165" s="104">
        <f t="shared" si="134"/>
        <v>1.7224865242754069E-2</v>
      </c>
      <c r="I165" s="104">
        <f t="shared" si="134"/>
        <v>1.692990651917765E-2</v>
      </c>
      <c r="J165" s="104">
        <f t="shared" si="134"/>
        <v>1.542974533059248E-2</v>
      </c>
      <c r="K165" s="104">
        <f t="shared" si="134"/>
        <v>1.08395726633714E-2</v>
      </c>
      <c r="L165" s="104">
        <f t="shared" ref="L165" si="135">IF(L53=0,0,L53/L$17)</f>
        <v>1.1549998423828747E-2</v>
      </c>
      <c r="M165" s="104">
        <f t="shared" ref="M165:V165" si="136">IF(M53=0,0,M53/M$17)</f>
        <v>1.1825575928311082E-2</v>
      </c>
      <c r="N165" s="104">
        <f t="shared" si="136"/>
        <v>1.8178865746885185E-2</v>
      </c>
      <c r="O165" s="104">
        <f t="shared" si="136"/>
        <v>1.4854686227781974E-2</v>
      </c>
      <c r="P165" s="104">
        <f t="shared" si="136"/>
        <v>1.9986260236487665E-2</v>
      </c>
      <c r="Q165" s="104">
        <f t="shared" si="136"/>
        <v>1.8621397251573413E-2</v>
      </c>
      <c r="R165" s="104">
        <f t="shared" si="136"/>
        <v>1.9352296295112432E-2</v>
      </c>
      <c r="S165" s="104">
        <f t="shared" si="136"/>
        <v>1.8174515343178925E-2</v>
      </c>
      <c r="T165" s="104">
        <f t="shared" si="136"/>
        <v>1.7686686471616409E-2</v>
      </c>
      <c r="U165" s="104">
        <f t="shared" si="136"/>
        <v>1.7072980398613474E-2</v>
      </c>
      <c r="V165" s="104">
        <f t="shared" si="136"/>
        <v>1.8125074439321487E-2</v>
      </c>
      <c r="W165" s="104">
        <f t="shared" ref="W165:Y165" si="137">IF(W53=0,0,W53/W$17)</f>
        <v>1.9991770468043662E-2</v>
      </c>
      <c r="X165" s="104">
        <f t="shared" si="137"/>
        <v>2.0999175073686628E-2</v>
      </c>
      <c r="Y165" s="104">
        <f t="shared" si="137"/>
        <v>1.9505724778789309E-2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0.38294768377084665</v>
      </c>
      <c r="C166" s="105">
        <f t="shared" si="138"/>
        <v>0.3951355410581639</v>
      </c>
      <c r="D166" s="105">
        <f t="shared" si="138"/>
        <v>0.40205709174369586</v>
      </c>
      <c r="E166" s="105">
        <f t="shared" si="138"/>
        <v>0.4278885444937085</v>
      </c>
      <c r="F166" s="105">
        <f t="shared" si="138"/>
        <v>0.49893874699184881</v>
      </c>
      <c r="G166" s="105">
        <f t="shared" si="138"/>
        <v>0.53967779601584709</v>
      </c>
      <c r="H166" s="105">
        <f t="shared" si="138"/>
        <v>0.53413510743228876</v>
      </c>
      <c r="I166" s="105">
        <f t="shared" si="138"/>
        <v>0.51673639152047446</v>
      </c>
      <c r="J166" s="105">
        <f t="shared" si="138"/>
        <v>0.51590290957549234</v>
      </c>
      <c r="K166" s="105">
        <f t="shared" si="138"/>
        <v>0.48990115681731705</v>
      </c>
      <c r="L166" s="105">
        <f t="shared" ref="L166" si="139">IF(L55=0,0,L55/L$17)</f>
        <v>0.52446491064428646</v>
      </c>
      <c r="M166" s="105">
        <f t="shared" ref="M166:V166" si="140">IF(M55=0,0,M55/M$17)</f>
        <v>0.52016980480698227</v>
      </c>
      <c r="N166" s="105">
        <f t="shared" si="140"/>
        <v>0.49382618301511993</v>
      </c>
      <c r="O166" s="105">
        <f t="shared" si="140"/>
        <v>0.51456440075883547</v>
      </c>
      <c r="P166" s="105">
        <f t="shared" si="140"/>
        <v>0.49506935116345441</v>
      </c>
      <c r="Q166" s="105">
        <f t="shared" si="140"/>
        <v>0.47880822717152427</v>
      </c>
      <c r="R166" s="105">
        <f t="shared" si="140"/>
        <v>0.47609480566527707</v>
      </c>
      <c r="S166" s="105">
        <f t="shared" si="140"/>
        <v>0.49211141160222999</v>
      </c>
      <c r="T166" s="105">
        <f t="shared" si="140"/>
        <v>0.50553259632107239</v>
      </c>
      <c r="U166" s="105">
        <f t="shared" si="140"/>
        <v>0.52326954302090745</v>
      </c>
      <c r="V166" s="105">
        <f t="shared" si="140"/>
        <v>0.51770074773053354</v>
      </c>
      <c r="W166" s="105">
        <f t="shared" ref="W166:Y166" si="141">IF(W55=0,0,W55/W$17)</f>
        <v>0.49821669403314317</v>
      </c>
      <c r="X166" s="105">
        <f t="shared" si="141"/>
        <v>0.4198232708302379</v>
      </c>
      <c r="Y166" s="105">
        <f t="shared" si="141"/>
        <v>0.38287555408474022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4779.9203756508005</v>
      </c>
      <c r="C4" s="146">
        <f t="shared" si="0"/>
        <v>5022.3017724624005</v>
      </c>
      <c r="D4" s="146">
        <f t="shared" si="0"/>
        <v>5233.0230909611982</v>
      </c>
      <c r="E4" s="146">
        <f t="shared" si="0"/>
        <v>5788.9202628563999</v>
      </c>
      <c r="F4" s="146">
        <f t="shared" si="0"/>
        <v>6760.6482897612004</v>
      </c>
      <c r="G4" s="146">
        <f t="shared" si="0"/>
        <v>7146.2721448475986</v>
      </c>
      <c r="H4" s="146">
        <f t="shared" si="0"/>
        <v>6842.9998503143997</v>
      </c>
      <c r="I4" s="146">
        <f t="shared" si="0"/>
        <v>6564.3739575911986</v>
      </c>
      <c r="J4" s="146">
        <f t="shared" si="0"/>
        <v>6659.0611006175986</v>
      </c>
      <c r="K4" s="146">
        <f t="shared" si="0"/>
        <v>6138.2193451308003</v>
      </c>
      <c r="L4" s="146">
        <f t="shared" ref="L4" si="1">L5+L9+L10+L15</f>
        <v>6499.2324620879999</v>
      </c>
      <c r="M4" s="146">
        <f t="shared" ref="M4:V4" si="2">M5+M9+M10+M15</f>
        <v>6891.4689161832002</v>
      </c>
      <c r="N4" s="146">
        <f t="shared" si="2"/>
        <v>6576.5767266000003</v>
      </c>
      <c r="O4" s="146">
        <f t="shared" si="2"/>
        <v>6435.5012200800011</v>
      </c>
      <c r="P4" s="146">
        <f t="shared" si="2"/>
        <v>6143.9633388000011</v>
      </c>
      <c r="Q4" s="146">
        <f t="shared" si="2"/>
        <v>5709.9311794800014</v>
      </c>
      <c r="R4" s="146">
        <f t="shared" si="2"/>
        <v>5534.3133885599991</v>
      </c>
      <c r="S4" s="146">
        <f t="shared" si="2"/>
        <v>5640.0161327999986</v>
      </c>
      <c r="T4" s="146">
        <f t="shared" si="2"/>
        <v>6019.9136474400002</v>
      </c>
      <c r="U4" s="146">
        <f t="shared" si="2"/>
        <v>6156.4560314399996</v>
      </c>
      <c r="V4" s="146">
        <f t="shared" si="2"/>
        <v>4629.0279427199985</v>
      </c>
      <c r="W4" s="146">
        <f t="shared" ref="W4:Y4" si="3">W5+W9+W10+W15</f>
        <v>4945.2080608800015</v>
      </c>
      <c r="X4" s="146">
        <f t="shared" si="3"/>
        <v>4295.8578257999989</v>
      </c>
      <c r="Y4" s="146">
        <f t="shared" si="3"/>
        <v>4153.0934066399996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4779.9203756508005</v>
      </c>
      <c r="C5" s="101">
        <f t="shared" si="4"/>
        <v>5022.3017724624005</v>
      </c>
      <c r="D5" s="101">
        <f t="shared" si="4"/>
        <v>5233.0230909611982</v>
      </c>
      <c r="E5" s="101">
        <f t="shared" si="4"/>
        <v>5788.9202628563999</v>
      </c>
      <c r="F5" s="101">
        <f t="shared" si="4"/>
        <v>6760.6482897612004</v>
      </c>
      <c r="G5" s="101">
        <f t="shared" si="4"/>
        <v>7146.2721448475986</v>
      </c>
      <c r="H5" s="101">
        <f t="shared" si="4"/>
        <v>6842.9998503143997</v>
      </c>
      <c r="I5" s="101">
        <f t="shared" si="4"/>
        <v>6564.3739575911986</v>
      </c>
      <c r="J5" s="101">
        <f t="shared" si="4"/>
        <v>6659.0611006175986</v>
      </c>
      <c r="K5" s="101">
        <f t="shared" si="4"/>
        <v>6138.2193451308003</v>
      </c>
      <c r="L5" s="101">
        <f t="shared" ref="L5" si="5">SUM(L6:L8)</f>
        <v>6499.2324620879999</v>
      </c>
      <c r="M5" s="101">
        <f t="shared" ref="M5:V5" si="6">SUM(M6:M8)</f>
        <v>6891.4689161832002</v>
      </c>
      <c r="N5" s="101">
        <f t="shared" si="6"/>
        <v>6576.5767266000003</v>
      </c>
      <c r="O5" s="101">
        <f t="shared" si="6"/>
        <v>6435.5012200800011</v>
      </c>
      <c r="P5" s="101">
        <f t="shared" si="6"/>
        <v>6143.9633388000011</v>
      </c>
      <c r="Q5" s="101">
        <f t="shared" si="6"/>
        <v>5709.9311794800014</v>
      </c>
      <c r="R5" s="101">
        <f t="shared" si="6"/>
        <v>5534.3133885599991</v>
      </c>
      <c r="S5" s="101">
        <f t="shared" si="6"/>
        <v>5640.0161327999986</v>
      </c>
      <c r="T5" s="101">
        <f t="shared" si="6"/>
        <v>6019.9136474400002</v>
      </c>
      <c r="U5" s="101">
        <f t="shared" si="6"/>
        <v>6156.4560314399996</v>
      </c>
      <c r="V5" s="101">
        <f t="shared" si="6"/>
        <v>4629.0279427199985</v>
      </c>
      <c r="W5" s="101">
        <f t="shared" ref="W5:Y5" si="7">SUM(W6:W8)</f>
        <v>4945.2080608800015</v>
      </c>
      <c r="X5" s="101">
        <f t="shared" si="7"/>
        <v>4295.8578257999989</v>
      </c>
      <c r="Y5" s="101">
        <f t="shared" si="7"/>
        <v>4153.0934066399996</v>
      </c>
      <c r="DA5" s="175"/>
    </row>
    <row r="6" spans="1:105" ht="11.45" customHeight="1" x14ac:dyDescent="0.25">
      <c r="A6" s="128" t="s">
        <v>52</v>
      </c>
      <c r="B6" s="101">
        <v>5.8053009600000003</v>
      </c>
      <c r="C6" s="101">
        <v>8.707724279999999</v>
      </c>
      <c r="D6" s="101">
        <v>11.610374759999999</v>
      </c>
      <c r="E6" s="101">
        <v>8.707724279999999</v>
      </c>
      <c r="F6" s="101">
        <v>8.707724279999999</v>
      </c>
      <c r="G6" s="101">
        <v>5.8053009600000003</v>
      </c>
      <c r="H6" s="101">
        <v>2.9026504799999988</v>
      </c>
      <c r="I6" s="101">
        <v>5.8053009600000003</v>
      </c>
      <c r="J6" s="101">
        <v>5.8053009600000003</v>
      </c>
      <c r="K6" s="101">
        <v>3.9155569200000002</v>
      </c>
      <c r="L6" s="101">
        <v>3.9244161600000003</v>
      </c>
      <c r="M6" s="101">
        <v>1.8111466800000002</v>
      </c>
      <c r="N6" s="101">
        <v>4.9489077599999991</v>
      </c>
      <c r="O6" s="101">
        <v>3.3930889199999994</v>
      </c>
      <c r="P6" s="101">
        <v>3.9126038399999992</v>
      </c>
      <c r="Q6" s="101">
        <v>1.9622080800000001</v>
      </c>
      <c r="R6" s="101">
        <v>2.12190156</v>
      </c>
      <c r="S6" s="101">
        <v>1.8345441600000003</v>
      </c>
      <c r="T6" s="101">
        <v>0.97519788000000007</v>
      </c>
      <c r="U6" s="101">
        <v>0.85344012000000002</v>
      </c>
      <c r="V6" s="101">
        <v>0.50497667999999996</v>
      </c>
      <c r="W6" s="101">
        <v>0.74599343999999979</v>
      </c>
      <c r="X6" s="101">
        <v>0.71691696000000016</v>
      </c>
      <c r="Y6" s="101">
        <v>1.0508421600000004</v>
      </c>
      <c r="DA6" s="175" t="s">
        <v>741</v>
      </c>
    </row>
    <row r="7" spans="1:105" ht="11.45" customHeight="1" x14ac:dyDescent="0.25">
      <c r="A7" s="128" t="s">
        <v>53</v>
      </c>
      <c r="B7" s="101">
        <v>1727.4107466</v>
      </c>
      <c r="C7" s="101">
        <v>1700.83439064</v>
      </c>
      <c r="D7" s="101">
        <v>1660.9355532</v>
      </c>
      <c r="E7" s="101">
        <v>1690.4979352800001</v>
      </c>
      <c r="F7" s="101">
        <v>1638.9084650399998</v>
      </c>
      <c r="G7" s="101">
        <v>1492.3911063599996</v>
      </c>
      <c r="H7" s="101">
        <v>1341.0620269200001</v>
      </c>
      <c r="I7" s="101">
        <v>1283.3393403599998</v>
      </c>
      <c r="J7" s="101">
        <v>1224.3428089199999</v>
      </c>
      <c r="K7" s="101">
        <v>1128.7378317599998</v>
      </c>
      <c r="L7" s="101">
        <v>1049.07138336</v>
      </c>
      <c r="M7" s="101">
        <v>1070.2305306000001</v>
      </c>
      <c r="N7" s="101">
        <v>1042.3476478799998</v>
      </c>
      <c r="O7" s="101">
        <v>949.32902988000012</v>
      </c>
      <c r="P7" s="101">
        <v>910.88890200000026</v>
      </c>
      <c r="Q7" s="101">
        <v>849.32397395999999</v>
      </c>
      <c r="R7" s="101">
        <v>825.38761535999981</v>
      </c>
      <c r="S7" s="101">
        <v>872.23995936000006</v>
      </c>
      <c r="T7" s="101">
        <v>952.48794564000002</v>
      </c>
      <c r="U7" s="101">
        <v>994.70170800000017</v>
      </c>
      <c r="V7" s="101">
        <v>759.52689119999991</v>
      </c>
      <c r="W7" s="101">
        <v>920.07375768000009</v>
      </c>
      <c r="X7" s="101">
        <v>934.72970975999976</v>
      </c>
      <c r="Y7" s="101">
        <v>1040.387733</v>
      </c>
      <c r="DA7" s="175" t="s">
        <v>742</v>
      </c>
    </row>
    <row r="8" spans="1:105" ht="11.45" customHeight="1" x14ac:dyDescent="0.25">
      <c r="A8" s="128" t="s">
        <v>54</v>
      </c>
      <c r="B8" s="101">
        <v>3046.7043280908001</v>
      </c>
      <c r="C8" s="101">
        <v>3312.7596575424</v>
      </c>
      <c r="D8" s="101">
        <v>3560.4771630011983</v>
      </c>
      <c r="E8" s="101">
        <v>4089.7146032963997</v>
      </c>
      <c r="F8" s="101">
        <v>5113.0321004412008</v>
      </c>
      <c r="G8" s="101">
        <v>5648.0757375275989</v>
      </c>
      <c r="H8" s="101">
        <v>5499.0351729143995</v>
      </c>
      <c r="I8" s="101">
        <v>5275.2293162711985</v>
      </c>
      <c r="J8" s="101">
        <v>5428.9129907375991</v>
      </c>
      <c r="K8" s="101">
        <v>5005.5659564508005</v>
      </c>
      <c r="L8" s="101">
        <v>5446.2366625679997</v>
      </c>
      <c r="M8" s="101">
        <v>5819.4272389032003</v>
      </c>
      <c r="N8" s="101">
        <v>5529.2801709599999</v>
      </c>
      <c r="O8" s="101">
        <v>5482.7791012800008</v>
      </c>
      <c r="P8" s="101">
        <v>5229.1618329600005</v>
      </c>
      <c r="Q8" s="101">
        <v>4858.6449974400011</v>
      </c>
      <c r="R8" s="101">
        <v>4706.8038716399997</v>
      </c>
      <c r="S8" s="101">
        <v>4765.9416292799988</v>
      </c>
      <c r="T8" s="101">
        <v>5066.4505039200003</v>
      </c>
      <c r="U8" s="101">
        <v>5160.9008833199996</v>
      </c>
      <c r="V8" s="101">
        <v>3868.996074839999</v>
      </c>
      <c r="W8" s="101">
        <v>4024.3883097600014</v>
      </c>
      <c r="X8" s="101">
        <v>3360.4111990799988</v>
      </c>
      <c r="Y8" s="101">
        <v>3111.6548314799998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X9" s="101">
        <v>0</v>
      </c>
      <c r="Y9" s="101">
        <v>0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4779.9203756507995</v>
      </c>
      <c r="C17" s="79">
        <f t="shared" si="12"/>
        <v>5022.3017724624005</v>
      </c>
      <c r="D17" s="79">
        <f t="shared" si="12"/>
        <v>5233.0230909611982</v>
      </c>
      <c r="E17" s="79">
        <f t="shared" si="12"/>
        <v>5788.9202628564008</v>
      </c>
      <c r="F17" s="79">
        <f t="shared" si="12"/>
        <v>6760.6482897612004</v>
      </c>
      <c r="G17" s="79">
        <f t="shared" si="12"/>
        <v>7146.2721448475986</v>
      </c>
      <c r="H17" s="79">
        <f t="shared" si="12"/>
        <v>6842.9998503143997</v>
      </c>
      <c r="I17" s="79">
        <f t="shared" si="12"/>
        <v>6564.3739575911986</v>
      </c>
      <c r="J17" s="79">
        <f t="shared" si="12"/>
        <v>6659.0611006175986</v>
      </c>
      <c r="K17" s="79">
        <f t="shared" si="12"/>
        <v>6138.2193451308012</v>
      </c>
      <c r="L17" s="79">
        <f t="shared" ref="L17" si="13">SUM(L18,L33)</f>
        <v>6499.232462087999</v>
      </c>
      <c r="M17" s="79">
        <f t="shared" ref="M17:V17" si="14">SUM(M18,M33)</f>
        <v>6891.4689161832002</v>
      </c>
      <c r="N17" s="79">
        <f t="shared" si="14"/>
        <v>6576.5767265999984</v>
      </c>
      <c r="O17" s="79">
        <f t="shared" si="14"/>
        <v>6435.5012200800011</v>
      </c>
      <c r="P17" s="79">
        <f t="shared" si="14"/>
        <v>6143.9633388000011</v>
      </c>
      <c r="Q17" s="79">
        <f t="shared" si="14"/>
        <v>5709.9311794800014</v>
      </c>
      <c r="R17" s="79">
        <f t="shared" si="14"/>
        <v>5534.31338856</v>
      </c>
      <c r="S17" s="79">
        <f t="shared" si="14"/>
        <v>5640.0161327999986</v>
      </c>
      <c r="T17" s="79">
        <f t="shared" si="14"/>
        <v>6019.9136474400002</v>
      </c>
      <c r="U17" s="79">
        <f t="shared" si="14"/>
        <v>6156.4560314399996</v>
      </c>
      <c r="V17" s="79">
        <f t="shared" si="14"/>
        <v>4629.0279427199994</v>
      </c>
      <c r="W17" s="79">
        <f t="shared" ref="W17:Y17" si="15">SUM(W18,W33)</f>
        <v>4945.2080608800006</v>
      </c>
      <c r="X17" s="79">
        <f t="shared" si="15"/>
        <v>4295.8578257999989</v>
      </c>
      <c r="Y17" s="79">
        <f t="shared" si="15"/>
        <v>4153.0934066400005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2716.2391537677668</v>
      </c>
      <c r="C18" s="32">
        <f t="shared" si="16"/>
        <v>2788.5348753260473</v>
      </c>
      <c r="D18" s="32">
        <f t="shared" si="16"/>
        <v>2859.8387585479468</v>
      </c>
      <c r="E18" s="32">
        <f t="shared" si="16"/>
        <v>3036.1538518242328</v>
      </c>
      <c r="F18" s="32">
        <f t="shared" si="16"/>
        <v>3102.2716992082528</v>
      </c>
      <c r="G18" s="32">
        <f t="shared" si="16"/>
        <v>3005.281419164719</v>
      </c>
      <c r="H18" s="32">
        <f t="shared" si="16"/>
        <v>2896.1163793431938</v>
      </c>
      <c r="I18" s="32">
        <f t="shared" si="16"/>
        <v>2901.8401319252885</v>
      </c>
      <c r="J18" s="32">
        <f t="shared" si="16"/>
        <v>2956.7547143953584</v>
      </c>
      <c r="K18" s="32">
        <f t="shared" si="16"/>
        <v>2904.7623592089885</v>
      </c>
      <c r="L18" s="32">
        <f t="shared" ref="L18" si="17">SUM(L19,L20,L27)</f>
        <v>2848.5440364162719</v>
      </c>
      <c r="M18" s="32">
        <f t="shared" ref="M18:V18" si="18">SUM(M19,M20,M27)</f>
        <v>3039.2680128212405</v>
      </c>
      <c r="N18" s="32">
        <f t="shared" si="18"/>
        <v>3033.0678708324494</v>
      </c>
      <c r="O18" s="32">
        <f t="shared" si="18"/>
        <v>2854.8929690930772</v>
      </c>
      <c r="P18" s="32">
        <f t="shared" si="18"/>
        <v>2801.7453834148569</v>
      </c>
      <c r="Q18" s="32">
        <f t="shared" si="18"/>
        <v>2687.1905090825067</v>
      </c>
      <c r="R18" s="32">
        <f t="shared" si="18"/>
        <v>2603.1811150520953</v>
      </c>
      <c r="S18" s="32">
        <f t="shared" si="18"/>
        <v>2581.7323975378995</v>
      </c>
      <c r="T18" s="32">
        <f t="shared" si="18"/>
        <v>2678.9774359734965</v>
      </c>
      <c r="U18" s="32">
        <f t="shared" si="18"/>
        <v>2622.3759593861919</v>
      </c>
      <c r="V18" s="32">
        <f t="shared" si="18"/>
        <v>1962.5795482898081</v>
      </c>
      <c r="W18" s="32">
        <f t="shared" ref="W18:Y18" si="19">SUM(W19,W20,W27)</f>
        <v>2176.615872358414</v>
      </c>
      <c r="X18" s="32">
        <f t="shared" si="19"/>
        <v>2215.028339612511</v>
      </c>
      <c r="Y18" s="32">
        <f t="shared" si="19"/>
        <v>2291.0862678075359</v>
      </c>
      <c r="DA18" s="173" t="s">
        <v>403</v>
      </c>
    </row>
    <row r="19" spans="1:105" ht="11.45" customHeight="1" x14ac:dyDescent="0.25">
      <c r="A19" s="136" t="s">
        <v>173</v>
      </c>
      <c r="B19" s="141">
        <v>4.54322569060347</v>
      </c>
      <c r="C19" s="141">
        <v>4.629221031072853</v>
      </c>
      <c r="D19" s="141">
        <v>4.8573442361994346</v>
      </c>
      <c r="E19" s="141">
        <v>4.9315558185449309</v>
      </c>
      <c r="F19" s="141">
        <v>5.2172672897231713</v>
      </c>
      <c r="G19" s="141">
        <v>5.2788609336162855</v>
      </c>
      <c r="H19" s="141">
        <v>5.3194723409010027</v>
      </c>
      <c r="I19" s="141">
        <v>5.3146742879960831</v>
      </c>
      <c r="J19" s="141">
        <v>5.3650354901962034</v>
      </c>
      <c r="K19" s="141">
        <v>5.5074245394676566</v>
      </c>
      <c r="L19" s="141">
        <v>5.6435702447012837</v>
      </c>
      <c r="M19" s="141">
        <v>5.6651742260765117</v>
      </c>
      <c r="N19" s="141">
        <v>5.9993544815999691</v>
      </c>
      <c r="O19" s="141">
        <v>6.1312503066844961</v>
      </c>
      <c r="P19" s="141">
        <v>6.2783444781631621</v>
      </c>
      <c r="Q19" s="141">
        <v>6.38692167093118</v>
      </c>
      <c r="R19" s="141">
        <v>6.5771175013440528</v>
      </c>
      <c r="S19" s="141">
        <v>6.3967722237450655</v>
      </c>
      <c r="T19" s="141">
        <v>6.0521003767316754</v>
      </c>
      <c r="U19" s="141">
        <v>6.190883726140302</v>
      </c>
      <c r="V19" s="141">
        <v>5.5139348382434727</v>
      </c>
      <c r="W19" s="141">
        <v>5.7150684284612563</v>
      </c>
      <c r="X19" s="141">
        <v>5.7193084738302993</v>
      </c>
      <c r="Y19" s="141">
        <v>6.0976158074627431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2636.0800824442695</v>
      </c>
      <c r="C20" s="130">
        <f t="shared" si="20"/>
        <v>2705.8646927581926</v>
      </c>
      <c r="D20" s="130">
        <f t="shared" si="20"/>
        <v>2772.4343372047324</v>
      </c>
      <c r="E20" s="130">
        <f t="shared" si="20"/>
        <v>2948.2481081290357</v>
      </c>
      <c r="F20" s="130">
        <f t="shared" si="20"/>
        <v>3014.0512858140792</v>
      </c>
      <c r="G20" s="130">
        <f t="shared" si="20"/>
        <v>2915.0503735431994</v>
      </c>
      <c r="H20" s="130">
        <f t="shared" si="20"/>
        <v>2806.2589612981787</v>
      </c>
      <c r="I20" s="130">
        <f t="shared" si="20"/>
        <v>2811.9087403530289</v>
      </c>
      <c r="J20" s="130">
        <f t="shared" si="20"/>
        <v>2863.8829799346918</v>
      </c>
      <c r="K20" s="130">
        <f t="shared" si="20"/>
        <v>2809.6393250710971</v>
      </c>
      <c r="L20" s="130">
        <f t="shared" ref="L20" si="21">SUM(L21:L26)</f>
        <v>2751.0706303468414</v>
      </c>
      <c r="M20" s="130">
        <f t="shared" ref="M20:V20" si="22">SUM(M21:M26)</f>
        <v>2939.0202499623538</v>
      </c>
      <c r="N20" s="130">
        <f t="shared" si="22"/>
        <v>2932.8597427459708</v>
      </c>
      <c r="O20" s="130">
        <f t="shared" si="22"/>
        <v>2754.2972119922865</v>
      </c>
      <c r="P20" s="130">
        <f t="shared" si="22"/>
        <v>2702.1809115023666</v>
      </c>
      <c r="Q20" s="130">
        <f t="shared" si="22"/>
        <v>2585.0787767420775</v>
      </c>
      <c r="R20" s="130">
        <f t="shared" si="22"/>
        <v>2499.2050796554236</v>
      </c>
      <c r="S20" s="130">
        <f t="shared" si="22"/>
        <v>2476.27715753043</v>
      </c>
      <c r="T20" s="130">
        <f t="shared" si="22"/>
        <v>2573.2398429431937</v>
      </c>
      <c r="U20" s="130">
        <f t="shared" si="22"/>
        <v>2517.2392737594701</v>
      </c>
      <c r="V20" s="130">
        <f t="shared" si="22"/>
        <v>1864.6742754934728</v>
      </c>
      <c r="W20" s="130">
        <f t="shared" ref="W20:Y20" si="23">SUM(W21:W26)</f>
        <v>2080.4970309062901</v>
      </c>
      <c r="X20" s="130">
        <f t="shared" si="23"/>
        <v>2129.2666981364559</v>
      </c>
      <c r="Y20" s="130">
        <f t="shared" si="23"/>
        <v>2210.9364108098448</v>
      </c>
      <c r="DA20" s="176" t="s">
        <v>405</v>
      </c>
    </row>
    <row r="21" spans="1:105" ht="11.45" customHeight="1" x14ac:dyDescent="0.25">
      <c r="A21" s="111" t="s">
        <v>110</v>
      </c>
      <c r="B21" s="96">
        <v>1714.0474644324049</v>
      </c>
      <c r="C21" s="96">
        <v>1688.3325864805929</v>
      </c>
      <c r="D21" s="96">
        <v>1648.9390440388036</v>
      </c>
      <c r="E21" s="96">
        <v>1679.2153528543768</v>
      </c>
      <c r="F21" s="96">
        <v>1628.1694803197006</v>
      </c>
      <c r="G21" s="96">
        <v>1482.31975252501</v>
      </c>
      <c r="H21" s="96">
        <v>1331.5228936187179</v>
      </c>
      <c r="I21" s="96">
        <v>1274.1885288310325</v>
      </c>
      <c r="J21" s="96">
        <v>1215.4030158692117</v>
      </c>
      <c r="K21" s="96">
        <v>1120.1002369107973</v>
      </c>
      <c r="L21" s="96">
        <v>1040.4323829188347</v>
      </c>
      <c r="M21" s="96">
        <v>1061.7374112591742</v>
      </c>
      <c r="N21" s="96">
        <v>1031.6885889612668</v>
      </c>
      <c r="O21" s="96">
        <v>937.73182391645003</v>
      </c>
      <c r="P21" s="96">
        <v>899.29408199096144</v>
      </c>
      <c r="Q21" s="96">
        <v>837.90435118955043</v>
      </c>
      <c r="R21" s="96">
        <v>813.74939722072509</v>
      </c>
      <c r="S21" s="96">
        <v>861.28199563055273</v>
      </c>
      <c r="T21" s="96">
        <v>940.66057440698546</v>
      </c>
      <c r="U21" s="96">
        <v>981.14170799113356</v>
      </c>
      <c r="V21" s="96">
        <v>746.13844025736489</v>
      </c>
      <c r="W21" s="96">
        <v>900.65333039914651</v>
      </c>
      <c r="X21" s="96">
        <v>912.53286847920356</v>
      </c>
      <c r="Y21" s="96">
        <v>1012.3928162369959</v>
      </c>
      <c r="DA21" s="171" t="s">
        <v>751</v>
      </c>
    </row>
    <row r="22" spans="1:105" ht="11.45" customHeight="1" x14ac:dyDescent="0.25">
      <c r="A22" s="111" t="s">
        <v>111</v>
      </c>
      <c r="B22" s="96">
        <v>916.22731705186493</v>
      </c>
      <c r="C22" s="96">
        <v>1008.8243819975997</v>
      </c>
      <c r="D22" s="96">
        <v>1111.8849184059291</v>
      </c>
      <c r="E22" s="96">
        <v>1260.3250309946588</v>
      </c>
      <c r="F22" s="96">
        <v>1377.1740812143785</v>
      </c>
      <c r="G22" s="96">
        <v>1426.9253200581893</v>
      </c>
      <c r="H22" s="96">
        <v>1471.8334171994611</v>
      </c>
      <c r="I22" s="96">
        <v>1531.9149105619965</v>
      </c>
      <c r="J22" s="96">
        <v>1642.6746631054802</v>
      </c>
      <c r="K22" s="96">
        <v>1685.6235312402996</v>
      </c>
      <c r="L22" s="96">
        <v>1706.7138312680067</v>
      </c>
      <c r="M22" s="96">
        <v>1875.4716920231792</v>
      </c>
      <c r="N22" s="96">
        <v>1894.2013125067162</v>
      </c>
      <c r="O22" s="96">
        <v>1810.4534251972063</v>
      </c>
      <c r="P22" s="96">
        <v>1796.4836806450692</v>
      </c>
      <c r="Q22" s="96">
        <v>1742.8828320866749</v>
      </c>
      <c r="R22" s="96">
        <v>1680.9964721739523</v>
      </c>
      <c r="S22" s="96">
        <v>1611.3707460361034</v>
      </c>
      <c r="T22" s="96">
        <v>1628.7581198282423</v>
      </c>
      <c r="U22" s="96">
        <v>1530.8470721865904</v>
      </c>
      <c r="V22" s="96">
        <v>1113.0329786093898</v>
      </c>
      <c r="W22" s="96">
        <v>1168.3944618559701</v>
      </c>
      <c r="X22" s="96">
        <v>1202.2527644330969</v>
      </c>
      <c r="Y22" s="96">
        <v>1178.6812919426579</v>
      </c>
      <c r="DA22" s="171" t="s">
        <v>752</v>
      </c>
    </row>
    <row r="23" spans="1:105" ht="11.45" customHeight="1" x14ac:dyDescent="0.25">
      <c r="A23" s="111" t="s">
        <v>112</v>
      </c>
      <c r="B23" s="96">
        <v>5.8053009600000003</v>
      </c>
      <c r="C23" s="96">
        <v>8.707724279999999</v>
      </c>
      <c r="D23" s="96">
        <v>11.610374759999999</v>
      </c>
      <c r="E23" s="96">
        <v>8.707724279999999</v>
      </c>
      <c r="F23" s="96">
        <v>8.707724279999999</v>
      </c>
      <c r="G23" s="96">
        <v>5.8053009600000003</v>
      </c>
      <c r="H23" s="96">
        <v>2.9026504799999988</v>
      </c>
      <c r="I23" s="96">
        <v>5.8053009600000003</v>
      </c>
      <c r="J23" s="96">
        <v>5.8053009600000003</v>
      </c>
      <c r="K23" s="96">
        <v>3.9155569200000002</v>
      </c>
      <c r="L23" s="96">
        <v>3.9244161600000003</v>
      </c>
      <c r="M23" s="96">
        <v>1.8111466800000002</v>
      </c>
      <c r="N23" s="96">
        <v>4.9489077599999991</v>
      </c>
      <c r="O23" s="96">
        <v>3.1812790652641909</v>
      </c>
      <c r="P23" s="96">
        <v>3.6091964121453244</v>
      </c>
      <c r="Q23" s="96">
        <v>1.7220291325143957</v>
      </c>
      <c r="R23" s="96">
        <v>1.8688878549753207</v>
      </c>
      <c r="S23" s="96">
        <v>1.5724510176700475</v>
      </c>
      <c r="T23" s="96">
        <v>0.67583053471891286</v>
      </c>
      <c r="U23" s="96">
        <v>0.52410039978588008</v>
      </c>
      <c r="V23" s="96">
        <v>0.28671090446799463</v>
      </c>
      <c r="W23" s="96">
        <v>0.48290670832181126</v>
      </c>
      <c r="X23" s="96">
        <v>0.49191734383955699</v>
      </c>
      <c r="Y23" s="96">
        <v>0.73390808220874926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96">
        <v>0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2.0209335179878298</v>
      </c>
      <c r="O25" s="96">
        <v>2.9306838133656088</v>
      </c>
      <c r="P25" s="96">
        <v>2.7939524541906651</v>
      </c>
      <c r="Q25" s="96">
        <v>2.5695643333381017</v>
      </c>
      <c r="R25" s="96">
        <v>2.5903224057710923</v>
      </c>
      <c r="S25" s="96">
        <v>2.0519648461038416</v>
      </c>
      <c r="T25" s="96">
        <v>3.1453181732469138</v>
      </c>
      <c r="U25" s="96">
        <v>4.7263931819603044</v>
      </c>
      <c r="V25" s="96">
        <v>5.2161457222501522</v>
      </c>
      <c r="W25" s="96">
        <v>10.966331942851571</v>
      </c>
      <c r="X25" s="96">
        <v>13.989147880315498</v>
      </c>
      <c r="Y25" s="96">
        <v>19.128394547981969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75.61584563289415</v>
      </c>
      <c r="C27" s="130">
        <f t="shared" si="24"/>
        <v>78.040961536781452</v>
      </c>
      <c r="D27" s="130">
        <f t="shared" si="24"/>
        <v>82.547077107014928</v>
      </c>
      <c r="E27" s="130">
        <f t="shared" si="24"/>
        <v>82.974187876652081</v>
      </c>
      <c r="F27" s="130">
        <f t="shared" si="24"/>
        <v>83.003146104450352</v>
      </c>
      <c r="G27" s="130">
        <f t="shared" si="24"/>
        <v>84.952184687903156</v>
      </c>
      <c r="H27" s="130">
        <f t="shared" si="24"/>
        <v>84.537945704113909</v>
      </c>
      <c r="I27" s="130">
        <f t="shared" si="24"/>
        <v>84.61671728426353</v>
      </c>
      <c r="J27" s="130">
        <f t="shared" si="24"/>
        <v>87.506698970470723</v>
      </c>
      <c r="K27" s="130">
        <f t="shared" si="24"/>
        <v>89.61560959842403</v>
      </c>
      <c r="L27" s="130">
        <f t="shared" ref="L27" si="25">SUM(L28:L32)</f>
        <v>91.829835824729386</v>
      </c>
      <c r="M27" s="130">
        <f t="shared" ref="M27:V27" si="26">SUM(M28:M32)</f>
        <v>94.5825886328102</v>
      </c>
      <c r="N27" s="130">
        <f t="shared" si="26"/>
        <v>94.20877360487907</v>
      </c>
      <c r="O27" s="130">
        <f t="shared" si="26"/>
        <v>94.464506794105887</v>
      </c>
      <c r="P27" s="130">
        <f t="shared" si="26"/>
        <v>93.28612743432727</v>
      </c>
      <c r="Q27" s="130">
        <f t="shared" si="26"/>
        <v>95.724810669497955</v>
      </c>
      <c r="R27" s="130">
        <f t="shared" si="26"/>
        <v>97.398917895327543</v>
      </c>
      <c r="S27" s="130">
        <f t="shared" si="26"/>
        <v>99.058467783724538</v>
      </c>
      <c r="T27" s="130">
        <f t="shared" si="26"/>
        <v>99.685492653571117</v>
      </c>
      <c r="U27" s="130">
        <f t="shared" si="26"/>
        <v>98.945801900581699</v>
      </c>
      <c r="V27" s="130">
        <f t="shared" si="26"/>
        <v>92.391337958091768</v>
      </c>
      <c r="W27" s="130">
        <f t="shared" ref="W27:Y27" si="27">SUM(W28:W32)</f>
        <v>90.403773023662652</v>
      </c>
      <c r="X27" s="130">
        <f t="shared" si="27"/>
        <v>80.042333002224865</v>
      </c>
      <c r="Y27" s="130">
        <f t="shared" si="27"/>
        <v>74.052241190228528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3.7277992579400655E-3</v>
      </c>
      <c r="U28" s="97">
        <v>3.535863315990131E-3</v>
      </c>
      <c r="V28" s="97">
        <v>3.2921937748417967E-3</v>
      </c>
      <c r="W28" s="97">
        <v>5.9753891171723736E-3</v>
      </c>
      <c r="X28" s="97">
        <v>8.0624855009358998E-3</v>
      </c>
      <c r="Y28" s="97">
        <v>7.513345189039811E-3</v>
      </c>
      <c r="DA28" s="175" t="s">
        <v>757</v>
      </c>
    </row>
    <row r="29" spans="1:105" ht="11.45" customHeight="1" x14ac:dyDescent="0.25">
      <c r="A29" s="111" t="s">
        <v>111</v>
      </c>
      <c r="B29" s="97">
        <v>75.61584563289415</v>
      </c>
      <c r="C29" s="97">
        <v>78.040961536781452</v>
      </c>
      <c r="D29" s="97">
        <v>82.547077107014928</v>
      </c>
      <c r="E29" s="97">
        <v>82.974187876652081</v>
      </c>
      <c r="F29" s="97">
        <v>83.003146104450352</v>
      </c>
      <c r="G29" s="97">
        <v>84.952184687903156</v>
      </c>
      <c r="H29" s="97">
        <v>84.537945704113909</v>
      </c>
      <c r="I29" s="97">
        <v>84.61671728426353</v>
      </c>
      <c r="J29" s="97">
        <v>87.506698970470723</v>
      </c>
      <c r="K29" s="97">
        <v>89.61560959842403</v>
      </c>
      <c r="L29" s="97">
        <v>91.829835824729386</v>
      </c>
      <c r="M29" s="97">
        <v>94.5825886328102</v>
      </c>
      <c r="N29" s="97">
        <v>94.20877360487907</v>
      </c>
      <c r="O29" s="97">
        <v>94.464506794105887</v>
      </c>
      <c r="P29" s="97">
        <v>93.28612743432727</v>
      </c>
      <c r="Q29" s="97">
        <v>95.724810669497955</v>
      </c>
      <c r="R29" s="97">
        <v>97.398917895327543</v>
      </c>
      <c r="S29" s="97">
        <v>99.058467783724538</v>
      </c>
      <c r="T29" s="97">
        <v>99.681764854313172</v>
      </c>
      <c r="U29" s="97">
        <v>98.942266037265711</v>
      </c>
      <c r="V29" s="97">
        <v>92.388045764316928</v>
      </c>
      <c r="W29" s="97">
        <v>90.397797634545483</v>
      </c>
      <c r="X29" s="97">
        <v>80.034270516723936</v>
      </c>
      <c r="Y29" s="97">
        <v>74.044727845039489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X31" s="97">
        <v>0</v>
      </c>
      <c r="Y31" s="97">
        <v>0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2063.6812218830328</v>
      </c>
      <c r="C33" s="32">
        <f t="shared" si="28"/>
        <v>2233.7668971363528</v>
      </c>
      <c r="D33" s="32">
        <f t="shared" si="28"/>
        <v>2373.1843324132515</v>
      </c>
      <c r="E33" s="32">
        <f t="shared" si="28"/>
        <v>2752.766411032168</v>
      </c>
      <c r="F33" s="32">
        <f t="shared" si="28"/>
        <v>3658.3765905529481</v>
      </c>
      <c r="G33" s="32">
        <f t="shared" si="28"/>
        <v>4140.9907256828792</v>
      </c>
      <c r="H33" s="32">
        <f t="shared" si="28"/>
        <v>3946.8834709712055</v>
      </c>
      <c r="I33" s="32">
        <f t="shared" si="28"/>
        <v>3662.5338256659097</v>
      </c>
      <c r="J33" s="32">
        <f t="shared" si="28"/>
        <v>3702.3063862222402</v>
      </c>
      <c r="K33" s="32">
        <f t="shared" si="28"/>
        <v>3233.4569859218122</v>
      </c>
      <c r="L33" s="32">
        <f t="shared" ref="L33" si="29">L34+L40</f>
        <v>3650.6884256717267</v>
      </c>
      <c r="M33" s="32">
        <f t="shared" ref="M33:V33" si="30">M34+M40</f>
        <v>3852.2009033619597</v>
      </c>
      <c r="N33" s="32">
        <f t="shared" si="30"/>
        <v>3543.508855767549</v>
      </c>
      <c r="O33" s="32">
        <f t="shared" si="30"/>
        <v>3580.6082509869234</v>
      </c>
      <c r="P33" s="32">
        <f t="shared" si="30"/>
        <v>3342.2179553851443</v>
      </c>
      <c r="Q33" s="32">
        <f t="shared" si="30"/>
        <v>3022.7406703974943</v>
      </c>
      <c r="R33" s="32">
        <f t="shared" si="30"/>
        <v>2931.1322735079043</v>
      </c>
      <c r="S33" s="32">
        <f t="shared" si="30"/>
        <v>3058.2837352620991</v>
      </c>
      <c r="T33" s="32">
        <f t="shared" si="30"/>
        <v>3340.9362114665041</v>
      </c>
      <c r="U33" s="32">
        <f t="shared" si="30"/>
        <v>3534.0800720538077</v>
      </c>
      <c r="V33" s="32">
        <f t="shared" si="30"/>
        <v>2666.4483944301915</v>
      </c>
      <c r="W33" s="32">
        <f t="shared" ref="W33:Y33" si="31">W34+W40</f>
        <v>2768.5921885215871</v>
      </c>
      <c r="X33" s="32">
        <f t="shared" si="31"/>
        <v>2080.8294861874879</v>
      </c>
      <c r="Y33" s="32">
        <f t="shared" si="31"/>
        <v>1862.0071388324645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101.58684993065755</v>
      </c>
      <c r="C34" s="141">
        <f t="shared" si="32"/>
        <v>104.85078368437379</v>
      </c>
      <c r="D34" s="141">
        <f t="shared" si="32"/>
        <v>109.33425355271729</v>
      </c>
      <c r="E34" s="141">
        <f t="shared" si="32"/>
        <v>111.48835367875159</v>
      </c>
      <c r="F34" s="141">
        <f t="shared" si="32"/>
        <v>114.15458309134698</v>
      </c>
      <c r="G34" s="141">
        <f t="shared" si="32"/>
        <v>118.13165829559144</v>
      </c>
      <c r="H34" s="141">
        <f t="shared" si="32"/>
        <v>122.57323084279852</v>
      </c>
      <c r="I34" s="141">
        <f t="shared" si="32"/>
        <v>127.96510514851961</v>
      </c>
      <c r="J34" s="141">
        <f t="shared" si="32"/>
        <v>134.27993190529656</v>
      </c>
      <c r="K34" s="141">
        <f t="shared" si="32"/>
        <v>134.42529588247029</v>
      </c>
      <c r="L34" s="141">
        <f t="shared" ref="L34" si="33">SUM(L35:L39)</f>
        <v>140.39188404385743</v>
      </c>
      <c r="M34" s="141">
        <f t="shared" ref="M34:V34" si="34">SUM(M35:M39)</f>
        <v>148.79038862303082</v>
      </c>
      <c r="N34" s="141">
        <f t="shared" si="34"/>
        <v>151.46003725480861</v>
      </c>
      <c r="O34" s="141">
        <f t="shared" si="34"/>
        <v>153.1701155238872</v>
      </c>
      <c r="P34" s="141">
        <f t="shared" si="34"/>
        <v>159.09925381905106</v>
      </c>
      <c r="Q34" s="141">
        <f t="shared" si="34"/>
        <v>163.03230378083316</v>
      </c>
      <c r="R34" s="141">
        <f t="shared" si="34"/>
        <v>169.35391827966836</v>
      </c>
      <c r="S34" s="141">
        <f t="shared" si="34"/>
        <v>169.50857591913871</v>
      </c>
      <c r="T34" s="141">
        <f t="shared" si="34"/>
        <v>174.25740465830754</v>
      </c>
      <c r="U34" s="141">
        <f t="shared" si="34"/>
        <v>175.83246051189079</v>
      </c>
      <c r="V34" s="141">
        <f t="shared" si="34"/>
        <v>171.93932695186089</v>
      </c>
      <c r="W34" s="141">
        <f t="shared" ref="W34:Y34" si="35">SUM(W35:W39)</f>
        <v>180.38939283136145</v>
      </c>
      <c r="X34" s="141">
        <f t="shared" si="35"/>
        <v>161.20266682085298</v>
      </c>
      <c r="Y34" s="141">
        <f t="shared" si="35"/>
        <v>159.47188674185412</v>
      </c>
      <c r="DA34" s="174" t="s">
        <v>412</v>
      </c>
    </row>
    <row r="35" spans="1:105" ht="11.45" customHeight="1" x14ac:dyDescent="0.25">
      <c r="A35" s="111" t="s">
        <v>110</v>
      </c>
      <c r="B35" s="96">
        <v>8.8200564769914127</v>
      </c>
      <c r="C35" s="96">
        <v>7.8725831283343863</v>
      </c>
      <c r="D35" s="96">
        <v>7.1391649249968827</v>
      </c>
      <c r="E35" s="96">
        <v>6.3510266070783725</v>
      </c>
      <c r="F35" s="96">
        <v>5.5217174305759054</v>
      </c>
      <c r="G35" s="96">
        <v>4.7924929013733832</v>
      </c>
      <c r="H35" s="96">
        <v>4.2196609603811099</v>
      </c>
      <c r="I35" s="96">
        <v>3.8361372409713095</v>
      </c>
      <c r="J35" s="96">
        <v>3.5747575605920598</v>
      </c>
      <c r="K35" s="96">
        <v>3.130170309734976</v>
      </c>
      <c r="L35" s="96">
        <v>2.9954301964639534</v>
      </c>
      <c r="M35" s="96">
        <v>2.8279451147492853</v>
      </c>
      <c r="N35" s="96">
        <v>2.6387709191451889</v>
      </c>
      <c r="O35" s="96">
        <v>2.5352718435000021</v>
      </c>
      <c r="P35" s="96">
        <v>2.5225230766849047</v>
      </c>
      <c r="Q35" s="96">
        <v>2.4631367661803956</v>
      </c>
      <c r="R35" s="96">
        <v>2.4707782321594642</v>
      </c>
      <c r="S35" s="96">
        <v>2.5092266595983808</v>
      </c>
      <c r="T35" s="96">
        <v>2.6262248837780802</v>
      </c>
      <c r="U35" s="96">
        <v>2.6391872374499341</v>
      </c>
      <c r="V35" s="96">
        <v>2.6550781883665571</v>
      </c>
      <c r="W35" s="96">
        <v>2.73305152042348</v>
      </c>
      <c r="X35" s="96">
        <v>2.480322441149359</v>
      </c>
      <c r="Y35" s="96">
        <v>2.7613930623704426</v>
      </c>
      <c r="DA35" s="171" t="s">
        <v>762</v>
      </c>
    </row>
    <row r="36" spans="1:105" ht="11.45" customHeight="1" x14ac:dyDescent="0.25">
      <c r="A36" s="111" t="s">
        <v>111</v>
      </c>
      <c r="B36" s="96">
        <v>92.766793453666139</v>
      </c>
      <c r="C36" s="96">
        <v>96.978200556039411</v>
      </c>
      <c r="D36" s="96">
        <v>102.19508862772041</v>
      </c>
      <c r="E36" s="96">
        <v>105.13732707167323</v>
      </c>
      <c r="F36" s="96">
        <v>108.63286566077107</v>
      </c>
      <c r="G36" s="96">
        <v>113.33916539421806</v>
      </c>
      <c r="H36" s="96">
        <v>118.35356988241742</v>
      </c>
      <c r="I36" s="96">
        <v>124.1289679075483</v>
      </c>
      <c r="J36" s="96">
        <v>130.70517434470452</v>
      </c>
      <c r="K36" s="96">
        <v>131.29512557273532</v>
      </c>
      <c r="L36" s="96">
        <v>137.39645384739347</v>
      </c>
      <c r="M36" s="96">
        <v>145.96244350828152</v>
      </c>
      <c r="N36" s="96">
        <v>148.82126633566341</v>
      </c>
      <c r="O36" s="96">
        <v>150.4230338256514</v>
      </c>
      <c r="P36" s="96">
        <v>156.27332331451149</v>
      </c>
      <c r="Q36" s="96">
        <v>160.32898806716716</v>
      </c>
      <c r="R36" s="96">
        <v>166.63012634248423</v>
      </c>
      <c r="S36" s="96">
        <v>166.73725611721039</v>
      </c>
      <c r="T36" s="96">
        <v>171.33181242924834</v>
      </c>
      <c r="U36" s="96">
        <v>172.86393355422675</v>
      </c>
      <c r="V36" s="96">
        <v>169.06598298796231</v>
      </c>
      <c r="W36" s="96">
        <v>177.39325457925978</v>
      </c>
      <c r="X36" s="96">
        <v>158.4973447635432</v>
      </c>
      <c r="Y36" s="96">
        <v>156.39355960169243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0.2118098547358086</v>
      </c>
      <c r="P37" s="96">
        <v>0.30340742785467512</v>
      </c>
      <c r="Q37" s="96">
        <v>0.24017894748560434</v>
      </c>
      <c r="R37" s="96">
        <v>0.25301370502467913</v>
      </c>
      <c r="S37" s="96">
        <v>0.26209314232995296</v>
      </c>
      <c r="T37" s="96">
        <v>0.29936734528108727</v>
      </c>
      <c r="U37" s="96">
        <v>0.32933972021412</v>
      </c>
      <c r="V37" s="96">
        <v>0.21826577553200532</v>
      </c>
      <c r="W37" s="96">
        <v>0.26308673167818858</v>
      </c>
      <c r="X37" s="96">
        <v>0.2249996161604432</v>
      </c>
      <c r="Y37" s="96">
        <v>0.31693407779125121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1962.094371952375</v>
      </c>
      <c r="C40" s="130">
        <f t="shared" si="36"/>
        <v>2128.9161134519791</v>
      </c>
      <c r="D40" s="130">
        <f t="shared" si="36"/>
        <v>2263.8500788605343</v>
      </c>
      <c r="E40" s="130">
        <f t="shared" si="36"/>
        <v>2641.2780573534164</v>
      </c>
      <c r="F40" s="130">
        <f t="shared" si="36"/>
        <v>3544.2220074616012</v>
      </c>
      <c r="G40" s="130">
        <f t="shared" si="36"/>
        <v>4022.8590673872877</v>
      </c>
      <c r="H40" s="130">
        <f t="shared" si="36"/>
        <v>3824.3102401284068</v>
      </c>
      <c r="I40" s="130">
        <f t="shared" si="36"/>
        <v>3534.5687205173899</v>
      </c>
      <c r="J40" s="130">
        <f t="shared" si="36"/>
        <v>3568.0264543169437</v>
      </c>
      <c r="K40" s="130">
        <f t="shared" si="36"/>
        <v>3099.0316900393418</v>
      </c>
      <c r="L40" s="130">
        <f t="shared" ref="L40" si="37">SUM(L41:L42)</f>
        <v>3510.2965416278694</v>
      </c>
      <c r="M40" s="130">
        <f t="shared" ref="M40:V40" si="38">SUM(M41:M42)</f>
        <v>3703.4105147389287</v>
      </c>
      <c r="N40" s="130">
        <f t="shared" si="38"/>
        <v>3392.0488185127406</v>
      </c>
      <c r="O40" s="130">
        <f t="shared" si="38"/>
        <v>3427.4381354630364</v>
      </c>
      <c r="P40" s="130">
        <f t="shared" si="38"/>
        <v>3183.118701566093</v>
      </c>
      <c r="Q40" s="130">
        <f t="shared" si="38"/>
        <v>2859.7083666166614</v>
      </c>
      <c r="R40" s="130">
        <f t="shared" si="38"/>
        <v>2761.7783552282358</v>
      </c>
      <c r="S40" s="130">
        <f t="shared" si="38"/>
        <v>2888.7751593429603</v>
      </c>
      <c r="T40" s="130">
        <f t="shared" si="38"/>
        <v>3166.6788068081964</v>
      </c>
      <c r="U40" s="130">
        <f t="shared" si="38"/>
        <v>3358.2476115419167</v>
      </c>
      <c r="V40" s="130">
        <f t="shared" si="38"/>
        <v>2494.5090674783305</v>
      </c>
      <c r="W40" s="130">
        <f t="shared" ref="W40:Y40" si="39">SUM(W41:W42)</f>
        <v>2588.2027956902257</v>
      </c>
      <c r="X40" s="130">
        <f t="shared" si="39"/>
        <v>1919.6268193666349</v>
      </c>
      <c r="Y40" s="130">
        <f t="shared" si="39"/>
        <v>1702.5352520906104</v>
      </c>
      <c r="DA40" s="176" t="s">
        <v>413</v>
      </c>
    </row>
    <row r="41" spans="1:105" ht="11.45" customHeight="1" x14ac:dyDescent="0.25">
      <c r="A41" s="128" t="s">
        <v>27</v>
      </c>
      <c r="B41" s="97">
        <v>85.428653617072712</v>
      </c>
      <c r="C41" s="97">
        <v>97.276756190062855</v>
      </c>
      <c r="D41" s="97">
        <v>112.80835569169984</v>
      </c>
      <c r="E41" s="97">
        <v>113.44543678022755</v>
      </c>
      <c r="F41" s="97">
        <v>113.87555678293378</v>
      </c>
      <c r="G41" s="97">
        <v>110.01292473054215</v>
      </c>
      <c r="H41" s="97">
        <v>119.47408552909269</v>
      </c>
      <c r="I41" s="97">
        <v>112.12984264470565</v>
      </c>
      <c r="J41" s="97">
        <v>103.61444758681036</v>
      </c>
      <c r="K41" s="97">
        <v>67.084974743536677</v>
      </c>
      <c r="L41" s="97">
        <v>75.63953695515805</v>
      </c>
      <c r="M41" s="97">
        <v>82.322072374425417</v>
      </c>
      <c r="N41" s="97">
        <v>120.43553130525213</v>
      </c>
      <c r="O41" s="97">
        <v>96.16864846568042</v>
      </c>
      <c r="P41" s="97">
        <v>123.51799946458713</v>
      </c>
      <c r="Q41" s="97">
        <v>107.05386833399116</v>
      </c>
      <c r="R41" s="97">
        <v>107.87580111040417</v>
      </c>
      <c r="S41" s="97">
        <v>102.887588475646</v>
      </c>
      <c r="T41" s="97">
        <v>107.04508999245074</v>
      </c>
      <c r="U41" s="97">
        <v>106.10916809342186</v>
      </c>
      <c r="V41" s="97">
        <v>84.380335300964191</v>
      </c>
      <c r="W41" s="97">
        <v>99.849307297583522</v>
      </c>
      <c r="X41" s="97">
        <v>91.444027023999823</v>
      </c>
      <c r="Y41" s="97">
        <v>82.531633050277307</v>
      </c>
      <c r="DA41" s="175" t="s">
        <v>767</v>
      </c>
    </row>
    <row r="42" spans="1:105" ht="11.45" customHeight="1" x14ac:dyDescent="0.25">
      <c r="A42" s="138" t="s">
        <v>116</v>
      </c>
      <c r="B42" s="98">
        <v>1876.6657183353022</v>
      </c>
      <c r="C42" s="98">
        <v>2031.6393572619163</v>
      </c>
      <c r="D42" s="98">
        <v>2151.0417231688343</v>
      </c>
      <c r="E42" s="98">
        <v>2527.8326205731887</v>
      </c>
      <c r="F42" s="98">
        <v>3430.3464506786672</v>
      </c>
      <c r="G42" s="98">
        <v>3912.8461426567455</v>
      </c>
      <c r="H42" s="98">
        <v>3704.8361545993143</v>
      </c>
      <c r="I42" s="98">
        <v>3422.4388778726843</v>
      </c>
      <c r="J42" s="98">
        <v>3464.4120067301333</v>
      </c>
      <c r="K42" s="98">
        <v>3031.946715295805</v>
      </c>
      <c r="L42" s="98">
        <v>3434.6570046727115</v>
      </c>
      <c r="M42" s="98">
        <v>3621.0884423645034</v>
      </c>
      <c r="N42" s="98">
        <v>3271.6132872074886</v>
      </c>
      <c r="O42" s="98">
        <v>3331.2694869973561</v>
      </c>
      <c r="P42" s="98">
        <v>3059.6007021015057</v>
      </c>
      <c r="Q42" s="98">
        <v>2752.6544982826704</v>
      </c>
      <c r="R42" s="98">
        <v>2653.9025541178316</v>
      </c>
      <c r="S42" s="98">
        <v>2785.8875708673145</v>
      </c>
      <c r="T42" s="98">
        <v>3059.6337168157456</v>
      </c>
      <c r="U42" s="98">
        <v>3252.1384434484949</v>
      </c>
      <c r="V42" s="98">
        <v>2410.1287321773661</v>
      </c>
      <c r="W42" s="98">
        <v>2488.3534883926422</v>
      </c>
      <c r="X42" s="98">
        <v>1828.1827923426351</v>
      </c>
      <c r="Y42" s="98">
        <v>1620.003619040333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3.0260326667886557</v>
      </c>
      <c r="C47" s="145">
        <f>IF(C4=0,0,C4/TrRoad_ene!C4)</f>
        <v>3.0304191734185379</v>
      </c>
      <c r="D47" s="145">
        <f>IF(D4=0,0,D4/TrRoad_ene!D4)</f>
        <v>3.0345337152458418</v>
      </c>
      <c r="E47" s="145">
        <f>IF(E4=0,0,E4/TrRoad_ene!E4)</f>
        <v>3.0400472715754274</v>
      </c>
      <c r="F47" s="145">
        <f>IF(F4=0,0,F4/TrRoad_ene!F4)</f>
        <v>3.0497229459982962</v>
      </c>
      <c r="G47" s="145">
        <f>IF(G4=0,0,G4/TrRoad_ene!G4)</f>
        <v>3.0569802301838349</v>
      </c>
      <c r="H47" s="145">
        <f>IF(H4=0,0,H4/TrRoad_ene!H4)</f>
        <v>3.0598765491467597</v>
      </c>
      <c r="I47" s="145">
        <f>IF(I4=0,0,I4/TrRoad_ene!I4)</f>
        <v>2.9964891387343324</v>
      </c>
      <c r="J47" s="145">
        <f>IF(J4=0,0,J4/TrRoad_ene!J4)</f>
        <v>3.0002894331249621</v>
      </c>
      <c r="K47" s="145">
        <f>IF(K4=0,0,K4/TrRoad_ene!K4)</f>
        <v>2.999498011759739</v>
      </c>
      <c r="L47" s="145">
        <f>IF(L4=0,0,L4/TrRoad_ene!L4)</f>
        <v>3.0075728945060098</v>
      </c>
      <c r="M47" s="145">
        <f>IF(M4=0,0,M4/TrRoad_ene!M4)</f>
        <v>3.0064151767401239</v>
      </c>
      <c r="N47" s="145">
        <f>IF(N4=0,0,N4/TrRoad_ene!N4)</f>
        <v>3.0004253212332332</v>
      </c>
      <c r="O47" s="145">
        <f>IF(O4=0,0,O4/TrRoad_ene!O4)</f>
        <v>2.9918749158605595</v>
      </c>
      <c r="P47" s="145">
        <f>IF(P4=0,0,P4/TrRoad_ene!P4)</f>
        <v>2.9655891072597078</v>
      </c>
      <c r="Q47" s="145">
        <f>IF(Q4=0,0,Q4/TrRoad_ene!Q4)</f>
        <v>2.9386699693321376</v>
      </c>
      <c r="R47" s="145">
        <f>IF(R4=0,0,R4/TrRoad_ene!R4)</f>
        <v>2.9250587494912157</v>
      </c>
      <c r="S47" s="145">
        <f>IF(S4=0,0,S4/TrRoad_ene!S4)</f>
        <v>2.8904677963147285</v>
      </c>
      <c r="T47" s="145">
        <f>IF(T4=0,0,T4/TrRoad_ene!T4)</f>
        <v>2.8866516791801411</v>
      </c>
      <c r="U47" s="145">
        <f>IF(U4=0,0,U4/TrRoad_ene!U4)</f>
        <v>2.8787060228144328</v>
      </c>
      <c r="V47" s="145">
        <f>IF(V4=0,0,V4/TrRoad_ene!V4)</f>
        <v>2.7967719987966815</v>
      </c>
      <c r="W47" s="145">
        <f>IF(W4=0,0,W4/TrRoad_ene!W4)</f>
        <v>2.8106369692979847</v>
      </c>
      <c r="X47" s="145">
        <f>IF(X4=0,0,X4/TrRoad_ene!X4)</f>
        <v>2.7793991412334851</v>
      </c>
      <c r="Y47" s="145">
        <f>IF(Y4=0,0,Y4/TrRoad_ene!Y4)</f>
        <v>2.7642690264344063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2.8930107960192801</v>
      </c>
      <c r="J48" s="97">
        <f>IF(J7=0,0,(J7+J12)/(TrRoad_ene!J7+TrRoad_ene!J12))</f>
        <v>2.8951277611653623</v>
      </c>
      <c r="K48" s="97">
        <f>IF(K7=0,0,(K7+K12)/(TrRoad_ene!K7+TrRoad_ene!K12))</f>
        <v>2.8959815834310376</v>
      </c>
      <c r="L48" s="97">
        <f>IF(L7=0,0,(L7+L12)/(TrRoad_ene!L7+TrRoad_ene!L12))</f>
        <v>2.8957257241691883</v>
      </c>
      <c r="M48" s="97">
        <f>IF(M7=0,0,(M7+M12)/(TrRoad_ene!M7+TrRoad_ene!M12))</f>
        <v>2.852149649605408</v>
      </c>
      <c r="N48" s="97">
        <f>IF(N7=0,0,(N7+N12)/(TrRoad_ene!N7+TrRoad_ene!N12))</f>
        <v>2.8911791559558275</v>
      </c>
      <c r="O48" s="97">
        <f>IF(O7=0,0,(O7+O12)/(TrRoad_ene!O7+TrRoad_ene!O12))</f>
        <v>2.8957692746016401</v>
      </c>
      <c r="P48" s="97">
        <f>IF(P7=0,0,(P7+P12)/(TrRoad_ene!P7+TrRoad_ene!P12))</f>
        <v>2.8731540575426129</v>
      </c>
      <c r="Q48" s="97">
        <f>IF(Q7=0,0,(Q7+Q12)/(TrRoad_ene!Q7+TrRoad_ene!Q12))</f>
        <v>2.8322829637452194</v>
      </c>
      <c r="R48" s="97">
        <f>IF(R7=0,0,(R7+R12)/(TrRoad_ene!R7+TrRoad_ene!R12))</f>
        <v>2.8140356086970981</v>
      </c>
      <c r="S48" s="97">
        <f>IF(S7=0,0,(S7+S12)/(TrRoad_ene!S7+TrRoad_ene!S12))</f>
        <v>2.838101825841731</v>
      </c>
      <c r="T48" s="97">
        <f>IF(T7=0,0,(T7+T12)/(TrRoad_ene!T7+TrRoad_ene!T12))</f>
        <v>2.8157703405286489</v>
      </c>
      <c r="U48" s="97">
        <f>IF(U7=0,0,(U7+U12)/(TrRoad_ene!U7+TrRoad_ene!U12))</f>
        <v>2.7639799102070599</v>
      </c>
      <c r="V48" s="97">
        <f>IF(V7=0,0,(V7+V12)/(TrRoad_ene!V7+TrRoad_ene!V12))</f>
        <v>2.7560604436617897</v>
      </c>
      <c r="W48" s="97">
        <f>IF(W7=0,0,(W7+W12)/(TrRoad_ene!W7+TrRoad_ene!W12))</f>
        <v>2.746642514825691</v>
      </c>
      <c r="X48" s="97">
        <f>IF(X7=0,0,(X7+X12)/(TrRoad_ene!X7+TrRoad_ene!X12))</f>
        <v>2.7327732808113474</v>
      </c>
      <c r="Y48" s="97">
        <f>IF(Y7=0,0,(Y7+Y12)/(TrRoad_ene!Y7+TrRoad_ene!Y12))</f>
        <v>2.7243884636241495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3.1014358050921609</v>
      </c>
      <c r="G49" s="97">
        <f>IF(G8=0,0,(G8+G13+G14)/(TrRoad_ene!G8+TrRoad_ene!G13+TrRoad_ene!G14))</f>
        <v>3.1014965339614018</v>
      </c>
      <c r="H49" s="97">
        <f>IF(H8=0,0,(H8+H13+H14)/(TrRoad_ene!H8+TrRoad_ene!H13+TrRoad_ene!H14))</f>
        <v>3.1015247905375265</v>
      </c>
      <c r="I49" s="97">
        <f>IF(I8=0,0,(I8+I13+I14)/(TrRoad_ene!I8+TrRoad_ene!I13+TrRoad_ene!I14))</f>
        <v>3.0233334325704853</v>
      </c>
      <c r="J49" s="97">
        <f>IF(J8=0,0,(J8+J13+J14)/(TrRoad_ene!J8+TrRoad_ene!J13+TrRoad_ene!J14))</f>
        <v>3.025601386410699</v>
      </c>
      <c r="K49" s="97">
        <f>IF(K8=0,0,(K8+K13+K14)/(TrRoad_ene!K8+TrRoad_ene!K13+TrRoad_ene!K14))</f>
        <v>3.0242610377929262</v>
      </c>
      <c r="L49" s="97">
        <f>IF(L8=0,0,(L8+L13+L14)/(TrRoad_ene!L8+TrRoad_ene!L13+TrRoad_ene!L14))</f>
        <v>3.0305470280909188</v>
      </c>
      <c r="M49" s="97">
        <f>IF(M8=0,0,(M8+M13+M14)/(TrRoad_ene!M8+TrRoad_ene!M13+TrRoad_ene!M14))</f>
        <v>3.0369045862365032</v>
      </c>
      <c r="N49" s="97">
        <f>IF(N8=0,0,(N8+N13+N14)/(TrRoad_ene!N8+TrRoad_ene!N13+TrRoad_ene!N14))</f>
        <v>3.0225311210870776</v>
      </c>
      <c r="O49" s="97">
        <f>IF(O8=0,0,(O8+O13+O14)/(TrRoad_ene!O8+TrRoad_ene!O13+TrRoad_ene!O14))</f>
        <v>3.0097545904273861</v>
      </c>
      <c r="P49" s="97">
        <f>IF(P8=0,0,(P8+P13+P14)/(TrRoad_ene!P8+TrRoad_ene!P13+TrRoad_ene!P14))</f>
        <v>2.9830537131445434</v>
      </c>
      <c r="Q49" s="97">
        <f>IF(Q8=0,0,(Q8+Q13+Q14)/(TrRoad_ene!Q8+TrRoad_ene!Q13+TrRoad_ene!Q14))</f>
        <v>2.9587620585581238</v>
      </c>
      <c r="R49" s="97">
        <f>IF(R8=0,0,(R8+R13+R14)/(TrRoad_ene!R8+TrRoad_ene!R13+TrRoad_ene!R14))</f>
        <v>2.946201012307395</v>
      </c>
      <c r="S49" s="97">
        <f>IF(S8=0,0,(S8+S13+S14)/(TrRoad_ene!S8+TrRoad_ene!S13+TrRoad_ene!S14))</f>
        <v>2.9012686058039709</v>
      </c>
      <c r="T49" s="97">
        <f>IF(T8=0,0,(T8+T13+T14)/(TrRoad_ene!T8+TrRoad_ene!T13+TrRoad_ene!T14))</f>
        <v>2.902180336491492</v>
      </c>
      <c r="U49" s="97">
        <f>IF(U8=0,0,(U8+U13+U14)/(TrRoad_ene!U8+TrRoad_ene!U13+TrRoad_ene!U14))</f>
        <v>2.9060969736956661</v>
      </c>
      <c r="V49" s="97">
        <f>IF(V8=0,0,(V8+V13+V14)/(TrRoad_ene!V8+TrRoad_ene!V13+TrRoad_ene!V14))</f>
        <v>2.8127342944057392</v>
      </c>
      <c r="W49" s="97">
        <f>IF(W8=0,0,(W8+W13+W14)/(TrRoad_ene!W8+TrRoad_ene!W13+TrRoad_ene!W14))</f>
        <v>2.8386639690845477</v>
      </c>
      <c r="X49" s="97">
        <f>IF(X8=0,0,(X8+X13+X14)/(TrRoad_ene!X8+TrRoad_ene!X13+TrRoad_ene!X14))</f>
        <v>2.8174364460804942</v>
      </c>
      <c r="Y49" s="97">
        <f>IF(Y8=0,0,(Y8+Y13+Y14)/(TrRoad_ene!Y8+TrRoad_ene!Y13+TrRoad_ene!Y14))</f>
        <v>2.8162224425849556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X51" s="97">
        <f>IF(X9=0,0,(X9+X11)/(TrRoad_ene!X9+TrRoad_ene!X11))</f>
        <v>0</v>
      </c>
      <c r="Y51" s="97">
        <f>IF(Y9=0,0,(Y9+Y11)/(TrRoad_ene!Y9+TrRoad_ene!Y11))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1038.7567265966786</v>
      </c>
      <c r="C54" s="62">
        <f>IF(TrRoad_act!C30=0,0,C17/TrRoad_act!C30*1000
)</f>
        <v>1039.8718656729602</v>
      </c>
      <c r="D54" s="62">
        <f>IF(TrRoad_act!D30=0,0,D17/TrRoad_act!D30*1000
)</f>
        <v>1048.5576049476394</v>
      </c>
      <c r="E54" s="62">
        <f>IF(TrRoad_act!E30=0,0,E17/TrRoad_act!E30*1000
)</f>
        <v>1129.4638225691888</v>
      </c>
      <c r="F54" s="62">
        <f>IF(TrRoad_act!F30=0,0,F17/TrRoad_act!F30*1000
)</f>
        <v>1281.340287221245</v>
      </c>
      <c r="G54" s="62">
        <f>IF(TrRoad_act!G30=0,0,G17/TrRoad_act!G30*1000
)</f>
        <v>1299.9420598521478</v>
      </c>
      <c r="H54" s="62">
        <f>IF(TrRoad_act!H30=0,0,H17/TrRoad_act!H30*1000
)</f>
        <v>1205.2092584074157</v>
      </c>
      <c r="I54" s="62">
        <f>IF(TrRoad_act!I30=0,0,I17/TrRoad_act!I30*1000
)</f>
        <v>1132.392363724724</v>
      </c>
      <c r="J54" s="62">
        <f>IF(TrRoad_act!J30=0,0,J17/TrRoad_act!J30*1000
)</f>
        <v>1118.5615356121582</v>
      </c>
      <c r="K54" s="62">
        <f>IF(TrRoad_act!K30=0,0,K17/TrRoad_act!K30*1000
)</f>
        <v>1037.1124744019962</v>
      </c>
      <c r="L54" s="62">
        <f>IF(TrRoad_act!L30=0,0,L17/TrRoad_act!L30*1000
)</f>
        <v>1121.7581560808508</v>
      </c>
      <c r="M54" s="62">
        <f>IF(TrRoad_act!M30=0,0,M17/TrRoad_act!M30*1000
)</f>
        <v>1165.448825536309</v>
      </c>
      <c r="N54" s="62">
        <f>IF(TrRoad_act!N30=0,0,N17/TrRoad_act!N30*1000
)</f>
        <v>1077.3781098335301</v>
      </c>
      <c r="O54" s="62">
        <f>IF(TrRoad_act!O30=0,0,O17/TrRoad_act!O30*1000
)</f>
        <v>1037.1331592944839</v>
      </c>
      <c r="P54" s="62">
        <f>IF(TrRoad_act!P30=0,0,P17/TrRoad_act!P30*1000
)</f>
        <v>945.66278687926183</v>
      </c>
      <c r="Q54" s="62">
        <f>IF(TrRoad_act!Q30=0,0,Q17/TrRoad_act!Q30*1000
)</f>
        <v>867.89033313402626</v>
      </c>
      <c r="R54" s="62">
        <f>IF(TrRoad_act!R30=0,0,R17/TrRoad_act!R30*1000
)</f>
        <v>806.82348852692735</v>
      </c>
      <c r="S54" s="62">
        <f>IF(TrRoad_act!S30=0,0,S17/TrRoad_act!S30*1000
)</f>
        <v>801.77749914752781</v>
      </c>
      <c r="T54" s="62">
        <f>IF(TrRoad_act!T30=0,0,T17/TrRoad_act!T30*1000
)</f>
        <v>827.07969475153561</v>
      </c>
      <c r="U54" s="62">
        <f>IF(TrRoad_act!U30=0,0,U17/TrRoad_act!U30*1000
)</f>
        <v>820.54914156449581</v>
      </c>
      <c r="V54" s="62">
        <f>IF(TrRoad_act!V30=0,0,V17/TrRoad_act!V30*1000
)</f>
        <v>649.10777190067506</v>
      </c>
      <c r="W54" s="62">
        <f>IF(TrRoad_act!W30=0,0,W17/TrRoad_act!W30*1000
)</f>
        <v>668.81306761238579</v>
      </c>
      <c r="X54" s="62">
        <f>IF(TrRoad_act!X30=0,0,X17/TrRoad_act!X30*1000
)</f>
        <v>565.7385618808139</v>
      </c>
      <c r="Y54" s="62">
        <f>IF(TrRoad_act!Y30=0,0,Y17/TrRoad_act!Y30*1000
)</f>
        <v>530.26666290343883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647.55765172583529</v>
      </c>
      <c r="C55" s="29">
        <f>IF(TrRoad_act!C31=0,0,C18/TrRoad_act!C31*1000
)</f>
        <v>635.2544975217038</v>
      </c>
      <c r="D55" s="29">
        <f>IF(TrRoad_act!D31=0,0,D18/TrRoad_act!D31*1000
)</f>
        <v>633.6255884430002</v>
      </c>
      <c r="E55" s="29">
        <f>IF(TrRoad_act!E31=0,0,E18/TrRoad_act!E31*1000
)</f>
        <v>654.93427226591973</v>
      </c>
      <c r="F55" s="29">
        <f>IF(TrRoad_act!F31=0,0,F18/TrRoad_act!F31*1000
)</f>
        <v>651.55962940338406</v>
      </c>
      <c r="G55" s="29">
        <f>IF(TrRoad_act!G31=0,0,G18/TrRoad_act!G31*1000
)</f>
        <v>605.14695731689926</v>
      </c>
      <c r="H55" s="29">
        <f>IF(TrRoad_act!H31=0,0,H18/TrRoad_act!H31*1000
)</f>
        <v>565.38495369584439</v>
      </c>
      <c r="I55" s="29">
        <f>IF(TrRoad_act!I31=0,0,I18/TrRoad_act!I31*1000
)</f>
        <v>557.70672629690398</v>
      </c>
      <c r="J55" s="29">
        <f>IF(TrRoad_act!J31=0,0,J18/TrRoad_act!J31*1000
)</f>
        <v>555.27300803600326</v>
      </c>
      <c r="K55" s="29">
        <f>IF(TrRoad_act!K31=0,0,K18/TrRoad_act!K31*1000
)</f>
        <v>545.16823105098308</v>
      </c>
      <c r="L55" s="29">
        <f>IF(TrRoad_act!L31=0,0,L18/TrRoad_act!L31*1000
)</f>
        <v>550.39492914491677</v>
      </c>
      <c r="M55" s="29">
        <f>IF(TrRoad_act!M31=0,0,M18/TrRoad_act!M31*1000
)</f>
        <v>577.0932574335319</v>
      </c>
      <c r="N55" s="29">
        <f>IF(TrRoad_act!N31=0,0,N18/TrRoad_act!N31*1000
)</f>
        <v>562.30502997553936</v>
      </c>
      <c r="O55" s="29">
        <f>IF(TrRoad_act!O31=0,0,O18/TrRoad_act!O31*1000
)</f>
        <v>519.04479162923883</v>
      </c>
      <c r="P55" s="29">
        <f>IF(TrRoad_act!P31=0,0,P18/TrRoad_act!P31*1000
)</f>
        <v>489.05424481681996</v>
      </c>
      <c r="Q55" s="29">
        <f>IF(TrRoad_act!Q31=0,0,Q18/TrRoad_act!Q31*1000
)</f>
        <v>462.06676403507919</v>
      </c>
      <c r="R55" s="29">
        <f>IF(TrRoad_act!R31=0,0,R18/TrRoad_act!R31*1000
)</f>
        <v>430.1885513143161</v>
      </c>
      <c r="S55" s="29">
        <f>IF(TrRoad_act!S31=0,0,S18/TrRoad_act!S31*1000
)</f>
        <v>416.42409027779655</v>
      </c>
      <c r="T55" s="29">
        <f>IF(TrRoad_act!T31=0,0,T18/TrRoad_act!T31*1000
)</f>
        <v>417.38369053449878</v>
      </c>
      <c r="U55" s="29">
        <f>IF(TrRoad_act!U31=0,0,U18/TrRoad_act!U31*1000
)</f>
        <v>395.79599890312966</v>
      </c>
      <c r="V55" s="29">
        <f>IF(TrRoad_act!V31=0,0,V18/TrRoad_act!V31*1000
)</f>
        <v>313.24858818810526</v>
      </c>
      <c r="W55" s="29">
        <f>IF(TrRoad_act!W31=0,0,W18/TrRoad_act!W31*1000
)</f>
        <v>336.36222923420439</v>
      </c>
      <c r="X55" s="29">
        <f>IF(TrRoad_act!X31=0,0,X18/TrRoad_act!X31*1000
)</f>
        <v>328.88843542516349</v>
      </c>
      <c r="Y55" s="29">
        <f>IF(TrRoad_act!Y31=0,0,Y18/TrRoad_act!Y31*1000
)</f>
        <v>327.6678740197915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147.26164679195867</v>
      </c>
      <c r="C56" s="152">
        <f>IF(TrRoad_act!C32=0,0,C19/TrRoad_act!C32*1000
)</f>
        <v>143.55071181304007</v>
      </c>
      <c r="D56" s="152">
        <f>IF(TrRoad_act!D32=0,0,D19/TrRoad_act!D32*1000
)</f>
        <v>139.89747468645515</v>
      </c>
      <c r="E56" s="152">
        <f>IF(TrRoad_act!E32=0,0,E19/TrRoad_act!E32*1000
)</f>
        <v>138.35871040240889</v>
      </c>
      <c r="F56" s="152">
        <f>IF(TrRoad_act!F32=0,0,F19/TrRoad_act!F32*1000
)</f>
        <v>136.52853537071985</v>
      </c>
      <c r="G56" s="152">
        <f>IF(TrRoad_act!G32=0,0,G19/TrRoad_act!G32*1000
)</f>
        <v>132.90825200016866</v>
      </c>
      <c r="H56" s="152">
        <f>IF(TrRoad_act!H32=0,0,H19/TrRoad_act!H32*1000
)</f>
        <v>131.17511562920581</v>
      </c>
      <c r="I56" s="152">
        <f>IF(TrRoad_act!I32=0,0,I19/TrRoad_act!I32*1000
)</f>
        <v>126.32696345615918</v>
      </c>
      <c r="J56" s="152">
        <f>IF(TrRoad_act!J32=0,0,J19/TrRoad_act!J32*1000
)</f>
        <v>126.06630719099627</v>
      </c>
      <c r="K56" s="152">
        <f>IF(TrRoad_act!K32=0,0,K19/TrRoad_act!K32*1000
)</f>
        <v>124.77600394758349</v>
      </c>
      <c r="L56" s="152">
        <f>IF(TrRoad_act!L32=0,0,L19/TrRoad_act!L32*1000
)</f>
        <v>123.06726684288516</v>
      </c>
      <c r="M56" s="152">
        <f>IF(TrRoad_act!M32=0,0,M19/TrRoad_act!M32*1000
)</f>
        <v>119.89031453113851</v>
      </c>
      <c r="N56" s="152">
        <f>IF(TrRoad_act!N32=0,0,N19/TrRoad_act!N32*1000
)</f>
        <v>120.10424523587253</v>
      </c>
      <c r="O56" s="152">
        <f>IF(TrRoad_act!O32=0,0,O19/TrRoad_act!O32*1000
)</f>
        <v>118.48689846453885</v>
      </c>
      <c r="P56" s="152">
        <f>IF(TrRoad_act!P32=0,0,P19/TrRoad_act!P32*1000
)</f>
        <v>115.90592024231553</v>
      </c>
      <c r="Q56" s="152">
        <f>IF(TrRoad_act!Q32=0,0,Q19/TrRoad_act!Q32*1000
)</f>
        <v>112.88482245417181</v>
      </c>
      <c r="R56" s="152">
        <f>IF(TrRoad_act!R32=0,0,R19/TrRoad_act!R32*1000
)</f>
        <v>110.71611926809133</v>
      </c>
      <c r="S56" s="152">
        <f>IF(TrRoad_act!S32=0,0,S19/TrRoad_act!S32*1000
)</f>
        <v>113.50222324928728</v>
      </c>
      <c r="T56" s="152">
        <f>IF(TrRoad_act!T32=0,0,T19/TrRoad_act!T32*1000
)</f>
        <v>112.8831175221536</v>
      </c>
      <c r="U56" s="152">
        <f>IF(TrRoad_act!U32=0,0,U19/TrRoad_act!U32*1000
)</f>
        <v>109.17128529068808</v>
      </c>
      <c r="V56" s="152">
        <f>IF(TrRoad_act!V32=0,0,V19/TrRoad_act!V32*1000
)</f>
        <v>107.76142042603534</v>
      </c>
      <c r="W56" s="152">
        <f>IF(TrRoad_act!W32=0,0,W19/TrRoad_act!W32*1000
)</f>
        <v>106.84133390580531</v>
      </c>
      <c r="X56" s="152">
        <f>IF(TrRoad_act!X32=0,0,X19/TrRoad_act!X32*1000
)</f>
        <v>105.26821277919809</v>
      </c>
      <c r="Y56" s="152">
        <f>IF(TrRoad_act!Y32=0,0,Y19/TrRoad_act!Y32*1000
)</f>
        <v>103.83837940272458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639.06074225529323</v>
      </c>
      <c r="C57" s="116">
        <f>IF(TrRoad_act!C33=0,0,C20/TrRoad_act!C33*1000
)</f>
        <v>627.08768971033567</v>
      </c>
      <c r="D57" s="116">
        <f>IF(TrRoad_act!D33=0,0,D20/TrRoad_act!D33*1000
)</f>
        <v>625.37148750678352</v>
      </c>
      <c r="E57" s="116">
        <f>IF(TrRoad_act!E33=0,0,E20/TrRoad_act!E33*1000
)</f>
        <v>647.470854329443</v>
      </c>
      <c r="F57" s="116">
        <f>IF(TrRoad_act!F33=0,0,F20/TrRoad_act!F33*1000
)</f>
        <v>644.62459929807983</v>
      </c>
      <c r="G57" s="116">
        <f>IF(TrRoad_act!G33=0,0,G20/TrRoad_act!G33*1000
)</f>
        <v>597.68204918571166</v>
      </c>
      <c r="H57" s="116">
        <f>IF(TrRoad_act!H33=0,0,H20/TrRoad_act!H33*1000
)</f>
        <v>557.67231685544675</v>
      </c>
      <c r="I57" s="116">
        <f>IF(TrRoad_act!I33=0,0,I20/TrRoad_act!I33*1000
)</f>
        <v>550.32847427587444</v>
      </c>
      <c r="J57" s="116">
        <f>IF(TrRoad_act!J33=0,0,J20/TrRoad_act!J33*1000
)</f>
        <v>547.75023827867756</v>
      </c>
      <c r="K57" s="116">
        <f>IF(TrRoad_act!K33=0,0,K20/TrRoad_act!K33*1000
)</f>
        <v>537.37552147466965</v>
      </c>
      <c r="L57" s="116">
        <f>IF(TrRoad_act!L33=0,0,L20/TrRoad_act!L33*1000
)</f>
        <v>542.36333923569896</v>
      </c>
      <c r="M57" s="116">
        <f>IF(TrRoad_act!M33=0,0,M20/TrRoad_act!M33*1000
)</f>
        <v>569.50598775788694</v>
      </c>
      <c r="N57" s="116">
        <f>IF(TrRoad_act!N33=0,0,N20/TrRoad_act!N33*1000
)</f>
        <v>554.874459222155</v>
      </c>
      <c r="O57" s="116">
        <f>IF(TrRoad_act!O33=0,0,O20/TrRoad_act!O33*1000
)</f>
        <v>511.00245686846944</v>
      </c>
      <c r="P57" s="116">
        <f>IF(TrRoad_act!P33=0,0,P20/TrRoad_act!P33*1000
)</f>
        <v>481.09877446750556</v>
      </c>
      <c r="Q57" s="116">
        <f>IF(TrRoad_act!Q33=0,0,Q20/TrRoad_act!Q33*1000
)</f>
        <v>453.5672260534912</v>
      </c>
      <c r="R57" s="116">
        <f>IF(TrRoad_act!R33=0,0,R20/TrRoad_act!R33*1000
)</f>
        <v>421.3562441744848</v>
      </c>
      <c r="S57" s="116">
        <f>IF(TrRoad_act!S33=0,0,S20/TrRoad_act!S33*1000
)</f>
        <v>407.21969372559556</v>
      </c>
      <c r="T57" s="116">
        <f>IF(TrRoad_act!T33=0,0,T20/TrRoad_act!T33*1000
)</f>
        <v>408.38302219939305</v>
      </c>
      <c r="U57" s="116">
        <f>IF(TrRoad_act!U33=0,0,U20/TrRoad_act!U33*1000
)</f>
        <v>387.13071146455434</v>
      </c>
      <c r="V57" s="116">
        <f>IF(TrRoad_act!V33=0,0,V20/TrRoad_act!V33*1000
)</f>
        <v>303.30931781863364</v>
      </c>
      <c r="W57" s="116">
        <f>IF(TrRoad_act!W33=0,0,W20/TrRoad_act!W33*1000
)</f>
        <v>327.57573534474756</v>
      </c>
      <c r="X57" s="116">
        <f>IF(TrRoad_act!X33=0,0,X20/TrRoad_act!X33*1000
)</f>
        <v>321.93373133986404</v>
      </c>
      <c r="Y57" s="116">
        <f>IF(TrRoad_act!Y33=0,0,Y20/TrRoad_act!Y33*1000
)</f>
        <v>321.97796180570498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619.1478500043512</v>
      </c>
      <c r="C58" s="87">
        <f>IF(TrRoad_act!C34=0,0,C21/TrRoad_act!C34*1000
)</f>
        <v>617.69118342415959</v>
      </c>
      <c r="D58" s="87">
        <f>IF(TrRoad_act!D34=0,0,D21/TrRoad_act!D34*1000
)</f>
        <v>623.61133763917769</v>
      </c>
      <c r="E58" s="87">
        <f>IF(TrRoad_act!E34=0,0,E21/TrRoad_act!E34*1000
)</f>
        <v>653.61489351924354</v>
      </c>
      <c r="F58" s="87">
        <f>IF(TrRoad_act!F34=0,0,F21/TrRoad_act!F34*1000
)</f>
        <v>666.79133495591361</v>
      </c>
      <c r="G58" s="87">
        <f>IF(TrRoad_act!G34=0,0,G21/TrRoad_act!G34*1000
)</f>
        <v>629.94311500230742</v>
      </c>
      <c r="H58" s="87">
        <f>IF(TrRoad_act!H34=0,0,H21/TrRoad_act!H34*1000
)</f>
        <v>596.25347002721435</v>
      </c>
      <c r="I58" s="87">
        <f>IF(TrRoad_act!I34=0,0,I21/TrRoad_act!I34*1000
)</f>
        <v>596.45226071877573</v>
      </c>
      <c r="J58" s="87">
        <f>IF(TrRoad_act!J34=0,0,J21/TrRoad_act!J34*1000
)</f>
        <v>578.00638107037651</v>
      </c>
      <c r="K58" s="87">
        <f>IF(TrRoad_act!K34=0,0,K21/TrRoad_act!K34*1000
)</f>
        <v>559.97144380171403</v>
      </c>
      <c r="L58" s="87">
        <f>IF(TrRoad_act!L34=0,0,L21/TrRoad_act!L34*1000
)</f>
        <v>557.42100790905045</v>
      </c>
      <c r="M58" s="87">
        <f>IF(TrRoad_act!M34=0,0,M21/TrRoad_act!M34*1000
)</f>
        <v>563.91681401553274</v>
      </c>
      <c r="N58" s="87">
        <f>IF(TrRoad_act!N34=0,0,N21/TrRoad_act!N34*1000
)</f>
        <v>547.2341743143262</v>
      </c>
      <c r="O58" s="87">
        <f>IF(TrRoad_act!O34=0,0,O21/TrRoad_act!O34*1000
)</f>
        <v>505.56304909404383</v>
      </c>
      <c r="P58" s="87">
        <f>IF(TrRoad_act!P34=0,0,P21/TrRoad_act!P34*1000
)</f>
        <v>478.76630182252615</v>
      </c>
      <c r="Q58" s="87">
        <f>IF(TrRoad_act!Q34=0,0,Q21/TrRoad_act!Q34*1000
)</f>
        <v>442.07359675101964</v>
      </c>
      <c r="R58" s="87">
        <f>IF(TrRoad_act!R34=0,0,R21/TrRoad_act!R34*1000
)</f>
        <v>400.45223617948739</v>
      </c>
      <c r="S58" s="87">
        <f>IF(TrRoad_act!S34=0,0,S21/TrRoad_act!S34*1000
)</f>
        <v>388.49194845140994</v>
      </c>
      <c r="T58" s="87">
        <f>IF(TrRoad_act!T34=0,0,T21/TrRoad_act!T34*1000
)</f>
        <v>381.7470625473739</v>
      </c>
      <c r="U58" s="87">
        <f>IF(TrRoad_act!U34=0,0,U21/TrRoad_act!U34*1000
)</f>
        <v>361.85776345343248</v>
      </c>
      <c r="V58" s="87">
        <f>IF(TrRoad_act!V34=0,0,V21/TrRoad_act!V34*1000
)</f>
        <v>279.3586611022784</v>
      </c>
      <c r="W58" s="87">
        <f>IF(TrRoad_act!W34=0,0,W21/TrRoad_act!W34*1000
)</f>
        <v>319.54824887028633</v>
      </c>
      <c r="X58" s="87">
        <f>IF(TrRoad_act!X34=0,0,X21/TrRoad_act!X34*1000
)</f>
        <v>306.06674998954242</v>
      </c>
      <c r="Y58" s="87">
        <f>IF(TrRoad_act!Y34=0,0,Y21/TrRoad_act!Y34*1000
)</f>
        <v>323.06987091702894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691.96431562378564</v>
      </c>
      <c r="C59" s="87">
        <f>IF(TrRoad_act!C35=0,0,C22/TrRoad_act!C35*1000
)</f>
        <v>653.7325286667791</v>
      </c>
      <c r="D59" s="87">
        <f>IF(TrRoad_act!D35=0,0,D22/TrRoad_act!D35*1000
)</f>
        <v>635.73154452557435</v>
      </c>
      <c r="E59" s="87">
        <f>IF(TrRoad_act!E35=0,0,E22/TrRoad_act!E35*1000
)</f>
        <v>647.46513086146012</v>
      </c>
      <c r="F59" s="87">
        <f>IF(TrRoad_act!F35=0,0,F22/TrRoad_act!F35*1000
)</f>
        <v>626.54185030489725</v>
      </c>
      <c r="G59" s="87">
        <f>IF(TrRoad_act!G35=0,0,G22/TrRoad_act!G35*1000
)</f>
        <v>573.11583938483079</v>
      </c>
      <c r="H59" s="87">
        <f>IF(TrRoad_act!H35=0,0,H22/TrRoad_act!H35*1000
)</f>
        <v>529.09192624016066</v>
      </c>
      <c r="I59" s="87">
        <f>IF(TrRoad_act!I35=0,0,I22/TrRoad_act!I35*1000
)</f>
        <v>518.08069377004608</v>
      </c>
      <c r="J59" s="87">
        <f>IF(TrRoad_act!J35=0,0,J22/TrRoad_act!J35*1000
)</f>
        <v>528.36586583387862</v>
      </c>
      <c r="K59" s="87">
        <f>IF(TrRoad_act!K35=0,0,K22/TrRoad_act!K35*1000
)</f>
        <v>525.06022225389734</v>
      </c>
      <c r="L59" s="87">
        <f>IF(TrRoad_act!L35=0,0,L22/TrRoad_act!L35*1000
)</f>
        <v>535.66571999031873</v>
      </c>
      <c r="M59" s="87">
        <f>IF(TrRoad_act!M35=0,0,M22/TrRoad_act!M35*1000
)</f>
        <v>575.77366724041372</v>
      </c>
      <c r="N59" s="87">
        <f>IF(TrRoad_act!N35=0,0,N22/TrRoad_act!N35*1000
)</f>
        <v>561.09945655625688</v>
      </c>
      <c r="O59" s="87">
        <f>IF(TrRoad_act!O35=0,0,O22/TrRoad_act!O35*1000
)</f>
        <v>516.63737974344156</v>
      </c>
      <c r="P59" s="87">
        <f>IF(TrRoad_act!P35=0,0,P22/TrRoad_act!P35*1000
)</f>
        <v>485.19565499155618</v>
      </c>
      <c r="Q59" s="87">
        <f>IF(TrRoad_act!Q35=0,0,Q22/TrRoad_act!Q35*1000
)</f>
        <v>462.52946747299109</v>
      </c>
      <c r="R59" s="87">
        <f>IF(TrRoad_act!R35=0,0,R22/TrRoad_act!R35*1000
)</f>
        <v>435.47410357991168</v>
      </c>
      <c r="S59" s="87">
        <f>IF(TrRoad_act!S35=0,0,S22/TrRoad_act!S35*1000
)</f>
        <v>421.64303652800623</v>
      </c>
      <c r="T59" s="87">
        <f>IF(TrRoad_act!T35=0,0,T22/TrRoad_act!T35*1000
)</f>
        <v>429.61485772391711</v>
      </c>
      <c r="U59" s="87">
        <f>IF(TrRoad_act!U35=0,0,U22/TrRoad_act!U35*1000
)</f>
        <v>411.90452556280201</v>
      </c>
      <c r="V59" s="87">
        <f>IF(TrRoad_act!V35=0,0,V22/TrRoad_act!V35*1000
)</f>
        <v>331.37463680558699</v>
      </c>
      <c r="W59" s="87">
        <f>IF(TrRoad_act!W35=0,0,W22/TrRoad_act!W35*1000
)</f>
        <v>355.81658632438064</v>
      </c>
      <c r="X59" s="87">
        <f>IF(TrRoad_act!X35=0,0,X22/TrRoad_act!X35*1000
)</f>
        <v>370.49282952067091</v>
      </c>
      <c r="Y59" s="87">
        <f>IF(TrRoad_act!Y35=0,0,Y22/TrRoad_act!Y35*1000
)</f>
        <v>377.58584860566043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178.98277009013989</v>
      </c>
      <c r="C60" s="87">
        <f>IF(TrRoad_act!C36=0,0,C23/TrRoad_act!C36*1000
)</f>
        <v>226.18312192255163</v>
      </c>
      <c r="D60" s="87">
        <f>IF(TrRoad_act!D36=0,0,D23/TrRoad_act!D36*1000
)</f>
        <v>289.55384798090574</v>
      </c>
      <c r="E60" s="87">
        <f>IF(TrRoad_act!E36=0,0,E23/TrRoad_act!E36*1000
)</f>
        <v>230.29757184461448</v>
      </c>
      <c r="F60" s="87">
        <f>IF(TrRoad_act!F36=0,0,F23/TrRoad_act!F36*1000
)</f>
        <v>243.12769223450417</v>
      </c>
      <c r="G60" s="87">
        <f>IF(TrRoad_act!G36=0,0,G23/TrRoad_act!G36*1000
)</f>
        <v>168.80450197673258</v>
      </c>
      <c r="H60" s="87">
        <f>IF(TrRoad_act!H36=0,0,H23/TrRoad_act!H36*1000
)</f>
        <v>169.41354801780571</v>
      </c>
      <c r="I60" s="87">
        <f>IF(TrRoad_act!I36=0,0,I23/TrRoad_act!I36*1000
)</f>
        <v>355.57324882227653</v>
      </c>
      <c r="J60" s="87">
        <f>IF(TrRoad_act!J36=0,0,J23/TrRoad_act!J36*1000
)</f>
        <v>347.40260502246349</v>
      </c>
      <c r="K60" s="87">
        <f>IF(TrRoad_act!K36=0,0,K23/TrRoad_act!K36*1000
)</f>
        <v>220.04458183748315</v>
      </c>
      <c r="L60" s="87">
        <f>IF(TrRoad_act!L36=0,0,L23/TrRoad_act!L36*1000
)</f>
        <v>231.67674295483488</v>
      </c>
      <c r="M60" s="87">
        <f>IF(TrRoad_act!M36=0,0,M23/TrRoad_act!M36*1000
)</f>
        <v>111.65713595210657</v>
      </c>
      <c r="N60" s="87">
        <f>IF(TrRoad_act!N36=0,0,N23/TrRoad_act!N36*1000
)</f>
        <v>306.09557297914029</v>
      </c>
      <c r="O60" s="87">
        <f>IF(TrRoad_act!O36=0,0,O23/TrRoad_act!O36*1000
)</f>
        <v>189.39790095428748</v>
      </c>
      <c r="P60" s="87">
        <f>IF(TrRoad_act!P36=0,0,P23/TrRoad_act!P36*1000
)</f>
        <v>216.15148015480872</v>
      </c>
      <c r="Q60" s="87">
        <f>IF(TrRoad_act!Q36=0,0,Q23/TrRoad_act!Q36*1000
)</f>
        <v>107.22927597131613</v>
      </c>
      <c r="R60" s="87">
        <f>IF(TrRoad_act!R36=0,0,R23/TrRoad_act!R36*1000
)</f>
        <v>115.21241259418694</v>
      </c>
      <c r="S60" s="87">
        <f>IF(TrRoad_act!S36=0,0,S23/TrRoad_act!S36*1000
)</f>
        <v>114.87430441594515</v>
      </c>
      <c r="T60" s="87">
        <f>IF(TrRoad_act!T36=0,0,T23/TrRoad_act!T36*1000
)</f>
        <v>174.56180673158747</v>
      </c>
      <c r="U60" s="87">
        <f>IF(TrRoad_act!U36=0,0,U23/TrRoad_act!U36*1000
)</f>
        <v>222.91054269715858</v>
      </c>
      <c r="V60" s="87">
        <f>IF(TrRoad_act!V36=0,0,V23/TrRoad_act!V36*1000
)</f>
        <v>66.36923991874454</v>
      </c>
      <c r="W60" s="87">
        <f>IF(TrRoad_act!W36=0,0,W23/TrRoad_act!W36*1000
)</f>
        <v>152.02610377633263</v>
      </c>
      <c r="X60" s="87">
        <f>IF(TrRoad_act!X36=0,0,X23/TrRoad_act!X36*1000
)</f>
        <v>145.43666673269007</v>
      </c>
      <c r="Y60" s="87">
        <f>IF(TrRoad_act!Y36=0,0,Y23/TrRoad_act!Y36*1000
)</f>
        <v>208.35877276495023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X61" s="87">
        <f>IF(TrRoad_act!X37=0,0,X24/TrRoad_act!X37*1000
)</f>
        <v>0</v>
      </c>
      <c r="Y61" s="87">
        <f>IF(TrRoad_act!Y37=0,0,Y24/TrRoad_act!Y37*1000
)</f>
        <v>0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293.26753427667398</v>
      </c>
      <c r="O62" s="87">
        <f>IF(TrRoad_act!O38=0,0,O25/TrRoad_act!O38*1000
)</f>
        <v>283.53416371566141</v>
      </c>
      <c r="P62" s="87">
        <f>IF(TrRoad_act!P38=0,0,P25/TrRoad_act!P38*1000
)</f>
        <v>253.03727774481288</v>
      </c>
      <c r="Q62" s="87">
        <f>IF(TrRoad_act!Q38=0,0,Q25/TrRoad_act!Q38*1000
)</f>
        <v>237.45975530928391</v>
      </c>
      <c r="R62" s="87">
        <f>IF(TrRoad_act!R38=0,0,R25/TrRoad_act!R38*1000
)</f>
        <v>196.60353781962777</v>
      </c>
      <c r="S62" s="87">
        <f>IF(TrRoad_act!S38=0,0,S25/TrRoad_act!S38*1000
)</f>
        <v>137.99557999232684</v>
      </c>
      <c r="T62" s="87">
        <f>IF(TrRoad_act!T38=0,0,T25/TrRoad_act!T38*1000
)</f>
        <v>137.03117628863475</v>
      </c>
      <c r="U62" s="87">
        <f>IF(TrRoad_act!U38=0,0,U25/TrRoad_act!U38*1000
)</f>
        <v>132.83030626955721</v>
      </c>
      <c r="V62" s="87">
        <f>IF(TrRoad_act!V38=0,0,V25/TrRoad_act!V38*1000
)</f>
        <v>88.105344663404281</v>
      </c>
      <c r="W62" s="87">
        <f>IF(TrRoad_act!W38=0,0,W25/TrRoad_act!W38*1000
)</f>
        <v>88.746621444793234</v>
      </c>
      <c r="X62" s="87">
        <f>IF(TrRoad_act!X38=0,0,X25/TrRoad_act!X38*1000
)</f>
        <v>79.008442372163387</v>
      </c>
      <c r="Y62" s="87">
        <f>IF(TrRoad_act!Y38=0,0,Y25/TrRoad_act!Y38*1000
)</f>
        <v>78.177558466782443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1948.3472971518838</v>
      </c>
      <c r="C64" s="116">
        <f>IF(TrRoad_act!C40=0,0,C27/TrRoad_act!C40*1000
)</f>
        <v>1839.8931370031351</v>
      </c>
      <c r="D64" s="116">
        <f>IF(TrRoad_act!D40=0,0,D27/TrRoad_act!D40*1000
)</f>
        <v>1815.3592206437788</v>
      </c>
      <c r="E64" s="116">
        <f>IF(TrRoad_act!E40=0,0,E27/TrRoad_act!E40*1000
)</f>
        <v>1777.2276763455513</v>
      </c>
      <c r="F64" s="116">
        <f>IF(TrRoad_act!F40=0,0,F27/TrRoad_act!F40*1000
)</f>
        <v>1750.4385561715112</v>
      </c>
      <c r="G64" s="116">
        <f>IF(TrRoad_act!G40=0,0,G27/TrRoad_act!G40*1000
)</f>
        <v>1725.8446693780256</v>
      </c>
      <c r="H64" s="116">
        <f>IF(TrRoad_act!H40=0,0,H27/TrRoad_act!H40*1000
)</f>
        <v>1699.7951049136022</v>
      </c>
      <c r="I64" s="116">
        <f>IF(TrRoad_act!I40=0,0,I27/TrRoad_act!I40*1000
)</f>
        <v>1640.353936420295</v>
      </c>
      <c r="J64" s="116">
        <f>IF(TrRoad_act!J40=0,0,J27/TrRoad_act!J40*1000
)</f>
        <v>1624.6286225561178</v>
      </c>
      <c r="K64" s="116">
        <f>IF(TrRoad_act!K40=0,0,K27/TrRoad_act!K40*1000
)</f>
        <v>1611.5251824753175</v>
      </c>
      <c r="L64" s="116">
        <f>IF(TrRoad_act!L40=0,0,L27/TrRoad_act!L40*1000
)</f>
        <v>1604.8161940200209</v>
      </c>
      <c r="M64" s="116">
        <f>IF(TrRoad_act!M40=0,0,M27/TrRoad_act!M40*1000
)</f>
        <v>1613.7752930705331</v>
      </c>
      <c r="N64" s="116">
        <f>IF(TrRoad_act!N40=0,0,N27/TrRoad_act!N40*1000
)</f>
        <v>1612.8467432306177</v>
      </c>
      <c r="O64" s="116">
        <f>IF(TrRoad_act!O40=0,0,O27/TrRoad_act!O40*1000
)</f>
        <v>1613.4528665173618</v>
      </c>
      <c r="P64" s="116">
        <f>IF(TrRoad_act!P40=0,0,P27/TrRoad_act!P40*1000
)</f>
        <v>1606.9621401131112</v>
      </c>
      <c r="Q64" s="116">
        <f>IF(TrRoad_act!Q40=0,0,Q27/TrRoad_act!Q40*1000
)</f>
        <v>1606.900972573729</v>
      </c>
      <c r="R64" s="116">
        <f>IF(TrRoad_act!R40=0,0,R27/TrRoad_act!R40*1000
)</f>
        <v>1609.4788876620321</v>
      </c>
      <c r="S64" s="116">
        <f>IF(TrRoad_act!S40=0,0,S27/TrRoad_act!S40*1000
)</f>
        <v>1585.6359802693405</v>
      </c>
      <c r="T64" s="116">
        <f>IF(TrRoad_act!T40=0,0,T27/TrRoad_act!T40*1000
)</f>
        <v>1561.4515929288871</v>
      </c>
      <c r="U64" s="116">
        <f>IF(TrRoad_act!U40=0,0,U27/TrRoad_act!U40*1000
)</f>
        <v>1486.3721070402796</v>
      </c>
      <c r="V64" s="116">
        <f>IF(TrRoad_act!V40=0,0,V27/TrRoad_act!V40*1000
)</f>
        <v>1393.2461839311393</v>
      </c>
      <c r="W64" s="116">
        <f>IF(TrRoad_act!W40=0,0,W27/TrRoad_act!W40*1000
)</f>
        <v>1362.280173176438</v>
      </c>
      <c r="X64" s="116">
        <f>IF(TrRoad_act!X40=0,0,X27/TrRoad_act!X40*1000
)</f>
        <v>1202.3558469243271</v>
      </c>
      <c r="Y64" s="116">
        <f>IF(TrRoad_act!Y40=0,0,Y27/TrRoad_act!Y40*1000
)</f>
        <v>1111.1469101634796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377.46334661704236</v>
      </c>
      <c r="U65" s="101">
        <f>IF(TrRoad_act!U41=0,0,U28/TrRoad_act!U41*1000
)</f>
        <v>370.52066778043888</v>
      </c>
      <c r="V65" s="101">
        <f>IF(TrRoad_act!V41=0,0,V28/TrRoad_act!V41*1000
)</f>
        <v>369.45903704210315</v>
      </c>
      <c r="W65" s="101">
        <f>IF(TrRoad_act!W41=0,0,W28/TrRoad_act!W41*1000
)</f>
        <v>356.87340300072043</v>
      </c>
      <c r="X65" s="101">
        <f>IF(TrRoad_act!X41=0,0,X28/TrRoad_act!X41*1000
)</f>
        <v>349.18187562179605</v>
      </c>
      <c r="Y65" s="101">
        <f>IF(TrRoad_act!Y41=0,0,Y28/TrRoad_act!Y41*1000
)</f>
        <v>348.11050017593305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1948.3472971518838</v>
      </c>
      <c r="C66" s="101">
        <f>IF(TrRoad_act!C42=0,0,C29/TrRoad_act!C42*1000
)</f>
        <v>1839.8931370031351</v>
      </c>
      <c r="D66" s="101">
        <f>IF(TrRoad_act!D42=0,0,D29/TrRoad_act!D42*1000
)</f>
        <v>1815.3592206437788</v>
      </c>
      <c r="E66" s="101">
        <f>IF(TrRoad_act!E42=0,0,E29/TrRoad_act!E42*1000
)</f>
        <v>1782.0306670237437</v>
      </c>
      <c r="F66" s="101">
        <f>IF(TrRoad_act!F42=0,0,F29/TrRoad_act!F42*1000
)</f>
        <v>1755.1002551357383</v>
      </c>
      <c r="G66" s="101">
        <f>IF(TrRoad_act!G42=0,0,G29/TrRoad_act!G42*1000
)</f>
        <v>1730.2756855782302</v>
      </c>
      <c r="H66" s="101">
        <f>IF(TrRoad_act!H42=0,0,H29/TrRoad_act!H42*1000
)</f>
        <v>1704.1182953080154</v>
      </c>
      <c r="I66" s="101">
        <f>IF(TrRoad_act!I42=0,0,I29/TrRoad_act!I42*1000
)</f>
        <v>1644.3793908864554</v>
      </c>
      <c r="J66" s="101">
        <f>IF(TrRoad_act!J42=0,0,J29/TrRoad_act!J42*1000
)</f>
        <v>1628.4496793078608</v>
      </c>
      <c r="K66" s="101">
        <f>IF(TrRoad_act!K42=0,0,K29/TrRoad_act!K42*1000
)</f>
        <v>1613.9727306352327</v>
      </c>
      <c r="L66" s="101">
        <f>IF(TrRoad_act!L42=0,0,L29/TrRoad_act!L42*1000
)</f>
        <v>1607.1872234249602</v>
      </c>
      <c r="M66" s="101">
        <f>IF(TrRoad_act!M42=0,0,M29/TrRoad_act!M42*1000
)</f>
        <v>1616.1048937063504</v>
      </c>
      <c r="N66" s="101">
        <f>IF(TrRoad_act!N42=0,0,N29/TrRoad_act!N42*1000
)</f>
        <v>1615.1850099062019</v>
      </c>
      <c r="O66" s="101">
        <f>IF(TrRoad_act!O42=0,0,O29/TrRoad_act!O42*1000
)</f>
        <v>1615.7883538020017</v>
      </c>
      <c r="P66" s="101">
        <f>IF(TrRoad_act!P42=0,0,P29/TrRoad_act!P42*1000
)</f>
        <v>1609.3104324602764</v>
      </c>
      <c r="Q66" s="101">
        <f>IF(TrRoad_act!Q42=0,0,Q29/TrRoad_act!Q42*1000
)</f>
        <v>1609.1912010530825</v>
      </c>
      <c r="R66" s="101">
        <f>IF(TrRoad_act!R42=0,0,R29/TrRoad_act!R42*1000
)</f>
        <v>1611.7358822175004</v>
      </c>
      <c r="S66" s="101">
        <f>IF(TrRoad_act!S42=0,0,S29/TrRoad_act!S42*1000
)</f>
        <v>1594.2859639600524</v>
      </c>
      <c r="T66" s="101">
        <f>IF(TrRoad_act!T42=0,0,T29/TrRoad_act!T42*1000
)</f>
        <v>1596.5752088408185</v>
      </c>
      <c r="U66" s="101">
        <f>IF(TrRoad_act!U42=0,0,U29/TrRoad_act!U42*1000
)</f>
        <v>1596.0898818931896</v>
      </c>
      <c r="V66" s="101">
        <f>IF(TrRoad_act!V42=0,0,V29/TrRoad_act!V42*1000
)</f>
        <v>1536.3737695596503</v>
      </c>
      <c r="W66" s="101">
        <f>IF(TrRoad_act!W42=0,0,W29/TrRoad_act!W42*1000
)</f>
        <v>1538.3299719965821</v>
      </c>
      <c r="X66" s="101">
        <f>IF(TrRoad_act!X42=0,0,X29/TrRoad_act!X42*1000
)</f>
        <v>1511.7219808465882</v>
      </c>
      <c r="Y66" s="101">
        <f>IF(TrRoad_act!Y42=0,0,Y29/TrRoad_act!Y42*1000
)</f>
        <v>1486.1859407756708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X68" s="101">
        <f>IF(TrRoad_act!X44=0,0,X31/TrRoad_act!X44*1000
)</f>
        <v>0</v>
      </c>
      <c r="Y68" s="101">
        <f>IF(TrRoad_act!Y44=0,0,Y31/TrRoad_act!Y44*1000
)</f>
        <v>0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5070.6218719205299</v>
      </c>
      <c r="C70" s="29">
        <f>IF(TrRoad_act!C46=0,0,C33/TrRoad_act!C46*1000
)</f>
        <v>5075.6221529596196</v>
      </c>
      <c r="D70" s="29">
        <f>IF(TrRoad_act!D46=0,0,D33/TrRoad_act!D46*1000
)</f>
        <v>4972.7777938336985</v>
      </c>
      <c r="E70" s="29">
        <f>IF(TrRoad_act!E46=0,0,E33/TrRoad_act!E46*1000
)</f>
        <v>5622.9897202240054</v>
      </c>
      <c r="F70" s="29">
        <f>IF(TrRoad_act!F46=0,0,F33/TrRoad_act!F46*1000
)</f>
        <v>7104.6032670081613</v>
      </c>
      <c r="G70" s="29">
        <f>IF(TrRoad_act!G46=0,0,G33/TrRoad_act!G46*1000
)</f>
        <v>7795.885498452486</v>
      </c>
      <c r="H70" s="29">
        <f>IF(TrRoad_act!H46=0,0,H33/TrRoad_act!H46*1000
)</f>
        <v>7105.4538366048791</v>
      </c>
      <c r="I70" s="29">
        <f>IF(TrRoad_act!I46=0,0,I33/TrRoad_act!I46*1000
)</f>
        <v>6168.5546179819257</v>
      </c>
      <c r="J70" s="29">
        <f>IF(TrRoad_act!J46=0,0,J33/TrRoad_act!J46*1000
)</f>
        <v>5891.9244410283827</v>
      </c>
      <c r="K70" s="29">
        <f>IF(TrRoad_act!K46=0,0,K33/TrRoad_act!K46*1000
)</f>
        <v>5476.9803317394126</v>
      </c>
      <c r="L70" s="29">
        <f>IF(TrRoad_act!L46=0,0,L33/TrRoad_act!L46*1000
)</f>
        <v>5904.048920127816</v>
      </c>
      <c r="M70" s="29">
        <f>IF(TrRoad_act!M46=0,0,M33/TrRoad_act!M46*1000
)</f>
        <v>5957.3049654886399</v>
      </c>
      <c r="N70" s="29">
        <f>IF(TrRoad_act!N46=0,0,N33/TrRoad_act!N46*1000
)</f>
        <v>4989.0886732846966</v>
      </c>
      <c r="O70" s="29">
        <f>IF(TrRoad_act!O46=0,0,O33/TrRoad_act!O46*1000
)</f>
        <v>5080.2873659014795</v>
      </c>
      <c r="P70" s="29">
        <f>IF(TrRoad_act!P46=0,0,P33/TrRoad_act!P46*1000
)</f>
        <v>4351.3555697156489</v>
      </c>
      <c r="Q70" s="29">
        <f>IF(TrRoad_act!Q46=0,0,Q33/TrRoad_act!Q46*1000
)</f>
        <v>3959.0386603915222</v>
      </c>
      <c r="R70" s="29">
        <f>IF(TrRoad_act!R46=0,0,R33/TrRoad_act!R46*1000
)</f>
        <v>3627.0580107625628</v>
      </c>
      <c r="S70" s="29">
        <f>IF(TrRoad_act!S46=0,0,S33/TrRoad_act!S46*1000
)</f>
        <v>3664.2675442067343</v>
      </c>
      <c r="T70" s="29">
        <f>IF(TrRoad_act!T46=0,0,T33/TrRoad_act!T46*1000
)</f>
        <v>3884.7349617654559</v>
      </c>
      <c r="U70" s="29">
        <f>IF(TrRoad_act!U46=0,0,U33/TrRoad_act!U46*1000
)</f>
        <v>4028.4794032791592</v>
      </c>
      <c r="V70" s="29">
        <f>IF(TrRoad_act!V46=0,0,V33/TrRoad_act!V46*1000
)</f>
        <v>3078.5984788557184</v>
      </c>
      <c r="W70" s="29">
        <f>IF(TrRoad_act!W46=0,0,W33/TrRoad_act!W46*1000
)</f>
        <v>2999.6910694764274</v>
      </c>
      <c r="X70" s="29">
        <f>IF(TrRoad_act!X46=0,0,X33/TrRoad_act!X46*1000
)</f>
        <v>2423.8829051958578</v>
      </c>
      <c r="Y70" s="29">
        <f>IF(TrRoad_act!Y46=0,0,Y33/TrRoad_act!Y46*1000
)</f>
        <v>2216.7133871702822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369.54831689191082</v>
      </c>
      <c r="C71" s="152">
        <f>IF(TrRoad_act!C47=0,0,C34/TrRoad_act!C47*1000
)</f>
        <v>356.69980781351541</v>
      </c>
      <c r="D71" s="152">
        <f>IF(TrRoad_act!D47=0,0,D34/TrRoad_act!D47*1000
)</f>
        <v>346.90347676416684</v>
      </c>
      <c r="E71" s="152">
        <f>IF(TrRoad_act!E47=0,0,E34/TrRoad_act!E47*1000
)</f>
        <v>340.1690461755814</v>
      </c>
      <c r="F71" s="152">
        <f>IF(TrRoad_act!F47=0,0,F34/TrRoad_act!F47*1000
)</f>
        <v>333.41435681749329</v>
      </c>
      <c r="G71" s="152">
        <f>IF(TrRoad_act!G47=0,0,G34/TrRoad_act!G47*1000
)</f>
        <v>327.91504073378695</v>
      </c>
      <c r="H71" s="152">
        <f>IF(TrRoad_act!H47=0,0,H34/TrRoad_act!H47*1000
)</f>
        <v>322.98780602144893</v>
      </c>
      <c r="I71" s="152">
        <f>IF(TrRoad_act!I47=0,0,I34/TrRoad_act!I47*1000
)</f>
        <v>310.72605839398699</v>
      </c>
      <c r="J71" s="152">
        <f>IF(TrRoad_act!J47=0,0,J34/TrRoad_act!J47*1000
)</f>
        <v>306.88466446381375</v>
      </c>
      <c r="K71" s="152">
        <f>IF(TrRoad_act!K47=0,0,K34/TrRoad_act!K47*1000
)</f>
        <v>306.0992291956826</v>
      </c>
      <c r="L71" s="152">
        <f>IF(TrRoad_act!L47=0,0,L34/TrRoad_act!L47*1000
)</f>
        <v>306.27393815534668</v>
      </c>
      <c r="M71" s="152">
        <f>IF(TrRoad_act!M47=0,0,M34/TrRoad_act!M47*1000
)</f>
        <v>307.41804700346552</v>
      </c>
      <c r="N71" s="152">
        <f>IF(TrRoad_act!N47=0,0,N34/TrRoad_act!N47*1000
)</f>
        <v>302.64033554395195</v>
      </c>
      <c r="O71" s="152">
        <f>IF(TrRoad_act!O47=0,0,O34/TrRoad_act!O47*1000
)</f>
        <v>297.69378156911057</v>
      </c>
      <c r="P71" s="152">
        <f>IF(TrRoad_act!P47=0,0,P34/TrRoad_act!P47*1000
)</f>
        <v>291.86910178327406</v>
      </c>
      <c r="Q71" s="152">
        <f>IF(TrRoad_act!Q47=0,0,Q34/TrRoad_act!Q47*1000
)</f>
        <v>285.30152049842638</v>
      </c>
      <c r="R71" s="152">
        <f>IF(TrRoad_act!R47=0,0,R34/TrRoad_act!R47*1000
)</f>
        <v>279.65989552993096</v>
      </c>
      <c r="S71" s="152">
        <f>IF(TrRoad_act!S47=0,0,S34/TrRoad_act!S47*1000
)</f>
        <v>269.69739013817525</v>
      </c>
      <c r="T71" s="152">
        <f>IF(TrRoad_act!T47=0,0,T34/TrRoad_act!T47*1000
)</f>
        <v>265.53570571012619</v>
      </c>
      <c r="U71" s="152">
        <f>IF(TrRoad_act!U47=0,0,U34/TrRoad_act!U47*1000
)</f>
        <v>262.09097820680017</v>
      </c>
      <c r="V71" s="152">
        <f>IF(TrRoad_act!V47=0,0,V34/TrRoad_act!V47*1000
)</f>
        <v>253.0098738544817</v>
      </c>
      <c r="W71" s="152">
        <f>IF(TrRoad_act!W47=0,0,W34/TrRoad_act!W47*1000
)</f>
        <v>252.84718728515986</v>
      </c>
      <c r="X71" s="152">
        <f>IF(TrRoad_act!X47=0,0,X34/TrRoad_act!X47*1000
)</f>
        <v>248.39274838873473</v>
      </c>
      <c r="Y71" s="152">
        <f>IF(TrRoad_act!Y47=0,0,Y34/TrRoad_act!Y47*1000
)</f>
        <v>245.18931501969308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315.08462969263815</v>
      </c>
      <c r="C72" s="87">
        <f>IF(TrRoad_act!C48=0,0,C35/TrRoad_act!C48*1000
)</f>
        <v>314.04132056031966</v>
      </c>
      <c r="D72" s="87">
        <f>IF(TrRoad_act!D48=0,0,D35/TrRoad_act!D48*1000
)</f>
        <v>311.18218719572906</v>
      </c>
      <c r="E72" s="87">
        <f>IF(TrRoad_act!E48=0,0,E35/TrRoad_act!E48*1000
)</f>
        <v>306.17494828148114</v>
      </c>
      <c r="F72" s="87">
        <f>IF(TrRoad_act!F48=0,0,F35/TrRoad_act!F48*1000
)</f>
        <v>301.04008670330921</v>
      </c>
      <c r="G72" s="87">
        <f>IF(TrRoad_act!G48=0,0,G35/TrRoad_act!G48*1000
)</f>
        <v>294.8654732343893</v>
      </c>
      <c r="H72" s="87">
        <f>IF(TrRoad_act!H48=0,0,H35/TrRoad_act!H48*1000
)</f>
        <v>288.15839873859852</v>
      </c>
      <c r="I72" s="87">
        <f>IF(TrRoad_act!I48=0,0,I35/TrRoad_act!I48*1000
)</f>
        <v>279.44843988774551</v>
      </c>
      <c r="J72" s="87">
        <f>IF(TrRoad_act!J48=0,0,J35/TrRoad_act!J48*1000
)</f>
        <v>270.80850759401005</v>
      </c>
      <c r="K72" s="87">
        <f>IF(TrRoad_act!K48=0,0,K35/TrRoad_act!K48*1000
)</f>
        <v>261.89946063444887</v>
      </c>
      <c r="L72" s="87">
        <f>IF(TrRoad_act!L48=0,0,L35/TrRoad_act!L48*1000
)</f>
        <v>256.86608869636746</v>
      </c>
      <c r="M72" s="87">
        <f>IF(TrRoad_act!M48=0,0,M35/TrRoad_act!M48*1000
)</f>
        <v>249.14068298101776</v>
      </c>
      <c r="N72" s="87">
        <f>IF(TrRoad_act!N48=0,0,N35/TrRoad_act!N48*1000
)</f>
        <v>249.09874874195395</v>
      </c>
      <c r="O72" s="87">
        <f>IF(TrRoad_act!O48=0,0,O35/TrRoad_act!O48*1000
)</f>
        <v>249.51011828658906</v>
      </c>
      <c r="P72" s="87">
        <f>IF(TrRoad_act!P48=0,0,P35/TrRoad_act!P48*1000
)</f>
        <v>248.09524106611039</v>
      </c>
      <c r="Q72" s="87">
        <f>IF(TrRoad_act!Q48=0,0,Q35/TrRoad_act!Q48*1000
)</f>
        <v>244.16982252971866</v>
      </c>
      <c r="R72" s="87">
        <f>IF(TrRoad_act!R48=0,0,R35/TrRoad_act!R48*1000
)</f>
        <v>240.1018942468416</v>
      </c>
      <c r="S72" s="87">
        <f>IF(TrRoad_act!S48=0,0,S35/TrRoad_act!S48*1000
)</f>
        <v>238.46646892802218</v>
      </c>
      <c r="T72" s="87">
        <f>IF(TrRoad_act!T48=0,0,T35/TrRoad_act!T48*1000
)</f>
        <v>234.07455261016688</v>
      </c>
      <c r="U72" s="87">
        <f>IF(TrRoad_act!U48=0,0,U35/TrRoad_act!U48*1000
)</f>
        <v>229.4015455229999</v>
      </c>
      <c r="V72" s="87">
        <f>IF(TrRoad_act!V48=0,0,V35/TrRoad_act!V48*1000
)</f>
        <v>227.28689655448787</v>
      </c>
      <c r="W72" s="87">
        <f>IF(TrRoad_act!W48=0,0,W35/TrRoad_act!W48*1000
)</f>
        <v>223.26972698981723</v>
      </c>
      <c r="X72" s="87">
        <f>IF(TrRoad_act!X48=0,0,X35/TrRoad_act!X48*1000
)</f>
        <v>220.18969027367055</v>
      </c>
      <c r="Y72" s="87">
        <f>IF(TrRoad_act!Y48=0,0,Y35/TrRoad_act!Y48*1000
)</f>
        <v>224.64410113653582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375.72316984992403</v>
      </c>
      <c r="C73" s="87">
        <f>IF(TrRoad_act!C49=0,0,C36/TrRoad_act!C49*1000
)</f>
        <v>360.67703389554265</v>
      </c>
      <c r="D73" s="87">
        <f>IF(TrRoad_act!D49=0,0,D36/TrRoad_act!D49*1000
)</f>
        <v>349.70784581872283</v>
      </c>
      <c r="E73" s="87">
        <f>IF(TrRoad_act!E49=0,0,E36/TrRoad_act!E49*1000
)</f>
        <v>342.46592580049827</v>
      </c>
      <c r="F73" s="87">
        <f>IF(TrRoad_act!F49=0,0,F36/TrRoad_act!F49*1000
)</f>
        <v>335.24689639811311</v>
      </c>
      <c r="G73" s="87">
        <f>IF(TrRoad_act!G49=0,0,G36/TrRoad_act!G49*1000
)</f>
        <v>329.47656181326545</v>
      </c>
      <c r="H73" s="87">
        <f>IF(TrRoad_act!H49=0,0,H36/TrRoad_act!H49*1000
)</f>
        <v>324.39741160875718</v>
      </c>
      <c r="I73" s="87">
        <f>IF(TrRoad_act!I49=0,0,I36/TrRoad_act!I49*1000
)</f>
        <v>311.82525691827101</v>
      </c>
      <c r="J73" s="87">
        <f>IF(TrRoad_act!J49=0,0,J36/TrRoad_act!J49*1000
)</f>
        <v>308.02602797894195</v>
      </c>
      <c r="K73" s="87">
        <f>IF(TrRoad_act!K49=0,0,K36/TrRoad_act!K49*1000
)</f>
        <v>307.40236860729448</v>
      </c>
      <c r="L73" s="87">
        <f>IF(TrRoad_act!L49=0,0,L36/TrRoad_act!L49*1000
)</f>
        <v>307.6274198109399</v>
      </c>
      <c r="M73" s="87">
        <f>IF(TrRoad_act!M49=0,0,M36/TrRoad_act!M49*1000
)</f>
        <v>308.8780831262564</v>
      </c>
      <c r="N73" s="87">
        <f>IF(TrRoad_act!N49=0,0,N36/TrRoad_act!N49*1000
)</f>
        <v>304.01179904540379</v>
      </c>
      <c r="O73" s="87">
        <f>IF(TrRoad_act!O49=0,0,O36/TrRoad_act!O49*1000
)</f>
        <v>299.17654691115376</v>
      </c>
      <c r="P73" s="87">
        <f>IF(TrRoad_act!P49=0,0,P36/TrRoad_act!P49*1000
)</f>
        <v>293.21187888557989</v>
      </c>
      <c r="Q73" s="87">
        <f>IF(TrRoad_act!Q49=0,0,Q36/TrRoad_act!Q49*1000
)</f>
        <v>286.79114711680586</v>
      </c>
      <c r="R73" s="87">
        <f>IF(TrRoad_act!R49=0,0,R36/TrRoad_act!R49*1000
)</f>
        <v>281.12303031988739</v>
      </c>
      <c r="S73" s="87">
        <f>IF(TrRoad_act!S49=0,0,S36/TrRoad_act!S49*1000
)</f>
        <v>271.16650006096029</v>
      </c>
      <c r="T73" s="87">
        <f>IF(TrRoad_act!T49=0,0,T36/TrRoad_act!T49*1000
)</f>
        <v>267.18678793358993</v>
      </c>
      <c r="U73" s="87">
        <f>IF(TrRoad_act!U49=0,0,U36/TrRoad_act!U49*1000
)</f>
        <v>263.91282900320391</v>
      </c>
      <c r="V73" s="87">
        <f>IF(TrRoad_act!V49=0,0,V36/TrRoad_act!V49*1000
)</f>
        <v>255.04248176024606</v>
      </c>
      <c r="W73" s="87">
        <f>IF(TrRoad_act!W49=0,0,W36/TrRoad_act!W49*1000
)</f>
        <v>255.45550272973145</v>
      </c>
      <c r="X73" s="87">
        <f>IF(TrRoad_act!X49=0,0,X36/TrRoad_act!X49*1000
)</f>
        <v>252.57014588377135</v>
      </c>
      <c r="Y73" s="87">
        <f>IF(TrRoad_act!Y49=0,0,Y36/TrRoad_act!Y49*1000
)</f>
        <v>251.17415897735441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329.38758293340487</v>
      </c>
      <c r="P74" s="87">
        <f>IF(TrRoad_act!P50=0,0,P37/TrRoad_act!P50*1000
)</f>
        <v>373.86301498938644</v>
      </c>
      <c r="Q74" s="87">
        <f>IF(TrRoad_act!Q50=0,0,Q37/TrRoad_act!Q50*1000
)</f>
        <v>279.715074509658</v>
      </c>
      <c r="R74" s="87">
        <f>IF(TrRoad_act!R50=0,0,R37/TrRoad_act!R50*1000
)</f>
        <v>279.66134337009157</v>
      </c>
      <c r="S74" s="87">
        <f>IF(TrRoad_act!S50=0,0,S37/TrRoad_act!S50*1000
)</f>
        <v>274.61292753146523</v>
      </c>
      <c r="T74" s="87">
        <f>IF(TrRoad_act!T50=0,0,T37/TrRoad_act!T50*1000
)</f>
        <v>315.96154140211871</v>
      </c>
      <c r="U74" s="87">
        <f>IF(TrRoad_act!U50=0,0,U37/TrRoad_act!U50*1000
)</f>
        <v>345.00874259233598</v>
      </c>
      <c r="V74" s="87">
        <f>IF(TrRoad_act!V50=0,0,V37/TrRoad_act!V50*1000
)</f>
        <v>220.5692712715541</v>
      </c>
      <c r="W74" s="87">
        <f>IF(TrRoad_act!W50=0,0,W37/TrRoad_act!W50*1000
)</f>
        <v>242.07228946099863</v>
      </c>
      <c r="X74" s="87">
        <f>IF(TrRoad_act!X50=0,0,X37/TrRoad_act!X50*1000
)</f>
        <v>235.23588644208337</v>
      </c>
      <c r="Y74" s="87">
        <f>IF(TrRoad_act!Y50=0,0,Y37/TrRoad_act!Y50*1000
)</f>
        <v>341.81142992183919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X75" s="87">
        <f>IF(TrRoad_act!X51=0,0,X38/TrRoad_act!X51*1000
)</f>
        <v>0</v>
      </c>
      <c r="Y75" s="87">
        <f>IF(TrRoad_act!Y51=0,0,Y38/TrRoad_act!Y51*1000
)</f>
        <v>0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14853.867992773392</v>
      </c>
      <c r="C77" s="116">
        <f>IF(TrRoad_act!C53=0,0,C40/TrRoad_act!C53*1000
)</f>
        <v>14566.620193038303</v>
      </c>
      <c r="D77" s="116">
        <f>IF(TrRoad_act!D53=0,0,D40/TrRoad_act!D53*1000
)</f>
        <v>13968.936076250258</v>
      </c>
      <c r="E77" s="116">
        <f>IF(TrRoad_act!E53=0,0,E40/TrRoad_act!E53*1000
)</f>
        <v>16323.160290439113</v>
      </c>
      <c r="F77" s="116">
        <f>IF(TrRoad_act!F53=0,0,F40/TrRoad_act!F53*1000
)</f>
        <v>20540.269409410976</v>
      </c>
      <c r="G77" s="116">
        <f>IF(TrRoad_act!G53=0,0,G40/TrRoad_act!G53*1000
)</f>
        <v>23535.726935732386</v>
      </c>
      <c r="H77" s="116">
        <f>IF(TrRoad_act!H53=0,0,H40/TrRoad_act!H53*1000
)</f>
        <v>21732.19862706718</v>
      </c>
      <c r="I77" s="116">
        <f>IF(TrRoad_act!I53=0,0,I40/TrRoad_act!I53*1000
)</f>
        <v>19429.619972658424</v>
      </c>
      <c r="J77" s="116">
        <f>IF(TrRoad_act!J53=0,0,J40/TrRoad_act!J53*1000
)</f>
        <v>18699.237760975706</v>
      </c>
      <c r="K77" s="116">
        <f>IF(TrRoad_act!K53=0,0,K40/TrRoad_act!K53*1000
)</f>
        <v>20494.03648583133</v>
      </c>
      <c r="L77" s="116">
        <f>IF(TrRoad_act!L53=0,0,L40/TrRoad_act!L53*1000
)</f>
        <v>21946.24402721236</v>
      </c>
      <c r="M77" s="116">
        <f>IF(TrRoad_act!M53=0,0,M40/TrRoad_act!M53*1000
)</f>
        <v>22771.348731516468</v>
      </c>
      <c r="N77" s="116">
        <f>IF(TrRoad_act!N53=0,0,N40/TrRoad_act!N53*1000
)</f>
        <v>16168.815742296445</v>
      </c>
      <c r="O77" s="116">
        <f>IF(TrRoad_act!O53=0,0,O40/TrRoad_act!O53*1000
)</f>
        <v>18012.424658687985</v>
      </c>
      <c r="P77" s="116">
        <f>IF(TrRoad_act!P53=0,0,P40/TrRoad_act!P53*1000
)</f>
        <v>14275.240415855293</v>
      </c>
      <c r="Q77" s="116">
        <f>IF(TrRoad_act!Q53=0,0,Q40/TrRoad_act!Q53*1000
)</f>
        <v>14889.266557707831</v>
      </c>
      <c r="R77" s="116">
        <f>IF(TrRoad_act!R53=0,0,R40/TrRoad_act!R53*1000
)</f>
        <v>13634.477371005059</v>
      </c>
      <c r="S77" s="116">
        <f>IF(TrRoad_act!S53=0,0,S40/TrRoad_act!S53*1000
)</f>
        <v>14015.729120320433</v>
      </c>
      <c r="T77" s="116">
        <f>IF(TrRoad_act!T53=0,0,T40/TrRoad_act!T53*1000
)</f>
        <v>15540.606930649928</v>
      </c>
      <c r="U77" s="116">
        <f>IF(TrRoad_act!U53=0,0,U40/TrRoad_act!U53*1000
)</f>
        <v>16271.316001512514</v>
      </c>
      <c r="V77" s="116">
        <f>IF(TrRoad_act!V53=0,0,V40/TrRoad_act!V53*1000
)</f>
        <v>13371.902185680838</v>
      </c>
      <c r="W77" s="116">
        <f>IF(TrRoad_act!W53=0,0,W40/TrRoad_act!W53*1000
)</f>
        <v>12352.619295884198</v>
      </c>
      <c r="X77" s="116">
        <f>IF(TrRoad_act!X53=0,0,X40/TrRoad_act!X53*1000
)</f>
        <v>9163.4873325744084</v>
      </c>
      <c r="Y77" s="116">
        <f>IF(TrRoad_act!Y53=0,0,Y40/TrRoad_act!Y53*1000
)</f>
        <v>8980.4484277752908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1377.8815099527858</v>
      </c>
      <c r="C78" s="101">
        <f>IF(TrRoad_act!C54=0,0,C41/TrRoad_act!C54*1000
)</f>
        <v>1370.095157606519</v>
      </c>
      <c r="D78" s="101">
        <f>IF(TrRoad_act!D54=0,0,D41/TrRoad_act!D54*1000
)</f>
        <v>1359.1368155626487</v>
      </c>
      <c r="E78" s="101">
        <f>IF(TrRoad_act!E54=0,0,E41/TrRoad_act!E54*1000
)</f>
        <v>1400.560947904044</v>
      </c>
      <c r="F78" s="101">
        <f>IF(TrRoad_act!F54=0,0,F41/TrRoad_act!F54*1000
)</f>
        <v>1478.9033348432959</v>
      </c>
      <c r="G78" s="101">
        <f>IF(TrRoad_act!G54=0,0,G41/TrRoad_act!G54*1000
)</f>
        <v>1527.9572879241964</v>
      </c>
      <c r="H78" s="101">
        <f>IF(TrRoad_act!H54=0,0,H41/TrRoad_act!H54*1000
)</f>
        <v>1493.4260691136587</v>
      </c>
      <c r="I78" s="101">
        <f>IF(TrRoad_act!I54=0,0,I41/TrRoad_act!I54*1000
)</f>
        <v>1419.3650967684259</v>
      </c>
      <c r="J78" s="101">
        <f>IF(TrRoad_act!J54=0,0,J41/TrRoad_act!J54*1000
)</f>
        <v>1400.1952376595993</v>
      </c>
      <c r="K78" s="101">
        <f>IF(TrRoad_act!K54=0,0,K41/TrRoad_act!K54*1000
)</f>
        <v>1427.3398881603548</v>
      </c>
      <c r="L78" s="101">
        <f>IF(TrRoad_act!L54=0,0,L41/TrRoad_act!L54*1000
)</f>
        <v>1454.6064799068856</v>
      </c>
      <c r="M78" s="101">
        <f>IF(TrRoad_act!M54=0,0,M41/TrRoad_act!M54*1000
)</f>
        <v>1470.0370066861681</v>
      </c>
      <c r="N78" s="101">
        <f>IF(TrRoad_act!N54=0,0,N41/TrRoad_act!N54*1000
)</f>
        <v>1338.1725700583568</v>
      </c>
      <c r="O78" s="101">
        <f>IF(TrRoad_act!O54=0,0,O41/TrRoad_act!O54*1000
)</f>
        <v>1354.4880065588791</v>
      </c>
      <c r="P78" s="101">
        <f>IF(TrRoad_act!P54=0,0,P41/TrRoad_act!P54*1000
)</f>
        <v>1273.3814377792487</v>
      </c>
      <c r="Q78" s="101">
        <f>IF(TrRoad_act!Q54=0,0,Q41/TrRoad_act!Q54*1000
)</f>
        <v>1274.4508134998948</v>
      </c>
      <c r="R78" s="101">
        <f>IF(TrRoad_act!R54=0,0,R41/TrRoad_act!R54*1000
)</f>
        <v>1239.9517369011974</v>
      </c>
      <c r="S78" s="101">
        <f>IF(TrRoad_act!S54=0,0,S41/TrRoad_act!S54*1000
)</f>
        <v>1224.8522437576905</v>
      </c>
      <c r="T78" s="101">
        <f>IF(TrRoad_act!T54=0,0,T41/TrRoad_act!T54*1000
)</f>
        <v>1244.7103487494273</v>
      </c>
      <c r="U78" s="101">
        <f>IF(TrRoad_act!U54=0,0,U41/TrRoad_act!U54*1000
)</f>
        <v>1248.3431540402571</v>
      </c>
      <c r="V78" s="101">
        <f>IF(TrRoad_act!V54=0,0,V41/TrRoad_act!V54*1000
)</f>
        <v>1155.8950041227972</v>
      </c>
      <c r="W78" s="101">
        <f>IF(TrRoad_act!W54=0,0,W41/TrRoad_act!W54*1000
)</f>
        <v>1134.6512192907219</v>
      </c>
      <c r="X78" s="101">
        <f>IF(TrRoad_act!X54=0,0,X41/TrRoad_act!X54*1000
)</f>
        <v>1063.3026398139514</v>
      </c>
      <c r="Y78" s="101">
        <f>IF(TrRoad_act!Y54=0,0,Y41/TrRoad_act!Y54*1000
)</f>
        <v>1058.0978596189398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26773.87778341999</v>
      </c>
      <c r="C79" s="88">
        <f>IF(TrRoad_act!C55=0,0,C42/TrRoad_act!C55*1000
)</f>
        <v>27034.342935394321</v>
      </c>
      <c r="D79" s="88">
        <f>IF(TrRoad_act!D55=0,0,D42/TrRoad_act!D55*1000
)</f>
        <v>27206.620863001277</v>
      </c>
      <c r="E79" s="88">
        <f>IF(TrRoad_act!E55=0,0,E42/TrRoad_act!E55*1000
)</f>
        <v>31280.53383562636</v>
      </c>
      <c r="F79" s="88">
        <f>IF(TrRoad_act!F55=0,0,F42/TrRoad_act!F55*1000
)</f>
        <v>35901.088811764224</v>
      </c>
      <c r="G79" s="88">
        <f>IF(TrRoad_act!G55=0,0,G42/TrRoad_act!G55*1000
)</f>
        <v>39553.409486482793</v>
      </c>
      <c r="H79" s="88">
        <f>IF(TrRoad_act!H55=0,0,H42/TrRoad_act!H55*1000
)</f>
        <v>38602.344154671038</v>
      </c>
      <c r="I79" s="88">
        <f>IF(TrRoad_act!I55=0,0,I42/TrRoad_act!I55*1000
)</f>
        <v>33254.516379717053</v>
      </c>
      <c r="J79" s="88">
        <f>IF(TrRoad_act!J55=0,0,J42/TrRoad_act!J55*1000
)</f>
        <v>29658.18438720208</v>
      </c>
      <c r="K79" s="88">
        <f>IF(TrRoad_act!K55=0,0,K42/TrRoad_act!K55*1000
)</f>
        <v>29092.835571537998</v>
      </c>
      <c r="L79" s="88">
        <f>IF(TrRoad_act!L55=0,0,L42/TrRoad_act!L55*1000
)</f>
        <v>31817.179525528183</v>
      </c>
      <c r="M79" s="88">
        <f>IF(TrRoad_act!M55=0,0,M42/TrRoad_act!M55*1000
)</f>
        <v>33957.894252292594</v>
      </c>
      <c r="N79" s="88">
        <f>IF(TrRoad_act!N55=0,0,N42/TrRoad_act!N55*1000
)</f>
        <v>27311.337942064172</v>
      </c>
      <c r="O79" s="88">
        <f>IF(TrRoad_act!O55=0,0,O42/TrRoad_act!O55*1000
)</f>
        <v>27927.706366381135</v>
      </c>
      <c r="P79" s="88">
        <f>IF(TrRoad_act!P55=0,0,P42/TrRoad_act!P55*1000
)</f>
        <v>24286.054614879431</v>
      </c>
      <c r="Q79" s="88">
        <f>IF(TrRoad_act!Q55=0,0,Q42/TrRoad_act!Q55*1000
)</f>
        <v>25472.189224066744</v>
      </c>
      <c r="R79" s="88">
        <f>IF(TrRoad_act!R55=0,0,R42/TrRoad_act!R55*1000
)</f>
        <v>22965.892768372301</v>
      </c>
      <c r="S79" s="88">
        <f>IF(TrRoad_act!S55=0,0,S42/TrRoad_act!S55*1000
)</f>
        <v>22814.663749323237</v>
      </c>
      <c r="T79" s="88">
        <f>IF(TrRoad_act!T55=0,0,T42/TrRoad_act!T55*1000
)</f>
        <v>25980.173095426817</v>
      </c>
      <c r="U79" s="88">
        <f>IF(TrRoad_act!U55=0,0,U42/TrRoad_act!U55*1000
)</f>
        <v>26790.681461808239</v>
      </c>
      <c r="V79" s="88">
        <f>IF(TrRoad_act!V55=0,0,V42/TrRoad_act!V55*1000
)</f>
        <v>21225.533633844891</v>
      </c>
      <c r="W79" s="88">
        <f>IF(TrRoad_act!W55=0,0,W42/TrRoad_act!W55*1000
)</f>
        <v>20475.786399581397</v>
      </c>
      <c r="X79" s="88">
        <f>IF(TrRoad_act!X55=0,0,X42/TrRoad_act!X55*1000
)</f>
        <v>14804.718774908841</v>
      </c>
      <c r="Y79" s="88">
        <f>IF(TrRoad_act!Y55=0,0,Y42/TrRoad_act!Y55*1000
)</f>
        <v>14518.44696428679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434.20701127449178</v>
      </c>
      <c r="C82" s="29">
        <f>IF(TrRoad_act!C4=0,0,C18/TrRoad_act!C4*1000)</f>
        <v>429.18734044050052</v>
      </c>
      <c r="D82" s="29">
        <f>IF(TrRoad_act!D4=0,0,D18/TrRoad_act!D4*1000)</f>
        <v>429.39922997561314</v>
      </c>
      <c r="E82" s="29">
        <f>IF(TrRoad_act!E4=0,0,E18/TrRoad_act!E4*1000)</f>
        <v>447.73268036855478</v>
      </c>
      <c r="F82" s="29">
        <f>IF(TrRoad_act!F4=0,0,F18/TrRoad_act!F4*1000)</f>
        <v>448.6844142685635</v>
      </c>
      <c r="G82" s="29">
        <f>IF(TrRoad_act!G4=0,0,G18/TrRoad_act!G4*1000)</f>
        <v>420.56334204919244</v>
      </c>
      <c r="H82" s="29">
        <f>IF(TrRoad_act!H4=0,0,H18/TrRoad_act!H4*1000)</f>
        <v>393.12960178240127</v>
      </c>
      <c r="I82" s="29">
        <f>IF(TrRoad_act!I4=0,0,I18/TrRoad_act!I4*1000)</f>
        <v>386.46605780842299</v>
      </c>
      <c r="J82" s="29">
        <f>IF(TrRoad_act!J4=0,0,J18/TrRoad_act!J4*1000)</f>
        <v>386.03745658538475</v>
      </c>
      <c r="K82" s="29">
        <f>IF(TrRoad_act!K4=0,0,K18/TrRoad_act!K4*1000)</f>
        <v>379.36186090269194</v>
      </c>
      <c r="L82" s="29">
        <f>IF(TrRoad_act!L4=0,0,L18/TrRoad_act!L4*1000)</f>
        <v>380.160882095766</v>
      </c>
      <c r="M82" s="29">
        <f>IF(TrRoad_act!M4=0,0,M18/TrRoad_act!M4*1000)</f>
        <v>398.12527102743803</v>
      </c>
      <c r="N82" s="29">
        <f>IF(TrRoad_act!N4=0,0,N18/TrRoad_act!N4*1000)</f>
        <v>389.0860398657191</v>
      </c>
      <c r="O82" s="29">
        <f>IF(TrRoad_act!O4=0,0,O18/TrRoad_act!O4*1000)</f>
        <v>359.70603144150346</v>
      </c>
      <c r="P82" s="29">
        <f>IF(TrRoad_act!P4=0,0,P18/TrRoad_act!P4*1000)</f>
        <v>340.33963836618682</v>
      </c>
      <c r="Q82" s="29">
        <f>IF(TrRoad_act!Q4=0,0,Q18/TrRoad_act!Q4*1000)</f>
        <v>316.91057205853713</v>
      </c>
      <c r="R82" s="29">
        <f>IF(TrRoad_act!R4=0,0,R18/TrRoad_act!R4*1000)</f>
        <v>299.08414210876168</v>
      </c>
      <c r="S82" s="29">
        <f>IF(TrRoad_act!S4=0,0,S18/TrRoad_act!S4*1000)</f>
        <v>290.59430124611742</v>
      </c>
      <c r="T82" s="29">
        <f>IF(TrRoad_act!T4=0,0,T18/TrRoad_act!T4*1000)</f>
        <v>295.50432227626629</v>
      </c>
      <c r="U82" s="29">
        <f>IF(TrRoad_act!U4=0,0,U18/TrRoad_act!U4*1000)</f>
        <v>282.24528847036487</v>
      </c>
      <c r="V82" s="29">
        <f>IF(TrRoad_act!V4=0,0,V18/TrRoad_act!V4*1000)</f>
        <v>246.34865293748709</v>
      </c>
      <c r="W82" s="29">
        <f>IF(TrRoad_act!W4=0,0,W18/TrRoad_act!W4*1000)</f>
        <v>255.86404119147645</v>
      </c>
      <c r="X82" s="29">
        <f>IF(TrRoad_act!X4=0,0,X18/TrRoad_act!X4*1000)</f>
        <v>240.22195404033133</v>
      </c>
      <c r="Y82" s="29">
        <f>IF(TrRoad_act!Y4=0,0,Y18/TrRoad_act!Y4*1000)</f>
        <v>234.83827214443346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127.50508252503803</v>
      </c>
      <c r="C83" s="152">
        <f>IF(TrRoad_act!C5=0,0,C19/TrRoad_act!C5*1000)</f>
        <v>124.29438910930509</v>
      </c>
      <c r="D83" s="152">
        <f>IF(TrRoad_act!D5=0,0,D19/TrRoad_act!D5*1000)</f>
        <v>121.15225995721178</v>
      </c>
      <c r="E83" s="152">
        <f>IF(TrRoad_act!E5=0,0,E19/TrRoad_act!E5*1000)</f>
        <v>119.76937908216101</v>
      </c>
      <c r="F83" s="152">
        <f>IF(TrRoad_act!F5=0,0,F19/TrRoad_act!F5*1000)</f>
        <v>118.16927414164768</v>
      </c>
      <c r="G83" s="152">
        <f>IF(TrRoad_act!G5=0,0,G19/TrRoad_act!G5*1000)</f>
        <v>115.14007981620196</v>
      </c>
      <c r="H83" s="152">
        <f>IF(TrRoad_act!H5=0,0,H19/TrRoad_act!H5*1000)</f>
        <v>113.60695204088833</v>
      </c>
      <c r="I83" s="152">
        <f>IF(TrRoad_act!I5=0,0,I19/TrRoad_act!I5*1000)</f>
        <v>109.23278241765465</v>
      </c>
      <c r="J83" s="152">
        <f>IF(TrRoad_act!J5=0,0,J19/TrRoad_act!J5*1000)</f>
        <v>108.95005957659536</v>
      </c>
      <c r="K83" s="152">
        <f>IF(TrRoad_act!K5=0,0,K19/TrRoad_act!K5*1000)</f>
        <v>107.78321893607153</v>
      </c>
      <c r="L83" s="152">
        <f>IF(TrRoad_act!L5=0,0,L19/TrRoad_act!L5*1000)</f>
        <v>106.49013759812266</v>
      </c>
      <c r="M83" s="152">
        <f>IF(TrRoad_act!M5=0,0,M19/TrRoad_act!M5*1000)</f>
        <v>103.83207707546713</v>
      </c>
      <c r="N83" s="152">
        <f>IF(TrRoad_act!N5=0,0,N19/TrRoad_act!N5*1000)</f>
        <v>104.66331445410623</v>
      </c>
      <c r="O83" s="152">
        <f>IF(TrRoad_act!O5=0,0,O19/TrRoad_act!O5*1000)</f>
        <v>103.30704326272281</v>
      </c>
      <c r="P83" s="152">
        <f>IF(TrRoad_act!P5=0,0,P19/TrRoad_act!P5*1000)</f>
        <v>100.83777821274771</v>
      </c>
      <c r="Q83" s="152">
        <f>IF(TrRoad_act!Q5=0,0,Q19/TrRoad_act!Q5*1000)</f>
        <v>98.039987891836546</v>
      </c>
      <c r="R83" s="152">
        <f>IF(TrRoad_act!R5=0,0,R19/TrRoad_act!R5*1000)</f>
        <v>96.109147311538322</v>
      </c>
      <c r="S83" s="152">
        <f>IF(TrRoad_act!S5=0,0,S19/TrRoad_act!S5*1000)</f>
        <v>98.580094463617087</v>
      </c>
      <c r="T83" s="152">
        <f>IF(TrRoad_act!T5=0,0,T19/TrRoad_act!T5*1000)</f>
        <v>98.091830769338557</v>
      </c>
      <c r="U83" s="152">
        <f>IF(TrRoad_act!U5=0,0,U19/TrRoad_act!U5*1000)</f>
        <v>94.81261749815431</v>
      </c>
      <c r="V83" s="152">
        <f>IF(TrRoad_act!V5=0,0,V19/TrRoad_act!V5*1000)</f>
        <v>93.685415871166228</v>
      </c>
      <c r="W83" s="152">
        <f>IF(TrRoad_act!W5=0,0,W19/TrRoad_act!W5*1000)</f>
        <v>92.843861968356734</v>
      </c>
      <c r="X83" s="152">
        <f>IF(TrRoad_act!X5=0,0,X19/TrRoad_act!X5*1000)</f>
        <v>91.475095099467211</v>
      </c>
      <c r="Y83" s="152">
        <f>IF(TrRoad_act!Y5=0,0,Y19/TrRoad_act!Y5*1000)</f>
        <v>90.126260380538909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470.72858615076234</v>
      </c>
      <c r="C84" s="116">
        <f>IF(TrRoad_act!C6=0,0,C20/TrRoad_act!C6*1000)</f>
        <v>466.52839530313668</v>
      </c>
      <c r="D84" s="116">
        <f>IF(TrRoad_act!D6=0,0,D20/TrRoad_act!D6*1000)</f>
        <v>469.90412494995462</v>
      </c>
      <c r="E84" s="116">
        <f>IF(TrRoad_act!E6=0,0,E20/TrRoad_act!E6*1000)</f>
        <v>491.37468468817264</v>
      </c>
      <c r="F84" s="116">
        <f>IF(TrRoad_act!F6=0,0,F20/TrRoad_act!F6*1000)</f>
        <v>494.10676816624249</v>
      </c>
      <c r="G84" s="116">
        <f>IF(TrRoad_act!G6=0,0,G20/TrRoad_act!G6*1000)</f>
        <v>462.70640849892061</v>
      </c>
      <c r="H84" s="116">
        <f>IF(TrRoad_act!H6=0,0,H20/TrRoad_act!H6*1000)</f>
        <v>431.73214789202757</v>
      </c>
      <c r="I84" s="116">
        <f>IF(TrRoad_act!I6=0,0,I20/TrRoad_act!I6*1000)</f>
        <v>426.04677884136805</v>
      </c>
      <c r="J84" s="116">
        <f>IF(TrRoad_act!J6=0,0,J20/TrRoad_act!J6*1000)</f>
        <v>427.44522088577492</v>
      </c>
      <c r="K84" s="116">
        <f>IF(TrRoad_act!K6=0,0,K20/TrRoad_act!K6*1000)</f>
        <v>419.34915299568621</v>
      </c>
      <c r="L84" s="116">
        <f>IF(TrRoad_act!L6=0,0,L20/TrRoad_act!L6*1000)</f>
        <v>423.24163543797556</v>
      </c>
      <c r="M84" s="116">
        <f>IF(TrRoad_act!M6=0,0,M20/TrRoad_act!M6*1000)</f>
        <v>445.86288505254691</v>
      </c>
      <c r="N84" s="116">
        <f>IF(TrRoad_act!N6=0,0,N20/TrRoad_act!N6*1000)</f>
        <v>435.58620902964242</v>
      </c>
      <c r="O84" s="116">
        <f>IF(TrRoad_act!O6=0,0,O20/TrRoad_act!O6*1000)</f>
        <v>402.03256944323891</v>
      </c>
      <c r="P84" s="116">
        <f>IF(TrRoad_act!P6=0,0,P20/TrRoad_act!P6*1000)</f>
        <v>378.86018914583821</v>
      </c>
      <c r="Q84" s="116">
        <f>IF(TrRoad_act!Q6=0,0,Q20/TrRoad_act!Q6*1000)</f>
        <v>353.08732132808711</v>
      </c>
      <c r="R84" s="116">
        <f>IF(TrRoad_act!R6=0,0,R20/TrRoad_act!R6*1000)</f>
        <v>332.10171933100213</v>
      </c>
      <c r="S84" s="116">
        <f>IF(TrRoad_act!S6=0,0,S20/TrRoad_act!S6*1000)</f>
        <v>322.68758697195824</v>
      </c>
      <c r="T84" s="116">
        <f>IF(TrRoad_act!T6=0,0,T20/TrRoad_act!T6*1000)</f>
        <v>328.48274591594782</v>
      </c>
      <c r="U84" s="116">
        <f>IF(TrRoad_act!U6=0,0,U20/TrRoad_act!U6*1000)</f>
        <v>314.42026876140761</v>
      </c>
      <c r="V84" s="116">
        <f>IF(TrRoad_act!V6=0,0,V20/TrRoad_act!V6*1000)</f>
        <v>263.49510229746141</v>
      </c>
      <c r="W84" s="116">
        <f>IF(TrRoad_act!W6=0,0,W20/TrRoad_act!W6*1000)</f>
        <v>275.5126881268589</v>
      </c>
      <c r="X84" s="116">
        <f>IF(TrRoad_act!X6=0,0,X20/TrRoad_act!X6*1000)</f>
        <v>268.38519309839631</v>
      </c>
      <c r="Y84" s="116">
        <f>IF(TrRoad_act!Y6=0,0,Y20/TrRoad_act!Y6*1000)</f>
        <v>265.71726392672639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462.02827361683421</v>
      </c>
      <c r="C85" s="87">
        <f>IF(TrRoad_act!C7=0,0,C21/TrRoad_act!C7*1000)</f>
        <v>466.24160252082339</v>
      </c>
      <c r="D85" s="87">
        <f>IF(TrRoad_act!D7=0,0,D21/TrRoad_act!D7*1000)</f>
        <v>476.13447836679222</v>
      </c>
      <c r="E85" s="87">
        <f>IF(TrRoad_act!E7=0,0,E21/TrRoad_act!E7*1000)</f>
        <v>504.71737785542894</v>
      </c>
      <c r="F85" s="87">
        <f>IF(TrRoad_act!F7=0,0,F21/TrRoad_act!F7*1000)</f>
        <v>520.949234400774</v>
      </c>
      <c r="G85" s="87">
        <f>IF(TrRoad_act!G7=0,0,G21/TrRoad_act!G7*1000)</f>
        <v>497.90217428146815</v>
      </c>
      <c r="H85" s="87">
        <f>IF(TrRoad_act!H7=0,0,H21/TrRoad_act!H7*1000)</f>
        <v>472.09787992683573</v>
      </c>
      <c r="I85" s="87">
        <f>IF(TrRoad_act!I7=0,0,I21/TrRoad_act!I7*1000)</f>
        <v>472.74999737306325</v>
      </c>
      <c r="J85" s="87">
        <f>IF(TrRoad_act!J7=0,0,J21/TrRoad_act!J7*1000)</f>
        <v>462.0935373080639</v>
      </c>
      <c r="K85" s="87">
        <f>IF(TrRoad_act!K7=0,0,K21/TrRoad_act!K7*1000)</f>
        <v>448.02475238108207</v>
      </c>
      <c r="L85" s="87">
        <f>IF(TrRoad_act!L7=0,0,L21/TrRoad_act!L7*1000)</f>
        <v>446.22025315276846</v>
      </c>
      <c r="M85" s="87">
        <f>IF(TrRoad_act!M7=0,0,M21/TrRoad_act!M7*1000)</f>
        <v>452.92895695794482</v>
      </c>
      <c r="N85" s="87">
        <f>IF(TrRoad_act!N7=0,0,N21/TrRoad_act!N7*1000)</f>
        <v>440.8716513766754</v>
      </c>
      <c r="O85" s="87">
        <f>IF(TrRoad_act!O7=0,0,O21/TrRoad_act!O7*1000)</f>
        <v>408.37478465222381</v>
      </c>
      <c r="P85" s="87">
        <f>IF(TrRoad_act!P7=0,0,P21/TrRoad_act!P7*1000)</f>
        <v>387.21216357608432</v>
      </c>
      <c r="Q85" s="87">
        <f>IF(TrRoad_act!Q7=0,0,Q21/TrRoad_act!Q7*1000)</f>
        <v>353.46373464095655</v>
      </c>
      <c r="R85" s="87">
        <f>IF(TrRoad_act!R7=0,0,R21/TrRoad_act!R7*1000)</f>
        <v>324.04014769354069</v>
      </c>
      <c r="S85" s="87">
        <f>IF(TrRoad_act!S7=0,0,S21/TrRoad_act!S7*1000)</f>
        <v>315.75494235612751</v>
      </c>
      <c r="T85" s="87">
        <f>IF(TrRoad_act!T7=0,0,T21/TrRoad_act!T7*1000)</f>
        <v>314.5873449261602</v>
      </c>
      <c r="U85" s="87">
        <f>IF(TrRoad_act!U7=0,0,U21/TrRoad_act!U7*1000)</f>
        <v>300.66889648728528</v>
      </c>
      <c r="V85" s="87">
        <f>IF(TrRoad_act!V7=0,0,V21/TrRoad_act!V7*1000)</f>
        <v>247.95377027587722</v>
      </c>
      <c r="W85" s="87">
        <f>IF(TrRoad_act!W7=0,0,W21/TrRoad_act!W7*1000)</f>
        <v>273.99805221666861</v>
      </c>
      <c r="X85" s="87">
        <f>IF(TrRoad_act!X7=0,0,X21/TrRoad_act!X7*1000)</f>
        <v>259.54558720484727</v>
      </c>
      <c r="Y85" s="87">
        <f>IF(TrRoad_act!Y7=0,0,Y21/TrRoad_act!Y7*1000)</f>
        <v>270.20761413687029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495.94028652030198</v>
      </c>
      <c r="C86" s="87">
        <f>IF(TrRoad_act!C8=0,0,C22/TrRoad_act!C8*1000)</f>
        <v>473.9267494611214</v>
      </c>
      <c r="D86" s="87">
        <f>IF(TrRoad_act!D8=0,0,D22/TrRoad_act!D8*1000)</f>
        <v>466.18779203264216</v>
      </c>
      <c r="E86" s="87">
        <f>IF(TrRoad_act!E8=0,0,E22/TrRoad_act!E8*1000)</f>
        <v>480.19121375161706</v>
      </c>
      <c r="F86" s="87">
        <f>IF(TrRoad_act!F8=0,0,F22/TrRoad_act!F8*1000)</f>
        <v>470.13983252034421</v>
      </c>
      <c r="G86" s="87">
        <f>IF(TrRoad_act!G8=0,0,G22/TrRoad_act!G8*1000)</f>
        <v>435.06746451878001</v>
      </c>
      <c r="H86" s="87">
        <f>IF(TrRoad_act!H8=0,0,H22/TrRoad_act!H8*1000)</f>
        <v>402.34978290327717</v>
      </c>
      <c r="I86" s="87">
        <f>IF(TrRoad_act!I8=0,0,I22/TrRoad_act!I8*1000)</f>
        <v>394.38897060856152</v>
      </c>
      <c r="J86" s="87">
        <f>IF(TrRoad_act!J8=0,0,J22/TrRoad_act!J8*1000)</f>
        <v>405.6986112051739</v>
      </c>
      <c r="K86" s="87">
        <f>IF(TrRoad_act!K8=0,0,K22/TrRoad_act!K8*1000)</f>
        <v>403.47511355411962</v>
      </c>
      <c r="L86" s="87">
        <f>IF(TrRoad_act!L8=0,0,L22/TrRoad_act!L8*1000)</f>
        <v>411.84263783152238</v>
      </c>
      <c r="M86" s="87">
        <f>IF(TrRoad_act!M8=0,0,M22/TrRoad_act!M8*1000)</f>
        <v>444.15887898055473</v>
      </c>
      <c r="N86" s="87">
        <f>IF(TrRoad_act!N8=0,0,N22/TrRoad_act!N8*1000)</f>
        <v>434.16050881292807</v>
      </c>
      <c r="O86" s="87">
        <f>IF(TrRoad_act!O8=0,0,O22/TrRoad_act!O8*1000)</f>
        <v>400.81219371694891</v>
      </c>
      <c r="P86" s="87">
        <f>IF(TrRoad_act!P8=0,0,P22/TrRoad_act!P8*1000)</f>
        <v>376.88931572457494</v>
      </c>
      <c r="Q86" s="87">
        <f>IF(TrRoad_act!Q8=0,0,Q22/TrRoad_act!Q8*1000)</f>
        <v>355.19038237478867</v>
      </c>
      <c r="R86" s="87">
        <f>IF(TrRoad_act!R8=0,0,R22/TrRoad_act!R8*1000)</f>
        <v>338.44019643708668</v>
      </c>
      <c r="S86" s="87">
        <f>IF(TrRoad_act!S8=0,0,S22/TrRoad_act!S8*1000)</f>
        <v>329.14296215710215</v>
      </c>
      <c r="T86" s="87">
        <f>IF(TrRoad_act!T8=0,0,T22/TrRoad_act!T8*1000)</f>
        <v>340.02930120706816</v>
      </c>
      <c r="U86" s="87">
        <f>IF(TrRoad_act!U8=0,0,U22/TrRoad_act!U8*1000)</f>
        <v>328.7143616020453</v>
      </c>
      <c r="V86" s="87">
        <f>IF(TrRoad_act!V8=0,0,V22/TrRoad_act!V8*1000)</f>
        <v>282.48757266764324</v>
      </c>
      <c r="W86" s="87">
        <f>IF(TrRoad_act!W8=0,0,W22/TrRoad_act!W8*1000)</f>
        <v>293.02773536199237</v>
      </c>
      <c r="X86" s="87">
        <f>IF(TrRoad_act!X8=0,0,X22/TrRoad_act!X8*1000)</f>
        <v>301.75106453128154</v>
      </c>
      <c r="Y86" s="87">
        <f>IF(TrRoad_act!Y8=0,0,Y22/TrRoad_act!Y8*1000)</f>
        <v>303.31112516974179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135.91516736830718</v>
      </c>
      <c r="C87" s="87">
        <f>IF(TrRoad_act!C9=0,0,C23/TrRoad_act!C9*1000)</f>
        <v>173.47554753495368</v>
      </c>
      <c r="D87" s="87">
        <f>IF(TrRoad_act!D9=0,0,D23/TrRoad_act!D9*1000)</f>
        <v>224.29974885528992</v>
      </c>
      <c r="E87" s="87">
        <f>IF(TrRoad_act!E9=0,0,E23/TrRoad_act!E9*1000)</f>
        <v>180.18149220188516</v>
      </c>
      <c r="F87" s="87">
        <f>IF(TrRoad_act!F9=0,0,F23/TrRoad_act!F9*1000)</f>
        <v>192.12178891790816</v>
      </c>
      <c r="G87" s="87">
        <f>IF(TrRoad_act!G9=0,0,G23/TrRoad_act!G9*1000)</f>
        <v>134.72481404769201</v>
      </c>
      <c r="H87" s="87">
        <f>IF(TrRoad_act!H9=0,0,H23/TrRoad_act!H9*1000)</f>
        <v>135.2109006962659</v>
      </c>
      <c r="I87" s="87">
        <f>IF(TrRoad_act!I9=0,0,I23/TrRoad_act!I9*1000)</f>
        <v>283.78709848933977</v>
      </c>
      <c r="J87" s="87">
        <f>IF(TrRoad_act!J9=0,0,J23/TrRoad_act!J9*1000)</f>
        <v>279.48546517394266</v>
      </c>
      <c r="K87" s="87">
        <f>IF(TrRoad_act!K9=0,0,K23/TrRoad_act!K9*1000)</f>
        <v>177.02591006730668</v>
      </c>
      <c r="L87" s="87">
        <f>IF(TrRoad_act!L9=0,0,L23/TrRoad_act!L9*1000)</f>
        <v>186.38405782186211</v>
      </c>
      <c r="M87" s="87">
        <f>IF(TrRoad_act!M9=0,0,M23/TrRoad_act!M9*1000)</f>
        <v>90.119293191128733</v>
      </c>
      <c r="N87" s="87">
        <f>IF(TrRoad_act!N9=0,0,N23/TrRoad_act!N9*1000)</f>
        <v>247.72207017642407</v>
      </c>
      <c r="O87" s="87">
        <f>IF(TrRoad_act!O9=0,0,O23/TrRoad_act!O9*1000)</f>
        <v>153.61784790591884</v>
      </c>
      <c r="P87" s="87">
        <f>IF(TrRoad_act!P9=0,0,P23/TrRoad_act!P9*1000)</f>
        <v>175.48144450340345</v>
      </c>
      <c r="Q87" s="87">
        <f>IF(TrRoad_act!Q9=0,0,Q23/TrRoad_act!Q9*1000)</f>
        <v>86.056186497685545</v>
      </c>
      <c r="R87" s="87">
        <f>IF(TrRoad_act!R9=0,0,R23/TrRoad_act!R9*1000)</f>
        <v>93.615815864123931</v>
      </c>
      <c r="S87" s="87">
        <f>IF(TrRoad_act!S9=0,0,S23/TrRoad_act!S9*1000)</f>
        <v>93.843597236627858</v>
      </c>
      <c r="T87" s="87">
        <f>IF(TrRoad_act!T9=0,0,T23/TrRoad_act!T9*1000)</f>
        <v>144.75126831049681</v>
      </c>
      <c r="U87" s="87">
        <f>IF(TrRoad_act!U9=0,0,U23/TrRoad_act!U9*1000)</f>
        <v>186.64303325046896</v>
      </c>
      <c r="V87" s="87">
        <f>IF(TrRoad_act!V9=0,0,V23/TrRoad_act!V9*1000)</f>
        <v>59.440424819593801</v>
      </c>
      <c r="W87" s="87">
        <f>IF(TrRoad_act!W9=0,0,W23/TrRoad_act!W9*1000)</f>
        <v>131.81848334976956</v>
      </c>
      <c r="X87" s="87">
        <f>IF(TrRoad_act!X9=0,0,X23/TrRoad_act!X9*1000)</f>
        <v>124.99546221422176</v>
      </c>
      <c r="Y87" s="87">
        <f>IF(TrRoad_act!Y9=0,0,Y23/TrRoad_act!Y9*1000)</f>
        <v>177.26936194523583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X88" s="87">
        <f>IF(TrRoad_act!X10=0,0,X24/TrRoad_act!X10*1000)</f>
        <v>0</v>
      </c>
      <c r="Y88" s="87">
        <f>IF(TrRoad_act!Y10=0,0,Y24/TrRoad_act!Y10*1000)</f>
        <v>0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237.34038359157822</v>
      </c>
      <c r="O89" s="87">
        <f>IF(TrRoad_act!O11=0,0,O25/TrRoad_act!O11*1000)</f>
        <v>229.9703841401965</v>
      </c>
      <c r="P89" s="87">
        <f>IF(TrRoad_act!P11=0,0,P25/TrRoad_act!P11*1000)</f>
        <v>205.4269856494472</v>
      </c>
      <c r="Q89" s="87">
        <f>IF(TrRoad_act!Q11=0,0,Q25/TrRoad_act!Q11*1000)</f>
        <v>190.57184526786185</v>
      </c>
      <c r="R89" s="87">
        <f>IF(TrRoad_act!R11=0,0,R25/TrRoad_act!R11*1000)</f>
        <v>159.75015348030507</v>
      </c>
      <c r="S89" s="87">
        <f>IF(TrRoad_act!S11=0,0,S25/TrRoad_act!S11*1000)</f>
        <v>112.73192638751033</v>
      </c>
      <c r="T89" s="87">
        <f>IF(TrRoad_act!T11=0,0,T25/TrRoad_act!T11*1000)</f>
        <v>113.6298766451177</v>
      </c>
      <c r="U89" s="87">
        <f>IF(TrRoad_act!U11=0,0,U25/TrRoad_act!U11*1000)</f>
        <v>111.21883680226202</v>
      </c>
      <c r="V89" s="87">
        <f>IF(TrRoad_act!V11=0,0,V25/TrRoad_act!V11*1000)</f>
        <v>78.907323966360522</v>
      </c>
      <c r="W89" s="87">
        <f>IF(TrRoad_act!W11=0,0,W25/TrRoad_act!W11*1000)</f>
        <v>76.950239141036192</v>
      </c>
      <c r="X89" s="87">
        <f>IF(TrRoad_act!X11=0,0,X25/TrRoad_act!X11*1000)</f>
        <v>67.903761788528996</v>
      </c>
      <c r="Y89" s="87">
        <f>IF(TrRoad_act!Y11=0,0,Y25/TrRoad_act!Y11*1000)</f>
        <v>66.512610551208539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121.96104134337767</v>
      </c>
      <c r="C91" s="116">
        <f>IF(TrRoad_act!C13=0,0,C27/TrRoad_act!C13*1000)</f>
        <v>118.24388111633553</v>
      </c>
      <c r="D91" s="116">
        <f>IF(TrRoad_act!D13=0,0,D27/TrRoad_act!D13*1000)</f>
        <v>114.6487182041874</v>
      </c>
      <c r="E91" s="116">
        <f>IF(TrRoad_act!E13=0,0,E27/TrRoad_act!E13*1000)</f>
        <v>112.1272809143947</v>
      </c>
      <c r="F91" s="116">
        <f>IF(TrRoad_act!F13=0,0,F27/TrRoad_act!F13*1000)</f>
        <v>107.79629364214331</v>
      </c>
      <c r="G91" s="116">
        <f>IF(TrRoad_act!G13=0,0,G27/TrRoad_act!G13*1000)</f>
        <v>106.19023085987894</v>
      </c>
      <c r="H91" s="116">
        <f>IF(TrRoad_act!H13=0,0,H27/TrRoad_act!H13*1000)</f>
        <v>103.09505573672428</v>
      </c>
      <c r="I91" s="116">
        <f>IF(TrRoad_act!I13=0,0,I27/TrRoad_act!I13*1000)</f>
        <v>98.39153172588783</v>
      </c>
      <c r="J91" s="116">
        <f>IF(TrRoad_act!J13=0,0,J27/TrRoad_act!J13*1000)</f>
        <v>96.161207659857936</v>
      </c>
      <c r="K91" s="116">
        <f>IF(TrRoad_act!K13=0,0,K27/TrRoad_act!K13*1000)</f>
        <v>98.927377723592514</v>
      </c>
      <c r="L91" s="116">
        <f>IF(TrRoad_act!L13=0,0,L27/TrRoad_act!L13*1000)</f>
        <v>97.691314707158909</v>
      </c>
      <c r="M91" s="116">
        <f>IF(TrRoad_act!M13=0,0,M27/TrRoad_act!M13*1000)</f>
        <v>95.767224766987695</v>
      </c>
      <c r="N91" s="116">
        <f>IF(TrRoad_act!N13=0,0,N27/TrRoad_act!N13*1000)</f>
        <v>93.74825886243211</v>
      </c>
      <c r="O91" s="116">
        <f>IF(TrRoad_act!O13=0,0,O27/TrRoad_act!O13*1000)</f>
        <v>92.029507733781131</v>
      </c>
      <c r="P91" s="116">
        <f>IF(TrRoad_act!P13=0,0,P27/TrRoad_act!P13*1000)</f>
        <v>89.910328632729019</v>
      </c>
      <c r="Q91" s="116">
        <f>IF(TrRoad_act!Q13=0,0,Q27/TrRoad_act!Q13*1000)</f>
        <v>87.593553605095323</v>
      </c>
      <c r="R91" s="116">
        <f>IF(TrRoad_act!R13=0,0,R27/TrRoad_act!R13*1000)</f>
        <v>87.747746955254897</v>
      </c>
      <c r="S91" s="116">
        <f>IF(TrRoad_act!S13=0,0,S27/TrRoad_act!S13*1000)</f>
        <v>86.475086754174043</v>
      </c>
      <c r="T91" s="116">
        <f>IF(TrRoad_act!T13=0,0,T27/TrRoad_act!T13*1000)</f>
        <v>85.174434817795273</v>
      </c>
      <c r="U91" s="116">
        <f>IF(TrRoad_act!U13=0,0,U27/TrRoad_act!U13*1000)</f>
        <v>81.112567296106221</v>
      </c>
      <c r="V91" s="116">
        <f>IF(TrRoad_act!V13=0,0,V27/TrRoad_act!V13*1000)</f>
        <v>111.16426193189299</v>
      </c>
      <c r="W91" s="116">
        <f>IF(TrRoad_act!W13=0,0,W27/TrRoad_act!W13*1000)</f>
        <v>101.12251628107053</v>
      </c>
      <c r="X91" s="116">
        <f>IF(TrRoad_act!X13=0,0,X27/TrRoad_act!X13*1000)</f>
        <v>65.361377068148187</v>
      </c>
      <c r="Y91" s="116">
        <f>IF(TrRoad_act!Y13=0,0,Y27/TrRoad_act!Y13*1000)</f>
        <v>54.142605367626523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53.533898284870681</v>
      </c>
      <c r="U92" s="101">
        <f>IF(TrRoad_act!U14=0,0,U28/TrRoad_act!U14*1000)</f>
        <v>52.571017977077823</v>
      </c>
      <c r="V92" s="101">
        <f>IF(TrRoad_act!V14=0,0,V28/TrRoad_act!V14*1000)</f>
        <v>56.99727891138626</v>
      </c>
      <c r="W92" s="101">
        <f>IF(TrRoad_act!W14=0,0,W28/TrRoad_act!W14*1000)</f>
        <v>54.75082265126084</v>
      </c>
      <c r="X92" s="101">
        <f>IF(TrRoad_act!X14=0,0,X28/TrRoad_act!X14*1000)</f>
        <v>49.352961163935028</v>
      </c>
      <c r="Y92" s="101">
        <f>IF(TrRoad_act!Y14=0,0,Y28/TrRoad_act!Y14*1000)</f>
        <v>44.101985150376777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121.96104134337767</v>
      </c>
      <c r="C93" s="101">
        <f>IF(TrRoad_act!C15=0,0,C29/TrRoad_act!C15*1000)</f>
        <v>118.24388111633553</v>
      </c>
      <c r="D93" s="101">
        <f>IF(TrRoad_act!D15=0,0,D29/TrRoad_act!D15*1000)</f>
        <v>114.6487182041874</v>
      </c>
      <c r="E93" s="101">
        <f>IF(TrRoad_act!E15=0,0,E29/TrRoad_act!E15*1000)</f>
        <v>112.43030696568279</v>
      </c>
      <c r="F93" s="101">
        <f>IF(TrRoad_act!F15=0,0,F29/TrRoad_act!F15*1000)</f>
        <v>108.08337248227021</v>
      </c>
      <c r="G93" s="101">
        <f>IF(TrRoad_act!G15=0,0,G29/TrRoad_act!G15*1000)</f>
        <v>106.46286874067569</v>
      </c>
      <c r="H93" s="101">
        <f>IF(TrRoad_act!H15=0,0,H29/TrRoad_act!H15*1000)</f>
        <v>103.3572635483506</v>
      </c>
      <c r="I93" s="101">
        <f>IF(TrRoad_act!I15=0,0,I29/TrRoad_act!I15*1000)</f>
        <v>98.632986098645134</v>
      </c>
      <c r="J93" s="101">
        <f>IF(TrRoad_act!J15=0,0,J29/TrRoad_act!J15*1000)</f>
        <v>96.387374690699943</v>
      </c>
      <c r="K93" s="101">
        <f>IF(TrRoad_act!K15=0,0,K29/TrRoad_act!K15*1000)</f>
        <v>99.077626397299696</v>
      </c>
      <c r="L93" s="101">
        <f>IF(TrRoad_act!L15=0,0,L29/TrRoad_act!L15*1000)</f>
        <v>97.835648357729596</v>
      </c>
      <c r="M93" s="101">
        <f>IF(TrRoad_act!M15=0,0,M29/TrRoad_act!M15*1000)</f>
        <v>95.90547163981168</v>
      </c>
      <c r="N93" s="101">
        <f>IF(TrRoad_act!N15=0,0,N29/TrRoad_act!N15*1000)</f>
        <v>93.884172848377858</v>
      </c>
      <c r="O93" s="101">
        <f>IF(TrRoad_act!O15=0,0,O29/TrRoad_act!O15*1000)</f>
        <v>92.162721259620199</v>
      </c>
      <c r="P93" s="101">
        <f>IF(TrRoad_act!P15=0,0,P29/TrRoad_act!P15*1000)</f>
        <v>90.041716754072354</v>
      </c>
      <c r="Q93" s="101">
        <f>IF(TrRoad_act!Q15=0,0,Q29/TrRoad_act!Q15*1000)</f>
        <v>87.71839592861005</v>
      </c>
      <c r="R93" s="101">
        <f>IF(TrRoad_act!R15=0,0,R29/TrRoad_act!R15*1000)</f>
        <v>87.870796837207862</v>
      </c>
      <c r="S93" s="101">
        <f>IF(TrRoad_act!S15=0,0,S29/TrRoad_act!S15*1000)</f>
        <v>86.946826863117252</v>
      </c>
      <c r="T93" s="101">
        <f>IF(TrRoad_act!T15=0,0,T29/TrRoad_act!T15*1000)</f>
        <v>87.082075025840979</v>
      </c>
      <c r="U93" s="101">
        <f>IF(TrRoad_act!U15=0,0,U29/TrRoad_act!U15*1000)</f>
        <v>87.092273651558514</v>
      </c>
      <c r="V93" s="101">
        <f>IF(TrRoad_act!V15=0,0,V29/TrRoad_act!V15*1000)</f>
        <v>122.57616562178212</v>
      </c>
      <c r="W93" s="101">
        <f>IF(TrRoad_act!W15=0,0,W29/TrRoad_act!W15*1000)</f>
        <v>114.17587921562162</v>
      </c>
      <c r="X93" s="101">
        <f>IF(TrRoad_act!X15=0,0,X29/TrRoad_act!X15*1000)</f>
        <v>82.161315351600365</v>
      </c>
      <c r="Y93" s="101">
        <f>IF(TrRoad_act!Y15=0,0,Y29/TrRoad_act!Y15*1000)</f>
        <v>72.40261364502031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X95" s="101">
        <f>IF(TrRoad_act!X17=0,0,X31/TrRoad_act!X17*1000)</f>
        <v>0</v>
      </c>
      <c r="Y95" s="101">
        <f>IF(TrRoad_act!Y17=0,0,Y31/TrRoad_act!Y17*1000)</f>
        <v>0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1390.2912801462321</v>
      </c>
      <c r="C97" s="29">
        <f>IF(TrRoad_act!C19=0,0,C33/TrRoad_act!C19*1000)</f>
        <v>1367.7893848312119</v>
      </c>
      <c r="D97" s="29">
        <f>IF(TrRoad_act!D19=0,0,D33/TrRoad_act!D19*1000)</f>
        <v>1319.8986378111335</v>
      </c>
      <c r="E97" s="29">
        <f>IF(TrRoad_act!E19=0,0,E33/TrRoad_act!E19*1000)</f>
        <v>1527.6961312870437</v>
      </c>
      <c r="F97" s="29">
        <f>IF(TrRoad_act!F19=0,0,F33/TrRoad_act!F19*1000)</f>
        <v>1851.9649368788441</v>
      </c>
      <c r="G97" s="29">
        <f>IF(TrRoad_act!G19=0,0,G33/TrRoad_act!G19*1000)</f>
        <v>2098.462262749706</v>
      </c>
      <c r="H97" s="29">
        <f>IF(TrRoad_act!H19=0,0,H33/TrRoad_act!H19*1000)</f>
        <v>1977.487728929166</v>
      </c>
      <c r="I97" s="29">
        <f>IF(TrRoad_act!I19=0,0,I33/TrRoad_act!I19*1000)</f>
        <v>1736.7740202602649</v>
      </c>
      <c r="J97" s="29">
        <f>IF(TrRoad_act!J19=0,0,J33/TrRoad_act!J19*1000)</f>
        <v>1612.6372537430277</v>
      </c>
      <c r="K97" s="29">
        <f>IF(TrRoad_act!K19=0,0,K33/TrRoad_act!K19*1000)</f>
        <v>1556.3086405966972</v>
      </c>
      <c r="L97" s="29">
        <f>IF(TrRoad_act!L19=0,0,L33/TrRoad_act!L19*1000)</f>
        <v>1639.8551495503966</v>
      </c>
      <c r="M97" s="29">
        <f>IF(TrRoad_act!M19=0,0,M33/TrRoad_act!M19*1000)</f>
        <v>1685.5027470699329</v>
      </c>
      <c r="N97" s="29">
        <f>IF(TrRoad_act!N19=0,0,N33/TrRoad_act!N19*1000)</f>
        <v>1236.8366395676665</v>
      </c>
      <c r="O97" s="29">
        <f>IF(TrRoad_act!O19=0,0,O33/TrRoad_act!O19*1000)</f>
        <v>1378.4373860062531</v>
      </c>
      <c r="P97" s="29">
        <f>IF(TrRoad_act!P19=0,0,P33/TrRoad_act!P19*1000)</f>
        <v>1094.1085242078502</v>
      </c>
      <c r="Q97" s="29">
        <f>IF(TrRoad_act!Q19=0,0,Q33/TrRoad_act!Q19*1000)</f>
        <v>1143.2647174561607</v>
      </c>
      <c r="R97" s="29">
        <f>IF(TrRoad_act!R19=0,0,R33/TrRoad_act!R19*1000)</f>
        <v>1032.6748412720522</v>
      </c>
      <c r="S97" s="29">
        <f>IF(TrRoad_act!S19=0,0,S33/TrRoad_act!S19*1000)</f>
        <v>1055.9695960133211</v>
      </c>
      <c r="T97" s="29">
        <f>IF(TrRoad_act!T19=0,0,T33/TrRoad_act!T19*1000)</f>
        <v>1342.3338231785447</v>
      </c>
      <c r="U97" s="29">
        <f>IF(TrRoad_act!U19=0,0,U33/TrRoad_act!U19*1000)</f>
        <v>1386.7643619194057</v>
      </c>
      <c r="V97" s="29">
        <f>IF(TrRoad_act!V19=0,0,V33/TrRoad_act!V19*1000)</f>
        <v>1175.2251670380103</v>
      </c>
      <c r="W97" s="29">
        <f>IF(TrRoad_act!W19=0,0,W33/TrRoad_act!W19*1000)</f>
        <v>1098.2587493308026</v>
      </c>
      <c r="X97" s="29">
        <f>IF(TrRoad_act!X19=0,0,X33/TrRoad_act!X19*1000)</f>
        <v>833.69402123247994</v>
      </c>
      <c r="Y97" s="29">
        <f>IF(TrRoad_act!Y19=0,0,Y33/TrRoad_act!Y19*1000)</f>
        <v>839.38899936779706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1451.1592822483328</v>
      </c>
      <c r="C98" s="152">
        <f>IF(TrRoad_act!C20=0,0,C34/TrRoad_act!C20*1000)</f>
        <v>1386.8901304838803</v>
      </c>
      <c r="D98" s="152">
        <f>IF(TrRoad_act!D20=0,0,D34/TrRoad_act!D20*1000)</f>
        <v>1344.0063261594119</v>
      </c>
      <c r="E98" s="152">
        <f>IF(TrRoad_act!E20=0,0,E34/TrRoad_act!E20*1000)</f>
        <v>1311.5510215235838</v>
      </c>
      <c r="F98" s="152">
        <f>IF(TrRoad_act!F20=0,0,F34/TrRoad_act!F20*1000)</f>
        <v>1277.476911805097</v>
      </c>
      <c r="G98" s="152">
        <f>IF(TrRoad_act!G20=0,0,G34/TrRoad_act!G20*1000)</f>
        <v>1250.7926130156209</v>
      </c>
      <c r="H98" s="152">
        <f>IF(TrRoad_act!H20=0,0,H34/TrRoad_act!H20*1000)</f>
        <v>1228.935490037255</v>
      </c>
      <c r="I98" s="152">
        <f>IF(TrRoad_act!I20=0,0,I34/TrRoad_act!I20*1000)</f>
        <v>1183.5393146626366</v>
      </c>
      <c r="J98" s="152">
        <f>IF(TrRoad_act!J20=0,0,J34/TrRoad_act!J20*1000)</f>
        <v>1164.3455059664564</v>
      </c>
      <c r="K98" s="152">
        <f>IF(TrRoad_act!K20=0,0,K34/TrRoad_act!K20*1000)</f>
        <v>1153.1922702698014</v>
      </c>
      <c r="L98" s="152">
        <f>IF(TrRoad_act!L20=0,0,L34/TrRoad_act!L20*1000)</f>
        <v>1154.1700161728547</v>
      </c>
      <c r="M98" s="152">
        <f>IF(TrRoad_act!M20=0,0,M34/TrRoad_act!M20*1000)</f>
        <v>1158.7911151015089</v>
      </c>
      <c r="N98" s="152">
        <f>IF(TrRoad_act!N20=0,0,N34/TrRoad_act!N20*1000)</f>
        <v>1133.9341018043528</v>
      </c>
      <c r="O98" s="152">
        <f>IF(TrRoad_act!O20=0,0,O34/TrRoad_act!O20*1000)</f>
        <v>1109.1716775233403</v>
      </c>
      <c r="P98" s="152">
        <f>IF(TrRoad_act!P20=0,0,P34/TrRoad_act!P20*1000)</f>
        <v>1092.8380161132434</v>
      </c>
      <c r="Q98" s="152">
        <f>IF(TrRoad_act!Q20=0,0,Q34/TrRoad_act!Q20*1000)</f>
        <v>1069.4609885582258</v>
      </c>
      <c r="R98" s="152">
        <f>IF(TrRoad_act!R20=0,0,R34/TrRoad_act!R20*1000)</f>
        <v>1050.060155491376</v>
      </c>
      <c r="S98" s="152">
        <f>IF(TrRoad_act!S20=0,0,S34/TrRoad_act!S20*1000)</f>
        <v>1007.8865309899065</v>
      </c>
      <c r="T98" s="152">
        <f>IF(TrRoad_act!T20=0,0,T34/TrRoad_act!T20*1000)</f>
        <v>990.65522531431748</v>
      </c>
      <c r="U98" s="152">
        <f>IF(TrRoad_act!U20=0,0,U34/TrRoad_act!U20*1000)</f>
        <v>974.48716933713104</v>
      </c>
      <c r="V98" s="152">
        <f>IF(TrRoad_act!V20=0,0,V34/TrRoad_act!V20*1000)</f>
        <v>935.0474677023218</v>
      </c>
      <c r="W98" s="152">
        <f>IF(TrRoad_act!W20=0,0,W34/TrRoad_act!W20*1000)</f>
        <v>935.1812034298664</v>
      </c>
      <c r="X98" s="152">
        <f>IF(TrRoad_act!X20=0,0,X34/TrRoad_act!X20*1000)</f>
        <v>895.99304209832712</v>
      </c>
      <c r="Y98" s="152">
        <f>IF(TrRoad_act!Y20=0,0,Y34/TrRoad_act!Y20*1000)</f>
        <v>879.6570320885528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1538.9121529167769</v>
      </c>
      <c r="C99" s="87">
        <f>IF(TrRoad_act!C21=0,0,C35/TrRoad_act!C21*1000)</f>
        <v>1525.3968524019665</v>
      </c>
      <c r="D99" s="87">
        <f>IF(TrRoad_act!D21=0,0,D35/TrRoad_act!D21*1000)</f>
        <v>1510.7027426178697</v>
      </c>
      <c r="E99" s="87">
        <f>IF(TrRoad_act!E21=0,0,E35/TrRoad_act!E21*1000)</f>
        <v>1481.7732115617985</v>
      </c>
      <c r="F99" s="87">
        <f>IF(TrRoad_act!F21=0,0,F35/TrRoad_act!F21*1000)</f>
        <v>1450.3989293728694</v>
      </c>
      <c r="G99" s="87">
        <f>IF(TrRoad_act!G21=0,0,G35/TrRoad_act!G21*1000)</f>
        <v>1416.2556396824032</v>
      </c>
      <c r="H99" s="87">
        <f>IF(TrRoad_act!H21=0,0,H35/TrRoad_act!H21*1000)</f>
        <v>1381.5055826435575</v>
      </c>
      <c r="I99" s="87">
        <f>IF(TrRoad_act!I21=0,0,I35/TrRoad_act!I21*1000)</f>
        <v>1341.5599664691206</v>
      </c>
      <c r="J99" s="87">
        <f>IF(TrRoad_act!J21=0,0,J35/TrRoad_act!J21*1000)</f>
        <v>1293.8685193987631</v>
      </c>
      <c r="K99" s="87">
        <f>IF(TrRoad_act!K21=0,0,K35/TrRoad_act!K21*1000)</f>
        <v>1241.0885048656294</v>
      </c>
      <c r="L99" s="87">
        <f>IF(TrRoad_act!L21=0,0,L35/TrRoad_act!L21*1000)</f>
        <v>1216.0428872405835</v>
      </c>
      <c r="M99" s="87">
        <f>IF(TrRoad_act!M21=0,0,M35/TrRoad_act!M21*1000)</f>
        <v>1178.4376280960112</v>
      </c>
      <c r="N99" s="87">
        <f>IF(TrRoad_act!N21=0,0,N35/TrRoad_act!N21*1000)</f>
        <v>1169.503202891907</v>
      </c>
      <c r="O99" s="87">
        <f>IF(TrRoad_act!O21=0,0,O35/TrRoad_act!O21*1000)</f>
        <v>1162.1211210848162</v>
      </c>
      <c r="P99" s="87">
        <f>IF(TrRoad_act!P21=0,0,P35/TrRoad_act!P21*1000)</f>
        <v>1159.5681877744801</v>
      </c>
      <c r="Q99" s="87">
        <f>IF(TrRoad_act!Q21=0,0,Q35/TrRoad_act!Q21*1000)</f>
        <v>1143.7389692386339</v>
      </c>
      <c r="R99" s="87">
        <f>IF(TrRoad_act!R21=0,0,R35/TrRoad_act!R21*1000)</f>
        <v>1126.7233028741134</v>
      </c>
      <c r="S99" s="87">
        <f>IF(TrRoad_act!S21=0,0,S35/TrRoad_act!S21*1000)</f>
        <v>1113.8269896784934</v>
      </c>
      <c r="T99" s="87">
        <f>IF(TrRoad_act!T21=0,0,T35/TrRoad_act!T21*1000)</f>
        <v>1095.2952906058918</v>
      </c>
      <c r="U99" s="87">
        <f>IF(TrRoad_act!U21=0,0,U35/TrRoad_act!U21*1000)</f>
        <v>1069.771920474793</v>
      </c>
      <c r="V99" s="87">
        <f>IF(TrRoad_act!V21=0,0,V35/TrRoad_act!V21*1000)</f>
        <v>1053.4846576102284</v>
      </c>
      <c r="W99" s="87">
        <f>IF(TrRoad_act!W21=0,0,W35/TrRoad_act!W21*1000)</f>
        <v>1035.6547217149416</v>
      </c>
      <c r="X99" s="87">
        <f>IF(TrRoad_act!X21=0,0,X35/TrRoad_act!X21*1000)</f>
        <v>995.73897351519452</v>
      </c>
      <c r="Y99" s="87">
        <f>IF(TrRoad_act!Y21=0,0,Y35/TrRoad_act!Y21*1000)</f>
        <v>1009.742455563597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1443.3341226646533</v>
      </c>
      <c r="C100" s="87">
        <f>IF(TrRoad_act!C22=0,0,C36/TrRoad_act!C22*1000)</f>
        <v>1376.742054337951</v>
      </c>
      <c r="D100" s="87">
        <f>IF(TrRoad_act!D22=0,0,D36/TrRoad_act!D22*1000)</f>
        <v>1333.7254277545335</v>
      </c>
      <c r="E100" s="87">
        <f>IF(TrRoad_act!E22=0,0,E36/TrRoad_act!E22*1000)</f>
        <v>1302.5123772592399</v>
      </c>
      <c r="F100" s="87">
        <f>IF(TrRoad_act!F22=0,0,F36/TrRoad_act!F22*1000)</f>
        <v>1269.7819773611477</v>
      </c>
      <c r="G100" s="87">
        <f>IF(TrRoad_act!G22=0,0,G36/TrRoad_act!G22*1000)</f>
        <v>1244.6438764495272</v>
      </c>
      <c r="H100" s="87">
        <f>IF(TrRoad_act!H22=0,0,H36/TrRoad_act!H22*1000)</f>
        <v>1224.1608818232166</v>
      </c>
      <c r="I100" s="87">
        <f>IF(TrRoad_act!I22=0,0,I36/TrRoad_act!I22*1000)</f>
        <v>1179.3267812974445</v>
      </c>
      <c r="J100" s="87">
        <f>IF(TrRoad_act!J22=0,0,J36/TrRoad_act!J22*1000)</f>
        <v>1161.2402447106051</v>
      </c>
      <c r="K100" s="87">
        <f>IF(TrRoad_act!K22=0,0,K36/TrRoad_act!K22*1000)</f>
        <v>1151.5017097014877</v>
      </c>
      <c r="L100" s="87">
        <f>IF(TrRoad_act!L22=0,0,L36/TrRoad_act!L22*1000)</f>
        <v>1153.1339031775074</v>
      </c>
      <c r="M100" s="87">
        <f>IF(TrRoad_act!M22=0,0,M36/TrRoad_act!M22*1000)</f>
        <v>1158.6476851985612</v>
      </c>
      <c r="N100" s="87">
        <f>IF(TrRoad_act!N22=0,0,N36/TrRoad_act!N22*1000)</f>
        <v>1134.128742374679</v>
      </c>
      <c r="O100" s="87">
        <f>IF(TrRoad_act!O22=0,0,O36/TrRoad_act!O22*1000)</f>
        <v>1109.888089443584</v>
      </c>
      <c r="P100" s="87">
        <f>IF(TrRoad_act!P22=0,0,P36/TrRoad_act!P22*1000)</f>
        <v>1093.3455713380865</v>
      </c>
      <c r="Q100" s="87">
        <f>IF(TrRoad_act!Q22=0,0,Q36/TrRoad_act!Q22*1000)</f>
        <v>1070.8214559871392</v>
      </c>
      <c r="R100" s="87">
        <f>IF(TrRoad_act!R22=0,0,R36/TrRoad_act!R22*1000)</f>
        <v>1051.5610905632595</v>
      </c>
      <c r="S100" s="87">
        <f>IF(TrRoad_act!S22=0,0,S36/TrRoad_act!S22*1000)</f>
        <v>1009.5848956199243</v>
      </c>
      <c r="T100" s="87">
        <f>IF(TrRoad_act!T22=0,0,T36/TrRoad_act!T22*1000)</f>
        <v>992.98522863785161</v>
      </c>
      <c r="U100" s="87">
        <f>IF(TrRoad_act!U22=0,0,U36/TrRoad_act!U22*1000)</f>
        <v>977.47610058294106</v>
      </c>
      <c r="V100" s="87">
        <f>IF(TrRoad_act!V22=0,0,V36/TrRoad_act!V22*1000)</f>
        <v>938.89523065996377</v>
      </c>
      <c r="W100" s="87">
        <f>IF(TrRoad_act!W22=0,0,W36/TrRoad_act!W22*1000)</f>
        <v>941.1334318839946</v>
      </c>
      <c r="X100" s="87">
        <f>IF(TrRoad_act!X22=0,0,X36/TrRoad_act!X22*1000)</f>
        <v>907.15465013536254</v>
      </c>
      <c r="Y100" s="87">
        <f>IF(TrRoad_act!Y22=0,0,Y36/TrRoad_act!Y22*1000)</f>
        <v>896.68797434344015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1614.825094535154</v>
      </c>
      <c r="P101" s="87">
        <f>IF(TrRoad_act!P23=0,0,P37/TrRoad_act!P23*1000)</f>
        <v>1850.3950421230454</v>
      </c>
      <c r="Q101" s="87">
        <f>IF(TrRoad_act!Q23=0,0,Q37/TrRoad_act!Q23*1000)</f>
        <v>1392.3742855480468</v>
      </c>
      <c r="R101" s="87">
        <f>IF(TrRoad_act!R23=0,0,R37/TrRoad_act!R23*1000)</f>
        <v>1391.8021298349215</v>
      </c>
      <c r="S101" s="87">
        <f>IF(TrRoad_act!S23=0,0,S37/TrRoad_act!S23*1000)</f>
        <v>1357.5409462442076</v>
      </c>
      <c r="T101" s="87">
        <f>IF(TrRoad_act!T23=0,0,T37/TrRoad_act!T23*1000)</f>
        <v>1555.9848355774789</v>
      </c>
      <c r="U101" s="87">
        <f>IF(TrRoad_act!U23=0,0,U37/TrRoad_act!U23*1000)</f>
        <v>1689.8075617458612</v>
      </c>
      <c r="V101" s="87">
        <f>IF(TrRoad_act!V23=0,0,V37/TrRoad_act!V23*1000)</f>
        <v>1071.5915865178185</v>
      </c>
      <c r="W101" s="87">
        <f>IF(TrRoad_act!W23=0,0,W37/TrRoad_act!W23*1000)</f>
        <v>1174.5699139446035</v>
      </c>
      <c r="X101" s="87">
        <f>IF(TrRoad_act!X23=0,0,X37/TrRoad_act!X23*1000)</f>
        <v>1110.5009243499392</v>
      </c>
      <c r="Y101" s="87">
        <f>IF(TrRoad_act!Y23=0,0,Y37/TrRoad_act!Y23*1000)</f>
        <v>1600.6160889449325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X102" s="87">
        <f>IF(TrRoad_act!X24=0,0,X38/TrRoad_act!X24*1000)</f>
        <v>0</v>
      </c>
      <c r="Y102" s="87">
        <f>IF(TrRoad_act!Y24=0,0,Y38/TrRoad_act!Y24*1000)</f>
        <v>0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1387.2785845921237</v>
      </c>
      <c r="C104" s="116">
        <f>IF(TrRoad_act!C26=0,0,C40/TrRoad_act!C26*1000)</f>
        <v>1366.8622430713333</v>
      </c>
      <c r="D104" s="116">
        <f>IF(TrRoad_act!D26=0,0,D40/TrRoad_act!D26*1000)</f>
        <v>1318.7562137115049</v>
      </c>
      <c r="E104" s="116">
        <f>IF(TrRoad_act!E26=0,0,E40/TrRoad_act!E26*1000)</f>
        <v>1538.3976201155851</v>
      </c>
      <c r="F104" s="116">
        <f>IF(TrRoad_act!F26=0,0,F40/TrRoad_act!F26*1000)</f>
        <v>1879.1837766769941</v>
      </c>
      <c r="G104" s="116">
        <f>IF(TrRoad_act!G26=0,0,G40/TrRoad_act!G26*1000)</f>
        <v>2141.0715219235017</v>
      </c>
      <c r="H104" s="116">
        <f>IF(TrRoad_act!H26=0,0,H40/TrRoad_act!H26*1000)</f>
        <v>2016.8619261371905</v>
      </c>
      <c r="I104" s="116">
        <f>IF(TrRoad_act!I26=0,0,I40/TrRoad_act!I26*1000)</f>
        <v>1766.6717155788799</v>
      </c>
      <c r="J104" s="116">
        <f>IF(TrRoad_act!J26=0,0,J40/TrRoad_act!J26*1000)</f>
        <v>1636.3475771374017</v>
      </c>
      <c r="K104" s="116">
        <f>IF(TrRoad_act!K26=0,0,K40/TrRoad_act!K26*1000)</f>
        <v>1580.270198223209</v>
      </c>
      <c r="L104" s="116">
        <f>IF(TrRoad_act!L26=0,0,L40/TrRoad_act!L26*1000)</f>
        <v>1667.9262910153984</v>
      </c>
      <c r="M104" s="116">
        <f>IF(TrRoad_act!M26=0,0,M40/TrRoad_act!M26*1000)</f>
        <v>1716.8554146734223</v>
      </c>
      <c r="N104" s="116">
        <f>IF(TrRoad_act!N26=0,0,N40/TrRoad_act!N26*1000)</f>
        <v>1241.8687473203777</v>
      </c>
      <c r="O104" s="116">
        <f>IF(TrRoad_act!O26=0,0,O40/TrRoad_act!O26*1000)</f>
        <v>1393.5559697063627</v>
      </c>
      <c r="P104" s="116">
        <f>IF(TrRoad_act!P26=0,0,P40/TrRoad_act!P26*1000)</f>
        <v>1094.1721045102479</v>
      </c>
      <c r="Q104" s="116">
        <f>IF(TrRoad_act!Q26=0,0,Q40/TrRoad_act!Q26*1000)</f>
        <v>1147.7804070827031</v>
      </c>
      <c r="R104" s="116">
        <f>IF(TrRoad_act!R26=0,0,R40/TrRoad_act!R26*1000)</f>
        <v>1031.6274771484443</v>
      </c>
      <c r="S104" s="116">
        <f>IF(TrRoad_act!S26=0,0,S40/TrRoad_act!S26*1000)</f>
        <v>1058.9339311450312</v>
      </c>
      <c r="T104" s="116">
        <f>IF(TrRoad_act!T26=0,0,T40/TrRoad_act!T26*1000)</f>
        <v>1369.0786021652384</v>
      </c>
      <c r="U104" s="116">
        <f>IF(TrRoad_act!U26=0,0,U40/TrRoad_act!U26*1000)</f>
        <v>1418.1788900092554</v>
      </c>
      <c r="V104" s="116">
        <f>IF(TrRoad_act!V26=0,0,V40/TrRoad_act!V26*1000)</f>
        <v>1196.4072266083119</v>
      </c>
      <c r="W104" s="116">
        <f>IF(TrRoad_act!W26=0,0,W40/TrRoad_act!W26*1000)</f>
        <v>1111.770960348035</v>
      </c>
      <c r="X104" s="116">
        <f>IF(TrRoad_act!X26=0,0,X40/TrRoad_act!X26*1000)</f>
        <v>828.85441250718259</v>
      </c>
      <c r="Y104" s="116">
        <f>IF(TrRoad_act!Y26=0,0,Y40/TrRoad_act!Y26*1000)</f>
        <v>835.80522930319603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205.85217739053667</v>
      </c>
      <c r="C105" s="101">
        <f>IF(TrRoad_act!C27=0,0,C41/TrRoad_act!C27*1000)</f>
        <v>199.74693262846583</v>
      </c>
      <c r="D105" s="101">
        <f>IF(TrRoad_act!D27=0,0,D41/TrRoad_act!D27*1000)</f>
        <v>193.49632194116612</v>
      </c>
      <c r="E105" s="101">
        <f>IF(TrRoad_act!E27=0,0,E41/TrRoad_act!E27*1000)</f>
        <v>200.78838368181866</v>
      </c>
      <c r="F105" s="101">
        <f>IF(TrRoad_act!F27=0,0,F41/TrRoad_act!F27*1000)</f>
        <v>207.42360069751146</v>
      </c>
      <c r="G105" s="101">
        <f>IF(TrRoad_act!G27=0,0,G41/TrRoad_act!G27*1000)</f>
        <v>222.69822819947805</v>
      </c>
      <c r="H105" s="101">
        <f>IF(TrRoad_act!H27=0,0,H41/TrRoad_act!H27*1000)</f>
        <v>219.62148075200864</v>
      </c>
      <c r="I105" s="101">
        <f>IF(TrRoad_act!I27=0,0,I41/TrRoad_act!I27*1000)</f>
        <v>204.61650117647014</v>
      </c>
      <c r="J105" s="101">
        <f>IF(TrRoad_act!J27=0,0,J41/TrRoad_act!J27*1000)</f>
        <v>186.69269835461324</v>
      </c>
      <c r="K105" s="101">
        <f>IF(TrRoad_act!K27=0,0,K41/TrRoad_act!K27*1000)</f>
        <v>126.57542404440883</v>
      </c>
      <c r="L105" s="101">
        <f>IF(TrRoad_act!L27=0,0,L41/TrRoad_act!L27*1000)</f>
        <v>131.77619678598964</v>
      </c>
      <c r="M105" s="101">
        <f>IF(TrRoad_act!M27=0,0,M41/TrRoad_act!M27*1000)</f>
        <v>126.64934211450063</v>
      </c>
      <c r="N105" s="101">
        <f>IF(TrRoad_act!N27=0,0,N41/TrRoad_act!N27*1000)</f>
        <v>115.35970431537559</v>
      </c>
      <c r="O105" s="101">
        <f>IF(TrRoad_act!O27=0,0,O41/TrRoad_act!O27*1000)</f>
        <v>123.76917434450505</v>
      </c>
      <c r="P105" s="101">
        <f>IF(TrRoad_act!P27=0,0,P41/TrRoad_act!P27*1000)</f>
        <v>109.50177257498859</v>
      </c>
      <c r="Q105" s="101">
        <f>IF(TrRoad_act!Q27=0,0,Q41/TrRoad_act!Q27*1000)</f>
        <v>109.46203306134065</v>
      </c>
      <c r="R105" s="101">
        <f>IF(TrRoad_act!R27=0,0,R41/TrRoad_act!R27*1000)</f>
        <v>101.10196917563653</v>
      </c>
      <c r="S105" s="101">
        <f>IF(TrRoad_act!S27=0,0,S41/TrRoad_act!S27*1000)</f>
        <v>101.16773694753786</v>
      </c>
      <c r="T105" s="101">
        <f>IF(TrRoad_act!T27=0,0,T41/TrRoad_act!T27*1000)</f>
        <v>165.44836165757457</v>
      </c>
      <c r="U105" s="101">
        <f>IF(TrRoad_act!U27=0,0,U41/TrRoad_act!U27*1000)</f>
        <v>160.52824219882277</v>
      </c>
      <c r="V105" s="101">
        <f>IF(TrRoad_act!V27=0,0,V41/TrRoad_act!V27*1000)</f>
        <v>165.12785773182816</v>
      </c>
      <c r="W105" s="101">
        <f>IF(TrRoad_act!W27=0,0,W41/TrRoad_act!W27*1000)</f>
        <v>160.78793445665625</v>
      </c>
      <c r="X105" s="101">
        <f>IF(TrRoad_act!X27=0,0,X41/TrRoad_act!X27*1000)</f>
        <v>155.51705276190447</v>
      </c>
      <c r="Y105" s="101">
        <f>IF(TrRoad_act!Y27=0,0,Y41/TrRoad_act!Y27*1000)</f>
        <v>167.40696359082619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1877.890535602528</v>
      </c>
      <c r="C106" s="88">
        <f>IF(TrRoad_act!C28=0,0,C42/TrRoad_act!C28*1000)</f>
        <v>1897.8049931013572</v>
      </c>
      <c r="D106" s="88">
        <f>IF(TrRoad_act!D28=0,0,D42/TrRoad_act!D28*1000)</f>
        <v>1897.4386524570946</v>
      </c>
      <c r="E106" s="88">
        <f>IF(TrRoad_act!E28=0,0,E42/TrRoad_act!E28*1000)</f>
        <v>2194.4857015067437</v>
      </c>
      <c r="F106" s="88">
        <f>IF(TrRoad_act!F28=0,0,F42/TrRoad_act!F28*1000)</f>
        <v>2565.6210247942963</v>
      </c>
      <c r="G106" s="88">
        <f>IF(TrRoad_act!G28=0,0,G42/TrRoad_act!G28*1000)</f>
        <v>2825.3638721753082</v>
      </c>
      <c r="H106" s="88">
        <f>IF(TrRoad_act!H28=0,0,H42/TrRoad_act!H28*1000)</f>
        <v>2739.9217631848542</v>
      </c>
      <c r="I106" s="88">
        <f>IF(TrRoad_act!I28=0,0,I42/TrRoad_act!I28*1000)</f>
        <v>2355.9262440093021</v>
      </c>
      <c r="J106" s="88">
        <f>IF(TrRoad_act!J28=0,0,J42/TrRoad_act!J28*1000)</f>
        <v>2131.3136565499153</v>
      </c>
      <c r="K106" s="88">
        <f>IF(TrRoad_act!K28=0,0,K42/TrRoad_act!K28*1000)</f>
        <v>2118.6466650626685</v>
      </c>
      <c r="L106" s="88">
        <f>IF(TrRoad_act!L28=0,0,L42/TrRoad_act!L28*1000)</f>
        <v>2244.0124352367175</v>
      </c>
      <c r="M106" s="88">
        <f>IF(TrRoad_act!M28=0,0,M42/TrRoad_act!M28*1000)</f>
        <v>2402.7032401207171</v>
      </c>
      <c r="N106" s="88">
        <f>IF(TrRoad_act!N28=0,0,N42/TrRoad_act!N28*1000)</f>
        <v>1938.8408097018498</v>
      </c>
      <c r="O106" s="88">
        <f>IF(TrRoad_act!O28=0,0,O42/TrRoad_act!O28*1000)</f>
        <v>1979.962932234477</v>
      </c>
      <c r="P106" s="88">
        <f>IF(TrRoad_act!P28=0,0,P42/TrRoad_act!P28*1000)</f>
        <v>1717.7600216143055</v>
      </c>
      <c r="Q106" s="88">
        <f>IF(TrRoad_act!Q28=0,0,Q42/TrRoad_act!Q28*1000)</f>
        <v>1818.7202740246994</v>
      </c>
      <c r="R106" s="88">
        <f>IF(TrRoad_act!R28=0,0,R42/TrRoad_act!R28*1000)</f>
        <v>1648.2759302582151</v>
      </c>
      <c r="S106" s="88">
        <f>IF(TrRoad_act!S28=0,0,S42/TrRoad_act!S28*1000)</f>
        <v>1628.2187904343994</v>
      </c>
      <c r="T106" s="88">
        <f>IF(TrRoad_act!T28=0,0,T42/TrRoad_act!T28*1000)</f>
        <v>1836.514836023857</v>
      </c>
      <c r="U106" s="88">
        <f>IF(TrRoad_act!U28=0,0,U42/TrRoad_act!U28*1000)</f>
        <v>1905.1777641760368</v>
      </c>
      <c r="V106" s="88">
        <f>IF(TrRoad_act!V28=0,0,V42/TrRoad_act!V28*1000)</f>
        <v>1531.2126633909568</v>
      </c>
      <c r="W106" s="88">
        <f>IF(TrRoad_act!W28=0,0,W42/TrRoad_act!W28*1000)</f>
        <v>1457.7349082557951</v>
      </c>
      <c r="X106" s="88">
        <f>IF(TrRoad_act!X28=0,0,X42/TrRoad_act!X28*1000)</f>
        <v>1057.9761529760622</v>
      </c>
      <c r="Y106" s="88">
        <f>IF(TrRoad_act!Y28=0,0,Y42/TrRoad_act!Y28*1000)</f>
        <v>1049.2251418655005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506.37825352245545</v>
      </c>
      <c r="C110" s="152">
        <f>IF(C19=0,0,1000000*C19/TrRoad_act!C59)</f>
        <v>459.84116728646597</v>
      </c>
      <c r="D110" s="152">
        <f>IF(D19=0,0,1000000*D19/TrRoad_act!D59)</f>
        <v>428.33723423275438</v>
      </c>
      <c r="E110" s="152">
        <f>IF(E19=0,0,1000000*E19/TrRoad_act!E59)</f>
        <v>387.67045189410663</v>
      </c>
      <c r="F110" s="152">
        <f>IF(F19=0,0,1000000*F19/TrRoad_act!F59)</f>
        <v>372.34279829597278</v>
      </c>
      <c r="G110" s="152">
        <f>IF(G19=0,0,1000000*G19/TrRoad_act!G59)</f>
        <v>347.13361830842933</v>
      </c>
      <c r="H110" s="152">
        <f>IF(H19=0,0,1000000*H19/TrRoad_act!H59)</f>
        <v>322.21650862565889</v>
      </c>
      <c r="I110" s="152">
        <f>IF(I19=0,0,1000000*I19/TrRoad_act!I59)</f>
        <v>297.84097108249739</v>
      </c>
      <c r="J110" s="152">
        <f>IF(J19=0,0,1000000*J19/TrRoad_act!J59)</f>
        <v>280.77430867679527</v>
      </c>
      <c r="K110" s="152">
        <f>IF(K19=0,0,1000000*K19/TrRoad_act!K59)</f>
        <v>267.79269374052598</v>
      </c>
      <c r="L110" s="152">
        <f>IF(L19=0,0,1000000*L19/TrRoad_act!L59)</f>
        <v>256.22311108241553</v>
      </c>
      <c r="M110" s="152">
        <f>IF(M19=0,0,1000000*M19/TrRoad_act!M59)</f>
        <v>243.95720549808422</v>
      </c>
      <c r="N110" s="152">
        <f>IF(N19=0,0,1000000*N19/TrRoad_act!N59)</f>
        <v>246.80576277768509</v>
      </c>
      <c r="O110" s="152">
        <f>IF(O19=0,0,1000000*O19/TrRoad_act!O59)</f>
        <v>238.07907065912693</v>
      </c>
      <c r="P110" s="152">
        <f>IF(P19=0,0,1000000*P19/TrRoad_act!P59)</f>
        <v>230.18678196748533</v>
      </c>
      <c r="Q110" s="152">
        <f>IF(Q19=0,0,1000000*Q19/TrRoad_act!Q59)</f>
        <v>226.01371849432675</v>
      </c>
      <c r="R110" s="152">
        <f>IF(R19=0,0,1000000*R19/TrRoad_act!R59)</f>
        <v>224.83565792718878</v>
      </c>
      <c r="S110" s="152">
        <f>IF(S19=0,0,1000000*S19/TrRoad_act!S59)</f>
        <v>211.11459484307147</v>
      </c>
      <c r="T110" s="152">
        <f>IF(T19=0,0,1000000*T19/TrRoad_act!T59)</f>
        <v>197.5486478891394</v>
      </c>
      <c r="U110" s="152">
        <f>IF(U19=0,0,1000000*U19/TrRoad_act!U59)</f>
        <v>200.97009336602181</v>
      </c>
      <c r="V110" s="152">
        <f>IF(V19=0,0,1000000*V19/TrRoad_act!V59)</f>
        <v>171.13922959258426</v>
      </c>
      <c r="W110" s="152">
        <f>IF(W19=0,0,1000000*W19/TrRoad_act!W59)</f>
        <v>168.27832366943221</v>
      </c>
      <c r="X110" s="152">
        <f>IF(X19=0,0,1000000*X19/TrRoad_act!X59)</f>
        <v>162.65132309047291</v>
      </c>
      <c r="Y110" s="152">
        <f>IF(Y19=0,0,1000000*Y19/TrRoad_act!Y59)</f>
        <v>169.15267996734198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9566.4389412069086</v>
      </c>
      <c r="C111" s="116">
        <f>IF(C20=0,0,1000000*C20/TrRoad_act!C60)</f>
        <v>9620.168140072501</v>
      </c>
      <c r="D111" s="116">
        <f>IF(D20=0,0,1000000*D20/TrRoad_act!D60)</f>
        <v>9660.0499554171856</v>
      </c>
      <c r="E111" s="116">
        <f>IF(E20=0,0,1000000*E20/TrRoad_act!E60)</f>
        <v>10055.073524535437</v>
      </c>
      <c r="F111" s="116">
        <f>IF(F20=0,0,1000000*F20/TrRoad_act!F60)</f>
        <v>10072.354250147304</v>
      </c>
      <c r="G111" s="116">
        <f>IF(G20=0,0,1000000*G20/TrRoad_act!G60)</f>
        <v>9486.3170735891163</v>
      </c>
      <c r="H111" s="116">
        <f>IF(H20=0,0,1000000*H20/TrRoad_act!H60)</f>
        <v>8896.8960791902191</v>
      </c>
      <c r="I111" s="116">
        <f>IF(I20=0,0,1000000*I20/TrRoad_act!I60)</f>
        <v>8732.6358396056803</v>
      </c>
      <c r="J111" s="116">
        <f>IF(J20=0,0,1000000*J20/TrRoad_act!J60)</f>
        <v>8731.3505485813785</v>
      </c>
      <c r="K111" s="116">
        <f>IF(K20=0,0,1000000*K20/TrRoad_act!K60)</f>
        <v>8475.4822748312126</v>
      </c>
      <c r="L111" s="116">
        <f>IF(L20=0,0,1000000*L20/TrRoad_act!L60)</f>
        <v>8158.5724506134084</v>
      </c>
      <c r="M111" s="116">
        <f>IF(M20=0,0,1000000*M20/TrRoad_act!M60)</f>
        <v>8504.109519566995</v>
      </c>
      <c r="N111" s="116">
        <f>IF(N20=0,0,1000000*N20/TrRoad_act!N60)</f>
        <v>8240.6848630120003</v>
      </c>
      <c r="O111" s="116">
        <f>IF(O20=0,0,1000000*O20/TrRoad_act!O60)</f>
        <v>7582.4362265683867</v>
      </c>
      <c r="P111" s="116">
        <f>IF(P20=0,0,1000000*P20/TrRoad_act!P60)</f>
        <v>7247.8144327056962</v>
      </c>
      <c r="Q111" s="116">
        <f>IF(Q20=0,0,1000000*Q20/TrRoad_act!Q60)</f>
        <v>6783.1499010558227</v>
      </c>
      <c r="R111" s="116">
        <f>IF(R20=0,0,1000000*R20/TrRoad_act!R60)</f>
        <v>6392.8916051400456</v>
      </c>
      <c r="S111" s="116">
        <f>IF(S20=0,0,1000000*S20/TrRoad_act!S60)</f>
        <v>6117.2401329299182</v>
      </c>
      <c r="T111" s="116">
        <f>IF(T20=0,0,1000000*T20/TrRoad_act!T60)</f>
        <v>6181.7199649819922</v>
      </c>
      <c r="U111" s="116">
        <f>IF(U20=0,0,1000000*U20/TrRoad_act!U60)</f>
        <v>5849.2430022782928</v>
      </c>
      <c r="V111" s="116">
        <f>IF(V20=0,0,1000000*V20/TrRoad_act!V60)</f>
        <v>4301.3110921551897</v>
      </c>
      <c r="W111" s="116">
        <f>IF(W20=0,0,1000000*W20/TrRoad_act!W60)</f>
        <v>4729.2729591272255</v>
      </c>
      <c r="X111" s="116">
        <f>IF(X20=0,0,1000000*X20/TrRoad_act!X60)</f>
        <v>4786.8375042690723</v>
      </c>
      <c r="Y111" s="116">
        <f>IF(Y20=0,0,1000000*Y20/TrRoad_act!Y60)</f>
        <v>4873.5645293267517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8854.9230998212788</v>
      </c>
      <c r="C112" s="87">
        <f>IF(C21=0,0,1000000*C21/TrRoad_act!C61)</f>
        <v>9009.5819293174936</v>
      </c>
      <c r="D112" s="87">
        <f>IF(D21=0,0,1000000*D21/TrRoad_act!D61)</f>
        <v>9116.7587814318849</v>
      </c>
      <c r="E112" s="87">
        <f>IF(E21=0,0,1000000*E21/TrRoad_act!E61)</f>
        <v>9620.4745617451954</v>
      </c>
      <c r="F112" s="87">
        <f>IF(F21=0,0,1000000*F21/TrRoad_act!F61)</f>
        <v>9882.9674971604636</v>
      </c>
      <c r="G112" s="87">
        <f>IF(G21=0,0,1000000*G21/TrRoad_act!G61)</f>
        <v>9565.8218412816859</v>
      </c>
      <c r="H112" s="87">
        <f>IF(H21=0,0,1000000*H21/TrRoad_act!H61)</f>
        <v>9136.7287684925031</v>
      </c>
      <c r="I112" s="87">
        <f>IF(I21=0,0,1000000*I21/TrRoad_act!I61)</f>
        <v>9293.9979345507054</v>
      </c>
      <c r="J112" s="87">
        <f>IF(J21=0,0,1000000*J21/TrRoad_act!J61)</f>
        <v>9264.8017370066063</v>
      </c>
      <c r="K112" s="87">
        <f>IF(K21=0,0,1000000*K21/TrRoad_act!K61)</f>
        <v>8936.3520361155661</v>
      </c>
      <c r="L112" s="87">
        <f>IF(L21=0,0,1000000*L21/TrRoad_act!L61)</f>
        <v>8558.2987819267473</v>
      </c>
      <c r="M112" s="87">
        <f>IF(M21=0,0,1000000*M21/TrRoad_act!M61)</f>
        <v>8765.4892076842843</v>
      </c>
      <c r="N112" s="87">
        <f>IF(N21=0,0,1000000*N21/TrRoad_act!N61)</f>
        <v>8464.8593191712007</v>
      </c>
      <c r="O112" s="87">
        <f>IF(O21=0,0,1000000*O21/TrRoad_act!O61)</f>
        <v>7610.6565371872284</v>
      </c>
      <c r="P112" s="87">
        <f>IF(P21=0,0,1000000*P21/TrRoad_act!P61)</f>
        <v>7113.036423533852</v>
      </c>
      <c r="Q112" s="87">
        <f>IF(Q21=0,0,1000000*Q21/TrRoad_act!Q61)</f>
        <v>6430.8250599758276</v>
      </c>
      <c r="R112" s="87">
        <f>IF(R21=0,0,1000000*R21/TrRoad_act!R61)</f>
        <v>5913.145884743346</v>
      </c>
      <c r="S112" s="87">
        <f>IF(S21=0,0,1000000*S21/TrRoad_act!S61)</f>
        <v>5685.329889568774</v>
      </c>
      <c r="T112" s="87">
        <f>IF(T21=0,0,1000000*T21/TrRoad_act!T61)</f>
        <v>5635.4989270534779</v>
      </c>
      <c r="U112" s="87">
        <f>IF(U21=0,0,1000000*U21/TrRoad_act!U61)</f>
        <v>5339.9535637606868</v>
      </c>
      <c r="V112" s="87">
        <f>IF(V21=0,0,1000000*V21/TrRoad_act!V61)</f>
        <v>3874.6550081132732</v>
      </c>
      <c r="W112" s="87">
        <f>IF(W21=0,0,1000000*W21/TrRoad_act!W61)</f>
        <v>4519.2194968195054</v>
      </c>
      <c r="X112" s="87">
        <f>IF(X21=0,0,1000000*X21/TrRoad_act!X61)</f>
        <v>4469.4319910624554</v>
      </c>
      <c r="Y112" s="87">
        <f>IF(Y21=0,0,1000000*Y21/TrRoad_act!Y61)</f>
        <v>4821.65290061817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11521.973302966109</v>
      </c>
      <c r="C113" s="87">
        <f>IF(C22=0,0,1000000*C22/TrRoad_act!C62)</f>
        <v>11059.488061540482</v>
      </c>
      <c r="D113" s="87">
        <f>IF(D22=0,0,1000000*D22/TrRoad_act!D62)</f>
        <v>10758.025024729852</v>
      </c>
      <c r="E113" s="87">
        <f>IF(E22=0,0,1000000*E22/TrRoad_act!E62)</f>
        <v>10861.687358831541</v>
      </c>
      <c r="F113" s="87">
        <f>IF(F22=0,0,1000000*F22/TrRoad_act!F62)</f>
        <v>10433.532188449399</v>
      </c>
      <c r="G113" s="87">
        <f>IF(G22=0,0,1000000*G22/TrRoad_act!G62)</f>
        <v>9516.3247861428481</v>
      </c>
      <c r="H113" s="87">
        <f>IF(H22=0,0,1000000*H22/TrRoad_act!H62)</f>
        <v>8734.0352439187809</v>
      </c>
      <c r="I113" s="87">
        <f>IF(I22=0,0,1000000*I22/TrRoad_act!I62)</f>
        <v>8335.0467406742209</v>
      </c>
      <c r="J113" s="87">
        <f>IF(J22=0,0,1000000*J22/TrRoad_act!J62)</f>
        <v>8395.0420249472591</v>
      </c>
      <c r="K113" s="87">
        <f>IF(K22=0,0,1000000*K22/TrRoad_act!K62)</f>
        <v>8225.924433623044</v>
      </c>
      <c r="L113" s="87">
        <f>IF(L22=0,0,1000000*L22/TrRoad_act!L62)</f>
        <v>7968.6329251140714</v>
      </c>
      <c r="M113" s="87">
        <f>IF(M22=0,0,1000000*M22/TrRoad_act!M62)</f>
        <v>8411.3939759211153</v>
      </c>
      <c r="N113" s="87">
        <f>IF(N22=0,0,1000000*N22/TrRoad_act!N62)</f>
        <v>8157.0311928356505</v>
      </c>
      <c r="O113" s="87">
        <f>IF(O22=0,0,1000000*O22/TrRoad_act!O62)</f>
        <v>7614.8499711768354</v>
      </c>
      <c r="P113" s="87">
        <f>IF(P22=0,0,1000000*P22/TrRoad_act!P62)</f>
        <v>7368.3757050369923</v>
      </c>
      <c r="Q113" s="87">
        <f>IF(Q22=0,0,1000000*Q22/TrRoad_act!Q62)</f>
        <v>7022.062087125656</v>
      </c>
      <c r="R113" s="87">
        <f>IF(R22=0,0,1000000*R22/TrRoad_act!R62)</f>
        <v>6710.9398216824584</v>
      </c>
      <c r="S113" s="87">
        <f>IF(S22=0,0,1000000*S22/TrRoad_act!S62)</f>
        <v>6439.7902095991276</v>
      </c>
      <c r="T113" s="87">
        <f>IF(T22=0,0,1000000*T22/TrRoad_act!T62)</f>
        <v>6618.9499942222583</v>
      </c>
      <c r="U113" s="87">
        <f>IF(U22=0,0,1000000*U22/TrRoad_act!U62)</f>
        <v>6343.7971778951505</v>
      </c>
      <c r="V113" s="87">
        <f>IF(V22=0,0,1000000*V22/TrRoad_act!V62)</f>
        <v>4796.7082481517909</v>
      </c>
      <c r="W113" s="87">
        <f>IF(W22=0,0,1000000*W22/TrRoad_act!W62)</f>
        <v>5251.7775483916021</v>
      </c>
      <c r="X113" s="87">
        <f>IF(X22=0,0,1000000*X22/TrRoad_act!X62)</f>
        <v>5646.3673332539483</v>
      </c>
      <c r="Y113" s="87">
        <f>IF(Y22=0,0,1000000*Y22/TrRoad_act!Y62)</f>
        <v>5881.2323088340036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2355.0916673427992</v>
      </c>
      <c r="C114" s="87">
        <f>IF(C23=0,0,1000000*C23/TrRoad_act!C63)</f>
        <v>3274.8116886047383</v>
      </c>
      <c r="D114" s="87">
        <f>IF(D23=0,0,1000000*D23/TrRoad_act!D63)</f>
        <v>4180.9055671588039</v>
      </c>
      <c r="E114" s="87">
        <f>IF(E23=0,0,1000000*E23/TrRoad_act!E63)</f>
        <v>3310.9217794676802</v>
      </c>
      <c r="F114" s="87">
        <f>IF(F23=0,0,1000000*F23/TrRoad_act!F63)</f>
        <v>3483.0897119999995</v>
      </c>
      <c r="G114" s="87">
        <f>IF(G23=0,0,1000000*G23/TrRoad_act!G63)</f>
        <v>2434.0884528301885</v>
      </c>
      <c r="H114" s="87">
        <f>IF(H23=0,0,1000000*H23/TrRoad_act!H63)</f>
        <v>2480.897846153845</v>
      </c>
      <c r="I114" s="87">
        <f>IF(I23=0,0,1000000*I23/TrRoad_act!I63)</f>
        <v>5230.0008648648645</v>
      </c>
      <c r="J114" s="87">
        <f>IF(J23=0,0,1000000*J23/TrRoad_act!J63)</f>
        <v>5083.4509281961473</v>
      </c>
      <c r="K114" s="87">
        <f>IF(K23=0,0,1000000*K23/TrRoad_act!K63)</f>
        <v>3152.6223188405802</v>
      </c>
      <c r="L114" s="87">
        <f>IF(L23=0,0,1000000*L23/TrRoad_act!L63)</f>
        <v>3127.0248286852593</v>
      </c>
      <c r="M114" s="87">
        <f>IF(M23=0,0,1000000*M23/TrRoad_act!M63)</f>
        <v>1510.5476897414514</v>
      </c>
      <c r="N114" s="87">
        <f>IF(N23=0,0,1000000*N23/TrRoad_act!N63)</f>
        <v>4076.5302800658969</v>
      </c>
      <c r="O114" s="87">
        <f>IF(O23=0,0,1000000*O23/TrRoad_act!O63)</f>
        <v>2495.1208355013264</v>
      </c>
      <c r="P114" s="87">
        <f>IF(P23=0,0,1000000*P23/TrRoad_act!P63)</f>
        <v>2922.4262446520847</v>
      </c>
      <c r="Q114" s="87">
        <f>IF(Q23=0,0,1000000*Q23/TrRoad_act!Q63)</f>
        <v>1453.1891413623594</v>
      </c>
      <c r="R114" s="87">
        <f>IF(R23=0,0,1000000*R23/TrRoad_act!R63)</f>
        <v>1553.5227389653537</v>
      </c>
      <c r="S114" s="87">
        <f>IF(S23=0,0,1000000*S23/TrRoad_act!S63)</f>
        <v>1504.7378159521986</v>
      </c>
      <c r="T114" s="87">
        <f>IF(T23=0,0,1000000*T23/TrRoad_act!T63)</f>
        <v>2306.5888556959485</v>
      </c>
      <c r="U114" s="87">
        <f>IF(U23=0,0,1000000*U23/TrRoad_act!U63)</f>
        <v>2944.3842684600004</v>
      </c>
      <c r="V114" s="87">
        <f>IF(V23=0,0,1000000*V23/TrRoad_act!V63)</f>
        <v>807.63635061406944</v>
      </c>
      <c r="W114" s="87">
        <f>IF(W23=0,0,1000000*W23/TrRoad_act!W63)</f>
        <v>1886.3543293820753</v>
      </c>
      <c r="X114" s="87">
        <f>IF(X23=0,0,1000000*X23/TrRoad_act!X63)</f>
        <v>1863.3232721195341</v>
      </c>
      <c r="Y114" s="87">
        <f>IF(Y23=0,0,1000000*Y23/TrRoad_act!Y63)</f>
        <v>2728.282833489774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X115" s="87">
        <f>IF(X24=0,0,1000000*X24/TrRoad_act!X64)</f>
        <v>0</v>
      </c>
      <c r="Y115" s="87">
        <f>IF(Y24=0,0,1000000*Y24/TrRoad_act!Y64)</f>
        <v>0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4124.3541183425095</v>
      </c>
      <c r="O116" s="87">
        <f>IF(O25=0,0,1000000*O25/TrRoad_act!O65)</f>
        <v>3944.3927501555977</v>
      </c>
      <c r="P116" s="87">
        <f>IF(P25=0,0,1000000*P25/TrRoad_act!P65)</f>
        <v>3541.1311206472305</v>
      </c>
      <c r="Q116" s="87">
        <f>IF(Q25=0,0,1000000*Q25/TrRoad_act!Q65)</f>
        <v>3265.0118593876773</v>
      </c>
      <c r="R116" s="87">
        <f>IF(R25=0,0,1000000*R25/TrRoad_act!R65)</f>
        <v>2743.9855993337846</v>
      </c>
      <c r="S116" s="87">
        <f>IF(S25=0,0,1000000*S25/TrRoad_act!S65)</f>
        <v>1908.8045080035736</v>
      </c>
      <c r="T116" s="87">
        <f>IF(T25=0,0,1000000*T25/TrRoad_act!T65)</f>
        <v>1912.0475217306466</v>
      </c>
      <c r="U116" s="87">
        <f>IF(U25=0,0,1000000*U25/TrRoad_act!U65)</f>
        <v>1852.7609494160347</v>
      </c>
      <c r="V116" s="87">
        <f>IF(V25=0,0,1000000*V25/TrRoad_act!V65)</f>
        <v>1155.036696689582</v>
      </c>
      <c r="W116" s="87">
        <f>IF(W25=0,0,1000000*W25/TrRoad_act!W65)</f>
        <v>1186.3189033807412</v>
      </c>
      <c r="X116" s="87">
        <f>IF(X25=0,0,1000000*X25/TrRoad_act!X65)</f>
        <v>1090.5166729276191</v>
      </c>
      <c r="Y116" s="87">
        <f>IF(Y25=0,0,1000000*Y25/TrRoad_act!Y65)</f>
        <v>1102.8189419418836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71946.57053557958</v>
      </c>
      <c r="C118" s="116">
        <f>IF(C27=0,0,1000000*C27/TrRoad_act!C67)</f>
        <v>69555.224186079722</v>
      </c>
      <c r="D118" s="116">
        <f>IF(D27=0,0,1000000*D27/TrRoad_act!D67)</f>
        <v>70193.092778073915</v>
      </c>
      <c r="E118" s="116">
        <f>IF(E27=0,0,1000000*E27/TrRoad_act!E67)</f>
        <v>67623.625001346431</v>
      </c>
      <c r="F118" s="116">
        <f>IF(F27=0,0,1000000*F27/TrRoad_act!F67)</f>
        <v>65408.310563002633</v>
      </c>
      <c r="G118" s="116">
        <f>IF(G27=0,0,1000000*G27/TrRoad_act!G67)</f>
        <v>63397.152752166534</v>
      </c>
      <c r="H118" s="116">
        <f>IF(H27=0,0,1000000*H27/TrRoad_act!H67)</f>
        <v>61303.80399138065</v>
      </c>
      <c r="I118" s="116">
        <f>IF(I27=0,0,1000000*I27/TrRoad_act!I67)</f>
        <v>58155.819439356383</v>
      </c>
      <c r="J118" s="116">
        <f>IF(J27=0,0,1000000*J27/TrRoad_act!J67)</f>
        <v>56638.640110337037</v>
      </c>
      <c r="K118" s="116">
        <f>IF(K27=0,0,1000000*K27/TrRoad_act!K67)</f>
        <v>55216.025630575496</v>
      </c>
      <c r="L118" s="116">
        <f>IF(L27=0,0,1000000*L27/TrRoad_act!L67)</f>
        <v>56130.706494333361</v>
      </c>
      <c r="M118" s="116">
        <f>IF(M27=0,0,1000000*M27/TrRoad_act!M67)</f>
        <v>55538.807183094657</v>
      </c>
      <c r="N118" s="116">
        <f>IF(N27=0,0,1000000*N27/TrRoad_act!N67)</f>
        <v>54518.966206527235</v>
      </c>
      <c r="O118" s="116">
        <f>IF(O27=0,0,1000000*O27/TrRoad_act!O67)</f>
        <v>53703.528592442235</v>
      </c>
      <c r="P118" s="116">
        <f>IF(P27=0,0,1000000*P27/TrRoad_act!P67)</f>
        <v>52466.888320768994</v>
      </c>
      <c r="Q118" s="116">
        <f>IF(Q27=0,0,1000000*Q27/TrRoad_act!Q67)</f>
        <v>51548.094060041978</v>
      </c>
      <c r="R118" s="116">
        <f>IF(R27=0,0,1000000*R27/TrRoad_act!R67)</f>
        <v>51154.893852587993</v>
      </c>
      <c r="S118" s="116">
        <f>IF(S27=0,0,1000000*S27/TrRoad_act!S67)</f>
        <v>50462.795610659465</v>
      </c>
      <c r="T118" s="116">
        <f>IF(T27=0,0,1000000*T27/TrRoad_act!T67)</f>
        <v>48817.577205470676</v>
      </c>
      <c r="U118" s="116">
        <f>IF(U27=0,0,1000000*U27/TrRoad_act!U67)</f>
        <v>45850.695968758897</v>
      </c>
      <c r="V118" s="116">
        <f>IF(V27=0,0,1000000*V27/TrRoad_act!V67)</f>
        <v>41044.574837002117</v>
      </c>
      <c r="W118" s="116">
        <f>IF(W27=0,0,1000000*W27/TrRoad_act!W67)</f>
        <v>38551.715575122667</v>
      </c>
      <c r="X118" s="116">
        <f>IF(X27=0,0,1000000*X27/TrRoad_act!X67)</f>
        <v>32016.933200889944</v>
      </c>
      <c r="Y118" s="116">
        <f>IF(Y27=0,0,1000000*Y27/TrRoad_act!Y67)</f>
        <v>28285.80641337988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3727.7992579400657</v>
      </c>
      <c r="U119" s="101">
        <f>IF(U28=0,0,1000000*U28/TrRoad_act!U68)</f>
        <v>3535.863315990131</v>
      </c>
      <c r="V119" s="101">
        <f>IF(V28=0,0,1000000*V28/TrRoad_act!V68)</f>
        <v>3292.1937748417968</v>
      </c>
      <c r="W119" s="101">
        <f>IF(W28=0,0,1000000*W28/TrRoad_act!W68)</f>
        <v>2987.6945585861868</v>
      </c>
      <c r="X119" s="101">
        <f>IF(X28=0,0,1000000*X28/TrRoad_act!X68)</f>
        <v>2687.4951669786333</v>
      </c>
      <c r="Y119" s="101">
        <f>IF(Y28=0,0,1000000*Y28/TrRoad_act!Y68)</f>
        <v>2504.4483963466037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71946.57053557958</v>
      </c>
      <c r="C120" s="101">
        <f>IF(C29=0,0,1000000*C29/TrRoad_act!C69)</f>
        <v>69555.224186079722</v>
      </c>
      <c r="D120" s="101">
        <f>IF(D29=0,0,1000000*D29/TrRoad_act!D69)</f>
        <v>70193.092778073915</v>
      </c>
      <c r="E120" s="101">
        <f>IF(E29=0,0,1000000*E29/TrRoad_act!E69)</f>
        <v>67789.3691802713</v>
      </c>
      <c r="F120" s="101">
        <f>IF(F29=0,0,1000000*F29/TrRoad_act!F69)</f>
        <v>65563.306559597433</v>
      </c>
      <c r="G120" s="101">
        <f>IF(G29=0,0,1000000*G29/TrRoad_act!G69)</f>
        <v>63539.405151760024</v>
      </c>
      <c r="H120" s="101">
        <f>IF(H29=0,0,1000000*H29/TrRoad_act!H69)</f>
        <v>61437.460540780463</v>
      </c>
      <c r="I120" s="101">
        <f>IF(I29=0,0,1000000*I29/TrRoad_act!I69)</f>
        <v>58275.97609109059</v>
      </c>
      <c r="J120" s="101">
        <f>IF(J29=0,0,1000000*J29/TrRoad_act!J69)</f>
        <v>56748.832017166489</v>
      </c>
      <c r="K120" s="101">
        <f>IF(K29=0,0,1000000*K29/TrRoad_act!K69)</f>
        <v>55284.15151044049</v>
      </c>
      <c r="L120" s="101">
        <f>IF(L29=0,0,1000000*L29/TrRoad_act!L69)</f>
        <v>56199.409929454945</v>
      </c>
      <c r="M120" s="101">
        <f>IF(M29=0,0,1000000*M29/TrRoad_act!M69)</f>
        <v>55604.10854368619</v>
      </c>
      <c r="N120" s="101">
        <f>IF(N29=0,0,1000000*N29/TrRoad_act!N69)</f>
        <v>54582.139979651838</v>
      </c>
      <c r="O120" s="101">
        <f>IF(O29=0,0,1000000*O29/TrRoad_act!O69)</f>
        <v>53764.659529940742</v>
      </c>
      <c r="P120" s="101">
        <f>IF(P29=0,0,1000000*P29/TrRoad_act!P69)</f>
        <v>52525.972654463556</v>
      </c>
      <c r="Q120" s="101">
        <f>IF(Q29=0,0,1000000*Q29/TrRoad_act!Q69)</f>
        <v>51603.67151994499</v>
      </c>
      <c r="R120" s="101">
        <f>IF(R29=0,0,1000000*R29/TrRoad_act!R69)</f>
        <v>51208.68448755391</v>
      </c>
      <c r="S120" s="101">
        <f>IF(S29=0,0,1000000*S29/TrRoad_act!S69)</f>
        <v>50669.292984002321</v>
      </c>
      <c r="T120" s="101">
        <f>IF(T29=0,0,1000000*T29/TrRoad_act!T69)</f>
        <v>49642.313174458752</v>
      </c>
      <c r="U120" s="101">
        <f>IF(U29=0,0,1000000*U29/TrRoad_act!U69)</f>
        <v>48288.075176801227</v>
      </c>
      <c r="V120" s="101">
        <f>IF(V29=0,0,1000000*V29/TrRoad_act!V69)</f>
        <v>44015.267157845134</v>
      </c>
      <c r="W120" s="101">
        <f>IF(W29=0,0,1000000*W29/TrRoad_act!W69)</f>
        <v>41792.786701130601</v>
      </c>
      <c r="X120" s="101">
        <f>IF(X29=0,0,1000000*X29/TrRoad_act!X69)</f>
        <v>36831.233555786435</v>
      </c>
      <c r="Y120" s="101">
        <f>IF(Y29=0,0,1000000*Y29/TrRoad_act!Y69)</f>
        <v>33443.869848707989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X122" s="101">
        <f>IF(X31=0,0,1000000*X31/TrRoad_act!X71)</f>
        <v>0</v>
      </c>
      <c r="Y122" s="101">
        <f>IF(Y31=0,0,1000000*Y31/TrRoad_act!Y71)</f>
        <v>0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7607.2225498470534</v>
      </c>
      <c r="C125" s="152">
        <f>IF(C34=0,0,1000000*C34/TrRoad_act!C74)</f>
        <v>7227.1011637974771</v>
      </c>
      <c r="D125" s="152">
        <f>IF(D34=0,0,1000000*D34/TrRoad_act!D74)</f>
        <v>7081.6926972418732</v>
      </c>
      <c r="E125" s="152">
        <f>IF(E34=0,0,1000000*E34/TrRoad_act!E74)</f>
        <v>6908.8649487978919</v>
      </c>
      <c r="F125" s="152">
        <f>IF(F34=0,0,1000000*F34/TrRoad_act!F74)</f>
        <v>6692.9281831230637</v>
      </c>
      <c r="G125" s="152">
        <f>IF(G34=0,0,1000000*G34/TrRoad_act!G74)</f>
        <v>6547.9551186514846</v>
      </c>
      <c r="H125" s="152">
        <f>IF(H34=0,0,1000000*H34/TrRoad_act!H74)</f>
        <v>6454.2799664471868</v>
      </c>
      <c r="I125" s="152">
        <f>IF(I34=0,0,1000000*I34/TrRoad_act!I74)</f>
        <v>6308.9831459113348</v>
      </c>
      <c r="J125" s="152">
        <f>IF(J34=0,0,1000000*J34/TrRoad_act!J74)</f>
        <v>6148.6300611427523</v>
      </c>
      <c r="K125" s="152">
        <f>IF(K34=0,0,1000000*K34/TrRoad_act!K74)</f>
        <v>5954.3451400810718</v>
      </c>
      <c r="L125" s="152">
        <f>IF(L34=0,0,1000000*L34/TrRoad_act!L74)</f>
        <v>5986.6054344743261</v>
      </c>
      <c r="M125" s="152">
        <f>IF(M34=0,0,1000000*M34/TrRoad_act!M74)</f>
        <v>6040.7774196350456</v>
      </c>
      <c r="N125" s="152">
        <f>IF(N34=0,0,1000000*N34/TrRoad_act!N74)</f>
        <v>5795.7386161102286</v>
      </c>
      <c r="O125" s="152">
        <f>IF(O34=0,0,1000000*O34/TrRoad_act!O74)</f>
        <v>5542.6131906599321</v>
      </c>
      <c r="P125" s="152">
        <f>IF(P34=0,0,1000000*P34/TrRoad_act!P74)</f>
        <v>5578.31961779219</v>
      </c>
      <c r="Q125" s="152">
        <f>IF(Q34=0,0,1000000*Q34/TrRoad_act!Q74)</f>
        <v>5495.2239376039215</v>
      </c>
      <c r="R125" s="152">
        <f>IF(R34=0,0,1000000*R34/TrRoad_act!R74)</f>
        <v>5438.8181090522312</v>
      </c>
      <c r="S125" s="152">
        <f>IF(S34=0,0,1000000*S34/TrRoad_act!S74)</f>
        <v>5123.8914188724593</v>
      </c>
      <c r="T125" s="152">
        <f>IF(T34=0,0,1000000*T34/TrRoad_act!T74)</f>
        <v>4999.3517517301907</v>
      </c>
      <c r="U125" s="152">
        <f>IF(U34=0,0,1000000*U34/TrRoad_act!U74)</f>
        <v>4849.6141575941419</v>
      </c>
      <c r="V125" s="152">
        <f>IF(V34=0,0,1000000*V34/TrRoad_act!V74)</f>
        <v>4540.0118016439828</v>
      </c>
      <c r="W125" s="152">
        <f>IF(W34=0,0,1000000*W34/TrRoad_act!W74)</f>
        <v>4551.0354676529869</v>
      </c>
      <c r="X125" s="152">
        <f>IF(X34=0,0,1000000*X34/TrRoad_act!X74)</f>
        <v>3935.9002568755768</v>
      </c>
      <c r="Y125" s="152">
        <f>IF(Y34=0,0,1000000*Y34/TrRoad_act!Y74)</f>
        <v>3758.9130640389894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3557.9090266201747</v>
      </c>
      <c r="C126" s="87">
        <f>IF(C35=0,0,1000000*C35/TrRoad_act!C75)</f>
        <v>3449.8611430036749</v>
      </c>
      <c r="D126" s="87">
        <f>IF(D35=0,0,1000000*D35/TrRoad_act!D75)</f>
        <v>3409.3433261685209</v>
      </c>
      <c r="E126" s="87">
        <f>IF(E35=0,0,1000000*E35/TrRoad_act!E75)</f>
        <v>3302.6659423184465</v>
      </c>
      <c r="F126" s="87">
        <f>IF(F35=0,0,1000000*F35/TrRoad_act!F75)</f>
        <v>3175.2256645059833</v>
      </c>
      <c r="G126" s="87">
        <f>IF(G35=0,0,1000000*G35/TrRoad_act!G75)</f>
        <v>3062.2957836251653</v>
      </c>
      <c r="H126" s="87">
        <f>IF(H35=0,0,1000000*H35/TrRoad_act!H75)</f>
        <v>2965.3274493191216</v>
      </c>
      <c r="I126" s="87">
        <f>IF(I35=0,0,1000000*I35/TrRoad_act!I75)</f>
        <v>2895.1979177141961</v>
      </c>
      <c r="J126" s="87">
        <f>IF(J35=0,0,1000000*J35/TrRoad_act!J75)</f>
        <v>2739.2778242084751</v>
      </c>
      <c r="K126" s="87">
        <f>IF(K35=0,0,1000000*K35/TrRoad_act!K75)</f>
        <v>2542.786604171386</v>
      </c>
      <c r="L126" s="87">
        <f>IF(L35=0,0,1000000*L35/TrRoad_act!L75)</f>
        <v>2481.7151586279647</v>
      </c>
      <c r="M126" s="87">
        <f>IF(M35=0,0,1000000*M35/TrRoad_act!M75)</f>
        <v>2396.5636565671912</v>
      </c>
      <c r="N126" s="87">
        <f>IF(N35=0,0,1000000*N35/TrRoad_act!N75)</f>
        <v>2308.6359747551955</v>
      </c>
      <c r="O126" s="87">
        <f>IF(O35=0,0,1000000*O35/TrRoad_act!O75)</f>
        <v>2221.9735701139371</v>
      </c>
      <c r="P126" s="87">
        <f>IF(P35=0,0,1000000*P35/TrRoad_act!P75)</f>
        <v>2248.2380362610561</v>
      </c>
      <c r="Q126" s="87">
        <f>IF(Q35=0,0,1000000*Q35/TrRoad_act!Q75)</f>
        <v>2237.1814406724757</v>
      </c>
      <c r="R126" s="87">
        <f>IF(R35=0,0,1000000*R35/TrRoad_act!R75)</f>
        <v>2219.9265338359965</v>
      </c>
      <c r="S126" s="87">
        <f>IF(S35=0,0,1000000*S35/TrRoad_act!S75)</f>
        <v>2153.8426262647044</v>
      </c>
      <c r="T126" s="87">
        <f>IF(T35=0,0,1000000*T35/TrRoad_act!T75)</f>
        <v>2133.4077041251667</v>
      </c>
      <c r="U126" s="87">
        <f>IF(U35=0,0,1000000*U35/TrRoad_act!U75)</f>
        <v>2055.441773714902</v>
      </c>
      <c r="V126" s="87">
        <f>IF(V35=0,0,1000000*V35/TrRoad_act!V75)</f>
        <v>1975.5046044394026</v>
      </c>
      <c r="W126" s="87">
        <f>IF(W35=0,0,1000000*W35/TrRoad_act!W75)</f>
        <v>1948.0053602448181</v>
      </c>
      <c r="X126" s="87">
        <f>IF(X35=0,0,1000000*X35/TrRoad_act!X75)</f>
        <v>1691.8979816844196</v>
      </c>
      <c r="Y126" s="87">
        <f>IF(Y35=0,0,1000000*Y35/TrRoad_act!Y75)</f>
        <v>1674.5864538328944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8530.2798578083803</v>
      </c>
      <c r="C127" s="87">
        <f>IF(C36=0,0,1000000*C36/TrRoad_act!C76)</f>
        <v>7932.1282967478655</v>
      </c>
      <c r="D127" s="87">
        <f>IF(D36=0,0,1000000*D36/TrRoad_act!D76)</f>
        <v>7657.9309574912268</v>
      </c>
      <c r="E127" s="87">
        <f>IF(E36=0,0,1000000*E36/TrRoad_act!E76)</f>
        <v>7396.7445526715373</v>
      </c>
      <c r="F127" s="87">
        <f>IF(F36=0,0,1000000*F36/TrRoad_act!F76)</f>
        <v>7092.3069570262496</v>
      </c>
      <c r="G127" s="87">
        <f>IF(G36=0,0,1000000*G36/TrRoad_act!G76)</f>
        <v>6879.0462123220477</v>
      </c>
      <c r="H127" s="87">
        <f>IF(H36=0,0,1000000*H36/TrRoad_act!H76)</f>
        <v>6737.2670280877446</v>
      </c>
      <c r="I127" s="87">
        <f>IF(I36=0,0,1000000*I36/TrRoad_act!I76)</f>
        <v>6548.2679841500467</v>
      </c>
      <c r="J127" s="87">
        <f>IF(J36=0,0,1000000*J36/TrRoad_act!J76)</f>
        <v>6365.925109327125</v>
      </c>
      <c r="K127" s="87">
        <f>IF(K36=0,0,1000000*K36/TrRoad_act!K76)</f>
        <v>6153.1130177493351</v>
      </c>
      <c r="L127" s="87">
        <f>IF(L36=0,0,1000000*L36/TrRoad_act!L76)</f>
        <v>6178.7315666408904</v>
      </c>
      <c r="M127" s="87">
        <f>IF(M36=0,0,1000000*M36/TrRoad_act!M76)</f>
        <v>6226.0042445095341</v>
      </c>
      <c r="N127" s="87">
        <f>IF(N36=0,0,1000000*N36/TrRoad_act!N76)</f>
        <v>5961.4351199993353</v>
      </c>
      <c r="O127" s="87">
        <f>IF(O36=0,0,1000000*O36/TrRoad_act!O76)</f>
        <v>5705.4061758259586</v>
      </c>
      <c r="P127" s="87">
        <f>IF(P36=0,0,1000000*P36/TrRoad_act!P76)</f>
        <v>5736.6955440149586</v>
      </c>
      <c r="Q127" s="87">
        <f>IF(Q36=0,0,1000000*Q36/TrRoad_act!Q76)</f>
        <v>5648.3701978920963</v>
      </c>
      <c r="R127" s="87">
        <f>IF(R36=0,0,1000000*R36/TrRoad_act!R76)</f>
        <v>5587.1152877710647</v>
      </c>
      <c r="S127" s="87">
        <f>IF(S36=0,0,1000000*S36/TrRoad_act!S76)</f>
        <v>5264.6666072182879</v>
      </c>
      <c r="T127" s="87">
        <f>IF(T36=0,0,1000000*T36/TrRoad_act!T76)</f>
        <v>5141.0854116680166</v>
      </c>
      <c r="U127" s="87">
        <f>IF(U36=0,0,1000000*U36/TrRoad_act!U76)</f>
        <v>4992.1718183563908</v>
      </c>
      <c r="V127" s="87">
        <f>IF(V36=0,0,1000000*V36/TrRoad_act!V76)</f>
        <v>4679.8976633992779</v>
      </c>
      <c r="W127" s="87">
        <f>IF(W36=0,0,1000000*W36/TrRoad_act!W76)</f>
        <v>4705.3913681501272</v>
      </c>
      <c r="X127" s="87">
        <f>IF(X36=0,0,1000000*X36/TrRoad_act!X76)</f>
        <v>4097.1266579693211</v>
      </c>
      <c r="Y127" s="87">
        <f>IF(Y36=0,0,1000000*Y36/TrRoad_act!Y76)</f>
        <v>3952.825972493174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3589.9975378950608</v>
      </c>
      <c r="P128" s="87">
        <f>IF(P37=0,0,1000000*P37/TrRoad_act!P77)</f>
        <v>4273.3440542911985</v>
      </c>
      <c r="Q128" s="87">
        <f>IF(Q37=0,0,1000000*Q37/TrRoad_act!Q77)</f>
        <v>3290.1225682959503</v>
      </c>
      <c r="R128" s="87">
        <f>IF(R37=0,0,1000000*R37/TrRoad_act!R77)</f>
        <v>3285.8922730477811</v>
      </c>
      <c r="S128" s="87">
        <f>IF(S37=0,0,1000000*S37/TrRoad_act!S77)</f>
        <v>3120.1564563089637</v>
      </c>
      <c r="T128" s="87">
        <f>IF(T37=0,0,1000000*T37/TrRoad_act!T77)</f>
        <v>3521.9687680127913</v>
      </c>
      <c r="U128" s="87">
        <f>IF(U37=0,0,1000000*U37/TrRoad_act!U77)</f>
        <v>3742.4968206150002</v>
      </c>
      <c r="V128" s="87">
        <f>IF(V37=0,0,1000000*V37/TrRoad_act!V77)</f>
        <v>2297.5344792842666</v>
      </c>
      <c r="W128" s="87">
        <f>IF(W37=0,0,1000000*W37/TrRoad_act!W77)</f>
        <v>2505.5879207446533</v>
      </c>
      <c r="X128" s="87">
        <f>IF(X37=0,0,1000000*X37/TrRoad_act!X77)</f>
        <v>2122.6378883060679</v>
      </c>
      <c r="Y128" s="87">
        <f>IF(Y37=0,0,1000000*Y37/TrRoad_act!Y77)</f>
        <v>2962.000727021039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X129" s="87">
        <f>IF(X38=0,0,1000000*X38/TrRoad_act!X78)</f>
        <v>0</v>
      </c>
      <c r="Y129" s="87">
        <f>IF(Y38=0,0,1000000*Y38/TrRoad_act!Y78)</f>
        <v>0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307249.35357851157</v>
      </c>
      <c r="C131" s="116">
        <f>IF(C40=0,0,1000000*C40/TrRoad_act!C80)</f>
        <v>378339.45502967463</v>
      </c>
      <c r="D131" s="116">
        <f>IF(D40=0,0,1000000*D40/TrRoad_act!D80)</f>
        <v>441640.67086627666</v>
      </c>
      <c r="E131" s="116">
        <f>IF(E40=0,0,1000000*E40/TrRoad_act!E80)</f>
        <v>512471.48959127208</v>
      </c>
      <c r="F131" s="116">
        <f>IF(F40=0,0,1000000*F40/TrRoad_act!F80)</f>
        <v>721249.89976833563</v>
      </c>
      <c r="G131" s="116">
        <f>IF(G40=0,0,1000000*G40/TrRoad_act!G80)</f>
        <v>699992.87756869453</v>
      </c>
      <c r="H131" s="116">
        <f>IF(H40=0,0,1000000*H40/TrRoad_act!H80)</f>
        <v>652835.47970781953</v>
      </c>
      <c r="I131" s="116">
        <f>IF(I40=0,0,1000000*I40/TrRoad_act!I80)</f>
        <v>619447.72529221687</v>
      </c>
      <c r="J131" s="116">
        <f>IF(J40=0,0,1000000*J40/TrRoad_act!J80)</f>
        <v>522787.75887427747</v>
      </c>
      <c r="K131" s="116">
        <f>IF(K40=0,0,1000000*K40/TrRoad_act!K80)</f>
        <v>402158.27797032724</v>
      </c>
      <c r="L131" s="116">
        <f>IF(L40=0,0,1000000*L40/TrRoad_act!L80)</f>
        <v>450038.01815741917</v>
      </c>
      <c r="M131" s="116">
        <f>IF(M40=0,0,1000000*M40/TrRoad_act!M80)</f>
        <v>469737.50821143185</v>
      </c>
      <c r="N131" s="116">
        <f>IF(N40=0,0,1000000*N40/TrRoad_act!N80)</f>
        <v>453664.41333592893</v>
      </c>
      <c r="O131" s="116">
        <f>IF(O40=0,0,1000000*O40/TrRoad_act!O80)</f>
        <v>579154.80491095583</v>
      </c>
      <c r="P131" s="116">
        <f>IF(P40=0,0,1000000*P40/TrRoad_act!P80)</f>
        <v>607349.4946701189</v>
      </c>
      <c r="Q131" s="116">
        <f>IF(Q40=0,0,1000000*Q40/TrRoad_act!Q80)</f>
        <v>523564.32929634961</v>
      </c>
      <c r="R131" s="116">
        <f>IF(R40=0,0,1000000*R40/TrRoad_act!R80)</f>
        <v>487086.12966988282</v>
      </c>
      <c r="S131" s="116">
        <f>IF(S40=0,0,1000000*S40/TrRoad_act!S80)</f>
        <v>457301.75072707934</v>
      </c>
      <c r="T131" s="116">
        <f>IF(T40=0,0,1000000*T40/TrRoad_act!T80)</f>
        <v>524545.10631243943</v>
      </c>
      <c r="U131" s="116">
        <f>IF(U40=0,0,1000000*U40/TrRoad_act!U80)</f>
        <v>530277.53221884044</v>
      </c>
      <c r="V131" s="116">
        <f>IF(V40=0,0,1000000*V40/TrRoad_act!V80)</f>
        <v>350993.25559002825</v>
      </c>
      <c r="W131" s="116">
        <f>IF(W40=0,0,1000000*W40/TrRoad_act!W80)</f>
        <v>397817.8290332348</v>
      </c>
      <c r="X131" s="116">
        <f>IF(X40=0,0,1000000*X40/TrRoad_act!X80)</f>
        <v>285999.22815355106</v>
      </c>
      <c r="Y131" s="116">
        <f>IF(Y40=0,0,1000000*Y40/TrRoad_act!Y80)</f>
        <v>247102.35879399278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15362.102790338557</v>
      </c>
      <c r="C132" s="101">
        <f>IF(C41=0,0,1000000*C41/TrRoad_act!C81)</f>
        <v>20509.541680384325</v>
      </c>
      <c r="D132" s="101">
        <f>IF(D41=0,0,1000000*D41/TrRoad_act!D81)</f>
        <v>26884.736818803587</v>
      </c>
      <c r="E132" s="101">
        <f>IF(E41=0,0,1000000*E41/TrRoad_act!E81)</f>
        <v>26991.538610570438</v>
      </c>
      <c r="F132" s="101">
        <f>IF(F41=0,0,1000000*F41/TrRoad_act!F81)</f>
        <v>30046.321050906012</v>
      </c>
      <c r="G132" s="101">
        <f>IF(G41=0,0,1000000*G41/TrRoad_act!G81)</f>
        <v>24004.565727807581</v>
      </c>
      <c r="H132" s="101">
        <f>IF(H41=0,0,1000000*H41/TrRoad_act!H81)</f>
        <v>25264.133120975403</v>
      </c>
      <c r="I132" s="101">
        <f>IF(I41=0,0,1000000*I41/TrRoad_act!I81)</f>
        <v>24945.459987698698</v>
      </c>
      <c r="J132" s="101">
        <f>IF(J41=0,0,1000000*J41/TrRoad_act!J81)</f>
        <v>19008.33747694191</v>
      </c>
      <c r="K132" s="101">
        <f>IF(K41=0,0,1000000*K41/TrRoad_act!K81)</f>
        <v>10352.619559187759</v>
      </c>
      <c r="L132" s="101">
        <f>IF(L41=0,0,1000000*L41/TrRoad_act!L81)</f>
        <v>11583.39003907474</v>
      </c>
      <c r="M132" s="101">
        <f>IF(M41=0,0,1000000*M41/TrRoad_act!M81)</f>
        <v>12418.475241277027</v>
      </c>
      <c r="N132" s="101">
        <f>IF(N41=0,0,1000000*N41/TrRoad_act!N81)</f>
        <v>19847.648534154931</v>
      </c>
      <c r="O132" s="101">
        <f>IF(O41=0,0,1000000*O41/TrRoad_act!O81)</f>
        <v>21299.811398821799</v>
      </c>
      <c r="P132" s="101">
        <f>IF(P41=0,0,1000000*P41/TrRoad_act!P81)</f>
        <v>32859.270940299852</v>
      </c>
      <c r="Q132" s="101">
        <f>IF(Q41=0,0,1000000*Q41/TrRoad_act!Q81)</f>
        <v>25543.752883319292</v>
      </c>
      <c r="R132" s="101">
        <f>IF(R41=0,0,1000000*R41/TrRoad_act!R81)</f>
        <v>25029.188192669179</v>
      </c>
      <c r="S132" s="101">
        <f>IF(S41=0,0,1000000*S41/TrRoad_act!S81)</f>
        <v>21083.522228615984</v>
      </c>
      <c r="T132" s="101">
        <f>IF(T41=0,0,1000000*T41/TrRoad_act!T81)</f>
        <v>23015.499890873092</v>
      </c>
      <c r="U132" s="101">
        <f>IF(U41=0,0,1000000*U41/TrRoad_act!U81)</f>
        <v>21632.857919148188</v>
      </c>
      <c r="V132" s="101">
        <f>IF(V41=0,0,1000000*V41/TrRoad_act!V81)</f>
        <v>14621.440876964858</v>
      </c>
      <c r="W132" s="101">
        <f>IF(W41=0,0,1000000*W41/TrRoad_act!W81)</f>
        <v>19670.864321824964</v>
      </c>
      <c r="X132" s="101">
        <f>IF(X41=0,0,1000000*X41/TrRoad_act!X81)</f>
        <v>17388.101734930562</v>
      </c>
      <c r="Y132" s="101">
        <f>IF(Y41=0,0,1000000*Y41/TrRoad_act!Y81)</f>
        <v>14798.571463201955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2274746.325254912</v>
      </c>
      <c r="C133" s="88">
        <f>IF(C42=0,0,1000000*C42/TrRoad_act!C82)</f>
        <v>2298234.567038367</v>
      </c>
      <c r="D133" s="88">
        <f>IF(D42=0,0,1000000*D42/TrRoad_act!D82)</f>
        <v>2312948.0894288542</v>
      </c>
      <c r="E133" s="88">
        <f>IF(E42=0,0,1000000*E42/TrRoad_act!E82)</f>
        <v>2658078.4653766444</v>
      </c>
      <c r="F133" s="88">
        <f>IF(F42=0,0,1000000*F42/TrRoad_act!F82)</f>
        <v>3051909.6536287074</v>
      </c>
      <c r="G133" s="88">
        <f>IF(G42=0,0,1000000*G42/TrRoad_act!G82)</f>
        <v>3361551.6689490941</v>
      </c>
      <c r="H133" s="88">
        <f>IF(H42=0,0,1000000*H42/TrRoad_act!H82)</f>
        <v>3281520.0660755662</v>
      </c>
      <c r="I133" s="88">
        <f>IF(I42=0,0,1000000*I42/TrRoad_act!I82)</f>
        <v>2826126.2410179065</v>
      </c>
      <c r="J133" s="88">
        <f>IF(J42=0,0,1000000*J42/TrRoad_act!J82)</f>
        <v>2521406.1184353223</v>
      </c>
      <c r="K133" s="88">
        <f>IF(K42=0,0,1000000*K42/TrRoad_act!K82)</f>
        <v>2473039.735151554</v>
      </c>
      <c r="L133" s="88">
        <f>IF(L42=0,0,1000000*L42/TrRoad_act!L82)</f>
        <v>2704454.3343879618</v>
      </c>
      <c r="M133" s="88">
        <f>IF(M42=0,0,1000000*M42/TrRoad_act!M82)</f>
        <v>2885329.4361470146</v>
      </c>
      <c r="N133" s="88">
        <f>IF(N42=0,0,1000000*N42/TrRoad_act!N82)</f>
        <v>2321939.8773651444</v>
      </c>
      <c r="O133" s="88">
        <f>IF(O42=0,0,1000000*O42/TrRoad_act!O82)</f>
        <v>2374390.2259425204</v>
      </c>
      <c r="P133" s="88">
        <f>IF(P42=0,0,1000000*P42/TrRoad_act!P82)</f>
        <v>2064507.8961548621</v>
      </c>
      <c r="Q133" s="88">
        <f>IF(Q42=0,0,1000000*Q42/TrRoad_act!Q82)</f>
        <v>2165739.1803954924</v>
      </c>
      <c r="R133" s="88">
        <f>IF(R42=0,0,1000000*R42/TrRoad_act!R82)</f>
        <v>1951398.9368513469</v>
      </c>
      <c r="S133" s="88">
        <f>IF(S42=0,0,1000000*S42/TrRoad_act!S82)</f>
        <v>1938683.0694970873</v>
      </c>
      <c r="T133" s="88">
        <f>IF(T42=0,0,1000000*T42/TrRoad_act!T82)</f>
        <v>2207527.9342104946</v>
      </c>
      <c r="U133" s="88">
        <f>IF(U42=0,0,1000000*U42/TrRoad_act!U82)</f>
        <v>2277407.8735633716</v>
      </c>
      <c r="V133" s="88">
        <f>IF(V42=0,0,1000000*V42/TrRoad_act!V82)</f>
        <v>1803988.5719890466</v>
      </c>
      <c r="W133" s="88">
        <f>IF(W42=0,0,1000000*W42/TrRoad_act!W82)</f>
        <v>1740107.3345403092</v>
      </c>
      <c r="X133" s="88">
        <f>IF(X42=0,0,1000000*X42/TrRoad_act!X82)</f>
        <v>1258212.5205386339</v>
      </c>
      <c r="Y133" s="88">
        <f>IF(Y42=0,0,1000000*Y42/TrRoad_act!Y82)</f>
        <v>1233818.4455752727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0.56826033496383155</v>
      </c>
      <c r="C136" s="46">
        <f t="shared" si="40"/>
        <v>0.55523045043126662</v>
      </c>
      <c r="D136" s="46">
        <f t="shared" si="40"/>
        <v>0.54649840232649416</v>
      </c>
      <c r="E136" s="46">
        <f t="shared" si="40"/>
        <v>0.52447670963878801</v>
      </c>
      <c r="F136" s="46">
        <f t="shared" si="40"/>
        <v>0.45887192562679979</v>
      </c>
      <c r="G136" s="46">
        <f t="shared" si="40"/>
        <v>0.42053833918590705</v>
      </c>
      <c r="H136" s="46">
        <f t="shared" si="40"/>
        <v>0.42322321243513289</v>
      </c>
      <c r="I136" s="46">
        <f t="shared" si="40"/>
        <v>0.4420589306265118</v>
      </c>
      <c r="J136" s="46">
        <f t="shared" si="40"/>
        <v>0.44401976040152752</v>
      </c>
      <c r="K136" s="46">
        <f t="shared" si="40"/>
        <v>0.47322557176344926</v>
      </c>
      <c r="L136" s="46">
        <f t="shared" si="41"/>
        <v>0.43828929847219594</v>
      </c>
      <c r="M136" s="46">
        <f t="shared" si="40"/>
        <v>0.44101889594018823</v>
      </c>
      <c r="N136" s="46">
        <f t="shared" si="40"/>
        <v>0.46119250134568179</v>
      </c>
      <c r="O136" s="46">
        <f t="shared" si="40"/>
        <v>0.4436162579202475</v>
      </c>
      <c r="P136" s="46">
        <f t="shared" si="40"/>
        <v>0.45601596704222447</v>
      </c>
      <c r="Q136" s="46">
        <f t="shared" si="40"/>
        <v>0.47061696973504097</v>
      </c>
      <c r="R136" s="46">
        <f t="shared" si="40"/>
        <v>0.47037110699823048</v>
      </c>
      <c r="S136" s="46">
        <f t="shared" si="40"/>
        <v>0.45775266182726193</v>
      </c>
      <c r="T136" s="46">
        <f t="shared" si="40"/>
        <v>0.44501924659878561</v>
      </c>
      <c r="U136" s="46">
        <f t="shared" si="40"/>
        <v>0.42595544352045284</v>
      </c>
      <c r="V136" s="46">
        <f t="shared" si="40"/>
        <v>0.42397228372240153</v>
      </c>
      <c r="W136" s="46">
        <f t="shared" si="42"/>
        <v>0.44014647019140479</v>
      </c>
      <c r="X136" s="46">
        <f t="shared" si="42"/>
        <v>0.51561956410883214</v>
      </c>
      <c r="Y136" s="46">
        <f t="shared" si="42"/>
        <v>0.55165777493579315</v>
      </c>
      <c r="DA136" s="211"/>
    </row>
    <row r="137" spans="1:105" ht="11.45" customHeight="1" x14ac:dyDescent="0.25">
      <c r="A137" s="153" t="s">
        <v>173</v>
      </c>
      <c r="B137" s="154">
        <f t="shared" si="40"/>
        <v>9.5048145859226722E-4</v>
      </c>
      <c r="C137" s="154">
        <f t="shared" si="40"/>
        <v>9.2173295050790576E-4</v>
      </c>
      <c r="D137" s="154">
        <f t="shared" si="40"/>
        <v>9.2820997571926259E-4</v>
      </c>
      <c r="E137" s="154">
        <f t="shared" si="40"/>
        <v>8.5189562036074333E-4</v>
      </c>
      <c r="F137" s="154">
        <f t="shared" si="40"/>
        <v>7.7171109427842395E-4</v>
      </c>
      <c r="G137" s="154">
        <f t="shared" si="40"/>
        <v>7.3868736407167192E-4</v>
      </c>
      <c r="H137" s="154">
        <f t="shared" si="40"/>
        <v>7.7735970440750502E-4</v>
      </c>
      <c r="I137" s="154">
        <f t="shared" si="40"/>
        <v>8.0962393707781789E-4</v>
      </c>
      <c r="J137" s="154">
        <f t="shared" si="40"/>
        <v>8.0567446508316614E-4</v>
      </c>
      <c r="K137" s="154">
        <f t="shared" si="40"/>
        <v>8.9723488683024532E-4</v>
      </c>
      <c r="L137" s="154">
        <f t="shared" si="41"/>
        <v>8.6834411257359178E-4</v>
      </c>
      <c r="M137" s="154">
        <f t="shared" si="40"/>
        <v>8.2205612402502651E-4</v>
      </c>
      <c r="N137" s="154">
        <f t="shared" si="40"/>
        <v>9.1223059214600767E-4</v>
      </c>
      <c r="O137" s="154">
        <f t="shared" si="40"/>
        <v>9.5272304316465928E-4</v>
      </c>
      <c r="P137" s="154">
        <f t="shared" si="40"/>
        <v>1.0218720607453051E-3</v>
      </c>
      <c r="Q137" s="154">
        <f t="shared" si="40"/>
        <v>1.1185636867015324E-3</v>
      </c>
      <c r="R137" s="154">
        <f t="shared" si="40"/>
        <v>1.1884252010266778E-3</v>
      </c>
      <c r="S137" s="154">
        <f t="shared" si="40"/>
        <v>1.1341762280685842E-3</v>
      </c>
      <c r="T137" s="154">
        <f t="shared" si="40"/>
        <v>1.0053467094673961E-3</v>
      </c>
      <c r="U137" s="154">
        <f t="shared" si="40"/>
        <v>1.005592128738431E-3</v>
      </c>
      <c r="V137" s="154">
        <f t="shared" si="40"/>
        <v>1.1911647340377698E-3</v>
      </c>
      <c r="W137" s="154">
        <f t="shared" si="42"/>
        <v>1.1556780540077536E-3</v>
      </c>
      <c r="X137" s="154">
        <f t="shared" si="42"/>
        <v>1.3313542267347307E-3</v>
      </c>
      <c r="Y137" s="154">
        <f t="shared" si="42"/>
        <v>1.4682106108458394E-3</v>
      </c>
      <c r="DA137" s="212"/>
    </row>
    <row r="138" spans="1:105" ht="11.45" customHeight="1" x14ac:dyDescent="0.25">
      <c r="A138" s="155" t="s">
        <v>20</v>
      </c>
      <c r="B138" s="156">
        <f t="shared" si="40"/>
        <v>0.55149037541977042</v>
      </c>
      <c r="C138" s="156">
        <f t="shared" si="40"/>
        <v>0.53876983410169033</v>
      </c>
      <c r="D138" s="156">
        <f t="shared" si="40"/>
        <v>0.52979593038552664</v>
      </c>
      <c r="E138" s="156">
        <f t="shared" si="40"/>
        <v>0.50929153870816923</v>
      </c>
      <c r="F138" s="156">
        <f t="shared" si="40"/>
        <v>0.44582282003617457</v>
      </c>
      <c r="G138" s="156">
        <f t="shared" si="40"/>
        <v>0.40791202944110183</v>
      </c>
      <c r="H138" s="156">
        <f t="shared" si="40"/>
        <v>0.41009192206386591</v>
      </c>
      <c r="I138" s="156">
        <f t="shared" si="40"/>
        <v>0.42835901161622131</v>
      </c>
      <c r="J138" s="156">
        <f t="shared" si="40"/>
        <v>0.43007308938328848</v>
      </c>
      <c r="K138" s="156">
        <f t="shared" si="40"/>
        <v>0.45772872670310638</v>
      </c>
      <c r="L138" s="156">
        <f t="shared" si="41"/>
        <v>0.42329161887879435</v>
      </c>
      <c r="M138" s="156">
        <f t="shared" si="40"/>
        <v>0.42647224934304906</v>
      </c>
      <c r="N138" s="156">
        <f t="shared" si="40"/>
        <v>0.44595537536778951</v>
      </c>
      <c r="O138" s="156">
        <f t="shared" si="40"/>
        <v>0.42798487915725192</v>
      </c>
      <c r="P138" s="156">
        <f t="shared" si="40"/>
        <v>0.43981071541194106</v>
      </c>
      <c r="Q138" s="156">
        <f t="shared" si="40"/>
        <v>0.45273378881205684</v>
      </c>
      <c r="R138" s="156">
        <f t="shared" si="40"/>
        <v>0.45158358484388322</v>
      </c>
      <c r="S138" s="156">
        <f t="shared" si="40"/>
        <v>0.43905497772061808</v>
      </c>
      <c r="T138" s="156">
        <f t="shared" si="40"/>
        <v>0.42745461042243976</v>
      </c>
      <c r="U138" s="156">
        <f t="shared" si="40"/>
        <v>0.40887797474786575</v>
      </c>
      <c r="V138" s="156">
        <f t="shared" si="40"/>
        <v>0.40282199601452334</v>
      </c>
      <c r="W138" s="156">
        <f t="shared" si="42"/>
        <v>0.42070970630426119</v>
      </c>
      <c r="X138" s="156">
        <f t="shared" si="42"/>
        <v>0.49565576526963667</v>
      </c>
      <c r="Y138" s="156">
        <f t="shared" si="42"/>
        <v>0.53235894171678899</v>
      </c>
      <c r="DA138" s="213"/>
    </row>
    <row r="139" spans="1:105" ht="11.45" customHeight="1" x14ac:dyDescent="0.25">
      <c r="A139" s="157" t="s">
        <v>110</v>
      </c>
      <c r="B139" s="103">
        <f t="shared" si="40"/>
        <v>0.35859330903582942</v>
      </c>
      <c r="C139" s="103">
        <f t="shared" si="40"/>
        <v>0.33616709289310881</v>
      </c>
      <c r="D139" s="103">
        <f t="shared" si="40"/>
        <v>0.31510257367045702</v>
      </c>
      <c r="E139" s="103">
        <f t="shared" si="40"/>
        <v>0.29007401667436494</v>
      </c>
      <c r="F139" s="103">
        <f t="shared" si="40"/>
        <v>0.24083037758161663</v>
      </c>
      <c r="G139" s="103">
        <f t="shared" si="40"/>
        <v>0.20742559511867317</v>
      </c>
      <c r="H139" s="103">
        <f t="shared" si="40"/>
        <v>0.19458175109525122</v>
      </c>
      <c r="I139" s="103">
        <f t="shared" si="40"/>
        <v>0.19410663333059058</v>
      </c>
      <c r="J139" s="103">
        <f t="shared" si="40"/>
        <v>0.18251867605727307</v>
      </c>
      <c r="K139" s="103">
        <f t="shared" si="40"/>
        <v>0.18247966941737381</v>
      </c>
      <c r="L139" s="103">
        <f t="shared" si="41"/>
        <v>0.16008542377703727</v>
      </c>
      <c r="M139" s="103">
        <f t="shared" si="40"/>
        <v>0.15406547198753257</v>
      </c>
      <c r="N139" s="103">
        <f t="shared" si="40"/>
        <v>0.15687319282514262</v>
      </c>
      <c r="O139" s="103">
        <f t="shared" si="40"/>
        <v>0.14571232167442474</v>
      </c>
      <c r="P139" s="103">
        <f t="shared" si="40"/>
        <v>0.14637035288146849</v>
      </c>
      <c r="Q139" s="103">
        <f t="shared" si="40"/>
        <v>0.14674508761169652</v>
      </c>
      <c r="R139" s="103">
        <f t="shared" si="40"/>
        <v>0.14703710109782173</v>
      </c>
      <c r="S139" s="103">
        <f t="shared" si="40"/>
        <v>0.15270913688024637</v>
      </c>
      <c r="T139" s="103">
        <f t="shared" si="40"/>
        <v>0.15625815078045285</v>
      </c>
      <c r="U139" s="103">
        <f t="shared" si="40"/>
        <v>0.15936793879150693</v>
      </c>
      <c r="V139" s="103">
        <f t="shared" si="40"/>
        <v>0.16118685164361674</v>
      </c>
      <c r="W139" s="103">
        <f t="shared" si="42"/>
        <v>0.18212647866607157</v>
      </c>
      <c r="X139" s="103">
        <f t="shared" si="42"/>
        <v>0.21242157107684692</v>
      </c>
      <c r="Y139" s="103">
        <f t="shared" si="42"/>
        <v>0.24376837145496749</v>
      </c>
      <c r="DA139" s="191"/>
    </row>
    <row r="140" spans="1:105" ht="11.45" customHeight="1" x14ac:dyDescent="0.25">
      <c r="A140" s="157" t="s">
        <v>111</v>
      </c>
      <c r="B140" s="103">
        <f t="shared" si="40"/>
        <v>0.19168254804393431</v>
      </c>
      <c r="C140" s="103">
        <f t="shared" si="40"/>
        <v>0.20086892976623744</v>
      </c>
      <c r="D140" s="103">
        <f t="shared" si="40"/>
        <v>0.21247468223987881</v>
      </c>
      <c r="E140" s="103">
        <f t="shared" si="40"/>
        <v>0.21771331677883266</v>
      </c>
      <c r="F140" s="103">
        <f t="shared" si="40"/>
        <v>0.20370444108149618</v>
      </c>
      <c r="G140" s="103">
        <f t="shared" si="40"/>
        <v>0.19967408057458186</v>
      </c>
      <c r="H140" s="103">
        <f t="shared" si="40"/>
        <v>0.21508599289708272</v>
      </c>
      <c r="I140" s="103">
        <f t="shared" si="40"/>
        <v>0.23336801353165651</v>
      </c>
      <c r="J140" s="103">
        <f t="shared" si="40"/>
        <v>0.24668262361387994</v>
      </c>
      <c r="K140" s="103">
        <f t="shared" si="40"/>
        <v>0.27461115943623549</v>
      </c>
      <c r="L140" s="103">
        <f t="shared" si="41"/>
        <v>0.2626023674678184</v>
      </c>
      <c r="M140" s="103">
        <f t="shared" si="40"/>
        <v>0.27214396739409485</v>
      </c>
      <c r="N140" s="103">
        <f t="shared" si="40"/>
        <v>0.28802238478345754</v>
      </c>
      <c r="O140" s="103">
        <f t="shared" si="40"/>
        <v>0.28132283147554127</v>
      </c>
      <c r="P140" s="103">
        <f t="shared" si="40"/>
        <v>0.29239817713429694</v>
      </c>
      <c r="Q140" s="103">
        <f t="shared" si="40"/>
        <v>0.30523709959064649</v>
      </c>
      <c r="R140" s="103">
        <f t="shared" si="40"/>
        <v>0.3037407450847916</v>
      </c>
      <c r="S140" s="103">
        <f t="shared" si="40"/>
        <v>0.28570321575235191</v>
      </c>
      <c r="T140" s="103">
        <f t="shared" si="40"/>
        <v>0.27056170822664211</v>
      </c>
      <c r="U140" s="103">
        <f t="shared" si="40"/>
        <v>0.24865719244461559</v>
      </c>
      <c r="V140" s="103">
        <f t="shared" si="40"/>
        <v>0.24044637284158968</v>
      </c>
      <c r="W140" s="103">
        <f t="shared" si="42"/>
        <v>0.2362680088424943</v>
      </c>
      <c r="X140" s="103">
        <f t="shared" si="42"/>
        <v>0.27986325739474549</v>
      </c>
      <c r="Y140" s="103">
        <f t="shared" si="42"/>
        <v>0.28380803813807137</v>
      </c>
      <c r="DA140" s="191"/>
    </row>
    <row r="141" spans="1:105" ht="11.45" customHeight="1" x14ac:dyDescent="0.25">
      <c r="A141" s="157" t="s">
        <v>112</v>
      </c>
      <c r="B141" s="103">
        <f t="shared" si="40"/>
        <v>1.2145183400067816E-3</v>
      </c>
      <c r="C141" s="103">
        <f t="shared" si="40"/>
        <v>1.7338114423440271E-3</v>
      </c>
      <c r="D141" s="103">
        <f t="shared" si="40"/>
        <v>2.2186744751908618E-3</v>
      </c>
      <c r="E141" s="103">
        <f t="shared" si="40"/>
        <v>1.5042052549715697E-3</v>
      </c>
      <c r="F141" s="103">
        <f t="shared" si="40"/>
        <v>1.2880013730617501E-3</v>
      </c>
      <c r="G141" s="103">
        <f t="shared" si="40"/>
        <v>8.1235374784678095E-4</v>
      </c>
      <c r="H141" s="103">
        <f t="shared" si="40"/>
        <v>4.2417807153198128E-4</v>
      </c>
      <c r="I141" s="103">
        <f t="shared" si="40"/>
        <v>8.8436475397423266E-4</v>
      </c>
      <c r="J141" s="103">
        <f t="shared" si="40"/>
        <v>8.7178971213548175E-4</v>
      </c>
      <c r="K141" s="103">
        <f t="shared" si="40"/>
        <v>6.3789784949702904E-4</v>
      </c>
      <c r="L141" s="103">
        <f t="shared" si="41"/>
        <v>6.0382763393867112E-4</v>
      </c>
      <c r="M141" s="103">
        <f t="shared" si="40"/>
        <v>2.6280996142156196E-4</v>
      </c>
      <c r="N141" s="103">
        <f t="shared" si="40"/>
        <v>7.5250513538196301E-4</v>
      </c>
      <c r="O141" s="103">
        <f t="shared" si="40"/>
        <v>4.9433275769383562E-4</v>
      </c>
      <c r="P141" s="103">
        <f t="shared" si="40"/>
        <v>5.8743781710947666E-4</v>
      </c>
      <c r="Q141" s="103">
        <f t="shared" si="40"/>
        <v>3.0158491904471948E-4</v>
      </c>
      <c r="R141" s="103">
        <f t="shared" si="40"/>
        <v>3.3769100586867847E-4</v>
      </c>
      <c r="S141" s="103">
        <f t="shared" si="40"/>
        <v>2.7880257443331117E-4</v>
      </c>
      <c r="T141" s="103">
        <f t="shared" si="40"/>
        <v>1.1226581879730341E-4</v>
      </c>
      <c r="U141" s="103">
        <f t="shared" si="40"/>
        <v>8.5130210807871654E-5</v>
      </c>
      <c r="V141" s="103">
        <f t="shared" si="40"/>
        <v>6.1937605047059709E-5</v>
      </c>
      <c r="W141" s="103">
        <f t="shared" si="42"/>
        <v>9.7651444059944757E-5</v>
      </c>
      <c r="X141" s="103">
        <f t="shared" si="42"/>
        <v>1.1450968905097537E-4</v>
      </c>
      <c r="Y141" s="103">
        <f t="shared" si="42"/>
        <v>1.7671359884065474E-4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X142" s="103">
        <f t="shared" si="42"/>
        <v>0</v>
      </c>
      <c r="Y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3.0729262380743564E-4</v>
      </c>
      <c r="O143" s="103">
        <f t="shared" si="40"/>
        <v>4.5539324959201498E-4</v>
      </c>
      <c r="P143" s="103">
        <f t="shared" si="40"/>
        <v>4.5474757906618007E-4</v>
      </c>
      <c r="Q143" s="103">
        <f t="shared" si="40"/>
        <v>4.5001669066913513E-4</v>
      </c>
      <c r="R143" s="103">
        <f t="shared" si="40"/>
        <v>4.6804765540122057E-4</v>
      </c>
      <c r="S143" s="103">
        <f t="shared" si="40"/>
        <v>3.6382251358652392E-4</v>
      </c>
      <c r="T143" s="103">
        <f t="shared" si="40"/>
        <v>5.2248559654746491E-4</v>
      </c>
      <c r="U143" s="103">
        <f t="shared" si="40"/>
        <v>7.6771330093537552E-4</v>
      </c>
      <c r="V143" s="103">
        <f t="shared" si="40"/>
        <v>1.1268339242698898E-3</v>
      </c>
      <c r="W143" s="103">
        <f t="shared" si="42"/>
        <v>2.217567351635375E-3</v>
      </c>
      <c r="X143" s="103">
        <f t="shared" si="42"/>
        <v>3.2564271089931518E-3</v>
      </c>
      <c r="Y143" s="103">
        <f t="shared" si="42"/>
        <v>4.6058185249094885E-3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1.5819478085468911E-2</v>
      </c>
      <c r="C145" s="156">
        <f t="shared" si="40"/>
        <v>1.5538883379068339E-2</v>
      </c>
      <c r="D145" s="156">
        <f t="shared" si="40"/>
        <v>1.5774261965248223E-2</v>
      </c>
      <c r="E145" s="156">
        <f t="shared" si="40"/>
        <v>1.4333275310258031E-2</v>
      </c>
      <c r="F145" s="156">
        <f t="shared" si="40"/>
        <v>1.2277394496346768E-2</v>
      </c>
      <c r="G145" s="156">
        <f t="shared" si="40"/>
        <v>1.1887622380733563E-2</v>
      </c>
      <c r="H145" s="156">
        <f t="shared" si="40"/>
        <v>1.2353930666859482E-2</v>
      </c>
      <c r="I145" s="156">
        <f t="shared" si="40"/>
        <v>1.2890295073212692E-2</v>
      </c>
      <c r="J145" s="156">
        <f t="shared" si="40"/>
        <v>1.3140996553155948E-2</v>
      </c>
      <c r="K145" s="156">
        <f t="shared" si="40"/>
        <v>1.4599610173512688E-2</v>
      </c>
      <c r="L145" s="156">
        <f t="shared" si="41"/>
        <v>1.4129335480828047E-2</v>
      </c>
      <c r="M145" s="156">
        <f t="shared" si="40"/>
        <v>1.3724590473114143E-2</v>
      </c>
      <c r="N145" s="156">
        <f t="shared" si="40"/>
        <v>1.4324895385746338E-2</v>
      </c>
      <c r="O145" s="156">
        <f t="shared" si="40"/>
        <v>1.4678655719830876E-2</v>
      </c>
      <c r="P145" s="156">
        <f t="shared" si="40"/>
        <v>1.5183379569538139E-2</v>
      </c>
      <c r="Q145" s="156">
        <f t="shared" si="40"/>
        <v>1.6764617236282614E-2</v>
      </c>
      <c r="R145" s="156">
        <f t="shared" si="40"/>
        <v>1.759909695332057E-2</v>
      </c>
      <c r="S145" s="156">
        <f t="shared" si="40"/>
        <v>1.7563507878575295E-2</v>
      </c>
      <c r="T145" s="156">
        <f t="shared" si="40"/>
        <v>1.6559289466878464E-2</v>
      </c>
      <c r="U145" s="156">
        <f t="shared" si="40"/>
        <v>1.6071876643848654E-2</v>
      </c>
      <c r="V145" s="156">
        <f t="shared" si="40"/>
        <v>1.9959122973840372E-2</v>
      </c>
      <c r="W145" s="156">
        <f t="shared" si="42"/>
        <v>1.8281085833135861E-2</v>
      </c>
      <c r="X145" s="156">
        <f t="shared" si="42"/>
        <v>1.8632444612460827E-2</v>
      </c>
      <c r="Y145" s="156">
        <f t="shared" si="42"/>
        <v>1.783062260815834E-2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6.1924463975082628E-7</v>
      </c>
      <c r="U146" s="103">
        <f t="shared" si="40"/>
        <v>5.7433421077533304E-7</v>
      </c>
      <c r="V146" s="103">
        <f t="shared" si="40"/>
        <v>7.1120628684460175E-7</v>
      </c>
      <c r="W146" s="103">
        <f t="shared" si="42"/>
        <v>1.2083190522238719E-6</v>
      </c>
      <c r="X146" s="103">
        <f t="shared" si="42"/>
        <v>1.8768045470486348E-6</v>
      </c>
      <c r="Y146" s="103">
        <f t="shared" si="42"/>
        <v>1.8090961250780952E-6</v>
      </c>
      <c r="DA146" s="191"/>
    </row>
    <row r="147" spans="1:105" ht="11.45" customHeight="1" x14ac:dyDescent="0.25">
      <c r="A147" s="157" t="s">
        <v>111</v>
      </c>
      <c r="B147" s="103">
        <f t="shared" si="40"/>
        <v>1.5819478085468911E-2</v>
      </c>
      <c r="C147" s="103">
        <f t="shared" si="40"/>
        <v>1.5538883379068339E-2</v>
      </c>
      <c r="D147" s="103">
        <f t="shared" si="40"/>
        <v>1.5774261965248223E-2</v>
      </c>
      <c r="E147" s="103">
        <f t="shared" si="40"/>
        <v>1.4333275310258031E-2</v>
      </c>
      <c r="F147" s="103">
        <f t="shared" si="40"/>
        <v>1.2277394496346768E-2</v>
      </c>
      <c r="G147" s="103">
        <f t="shared" si="40"/>
        <v>1.1887622380733563E-2</v>
      </c>
      <c r="H147" s="103">
        <f t="shared" si="40"/>
        <v>1.2353930666859482E-2</v>
      </c>
      <c r="I147" s="103">
        <f t="shared" si="40"/>
        <v>1.2890295073212692E-2</v>
      </c>
      <c r="J147" s="103">
        <f t="shared" si="40"/>
        <v>1.3140996553155948E-2</v>
      </c>
      <c r="K147" s="103">
        <f t="shared" si="40"/>
        <v>1.4599610173512688E-2</v>
      </c>
      <c r="L147" s="103">
        <f t="shared" si="41"/>
        <v>1.4129335480828047E-2</v>
      </c>
      <c r="M147" s="103">
        <f t="shared" si="40"/>
        <v>1.3724590473114143E-2</v>
      </c>
      <c r="N147" s="103">
        <f t="shared" si="40"/>
        <v>1.4324895385746338E-2</v>
      </c>
      <c r="O147" s="103">
        <f t="shared" si="40"/>
        <v>1.4678655719830876E-2</v>
      </c>
      <c r="P147" s="103">
        <f t="shared" si="40"/>
        <v>1.5183379569538139E-2</v>
      </c>
      <c r="Q147" s="103">
        <f t="shared" si="40"/>
        <v>1.6764617236282614E-2</v>
      </c>
      <c r="R147" s="103">
        <f t="shared" ref="R147:V147" si="43">IF(R29=0,0,R29/R$17)</f>
        <v>1.759909695332057E-2</v>
      </c>
      <c r="S147" s="103">
        <f t="shared" si="43"/>
        <v>1.7563507878575295E-2</v>
      </c>
      <c r="T147" s="103">
        <f t="shared" si="43"/>
        <v>1.6558670222238715E-2</v>
      </c>
      <c r="U147" s="103">
        <f t="shared" si="43"/>
        <v>1.6071302309637877E-2</v>
      </c>
      <c r="V147" s="103">
        <f t="shared" si="43"/>
        <v>1.9958411767553527E-2</v>
      </c>
      <c r="W147" s="103">
        <f t="shared" ref="W147:Y147" si="44">IF(W29=0,0,W29/W$17)</f>
        <v>1.827987751408364E-2</v>
      </c>
      <c r="X147" s="103">
        <f t="shared" si="44"/>
        <v>1.8630567807913778E-2</v>
      </c>
      <c r="Y147" s="103">
        <f t="shared" si="44"/>
        <v>1.7828813512033262E-2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:Y149" si="51">IF(W31=0,0,W31/W$17)</f>
        <v>0</v>
      </c>
      <c r="X149" s="103">
        <f t="shared" si="51"/>
        <v>0</v>
      </c>
      <c r="Y149" s="103">
        <f t="shared" si="51"/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0.43173966503616845</v>
      </c>
      <c r="C151" s="46">
        <f t="shared" si="55"/>
        <v>0.44476954956873332</v>
      </c>
      <c r="D151" s="46">
        <f t="shared" si="55"/>
        <v>0.4535015976735059</v>
      </c>
      <c r="E151" s="46">
        <f t="shared" si="55"/>
        <v>0.47552329036121199</v>
      </c>
      <c r="F151" s="46">
        <f t="shared" si="55"/>
        <v>0.54112807437320032</v>
      </c>
      <c r="G151" s="46">
        <f t="shared" si="55"/>
        <v>0.57946166081409289</v>
      </c>
      <c r="H151" s="46">
        <f t="shared" si="55"/>
        <v>0.57677678756486706</v>
      </c>
      <c r="I151" s="46">
        <f t="shared" si="55"/>
        <v>0.55794106937348809</v>
      </c>
      <c r="J151" s="46">
        <f t="shared" si="55"/>
        <v>0.55598023959847243</v>
      </c>
      <c r="K151" s="46">
        <f t="shared" si="55"/>
        <v>0.52677442823655063</v>
      </c>
      <c r="L151" s="46">
        <f t="shared" ref="L151" si="56">IF(L33=0,0,L33/L$17)</f>
        <v>0.561710701527804</v>
      </c>
      <c r="M151" s="46">
        <f t="shared" ref="M151:V151" si="57">IF(M33=0,0,M33/M$17)</f>
        <v>0.55898110405981183</v>
      </c>
      <c r="N151" s="46">
        <f t="shared" si="57"/>
        <v>0.53880749865431821</v>
      </c>
      <c r="O151" s="46">
        <f t="shared" si="57"/>
        <v>0.55638374207975239</v>
      </c>
      <c r="P151" s="46">
        <f t="shared" si="57"/>
        <v>0.54398403295777553</v>
      </c>
      <c r="Q151" s="46">
        <f t="shared" si="57"/>
        <v>0.52938303026495892</v>
      </c>
      <c r="R151" s="46">
        <f t="shared" si="57"/>
        <v>0.52962889300176941</v>
      </c>
      <c r="S151" s="46">
        <f t="shared" si="57"/>
        <v>0.54224733817273807</v>
      </c>
      <c r="T151" s="46">
        <f t="shared" si="57"/>
        <v>0.55498075340121444</v>
      </c>
      <c r="U151" s="46">
        <f t="shared" si="57"/>
        <v>0.57404455647954722</v>
      </c>
      <c r="V151" s="46">
        <f t="shared" si="57"/>
        <v>0.57602771627759852</v>
      </c>
      <c r="W151" s="46">
        <f t="shared" ref="W151:Y151" si="58">IF(W33=0,0,W33/W$17)</f>
        <v>0.55985352980859526</v>
      </c>
      <c r="X151" s="46">
        <f t="shared" si="58"/>
        <v>0.4843804358911678</v>
      </c>
      <c r="Y151" s="46">
        <f t="shared" si="58"/>
        <v>0.44834222506420685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2.1252833090724073E-2</v>
      </c>
      <c r="C152" s="154">
        <f t="shared" si="59"/>
        <v>2.0877037747766829E-2</v>
      </c>
      <c r="D152" s="154">
        <f t="shared" si="59"/>
        <v>2.0893134169724225E-2</v>
      </c>
      <c r="E152" s="154">
        <f t="shared" si="59"/>
        <v>1.9258920250482151E-2</v>
      </c>
      <c r="F152" s="154">
        <f t="shared" si="59"/>
        <v>1.6885153346052728E-2</v>
      </c>
      <c r="G152" s="154">
        <f t="shared" si="59"/>
        <v>1.6530528910904039E-2</v>
      </c>
      <c r="H152" s="154">
        <f t="shared" si="59"/>
        <v>1.7912207149495544E-2</v>
      </c>
      <c r="I152" s="154">
        <f t="shared" si="59"/>
        <v>1.9493878011099249E-2</v>
      </c>
      <c r="J152" s="154">
        <f t="shared" si="59"/>
        <v>2.016499471567286E-2</v>
      </c>
      <c r="K152" s="154">
        <f t="shared" si="59"/>
        <v>2.1899721779917232E-2</v>
      </c>
      <c r="L152" s="154">
        <f t="shared" ref="L152" si="60">IF(L34=0,0,L34/L$17)</f>
        <v>2.1601302132645051E-2</v>
      </c>
      <c r="M152" s="154">
        <f t="shared" ref="M152:V152" si="61">IF(M34=0,0,M34/M$17)</f>
        <v>2.1590518717080349E-2</v>
      </c>
      <c r="N152" s="154">
        <f t="shared" si="61"/>
        <v>2.3030224317494036E-2</v>
      </c>
      <c r="O152" s="154">
        <f t="shared" si="61"/>
        <v>2.3800805917955078E-2</v>
      </c>
      <c r="P152" s="154">
        <f t="shared" si="61"/>
        <v>2.5895215359492248E-2</v>
      </c>
      <c r="Q152" s="154">
        <f t="shared" si="61"/>
        <v>2.8552411343717873E-2</v>
      </c>
      <c r="R152" s="154">
        <f t="shared" si="61"/>
        <v>3.0600709860366868E-2</v>
      </c>
      <c r="S152" s="154">
        <f t="shared" si="61"/>
        <v>3.0054626073380716E-2</v>
      </c>
      <c r="T152" s="154">
        <f t="shared" si="61"/>
        <v>2.8946827955316504E-2</v>
      </c>
      <c r="U152" s="154">
        <f t="shared" si="61"/>
        <v>2.8560662110464784E-2</v>
      </c>
      <c r="V152" s="154">
        <f t="shared" si="61"/>
        <v>3.7143721982120938E-2</v>
      </c>
      <c r="W152" s="154">
        <f t="shared" ref="W152:Y152" si="62">IF(W34=0,0,W34/W$17)</f>
        <v>3.647761441189213E-2</v>
      </c>
      <c r="X152" s="154">
        <f t="shared" si="62"/>
        <v>3.7525140113507577E-2</v>
      </c>
      <c r="Y152" s="154">
        <f t="shared" si="62"/>
        <v>3.8398338570206282E-2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1.8452308373004096E-3</v>
      </c>
      <c r="C153" s="103">
        <f t="shared" si="63"/>
        <v>1.5675249088974023E-3</v>
      </c>
      <c r="D153" s="103">
        <f t="shared" si="63"/>
        <v>1.3642525173122378E-3</v>
      </c>
      <c r="E153" s="103">
        <f t="shared" si="63"/>
        <v>1.0971003777385964E-3</v>
      </c>
      <c r="F153" s="103">
        <f t="shared" si="63"/>
        <v>8.1674377869033377E-4</v>
      </c>
      <c r="G153" s="103">
        <f t="shared" si="63"/>
        <v>6.7062837857759586E-4</v>
      </c>
      <c r="H153" s="103">
        <f t="shared" si="63"/>
        <v>6.1663905490035031E-4</v>
      </c>
      <c r="I153" s="103">
        <f t="shared" si="63"/>
        <v>5.8438737124887725E-4</v>
      </c>
      <c r="J153" s="103">
        <f t="shared" si="63"/>
        <v>5.36826064001803E-4</v>
      </c>
      <c r="K153" s="103">
        <f t="shared" si="63"/>
        <v>5.0994761407769046E-4</v>
      </c>
      <c r="L153" s="103">
        <f t="shared" ref="L153" si="64">IF(L35=0,0,L35/L$17)</f>
        <v>4.6088983798274789E-4</v>
      </c>
      <c r="M153" s="103">
        <f t="shared" ref="M153:V153" si="65">IF(M35=0,0,M35/M$17)</f>
        <v>4.1035447582277222E-4</v>
      </c>
      <c r="N153" s="103">
        <f t="shared" si="65"/>
        <v>4.0123776074447136E-4</v>
      </c>
      <c r="O153" s="103">
        <f t="shared" si="65"/>
        <v>3.9395095374847674E-4</v>
      </c>
      <c r="P153" s="103">
        <f t="shared" si="65"/>
        <v>4.1056935687666185E-4</v>
      </c>
      <c r="Q153" s="103">
        <f t="shared" si="65"/>
        <v>4.3137766266470332E-4</v>
      </c>
      <c r="R153" s="103">
        <f t="shared" si="65"/>
        <v>4.4644711253013234E-4</v>
      </c>
      <c r="S153" s="103">
        <f t="shared" si="65"/>
        <v>4.4489707130548038E-4</v>
      </c>
      <c r="T153" s="103">
        <f t="shared" si="65"/>
        <v>4.3625623847526383E-4</v>
      </c>
      <c r="U153" s="103">
        <f t="shared" si="65"/>
        <v>4.2868611811276534E-4</v>
      </c>
      <c r="V153" s="103">
        <f t="shared" si="65"/>
        <v>5.7357143253847871E-4</v>
      </c>
      <c r="W153" s="103">
        <f t="shared" ref="W153:Y153" si="66">IF(W35=0,0,W35/W$17)</f>
        <v>5.5266663945725532E-4</v>
      </c>
      <c r="X153" s="103">
        <f t="shared" si="66"/>
        <v>5.7737535591915437E-4</v>
      </c>
      <c r="Y153" s="103">
        <f t="shared" si="66"/>
        <v>6.6490030249632818E-4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1.9407602253423663E-2</v>
      </c>
      <c r="C154" s="103">
        <f t="shared" si="67"/>
        <v>1.930951283886943E-2</v>
      </c>
      <c r="D154" s="103">
        <f t="shared" si="67"/>
        <v>1.9528881652411987E-2</v>
      </c>
      <c r="E154" s="103">
        <f t="shared" si="67"/>
        <v>1.8161819872743557E-2</v>
      </c>
      <c r="F154" s="103">
        <f t="shared" si="67"/>
        <v>1.6068409567362392E-2</v>
      </c>
      <c r="G154" s="103">
        <f t="shared" si="67"/>
        <v>1.5859900532326443E-2</v>
      </c>
      <c r="H154" s="103">
        <f t="shared" si="67"/>
        <v>1.7295568094595194E-2</v>
      </c>
      <c r="I154" s="103">
        <f t="shared" si="67"/>
        <v>1.8909490639850372E-2</v>
      </c>
      <c r="J154" s="103">
        <f t="shared" si="67"/>
        <v>1.9628168651671059E-2</v>
      </c>
      <c r="K154" s="103">
        <f t="shared" si="67"/>
        <v>2.138977416583954E-2</v>
      </c>
      <c r="L154" s="103">
        <f t="shared" ref="L154" si="68">IF(L36=0,0,L36/L$17)</f>
        <v>2.1140412294662302E-2</v>
      </c>
      <c r="M154" s="103">
        <f t="shared" ref="M154:V154" si="69">IF(M36=0,0,M36/M$17)</f>
        <v>2.1180164241257578E-2</v>
      </c>
      <c r="N154" s="103">
        <f t="shared" si="69"/>
        <v>2.2628986556749563E-2</v>
      </c>
      <c r="O154" s="103">
        <f t="shared" si="69"/>
        <v>2.3373942243426607E-2</v>
      </c>
      <c r="P154" s="103">
        <f t="shared" si="69"/>
        <v>2.5435262988570139E-2</v>
      </c>
      <c r="Q154" s="103">
        <f t="shared" si="69"/>
        <v>2.8078970311121717E-2</v>
      </c>
      <c r="R154" s="103">
        <f t="shared" si="69"/>
        <v>3.0108545476829337E-2</v>
      </c>
      <c r="S154" s="103">
        <f t="shared" si="69"/>
        <v>2.956325871969329E-2</v>
      </c>
      <c r="T154" s="103">
        <f t="shared" si="69"/>
        <v>2.8460842208610102E-2</v>
      </c>
      <c r="U154" s="103">
        <f t="shared" si="69"/>
        <v>2.8078480975327252E-2</v>
      </c>
      <c r="V154" s="103">
        <f t="shared" si="69"/>
        <v>3.6522999014047812E-2</v>
      </c>
      <c r="W154" s="103">
        <f t="shared" ref="W154:Y154" si="70">IF(W36=0,0,W36/W$17)</f>
        <v>3.5871747436182211E-2</v>
      </c>
      <c r="X154" s="103">
        <f t="shared" si="70"/>
        <v>3.6895388811902061E-2</v>
      </c>
      <c r="Y154" s="103">
        <f t="shared" si="70"/>
        <v>3.7657125493890671E-2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3.2912720779994751E-5</v>
      </c>
      <c r="P155" s="103">
        <f t="shared" si="73"/>
        <v>4.9383014045447522E-5</v>
      </c>
      <c r="Q155" s="103">
        <f t="shared" si="73"/>
        <v>4.2063369931452875E-5</v>
      </c>
      <c r="R155" s="103">
        <f t="shared" si="73"/>
        <v>4.5717271007399887E-5</v>
      </c>
      <c r="S155" s="103">
        <f t="shared" si="73"/>
        <v>4.6470282381947056E-5</v>
      </c>
      <c r="T155" s="103">
        <f t="shared" si="73"/>
        <v>4.9729508231134645E-5</v>
      </c>
      <c r="U155" s="103">
        <f t="shared" si="73"/>
        <v>5.3495017024768255E-5</v>
      </c>
      <c r="V155" s="103">
        <f t="shared" si="73"/>
        <v>4.7151535534640386E-5</v>
      </c>
      <c r="W155" s="103">
        <f t="shared" ref="W155:Y155" si="74">IF(W37=0,0,W37/W$17)</f>
        <v>5.3200336252661585E-5</v>
      </c>
      <c r="X155" s="103">
        <f t="shared" si="74"/>
        <v>5.2375945686364164E-5</v>
      </c>
      <c r="Y155" s="103">
        <f t="shared" si="74"/>
        <v>7.6312773819277546E-5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:Y156" si="78">IF(W38=0,0,W38/W$17)</f>
        <v>0</v>
      </c>
      <c r="X156" s="103">
        <f t="shared" si="78"/>
        <v>0</v>
      </c>
      <c r="Y156" s="103">
        <f t="shared" si="78"/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0.41048683194544433</v>
      </c>
      <c r="C158" s="156">
        <f t="shared" si="83"/>
        <v>0.42389251182096649</v>
      </c>
      <c r="D158" s="156">
        <f t="shared" si="83"/>
        <v>0.43260846350378168</v>
      </c>
      <c r="E158" s="156">
        <f t="shared" si="83"/>
        <v>0.45626437011072984</v>
      </c>
      <c r="F158" s="156">
        <f t="shared" si="83"/>
        <v>0.52424292102714753</v>
      </c>
      <c r="G158" s="156">
        <f t="shared" si="83"/>
        <v>0.56293113190318889</v>
      </c>
      <c r="H158" s="156">
        <f t="shared" si="83"/>
        <v>0.55886458041537146</v>
      </c>
      <c r="I158" s="156">
        <f t="shared" si="83"/>
        <v>0.53844719136238883</v>
      </c>
      <c r="J158" s="156">
        <f t="shared" si="83"/>
        <v>0.53581524488279964</v>
      </c>
      <c r="K158" s="156">
        <f t="shared" si="83"/>
        <v>0.50487470645663346</v>
      </c>
      <c r="L158" s="156">
        <f t="shared" ref="L158" si="84">IF(L40=0,0,L40/L$17)</f>
        <v>0.54010939939515901</v>
      </c>
      <c r="M158" s="156">
        <f t="shared" ref="M158:V158" si="85">IF(M40=0,0,M40/M$17)</f>
        <v>0.53739058534273143</v>
      </c>
      <c r="N158" s="156">
        <f t="shared" si="85"/>
        <v>0.51577727433682419</v>
      </c>
      <c r="O158" s="156">
        <f t="shared" si="85"/>
        <v>0.53258293616179742</v>
      </c>
      <c r="P158" s="156">
        <f t="shared" si="85"/>
        <v>0.51808881759828318</v>
      </c>
      <c r="Q158" s="156">
        <f t="shared" si="85"/>
        <v>0.50083061892124114</v>
      </c>
      <c r="R158" s="156">
        <f t="shared" si="85"/>
        <v>0.49902818314140257</v>
      </c>
      <c r="S158" s="156">
        <f t="shared" si="85"/>
        <v>0.51219271209935735</v>
      </c>
      <c r="T158" s="156">
        <f t="shared" si="85"/>
        <v>0.52603392544589789</v>
      </c>
      <c r="U158" s="156">
        <f t="shared" si="85"/>
        <v>0.5454838943690824</v>
      </c>
      <c r="V158" s="156">
        <f t="shared" si="85"/>
        <v>0.53888399429547762</v>
      </c>
      <c r="W158" s="156">
        <f t="shared" ref="W158:Y158" si="86">IF(W40=0,0,W40/W$17)</f>
        <v>0.52337591539670314</v>
      </c>
      <c r="X158" s="156">
        <f t="shared" si="86"/>
        <v>0.44685529577766026</v>
      </c>
      <c r="Y158" s="156">
        <f t="shared" si="86"/>
        <v>0.40994388649400054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1.7872400982294891E-2</v>
      </c>
      <c r="C159" s="103">
        <f t="shared" si="87"/>
        <v>1.9368958815544991E-2</v>
      </c>
      <c r="D159" s="103">
        <f t="shared" si="87"/>
        <v>2.1557014698931756E-2</v>
      </c>
      <c r="E159" s="103">
        <f t="shared" si="87"/>
        <v>1.9596994193913923E-2</v>
      </c>
      <c r="F159" s="103">
        <f t="shared" si="87"/>
        <v>1.6843881222958292E-2</v>
      </c>
      <c r="G159" s="103">
        <f t="shared" si="87"/>
        <v>1.5394449371741396E-2</v>
      </c>
      <c r="H159" s="103">
        <f t="shared" si="87"/>
        <v>1.7459314356641917E-2</v>
      </c>
      <c r="I159" s="103">
        <f t="shared" si="87"/>
        <v>1.7081574475969034E-2</v>
      </c>
      <c r="J159" s="103">
        <f t="shared" si="87"/>
        <v>1.5559918436129166E-2</v>
      </c>
      <c r="K159" s="103">
        <f t="shared" si="87"/>
        <v>1.0929061177449198E-2</v>
      </c>
      <c r="L159" s="103">
        <f t="shared" ref="L159" si="88">IF(L41=0,0,L41/L$17)</f>
        <v>1.1638226113065888E-2</v>
      </c>
      <c r="M159" s="103">
        <f t="shared" ref="M159:V159" si="89">IF(M41=0,0,M41/M$17)</f>
        <v>1.1945504416498045E-2</v>
      </c>
      <c r="N159" s="103">
        <f t="shared" si="89"/>
        <v>1.8312799547845565E-2</v>
      </c>
      <c r="O159" s="103">
        <f t="shared" si="89"/>
        <v>1.4943458974977076E-2</v>
      </c>
      <c r="P159" s="103">
        <f t="shared" si="89"/>
        <v>2.0103961018867647E-2</v>
      </c>
      <c r="Q159" s="103">
        <f t="shared" si="89"/>
        <v>1.8748714296017217E-2</v>
      </c>
      <c r="R159" s="103">
        <f t="shared" si="89"/>
        <v>1.9492174283696085E-2</v>
      </c>
      <c r="S159" s="103">
        <f t="shared" si="89"/>
        <v>1.8242428045071427E-2</v>
      </c>
      <c r="T159" s="103">
        <f t="shared" si="89"/>
        <v>1.7781831478259198E-2</v>
      </c>
      <c r="U159" s="103">
        <f t="shared" si="89"/>
        <v>1.72354301811854E-2</v>
      </c>
      <c r="V159" s="103">
        <f t="shared" si="89"/>
        <v>1.8228521483364093E-2</v>
      </c>
      <c r="W159" s="103">
        <f t="shared" ref="W159:Y159" si="90">IF(W41=0,0,W41/W$17)</f>
        <v>2.0191123622777425E-2</v>
      </c>
      <c r="X159" s="103">
        <f t="shared" si="90"/>
        <v>2.1286558059441969E-2</v>
      </c>
      <c r="Y159" s="103">
        <f t="shared" si="90"/>
        <v>1.9872327677081629E-2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0.39261443096314946</v>
      </c>
      <c r="C160" s="105">
        <f t="shared" si="91"/>
        <v>0.40452355300542153</v>
      </c>
      <c r="D160" s="105">
        <f t="shared" si="91"/>
        <v>0.41105144880484989</v>
      </c>
      <c r="E160" s="105">
        <f t="shared" si="91"/>
        <v>0.43666737591681593</v>
      </c>
      <c r="F160" s="105">
        <f t="shared" si="91"/>
        <v>0.50739903980418921</v>
      </c>
      <c r="G160" s="105">
        <f t="shared" si="91"/>
        <v>0.54753668253144738</v>
      </c>
      <c r="H160" s="105">
        <f t="shared" si="91"/>
        <v>0.54140526605872963</v>
      </c>
      <c r="I160" s="105">
        <f t="shared" si="91"/>
        <v>0.5213656168864198</v>
      </c>
      <c r="J160" s="105">
        <f t="shared" si="91"/>
        <v>0.52025532644667039</v>
      </c>
      <c r="K160" s="105">
        <f t="shared" si="91"/>
        <v>0.49394564527918416</v>
      </c>
      <c r="L160" s="105">
        <f t="shared" ref="L160" si="92">IF(L42=0,0,L42/L$17)</f>
        <v>0.52847117328209314</v>
      </c>
      <c r="M160" s="105">
        <f t="shared" ref="M160:V160" si="93">IF(M42=0,0,M42/M$17)</f>
        <v>0.52544508092623332</v>
      </c>
      <c r="N160" s="105">
        <f t="shared" si="93"/>
        <v>0.49746447478897865</v>
      </c>
      <c r="O160" s="105">
        <f t="shared" si="93"/>
        <v>0.51763947718682035</v>
      </c>
      <c r="P160" s="105">
        <f t="shared" si="93"/>
        <v>0.49798485657941555</v>
      </c>
      <c r="Q160" s="105">
        <f t="shared" si="93"/>
        <v>0.48208190462522393</v>
      </c>
      <c r="R160" s="105">
        <f t="shared" si="93"/>
        <v>0.47953600885770647</v>
      </c>
      <c r="S160" s="105">
        <f t="shared" si="93"/>
        <v>0.49395028405428593</v>
      </c>
      <c r="T160" s="105">
        <f t="shared" si="93"/>
        <v>0.50825209396763871</v>
      </c>
      <c r="U160" s="105">
        <f t="shared" si="93"/>
        <v>0.52824846418789695</v>
      </c>
      <c r="V160" s="105">
        <f t="shared" si="93"/>
        <v>0.52065547281211344</v>
      </c>
      <c r="W160" s="105">
        <f t="shared" ref="W160:Y160" si="94">IF(W42=0,0,W42/W$17)</f>
        <v>0.50318479177392572</v>
      </c>
      <c r="X160" s="105">
        <f t="shared" si="94"/>
        <v>0.42556873771821829</v>
      </c>
      <c r="Y160" s="105">
        <f t="shared" si="94"/>
        <v>0.39007155881691891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305318</v>
      </c>
      <c r="C3" s="54">
        <f>TrRoad_act!C57</f>
        <v>312594</v>
      </c>
      <c r="D3" s="54">
        <f>TrRoad_act!D57</f>
        <v>320081</v>
      </c>
      <c r="E3" s="54">
        <f>TrRoad_act!E57</f>
        <v>328449</v>
      </c>
      <c r="F3" s="54">
        <f>TrRoad_act!F57</f>
        <v>336491</v>
      </c>
      <c r="G3" s="54">
        <f>TrRoad_act!G57</f>
        <v>347625</v>
      </c>
      <c r="H3" s="54">
        <f>TrRoad_act!H57</f>
        <v>358157</v>
      </c>
      <c r="I3" s="54">
        <f>TrRoad_act!I57</f>
        <v>367288</v>
      </c>
      <c r="J3" s="54">
        <f>TrRoad_act!J57</f>
        <v>377317</v>
      </c>
      <c r="K3" s="54">
        <f>TrRoad_act!K57</f>
        <v>383973</v>
      </c>
      <c r="L3" s="54">
        <f>TrRoad_act!L57</f>
        <v>392113</v>
      </c>
      <c r="M3" s="54">
        <f>TrRoad_act!M57</f>
        <v>403040</v>
      </c>
      <c r="N3" s="54">
        <f>TrRoad_act!N57</f>
        <v>415546</v>
      </c>
      <c r="O3" s="54">
        <f>TrRoad_act!O57</f>
        <v>424312</v>
      </c>
      <c r="P3" s="54">
        <f>TrRoad_act!P57</f>
        <v>435642</v>
      </c>
      <c r="Q3" s="54">
        <f>TrRoad_act!Q57</f>
        <v>446349</v>
      </c>
      <c r="R3" s="54">
        <f>TrRoad_act!R57</f>
        <v>458900</v>
      </c>
      <c r="S3" s="54">
        <f>TrRoad_act!S57</f>
        <v>476465</v>
      </c>
      <c r="T3" s="54">
        <f>TrRoad_act!T57</f>
        <v>489837</v>
      </c>
      <c r="U3" s="54">
        <f>TrRoad_act!U57</f>
        <v>505906</v>
      </c>
      <c r="V3" s="54">
        <f>TrRoad_act!V57</f>
        <v>512962</v>
      </c>
      <c r="W3" s="54">
        <f>TrRoad_act!W57</f>
        <v>522369</v>
      </c>
      <c r="X3" s="54">
        <f>TrRoad_act!X57</f>
        <v>530149</v>
      </c>
      <c r="Y3" s="54">
        <f>TrRoad_act!Y57</f>
        <v>541640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285578</v>
      </c>
      <c r="C4" s="28">
        <f>TrRoad_act!C58</f>
        <v>292459</v>
      </c>
      <c r="D4" s="28">
        <f>TrRoad_act!D58</f>
        <v>299516</v>
      </c>
      <c r="E4" s="28">
        <f>TrRoad_act!E58</f>
        <v>307158</v>
      </c>
      <c r="F4" s="28">
        <f>TrRoad_act!F58</f>
        <v>314521</v>
      </c>
      <c r="G4" s="28">
        <f>TrRoad_act!G58</f>
        <v>323837</v>
      </c>
      <c r="H4" s="28">
        <f>TrRoad_act!H58</f>
        <v>333308</v>
      </c>
      <c r="I4" s="28">
        <f>TrRoad_act!I58</f>
        <v>341299</v>
      </c>
      <c r="J4" s="28">
        <f>TrRoad_act!J58</f>
        <v>348653</v>
      </c>
      <c r="K4" s="28">
        <f>TrRoad_act!K58</f>
        <v>353691</v>
      </c>
      <c r="L4" s="28">
        <f>TrRoad_act!L58</f>
        <v>360862</v>
      </c>
      <c r="M4" s="28">
        <f>TrRoad_act!M58</f>
        <v>370525</v>
      </c>
      <c r="N4" s="28">
        <f>TrRoad_act!N58</f>
        <v>381936</v>
      </c>
      <c r="O4" s="28">
        <f>TrRoad_act!O58</f>
        <v>390759</v>
      </c>
      <c r="P4" s="28">
        <f>TrRoad_act!P58</f>
        <v>401880</v>
      </c>
      <c r="Q4" s="28">
        <f>TrRoad_act!Q58</f>
        <v>411219</v>
      </c>
      <c r="R4" s="28">
        <f>TrRoad_act!R58</f>
        <v>422092</v>
      </c>
      <c r="S4" s="28">
        <f>TrRoad_act!S58</f>
        <v>437066</v>
      </c>
      <c r="T4" s="28">
        <f>TrRoad_act!T58</f>
        <v>448944</v>
      </c>
      <c r="U4" s="28">
        <f>TrRoad_act!U58</f>
        <v>463316</v>
      </c>
      <c r="V4" s="28">
        <f>TrRoad_act!V58</f>
        <v>467983</v>
      </c>
      <c r="W4" s="28">
        <f>TrRoad_act!W58</f>
        <v>476226</v>
      </c>
      <c r="X4" s="28">
        <f>TrRoad_act!X58</f>
        <v>482480</v>
      </c>
      <c r="Y4" s="28">
        <f>TrRoad_act!Y58</f>
        <v>492325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8972</v>
      </c>
      <c r="C5" s="137">
        <f>TrRoad_act!C59</f>
        <v>10067</v>
      </c>
      <c r="D5" s="137">
        <f>TrRoad_act!D59</f>
        <v>11340</v>
      </c>
      <c r="E5" s="137">
        <f>TrRoad_act!E59</f>
        <v>12721</v>
      </c>
      <c r="F5" s="137">
        <f>TrRoad_act!F59</f>
        <v>14012</v>
      </c>
      <c r="G5" s="137">
        <f>TrRoad_act!G59</f>
        <v>15207</v>
      </c>
      <c r="H5" s="137">
        <f>TrRoad_act!H59</f>
        <v>16509</v>
      </c>
      <c r="I5" s="137">
        <f>TrRoad_act!I59</f>
        <v>17844</v>
      </c>
      <c r="J5" s="137">
        <f>TrRoad_act!J59</f>
        <v>19108</v>
      </c>
      <c r="K5" s="137">
        <f>TrRoad_act!K59</f>
        <v>20566</v>
      </c>
      <c r="L5" s="137">
        <f>TrRoad_act!L59</f>
        <v>22026</v>
      </c>
      <c r="M5" s="137">
        <f>TrRoad_act!M59</f>
        <v>23222</v>
      </c>
      <c r="N5" s="137">
        <f>TrRoad_act!N59</f>
        <v>24308</v>
      </c>
      <c r="O5" s="137">
        <f>TrRoad_act!O59</f>
        <v>25753</v>
      </c>
      <c r="P5" s="137">
        <f>TrRoad_act!P59</f>
        <v>27275</v>
      </c>
      <c r="Q5" s="137">
        <f>TrRoad_act!Q59</f>
        <v>28259</v>
      </c>
      <c r="R5" s="137">
        <f>TrRoad_act!R59</f>
        <v>29253</v>
      </c>
      <c r="S5" s="137">
        <f>TrRoad_act!S59</f>
        <v>30300</v>
      </c>
      <c r="T5" s="137">
        <f>TrRoad_act!T59</f>
        <v>30636</v>
      </c>
      <c r="U5" s="137">
        <f>TrRoad_act!U59</f>
        <v>30805</v>
      </c>
      <c r="V5" s="137">
        <f>TrRoad_act!V59</f>
        <v>32219</v>
      </c>
      <c r="W5" s="137">
        <f>TrRoad_act!W59</f>
        <v>33962</v>
      </c>
      <c r="X5" s="137">
        <f>TrRoad_act!X59</f>
        <v>35163</v>
      </c>
      <c r="Y5" s="137">
        <f>TrRoad_act!Y59</f>
        <v>36048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275555</v>
      </c>
      <c r="C6" s="110">
        <f>TrRoad_act!C60</f>
        <v>281270</v>
      </c>
      <c r="D6" s="110">
        <f>TrRoad_act!D60</f>
        <v>287000</v>
      </c>
      <c r="E6" s="110">
        <f>TrRoad_act!E60</f>
        <v>293210</v>
      </c>
      <c r="F6" s="110">
        <f>TrRoad_act!F60</f>
        <v>299240</v>
      </c>
      <c r="G6" s="110">
        <f>TrRoad_act!G60</f>
        <v>307290</v>
      </c>
      <c r="H6" s="110">
        <f>TrRoad_act!H60</f>
        <v>315420</v>
      </c>
      <c r="I6" s="110">
        <f>TrRoad_act!I60</f>
        <v>322000</v>
      </c>
      <c r="J6" s="110">
        <f>TrRoad_act!J60</f>
        <v>328000</v>
      </c>
      <c r="K6" s="110">
        <f>TrRoad_act!K60</f>
        <v>331502</v>
      </c>
      <c r="L6" s="110">
        <f>TrRoad_act!L60</f>
        <v>337200</v>
      </c>
      <c r="M6" s="110">
        <f>TrRoad_act!M60</f>
        <v>345600</v>
      </c>
      <c r="N6" s="110">
        <f>TrRoad_act!N60</f>
        <v>355900</v>
      </c>
      <c r="O6" s="110">
        <f>TrRoad_act!O60</f>
        <v>363247</v>
      </c>
      <c r="P6" s="110">
        <f>TrRoad_act!P60</f>
        <v>372827</v>
      </c>
      <c r="Q6" s="110">
        <f>TrRoad_act!Q60</f>
        <v>381103</v>
      </c>
      <c r="R6" s="110">
        <f>TrRoad_act!R60</f>
        <v>390935</v>
      </c>
      <c r="S6" s="110">
        <f>TrRoad_act!S60</f>
        <v>404803</v>
      </c>
      <c r="T6" s="110">
        <f>TrRoad_act!T60</f>
        <v>416266</v>
      </c>
      <c r="U6" s="110">
        <f>TrRoad_act!U60</f>
        <v>430353</v>
      </c>
      <c r="V6" s="110">
        <f>TrRoad_act!V60</f>
        <v>433513</v>
      </c>
      <c r="W6" s="110">
        <f>TrRoad_act!W60</f>
        <v>439919</v>
      </c>
      <c r="X6" s="110">
        <f>TrRoad_act!X60</f>
        <v>444817</v>
      </c>
      <c r="Y6" s="110">
        <f>TrRoad_act!Y60</f>
        <v>453659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193570</v>
      </c>
      <c r="C7" s="84">
        <f>TrRoad_act!C61</f>
        <v>187393</v>
      </c>
      <c r="D7" s="84">
        <f>TrRoad_act!D61</f>
        <v>180869</v>
      </c>
      <c r="E7" s="84">
        <f>TrRoad_act!E61</f>
        <v>174546</v>
      </c>
      <c r="F7" s="84">
        <f>TrRoad_act!F61</f>
        <v>164745</v>
      </c>
      <c r="G7" s="84">
        <f>TrRoad_act!G61</f>
        <v>154960</v>
      </c>
      <c r="H7" s="84">
        <f>TrRoad_act!H61</f>
        <v>145733</v>
      </c>
      <c r="I7" s="84">
        <f>TrRoad_act!I61</f>
        <v>137098</v>
      </c>
      <c r="J7" s="84">
        <f>TrRoad_act!J61</f>
        <v>131185</v>
      </c>
      <c r="K7" s="84">
        <f>TrRoad_act!K61</f>
        <v>125342</v>
      </c>
      <c r="L7" s="84">
        <f>TrRoad_act!L61</f>
        <v>121570</v>
      </c>
      <c r="M7" s="84">
        <f>TrRoad_act!M61</f>
        <v>121127</v>
      </c>
      <c r="N7" s="84">
        <f>TrRoad_act!N61</f>
        <v>121879</v>
      </c>
      <c r="O7" s="84">
        <f>TrRoad_act!O61</f>
        <v>123213</v>
      </c>
      <c r="P7" s="84">
        <f>TrRoad_act!P61</f>
        <v>126429</v>
      </c>
      <c r="Q7" s="84">
        <f>TrRoad_act!Q61</f>
        <v>130295</v>
      </c>
      <c r="R7" s="84">
        <f>TrRoad_act!R61</f>
        <v>137617</v>
      </c>
      <c r="S7" s="84">
        <f>TrRoad_act!S61</f>
        <v>151492</v>
      </c>
      <c r="T7" s="84">
        <f>TrRoad_act!T61</f>
        <v>166917</v>
      </c>
      <c r="U7" s="84">
        <f>TrRoad_act!U61</f>
        <v>183736</v>
      </c>
      <c r="V7" s="84">
        <f>TrRoad_act!V61</f>
        <v>192569</v>
      </c>
      <c r="W7" s="84">
        <f>TrRoad_act!W61</f>
        <v>199294</v>
      </c>
      <c r="X7" s="84">
        <f>TrRoad_act!X61</f>
        <v>204172</v>
      </c>
      <c r="Y7" s="84">
        <f>TrRoad_act!Y61</f>
        <v>209968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79520</v>
      </c>
      <c r="C8" s="84">
        <f>TrRoad_act!C62</f>
        <v>91218</v>
      </c>
      <c r="D8" s="84">
        <f>TrRoad_act!D62</f>
        <v>103354</v>
      </c>
      <c r="E8" s="84">
        <f>TrRoad_act!E62</f>
        <v>116034</v>
      </c>
      <c r="F8" s="84">
        <f>TrRoad_act!F62</f>
        <v>131995</v>
      </c>
      <c r="G8" s="84">
        <f>TrRoad_act!G62</f>
        <v>149945</v>
      </c>
      <c r="H8" s="84">
        <f>TrRoad_act!H62</f>
        <v>168517</v>
      </c>
      <c r="I8" s="84">
        <f>TrRoad_act!I62</f>
        <v>183792</v>
      </c>
      <c r="J8" s="84">
        <f>TrRoad_act!J62</f>
        <v>195672</v>
      </c>
      <c r="K8" s="84">
        <f>TrRoad_act!K62</f>
        <v>204916</v>
      </c>
      <c r="L8" s="84">
        <f>TrRoad_act!L62</f>
        <v>214179</v>
      </c>
      <c r="M8" s="84">
        <f>TrRoad_act!M62</f>
        <v>222968</v>
      </c>
      <c r="N8" s="84">
        <f>TrRoad_act!N62</f>
        <v>232217</v>
      </c>
      <c r="O8" s="84">
        <f>TrRoad_act!O62</f>
        <v>237753</v>
      </c>
      <c r="P8" s="84">
        <f>TrRoad_act!P62</f>
        <v>243810</v>
      </c>
      <c r="Q8" s="84">
        <f>TrRoad_act!Q62</f>
        <v>248201</v>
      </c>
      <c r="R8" s="84">
        <f>TrRoad_act!R62</f>
        <v>250486</v>
      </c>
      <c r="S8" s="84">
        <f>TrRoad_act!S62</f>
        <v>250221</v>
      </c>
      <c r="T8" s="84">
        <f>TrRoad_act!T62</f>
        <v>246075</v>
      </c>
      <c r="U8" s="84">
        <f>TrRoad_act!U62</f>
        <v>241314</v>
      </c>
      <c r="V8" s="84">
        <f>TrRoad_act!V62</f>
        <v>232041</v>
      </c>
      <c r="W8" s="84">
        <f>TrRoad_act!W62</f>
        <v>222476</v>
      </c>
      <c r="X8" s="84">
        <f>TrRoad_act!X62</f>
        <v>212925</v>
      </c>
      <c r="Y8" s="84">
        <f>TrRoad_act!Y62</f>
        <v>200414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2465</v>
      </c>
      <c r="C9" s="84">
        <f>TrRoad_act!C63</f>
        <v>2659</v>
      </c>
      <c r="D9" s="84">
        <f>TrRoad_act!D63</f>
        <v>2777</v>
      </c>
      <c r="E9" s="84">
        <f>TrRoad_act!E63</f>
        <v>2630</v>
      </c>
      <c r="F9" s="84">
        <f>TrRoad_act!F63</f>
        <v>2500</v>
      </c>
      <c r="G9" s="84">
        <f>TrRoad_act!G63</f>
        <v>2385</v>
      </c>
      <c r="H9" s="84">
        <f>TrRoad_act!H63</f>
        <v>1170</v>
      </c>
      <c r="I9" s="84">
        <f>TrRoad_act!I63</f>
        <v>1110</v>
      </c>
      <c r="J9" s="84">
        <f>TrRoad_act!J63</f>
        <v>1142</v>
      </c>
      <c r="K9" s="84">
        <f>TrRoad_act!K63</f>
        <v>1242</v>
      </c>
      <c r="L9" s="84">
        <f>TrRoad_act!L63</f>
        <v>1255</v>
      </c>
      <c r="M9" s="84">
        <f>TrRoad_act!M63</f>
        <v>1199</v>
      </c>
      <c r="N9" s="84">
        <f>TrRoad_act!N63</f>
        <v>1214</v>
      </c>
      <c r="O9" s="84">
        <f>TrRoad_act!O63</f>
        <v>1275</v>
      </c>
      <c r="P9" s="84">
        <f>TrRoad_act!P63</f>
        <v>1235</v>
      </c>
      <c r="Q9" s="84">
        <f>TrRoad_act!Q63</f>
        <v>1185</v>
      </c>
      <c r="R9" s="84">
        <f>TrRoad_act!R63</f>
        <v>1203</v>
      </c>
      <c r="S9" s="84">
        <f>TrRoad_act!S63</f>
        <v>1045</v>
      </c>
      <c r="T9" s="84">
        <f>TrRoad_act!T63</f>
        <v>293</v>
      </c>
      <c r="U9" s="84">
        <f>TrRoad_act!U63</f>
        <v>178</v>
      </c>
      <c r="V9" s="84">
        <f>TrRoad_act!V63</f>
        <v>355</v>
      </c>
      <c r="W9" s="84">
        <f>TrRoad_act!W63</f>
        <v>256</v>
      </c>
      <c r="X9" s="84">
        <f>TrRoad_act!X63</f>
        <v>264</v>
      </c>
      <c r="Y9" s="84">
        <f>TrRoad_act!Y63</f>
        <v>269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X10" s="84">
        <f>TrRoad_act!X64</f>
        <v>0</v>
      </c>
      <c r="Y10" s="84">
        <f>TrRoad_act!Y64</f>
        <v>0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490</v>
      </c>
      <c r="O11" s="84">
        <f>TrRoad_act!O65</f>
        <v>743</v>
      </c>
      <c r="P11" s="84">
        <f>TrRoad_act!P65</f>
        <v>789</v>
      </c>
      <c r="Q11" s="84">
        <f>TrRoad_act!Q65</f>
        <v>787</v>
      </c>
      <c r="R11" s="84">
        <f>TrRoad_act!R65</f>
        <v>944</v>
      </c>
      <c r="S11" s="84">
        <f>TrRoad_act!S65</f>
        <v>1075</v>
      </c>
      <c r="T11" s="84">
        <f>TrRoad_act!T65</f>
        <v>1645</v>
      </c>
      <c r="U11" s="84">
        <f>TrRoad_act!U65</f>
        <v>2551</v>
      </c>
      <c r="V11" s="84">
        <f>TrRoad_act!V65</f>
        <v>4516</v>
      </c>
      <c r="W11" s="84">
        <f>TrRoad_act!W65</f>
        <v>9244</v>
      </c>
      <c r="X11" s="84">
        <f>TrRoad_act!X65</f>
        <v>12828</v>
      </c>
      <c r="Y11" s="84">
        <f>TrRoad_act!Y65</f>
        <v>17345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1</v>
      </c>
      <c r="K12" s="84">
        <f>TrRoad_act!K66</f>
        <v>2</v>
      </c>
      <c r="L12" s="84">
        <f>TrRoad_act!L66</f>
        <v>196</v>
      </c>
      <c r="M12" s="84">
        <f>TrRoad_act!M66</f>
        <v>306</v>
      </c>
      <c r="N12" s="84">
        <f>TrRoad_act!N66</f>
        <v>100</v>
      </c>
      <c r="O12" s="84">
        <f>TrRoad_act!O66</f>
        <v>263</v>
      </c>
      <c r="P12" s="84">
        <f>TrRoad_act!P66</f>
        <v>564</v>
      </c>
      <c r="Q12" s="84">
        <f>TrRoad_act!Q66</f>
        <v>635</v>
      </c>
      <c r="R12" s="84">
        <f>TrRoad_act!R66</f>
        <v>685</v>
      </c>
      <c r="S12" s="84">
        <f>TrRoad_act!S66</f>
        <v>970</v>
      </c>
      <c r="T12" s="84">
        <f>TrRoad_act!T66</f>
        <v>1336</v>
      </c>
      <c r="U12" s="84">
        <f>TrRoad_act!U66</f>
        <v>2574</v>
      </c>
      <c r="V12" s="84">
        <f>TrRoad_act!V66</f>
        <v>4032</v>
      </c>
      <c r="W12" s="84">
        <f>TrRoad_act!W66</f>
        <v>8649</v>
      </c>
      <c r="X12" s="84">
        <f>TrRoad_act!X66</f>
        <v>14628</v>
      </c>
      <c r="Y12" s="84">
        <f>TrRoad_act!Y66</f>
        <v>25663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1051</v>
      </c>
      <c r="C13" s="110">
        <f>TrRoad_act!C67</f>
        <v>1122</v>
      </c>
      <c r="D13" s="110">
        <f>TrRoad_act!D67</f>
        <v>1176</v>
      </c>
      <c r="E13" s="110">
        <f>TrRoad_act!E67</f>
        <v>1227</v>
      </c>
      <c r="F13" s="110">
        <f>TrRoad_act!F67</f>
        <v>1269</v>
      </c>
      <c r="G13" s="110">
        <f>TrRoad_act!G67</f>
        <v>1340</v>
      </c>
      <c r="H13" s="110">
        <f>TrRoad_act!H67</f>
        <v>1379</v>
      </c>
      <c r="I13" s="110">
        <f>TrRoad_act!I67</f>
        <v>1455</v>
      </c>
      <c r="J13" s="110">
        <f>TrRoad_act!J67</f>
        <v>1545</v>
      </c>
      <c r="K13" s="110">
        <f>TrRoad_act!K67</f>
        <v>1623</v>
      </c>
      <c r="L13" s="110">
        <f>TrRoad_act!L67</f>
        <v>1636</v>
      </c>
      <c r="M13" s="110">
        <f>TrRoad_act!M67</f>
        <v>1703</v>
      </c>
      <c r="N13" s="110">
        <f>TrRoad_act!N67</f>
        <v>1728</v>
      </c>
      <c r="O13" s="110">
        <f>TrRoad_act!O67</f>
        <v>1759</v>
      </c>
      <c r="P13" s="110">
        <f>TrRoad_act!P67</f>
        <v>1778</v>
      </c>
      <c r="Q13" s="110">
        <f>TrRoad_act!Q67</f>
        <v>1857</v>
      </c>
      <c r="R13" s="110">
        <f>TrRoad_act!R67</f>
        <v>1904</v>
      </c>
      <c r="S13" s="110">
        <f>TrRoad_act!S67</f>
        <v>1963</v>
      </c>
      <c r="T13" s="110">
        <f>TrRoad_act!T67</f>
        <v>2042</v>
      </c>
      <c r="U13" s="110">
        <f>TrRoad_act!U67</f>
        <v>2158</v>
      </c>
      <c r="V13" s="110">
        <f>TrRoad_act!V67</f>
        <v>2251</v>
      </c>
      <c r="W13" s="110">
        <f>TrRoad_act!W67</f>
        <v>2345</v>
      </c>
      <c r="X13" s="110">
        <f>TrRoad_act!X67</f>
        <v>2500</v>
      </c>
      <c r="Y13" s="110">
        <f>TrRoad_act!Y67</f>
        <v>2618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1</v>
      </c>
      <c r="U14" s="102">
        <f>TrRoad_act!U68</f>
        <v>1</v>
      </c>
      <c r="V14" s="102">
        <f>TrRoad_act!V68</f>
        <v>1</v>
      </c>
      <c r="W14" s="102">
        <f>TrRoad_act!W68</f>
        <v>2</v>
      </c>
      <c r="X14" s="102">
        <f>TrRoad_act!X68</f>
        <v>3</v>
      </c>
      <c r="Y14" s="102">
        <f>TrRoad_act!Y68</f>
        <v>3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1051</v>
      </c>
      <c r="C15" s="102">
        <f>TrRoad_act!C69</f>
        <v>1122</v>
      </c>
      <c r="D15" s="102">
        <f>TrRoad_act!D69</f>
        <v>1176</v>
      </c>
      <c r="E15" s="102">
        <f>TrRoad_act!E69</f>
        <v>1224</v>
      </c>
      <c r="F15" s="102">
        <f>TrRoad_act!F69</f>
        <v>1266</v>
      </c>
      <c r="G15" s="102">
        <f>TrRoad_act!G69</f>
        <v>1337</v>
      </c>
      <c r="H15" s="102">
        <f>TrRoad_act!H69</f>
        <v>1376</v>
      </c>
      <c r="I15" s="102">
        <f>TrRoad_act!I69</f>
        <v>1452</v>
      </c>
      <c r="J15" s="102">
        <f>TrRoad_act!J69</f>
        <v>1542</v>
      </c>
      <c r="K15" s="102">
        <f>TrRoad_act!K69</f>
        <v>1621</v>
      </c>
      <c r="L15" s="102">
        <f>TrRoad_act!L69</f>
        <v>1634</v>
      </c>
      <c r="M15" s="102">
        <f>TrRoad_act!M69</f>
        <v>1701</v>
      </c>
      <c r="N15" s="102">
        <f>TrRoad_act!N69</f>
        <v>1726</v>
      </c>
      <c r="O15" s="102">
        <f>TrRoad_act!O69</f>
        <v>1757</v>
      </c>
      <c r="P15" s="102">
        <f>TrRoad_act!P69</f>
        <v>1776</v>
      </c>
      <c r="Q15" s="102">
        <f>TrRoad_act!Q69</f>
        <v>1855</v>
      </c>
      <c r="R15" s="102">
        <f>TrRoad_act!R69</f>
        <v>1902</v>
      </c>
      <c r="S15" s="102">
        <f>TrRoad_act!S69</f>
        <v>1955</v>
      </c>
      <c r="T15" s="102">
        <f>TrRoad_act!T69</f>
        <v>2008</v>
      </c>
      <c r="U15" s="102">
        <f>TrRoad_act!U69</f>
        <v>2049</v>
      </c>
      <c r="V15" s="102">
        <f>TrRoad_act!V69</f>
        <v>2099</v>
      </c>
      <c r="W15" s="102">
        <f>TrRoad_act!W69</f>
        <v>2163</v>
      </c>
      <c r="X15" s="102">
        <f>TrRoad_act!X69</f>
        <v>2173</v>
      </c>
      <c r="Y15" s="102">
        <f>TrRoad_act!Y69</f>
        <v>2214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X17" s="102">
        <f>TrRoad_act!X71</f>
        <v>0</v>
      </c>
      <c r="Y17" s="102">
        <f>TrRoad_act!Y71</f>
        <v>0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3</v>
      </c>
      <c r="F18" s="102">
        <f>TrRoad_act!F72</f>
        <v>3</v>
      </c>
      <c r="G18" s="102">
        <f>TrRoad_act!G72</f>
        <v>3</v>
      </c>
      <c r="H18" s="102">
        <f>TrRoad_act!H72</f>
        <v>3</v>
      </c>
      <c r="I18" s="102">
        <f>TrRoad_act!I72</f>
        <v>3</v>
      </c>
      <c r="J18" s="102">
        <f>TrRoad_act!J72</f>
        <v>3</v>
      </c>
      <c r="K18" s="102">
        <f>TrRoad_act!K72</f>
        <v>2</v>
      </c>
      <c r="L18" s="102">
        <f>TrRoad_act!L72</f>
        <v>2</v>
      </c>
      <c r="M18" s="102">
        <f>TrRoad_act!M72</f>
        <v>2</v>
      </c>
      <c r="N18" s="102">
        <f>TrRoad_act!N72</f>
        <v>2</v>
      </c>
      <c r="O18" s="102">
        <f>TrRoad_act!O72</f>
        <v>2</v>
      </c>
      <c r="P18" s="102">
        <f>TrRoad_act!P72</f>
        <v>2</v>
      </c>
      <c r="Q18" s="102">
        <f>TrRoad_act!Q72</f>
        <v>2</v>
      </c>
      <c r="R18" s="102">
        <f>TrRoad_act!R72</f>
        <v>2</v>
      </c>
      <c r="S18" s="102">
        <f>TrRoad_act!S72</f>
        <v>8</v>
      </c>
      <c r="T18" s="102">
        <f>TrRoad_act!T72</f>
        <v>33</v>
      </c>
      <c r="U18" s="102">
        <f>TrRoad_act!U72</f>
        <v>108</v>
      </c>
      <c r="V18" s="102">
        <f>TrRoad_act!V72</f>
        <v>151</v>
      </c>
      <c r="W18" s="102">
        <f>TrRoad_act!W72</f>
        <v>180</v>
      </c>
      <c r="X18" s="102">
        <f>TrRoad_act!X72</f>
        <v>324</v>
      </c>
      <c r="Y18" s="102">
        <f>TrRoad_act!Y72</f>
        <v>401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19740</v>
      </c>
      <c r="C19" s="28">
        <f>TrRoad_act!C73</f>
        <v>20135</v>
      </c>
      <c r="D19" s="28">
        <f>TrRoad_act!D73</f>
        <v>20565</v>
      </c>
      <c r="E19" s="28">
        <f>TrRoad_act!E73</f>
        <v>21291</v>
      </c>
      <c r="F19" s="28">
        <f>TrRoad_act!F73</f>
        <v>21970</v>
      </c>
      <c r="G19" s="28">
        <f>TrRoad_act!G73</f>
        <v>23788</v>
      </c>
      <c r="H19" s="28">
        <f>TrRoad_act!H73</f>
        <v>24849</v>
      </c>
      <c r="I19" s="28">
        <f>TrRoad_act!I73</f>
        <v>25989</v>
      </c>
      <c r="J19" s="28">
        <f>TrRoad_act!J73</f>
        <v>28664</v>
      </c>
      <c r="K19" s="28">
        <f>TrRoad_act!K73</f>
        <v>30282</v>
      </c>
      <c r="L19" s="28">
        <f>TrRoad_act!L73</f>
        <v>31251</v>
      </c>
      <c r="M19" s="28">
        <f>TrRoad_act!M73</f>
        <v>32515</v>
      </c>
      <c r="N19" s="28">
        <f>TrRoad_act!N73</f>
        <v>33610</v>
      </c>
      <c r="O19" s="28">
        <f>TrRoad_act!O73</f>
        <v>33553</v>
      </c>
      <c r="P19" s="28">
        <f>TrRoad_act!P73</f>
        <v>33762</v>
      </c>
      <c r="Q19" s="28">
        <f>TrRoad_act!Q73</f>
        <v>35130</v>
      </c>
      <c r="R19" s="28">
        <f>TrRoad_act!R73</f>
        <v>36808</v>
      </c>
      <c r="S19" s="28">
        <f>TrRoad_act!S73</f>
        <v>39399</v>
      </c>
      <c r="T19" s="28">
        <f>TrRoad_act!T73</f>
        <v>40893</v>
      </c>
      <c r="U19" s="28">
        <f>TrRoad_act!U73</f>
        <v>42590</v>
      </c>
      <c r="V19" s="28">
        <f>TrRoad_act!V73</f>
        <v>44979</v>
      </c>
      <c r="W19" s="28">
        <f>TrRoad_act!W73</f>
        <v>46143</v>
      </c>
      <c r="X19" s="28">
        <f>TrRoad_act!X73</f>
        <v>47669</v>
      </c>
      <c r="Y19" s="28">
        <f>TrRoad_act!Y73</f>
        <v>49315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13354</v>
      </c>
      <c r="C20" s="137">
        <f>TrRoad_act!C74</f>
        <v>14508</v>
      </c>
      <c r="D20" s="137">
        <f>TrRoad_act!D74</f>
        <v>15439</v>
      </c>
      <c r="E20" s="137">
        <f>TrRoad_act!E74</f>
        <v>16137</v>
      </c>
      <c r="F20" s="137">
        <f>TrRoad_act!F74</f>
        <v>17056</v>
      </c>
      <c r="G20" s="137">
        <f>TrRoad_act!G74</f>
        <v>18041</v>
      </c>
      <c r="H20" s="137">
        <f>TrRoad_act!H74</f>
        <v>18991</v>
      </c>
      <c r="I20" s="137">
        <f>TrRoad_act!I74</f>
        <v>20283</v>
      </c>
      <c r="J20" s="137">
        <f>TrRoad_act!J74</f>
        <v>21839</v>
      </c>
      <c r="K20" s="137">
        <f>TrRoad_act!K74</f>
        <v>22576</v>
      </c>
      <c r="L20" s="137">
        <f>TrRoad_act!L74</f>
        <v>23451</v>
      </c>
      <c r="M20" s="137">
        <f>TrRoad_act!M74</f>
        <v>24631</v>
      </c>
      <c r="N20" s="137">
        <f>TrRoad_act!N74</f>
        <v>26133</v>
      </c>
      <c r="O20" s="137">
        <f>TrRoad_act!O74</f>
        <v>27635</v>
      </c>
      <c r="P20" s="137">
        <f>TrRoad_act!P74</f>
        <v>28521</v>
      </c>
      <c r="Q20" s="137">
        <f>TrRoad_act!Q74</f>
        <v>29668</v>
      </c>
      <c r="R20" s="137">
        <f>TrRoad_act!R74</f>
        <v>31138</v>
      </c>
      <c r="S20" s="137">
        <f>TrRoad_act!S74</f>
        <v>33082</v>
      </c>
      <c r="T20" s="137">
        <f>TrRoad_act!T74</f>
        <v>34856</v>
      </c>
      <c r="U20" s="137">
        <f>TrRoad_act!U74</f>
        <v>36257</v>
      </c>
      <c r="V20" s="137">
        <f>TrRoad_act!V74</f>
        <v>37872</v>
      </c>
      <c r="W20" s="137">
        <f>TrRoad_act!W74</f>
        <v>39637</v>
      </c>
      <c r="X20" s="137">
        <f>TrRoad_act!X74</f>
        <v>40957</v>
      </c>
      <c r="Y20" s="137">
        <f>TrRoad_act!Y74</f>
        <v>42425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2479</v>
      </c>
      <c r="C21" s="84">
        <f>TrRoad_act!C75</f>
        <v>2282</v>
      </c>
      <c r="D21" s="84">
        <f>TrRoad_act!D75</f>
        <v>2094</v>
      </c>
      <c r="E21" s="84">
        <f>TrRoad_act!E75</f>
        <v>1923</v>
      </c>
      <c r="F21" s="84">
        <f>TrRoad_act!F75</f>
        <v>1739</v>
      </c>
      <c r="G21" s="84">
        <f>TrRoad_act!G75</f>
        <v>1565</v>
      </c>
      <c r="H21" s="84">
        <f>TrRoad_act!H75</f>
        <v>1423</v>
      </c>
      <c r="I21" s="84">
        <f>TrRoad_act!I75</f>
        <v>1325</v>
      </c>
      <c r="J21" s="84">
        <f>TrRoad_act!J75</f>
        <v>1305</v>
      </c>
      <c r="K21" s="84">
        <f>TrRoad_act!K75</f>
        <v>1231</v>
      </c>
      <c r="L21" s="84">
        <f>TrRoad_act!L75</f>
        <v>1207</v>
      </c>
      <c r="M21" s="84">
        <f>TrRoad_act!M75</f>
        <v>1180</v>
      </c>
      <c r="N21" s="84">
        <f>TrRoad_act!N75</f>
        <v>1143</v>
      </c>
      <c r="O21" s="84">
        <f>TrRoad_act!O75</f>
        <v>1141</v>
      </c>
      <c r="P21" s="84">
        <f>TrRoad_act!P75</f>
        <v>1122</v>
      </c>
      <c r="Q21" s="84">
        <f>TrRoad_act!Q75</f>
        <v>1101</v>
      </c>
      <c r="R21" s="84">
        <f>TrRoad_act!R75</f>
        <v>1113</v>
      </c>
      <c r="S21" s="84">
        <f>TrRoad_act!S75</f>
        <v>1165</v>
      </c>
      <c r="T21" s="84">
        <f>TrRoad_act!T75</f>
        <v>1231</v>
      </c>
      <c r="U21" s="84">
        <f>TrRoad_act!U75</f>
        <v>1284</v>
      </c>
      <c r="V21" s="84">
        <f>TrRoad_act!V75</f>
        <v>1344</v>
      </c>
      <c r="W21" s="84">
        <f>TrRoad_act!W75</f>
        <v>1403</v>
      </c>
      <c r="X21" s="84">
        <f>TrRoad_act!X75</f>
        <v>1466</v>
      </c>
      <c r="Y21" s="84">
        <f>TrRoad_act!Y75</f>
        <v>1649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10875</v>
      </c>
      <c r="C22" s="84">
        <f>TrRoad_act!C76</f>
        <v>12226</v>
      </c>
      <c r="D22" s="84">
        <f>TrRoad_act!D76</f>
        <v>13345</v>
      </c>
      <c r="E22" s="84">
        <f>TrRoad_act!E76</f>
        <v>14214</v>
      </c>
      <c r="F22" s="84">
        <f>TrRoad_act!F76</f>
        <v>15317</v>
      </c>
      <c r="G22" s="84">
        <f>TrRoad_act!G76</f>
        <v>16476</v>
      </c>
      <c r="H22" s="84">
        <f>TrRoad_act!H76</f>
        <v>17567</v>
      </c>
      <c r="I22" s="84">
        <f>TrRoad_act!I76</f>
        <v>18956</v>
      </c>
      <c r="J22" s="84">
        <f>TrRoad_act!J76</f>
        <v>20532</v>
      </c>
      <c r="K22" s="84">
        <f>TrRoad_act!K76</f>
        <v>21338</v>
      </c>
      <c r="L22" s="84">
        <f>TrRoad_act!L76</f>
        <v>22237</v>
      </c>
      <c r="M22" s="84">
        <f>TrRoad_act!M76</f>
        <v>23444</v>
      </c>
      <c r="N22" s="84">
        <f>TrRoad_act!N76</f>
        <v>24964</v>
      </c>
      <c r="O22" s="84">
        <f>TrRoad_act!O76</f>
        <v>26365</v>
      </c>
      <c r="P22" s="84">
        <f>TrRoad_act!P76</f>
        <v>27241</v>
      </c>
      <c r="Q22" s="84">
        <f>TrRoad_act!Q76</f>
        <v>28385</v>
      </c>
      <c r="R22" s="84">
        <f>TrRoad_act!R76</f>
        <v>29824</v>
      </c>
      <c r="S22" s="84">
        <f>TrRoad_act!S76</f>
        <v>31671</v>
      </c>
      <c r="T22" s="84">
        <f>TrRoad_act!T76</f>
        <v>33326</v>
      </c>
      <c r="U22" s="84">
        <f>TrRoad_act!U76</f>
        <v>34627</v>
      </c>
      <c r="V22" s="84">
        <f>TrRoad_act!V76</f>
        <v>36126</v>
      </c>
      <c r="W22" s="84">
        <f>TrRoad_act!W76</f>
        <v>37700</v>
      </c>
      <c r="X22" s="84">
        <f>TrRoad_act!X76</f>
        <v>38685</v>
      </c>
      <c r="Y22" s="84">
        <f>TrRoad_act!Y76</f>
        <v>39565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59</v>
      </c>
      <c r="P23" s="84">
        <f>TrRoad_act!P77</f>
        <v>71</v>
      </c>
      <c r="Q23" s="84">
        <f>TrRoad_act!Q77</f>
        <v>73</v>
      </c>
      <c r="R23" s="84">
        <f>TrRoad_act!R77</f>
        <v>77</v>
      </c>
      <c r="S23" s="84">
        <f>TrRoad_act!S77</f>
        <v>84</v>
      </c>
      <c r="T23" s="84">
        <f>TrRoad_act!T77</f>
        <v>85</v>
      </c>
      <c r="U23" s="84">
        <f>TrRoad_act!U77</f>
        <v>88</v>
      </c>
      <c r="V23" s="84">
        <f>TrRoad_act!V77</f>
        <v>95</v>
      </c>
      <c r="W23" s="84">
        <f>TrRoad_act!W77</f>
        <v>105</v>
      </c>
      <c r="X23" s="84">
        <f>TrRoad_act!X77</f>
        <v>106</v>
      </c>
      <c r="Y23" s="84">
        <f>TrRoad_act!Y77</f>
        <v>107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X24" s="84">
        <f>TrRoad_act!X78</f>
        <v>0</v>
      </c>
      <c r="Y24" s="84">
        <f>TrRoad_act!Y78</f>
        <v>0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1</v>
      </c>
      <c r="I25" s="84">
        <f>TrRoad_act!I79</f>
        <v>2</v>
      </c>
      <c r="J25" s="84">
        <f>TrRoad_act!J79</f>
        <v>2</v>
      </c>
      <c r="K25" s="84">
        <f>TrRoad_act!K79</f>
        <v>7</v>
      </c>
      <c r="L25" s="84">
        <f>TrRoad_act!L79</f>
        <v>7</v>
      </c>
      <c r="M25" s="84">
        <f>TrRoad_act!M79</f>
        <v>7</v>
      </c>
      <c r="N25" s="84">
        <f>TrRoad_act!N79</f>
        <v>26</v>
      </c>
      <c r="O25" s="84">
        <f>TrRoad_act!O79</f>
        <v>70</v>
      </c>
      <c r="P25" s="84">
        <f>TrRoad_act!P79</f>
        <v>87</v>
      </c>
      <c r="Q25" s="84">
        <f>TrRoad_act!Q79</f>
        <v>109</v>
      </c>
      <c r="R25" s="84">
        <f>TrRoad_act!R79</f>
        <v>124</v>
      </c>
      <c r="S25" s="84">
        <f>TrRoad_act!S79</f>
        <v>162</v>
      </c>
      <c r="T25" s="84">
        <f>TrRoad_act!T79</f>
        <v>214</v>
      </c>
      <c r="U25" s="84">
        <f>TrRoad_act!U79</f>
        <v>258</v>
      </c>
      <c r="V25" s="84">
        <f>TrRoad_act!V79</f>
        <v>307</v>
      </c>
      <c r="W25" s="84">
        <f>TrRoad_act!W79</f>
        <v>429</v>
      </c>
      <c r="X25" s="84">
        <f>TrRoad_act!X79</f>
        <v>700</v>
      </c>
      <c r="Y25" s="84">
        <f>TrRoad_act!Y79</f>
        <v>1104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6386</v>
      </c>
      <c r="C26" s="110">
        <f>TrRoad_act!C80</f>
        <v>5627</v>
      </c>
      <c r="D26" s="110">
        <f>TrRoad_act!D80</f>
        <v>5126</v>
      </c>
      <c r="E26" s="110">
        <f>TrRoad_act!E80</f>
        <v>5154</v>
      </c>
      <c r="F26" s="110">
        <f>TrRoad_act!F80</f>
        <v>4914</v>
      </c>
      <c r="G26" s="110">
        <f>TrRoad_act!G80</f>
        <v>5747</v>
      </c>
      <c r="H26" s="110">
        <f>TrRoad_act!H80</f>
        <v>5858</v>
      </c>
      <c r="I26" s="110">
        <f>TrRoad_act!I80</f>
        <v>5706</v>
      </c>
      <c r="J26" s="110">
        <f>TrRoad_act!J80</f>
        <v>6825</v>
      </c>
      <c r="K26" s="110">
        <f>TrRoad_act!K80</f>
        <v>7706</v>
      </c>
      <c r="L26" s="110">
        <f>TrRoad_act!L80</f>
        <v>7800</v>
      </c>
      <c r="M26" s="110">
        <f>TrRoad_act!M80</f>
        <v>7884</v>
      </c>
      <c r="N26" s="110">
        <f>TrRoad_act!N80</f>
        <v>7477</v>
      </c>
      <c r="O26" s="110">
        <f>TrRoad_act!O80</f>
        <v>5918</v>
      </c>
      <c r="P26" s="110">
        <f>TrRoad_act!P80</f>
        <v>5241</v>
      </c>
      <c r="Q26" s="110">
        <f>TrRoad_act!Q80</f>
        <v>5462</v>
      </c>
      <c r="R26" s="110">
        <f>TrRoad_act!R80</f>
        <v>5670</v>
      </c>
      <c r="S26" s="110">
        <f>TrRoad_act!S80</f>
        <v>6317</v>
      </c>
      <c r="T26" s="110">
        <f>TrRoad_act!T80</f>
        <v>6037</v>
      </c>
      <c r="U26" s="110">
        <f>TrRoad_act!U80</f>
        <v>6333</v>
      </c>
      <c r="V26" s="110">
        <f>TrRoad_act!V80</f>
        <v>7107</v>
      </c>
      <c r="W26" s="110">
        <f>TrRoad_act!W80</f>
        <v>6506</v>
      </c>
      <c r="X26" s="110">
        <f>TrRoad_act!X80</f>
        <v>6712</v>
      </c>
      <c r="Y26" s="110">
        <f>TrRoad_act!Y80</f>
        <v>6890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5561</v>
      </c>
      <c r="C27" s="102">
        <f>TrRoad_act!C81</f>
        <v>4743</v>
      </c>
      <c r="D27" s="102">
        <f>TrRoad_act!D81</f>
        <v>4196</v>
      </c>
      <c r="E27" s="102">
        <f>TrRoad_act!E81</f>
        <v>4203</v>
      </c>
      <c r="F27" s="102">
        <f>TrRoad_act!F81</f>
        <v>3790</v>
      </c>
      <c r="G27" s="102">
        <f>TrRoad_act!G81</f>
        <v>4583</v>
      </c>
      <c r="H27" s="102">
        <f>TrRoad_act!H81</f>
        <v>4729</v>
      </c>
      <c r="I27" s="102">
        <f>TrRoad_act!I81</f>
        <v>4495</v>
      </c>
      <c r="J27" s="102">
        <f>TrRoad_act!J81</f>
        <v>5451</v>
      </c>
      <c r="K27" s="102">
        <f>TrRoad_act!K81</f>
        <v>6480</v>
      </c>
      <c r="L27" s="102">
        <f>TrRoad_act!L81</f>
        <v>6530</v>
      </c>
      <c r="M27" s="102">
        <f>TrRoad_act!M81</f>
        <v>6629</v>
      </c>
      <c r="N27" s="102">
        <f>TrRoad_act!N81</f>
        <v>6068</v>
      </c>
      <c r="O27" s="102">
        <f>TrRoad_act!O81</f>
        <v>4515</v>
      </c>
      <c r="P27" s="102">
        <f>TrRoad_act!P81</f>
        <v>3759</v>
      </c>
      <c r="Q27" s="102">
        <f>TrRoad_act!Q81</f>
        <v>4191</v>
      </c>
      <c r="R27" s="102">
        <f>TrRoad_act!R81</f>
        <v>4310</v>
      </c>
      <c r="S27" s="102">
        <f>TrRoad_act!S81</f>
        <v>4880</v>
      </c>
      <c r="T27" s="102">
        <f>TrRoad_act!T81</f>
        <v>4651</v>
      </c>
      <c r="U27" s="102">
        <f>TrRoad_act!U81</f>
        <v>4905</v>
      </c>
      <c r="V27" s="102">
        <f>TrRoad_act!V81</f>
        <v>5771</v>
      </c>
      <c r="W27" s="102">
        <f>TrRoad_act!W81</f>
        <v>5076</v>
      </c>
      <c r="X27" s="102">
        <f>TrRoad_act!X81</f>
        <v>5259</v>
      </c>
      <c r="Y27" s="102">
        <f>TrRoad_act!Y81</f>
        <v>5577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825</v>
      </c>
      <c r="C28" s="86">
        <f>TrRoad_act!C82</f>
        <v>884</v>
      </c>
      <c r="D28" s="86">
        <f>TrRoad_act!D82</f>
        <v>930</v>
      </c>
      <c r="E28" s="86">
        <f>TrRoad_act!E82</f>
        <v>951</v>
      </c>
      <c r="F28" s="86">
        <f>TrRoad_act!F82</f>
        <v>1124</v>
      </c>
      <c r="G28" s="86">
        <f>TrRoad_act!G82</f>
        <v>1164</v>
      </c>
      <c r="H28" s="86">
        <f>TrRoad_act!H82</f>
        <v>1129</v>
      </c>
      <c r="I28" s="86">
        <f>TrRoad_act!I82</f>
        <v>1211</v>
      </c>
      <c r="J28" s="86">
        <f>TrRoad_act!J82</f>
        <v>1374</v>
      </c>
      <c r="K28" s="86">
        <f>TrRoad_act!K82</f>
        <v>1226</v>
      </c>
      <c r="L28" s="86">
        <f>TrRoad_act!L82</f>
        <v>1270</v>
      </c>
      <c r="M28" s="86">
        <f>TrRoad_act!M82</f>
        <v>1255</v>
      </c>
      <c r="N28" s="86">
        <f>TrRoad_act!N82</f>
        <v>1409</v>
      </c>
      <c r="O28" s="86">
        <f>TrRoad_act!O82</f>
        <v>1403</v>
      </c>
      <c r="P28" s="86">
        <f>TrRoad_act!P82</f>
        <v>1482</v>
      </c>
      <c r="Q28" s="86">
        <f>TrRoad_act!Q82</f>
        <v>1271</v>
      </c>
      <c r="R28" s="86">
        <f>TrRoad_act!R82</f>
        <v>1360</v>
      </c>
      <c r="S28" s="86">
        <f>TrRoad_act!S82</f>
        <v>1437</v>
      </c>
      <c r="T28" s="86">
        <f>TrRoad_act!T82</f>
        <v>1386</v>
      </c>
      <c r="U28" s="86">
        <f>TrRoad_act!U82</f>
        <v>1428</v>
      </c>
      <c r="V28" s="86">
        <f>TrRoad_act!V82</f>
        <v>1336</v>
      </c>
      <c r="W28" s="86">
        <f>TrRoad_act!W82</f>
        <v>1430</v>
      </c>
      <c r="X28" s="86">
        <f>TrRoad_act!X82</f>
        <v>1453</v>
      </c>
      <c r="Y28" s="86">
        <f>TrRoad_act!Y82</f>
        <v>1313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44021</v>
      </c>
      <c r="C30" s="54">
        <f>TrRoad_act!C111</f>
        <v>57144</v>
      </c>
      <c r="D30" s="54">
        <f>TrRoad_act!D111</f>
        <v>48884</v>
      </c>
      <c r="E30" s="54">
        <f>TrRoad_act!E111</f>
        <v>50006</v>
      </c>
      <c r="F30" s="54">
        <f>TrRoad_act!F111</f>
        <v>53625</v>
      </c>
      <c r="G30" s="54">
        <f>TrRoad_act!G111</f>
        <v>54912</v>
      </c>
      <c r="H30" s="54">
        <f>TrRoad_act!H111</f>
        <v>56580</v>
      </c>
      <c r="I30" s="54">
        <f>TrRoad_act!I111</f>
        <v>57029</v>
      </c>
      <c r="J30" s="54">
        <f>TrRoad_act!J111</f>
        <v>59425</v>
      </c>
      <c r="K30" s="54">
        <f>TrRoad_act!K111</f>
        <v>52047</v>
      </c>
      <c r="L30" s="54">
        <f>TrRoad_act!L111</f>
        <v>55282</v>
      </c>
      <c r="M30" s="54">
        <f>TrRoad_act!M111</f>
        <v>55478</v>
      </c>
      <c r="N30" s="54">
        <f>TrRoad_act!N111</f>
        <v>58601</v>
      </c>
      <c r="O30" s="54">
        <f>TrRoad_act!O111</f>
        <v>52624</v>
      </c>
      <c r="P30" s="54">
        <f>TrRoad_act!P111</f>
        <v>55583</v>
      </c>
      <c r="Q30" s="54">
        <f>TrRoad_act!Q111</f>
        <v>52524</v>
      </c>
      <c r="R30" s="54">
        <f>TrRoad_act!R111</f>
        <v>57404</v>
      </c>
      <c r="S30" s="54">
        <f>TrRoad_act!S111</f>
        <v>60417</v>
      </c>
      <c r="T30" s="54">
        <f>TrRoad_act!T111</f>
        <v>60382</v>
      </c>
      <c r="U30" s="54">
        <f>TrRoad_act!U111</f>
        <v>62922</v>
      </c>
      <c r="V30" s="54">
        <f>TrRoad_act!V111</f>
        <v>53702</v>
      </c>
      <c r="W30" s="54">
        <f>TrRoad_act!W111</f>
        <v>53014</v>
      </c>
      <c r="X30" s="54">
        <f>TrRoad_act!X111</f>
        <v>50495</v>
      </c>
      <c r="Y30" s="54">
        <f>TrRoad_act!Y111</f>
        <v>58226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43938</v>
      </c>
      <c r="C31" s="28">
        <f>TrRoad_act!C112</f>
        <v>54366</v>
      </c>
      <c r="D31" s="28">
        <f>TrRoad_act!D112</f>
        <v>46492</v>
      </c>
      <c r="E31" s="28">
        <f>TrRoad_act!E112</f>
        <v>47526</v>
      </c>
      <c r="F31" s="28">
        <f>TrRoad_act!F112</f>
        <v>50857</v>
      </c>
      <c r="G31" s="28">
        <f>TrRoad_act!G112</f>
        <v>51448</v>
      </c>
      <c r="H31" s="28">
        <f>TrRoad_act!H112</f>
        <v>53535</v>
      </c>
      <c r="I31" s="28">
        <f>TrRoad_act!I112</f>
        <v>53361</v>
      </c>
      <c r="J31" s="28">
        <f>TrRoad_act!J112</f>
        <v>54422</v>
      </c>
      <c r="K31" s="28">
        <f>TrRoad_act!K112</f>
        <v>49642</v>
      </c>
      <c r="L31" s="28">
        <f>TrRoad_act!L112</f>
        <v>52022</v>
      </c>
      <c r="M31" s="28">
        <f>TrRoad_act!M112</f>
        <v>51901</v>
      </c>
      <c r="N31" s="28">
        <f>TrRoad_act!N112</f>
        <v>54888</v>
      </c>
      <c r="O31" s="28">
        <f>TrRoad_act!O112</f>
        <v>48977</v>
      </c>
      <c r="P31" s="28">
        <f>TrRoad_act!P112</f>
        <v>52242</v>
      </c>
      <c r="Q31" s="28">
        <f>TrRoad_act!Q112</f>
        <v>48709</v>
      </c>
      <c r="R31" s="28">
        <f>TrRoad_act!R112</f>
        <v>52906</v>
      </c>
      <c r="S31" s="28">
        <f>TrRoad_act!S112</f>
        <v>55220</v>
      </c>
      <c r="T31" s="28">
        <f>TrRoad_act!T112</f>
        <v>55436</v>
      </c>
      <c r="U31" s="28">
        <f>TrRoad_act!U112</f>
        <v>57837</v>
      </c>
      <c r="V31" s="28">
        <f>TrRoad_act!V112</f>
        <v>48313</v>
      </c>
      <c r="W31" s="28">
        <f>TrRoad_act!W112</f>
        <v>47657</v>
      </c>
      <c r="X31" s="28">
        <f>TrRoad_act!X112</f>
        <v>45373</v>
      </c>
      <c r="Y31" s="28">
        <f>TrRoad_act!Y112</f>
        <v>52471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1512</v>
      </c>
      <c r="C32" s="137">
        <f>TrRoad_act!C113</f>
        <v>1475</v>
      </c>
      <c r="D32" s="137">
        <f>TrRoad_act!D113</f>
        <v>1710</v>
      </c>
      <c r="E32" s="137">
        <f>TrRoad_act!E113</f>
        <v>1861</v>
      </c>
      <c r="F32" s="137">
        <f>TrRoad_act!F113</f>
        <v>1778</v>
      </c>
      <c r="G32" s="137">
        <f>TrRoad_act!G113</f>
        <v>1686</v>
      </c>
      <c r="H32" s="137">
        <f>TrRoad_act!H113</f>
        <v>1836</v>
      </c>
      <c r="I32" s="137">
        <f>TrRoad_act!I113</f>
        <v>1900</v>
      </c>
      <c r="J32" s="137">
        <f>TrRoad_act!J113</f>
        <v>1838</v>
      </c>
      <c r="K32" s="137">
        <f>TrRoad_act!K113</f>
        <v>2094</v>
      </c>
      <c r="L32" s="137">
        <f>TrRoad_act!L113</f>
        <v>2122</v>
      </c>
      <c r="M32" s="137">
        <f>TrRoad_act!M113</f>
        <v>1832</v>
      </c>
      <c r="N32" s="137">
        <f>TrRoad_act!N113</f>
        <v>1721</v>
      </c>
      <c r="O32" s="137">
        <f>TrRoad_act!O113</f>
        <v>2172</v>
      </c>
      <c r="P32" s="137">
        <f>TrRoad_act!P113</f>
        <v>2290</v>
      </c>
      <c r="Q32" s="137">
        <f>TrRoad_act!Q113</f>
        <v>1985</v>
      </c>
      <c r="R32" s="137">
        <f>TrRoad_act!R113</f>
        <v>2140</v>
      </c>
      <c r="S32" s="137">
        <f>TrRoad_act!S113</f>
        <v>2206</v>
      </c>
      <c r="T32" s="137">
        <f>TrRoad_act!T113</f>
        <v>2407</v>
      </c>
      <c r="U32" s="137">
        <f>TrRoad_act!U113</f>
        <v>2556</v>
      </c>
      <c r="V32" s="137">
        <f>TrRoad_act!V113</f>
        <v>2903</v>
      </c>
      <c r="W32" s="137">
        <f>TrRoad_act!W113</f>
        <v>3074</v>
      </c>
      <c r="X32" s="137">
        <f>TrRoad_act!X113</f>
        <v>2975</v>
      </c>
      <c r="Y32" s="137">
        <f>TrRoad_act!Y113</f>
        <v>3049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42304</v>
      </c>
      <c r="C33" s="110">
        <f>TrRoad_act!C114</f>
        <v>52740</v>
      </c>
      <c r="D33" s="110">
        <f>TrRoad_act!D114</f>
        <v>44693</v>
      </c>
      <c r="E33" s="110">
        <f>TrRoad_act!E114</f>
        <v>45530</v>
      </c>
      <c r="F33" s="110">
        <f>TrRoad_act!F114</f>
        <v>48953</v>
      </c>
      <c r="G33" s="110">
        <f>TrRoad_act!G114</f>
        <v>49604</v>
      </c>
      <c r="H33" s="110">
        <f>TrRoad_act!H114</f>
        <v>51531</v>
      </c>
      <c r="I33" s="110">
        <f>TrRoad_act!I114</f>
        <v>51285</v>
      </c>
      <c r="J33" s="110">
        <f>TrRoad_act!J114</f>
        <v>52359</v>
      </c>
      <c r="K33" s="110">
        <f>TrRoad_act!K114</f>
        <v>47339</v>
      </c>
      <c r="L33" s="110">
        <f>TrRoad_act!L114</f>
        <v>49726</v>
      </c>
      <c r="M33" s="110">
        <f>TrRoad_act!M114</f>
        <v>49881</v>
      </c>
      <c r="N33" s="110">
        <f>TrRoad_act!N114</f>
        <v>53008</v>
      </c>
      <c r="O33" s="110">
        <f>TrRoad_act!O114</f>
        <v>46624</v>
      </c>
      <c r="P33" s="110">
        <f>TrRoad_act!P114</f>
        <v>49793</v>
      </c>
      <c r="Q33" s="110">
        <f>TrRoad_act!Q114</f>
        <v>46473</v>
      </c>
      <c r="R33" s="110">
        <f>TrRoad_act!R114</f>
        <v>50561</v>
      </c>
      <c r="S33" s="110">
        <f>TrRoad_act!S114</f>
        <v>52775</v>
      </c>
      <c r="T33" s="110">
        <f>TrRoad_act!T114</f>
        <v>52811</v>
      </c>
      <c r="U33" s="110">
        <f>TrRoad_act!U114</f>
        <v>55008</v>
      </c>
      <c r="V33" s="110">
        <f>TrRoad_act!V114</f>
        <v>45189</v>
      </c>
      <c r="W33" s="110">
        <f>TrRoad_act!W114</f>
        <v>44372</v>
      </c>
      <c r="X33" s="110">
        <f>TrRoad_act!X114</f>
        <v>42094</v>
      </c>
      <c r="Y33" s="110">
        <f>TrRoad_act!Y114</f>
        <v>49155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16004</v>
      </c>
      <c r="C34" s="84">
        <f>TrRoad_act!C115</f>
        <v>25191</v>
      </c>
      <c r="D34" s="84">
        <f>TrRoad_act!D115</f>
        <v>17125</v>
      </c>
      <c r="E34" s="84">
        <f>TrRoad_act!E115</f>
        <v>16478</v>
      </c>
      <c r="F34" s="84">
        <f>TrRoad_act!F115</f>
        <v>13756</v>
      </c>
      <c r="G34" s="84">
        <f>TrRoad_act!G115</f>
        <v>12837</v>
      </c>
      <c r="H34" s="84">
        <f>TrRoad_act!H115</f>
        <v>12218</v>
      </c>
      <c r="I34" s="84">
        <f>TrRoad_act!I115</f>
        <v>11503</v>
      </c>
      <c r="J34" s="84">
        <f>TrRoad_act!J115</f>
        <v>12013</v>
      </c>
      <c r="K34" s="84">
        <f>TrRoad_act!K115</f>
        <v>12758</v>
      </c>
      <c r="L34" s="84">
        <f>TrRoad_act!L115</f>
        <v>14183</v>
      </c>
      <c r="M34" s="84">
        <f>TrRoad_act!M115</f>
        <v>14425</v>
      </c>
      <c r="N34" s="84">
        <f>TrRoad_act!N115</f>
        <v>16194</v>
      </c>
      <c r="O34" s="84">
        <f>TrRoad_act!O115</f>
        <v>13846</v>
      </c>
      <c r="P34" s="84">
        <f>TrRoad_act!P115</f>
        <v>18706</v>
      </c>
      <c r="Q34" s="84">
        <f>TrRoad_act!Q115</f>
        <v>18496</v>
      </c>
      <c r="R34" s="84">
        <f>TrRoad_act!R115</f>
        <v>22523</v>
      </c>
      <c r="S34" s="84">
        <f>TrRoad_act!S115</f>
        <v>28560</v>
      </c>
      <c r="T34" s="84">
        <f>TrRoad_act!T115</f>
        <v>31968</v>
      </c>
      <c r="U34" s="84">
        <f>TrRoad_act!U115</f>
        <v>28508</v>
      </c>
      <c r="V34" s="84">
        <f>TrRoad_act!V115</f>
        <v>21025</v>
      </c>
      <c r="W34" s="84">
        <f>TrRoad_act!W115</f>
        <v>19056</v>
      </c>
      <c r="X34" s="84">
        <f>TrRoad_act!X115</f>
        <v>18170</v>
      </c>
      <c r="Y34" s="84">
        <f>TrRoad_act!Y115</f>
        <v>19947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26300</v>
      </c>
      <c r="C35" s="84">
        <f>TrRoad_act!C116</f>
        <v>26834</v>
      </c>
      <c r="D35" s="84">
        <f>TrRoad_act!D116</f>
        <v>27152</v>
      </c>
      <c r="E35" s="84">
        <f>TrRoad_act!E116</f>
        <v>28884</v>
      </c>
      <c r="F35" s="84">
        <f>TrRoad_act!F116</f>
        <v>35004</v>
      </c>
      <c r="G35" s="84">
        <f>TrRoad_act!G116</f>
        <v>36561</v>
      </c>
      <c r="H35" s="84">
        <f>TrRoad_act!H116</f>
        <v>39280</v>
      </c>
      <c r="I35" s="84">
        <f>TrRoad_act!I116</f>
        <v>39753</v>
      </c>
      <c r="J35" s="84">
        <f>TrRoad_act!J116</f>
        <v>40313</v>
      </c>
      <c r="K35" s="84">
        <f>TrRoad_act!K116</f>
        <v>34480</v>
      </c>
      <c r="L35" s="84">
        <f>TrRoad_act!L116</f>
        <v>35322</v>
      </c>
      <c r="M35" s="84">
        <f>TrRoad_act!M116</f>
        <v>34999</v>
      </c>
      <c r="N35" s="84">
        <f>TrRoad_act!N116</f>
        <v>36060</v>
      </c>
      <c r="O35" s="84">
        <f>TrRoad_act!O116</f>
        <v>32096</v>
      </c>
      <c r="P35" s="84">
        <f>TrRoad_act!P116</f>
        <v>30581</v>
      </c>
      <c r="Q35" s="84">
        <f>TrRoad_act!Q116</f>
        <v>27771</v>
      </c>
      <c r="R35" s="84">
        <f>TrRoad_act!R116</f>
        <v>27524</v>
      </c>
      <c r="S35" s="84">
        <f>TrRoad_act!S116</f>
        <v>23135</v>
      </c>
      <c r="T35" s="84">
        <f>TrRoad_act!T116</f>
        <v>19646</v>
      </c>
      <c r="U35" s="84">
        <f>TrRoad_act!U116</f>
        <v>24302</v>
      </c>
      <c r="V35" s="84">
        <f>TrRoad_act!V116</f>
        <v>18629</v>
      </c>
      <c r="W35" s="84">
        <f>TrRoad_act!W116</f>
        <v>15754</v>
      </c>
      <c r="X35" s="84">
        <f>TrRoad_act!X116</f>
        <v>13279</v>
      </c>
      <c r="Y35" s="84">
        <f>TrRoad_act!Y116</f>
        <v>12743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715</v>
      </c>
      <c r="D36" s="84">
        <f>TrRoad_act!D117</f>
        <v>416</v>
      </c>
      <c r="E36" s="84">
        <f>TrRoad_act!E117</f>
        <v>168</v>
      </c>
      <c r="F36" s="84">
        <f>TrRoad_act!F117</f>
        <v>193</v>
      </c>
      <c r="G36" s="84">
        <f>TrRoad_act!G117</f>
        <v>206</v>
      </c>
      <c r="H36" s="84">
        <f>TrRoad_act!H117</f>
        <v>33</v>
      </c>
      <c r="I36" s="84">
        <f>TrRoad_act!I117</f>
        <v>29</v>
      </c>
      <c r="J36" s="84">
        <f>TrRoad_act!J117</f>
        <v>32</v>
      </c>
      <c r="K36" s="84">
        <f>TrRoad_act!K117</f>
        <v>100</v>
      </c>
      <c r="L36" s="84">
        <f>TrRoad_act!L117</f>
        <v>25</v>
      </c>
      <c r="M36" s="84">
        <f>TrRoad_act!M117</f>
        <v>151</v>
      </c>
      <c r="N36" s="84">
        <f>TrRoad_act!N117</f>
        <v>203</v>
      </c>
      <c r="O36" s="84">
        <f>TrRoad_act!O117</f>
        <v>235</v>
      </c>
      <c r="P36" s="84">
        <f>TrRoad_act!P117</f>
        <v>121</v>
      </c>
      <c r="Q36" s="84">
        <f>TrRoad_act!Q117</f>
        <v>100</v>
      </c>
      <c r="R36" s="84">
        <f>TrRoad_act!R117</f>
        <v>157</v>
      </c>
      <c r="S36" s="84">
        <f>TrRoad_act!S117</f>
        <v>0</v>
      </c>
      <c r="T36" s="84">
        <f>TrRoad_act!T117</f>
        <v>2</v>
      </c>
      <c r="U36" s="84">
        <f>TrRoad_act!U117</f>
        <v>1</v>
      </c>
      <c r="V36" s="84">
        <f>TrRoad_act!V117</f>
        <v>177</v>
      </c>
      <c r="W36" s="84">
        <f>TrRoad_act!W117</f>
        <v>98</v>
      </c>
      <c r="X36" s="84">
        <f>TrRoad_act!X117</f>
        <v>36</v>
      </c>
      <c r="Y36" s="84">
        <f>TrRoad_act!Y117</f>
        <v>32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X37" s="84">
        <f>TrRoad_act!X118</f>
        <v>0</v>
      </c>
      <c r="Y37" s="84">
        <f>TrRoad_act!Y118</f>
        <v>0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490</v>
      </c>
      <c r="O38" s="84">
        <f>TrRoad_act!O119</f>
        <v>280</v>
      </c>
      <c r="P38" s="84">
        <f>TrRoad_act!P119</f>
        <v>73</v>
      </c>
      <c r="Q38" s="84">
        <f>TrRoad_act!Q119</f>
        <v>25</v>
      </c>
      <c r="R38" s="84">
        <f>TrRoad_act!R119</f>
        <v>195</v>
      </c>
      <c r="S38" s="84">
        <f>TrRoad_act!S119</f>
        <v>694</v>
      </c>
      <c r="T38" s="84">
        <f>TrRoad_act!T119</f>
        <v>703</v>
      </c>
      <c r="U38" s="84">
        <f>TrRoad_act!U119</f>
        <v>931</v>
      </c>
      <c r="V38" s="84">
        <f>TrRoad_act!V119</f>
        <v>2833</v>
      </c>
      <c r="W38" s="84">
        <f>TrRoad_act!W119</f>
        <v>4778</v>
      </c>
      <c r="X38" s="84">
        <f>TrRoad_act!X119</f>
        <v>3951</v>
      </c>
      <c r="Y38" s="84">
        <f>TrRoad_act!Y119</f>
        <v>5053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1</v>
      </c>
      <c r="K39" s="84">
        <f>TrRoad_act!K120</f>
        <v>1</v>
      </c>
      <c r="L39" s="84">
        <f>TrRoad_act!L120</f>
        <v>196</v>
      </c>
      <c r="M39" s="84">
        <f>TrRoad_act!M120</f>
        <v>306</v>
      </c>
      <c r="N39" s="84">
        <f>TrRoad_act!N120</f>
        <v>61</v>
      </c>
      <c r="O39" s="84">
        <f>TrRoad_act!O120</f>
        <v>167</v>
      </c>
      <c r="P39" s="84">
        <f>TrRoad_act!P120</f>
        <v>312</v>
      </c>
      <c r="Q39" s="84">
        <f>TrRoad_act!Q120</f>
        <v>81</v>
      </c>
      <c r="R39" s="84">
        <f>TrRoad_act!R120</f>
        <v>162</v>
      </c>
      <c r="S39" s="84">
        <f>TrRoad_act!S120</f>
        <v>386</v>
      </c>
      <c r="T39" s="84">
        <f>TrRoad_act!T120</f>
        <v>492</v>
      </c>
      <c r="U39" s="84">
        <f>TrRoad_act!U120</f>
        <v>1266</v>
      </c>
      <c r="V39" s="84">
        <f>TrRoad_act!V120</f>
        <v>2525</v>
      </c>
      <c r="W39" s="84">
        <f>TrRoad_act!W120</f>
        <v>4686</v>
      </c>
      <c r="X39" s="84">
        <f>TrRoad_act!X120</f>
        <v>6658</v>
      </c>
      <c r="Y39" s="84">
        <f>TrRoad_act!Y120</f>
        <v>11380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122</v>
      </c>
      <c r="C40" s="110">
        <f>TrRoad_act!C121</f>
        <v>151</v>
      </c>
      <c r="D40" s="110">
        <f>TrRoad_act!D121</f>
        <v>89</v>
      </c>
      <c r="E40" s="110">
        <f>TrRoad_act!E121</f>
        <v>135</v>
      </c>
      <c r="F40" s="110">
        <f>TrRoad_act!F121</f>
        <v>126</v>
      </c>
      <c r="G40" s="110">
        <f>TrRoad_act!G121</f>
        <v>158</v>
      </c>
      <c r="H40" s="110">
        <f>TrRoad_act!H121</f>
        <v>168</v>
      </c>
      <c r="I40" s="110">
        <f>TrRoad_act!I121</f>
        <v>176</v>
      </c>
      <c r="J40" s="110">
        <f>TrRoad_act!J121</f>
        <v>225</v>
      </c>
      <c r="K40" s="110">
        <f>TrRoad_act!K121</f>
        <v>209</v>
      </c>
      <c r="L40" s="110">
        <f>TrRoad_act!L121</f>
        <v>174</v>
      </c>
      <c r="M40" s="110">
        <f>TrRoad_act!M121</f>
        <v>188</v>
      </c>
      <c r="N40" s="110">
        <f>TrRoad_act!N121</f>
        <v>159</v>
      </c>
      <c r="O40" s="110">
        <f>TrRoad_act!O121</f>
        <v>181</v>
      </c>
      <c r="P40" s="110">
        <f>TrRoad_act!P121</f>
        <v>159</v>
      </c>
      <c r="Q40" s="110">
        <f>TrRoad_act!Q121</f>
        <v>251</v>
      </c>
      <c r="R40" s="110">
        <f>TrRoad_act!R121</f>
        <v>205</v>
      </c>
      <c r="S40" s="110">
        <f>TrRoad_act!S121</f>
        <v>239</v>
      </c>
      <c r="T40" s="110">
        <f>TrRoad_act!T121</f>
        <v>218</v>
      </c>
      <c r="U40" s="110">
        <f>TrRoad_act!U121</f>
        <v>273</v>
      </c>
      <c r="V40" s="110">
        <f>TrRoad_act!V121</f>
        <v>221</v>
      </c>
      <c r="W40" s="110">
        <f>TrRoad_act!W121</f>
        <v>211</v>
      </c>
      <c r="X40" s="110">
        <f>TrRoad_act!X121</f>
        <v>304</v>
      </c>
      <c r="Y40" s="110">
        <f>TrRoad_act!Y121</f>
        <v>267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1</v>
      </c>
      <c r="U41" s="102">
        <f>TrRoad_act!U122</f>
        <v>0</v>
      </c>
      <c r="V41" s="102">
        <f>TrRoad_act!V122</f>
        <v>0</v>
      </c>
      <c r="W41" s="102">
        <f>TrRoad_act!W122</f>
        <v>1</v>
      </c>
      <c r="X41" s="102">
        <f>TrRoad_act!X122</f>
        <v>1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122</v>
      </c>
      <c r="C42" s="102">
        <f>TrRoad_act!C123</f>
        <v>151</v>
      </c>
      <c r="D42" s="102">
        <f>TrRoad_act!D123</f>
        <v>89</v>
      </c>
      <c r="E42" s="102">
        <f>TrRoad_act!E123</f>
        <v>132</v>
      </c>
      <c r="F42" s="102">
        <f>TrRoad_act!F123</f>
        <v>126</v>
      </c>
      <c r="G42" s="102">
        <f>TrRoad_act!G123</f>
        <v>158</v>
      </c>
      <c r="H42" s="102">
        <f>TrRoad_act!H123</f>
        <v>168</v>
      </c>
      <c r="I42" s="102">
        <f>TrRoad_act!I123</f>
        <v>176</v>
      </c>
      <c r="J42" s="102">
        <f>TrRoad_act!J123</f>
        <v>225</v>
      </c>
      <c r="K42" s="102">
        <f>TrRoad_act!K123</f>
        <v>209</v>
      </c>
      <c r="L42" s="102">
        <f>TrRoad_act!L123</f>
        <v>174</v>
      </c>
      <c r="M42" s="102">
        <f>TrRoad_act!M123</f>
        <v>188</v>
      </c>
      <c r="N42" s="102">
        <f>TrRoad_act!N123</f>
        <v>159</v>
      </c>
      <c r="O42" s="102">
        <f>TrRoad_act!O123</f>
        <v>181</v>
      </c>
      <c r="P42" s="102">
        <f>TrRoad_act!P123</f>
        <v>159</v>
      </c>
      <c r="Q42" s="102">
        <f>TrRoad_act!Q123</f>
        <v>251</v>
      </c>
      <c r="R42" s="102">
        <f>TrRoad_act!R123</f>
        <v>205</v>
      </c>
      <c r="S42" s="102">
        <f>TrRoad_act!S123</f>
        <v>231</v>
      </c>
      <c r="T42" s="102">
        <f>TrRoad_act!T123</f>
        <v>191</v>
      </c>
      <c r="U42" s="102">
        <f>TrRoad_act!U123</f>
        <v>198</v>
      </c>
      <c r="V42" s="102">
        <f>TrRoad_act!V123</f>
        <v>178</v>
      </c>
      <c r="W42" s="102">
        <f>TrRoad_act!W123</f>
        <v>180</v>
      </c>
      <c r="X42" s="102">
        <f>TrRoad_act!X123</f>
        <v>158</v>
      </c>
      <c r="Y42" s="102">
        <f>TrRoad_act!Y123</f>
        <v>187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X44" s="102">
        <f>TrRoad_act!X125</f>
        <v>0</v>
      </c>
      <c r="Y44" s="102">
        <f>TrRoad_act!Y125</f>
        <v>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3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8</v>
      </c>
      <c r="T45" s="102">
        <f>TrRoad_act!T126</f>
        <v>26</v>
      </c>
      <c r="U45" s="102">
        <f>TrRoad_act!U126</f>
        <v>75</v>
      </c>
      <c r="V45" s="102">
        <f>TrRoad_act!V126</f>
        <v>43</v>
      </c>
      <c r="W45" s="102">
        <f>TrRoad_act!W126</f>
        <v>30</v>
      </c>
      <c r="X45" s="102">
        <f>TrRoad_act!X126</f>
        <v>145</v>
      </c>
      <c r="Y45" s="102">
        <f>TrRoad_act!Y126</f>
        <v>80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83</v>
      </c>
      <c r="C46" s="28">
        <f>TrRoad_act!C127</f>
        <v>2778</v>
      </c>
      <c r="D46" s="28">
        <f>TrRoad_act!D127</f>
        <v>2392</v>
      </c>
      <c r="E46" s="28">
        <f>TrRoad_act!E127</f>
        <v>2480</v>
      </c>
      <c r="F46" s="28">
        <f>TrRoad_act!F127</f>
        <v>2768</v>
      </c>
      <c r="G46" s="28">
        <f>TrRoad_act!G127</f>
        <v>3464</v>
      </c>
      <c r="H46" s="28">
        <f>TrRoad_act!H127</f>
        <v>3045</v>
      </c>
      <c r="I46" s="28">
        <f>TrRoad_act!I127</f>
        <v>3668</v>
      </c>
      <c r="J46" s="28">
        <f>TrRoad_act!J127</f>
        <v>5003</v>
      </c>
      <c r="K46" s="28">
        <f>TrRoad_act!K127</f>
        <v>2405</v>
      </c>
      <c r="L46" s="28">
        <f>TrRoad_act!L127</f>
        <v>3260</v>
      </c>
      <c r="M46" s="28">
        <f>TrRoad_act!M127</f>
        <v>3577</v>
      </c>
      <c r="N46" s="28">
        <f>TrRoad_act!N127</f>
        <v>3713</v>
      </c>
      <c r="O46" s="28">
        <f>TrRoad_act!O127</f>
        <v>3647</v>
      </c>
      <c r="P46" s="28">
        <f>TrRoad_act!P127</f>
        <v>3341</v>
      </c>
      <c r="Q46" s="28">
        <f>TrRoad_act!Q127</f>
        <v>3815</v>
      </c>
      <c r="R46" s="28">
        <f>TrRoad_act!R127</f>
        <v>4498</v>
      </c>
      <c r="S46" s="28">
        <f>TrRoad_act!S127</f>
        <v>5197</v>
      </c>
      <c r="T46" s="28">
        <f>TrRoad_act!T127</f>
        <v>4946</v>
      </c>
      <c r="U46" s="28">
        <f>TrRoad_act!U127</f>
        <v>5085</v>
      </c>
      <c r="V46" s="28">
        <f>TrRoad_act!V127</f>
        <v>5389</v>
      </c>
      <c r="W46" s="28">
        <f>TrRoad_act!W127</f>
        <v>5357</v>
      </c>
      <c r="X46" s="28">
        <f>TrRoad_act!X127</f>
        <v>5122</v>
      </c>
      <c r="Y46" s="28">
        <f>TrRoad_act!Y127</f>
        <v>5755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2323</v>
      </c>
      <c r="D47" s="137">
        <f>TrRoad_act!D128</f>
        <v>2232</v>
      </c>
      <c r="E47" s="137">
        <f>TrRoad_act!E128</f>
        <v>2114</v>
      </c>
      <c r="F47" s="137">
        <f>TrRoad_act!F128</f>
        <v>2427</v>
      </c>
      <c r="G47" s="137">
        <f>TrRoad_act!G128</f>
        <v>2563</v>
      </c>
      <c r="H47" s="137">
        <f>TrRoad_act!H128</f>
        <v>2793</v>
      </c>
      <c r="I47" s="137">
        <f>TrRoad_act!I128</f>
        <v>3280</v>
      </c>
      <c r="J47" s="137">
        <f>TrRoad_act!J128</f>
        <v>3793</v>
      </c>
      <c r="K47" s="137">
        <f>TrRoad_act!K128</f>
        <v>1365</v>
      </c>
      <c r="L47" s="137">
        <f>TrRoad_act!L128</f>
        <v>2643</v>
      </c>
      <c r="M47" s="137">
        <f>TrRoad_act!M128</f>
        <v>3002</v>
      </c>
      <c r="N47" s="137">
        <f>TrRoad_act!N128</f>
        <v>3395</v>
      </c>
      <c r="O47" s="137">
        <f>TrRoad_act!O128</f>
        <v>3491</v>
      </c>
      <c r="P47" s="137">
        <f>TrRoad_act!P128</f>
        <v>2996</v>
      </c>
      <c r="Q47" s="137">
        <f>TrRoad_act!Q128</f>
        <v>3383</v>
      </c>
      <c r="R47" s="137">
        <f>TrRoad_act!R128</f>
        <v>3851</v>
      </c>
      <c r="S47" s="137">
        <f>TrRoad_act!S128</f>
        <v>4440</v>
      </c>
      <c r="T47" s="137">
        <f>TrRoad_act!T128</f>
        <v>4427</v>
      </c>
      <c r="U47" s="137">
        <f>TrRoad_act!U128</f>
        <v>4309</v>
      </c>
      <c r="V47" s="137">
        <f>TrRoad_act!V128</f>
        <v>4504</v>
      </c>
      <c r="W47" s="137">
        <f>TrRoad_act!W128</f>
        <v>4818</v>
      </c>
      <c r="X47" s="137">
        <f>TrRoad_act!X128</f>
        <v>4492</v>
      </c>
      <c r="Y47" s="137">
        <f>TrRoad_act!Y128</f>
        <v>5338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20</v>
      </c>
      <c r="D48" s="84">
        <f>TrRoad_act!D129</f>
        <v>51</v>
      </c>
      <c r="E48" s="84">
        <f>TrRoad_act!E129</f>
        <v>84</v>
      </c>
      <c r="F48" s="84">
        <f>TrRoad_act!F129</f>
        <v>77</v>
      </c>
      <c r="G48" s="84">
        <f>TrRoad_act!G129</f>
        <v>86</v>
      </c>
      <c r="H48" s="84">
        <f>TrRoad_act!H129</f>
        <v>86</v>
      </c>
      <c r="I48" s="84">
        <f>TrRoad_act!I129</f>
        <v>126</v>
      </c>
      <c r="J48" s="84">
        <f>TrRoad_act!J129</f>
        <v>179</v>
      </c>
      <c r="K48" s="84">
        <f>TrRoad_act!K129</f>
        <v>159</v>
      </c>
      <c r="L48" s="84">
        <f>TrRoad_act!L129</f>
        <v>139</v>
      </c>
      <c r="M48" s="84">
        <f>TrRoad_act!M129</f>
        <v>115</v>
      </c>
      <c r="N48" s="84">
        <f>TrRoad_act!N129</f>
        <v>86</v>
      </c>
      <c r="O48" s="84">
        <f>TrRoad_act!O129</f>
        <v>109</v>
      </c>
      <c r="P48" s="84">
        <f>TrRoad_act!P129</f>
        <v>84</v>
      </c>
      <c r="Q48" s="84">
        <f>TrRoad_act!Q129</f>
        <v>78</v>
      </c>
      <c r="R48" s="84">
        <f>TrRoad_act!R129</f>
        <v>111</v>
      </c>
      <c r="S48" s="84">
        <f>TrRoad_act!S129</f>
        <v>152</v>
      </c>
      <c r="T48" s="84">
        <f>TrRoad_act!T129</f>
        <v>170</v>
      </c>
      <c r="U48" s="84">
        <f>TrRoad_act!U129</f>
        <v>160</v>
      </c>
      <c r="V48" s="84">
        <f>TrRoad_act!V129</f>
        <v>170</v>
      </c>
      <c r="W48" s="84">
        <f>TrRoad_act!W129</f>
        <v>173</v>
      </c>
      <c r="X48" s="84">
        <f>TrRoad_act!X129</f>
        <v>181</v>
      </c>
      <c r="Y48" s="84">
        <f>TrRoad_act!Y129</f>
        <v>303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2303</v>
      </c>
      <c r="D49" s="84">
        <f>TrRoad_act!D130</f>
        <v>2181</v>
      </c>
      <c r="E49" s="84">
        <f>TrRoad_act!E130</f>
        <v>2030</v>
      </c>
      <c r="F49" s="84">
        <f>TrRoad_act!F130</f>
        <v>2350</v>
      </c>
      <c r="G49" s="84">
        <f>TrRoad_act!G130</f>
        <v>2477</v>
      </c>
      <c r="H49" s="84">
        <f>TrRoad_act!H130</f>
        <v>2706</v>
      </c>
      <c r="I49" s="84">
        <f>TrRoad_act!I130</f>
        <v>3153</v>
      </c>
      <c r="J49" s="84">
        <f>TrRoad_act!J130</f>
        <v>3614</v>
      </c>
      <c r="K49" s="84">
        <f>TrRoad_act!K130</f>
        <v>1201</v>
      </c>
      <c r="L49" s="84">
        <f>TrRoad_act!L130</f>
        <v>2504</v>
      </c>
      <c r="M49" s="84">
        <f>TrRoad_act!M130</f>
        <v>2887</v>
      </c>
      <c r="N49" s="84">
        <f>TrRoad_act!N130</f>
        <v>3289</v>
      </c>
      <c r="O49" s="84">
        <f>TrRoad_act!O130</f>
        <v>3279</v>
      </c>
      <c r="P49" s="84">
        <f>TrRoad_act!P130</f>
        <v>2879</v>
      </c>
      <c r="Q49" s="84">
        <f>TrRoad_act!Q130</f>
        <v>3280</v>
      </c>
      <c r="R49" s="84">
        <f>TrRoad_act!R130</f>
        <v>3719</v>
      </c>
      <c r="S49" s="84">
        <f>TrRoad_act!S130</f>
        <v>4241</v>
      </c>
      <c r="T49" s="84">
        <f>TrRoad_act!T130</f>
        <v>4190</v>
      </c>
      <c r="U49" s="84">
        <f>TrRoad_act!U130</f>
        <v>4018</v>
      </c>
      <c r="V49" s="84">
        <f>TrRoad_act!V130</f>
        <v>4237</v>
      </c>
      <c r="W49" s="84">
        <f>TrRoad_act!W130</f>
        <v>4490</v>
      </c>
      <c r="X49" s="84">
        <f>TrRoad_act!X130</f>
        <v>4030</v>
      </c>
      <c r="Y49" s="84">
        <f>TrRoad_act!Y130</f>
        <v>4573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59</v>
      </c>
      <c r="P50" s="84">
        <f>TrRoad_act!P131</f>
        <v>12</v>
      </c>
      <c r="Q50" s="84">
        <f>TrRoad_act!Q131</f>
        <v>2</v>
      </c>
      <c r="R50" s="84">
        <f>TrRoad_act!R131</f>
        <v>5</v>
      </c>
      <c r="S50" s="84">
        <f>TrRoad_act!S131</f>
        <v>8</v>
      </c>
      <c r="T50" s="84">
        <f>TrRoad_act!T131</f>
        <v>13</v>
      </c>
      <c r="U50" s="84">
        <f>TrRoad_act!U131</f>
        <v>45</v>
      </c>
      <c r="V50" s="84">
        <f>TrRoad_act!V131</f>
        <v>36</v>
      </c>
      <c r="W50" s="84">
        <f>TrRoad_act!W131</f>
        <v>30</v>
      </c>
      <c r="X50" s="84">
        <f>TrRoad_act!X131</f>
        <v>5</v>
      </c>
      <c r="Y50" s="84">
        <f>TrRoad_act!Y131</f>
        <v>4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X51" s="84">
        <f>TrRoad_act!X132</f>
        <v>0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1</v>
      </c>
      <c r="I52" s="84">
        <f>TrRoad_act!I133</f>
        <v>1</v>
      </c>
      <c r="J52" s="84">
        <f>TrRoad_act!J133</f>
        <v>0</v>
      </c>
      <c r="K52" s="84">
        <f>TrRoad_act!K133</f>
        <v>5</v>
      </c>
      <c r="L52" s="84">
        <f>TrRoad_act!L133</f>
        <v>0</v>
      </c>
      <c r="M52" s="84">
        <f>TrRoad_act!M133</f>
        <v>0</v>
      </c>
      <c r="N52" s="84">
        <f>TrRoad_act!N133</f>
        <v>20</v>
      </c>
      <c r="O52" s="84">
        <f>TrRoad_act!O133</f>
        <v>44</v>
      </c>
      <c r="P52" s="84">
        <f>TrRoad_act!P133</f>
        <v>21</v>
      </c>
      <c r="Q52" s="84">
        <f>TrRoad_act!Q133</f>
        <v>23</v>
      </c>
      <c r="R52" s="84">
        <f>TrRoad_act!R133</f>
        <v>16</v>
      </c>
      <c r="S52" s="84">
        <f>TrRoad_act!S133</f>
        <v>39</v>
      </c>
      <c r="T52" s="84">
        <f>TrRoad_act!T133</f>
        <v>54</v>
      </c>
      <c r="U52" s="84">
        <f>TrRoad_act!U133</f>
        <v>86</v>
      </c>
      <c r="V52" s="84">
        <f>TrRoad_act!V133</f>
        <v>61</v>
      </c>
      <c r="W52" s="84">
        <f>TrRoad_act!W133</f>
        <v>125</v>
      </c>
      <c r="X52" s="84">
        <f>TrRoad_act!X133</f>
        <v>276</v>
      </c>
      <c r="Y52" s="84">
        <f>TrRoad_act!Y133</f>
        <v>458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83</v>
      </c>
      <c r="C53" s="110">
        <f>TrRoad_act!C134</f>
        <v>455</v>
      </c>
      <c r="D53" s="110">
        <f>TrRoad_act!D134</f>
        <v>160</v>
      </c>
      <c r="E53" s="110">
        <f>TrRoad_act!E134</f>
        <v>366</v>
      </c>
      <c r="F53" s="110">
        <f>TrRoad_act!F134</f>
        <v>341</v>
      </c>
      <c r="G53" s="110">
        <f>TrRoad_act!G134</f>
        <v>901</v>
      </c>
      <c r="H53" s="110">
        <f>TrRoad_act!H134</f>
        <v>252</v>
      </c>
      <c r="I53" s="110">
        <f>TrRoad_act!I134</f>
        <v>388</v>
      </c>
      <c r="J53" s="110">
        <f>TrRoad_act!J134</f>
        <v>1210</v>
      </c>
      <c r="K53" s="110">
        <f>TrRoad_act!K134</f>
        <v>1040</v>
      </c>
      <c r="L53" s="110">
        <f>TrRoad_act!L134</f>
        <v>617</v>
      </c>
      <c r="M53" s="110">
        <f>TrRoad_act!M134</f>
        <v>575</v>
      </c>
      <c r="N53" s="110">
        <f>TrRoad_act!N134</f>
        <v>318</v>
      </c>
      <c r="O53" s="110">
        <f>TrRoad_act!O134</f>
        <v>156</v>
      </c>
      <c r="P53" s="110">
        <f>TrRoad_act!P134</f>
        <v>345</v>
      </c>
      <c r="Q53" s="110">
        <f>TrRoad_act!Q134</f>
        <v>432</v>
      </c>
      <c r="R53" s="110">
        <f>TrRoad_act!R134</f>
        <v>647</v>
      </c>
      <c r="S53" s="110">
        <f>TrRoad_act!S134</f>
        <v>757</v>
      </c>
      <c r="T53" s="110">
        <f>TrRoad_act!T134</f>
        <v>519</v>
      </c>
      <c r="U53" s="110">
        <f>TrRoad_act!U134</f>
        <v>776</v>
      </c>
      <c r="V53" s="110">
        <f>TrRoad_act!V134</f>
        <v>885</v>
      </c>
      <c r="W53" s="110">
        <f>TrRoad_act!W134</f>
        <v>539</v>
      </c>
      <c r="X53" s="110">
        <f>TrRoad_act!X134</f>
        <v>630</v>
      </c>
      <c r="Y53" s="110">
        <f>TrRoad_act!Y134</f>
        <v>417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360</v>
      </c>
      <c r="D54" s="102">
        <f>TrRoad_act!D135</f>
        <v>70</v>
      </c>
      <c r="E54" s="102">
        <f>TrRoad_act!E135</f>
        <v>293</v>
      </c>
      <c r="F54" s="102">
        <f>TrRoad_act!F135</f>
        <v>108</v>
      </c>
      <c r="G54" s="102">
        <f>TrRoad_act!G135</f>
        <v>793</v>
      </c>
      <c r="H54" s="102">
        <f>TrRoad_act!H135</f>
        <v>212</v>
      </c>
      <c r="I54" s="102">
        <f>TrRoad_act!I135</f>
        <v>224</v>
      </c>
      <c r="J54" s="102">
        <f>TrRoad_act!J135</f>
        <v>956</v>
      </c>
      <c r="K54" s="102">
        <f>TrRoad_act!K135</f>
        <v>1040</v>
      </c>
      <c r="L54" s="102">
        <f>TrRoad_act!L135</f>
        <v>480</v>
      </c>
      <c r="M54" s="102">
        <f>TrRoad_act!M135</f>
        <v>492</v>
      </c>
      <c r="N54" s="102">
        <f>TrRoad_act!N135</f>
        <v>66</v>
      </c>
      <c r="O54" s="102">
        <f>TrRoad_act!O135</f>
        <v>61</v>
      </c>
      <c r="P54" s="102">
        <f>TrRoad_act!P135</f>
        <v>164</v>
      </c>
      <c r="Q54" s="102">
        <f>TrRoad_act!Q135</f>
        <v>432</v>
      </c>
      <c r="R54" s="102">
        <f>TrRoad_act!R135</f>
        <v>466</v>
      </c>
      <c r="S54" s="102">
        <f>TrRoad_act!S135</f>
        <v>581</v>
      </c>
      <c r="T54" s="102">
        <f>TrRoad_act!T135</f>
        <v>464</v>
      </c>
      <c r="U54" s="102">
        <f>TrRoad_act!U135</f>
        <v>625</v>
      </c>
      <c r="V54" s="102">
        <f>TrRoad_act!V135</f>
        <v>866</v>
      </c>
      <c r="W54" s="102">
        <f>TrRoad_act!W135</f>
        <v>331</v>
      </c>
      <c r="X54" s="102">
        <f>TrRoad_act!X135</f>
        <v>492</v>
      </c>
      <c r="Y54" s="102">
        <f>TrRoad_act!Y135</f>
        <v>417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83</v>
      </c>
      <c r="C55" s="86">
        <f>TrRoad_act!C136</f>
        <v>95</v>
      </c>
      <c r="D55" s="86">
        <f>TrRoad_act!D136</f>
        <v>90</v>
      </c>
      <c r="E55" s="86">
        <f>TrRoad_act!E136</f>
        <v>73</v>
      </c>
      <c r="F55" s="86">
        <f>TrRoad_act!F136</f>
        <v>233</v>
      </c>
      <c r="G55" s="86">
        <f>TrRoad_act!G136</f>
        <v>108</v>
      </c>
      <c r="H55" s="86">
        <f>TrRoad_act!H136</f>
        <v>40</v>
      </c>
      <c r="I55" s="86">
        <f>TrRoad_act!I136</f>
        <v>164</v>
      </c>
      <c r="J55" s="86">
        <f>TrRoad_act!J136</f>
        <v>254</v>
      </c>
      <c r="K55" s="86">
        <f>TrRoad_act!K136</f>
        <v>0</v>
      </c>
      <c r="L55" s="86">
        <f>TrRoad_act!L136</f>
        <v>137</v>
      </c>
      <c r="M55" s="86">
        <f>TrRoad_act!M136</f>
        <v>83</v>
      </c>
      <c r="N55" s="86">
        <f>TrRoad_act!N136</f>
        <v>252</v>
      </c>
      <c r="O55" s="86">
        <f>TrRoad_act!O136</f>
        <v>95</v>
      </c>
      <c r="P55" s="86">
        <f>TrRoad_act!P136</f>
        <v>181</v>
      </c>
      <c r="Q55" s="86">
        <f>TrRoad_act!Q136</f>
        <v>0</v>
      </c>
      <c r="R55" s="86">
        <f>TrRoad_act!R136</f>
        <v>181</v>
      </c>
      <c r="S55" s="86">
        <f>TrRoad_act!S136</f>
        <v>176</v>
      </c>
      <c r="T55" s="86">
        <f>TrRoad_act!T136</f>
        <v>55</v>
      </c>
      <c r="U55" s="86">
        <f>TrRoad_act!U136</f>
        <v>151</v>
      </c>
      <c r="V55" s="86">
        <f>TrRoad_act!V136</f>
        <v>19</v>
      </c>
      <c r="W55" s="86">
        <f>TrRoad_act!W136</f>
        <v>208</v>
      </c>
      <c r="X55" s="86">
        <f>TrRoad_act!X136</f>
        <v>138</v>
      </c>
      <c r="Y55" s="86">
        <f>TrRoad_act!Y136</f>
        <v>0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0</v>
      </c>
      <c r="C59" s="54">
        <f t="shared" si="0"/>
        <v>0</v>
      </c>
      <c r="D59" s="54">
        <f t="shared" si="0"/>
        <v>0</v>
      </c>
      <c r="E59" s="54">
        <f t="shared" si="0"/>
        <v>0</v>
      </c>
      <c r="F59" s="54">
        <f t="shared" si="0"/>
        <v>317</v>
      </c>
      <c r="G59" s="54">
        <f t="shared" si="0"/>
        <v>588</v>
      </c>
      <c r="H59" s="54">
        <f t="shared" si="0"/>
        <v>774</v>
      </c>
      <c r="I59" s="54">
        <f t="shared" si="0"/>
        <v>939</v>
      </c>
      <c r="J59" s="54">
        <f t="shared" si="0"/>
        <v>1087</v>
      </c>
      <c r="K59" s="54">
        <f t="shared" si="0"/>
        <v>1706</v>
      </c>
      <c r="L59" s="54">
        <f t="shared" ref="L59" si="1">L60+L75</f>
        <v>1872</v>
      </c>
      <c r="M59" s="54">
        <f t="shared" ref="M59:V59" si="2">M60+M75</f>
        <v>1841</v>
      </c>
      <c r="N59" s="54">
        <f t="shared" si="2"/>
        <v>3157</v>
      </c>
      <c r="O59" s="54">
        <f t="shared" si="2"/>
        <v>21360</v>
      </c>
      <c r="P59" s="54">
        <f t="shared" si="2"/>
        <v>36401</v>
      </c>
      <c r="Q59" s="54">
        <f t="shared" si="2"/>
        <v>39488</v>
      </c>
      <c r="R59" s="54">
        <f t="shared" si="2"/>
        <v>47487</v>
      </c>
      <c r="S59" s="54">
        <f t="shared" si="2"/>
        <v>53349</v>
      </c>
      <c r="T59" s="54">
        <f t="shared" si="2"/>
        <v>55983</v>
      </c>
      <c r="U59" s="54">
        <f t="shared" si="2"/>
        <v>60590</v>
      </c>
      <c r="V59" s="54">
        <f t="shared" si="2"/>
        <v>53086</v>
      </c>
      <c r="W59" s="54">
        <f t="shared" ref="W59:Y59" si="3">W60+W75</f>
        <v>52904</v>
      </c>
      <c r="X59" s="54">
        <f t="shared" si="3"/>
        <v>50485</v>
      </c>
      <c r="Y59" s="54">
        <f t="shared" si="3"/>
        <v>58226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0</v>
      </c>
      <c r="D60" s="28">
        <f t="shared" si="4"/>
        <v>0</v>
      </c>
      <c r="E60" s="28">
        <f t="shared" si="4"/>
        <v>0</v>
      </c>
      <c r="F60" s="28">
        <f t="shared" si="4"/>
        <v>317</v>
      </c>
      <c r="G60" s="28">
        <f t="shared" si="4"/>
        <v>588</v>
      </c>
      <c r="H60" s="28">
        <f t="shared" si="4"/>
        <v>774</v>
      </c>
      <c r="I60" s="28">
        <f t="shared" si="4"/>
        <v>939</v>
      </c>
      <c r="J60" s="28">
        <f t="shared" si="4"/>
        <v>1040</v>
      </c>
      <c r="K60" s="28">
        <f t="shared" si="4"/>
        <v>1354</v>
      </c>
      <c r="L60" s="28">
        <f t="shared" ref="L60" si="5">L61+L62+L69</f>
        <v>1566</v>
      </c>
      <c r="M60" s="28">
        <f t="shared" ref="M60:V60" si="6">M61+M62+M69</f>
        <v>1492</v>
      </c>
      <c r="N60" s="28">
        <f t="shared" si="6"/>
        <v>1492</v>
      </c>
      <c r="O60" s="28">
        <f t="shared" si="6"/>
        <v>19271</v>
      </c>
      <c r="P60" s="28">
        <f t="shared" si="6"/>
        <v>34142</v>
      </c>
      <c r="Q60" s="28">
        <f t="shared" si="6"/>
        <v>36563</v>
      </c>
      <c r="R60" s="28">
        <f t="shared" si="6"/>
        <v>43747</v>
      </c>
      <c r="S60" s="28">
        <f t="shared" si="6"/>
        <v>48743</v>
      </c>
      <c r="T60" s="28">
        <f t="shared" si="6"/>
        <v>51384</v>
      </c>
      <c r="U60" s="28">
        <f t="shared" si="6"/>
        <v>55713</v>
      </c>
      <c r="V60" s="28">
        <f t="shared" si="6"/>
        <v>47778</v>
      </c>
      <c r="W60" s="28">
        <f t="shared" ref="W60:Y60" si="7">W61+W62+W69</f>
        <v>47581</v>
      </c>
      <c r="X60" s="28">
        <f t="shared" si="7"/>
        <v>45370</v>
      </c>
      <c r="Y60" s="28">
        <f t="shared" si="7"/>
        <v>52471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0</v>
      </c>
      <c r="E61" s="137">
        <v>0</v>
      </c>
      <c r="F61" s="137">
        <v>317</v>
      </c>
      <c r="G61" s="137">
        <v>588</v>
      </c>
      <c r="H61" s="137">
        <v>774</v>
      </c>
      <c r="I61" s="137">
        <v>939</v>
      </c>
      <c r="J61" s="137">
        <v>1040</v>
      </c>
      <c r="K61" s="137">
        <v>1327</v>
      </c>
      <c r="L61" s="137">
        <v>1480</v>
      </c>
      <c r="M61" s="137">
        <v>1386</v>
      </c>
      <c r="N61" s="137">
        <v>1391</v>
      </c>
      <c r="O61" s="137">
        <v>1854</v>
      </c>
      <c r="P61" s="137">
        <v>2044</v>
      </c>
      <c r="Q61" s="137">
        <v>1836</v>
      </c>
      <c r="R61" s="137">
        <v>2034</v>
      </c>
      <c r="S61" s="137">
        <v>2138</v>
      </c>
      <c r="T61" s="137">
        <v>2367</v>
      </c>
      <c r="U61" s="137">
        <v>2537</v>
      </c>
      <c r="V61" s="137">
        <v>2898</v>
      </c>
      <c r="W61" s="137">
        <v>3074</v>
      </c>
      <c r="X61" s="137">
        <v>2975</v>
      </c>
      <c r="Y61" s="137">
        <v>3049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0</v>
      </c>
      <c r="E62" s="110">
        <f t="shared" si="8"/>
        <v>0</v>
      </c>
      <c r="F62" s="110">
        <f t="shared" si="8"/>
        <v>0</v>
      </c>
      <c r="G62" s="110">
        <f t="shared" si="8"/>
        <v>0</v>
      </c>
      <c r="H62" s="110">
        <f t="shared" si="8"/>
        <v>0</v>
      </c>
      <c r="I62" s="110">
        <f t="shared" si="8"/>
        <v>0</v>
      </c>
      <c r="J62" s="110">
        <f t="shared" si="8"/>
        <v>0</v>
      </c>
      <c r="K62" s="110">
        <f t="shared" si="8"/>
        <v>0</v>
      </c>
      <c r="L62" s="110">
        <f t="shared" ref="L62" si="9">SUM(L63:L68)</f>
        <v>0</v>
      </c>
      <c r="M62" s="110">
        <f t="shared" ref="M62:V62" si="10">SUM(M63:M68)</f>
        <v>0</v>
      </c>
      <c r="N62" s="110">
        <f t="shared" si="10"/>
        <v>0</v>
      </c>
      <c r="O62" s="110">
        <f t="shared" si="10"/>
        <v>17291</v>
      </c>
      <c r="P62" s="110">
        <f t="shared" si="10"/>
        <v>31978</v>
      </c>
      <c r="Q62" s="110">
        <f t="shared" si="10"/>
        <v>34524</v>
      </c>
      <c r="R62" s="110">
        <f t="shared" si="10"/>
        <v>41538</v>
      </c>
      <c r="S62" s="110">
        <f t="shared" si="10"/>
        <v>46393</v>
      </c>
      <c r="T62" s="110">
        <f t="shared" si="10"/>
        <v>48814</v>
      </c>
      <c r="U62" s="110">
        <f t="shared" si="10"/>
        <v>52914</v>
      </c>
      <c r="V62" s="110">
        <f t="shared" si="10"/>
        <v>44663</v>
      </c>
      <c r="W62" s="110">
        <f t="shared" ref="W62:Y62" si="11">SUM(W63:W68)</f>
        <v>44298</v>
      </c>
      <c r="X62" s="110">
        <f t="shared" si="11"/>
        <v>42091</v>
      </c>
      <c r="Y62" s="110">
        <f t="shared" si="11"/>
        <v>49155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1207</v>
      </c>
      <c r="P63" s="84">
        <v>12876</v>
      </c>
      <c r="Q63" s="84">
        <v>14381</v>
      </c>
      <c r="R63" s="84">
        <v>19174</v>
      </c>
      <c r="S63" s="84">
        <v>25959</v>
      </c>
      <c r="T63" s="84">
        <v>30400</v>
      </c>
      <c r="U63" s="84">
        <v>27903</v>
      </c>
      <c r="V63" s="84">
        <v>20904</v>
      </c>
      <c r="W63" s="84">
        <v>19047</v>
      </c>
      <c r="X63" s="84">
        <v>18170</v>
      </c>
      <c r="Y63" s="84">
        <v>19947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16084</v>
      </c>
      <c r="P64" s="84">
        <v>19102</v>
      </c>
      <c r="Q64" s="84">
        <v>20143</v>
      </c>
      <c r="R64" s="84">
        <v>22364</v>
      </c>
      <c r="S64" s="84">
        <v>20434</v>
      </c>
      <c r="T64" s="84">
        <v>18395</v>
      </c>
      <c r="U64" s="84">
        <v>23630</v>
      </c>
      <c r="V64" s="84">
        <v>18493</v>
      </c>
      <c r="W64" s="84">
        <v>15747</v>
      </c>
      <c r="X64" s="84">
        <v>13279</v>
      </c>
      <c r="Y64" s="84">
        <v>12743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103</v>
      </c>
      <c r="W65" s="84">
        <v>98</v>
      </c>
      <c r="X65" s="84">
        <v>36</v>
      </c>
      <c r="Y65" s="84">
        <v>32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0</v>
      </c>
      <c r="Y66" s="84">
        <v>0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19</v>
      </c>
      <c r="U67" s="84">
        <v>831</v>
      </c>
      <c r="V67" s="84">
        <v>2742</v>
      </c>
      <c r="W67" s="84">
        <v>4750</v>
      </c>
      <c r="X67" s="84">
        <v>3950</v>
      </c>
      <c r="Y67" s="84">
        <v>5053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550</v>
      </c>
      <c r="V68" s="84">
        <v>2421</v>
      </c>
      <c r="W68" s="84">
        <v>4656</v>
      </c>
      <c r="X68" s="84">
        <v>6656</v>
      </c>
      <c r="Y68" s="84">
        <v>11380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0</v>
      </c>
      <c r="H69" s="110">
        <f t="shared" si="12"/>
        <v>0</v>
      </c>
      <c r="I69" s="110">
        <f t="shared" si="12"/>
        <v>0</v>
      </c>
      <c r="J69" s="110">
        <f t="shared" si="12"/>
        <v>0</v>
      </c>
      <c r="K69" s="110">
        <f t="shared" si="12"/>
        <v>27</v>
      </c>
      <c r="L69" s="110">
        <f t="shared" ref="L69" si="13">SUM(L70:L74)</f>
        <v>86</v>
      </c>
      <c r="M69" s="110">
        <f t="shared" ref="M69:V69" si="14">SUM(M70:M74)</f>
        <v>106</v>
      </c>
      <c r="N69" s="110">
        <f t="shared" si="14"/>
        <v>101</v>
      </c>
      <c r="O69" s="110">
        <f t="shared" si="14"/>
        <v>126</v>
      </c>
      <c r="P69" s="110">
        <f t="shared" si="14"/>
        <v>120</v>
      </c>
      <c r="Q69" s="110">
        <f t="shared" si="14"/>
        <v>203</v>
      </c>
      <c r="R69" s="110">
        <f t="shared" si="14"/>
        <v>175</v>
      </c>
      <c r="S69" s="110">
        <f t="shared" si="14"/>
        <v>212</v>
      </c>
      <c r="T69" s="110">
        <f t="shared" si="14"/>
        <v>203</v>
      </c>
      <c r="U69" s="110">
        <f t="shared" si="14"/>
        <v>262</v>
      </c>
      <c r="V69" s="110">
        <f t="shared" si="14"/>
        <v>217</v>
      </c>
      <c r="W69" s="110">
        <f t="shared" ref="W69:Y69" si="15">SUM(W70:W74)</f>
        <v>209</v>
      </c>
      <c r="X69" s="110">
        <f t="shared" si="15"/>
        <v>304</v>
      </c>
      <c r="Y69" s="110">
        <f t="shared" si="15"/>
        <v>267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0</v>
      </c>
      <c r="V70" s="102">
        <v>0</v>
      </c>
      <c r="W70" s="102">
        <v>1</v>
      </c>
      <c r="X70" s="102">
        <v>1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27</v>
      </c>
      <c r="L71" s="102">
        <v>86</v>
      </c>
      <c r="M71" s="102">
        <v>106</v>
      </c>
      <c r="N71" s="102">
        <v>101</v>
      </c>
      <c r="O71" s="102">
        <v>126</v>
      </c>
      <c r="P71" s="102">
        <v>120</v>
      </c>
      <c r="Q71" s="102">
        <v>203</v>
      </c>
      <c r="R71" s="102">
        <v>175</v>
      </c>
      <c r="S71" s="102">
        <v>207</v>
      </c>
      <c r="T71" s="102">
        <v>177</v>
      </c>
      <c r="U71" s="102">
        <v>189</v>
      </c>
      <c r="V71" s="102">
        <v>174</v>
      </c>
      <c r="W71" s="102">
        <v>178</v>
      </c>
      <c r="X71" s="102">
        <v>158</v>
      </c>
      <c r="Y71" s="102">
        <v>187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5</v>
      </c>
      <c r="T74" s="102">
        <v>25</v>
      </c>
      <c r="U74" s="102">
        <v>73</v>
      </c>
      <c r="V74" s="102">
        <v>43</v>
      </c>
      <c r="W74" s="102">
        <v>30</v>
      </c>
      <c r="X74" s="102">
        <v>145</v>
      </c>
      <c r="Y74" s="102">
        <v>80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0</v>
      </c>
      <c r="I75" s="28">
        <f t="shared" si="16"/>
        <v>0</v>
      </c>
      <c r="J75" s="28">
        <f t="shared" si="16"/>
        <v>47</v>
      </c>
      <c r="K75" s="28">
        <f t="shared" si="16"/>
        <v>352</v>
      </c>
      <c r="L75" s="28">
        <f t="shared" ref="L75" si="17">L76+L82</f>
        <v>306</v>
      </c>
      <c r="M75" s="28">
        <f t="shared" ref="M75:V75" si="18">M76+M82</f>
        <v>349</v>
      </c>
      <c r="N75" s="28">
        <f t="shared" si="18"/>
        <v>1665</v>
      </c>
      <c r="O75" s="28">
        <f t="shared" si="18"/>
        <v>2089</v>
      </c>
      <c r="P75" s="28">
        <f t="shared" si="18"/>
        <v>2259</v>
      </c>
      <c r="Q75" s="28">
        <f t="shared" si="18"/>
        <v>2925</v>
      </c>
      <c r="R75" s="28">
        <f t="shared" si="18"/>
        <v>3740</v>
      </c>
      <c r="S75" s="28">
        <f t="shared" si="18"/>
        <v>4606</v>
      </c>
      <c r="T75" s="28">
        <f t="shared" si="18"/>
        <v>4599</v>
      </c>
      <c r="U75" s="28">
        <f t="shared" si="18"/>
        <v>4877</v>
      </c>
      <c r="V75" s="28">
        <f t="shared" si="18"/>
        <v>5308</v>
      </c>
      <c r="W75" s="28">
        <f t="shared" ref="W75:Y75" si="19">W76+W82</f>
        <v>5323</v>
      </c>
      <c r="X75" s="28">
        <f t="shared" si="19"/>
        <v>5115</v>
      </c>
      <c r="Y75" s="28">
        <f t="shared" si="19"/>
        <v>5755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0</v>
      </c>
      <c r="K76" s="137">
        <f t="shared" si="20"/>
        <v>0</v>
      </c>
      <c r="L76" s="137">
        <f t="shared" ref="L76" si="21">SUM(L77:L81)</f>
        <v>0</v>
      </c>
      <c r="M76" s="137">
        <f t="shared" ref="M76:V76" si="22">SUM(M77:M81)</f>
        <v>20</v>
      </c>
      <c r="N76" s="137">
        <f t="shared" si="22"/>
        <v>1460</v>
      </c>
      <c r="O76" s="137">
        <f t="shared" si="22"/>
        <v>1982</v>
      </c>
      <c r="P76" s="137">
        <f t="shared" si="22"/>
        <v>2004</v>
      </c>
      <c r="Q76" s="137">
        <f t="shared" si="22"/>
        <v>2553</v>
      </c>
      <c r="R76" s="137">
        <f t="shared" si="22"/>
        <v>3179</v>
      </c>
      <c r="S76" s="137">
        <f t="shared" si="22"/>
        <v>3920</v>
      </c>
      <c r="T76" s="137">
        <f t="shared" si="22"/>
        <v>4104</v>
      </c>
      <c r="U76" s="137">
        <f t="shared" si="22"/>
        <v>4136</v>
      </c>
      <c r="V76" s="137">
        <f t="shared" si="22"/>
        <v>4434</v>
      </c>
      <c r="W76" s="137">
        <f t="shared" ref="W76:Y76" si="23">SUM(W77:W81)</f>
        <v>4803</v>
      </c>
      <c r="X76" s="137">
        <f t="shared" si="23"/>
        <v>4492</v>
      </c>
      <c r="Y76" s="137">
        <f t="shared" si="23"/>
        <v>5338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20</v>
      </c>
      <c r="N77" s="84">
        <v>44</v>
      </c>
      <c r="O77" s="84">
        <v>68</v>
      </c>
      <c r="P77" s="84">
        <v>62</v>
      </c>
      <c r="Q77" s="84">
        <v>65</v>
      </c>
      <c r="R77" s="84">
        <v>98</v>
      </c>
      <c r="S77" s="84">
        <v>142</v>
      </c>
      <c r="T77" s="84">
        <v>165</v>
      </c>
      <c r="U77" s="84">
        <v>158</v>
      </c>
      <c r="V77" s="84">
        <v>170</v>
      </c>
      <c r="W77" s="84">
        <v>173</v>
      </c>
      <c r="X77" s="84">
        <v>181</v>
      </c>
      <c r="Y77" s="84">
        <v>303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1416</v>
      </c>
      <c r="O78" s="84">
        <v>1914</v>
      </c>
      <c r="P78" s="84">
        <v>1942</v>
      </c>
      <c r="Q78" s="84">
        <v>2478</v>
      </c>
      <c r="R78" s="84">
        <v>3070</v>
      </c>
      <c r="S78" s="84">
        <v>3745</v>
      </c>
      <c r="T78" s="84">
        <v>3890</v>
      </c>
      <c r="U78" s="84">
        <v>3864</v>
      </c>
      <c r="V78" s="84">
        <v>4168</v>
      </c>
      <c r="W78" s="84">
        <v>4475</v>
      </c>
      <c r="X78" s="84">
        <v>4030</v>
      </c>
      <c r="Y78" s="84">
        <v>4573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32</v>
      </c>
      <c r="V79" s="84">
        <v>36</v>
      </c>
      <c r="W79" s="84">
        <v>30</v>
      </c>
      <c r="X79" s="84">
        <v>5</v>
      </c>
      <c r="Y79" s="84">
        <v>4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10</v>
      </c>
      <c r="R81" s="84">
        <v>11</v>
      </c>
      <c r="S81" s="84">
        <v>33</v>
      </c>
      <c r="T81" s="84">
        <v>49</v>
      </c>
      <c r="U81" s="84">
        <v>82</v>
      </c>
      <c r="V81" s="84">
        <v>60</v>
      </c>
      <c r="W81" s="84">
        <v>125</v>
      </c>
      <c r="X81" s="84">
        <v>276</v>
      </c>
      <c r="Y81" s="84">
        <v>458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47</v>
      </c>
      <c r="K82" s="110">
        <f t="shared" si="24"/>
        <v>352</v>
      </c>
      <c r="L82" s="110">
        <f t="shared" ref="L82" si="25">SUM(L83:L84)</f>
        <v>306</v>
      </c>
      <c r="M82" s="110">
        <f t="shared" ref="M82:V82" si="26">SUM(M83:M84)</f>
        <v>329</v>
      </c>
      <c r="N82" s="110">
        <f t="shared" si="26"/>
        <v>205</v>
      </c>
      <c r="O82" s="110">
        <f t="shared" si="26"/>
        <v>107</v>
      </c>
      <c r="P82" s="110">
        <f t="shared" si="26"/>
        <v>255</v>
      </c>
      <c r="Q82" s="110">
        <f t="shared" si="26"/>
        <v>372</v>
      </c>
      <c r="R82" s="110">
        <f t="shared" si="26"/>
        <v>561</v>
      </c>
      <c r="S82" s="110">
        <f t="shared" si="26"/>
        <v>686</v>
      </c>
      <c r="T82" s="110">
        <f t="shared" si="26"/>
        <v>495</v>
      </c>
      <c r="U82" s="110">
        <f t="shared" si="26"/>
        <v>741</v>
      </c>
      <c r="V82" s="110">
        <f t="shared" si="26"/>
        <v>874</v>
      </c>
      <c r="W82" s="110">
        <f t="shared" ref="W82:Y82" si="27">SUM(W83:W84)</f>
        <v>520</v>
      </c>
      <c r="X82" s="110">
        <f t="shared" si="27"/>
        <v>623</v>
      </c>
      <c r="Y82" s="110">
        <f t="shared" si="27"/>
        <v>417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0</v>
      </c>
      <c r="K83" s="102">
        <v>352</v>
      </c>
      <c r="L83" s="102">
        <v>223</v>
      </c>
      <c r="M83" s="102">
        <v>276</v>
      </c>
      <c r="N83" s="102">
        <v>43</v>
      </c>
      <c r="O83" s="102">
        <v>45</v>
      </c>
      <c r="P83" s="102">
        <v>132</v>
      </c>
      <c r="Q83" s="102">
        <v>372</v>
      </c>
      <c r="R83" s="102">
        <v>424</v>
      </c>
      <c r="S83" s="102">
        <v>549</v>
      </c>
      <c r="T83" s="102">
        <v>450</v>
      </c>
      <c r="U83" s="102">
        <v>614</v>
      </c>
      <c r="V83" s="102">
        <v>858</v>
      </c>
      <c r="W83" s="102">
        <v>330</v>
      </c>
      <c r="X83" s="102">
        <v>492</v>
      </c>
      <c r="Y83" s="102">
        <v>417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47</v>
      </c>
      <c r="K84" s="86">
        <v>0</v>
      </c>
      <c r="L84" s="86">
        <v>83</v>
      </c>
      <c r="M84" s="86">
        <v>53</v>
      </c>
      <c r="N84" s="86">
        <v>162</v>
      </c>
      <c r="O84" s="86">
        <v>62</v>
      </c>
      <c r="P84" s="86">
        <v>123</v>
      </c>
      <c r="Q84" s="86">
        <v>0</v>
      </c>
      <c r="R84" s="86">
        <v>137</v>
      </c>
      <c r="S84" s="86">
        <v>137</v>
      </c>
      <c r="T84" s="86">
        <v>45</v>
      </c>
      <c r="U84" s="86">
        <v>127</v>
      </c>
      <c r="V84" s="86">
        <v>16</v>
      </c>
      <c r="W84" s="86">
        <v>190</v>
      </c>
      <c r="X84" s="86">
        <v>131</v>
      </c>
      <c r="Y84" s="86">
        <v>0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4.5015041215643006</v>
      </c>
      <c r="C90" s="141">
        <v>4.3860657914545191</v>
      </c>
      <c r="D90" s="141">
        <v>4.2984612307602177</v>
      </c>
      <c r="E90" s="141">
        <v>4.2152098054976079</v>
      </c>
      <c r="F90" s="141">
        <v>4.1499781820628003</v>
      </c>
      <c r="G90" s="141">
        <v>4.1032968761515312</v>
      </c>
      <c r="H90" s="141">
        <v>4.0545418124626993</v>
      </c>
      <c r="I90" s="141">
        <v>4.0057649182371202</v>
      </c>
      <c r="J90" s="141">
        <v>3.9776036683516436</v>
      </c>
      <c r="K90" s="141">
        <v>3.9105963364891516</v>
      </c>
      <c r="L90" s="141">
        <v>3.8389180593997789</v>
      </c>
      <c r="M90" s="141">
        <v>3.7761712082456933</v>
      </c>
      <c r="N90" s="141">
        <v>3.711372378872734</v>
      </c>
      <c r="O90" s="141">
        <v>3.629376106150068</v>
      </c>
      <c r="P90" s="141">
        <v>3.5495947978560203</v>
      </c>
      <c r="Q90" s="141">
        <v>3.4790457630189189</v>
      </c>
      <c r="R90" s="141">
        <v>3.4047284497170818</v>
      </c>
      <c r="S90" s="141">
        <v>3.332711278580879</v>
      </c>
      <c r="T90" s="141">
        <v>3.2239234097729228</v>
      </c>
      <c r="U90" s="141">
        <v>3.1240572295869806</v>
      </c>
      <c r="V90" s="141">
        <v>3.0463875957346507</v>
      </c>
      <c r="W90" s="141">
        <v>2.9975044509182838</v>
      </c>
      <c r="X90" s="141">
        <v>2.9231319039007957</v>
      </c>
      <c r="Y90" s="141">
        <v>2.8454869577871293</v>
      </c>
      <c r="DA90" s="174" t="s">
        <v>864</v>
      </c>
    </row>
    <row r="91" spans="1:105" ht="11.45" customHeight="1" x14ac:dyDescent="0.25">
      <c r="A91" s="109" t="s">
        <v>20</v>
      </c>
      <c r="B91" s="130">
        <v>8.2038249233345226</v>
      </c>
      <c r="C91" s="130">
        <v>7.7984514551809054</v>
      </c>
      <c r="D91" s="130">
        <v>7.6159001004320279</v>
      </c>
      <c r="E91" s="130">
        <v>7.4472907953248377</v>
      </c>
      <c r="F91" s="130">
        <v>7.2853140849774425</v>
      </c>
      <c r="G91" s="130">
        <v>7.1600982794053145</v>
      </c>
      <c r="H91" s="130">
        <v>7.0470728427627964</v>
      </c>
      <c r="I91" s="130">
        <v>6.9444692224234297</v>
      </c>
      <c r="J91" s="130">
        <v>6.836077056996845</v>
      </c>
      <c r="K91" s="130">
        <v>6.7403417111784272</v>
      </c>
      <c r="L91" s="130">
        <v>6.6206020337558602</v>
      </c>
      <c r="M91" s="130">
        <v>6.4841780613146316</v>
      </c>
      <c r="N91" s="130">
        <v>6.3329401484176255</v>
      </c>
      <c r="O91" s="130">
        <v>6.1769543346804356</v>
      </c>
      <c r="P91" s="130">
        <v>6.0033241874601773</v>
      </c>
      <c r="Q91" s="130">
        <v>5.8420611644619118</v>
      </c>
      <c r="R91" s="130">
        <v>5.6856814588092002</v>
      </c>
      <c r="S91" s="130">
        <v>5.587041849609129</v>
      </c>
      <c r="T91" s="130">
        <v>5.5028057673672279</v>
      </c>
      <c r="U91" s="130">
        <v>5.4411124284210182</v>
      </c>
      <c r="V91" s="130">
        <v>5.3723665868565309</v>
      </c>
      <c r="W91" s="130">
        <v>5.2822455695756885</v>
      </c>
      <c r="X91" s="130">
        <v>5.1579736486666903</v>
      </c>
      <c r="Y91" s="130">
        <v>5.0064007874886096</v>
      </c>
      <c r="DA91" s="176" t="s">
        <v>865</v>
      </c>
    </row>
    <row r="92" spans="1:105" ht="11.45" customHeight="1" x14ac:dyDescent="0.25">
      <c r="A92" s="111" t="s">
        <v>110</v>
      </c>
      <c r="B92" s="96">
        <v>8.3931594339449305</v>
      </c>
      <c r="C92" s="96">
        <v>8.0389782833625123</v>
      </c>
      <c r="D92" s="96">
        <v>7.938328733976233</v>
      </c>
      <c r="E92" s="96">
        <v>7.8312612227219507</v>
      </c>
      <c r="F92" s="96">
        <v>7.7235461419629576</v>
      </c>
      <c r="G92" s="96">
        <v>7.628109945360686</v>
      </c>
      <c r="H92" s="96">
        <v>7.5301125553589205</v>
      </c>
      <c r="I92" s="96">
        <v>7.4249691851053026</v>
      </c>
      <c r="J92" s="96">
        <v>7.3293421815263597</v>
      </c>
      <c r="K92" s="96">
        <v>7.2666579874693076</v>
      </c>
      <c r="L92" s="96">
        <v>7.1745256485024473</v>
      </c>
      <c r="M92" s="96">
        <v>7.031965087199807</v>
      </c>
      <c r="N92" s="96">
        <v>6.8829768093300627</v>
      </c>
      <c r="O92" s="96">
        <v>6.7069291380560836</v>
      </c>
      <c r="P92" s="96">
        <v>6.4726123022148681</v>
      </c>
      <c r="Q92" s="96">
        <v>6.2504645290505154</v>
      </c>
      <c r="R92" s="96">
        <v>6.0367739513332292</v>
      </c>
      <c r="S92" s="96">
        <v>5.8561254504986797</v>
      </c>
      <c r="T92" s="96">
        <v>5.7485799073229629</v>
      </c>
      <c r="U92" s="96">
        <v>5.7075101421052681</v>
      </c>
      <c r="V92" s="96">
        <v>5.662530381882303</v>
      </c>
      <c r="W92" s="96">
        <v>5.6228222318026946</v>
      </c>
      <c r="X92" s="96">
        <v>5.5631069310546737</v>
      </c>
      <c r="Y92" s="96">
        <v>5.5183278820890802</v>
      </c>
      <c r="DA92" s="171" t="s">
        <v>866</v>
      </c>
    </row>
    <row r="93" spans="1:105" ht="11.45" customHeight="1" x14ac:dyDescent="0.25">
      <c r="A93" s="111" t="s">
        <v>111</v>
      </c>
      <c r="B93" s="96">
        <v>7.7843550518374212</v>
      </c>
      <c r="C93" s="96">
        <v>7.1211238493425073</v>
      </c>
      <c r="D93" s="96">
        <v>6.9109478899839036</v>
      </c>
      <c r="E93" s="96">
        <v>6.7761251040827775</v>
      </c>
      <c r="F93" s="96">
        <v>6.6755871995338651</v>
      </c>
      <c r="G93" s="96">
        <v>6.6369632971289469</v>
      </c>
      <c r="H93" s="96">
        <v>6.607614982123085</v>
      </c>
      <c r="I93" s="96">
        <v>6.5798254191882615</v>
      </c>
      <c r="J93" s="96">
        <v>6.5049326118167476</v>
      </c>
      <c r="K93" s="96">
        <v>6.4077772077172321</v>
      </c>
      <c r="L93" s="96">
        <v>6.284410615605263</v>
      </c>
      <c r="M93" s="96">
        <v>6.1531258987071142</v>
      </c>
      <c r="N93" s="96">
        <v>6.0019983299809061</v>
      </c>
      <c r="O93" s="96">
        <v>5.8582877367022901</v>
      </c>
      <c r="P93" s="96">
        <v>5.7179625409353436</v>
      </c>
      <c r="Q93" s="96">
        <v>5.5868907084433754</v>
      </c>
      <c r="R93" s="96">
        <v>5.4578305202712931</v>
      </c>
      <c r="S93" s="96">
        <v>5.397329201815662</v>
      </c>
      <c r="T93" s="96">
        <v>5.3339422076551433</v>
      </c>
      <c r="U93" s="96">
        <v>5.2770591901631878</v>
      </c>
      <c r="V93" s="96">
        <v>5.2219444189676283</v>
      </c>
      <c r="W93" s="96">
        <v>5.1899033563832493</v>
      </c>
      <c r="X93" s="96">
        <v>5.1310153772275742</v>
      </c>
      <c r="Y93" s="96">
        <v>5.0850958021414367</v>
      </c>
      <c r="DA93" s="171" t="s">
        <v>867</v>
      </c>
    </row>
    <row r="94" spans="1:105" ht="11.45" customHeight="1" x14ac:dyDescent="0.25">
      <c r="A94" s="111" t="s">
        <v>112</v>
      </c>
      <c r="B94" s="96">
        <v>6.8678261251979045</v>
      </c>
      <c r="C94" s="96">
        <v>6.4372317110124246</v>
      </c>
      <c r="D94" s="96">
        <v>6.265746014831957</v>
      </c>
      <c r="E94" s="96">
        <v>6.1711946413575172</v>
      </c>
      <c r="F94" s="96">
        <v>6.0739242695377955</v>
      </c>
      <c r="G94" s="96">
        <v>5.9900477719691372</v>
      </c>
      <c r="H94" s="96">
        <v>5.778551907858569</v>
      </c>
      <c r="I94" s="96">
        <v>5.8044950923931617</v>
      </c>
      <c r="J94" s="96">
        <v>5.817629221174033</v>
      </c>
      <c r="K94" s="96">
        <v>5.8400270228897879</v>
      </c>
      <c r="L94" s="96">
        <v>5.8461698569036047</v>
      </c>
      <c r="M94" s="96">
        <v>5.8871507287910356</v>
      </c>
      <c r="N94" s="96">
        <v>5.9431195645139541</v>
      </c>
      <c r="O94" s="96">
        <v>5.9189279043140868</v>
      </c>
      <c r="P94" s="96">
        <v>5.8995273905175232</v>
      </c>
      <c r="Q94" s="96">
        <v>5.8339157584439629</v>
      </c>
      <c r="R94" s="96">
        <v>5.7242637378321515</v>
      </c>
      <c r="S94" s="96">
        <v>5.6810140268920657</v>
      </c>
      <c r="T94" s="96">
        <v>5.1969515223896687</v>
      </c>
      <c r="U94" s="96">
        <v>5.1774087814009109</v>
      </c>
      <c r="V94" s="96">
        <v>5.0288697761449299</v>
      </c>
      <c r="W94" s="96">
        <v>4.8525082535966977</v>
      </c>
      <c r="X94" s="96">
        <v>4.8048825333358698</v>
      </c>
      <c r="Y94" s="96">
        <v>4.7652222693721047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X95" s="96">
        <v>0</v>
      </c>
      <c r="Y95" s="96">
        <v>0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4.5522682382364223</v>
      </c>
      <c r="O96" s="96">
        <v>4.653186273823616</v>
      </c>
      <c r="P96" s="96">
        <v>4.3991053429518985</v>
      </c>
      <c r="Q96" s="96">
        <v>4.366950113291681</v>
      </c>
      <c r="R96" s="96">
        <v>4.0168459775576828</v>
      </c>
      <c r="S96" s="96">
        <v>3.1878659790508683</v>
      </c>
      <c r="T96" s="96">
        <v>3.202730004805129</v>
      </c>
      <c r="U96" s="96">
        <v>3.2854825834372763</v>
      </c>
      <c r="V96" s="96">
        <v>3.2212452123768762</v>
      </c>
      <c r="W96" s="96">
        <v>3.0709896022664966</v>
      </c>
      <c r="X96" s="96">
        <v>2.9838901927484347</v>
      </c>
      <c r="Y96" s="96">
        <v>2.9122689941177624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1.3312044718003742</v>
      </c>
      <c r="K97" s="96">
        <v>1.3244260536334311</v>
      </c>
      <c r="L97" s="96">
        <v>1.3047135028115466</v>
      </c>
      <c r="M97" s="96">
        <v>1.3047135028115466</v>
      </c>
      <c r="N97" s="96">
        <v>1.2422665744337065</v>
      </c>
      <c r="O97" s="96">
        <v>1.2822939653836989</v>
      </c>
      <c r="P97" s="96">
        <v>1.246202759820928</v>
      </c>
      <c r="Q97" s="96">
        <v>1.2271265972140804</v>
      </c>
      <c r="R97" s="96">
        <v>1.1901616575755418</v>
      </c>
      <c r="S97" s="96">
        <v>1.2055082077824282</v>
      </c>
      <c r="T97" s="96">
        <v>1.2743910305535837</v>
      </c>
      <c r="U97" s="96">
        <v>1.3901126204801972</v>
      </c>
      <c r="V97" s="96">
        <v>1.4802037656185598</v>
      </c>
      <c r="W97" s="96">
        <v>1.4690140738617981</v>
      </c>
      <c r="X97" s="96">
        <v>1.4519365171304193</v>
      </c>
      <c r="Y97" s="96">
        <v>1.438914415481638</v>
      </c>
      <c r="DA97" s="171" t="s">
        <v>871</v>
      </c>
    </row>
    <row r="98" spans="1:105" ht="11.45" customHeight="1" x14ac:dyDescent="0.25">
      <c r="A98" s="109" t="s">
        <v>21</v>
      </c>
      <c r="B98" s="130">
        <v>57.09173808454824</v>
      </c>
      <c r="C98" s="130">
        <v>54.40335226041045</v>
      </c>
      <c r="D98" s="130">
        <v>53.745904706403323</v>
      </c>
      <c r="E98" s="130">
        <v>52.696108225703291</v>
      </c>
      <c r="F98" s="130">
        <v>51.876971539882312</v>
      </c>
      <c r="G98" s="130">
        <v>50.929962680215539</v>
      </c>
      <c r="H98" s="130">
        <v>49.838108459350821</v>
      </c>
      <c r="I98" s="130">
        <v>48.970702389068904</v>
      </c>
      <c r="J98" s="130">
        <v>47.920154240163875</v>
      </c>
      <c r="K98" s="130">
        <v>46.99519760250238</v>
      </c>
      <c r="L98" s="130">
        <v>46.128570993080771</v>
      </c>
      <c r="M98" s="130">
        <v>45.845910211969873</v>
      </c>
      <c r="N98" s="130">
        <v>45.636481266333469</v>
      </c>
      <c r="O98" s="130">
        <v>45.349364083031126</v>
      </c>
      <c r="P98" s="130">
        <v>45.084075875997364</v>
      </c>
      <c r="Q98" s="130">
        <v>44.707016481386795</v>
      </c>
      <c r="R98" s="130">
        <v>44.359097103037186</v>
      </c>
      <c r="S98" s="130">
        <v>43.843356941516532</v>
      </c>
      <c r="T98" s="130">
        <v>43.174434071517254</v>
      </c>
      <c r="U98" s="130">
        <v>41.987637982535887</v>
      </c>
      <c r="V98" s="130">
        <v>41.219586925257431</v>
      </c>
      <c r="W98" s="130">
        <v>40.432404418606701</v>
      </c>
      <c r="X98" s="130">
        <v>38.696909226978697</v>
      </c>
      <c r="Y98" s="130">
        <v>37.551468843618615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10.001960340678352</v>
      </c>
      <c r="U99" s="97">
        <v>10.001960340678352</v>
      </c>
      <c r="V99" s="97">
        <v>10.001960340678352</v>
      </c>
      <c r="W99" s="97">
        <v>9.6308280016099488</v>
      </c>
      <c r="X99" s="97">
        <v>9.4431449384367543</v>
      </c>
      <c r="Y99" s="97">
        <v>9.4431449384367561</v>
      </c>
      <c r="DA99" s="175" t="s">
        <v>873</v>
      </c>
    </row>
    <row r="100" spans="1:105" ht="11.45" customHeight="1" x14ac:dyDescent="0.25">
      <c r="A100" s="111" t="s">
        <v>111</v>
      </c>
      <c r="B100" s="97">
        <v>57.09173808454824</v>
      </c>
      <c r="C100" s="97">
        <v>53.886326220745488</v>
      </c>
      <c r="D100" s="97">
        <v>53.132295648277712</v>
      </c>
      <c r="E100" s="97">
        <v>52.072002946553084</v>
      </c>
      <c r="F100" s="97">
        <v>51.185324753092956</v>
      </c>
      <c r="G100" s="97">
        <v>50.279894329873493</v>
      </c>
      <c r="H100" s="97">
        <v>49.274509997889204</v>
      </c>
      <c r="I100" s="97">
        <v>48.492688497866936</v>
      </c>
      <c r="J100" s="97">
        <v>47.585167515708733</v>
      </c>
      <c r="K100" s="97">
        <v>46.775140532754449</v>
      </c>
      <c r="L100" s="97">
        <v>46.062913450103785</v>
      </c>
      <c r="M100" s="97">
        <v>45.787265778618959</v>
      </c>
      <c r="N100" s="97">
        <v>45.557094957190834</v>
      </c>
      <c r="O100" s="97">
        <v>45.249872197669582</v>
      </c>
      <c r="P100" s="97">
        <v>44.973204656922213</v>
      </c>
      <c r="Q100" s="97">
        <v>44.58530459462515</v>
      </c>
      <c r="R100" s="97">
        <v>44.233324881469137</v>
      </c>
      <c r="S100" s="97">
        <v>43.779926763519569</v>
      </c>
      <c r="T100" s="97">
        <v>43.347326785196429</v>
      </c>
      <c r="U100" s="97">
        <v>42.800621257978683</v>
      </c>
      <c r="V100" s="97">
        <v>42.297051874789965</v>
      </c>
      <c r="W100" s="97">
        <v>41.634348314896116</v>
      </c>
      <c r="X100" s="97">
        <v>40.913535910033993</v>
      </c>
      <c r="Y100" s="97">
        <v>40.063193866684827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X102" s="97">
        <v>0</v>
      </c>
      <c r="Y102" s="97">
        <v>0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36.813962066104985</v>
      </c>
      <c r="F103" s="97">
        <v>36.813962066104985</v>
      </c>
      <c r="G103" s="97">
        <v>36.813962066104992</v>
      </c>
      <c r="H103" s="97">
        <v>36.813962066104992</v>
      </c>
      <c r="I103" s="97">
        <v>36.813962066104985</v>
      </c>
      <c r="J103" s="97">
        <v>36.813962066104985</v>
      </c>
      <c r="K103" s="97">
        <v>36.813962066104985</v>
      </c>
      <c r="L103" s="97">
        <v>36.813962066104985</v>
      </c>
      <c r="M103" s="97">
        <v>36.813962066104985</v>
      </c>
      <c r="N103" s="97">
        <v>36.813962066104985</v>
      </c>
      <c r="O103" s="97">
        <v>36.813962066104985</v>
      </c>
      <c r="P103" s="97">
        <v>36.813962066104992</v>
      </c>
      <c r="Q103" s="97">
        <v>36.813962066104985</v>
      </c>
      <c r="R103" s="97">
        <v>36.813962066104985</v>
      </c>
      <c r="S103" s="97">
        <v>24.775762885099883</v>
      </c>
      <c r="T103" s="97">
        <v>24.105674209589349</v>
      </c>
      <c r="U103" s="97">
        <v>23.384385165793677</v>
      </c>
      <c r="V103" s="97">
        <v>23.043484160447619</v>
      </c>
      <c r="W103" s="97">
        <v>22.749274628673479</v>
      </c>
      <c r="X103" s="97">
        <v>21.704225677661764</v>
      </c>
      <c r="Y103" s="97">
        <v>21.264828640521372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10.798546574932624</v>
      </c>
      <c r="C105" s="141">
        <v>10.532927480468846</v>
      </c>
      <c r="D105" s="141">
        <v>10.293428694050617</v>
      </c>
      <c r="E105" s="141">
        <v>10.093253793963152</v>
      </c>
      <c r="F105" s="141">
        <v>9.8738796510284761</v>
      </c>
      <c r="G105" s="141">
        <v>9.6692599508718811</v>
      </c>
      <c r="H105" s="141">
        <v>9.4625784114942899</v>
      </c>
      <c r="I105" s="141">
        <v>9.2471789150430332</v>
      </c>
      <c r="J105" s="141">
        <v>9.0320332700937804</v>
      </c>
      <c r="K105" s="141">
        <v>8.9847865471753732</v>
      </c>
      <c r="L105" s="141">
        <v>8.9381310875534226</v>
      </c>
      <c r="M105" s="141">
        <v>8.920993735455534</v>
      </c>
      <c r="N105" s="141">
        <v>8.740963315394719</v>
      </c>
      <c r="O105" s="141">
        <v>8.556930737042082</v>
      </c>
      <c r="P105" s="141">
        <v>8.3751872385989046</v>
      </c>
      <c r="Q105" s="141">
        <v>8.1602133768425347</v>
      </c>
      <c r="R105" s="141">
        <v>7.9372210256579026</v>
      </c>
      <c r="S105" s="141">
        <v>7.6559356147937665</v>
      </c>
      <c r="T105" s="141">
        <v>7.4145296495169468</v>
      </c>
      <c r="U105" s="141">
        <v>7.1876771995920858</v>
      </c>
      <c r="V105" s="141">
        <v>7.0441672928791288</v>
      </c>
      <c r="W105" s="141">
        <v>6.864741114674219</v>
      </c>
      <c r="X105" s="141">
        <v>6.7686839347511603</v>
      </c>
      <c r="Y105" s="141">
        <v>6.5866468070333619</v>
      </c>
      <c r="DA105" s="174" t="s">
        <v>878</v>
      </c>
    </row>
    <row r="106" spans="1:105" ht="11.45" customHeight="1" x14ac:dyDescent="0.25">
      <c r="A106" s="111" t="s">
        <v>110</v>
      </c>
      <c r="B106" s="96">
        <v>9.8723167902427154</v>
      </c>
      <c r="C106" s="96">
        <v>9.8395591307134591</v>
      </c>
      <c r="D106" s="96">
        <v>9.7495043098464969</v>
      </c>
      <c r="E106" s="96">
        <v>9.5911838416473518</v>
      </c>
      <c r="F106" s="96">
        <v>9.4280729706173005</v>
      </c>
      <c r="G106" s="96">
        <v>9.2307255260196364</v>
      </c>
      <c r="H106" s="96">
        <v>9.0131501254224116</v>
      </c>
      <c r="I106" s="96">
        <v>8.7489426616637171</v>
      </c>
      <c r="J106" s="96">
        <v>8.4409155081418774</v>
      </c>
      <c r="K106" s="96">
        <v>8.121638395154152</v>
      </c>
      <c r="L106" s="96">
        <v>7.9355514998507326</v>
      </c>
      <c r="M106" s="96">
        <v>7.7809975183164539</v>
      </c>
      <c r="N106" s="96">
        <v>7.6315025249182513</v>
      </c>
      <c r="O106" s="96">
        <v>7.5851060210511188</v>
      </c>
      <c r="P106" s="96">
        <v>7.5419468361386928</v>
      </c>
      <c r="Q106" s="96">
        <v>7.4574756394756356</v>
      </c>
      <c r="R106" s="96">
        <v>7.2991771191182746</v>
      </c>
      <c r="S106" s="96">
        <v>7.0676423831288702</v>
      </c>
      <c r="T106" s="96">
        <v>6.8771259384297609</v>
      </c>
      <c r="U106" s="96">
        <v>6.7563088963529951</v>
      </c>
      <c r="V106" s="96">
        <v>6.6291656941589112</v>
      </c>
      <c r="W106" s="96">
        <v>6.4327931729860151</v>
      </c>
      <c r="X106" s="96">
        <v>6.282192720670535</v>
      </c>
      <c r="Y106" s="96">
        <v>6.3109085550871944</v>
      </c>
      <c r="DA106" s="171" t="s">
        <v>879</v>
      </c>
    </row>
    <row r="107" spans="1:105" ht="11.45" customHeight="1" x14ac:dyDescent="0.25">
      <c r="A107" s="111" t="s">
        <v>111</v>
      </c>
      <c r="B107" s="96">
        <v>11.009684380564467</v>
      </c>
      <c r="C107" s="96">
        <v>10.56362602429002</v>
      </c>
      <c r="D107" s="96">
        <v>10.232936799798091</v>
      </c>
      <c r="E107" s="96">
        <v>10.00753957672296</v>
      </c>
      <c r="F107" s="96">
        <v>9.779827142287461</v>
      </c>
      <c r="G107" s="96">
        <v>9.5855230819526422</v>
      </c>
      <c r="H107" s="96">
        <v>9.4016517344726438</v>
      </c>
      <c r="I107" s="96">
        <v>9.2227977710358395</v>
      </c>
      <c r="J107" s="96">
        <v>9.0429780378987328</v>
      </c>
      <c r="K107" s="96">
        <v>9.0095630625118712</v>
      </c>
      <c r="L107" s="96">
        <v>8.9805619173907374</v>
      </c>
      <c r="M107" s="96">
        <v>8.9717756560462956</v>
      </c>
      <c r="N107" s="96">
        <v>8.767354423081299</v>
      </c>
      <c r="O107" s="96">
        <v>8.5644647473252178</v>
      </c>
      <c r="P107" s="96">
        <v>8.361904047431155</v>
      </c>
      <c r="Q107" s="96">
        <v>8.1263394407090068</v>
      </c>
      <c r="R107" s="96">
        <v>7.8789332065914612</v>
      </c>
      <c r="S107" s="96">
        <v>7.5902052726293787</v>
      </c>
      <c r="T107" s="96">
        <v>7.3603462752645639</v>
      </c>
      <c r="U107" s="96">
        <v>7.1495671578708118</v>
      </c>
      <c r="V107" s="96">
        <v>7.0370267799663271</v>
      </c>
      <c r="W107" s="96">
        <v>6.8904619544815731</v>
      </c>
      <c r="X107" s="96">
        <v>6.8239930657939576</v>
      </c>
      <c r="Y107" s="96">
        <v>6.7038235358242888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9.1310019050222397</v>
      </c>
      <c r="P108" s="96">
        <v>9.0533906223465088</v>
      </c>
      <c r="Q108" s="96">
        <v>9.0297790580264401</v>
      </c>
      <c r="R108" s="96">
        <v>9.0040252819740072</v>
      </c>
      <c r="S108" s="96">
        <v>8.8016896465447498</v>
      </c>
      <c r="T108" s="96">
        <v>8.3453707815819946</v>
      </c>
      <c r="U108" s="96">
        <v>6.8265175203605413</v>
      </c>
      <c r="V108" s="96">
        <v>6.5038624748830536</v>
      </c>
      <c r="W108" s="96">
        <v>6.4688890769057306</v>
      </c>
      <c r="X108" s="96">
        <v>6.4967311171383759</v>
      </c>
      <c r="Y108" s="96">
        <v>6.5327995482306873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X109" s="96">
        <v>0</v>
      </c>
      <c r="Y109" s="96">
        <v>0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1.4083462594508855</v>
      </c>
      <c r="I110" s="96">
        <v>1.4011750396475919</v>
      </c>
      <c r="J110" s="96">
        <v>1.4011750396475919</v>
      </c>
      <c r="K110" s="96">
        <v>1.3776164413959175</v>
      </c>
      <c r="L110" s="96">
        <v>1.3776164413959178</v>
      </c>
      <c r="M110" s="96">
        <v>1.3776164413959175</v>
      </c>
      <c r="N110" s="96">
        <v>1.3411966793574426</v>
      </c>
      <c r="O110" s="96">
        <v>1.2762448692629735</v>
      </c>
      <c r="P110" s="96">
        <v>1.2660070012984199</v>
      </c>
      <c r="Q110" s="96">
        <v>1.2772542147382397</v>
      </c>
      <c r="R110" s="96">
        <v>1.2844005377149037</v>
      </c>
      <c r="S110" s="96">
        <v>1.2938264524213037</v>
      </c>
      <c r="T110" s="96">
        <v>1.3251143969695278</v>
      </c>
      <c r="U110" s="96">
        <v>1.4805845591230249</v>
      </c>
      <c r="V110" s="96">
        <v>1.5915003565521975</v>
      </c>
      <c r="W110" s="96">
        <v>1.6929582196509092</v>
      </c>
      <c r="X110" s="96">
        <v>1.9175946318683192</v>
      </c>
      <c r="Y110" s="96">
        <v>1.9547813542678689</v>
      </c>
      <c r="DA110" s="171" t="s">
        <v>883</v>
      </c>
    </row>
    <row r="111" spans="1:105" ht="11.45" customHeight="1" x14ac:dyDescent="0.25">
      <c r="A111" s="109" t="s">
        <v>154</v>
      </c>
      <c r="B111" s="130">
        <v>33.346898602017731</v>
      </c>
      <c r="C111" s="130">
        <v>33.295161446703986</v>
      </c>
      <c r="D111" s="130">
        <v>33.288446718529507</v>
      </c>
      <c r="E111" s="130">
        <v>33.138212564104535</v>
      </c>
      <c r="F111" s="130">
        <v>33.05658866265879</v>
      </c>
      <c r="G111" s="130">
        <v>32.637923348797294</v>
      </c>
      <c r="H111" s="130">
        <v>32.497744334491934</v>
      </c>
      <c r="I111" s="130">
        <v>32.300738969357461</v>
      </c>
      <c r="J111" s="130">
        <v>31.803308012731858</v>
      </c>
      <c r="K111" s="130">
        <v>31.342041113381491</v>
      </c>
      <c r="L111" s="130">
        <v>31.035686084309965</v>
      </c>
      <c r="M111" s="130">
        <v>30.712010623561721</v>
      </c>
      <c r="N111" s="130">
        <v>30.455713613481731</v>
      </c>
      <c r="O111" s="130">
        <v>29.802901529344332</v>
      </c>
      <c r="P111" s="130">
        <v>29.474595891056929</v>
      </c>
      <c r="Q111" s="130">
        <v>29.073401293714475</v>
      </c>
      <c r="R111" s="130">
        <v>28.558842336303734</v>
      </c>
      <c r="S111" s="130">
        <v>28.040489476677337</v>
      </c>
      <c r="T111" s="130">
        <v>27.432180716089864</v>
      </c>
      <c r="U111" s="130">
        <v>26.788315626232027</v>
      </c>
      <c r="V111" s="130">
        <v>26.195995424386577</v>
      </c>
      <c r="W111" s="130">
        <v>25.432651941151818</v>
      </c>
      <c r="X111" s="130">
        <v>24.940315302961938</v>
      </c>
      <c r="Y111" s="130">
        <v>24.659883104816576</v>
      </c>
      <c r="DA111" s="176" t="s">
        <v>884</v>
      </c>
    </row>
    <row r="112" spans="1:105" ht="11.45" customHeight="1" x14ac:dyDescent="0.25">
      <c r="A112" s="128" t="s">
        <v>27</v>
      </c>
      <c r="B112" s="97">
        <v>32.84317988464754</v>
      </c>
      <c r="C112" s="97">
        <v>32.720807812567223</v>
      </c>
      <c r="D112" s="97">
        <v>32.67529584840797</v>
      </c>
      <c r="E112" s="97">
        <v>32.53819958944753</v>
      </c>
      <c r="F112" s="97">
        <v>32.442046402928732</v>
      </c>
      <c r="G112" s="97">
        <v>32.081748649130652</v>
      </c>
      <c r="H112" s="97">
        <v>31.981344701531924</v>
      </c>
      <c r="I112" s="97">
        <v>31.791947457024108</v>
      </c>
      <c r="J112" s="97">
        <v>31.357128906068176</v>
      </c>
      <c r="K112" s="97">
        <v>30.959105059254426</v>
      </c>
      <c r="L112" s="97">
        <v>30.669530138724934</v>
      </c>
      <c r="M112" s="97">
        <v>30.362677294557834</v>
      </c>
      <c r="N112" s="97">
        <v>30.132605837517271</v>
      </c>
      <c r="O112" s="97">
        <v>29.287364154101137</v>
      </c>
      <c r="P112" s="97">
        <v>28.873267707284967</v>
      </c>
      <c r="Q112" s="97">
        <v>28.546585853414612</v>
      </c>
      <c r="R112" s="97">
        <v>28.030286098197877</v>
      </c>
      <c r="S112" s="97">
        <v>27.556751881014659</v>
      </c>
      <c r="T112" s="97">
        <v>26.839736236884914</v>
      </c>
      <c r="U112" s="97">
        <v>26.189986116298165</v>
      </c>
      <c r="V112" s="97">
        <v>25.630324896229205</v>
      </c>
      <c r="W112" s="97">
        <v>24.728627162580995</v>
      </c>
      <c r="X112" s="97">
        <v>24.244629438601656</v>
      </c>
      <c r="Y112" s="97">
        <v>24.050501363676069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36.376789599091595</v>
      </c>
      <c r="D113" s="98">
        <v>36.054877956196123</v>
      </c>
      <c r="E113" s="98">
        <v>35.790004922131267</v>
      </c>
      <c r="F113" s="98">
        <v>35.128755179008358</v>
      </c>
      <c r="G113" s="98">
        <v>34.82774177540572</v>
      </c>
      <c r="H113" s="98">
        <v>34.66076812923761</v>
      </c>
      <c r="I113" s="98">
        <v>34.189275590281021</v>
      </c>
      <c r="J113" s="98">
        <v>33.573411586548247</v>
      </c>
      <c r="K113" s="98">
        <v>33.366042443514758</v>
      </c>
      <c r="L113" s="98">
        <v>32.918361930507032</v>
      </c>
      <c r="M113" s="98">
        <v>32.557214319152756</v>
      </c>
      <c r="N113" s="98">
        <v>31.847209699040526</v>
      </c>
      <c r="O113" s="98">
        <v>31.461954451099885</v>
      </c>
      <c r="P113" s="98">
        <v>30.999827094025068</v>
      </c>
      <c r="Q113" s="98">
        <v>30.810524433208364</v>
      </c>
      <c r="R113" s="98">
        <v>30.233899237948041</v>
      </c>
      <c r="S113" s="98">
        <v>29.683244846777448</v>
      </c>
      <c r="T113" s="98">
        <v>29.420246569468084</v>
      </c>
      <c r="U113" s="98">
        <v>28.843502073168708</v>
      </c>
      <c r="V113" s="98">
        <v>28.639471934862772</v>
      </c>
      <c r="W113" s="98">
        <v>27.931693742568253</v>
      </c>
      <c r="X113" s="98">
        <v>27.458286370181991</v>
      </c>
      <c r="Y113" s="98">
        <v>27.248247134017348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1.1275000000068982</v>
      </c>
      <c r="C117" s="150">
        <f>IF(TrRoad_act!C59=0,0,TrRoad_ene!C62/TrRoad_tech!C90)</f>
        <v>1.1280146976036187</v>
      </c>
      <c r="D117" s="150">
        <f>IF(TrRoad_act!D59=0,0,TrRoad_ene!D62/TrRoad_tech!D90)</f>
        <v>1.1217121160502794</v>
      </c>
      <c r="E117" s="150">
        <f>IF(TrRoad_act!E59=0,0,TrRoad_ene!E62/TrRoad_tech!E90)</f>
        <v>1.131284559156339</v>
      </c>
      <c r="F117" s="150">
        <f>IF(TrRoad_act!F59=0,0,TrRoad_ene!F62/TrRoad_tech!F90)</f>
        <v>1.1338671355429382</v>
      </c>
      <c r="G117" s="150">
        <f>IF(TrRoad_act!G59=0,0,TrRoad_ene!G62/TrRoad_tech!G90)</f>
        <v>1.1163581737346062</v>
      </c>
      <c r="H117" s="150">
        <f>IF(TrRoad_act!H59=0,0,TrRoad_ene!H62/TrRoad_tech!H90)</f>
        <v>1.1150496921887207</v>
      </c>
      <c r="I117" s="150">
        <f>IF(TrRoad_act!I59=0,0,TrRoad_ene!I62/TrRoad_tech!I90)</f>
        <v>1.0900854526481083</v>
      </c>
      <c r="J117" s="150">
        <f>IF(TrRoad_act!J59=0,0,TrRoad_ene!J62/TrRoad_tech!J90)</f>
        <v>1.0947369835930374</v>
      </c>
      <c r="K117" s="150">
        <f>IF(TrRoad_act!K59=0,0,TrRoad_ene!K62/TrRoad_tech!K90)</f>
        <v>1.1017734128417744</v>
      </c>
      <c r="L117" s="150">
        <f>IF(TrRoad_act!L59=0,0,TrRoad_ene!L62/TrRoad_tech!L90)</f>
        <v>1.1070730765873669</v>
      </c>
      <c r="M117" s="150">
        <f>IF(TrRoad_act!M59=0,0,TrRoad_ene!M62/TrRoad_tech!M90)</f>
        <v>1.113166464399385</v>
      </c>
      <c r="N117" s="150">
        <f>IF(TrRoad_act!N59=0,0,TrRoad_ene!N62/TrRoad_tech!N90)</f>
        <v>1.1193059771351155</v>
      </c>
      <c r="O117" s="150">
        <f>IF(TrRoad_act!O59=0,0,TrRoad_ene!O62/TrRoad_tech!O90)</f>
        <v>1.1273905754538032</v>
      </c>
      <c r="P117" s="150">
        <f>IF(TrRoad_act!P59=0,0,TrRoad_ene!P62/TrRoad_tech!P90)</f>
        <v>1.1364960401286728</v>
      </c>
      <c r="Q117" s="150">
        <f>IF(TrRoad_act!Q59=0,0,TrRoad_ene!Q62/TrRoad_tech!Q90)</f>
        <v>1.1456152145796841</v>
      </c>
      <c r="R117" s="150">
        <f>IF(TrRoad_act!R59=0,0,TrRoad_ene!R62/TrRoad_tech!R90)</f>
        <v>1.1555767264314905</v>
      </c>
      <c r="S117" s="150">
        <f>IF(TrRoad_act!S59=0,0,TrRoad_ene!S62/TrRoad_tech!S90)</f>
        <v>1.199992976450363</v>
      </c>
      <c r="T117" s="150">
        <f>IF(TrRoad_act!T59=0,0,TrRoad_ene!T62/TrRoad_tech!T90)</f>
        <v>1.2435036062547518</v>
      </c>
      <c r="U117" s="150">
        <f>IF(TrRoad_act!U59=0,0,TrRoad_ene!U62/TrRoad_tech!U90)</f>
        <v>1.2643128738593579</v>
      </c>
      <c r="V117" s="150">
        <f>IF(TrRoad_act!V59=0,0,TrRoad_ene!V62/TrRoad_tech!V90)</f>
        <v>1.2834809025288036</v>
      </c>
      <c r="W117" s="150">
        <f>IF(TrRoad_act!W59=0,0,TrRoad_ene!W62/TrRoad_tech!W90)</f>
        <v>1.2977090302371628</v>
      </c>
      <c r="X117" s="150">
        <f>IF(TrRoad_act!X59=0,0,TrRoad_ene!X62/TrRoad_tech!X90)</f>
        <v>1.3177870453946459</v>
      </c>
      <c r="Y117" s="150">
        <f>IF(TrRoad_act!Y59=0,0,TrRoad_ene!Y62/TrRoad_tech!Y90)</f>
        <v>1.3394677742295622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2.6249234045971299</v>
      </c>
      <c r="C118" s="151">
        <f>IF(TrRoad_act!C60=0,0,TrRoad_ene!C63/TrRoad_tech!C91)</f>
        <v>2.7053772716823485</v>
      </c>
      <c r="D118" s="151">
        <f>IF(TrRoad_act!D60=0,0,TrRoad_ene!D63/TrRoad_tech!D91)</f>
        <v>2.7577389995859085</v>
      </c>
      <c r="E118" s="151">
        <f>IF(TrRoad_act!E60=0,0,TrRoad_ene!E63/TrRoad_tech!E91)</f>
        <v>2.9143404741532097</v>
      </c>
      <c r="F118" s="151">
        <f>IF(TrRoad_act!F60=0,0,TrRoad_ene!F63/TrRoad_tech!F91)</f>
        <v>2.9606187016008505</v>
      </c>
      <c r="G118" s="151">
        <f>IF(TrRoad_act!G60=0,0,TrRoad_ene!G63/TrRoad_tech!G91)</f>
        <v>2.7867025297625463</v>
      </c>
      <c r="H118" s="151">
        <f>IF(TrRoad_act!H60=0,0,TrRoad_ene!H63/TrRoad_tech!H91)</f>
        <v>2.6354372248173132</v>
      </c>
      <c r="I118" s="151">
        <f>IF(TrRoad_act!I60=0,0,TrRoad_ene!I63/TrRoad_tech!I91)</f>
        <v>2.6754671742183342</v>
      </c>
      <c r="J118" s="151">
        <f>IF(TrRoad_act!J60=0,0,TrRoad_ene!J63/TrRoad_tech!J91)</f>
        <v>2.6997108994258308</v>
      </c>
      <c r="K118" s="151">
        <f>IF(TrRoad_act!K60=0,0,TrRoad_ene!K63/TrRoad_tech!K91)</f>
        <v>2.6832754052428744</v>
      </c>
      <c r="L118" s="151">
        <f>IF(TrRoad_act!L60=0,0,TrRoad_ene!L63/TrRoad_tech!L91)</f>
        <v>2.7514389363583449</v>
      </c>
      <c r="M118" s="151">
        <f>IF(TrRoad_act!M60=0,0,TrRoad_ene!M63/TrRoad_tech!M91)</f>
        <v>2.9602167116959168</v>
      </c>
      <c r="N118" s="151">
        <f>IF(TrRoad_act!N60=0,0,TrRoad_ene!N63/TrRoad_tech!N91)</f>
        <v>2.946184192636959</v>
      </c>
      <c r="O118" s="151">
        <f>IF(TrRoad_act!O60=0,0,TrRoad_ene!O63/TrRoad_tech!O91)</f>
        <v>2.7864992503493098</v>
      </c>
      <c r="P118" s="151">
        <f>IF(TrRoad_act!P60=0,0,TrRoad_ene!P63/TrRoad_tech!P91)</f>
        <v>2.7219068229909555</v>
      </c>
      <c r="Q118" s="151">
        <f>IF(TrRoad_act!Q60=0,0,TrRoad_ene!Q63/TrRoad_tech!Q91)</f>
        <v>2.6630324300276422</v>
      </c>
      <c r="R118" s="151">
        <f>IF(TrRoad_act!R60=0,0,TrRoad_ene!R63/TrRoad_tech!R91)</f>
        <v>2.5550061572149478</v>
      </c>
      <c r="S118" s="151">
        <f>IF(TrRoad_act!S60=0,0,TrRoad_ene!S63/TrRoad_tech!S91)</f>
        <v>2.5329466542747436</v>
      </c>
      <c r="T118" s="151">
        <f>IF(TrRoad_act!T60=0,0,TrRoad_ene!T63/TrRoad_tech!T91)</f>
        <v>2.5876135443162203</v>
      </c>
      <c r="U118" s="151">
        <f>IF(TrRoad_act!U60=0,0,TrRoad_ene!U63/TrRoad_tech!U91)</f>
        <v>2.5005217929538182</v>
      </c>
      <c r="V118" s="151">
        <f>IF(TrRoad_act!V60=0,0,TrRoad_ene!V63/TrRoad_tech!V91)</f>
        <v>2.0293875302114213</v>
      </c>
      <c r="W118" s="151">
        <f>IF(TrRoad_act!W60=0,0,TrRoad_ene!W63/TrRoad_tech!W91)</f>
        <v>2.2287780031041535</v>
      </c>
      <c r="X118" s="151">
        <f>IF(TrRoad_act!X60=0,0,TrRoad_ene!X63/TrRoad_tech!X91)</f>
        <v>2.2637652048105026</v>
      </c>
      <c r="Y118" s="151">
        <f>IF(TrRoad_act!Y60=0,0,TrRoad_ene!Y63/TrRoad_tech!Y91)</f>
        <v>2.3487471339308055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2.5424560025113503</v>
      </c>
      <c r="C119" s="91">
        <f>IF(TrRoad_act!C61=0,0,TrRoad_ene!C64/TrRoad_tech!C92)</f>
        <v>2.6482263161190702</v>
      </c>
      <c r="D119" s="91">
        <f>IF(TrRoad_act!D61=0,0,TrRoad_ene!D64/TrRoad_tech!D92)</f>
        <v>2.7075062805250059</v>
      </c>
      <c r="E119" s="91">
        <f>IF(TrRoad_act!E61=0,0,TrRoad_ene!E64/TrRoad_tech!E92)</f>
        <v>2.876568887064046</v>
      </c>
      <c r="F119" s="91">
        <f>IF(TrRoad_act!F61=0,0,TrRoad_ene!F64/TrRoad_tech!F92)</f>
        <v>2.9754849087125557</v>
      </c>
      <c r="G119" s="91">
        <f>IF(TrRoad_act!G61=0,0,TrRoad_ene!G64/TrRoad_tech!G92)</f>
        <v>2.8462231031737706</v>
      </c>
      <c r="H119" s="91">
        <f>IF(TrRoad_act!H61=0,0,TrRoad_ene!H64/TrRoad_tech!H92)</f>
        <v>2.7290657661999678</v>
      </c>
      <c r="I119" s="91">
        <f>IF(TrRoad_act!I61=0,0,TrRoad_ene!I64/TrRoad_tech!I92)</f>
        <v>2.7767129074941739</v>
      </c>
      <c r="J119" s="91">
        <f>IF(TrRoad_act!J61=0,0,TrRoad_ene!J64/TrRoad_tech!J92)</f>
        <v>2.7239548282005752</v>
      </c>
      <c r="K119" s="91">
        <f>IF(TrRoad_act!K61=0,0,TrRoad_ene!K64/TrRoad_tech!K92)</f>
        <v>2.6609417308480348</v>
      </c>
      <c r="L119" s="91">
        <f>IF(TrRoad_act!L61=0,0,TrRoad_ene!L64/TrRoad_tech!L92)</f>
        <v>2.6830743998759177</v>
      </c>
      <c r="M119" s="91">
        <f>IF(TrRoad_act!M61=0,0,TrRoad_ene!M64/TrRoad_tech!M92)</f>
        <v>2.81168089065741</v>
      </c>
      <c r="N119" s="91">
        <f>IF(TrRoad_act!N61=0,0,TrRoad_ene!N64/TrRoad_tech!N92)</f>
        <v>2.749931655790486</v>
      </c>
      <c r="O119" s="91">
        <f>IF(TrRoad_act!O61=0,0,TrRoad_ene!O64/TrRoad_tech!O92)</f>
        <v>2.6030808119316773</v>
      </c>
      <c r="P119" s="91">
        <f>IF(TrRoad_act!P61=0,0,TrRoad_ene!P64/TrRoad_tech!P92)</f>
        <v>2.5744535898124972</v>
      </c>
      <c r="Q119" s="91">
        <f>IF(TrRoad_act!Q61=0,0,TrRoad_ene!Q64/TrRoad_tech!Q92)</f>
        <v>2.4971558160637493</v>
      </c>
      <c r="R119" s="91">
        <f>IF(TrRoad_act!R61=0,0,TrRoad_ene!R64/TrRoad_tech!R92)</f>
        <v>2.3573074058423376</v>
      </c>
      <c r="S119" s="91">
        <f>IF(TrRoad_act!S61=0,0,TrRoad_ene!S64/TrRoad_tech!S92)</f>
        <v>2.3374572549794248</v>
      </c>
      <c r="T119" s="91">
        <f>IF(TrRoad_act!T61=0,0,TrRoad_ene!T64/TrRoad_tech!T92)</f>
        <v>2.3584023629596147</v>
      </c>
      <c r="U119" s="91">
        <f>IF(TrRoad_act!U61=0,0,TrRoad_ene!U64/TrRoad_tech!U92)</f>
        <v>2.293804078684043</v>
      </c>
      <c r="V119" s="91">
        <f>IF(TrRoad_act!V61=0,0,TrRoad_ene!V64/TrRoad_tech!V92)</f>
        <v>1.7900405014254104</v>
      </c>
      <c r="W119" s="91">
        <f>IF(TrRoad_act!W61=0,0,TrRoad_ene!W64/TrRoad_tech!W92)</f>
        <v>2.0690927096926517</v>
      </c>
      <c r="X119" s="91">
        <f>IF(TrRoad_act!X61=0,0,TrRoad_ene!X64/TrRoad_tech!X92)</f>
        <v>2.0132381029606305</v>
      </c>
      <c r="Y119" s="91">
        <f>IF(TrRoad_act!Y61=0,0,TrRoad_ene!Y64/TrRoad_tech!Y92)</f>
        <v>2.1489183984403626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2.8652375811570638</v>
      </c>
      <c r="C120" s="91">
        <f>IF(TrRoad_act!C62=0,0,TrRoad_ene!C65/TrRoad_tech!C93)</f>
        <v>2.9590420226199234</v>
      </c>
      <c r="D120" s="91">
        <f>IF(TrRoad_act!D62=0,0,TrRoad_ene!D65/TrRoad_tech!D93)</f>
        <v>2.9650752489396233</v>
      </c>
      <c r="E120" s="91">
        <f>IF(TrRoad_act!E62=0,0,TrRoad_ene!E65/TrRoad_tech!E93)</f>
        <v>3.0798853179614785</v>
      </c>
      <c r="F120" s="91">
        <f>IF(TrRoad_act!F62=0,0,TrRoad_ene!F65/TrRoad_tech!F93)</f>
        <v>3.0262013153718006</v>
      </c>
      <c r="G120" s="91">
        <f>IF(TrRoad_act!G62=0,0,TrRoad_ene!G65/TrRoad_tech!G93)</f>
        <v>2.7842081167569717</v>
      </c>
      <c r="H120" s="91">
        <f>IF(TrRoad_act!H62=0,0,TrRoad_ene!H65/TrRoad_tech!H93)</f>
        <v>2.5817319438867252</v>
      </c>
      <c r="I120" s="91">
        <f>IF(TrRoad_act!I62=0,0,TrRoad_ene!I65/TrRoad_tech!I93)</f>
        <v>2.6043358622353416</v>
      </c>
      <c r="J120" s="91">
        <f>IF(TrRoad_act!J62=0,0,TrRoad_ene!J65/TrRoad_tech!J93)</f>
        <v>2.6846040477824693</v>
      </c>
      <c r="K120" s="91">
        <f>IF(TrRoad_act!K62=0,0,TrRoad_ene!K65/TrRoad_tech!K93)</f>
        <v>2.7094581063316485</v>
      </c>
      <c r="L120" s="91">
        <f>IF(TrRoad_act!L62=0,0,TrRoad_ene!L65/TrRoad_tech!L93)</f>
        <v>2.8126019477093891</v>
      </c>
      <c r="M120" s="91">
        <f>IF(TrRoad_act!M62=0,0,TrRoad_ene!M65/TrRoad_tech!M93)</f>
        <v>3.0812351961430111</v>
      </c>
      <c r="N120" s="91">
        <f>IF(TrRoad_act!N62=0,0,TrRoad_ene!N65/TrRoad_tech!N93)</f>
        <v>3.0929521171006233</v>
      </c>
      <c r="O120" s="91">
        <f>IF(TrRoad_act!O62=0,0,TrRoad_ene!O65/TrRoad_tech!O93)</f>
        <v>2.9301107837563012</v>
      </c>
      <c r="P120" s="91">
        <f>IF(TrRoad_act!P62=0,0,TrRoad_ene!P65/TrRoad_tech!P93)</f>
        <v>2.8445562339052475</v>
      </c>
      <c r="Q120" s="91">
        <f>IF(TrRoad_act!Q62=0,0,TrRoad_ene!Q65/TrRoad_tech!Q93)</f>
        <v>2.7980739611257865</v>
      </c>
      <c r="R120" s="91">
        <f>IF(TrRoad_act!R62=0,0,TrRoad_ene!R65/TrRoad_tech!R93)</f>
        <v>2.7081948872751802</v>
      </c>
      <c r="S120" s="91">
        <f>IF(TrRoad_act!S62=0,0,TrRoad_ene!S65/TrRoad_tech!S93)</f>
        <v>2.6926387142998713</v>
      </c>
      <c r="T120" s="91">
        <f>IF(TrRoad_act!T62=0,0,TrRoad_ene!T65/TrRoad_tech!T93)</f>
        <v>2.7752786288715039</v>
      </c>
      <c r="U120" s="91">
        <f>IF(TrRoad_act!U62=0,0,TrRoad_ene!U65/TrRoad_tech!U93)</f>
        <v>2.6859287993334569</v>
      </c>
      <c r="V120" s="91">
        <f>IF(TrRoad_act!V62=0,0,TrRoad_ene!V65/TrRoad_tech!V93)</f>
        <v>2.2560998225986904</v>
      </c>
      <c r="W120" s="91">
        <f>IF(TrRoad_act!W62=0,0,TrRoad_ene!W65/TrRoad_tech!W93)</f>
        <v>2.4151990696204004</v>
      </c>
      <c r="X120" s="91">
        <f>IF(TrRoad_act!X62=0,0,TrRoad_ene!X65/TrRoad_tech!X93)</f>
        <v>2.5628451275660571</v>
      </c>
      <c r="Y120" s="91">
        <f>IF(TrRoad_act!Y62=0,0,TrRoad_ene!Y65/TrRoad_tech!Y93)</f>
        <v>2.636632583260754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0.98646199743577812</v>
      </c>
      <c r="C121" s="91">
        <f>IF(TrRoad_act!C63=0,0,TrRoad_ene!C66/TrRoad_tech!C94)</f>
        <v>1.3299933742538859</v>
      </c>
      <c r="D121" s="91">
        <f>IF(TrRoad_act!D63=0,0,TrRoad_ene!D66/TrRoad_tech!D94)</f>
        <v>1.7492221959988932</v>
      </c>
      <c r="E121" s="91">
        <f>IF(TrRoad_act!E63=0,0,TrRoad_ene!E66/TrRoad_tech!E94)</f>
        <v>1.4125653205884492</v>
      </c>
      <c r="F121" s="91">
        <f>IF(TrRoad_act!F63=0,0,TrRoad_ene!F66/TrRoad_tech!F94)</f>
        <v>1.5151424995455351</v>
      </c>
      <c r="G121" s="91">
        <f>IF(TrRoad_act!G63=0,0,TrRoad_ene!G66/TrRoad_tech!G94)</f>
        <v>1.0666996786043081</v>
      </c>
      <c r="H121" s="91">
        <f>IF(TrRoad_act!H63=0,0,TrRoad_ene!H66/TrRoad_tech!H94)</f>
        <v>1.1097305561363306</v>
      </c>
      <c r="I121" s="91">
        <f>IF(TrRoad_act!I63=0,0,TrRoad_ene!I66/TrRoad_tech!I94)</f>
        <v>2.3187453538982945</v>
      </c>
      <c r="J121" s="91">
        <f>IF(TrRoad_act!J63=0,0,TrRoad_ene!J66/TrRoad_tech!J94)</f>
        <v>2.260348779100553</v>
      </c>
      <c r="K121" s="91">
        <f>IF(TrRoad_act!K63=0,0,TrRoad_ene!K66/TrRoad_tech!K94)</f>
        <v>1.4262125311305376</v>
      </c>
      <c r="L121" s="91">
        <f>IF(TrRoad_act!L63=0,0,TrRoad_ene!L66/TrRoad_tech!L94)</f>
        <v>1.5000282386029258</v>
      </c>
      <c r="M121" s="91">
        <f>IF(TrRoad_act!M63=0,0,TrRoad_ene!M66/TrRoad_tech!M94)</f>
        <v>0.71790958854741649</v>
      </c>
      <c r="N121" s="91">
        <f>IF(TrRoad_act!N63=0,0,TrRoad_ene!N66/TrRoad_tech!N94)</f>
        <v>1.9495348641270795</v>
      </c>
      <c r="O121" s="91">
        <f>IF(TrRoad_act!O63=0,0,TrRoad_ene!O66/TrRoad_tech!O94)</f>
        <v>1.2112130369176515</v>
      </c>
      <c r="P121" s="91">
        <f>IF(TrRoad_act!P63=0,0,TrRoad_ene!P66/TrRoad_tech!P94)</f>
        <v>1.3868497649929443</v>
      </c>
      <c r="Q121" s="91">
        <f>IF(TrRoad_act!Q63=0,0,TrRoad_ene!Q66/TrRoad_tech!Q94)</f>
        <v>0.69573146514852879</v>
      </c>
      <c r="R121" s="91">
        <f>IF(TrRoad_act!R63=0,0,TrRoad_ene!R66/TrRoad_tech!R94)</f>
        <v>0.76184752533338773</v>
      </c>
      <c r="S121" s="91">
        <f>IF(TrRoad_act!S63=0,0,TrRoad_ene!S66/TrRoad_tech!S94)</f>
        <v>0.76539471362791345</v>
      </c>
      <c r="T121" s="91">
        <f>IF(TrRoad_act!T63=0,0,TrRoad_ene!T66/TrRoad_tech!T94)</f>
        <v>1.2714198507511187</v>
      </c>
      <c r="U121" s="91">
        <f>IF(TrRoad_act!U63=0,0,TrRoad_ene!U66/TrRoad_tech!U94)</f>
        <v>1.6296959207670332</v>
      </c>
      <c r="V121" s="91">
        <f>IF(TrRoad_act!V63=0,0,TrRoad_ene!V66/TrRoad_tech!V94)</f>
        <v>0.49955680536130032</v>
      </c>
      <c r="W121" s="91">
        <f>IF(TrRoad_act!W63=0,0,TrRoad_ene!W66/TrRoad_tech!W94)</f>
        <v>1.1858788069424635</v>
      </c>
      <c r="X121" s="91">
        <f>IF(TrRoad_act!X63=0,0,TrRoad_ene!X66/TrRoad_tech!X94)</f>
        <v>1.1457228189344055</v>
      </c>
      <c r="Y121" s="91">
        <f>IF(TrRoad_act!Y63=0,0,TrRoad_ene!Y66/TrRoad_tech!Y94)</f>
        <v>1.6550726167673493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X122" s="91">
        <f>IF(TrRoad_act!X64=0,0,TrRoad_ene!X67/TrRoad_tech!X95)</f>
        <v>0</v>
      </c>
      <c r="Y122" s="91">
        <f>IF(TrRoad_act!Y64=0,0,TrRoad_ene!Y67/TrRoad_tech!Y95)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2.4451553175218028</v>
      </c>
      <c r="O123" s="91">
        <f>IF(TrRoad_act!O65=0,0,TrRoad_ene!O68/TrRoad_tech!O96)</f>
        <v>2.3223262728220524</v>
      </c>
      <c r="P123" s="91">
        <f>IF(TrRoad_act!P65=0,0,TrRoad_ene!P68/TrRoad_tech!P96)</f>
        <v>2.2487210055383371</v>
      </c>
      <c r="Q123" s="91">
        <f>IF(TrRoad_act!Q65=0,0,TrRoad_ene!Q68/TrRoad_tech!Q96)</f>
        <v>2.1721855543904107</v>
      </c>
      <c r="R123" s="91">
        <f>IF(TrRoad_act!R65=0,0,TrRoad_ene!R68/TrRoad_tech!R96)</f>
        <v>2.0231458925286896</v>
      </c>
      <c r="S123" s="91">
        <f>IF(TrRoad_act!S65=0,0,TrRoad_ene!S68/TrRoad_tech!S96)</f>
        <v>1.9119605727302467</v>
      </c>
      <c r="T123" s="91">
        <f>IF(TrRoad_act!T65=0,0,TrRoad_ene!T68/TrRoad_tech!T96)</f>
        <v>1.9155808096089657</v>
      </c>
      <c r="U123" s="91">
        <f>IF(TrRoad_act!U65=0,0,TrRoad_ene!U68/TrRoad_tech!U96)</f>
        <v>1.8650181853135526</v>
      </c>
      <c r="V123" s="91">
        <f>IF(TrRoad_act!V65=0,0,TrRoad_ene!V68/TrRoad_tech!V96)</f>
        <v>1.4863832039654556</v>
      </c>
      <c r="W123" s="91">
        <f>IF(TrRoad_act!W65=0,0,TrRoad_ene!W68/TrRoad_tech!W96)</f>
        <v>1.5962741387232819</v>
      </c>
      <c r="X123" s="91">
        <f>IF(TrRoad_act!X65=0,0,TrRoad_ene!X68/TrRoad_tech!X96)</f>
        <v>1.542188778634102</v>
      </c>
      <c r="Y123" s="91">
        <f>IF(TrRoad_act!Y65=0,0,TrRoad_ene!Y68/TrRoad_tech!Y96)</f>
        <v>1.5831340013973334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1.0491012987543573</v>
      </c>
      <c r="L124" s="91">
        <f>IF(TrRoad_act!L66=0,0,TrRoad_ene!L69/TrRoad_tech!L97)</f>
        <v>1.0555555555604399</v>
      </c>
      <c r="M124" s="91">
        <f>IF(TrRoad_act!M66=0,0,TrRoad_ene!M69/TrRoad_tech!M97)</f>
        <v>1.06037037037527</v>
      </c>
      <c r="N124" s="91">
        <f>IF(TrRoad_act!N66=0,0,TrRoad_ene!N69/TrRoad_tech!N97)</f>
        <v>1.06347913477371</v>
      </c>
      <c r="O124" s="91">
        <f>IF(TrRoad_act!O66=0,0,TrRoad_ene!O69/TrRoad_tech!O97)</f>
        <v>1.0685482632060235</v>
      </c>
      <c r="P124" s="91">
        <f>IF(TrRoad_act!P66=0,0,TrRoad_ene!P69/TrRoad_tech!P97)</f>
        <v>1.0734028833797216</v>
      </c>
      <c r="Q124" s="91">
        <f>IF(TrRoad_act!Q66=0,0,TrRoad_ene!Q69/TrRoad_tech!Q97)</f>
        <v>1.0747972711541736</v>
      </c>
      <c r="R124" s="91">
        <f>IF(TrRoad_act!R66=0,0,TrRoad_ene!R69/TrRoad_tech!R97)</f>
        <v>1.0791585582214249</v>
      </c>
      <c r="S124" s="91">
        <f>IF(TrRoad_act!S66=0,0,TrRoad_ene!S69/TrRoad_tech!S97)</f>
        <v>1.0854609713606436</v>
      </c>
      <c r="T124" s="91">
        <f>IF(TrRoad_act!T66=0,0,TrRoad_ene!T69/TrRoad_tech!T97)</f>
        <v>1.0901022923675088</v>
      </c>
      <c r="U124" s="91">
        <f>IF(TrRoad_act!U66=0,0,TrRoad_ene!U69/TrRoad_tech!U97)</f>
        <v>1.0937082035643666</v>
      </c>
      <c r="V124" s="91">
        <f>IF(TrRoad_act!V66=0,0,TrRoad_ene!V69/TrRoad_tech!V97)</f>
        <v>1.0972612360141691</v>
      </c>
      <c r="W124" s="91">
        <f>IF(TrRoad_act!W66=0,0,TrRoad_ene!W69/TrRoad_tech!W97)</f>
        <v>1.0982430869116868</v>
      </c>
      <c r="X124" s="91">
        <f>IF(TrRoad_act!X66=0,0,TrRoad_ene!X69/TrRoad_tech!X97)</f>
        <v>1.099076686741653</v>
      </c>
      <c r="Y124" s="91">
        <f>IF(TrRoad_act!Y66=0,0,TrRoad_ene!Y69/TrRoad_tech!Y97)</f>
        <v>1.0997363308913626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1.1000000000067305</v>
      </c>
      <c r="C125" s="151">
        <f>IF(TrRoad_act!C67=0,0,TrRoad_ene!C70/TrRoad_tech!C98)</f>
        <v>1.0901004396861205</v>
      </c>
      <c r="D125" s="151">
        <f>IF(TrRoad_act!D67=0,0,TrRoad_ene!D70/TrRoad_tech!D98)</f>
        <v>1.0887214367336788</v>
      </c>
      <c r="E125" s="151">
        <f>IF(TrRoad_act!E67=0,0,TrRoad_ene!E70/TrRoad_tech!E98)</f>
        <v>1.0891878311548648</v>
      </c>
      <c r="F125" s="151">
        <f>IF(TrRoad_act!F67=0,0,TrRoad_ene!F70/TrRoad_tech!F98)</f>
        <v>1.0900548191285828</v>
      </c>
      <c r="G125" s="151">
        <f>IF(TrRoad_act!G67=0,0,TrRoad_ene!G70/TrRoad_tech!G98)</f>
        <v>1.0946553774906358</v>
      </c>
      <c r="H125" s="151">
        <f>IF(TrRoad_act!H67=0,0,TrRoad_ene!H70/TrRoad_tech!H98)</f>
        <v>1.1017547061509356</v>
      </c>
      <c r="I125" s="151">
        <f>IF(TrRoad_act!I67=0,0,TrRoad_ene!I70/TrRoad_tech!I98)</f>
        <v>1.1099910815786522</v>
      </c>
      <c r="J125" s="151">
        <f>IF(TrRoad_act!J67=0,0,TrRoad_ene!J70/TrRoad_tech!J98)</f>
        <v>1.1225435117620597</v>
      </c>
      <c r="K125" s="151">
        <f>IF(TrRoad_act!K67=0,0,TrRoad_ene!K70/TrRoad_tech!K98)</f>
        <v>1.1351985520757617</v>
      </c>
      <c r="L125" s="151">
        <f>IF(TrRoad_act!L67=0,0,TrRoad_ene!L70/TrRoad_tech!L98)</f>
        <v>1.1492938064238269</v>
      </c>
      <c r="M125" s="151">
        <f>IF(TrRoad_act!M67=0,0,TrRoad_ene!M70/TrRoad_tech!M98)</f>
        <v>1.1603661821613027</v>
      </c>
      <c r="N125" s="151">
        <f>IF(TrRoad_act!N67=0,0,TrRoad_ene!N70/TrRoad_tech!N98)</f>
        <v>1.1705607885219633</v>
      </c>
      <c r="O125" s="151">
        <f>IF(TrRoad_act!O67=0,0,TrRoad_ene!O70/TrRoad_tech!O98)</f>
        <v>1.1834088766212043</v>
      </c>
      <c r="P125" s="151">
        <f>IF(TrRoad_act!P67=0,0,TrRoad_ene!P70/TrRoad_tech!P98)</f>
        <v>1.1962017796569187</v>
      </c>
      <c r="Q125" s="151">
        <f>IF(TrRoad_act!Q67=0,0,TrRoad_ene!Q70/TrRoad_tech!Q98)</f>
        <v>1.2161039803590108</v>
      </c>
      <c r="R125" s="151">
        <f>IF(TrRoad_act!R67=0,0,TrRoad_ene!R70/TrRoad_tech!R98)</f>
        <v>1.2328134071704195</v>
      </c>
      <c r="S125" s="151">
        <f>IF(TrRoad_act!S67=0,0,TrRoad_ene!S70/TrRoad_tech!S98)</f>
        <v>1.2506347771588087</v>
      </c>
      <c r="T125" s="151">
        <f>IF(TrRoad_act!T67=0,0,TrRoad_ene!T70/TrRoad_tech!T98)</f>
        <v>1.2625203972491148</v>
      </c>
      <c r="U125" s="151">
        <f>IF(TrRoad_act!U67=0,0,TrRoad_ene!U70/TrRoad_tech!U98)</f>
        <v>1.2695425402110934</v>
      </c>
      <c r="V125" s="151">
        <f>IF(TrRoad_act!V67=0,0,TrRoad_ene!V70/TrRoad_tech!V98)</f>
        <v>1.2717879730114963</v>
      </c>
      <c r="W125" s="151">
        <f>IF(TrRoad_act!W67=0,0,TrRoad_ene!W70/TrRoad_tech!W98)</f>
        <v>1.2736417321803646</v>
      </c>
      <c r="X125" s="151">
        <f>IF(TrRoad_act!X67=0,0,TrRoad_ene!X70/TrRoad_tech!X98)</f>
        <v>1.2580660683297282</v>
      </c>
      <c r="Y125" s="151">
        <f>IF(TrRoad_act!Y67=0,0,TrRoad_ene!Y70/TrRoad_tech!Y98)</f>
        <v>1.2443142546070396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1.3402704049142138</v>
      </c>
      <c r="U126" s="93">
        <f>IF(TrRoad_act!U68=0,0,TrRoad_ene!U71/TrRoad_tech!U99)</f>
        <v>1.3402704049142133</v>
      </c>
      <c r="V126" s="93">
        <f>IF(TrRoad_act!V68=0,0,TrRoad_ene!V71/TrRoad_tech!V99)</f>
        <v>1.3402704049142133</v>
      </c>
      <c r="W126" s="93">
        <f>IF(TrRoad_act!W68=0,0,TrRoad_ene!W71/TrRoad_tech!W99)</f>
        <v>1.3491132797036536</v>
      </c>
      <c r="X126" s="93">
        <f>IF(TrRoad_act!X68=0,0,TrRoad_ene!X71/TrRoad_tech!X99)</f>
        <v>1.353104801467387</v>
      </c>
      <c r="Y126" s="93">
        <f>IF(TrRoad_act!Y68=0,0,TrRoad_ene!Y71/TrRoad_tech!Y99)</f>
        <v>1.3531048014673868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1.1000000000067305</v>
      </c>
      <c r="C127" s="93">
        <f>IF(TrRoad_act!C69=0,0,TrRoad_ene!C72/TrRoad_tech!C100)</f>
        <v>1.1005596851514565</v>
      </c>
      <c r="D127" s="93">
        <f>IF(TrRoad_act!D69=0,0,TrRoad_ene!D72/TrRoad_tech!D100)</f>
        <v>1.1012947563541529</v>
      </c>
      <c r="E127" s="93">
        <f>IF(TrRoad_act!E69=0,0,TrRoad_ene!E72/TrRoad_tech!E100)</f>
        <v>1.1030887793849495</v>
      </c>
      <c r="F127" s="93">
        <f>IF(TrRoad_act!F69=0,0,TrRoad_ene!F72/TrRoad_tech!F100)</f>
        <v>1.1055889003127244</v>
      </c>
      <c r="G127" s="93">
        <f>IF(TrRoad_act!G69=0,0,TrRoad_ene!G72/TrRoad_tech!G100)</f>
        <v>1.1095570788706546</v>
      </c>
      <c r="H127" s="93">
        <f>IF(TrRoad_act!H69=0,0,TrRoad_ene!H72/TrRoad_tech!H100)</f>
        <v>1.1150700932972295</v>
      </c>
      <c r="I127" s="93">
        <f>IF(TrRoad_act!I69=0,0,TrRoad_ene!I72/TrRoad_tech!I100)</f>
        <v>1.1216044297731838</v>
      </c>
      <c r="J127" s="93">
        <f>IF(TrRoad_act!J69=0,0,TrRoad_ene!J72/TrRoad_tech!J100)</f>
        <v>1.1310740275841795</v>
      </c>
      <c r="K127" s="93">
        <f>IF(TrRoad_act!K69=0,0,TrRoad_ene!K72/TrRoad_tech!K100)</f>
        <v>1.1409374019908016</v>
      </c>
      <c r="L127" s="93">
        <f>IF(TrRoad_act!L69=0,0,TrRoad_ene!L72/TrRoad_tech!L100)</f>
        <v>1.1513146744270828</v>
      </c>
      <c r="M127" s="93">
        <f>IF(TrRoad_act!M69=0,0,TrRoad_ene!M72/TrRoad_tech!M100)</f>
        <v>1.1622342989360144</v>
      </c>
      <c r="N127" s="93">
        <f>IF(TrRoad_act!N69=0,0,TrRoad_ene!N72/TrRoad_tech!N100)</f>
        <v>1.1729931381897558</v>
      </c>
      <c r="O127" s="93">
        <f>IF(TrRoad_act!O69=0,0,TrRoad_ene!O72/TrRoad_tech!O100)</f>
        <v>1.1864133668736707</v>
      </c>
      <c r="P127" s="93">
        <f>IF(TrRoad_act!P69=0,0,TrRoad_ene!P72/TrRoad_tech!P100)</f>
        <v>1.199568127514318</v>
      </c>
      <c r="Q127" s="93">
        <f>IF(TrRoad_act!Q69=0,0,TrRoad_ene!Q72/TrRoad_tech!Q100)</f>
        <v>1.2198484264746414</v>
      </c>
      <c r="R127" s="93">
        <f>IF(TrRoad_act!R69=0,0,TrRoad_ene!R72/TrRoad_tech!R100)</f>
        <v>1.2367499890582536</v>
      </c>
      <c r="S127" s="93">
        <f>IF(TrRoad_act!S69=0,0,TrRoad_ene!S72/TrRoad_tech!S100)</f>
        <v>1.2551720309098333</v>
      </c>
      <c r="T127" s="93">
        <f>IF(TrRoad_act!T69=0,0,TrRoad_ene!T72/TrRoad_tech!T100)</f>
        <v>1.2691199360051928</v>
      </c>
      <c r="U127" s="93">
        <f>IF(TrRoad_act!U69=0,0,TrRoad_ene!U72/TrRoad_tech!U100)</f>
        <v>1.2832083275648867</v>
      </c>
      <c r="V127" s="93">
        <f>IF(TrRoad_act!V69=0,0,TrRoad_ene!V72/TrRoad_tech!V100)</f>
        <v>1.2913919581256035</v>
      </c>
      <c r="W127" s="93">
        <f>IF(TrRoad_act!W69=0,0,TrRoad_ene!W72/TrRoad_tech!W100)</f>
        <v>1.3016185974041592</v>
      </c>
      <c r="X127" s="93">
        <f>IF(TrRoad_act!X69=0,0,TrRoad_ene!X72/TrRoad_tech!X100)</f>
        <v>1.3114471239312644</v>
      </c>
      <c r="Y127" s="93">
        <f>IF(TrRoad_act!Y69=0,0,TrRoad_ene!Y72/TrRoad_tech!Y100)</f>
        <v>1.3172270023634103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X129" s="93">
        <f>IF(TrRoad_act!X71=0,0,TrRoad_ene!X74/TrRoad_tech!X102)</f>
        <v>0</v>
      </c>
      <c r="Y129" s="93">
        <f>IF(TrRoad_act!Y71=0,0,TrRoad_ene!Y74/TrRoad_tech!Y102)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1.1160000000058972</v>
      </c>
      <c r="F130" s="93">
        <f>IF(TrRoad_act!F72=0,0,TrRoad_ene!F75/TrRoad_tech!F103)</f>
        <v>1.1160000000058972</v>
      </c>
      <c r="G130" s="93">
        <f>IF(TrRoad_act!G72=0,0,TrRoad_ene!G75/TrRoad_tech!G103)</f>
        <v>1.1160000000058969</v>
      </c>
      <c r="H130" s="93">
        <f>IF(TrRoad_act!H72=0,0,TrRoad_ene!H75/TrRoad_tech!H103)</f>
        <v>1.1160000000058969</v>
      </c>
      <c r="I130" s="93">
        <f>IF(TrRoad_act!I72=0,0,TrRoad_ene!I75/TrRoad_tech!I103)</f>
        <v>1.1160000000058972</v>
      </c>
      <c r="J130" s="93">
        <f>IF(TrRoad_act!J72=0,0,TrRoad_ene!J75/TrRoad_tech!J103)</f>
        <v>1.1160000000058972</v>
      </c>
      <c r="K130" s="93">
        <f>IF(TrRoad_act!K72=0,0,TrRoad_ene!K75/TrRoad_tech!K103)</f>
        <v>1.1160000000058972</v>
      </c>
      <c r="L130" s="93">
        <f>IF(TrRoad_act!L72=0,0,TrRoad_ene!L75/TrRoad_tech!L103)</f>
        <v>1.1160000000058972</v>
      </c>
      <c r="M130" s="93">
        <f>IF(TrRoad_act!M72=0,0,TrRoad_ene!M75/TrRoad_tech!M103)</f>
        <v>1.1160000000058972</v>
      </c>
      <c r="N130" s="93">
        <f>IF(TrRoad_act!N72=0,0,TrRoad_ene!N75/TrRoad_tech!N103)</f>
        <v>1.1160000000058972</v>
      </c>
      <c r="O130" s="93">
        <f>IF(TrRoad_act!O72=0,0,TrRoad_ene!O75/TrRoad_tech!O103)</f>
        <v>1.1160000000058974</v>
      </c>
      <c r="P130" s="93">
        <f>IF(TrRoad_act!P72=0,0,TrRoad_ene!P75/TrRoad_tech!P103)</f>
        <v>1.1160000000058972</v>
      </c>
      <c r="Q130" s="93">
        <f>IF(TrRoad_act!Q72=0,0,TrRoad_ene!Q75/TrRoad_tech!Q103)</f>
        <v>1.1160000000058972</v>
      </c>
      <c r="R130" s="93">
        <f>IF(TrRoad_act!R72=0,0,TrRoad_ene!R75/TrRoad_tech!R103)</f>
        <v>1.1160000000058972</v>
      </c>
      <c r="S130" s="93">
        <f>IF(TrRoad_act!S72=0,0,TrRoad_ene!S75/TrRoad_tech!S103)</f>
        <v>1.3303615355983796</v>
      </c>
      <c r="T130" s="93">
        <f>IF(TrRoad_act!T72=0,0,TrRoad_ene!T75/TrRoad_tech!T103)</f>
        <v>1.3381720372358361</v>
      </c>
      <c r="U130" s="93">
        <f>IF(TrRoad_act!U72=0,0,TrRoad_ene!U75/TrRoad_tech!U103)</f>
        <v>1.3448258057231048</v>
      </c>
      <c r="V130" s="93">
        <f>IF(TrRoad_act!V72=0,0,TrRoad_ene!V75/TrRoad_tech!V103)</f>
        <v>1.3472631383093809</v>
      </c>
      <c r="W130" s="93">
        <f>IF(TrRoad_act!W72=0,0,TrRoad_ene!W75/TrRoad_tech!W103)</f>
        <v>1.3489849874880151</v>
      </c>
      <c r="X130" s="93">
        <f>IF(TrRoad_act!X72=0,0,TrRoad_ene!X75/TrRoad_tech!X103)</f>
        <v>1.3543249899509804</v>
      </c>
      <c r="Y130" s="93">
        <f>IF(TrRoad_act!Y72=0,0,TrRoad_ene!Y75/TrRoad_tech!Y103)</f>
        <v>1.3562013033115339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1.1097097328926255</v>
      </c>
      <c r="C132" s="150">
        <f>IF(TrRoad_act!C74=0,0,TrRoad_ene!C77/TrRoad_tech!C105)</f>
        <v>1.0972512836863413</v>
      </c>
      <c r="D132" s="150">
        <f>IF(TrRoad_act!D74=0,0,TrRoad_ene!D77/TrRoad_tech!D105)</f>
        <v>1.0912089772181728</v>
      </c>
      <c r="E132" s="150">
        <f>IF(TrRoad_act!E74=0,0,TrRoad_ene!E77/TrRoad_tech!E105)</f>
        <v>1.0906198368655904</v>
      </c>
      <c r="F132" s="150">
        <f>IF(TrRoad_act!F74=0,0,TrRoad_ene!F77/TrRoad_tech!F105)</f>
        <v>1.0923936813266264</v>
      </c>
      <c r="G132" s="150">
        <f>IF(TrRoad_act!G74=0,0,TrRoad_ene!G77/TrRoad_tech!G105)</f>
        <v>1.0965030992486124</v>
      </c>
      <c r="H132" s="150">
        <f>IF(TrRoad_act!H74=0,0,TrRoad_ene!H77/TrRoad_tech!H105)</f>
        <v>1.1031471186956345</v>
      </c>
      <c r="I132" s="150">
        <f>IF(TrRoad_act!I74=0,0,TrRoad_ene!I77/TrRoad_tech!I105)</f>
        <v>1.1129427209958109</v>
      </c>
      <c r="J132" s="150">
        <f>IF(TrRoad_act!J74=0,0,TrRoad_ene!J77/TrRoad_tech!J105)</f>
        <v>1.1243533977103721</v>
      </c>
      <c r="K132" s="150">
        <f>IF(TrRoad_act!K74=0,0,TrRoad_ene!K77/TrRoad_tech!K105)</f>
        <v>1.1277102656900406</v>
      </c>
      <c r="L132" s="150">
        <f>IF(TrRoad_act!L74=0,0,TrRoad_ene!L77/TrRoad_tech!L105)</f>
        <v>1.1318464925527572</v>
      </c>
      <c r="M132" s="150">
        <f>IF(TrRoad_act!M74=0,0,TrRoad_ene!M77/TrRoad_tech!M105)</f>
        <v>1.1361419702726983</v>
      </c>
      <c r="N132" s="150">
        <f>IF(TrRoad_act!N74=0,0,TrRoad_ene!N77/TrRoad_tech!N105)</f>
        <v>1.1465401897655447</v>
      </c>
      <c r="O132" s="150">
        <f>IF(TrRoad_act!O74=0,0,TrRoad_ene!O77/TrRoad_tech!O105)</f>
        <v>1.1572114323084703</v>
      </c>
      <c r="P132" s="150">
        <f>IF(TrRoad_act!P74=0,0,TrRoad_ene!P77/TrRoad_tech!P105)</f>
        <v>1.169639435490524</v>
      </c>
      <c r="Q132" s="150">
        <f>IF(TrRoad_act!Q74=0,0,TrRoad_ene!Q77/TrRoad_tech!Q105)</f>
        <v>1.1831680881954993</v>
      </c>
      <c r="R132" s="150">
        <f>IF(TrRoad_act!R74=0,0,TrRoad_ene!R77/TrRoad_tech!R105)</f>
        <v>1.197497812184467</v>
      </c>
      <c r="S132" s="150">
        <f>IF(TrRoad_act!S74=0,0,TrRoad_ene!S77/TrRoad_tech!S105)</f>
        <v>1.2155300554351716</v>
      </c>
      <c r="T132" s="150">
        <f>IF(TrRoad_act!T74=0,0,TrRoad_ene!T77/TrRoad_tech!T105)</f>
        <v>1.2357872396715934</v>
      </c>
      <c r="U132" s="150">
        <f>IF(TrRoad_act!U74=0,0,TrRoad_ene!U77/TrRoad_tech!U105)</f>
        <v>1.2573380515356509</v>
      </c>
      <c r="V132" s="150">
        <f>IF(TrRoad_act!V74=0,0,TrRoad_ene!V77/TrRoad_tech!V105)</f>
        <v>1.2792587126207819</v>
      </c>
      <c r="W132" s="150">
        <f>IF(TrRoad_act!W74=0,0,TrRoad_ene!W77/TrRoad_tech!W105)</f>
        <v>1.3009794192813633</v>
      </c>
      <c r="X132" s="150">
        <f>IF(TrRoad_act!X74=0,0,TrRoad_ene!X77/TrRoad_tech!X105)</f>
        <v>1.3086962670720945</v>
      </c>
      <c r="Y132" s="150">
        <f>IF(TrRoad_act!Y74=0,0,TrRoad_ene!Y77/TrRoad_tech!Y105)</f>
        <v>1.3317691615646383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1.1000076484539274</v>
      </c>
      <c r="D133" s="91">
        <f>IF(TrRoad_act!D75=0,0,TrRoad_ene!D78/TrRoad_tech!D106)</f>
        <v>1.1000609371463579</v>
      </c>
      <c r="E133" s="91">
        <f>IF(TrRoad_act!E75=0,0,TrRoad_ene!E78/TrRoad_tech!E106)</f>
        <v>1.1002262121654511</v>
      </c>
      <c r="F133" s="91">
        <f>IF(TrRoad_act!F75=0,0,TrRoad_ene!F78/TrRoad_tech!F106)</f>
        <v>1.1004896061479723</v>
      </c>
      <c r="G133" s="91">
        <f>IF(TrRoad_act!G75=0,0,TrRoad_ene!G78/TrRoad_tech!G106)</f>
        <v>1.1009627745272157</v>
      </c>
      <c r="H133" s="91">
        <f>IF(TrRoad_act!H75=0,0,TrRoad_ene!H78/TrRoad_tech!H106)</f>
        <v>1.1018925003545461</v>
      </c>
      <c r="I133" s="91">
        <f>IF(TrRoad_act!I75=0,0,TrRoad_ene!I78/TrRoad_tech!I106)</f>
        <v>1.1040686156157506</v>
      </c>
      <c r="J133" s="91">
        <f>IF(TrRoad_act!J75=0,0,TrRoad_ene!J78/TrRoad_tech!J106)</f>
        <v>1.1081664992353846</v>
      </c>
      <c r="K133" s="91">
        <f>IF(TrRoad_act!K75=0,0,TrRoad_ene!K78/TrRoad_tech!K106)</f>
        <v>1.1135126600723964</v>
      </c>
      <c r="L133" s="91">
        <f>IF(TrRoad_act!L75=0,0,TrRoad_ene!L78/TrRoad_tech!L106)</f>
        <v>1.1178209224069877</v>
      </c>
      <c r="M133" s="91">
        <f>IF(TrRoad_act!M75=0,0,TrRoad_ene!M78/TrRoad_tech!M106)</f>
        <v>1.1226310892755329</v>
      </c>
      <c r="N133" s="91">
        <f>IF(TrRoad_act!N75=0,0,TrRoad_ene!N78/TrRoad_tech!N106)</f>
        <v>1.1289806269771649</v>
      </c>
      <c r="O133" s="91">
        <f>IF(TrRoad_act!O75=0,0,TrRoad_ene!O78/TrRoad_tech!O106)</f>
        <v>1.1359587229688939</v>
      </c>
      <c r="P133" s="91">
        <f>IF(TrRoad_act!P75=0,0,TrRoad_ene!P78/TrRoad_tech!P106)</f>
        <v>1.1449224038417318</v>
      </c>
      <c r="Q133" s="91">
        <f>IF(TrRoad_act!Q75=0,0,TrRoad_ene!Q78/TrRoad_tech!Q106)</f>
        <v>1.1560150924807906</v>
      </c>
      <c r="R133" s="91">
        <f>IF(TrRoad_act!R75=0,0,TrRoad_ene!R78/TrRoad_tech!R106)</f>
        <v>1.1689396647847148</v>
      </c>
      <c r="S133" s="91">
        <f>IF(TrRoad_act!S75=0,0,TrRoad_ene!S78/TrRoad_tech!S106)</f>
        <v>1.1888437568222741</v>
      </c>
      <c r="T133" s="91">
        <f>IF(TrRoad_act!T75=0,0,TrRoad_ene!T78/TrRoad_tech!T106)</f>
        <v>1.2087875949026643</v>
      </c>
      <c r="U133" s="91">
        <f>IF(TrRoad_act!U75=0,0,TrRoad_ene!U78/TrRoad_tech!U106)</f>
        <v>1.2284343737549621</v>
      </c>
      <c r="V133" s="91">
        <f>IF(TrRoad_act!V75=0,0,TrRoad_ene!V78/TrRoad_tech!V106)</f>
        <v>1.2440183501000046</v>
      </c>
      <c r="W133" s="91">
        <f>IF(TrRoad_act!W75=0,0,TrRoad_ene!W78/TrRoad_tech!W106)</f>
        <v>1.2636538212204302</v>
      </c>
      <c r="X133" s="91">
        <f>IF(TrRoad_act!X75=0,0,TrRoad_ene!X78/TrRoad_tech!X106)</f>
        <v>1.2825730867332277</v>
      </c>
      <c r="Y133" s="91">
        <f>IF(TrRoad_act!Y75=0,0,TrRoad_ene!Y78/TrRoad_tech!Y106)</f>
        <v>1.3065742629690282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1.1005380139186498</v>
      </c>
      <c r="D134" s="91">
        <f>IF(TrRoad_act!D76=0,0,TrRoad_ene!D79/TrRoad_tech!D107)</f>
        <v>1.1015511307652375</v>
      </c>
      <c r="E134" s="91">
        <f>IF(TrRoad_act!E76=0,0,TrRoad_ene!E79/TrRoad_tech!E107)</f>
        <v>1.1030358490513072</v>
      </c>
      <c r="F134" s="91">
        <f>IF(TrRoad_act!F76=0,0,TrRoad_ene!F79/TrRoad_tech!F107)</f>
        <v>1.1052761299121336</v>
      </c>
      <c r="G134" s="91">
        <f>IF(TrRoad_act!G76=0,0,TrRoad_ene!G79/TrRoad_tech!G107)</f>
        <v>1.1082491525371776</v>
      </c>
      <c r="H134" s="91">
        <f>IF(TrRoad_act!H76=0,0,TrRoad_ene!H79/TrRoad_tech!H107)</f>
        <v>1.1124947338757196</v>
      </c>
      <c r="I134" s="91">
        <f>IF(TrRoad_act!I76=0,0,TrRoad_ene!I79/TrRoad_tech!I107)</f>
        <v>1.1183108958516079</v>
      </c>
      <c r="J134" s="91">
        <f>IF(TrRoad_act!J76=0,0,TrRoad_ene!J79/TrRoad_tech!J107)</f>
        <v>1.1258077371010298</v>
      </c>
      <c r="K134" s="91">
        <f>IF(TrRoad_act!K76=0,0,TrRoad_ene!K79/TrRoad_tech!K107)</f>
        <v>1.1281950908965381</v>
      </c>
      <c r="L134" s="91">
        <f>IF(TrRoad_act!L76=0,0,TrRoad_ene!L79/TrRoad_tech!L107)</f>
        <v>1.1303176354757527</v>
      </c>
      <c r="M134" s="91">
        <f>IF(TrRoad_act!M76=0,0,TrRoad_ene!M79/TrRoad_tech!M107)</f>
        <v>1.1336462107369072</v>
      </c>
      <c r="N134" s="91">
        <f>IF(TrRoad_act!N76=0,0,TrRoad_ene!N79/TrRoad_tech!N107)</f>
        <v>1.1472315837440286</v>
      </c>
      <c r="O134" s="91">
        <f>IF(TrRoad_act!O76=0,0,TrRoad_ene!O79/TrRoad_tech!O107)</f>
        <v>1.1606365251695105</v>
      </c>
      <c r="P134" s="91">
        <f>IF(TrRoad_act!P76=0,0,TrRoad_ene!P79/TrRoad_tech!P107)</f>
        <v>1.1754801718264796</v>
      </c>
      <c r="Q134" s="91">
        <f>IF(TrRoad_act!Q76=0,0,TrRoad_ene!Q79/TrRoad_tech!Q107)</f>
        <v>1.1927810784381028</v>
      </c>
      <c r="R134" s="91">
        <f>IF(TrRoad_act!R76=0,0,TrRoad_ene!R79/TrRoad_tech!R107)</f>
        <v>1.211062711371572</v>
      </c>
      <c r="S134" s="91">
        <f>IF(TrRoad_act!S76=0,0,TrRoad_ene!S79/TrRoad_tech!S107)</f>
        <v>1.2313870325621004</v>
      </c>
      <c r="T134" s="91">
        <f>IF(TrRoad_act!T76=0,0,TrRoad_ene!T79/TrRoad_tech!T107)</f>
        <v>1.2508128581808915</v>
      </c>
      <c r="U134" s="91">
        <f>IF(TrRoad_act!U76=0,0,TrRoad_ene!U79/TrRoad_tech!U107)</f>
        <v>1.2701957344245056</v>
      </c>
      <c r="V134" s="91">
        <f>IF(TrRoad_act!V76=0,0,TrRoad_ene!V79/TrRoad_tech!V107)</f>
        <v>1.2885302350162935</v>
      </c>
      <c r="W134" s="91">
        <f>IF(TrRoad_act!W76=0,0,TrRoad_ene!W79/TrRoad_tech!W107)</f>
        <v>1.3060293527823179</v>
      </c>
      <c r="X134" s="91">
        <f>IF(TrRoad_act!X76=0,0,TrRoad_ene!X79/TrRoad_tech!X107)</f>
        <v>1.3136791586552652</v>
      </c>
      <c r="Y134" s="91">
        <f>IF(TrRoad_act!Y76=0,0,TrRoad_ene!Y79/TrRoad_tech!Y107)</f>
        <v>1.3304097770339109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1.3654544439526677</v>
      </c>
      <c r="P135" s="91">
        <f>IF(TrRoad_act!P77=0,0,TrRoad_ene!P80/TrRoad_tech!P108)</f>
        <v>1.5631104631436197</v>
      </c>
      <c r="Q135" s="91">
        <f>IF(TrRoad_act!Q77=0,0,TrRoad_ene!Q80/TrRoad_tech!Q108)</f>
        <v>1.17253866683271</v>
      </c>
      <c r="R135" s="91">
        <f>IF(TrRoad_act!R77=0,0,TrRoad_ene!R80/TrRoad_tech!R108)</f>
        <v>1.1756665422177357</v>
      </c>
      <c r="S135" s="91">
        <f>IF(TrRoad_act!S77=0,0,TrRoad_ene!S80/TrRoad_tech!S108)</f>
        <v>1.1809822010446684</v>
      </c>
      <c r="T135" s="91">
        <f>IF(TrRoad_act!T77=0,0,TrRoad_ene!T80/TrRoad_tech!T108)</f>
        <v>1.4331017031123665</v>
      </c>
      <c r="U135" s="91">
        <f>IF(TrRoad_act!U77=0,0,TrRoad_ene!U80/TrRoad_tech!U108)</f>
        <v>1.9130191451830747</v>
      </c>
      <c r="V135" s="91">
        <f>IF(TrRoad_act!V77=0,0,TrRoad_ene!V80/TrRoad_tech!V108)</f>
        <v>1.2836956931843915</v>
      </c>
      <c r="W135" s="91">
        <f>IF(TrRoad_act!W77=0,0,TrRoad_ene!W80/TrRoad_tech!W108)</f>
        <v>1.4164583164809752</v>
      </c>
      <c r="X135" s="91">
        <f>IF(TrRoad_act!X77=0,0,TrRoad_ene!X80/TrRoad_tech!X108)</f>
        <v>1.370557021025852</v>
      </c>
      <c r="Y135" s="91">
        <f>IF(TrRoad_act!Y77=0,0,TrRoad_ene!Y80/TrRoad_tech!Y108)</f>
        <v>1.9805037717500458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X136" s="91">
        <f>IF(TrRoad_act!X78=0,0,TrRoad_ene!X81/TrRoad_tech!X109)</f>
        <v>0</v>
      </c>
      <c r="Y136" s="91">
        <f>IF(TrRoad_act!Y78=0,0,TrRoad_ene!Y81/TrRoad_tech!Y109)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1.1440000000061443</v>
      </c>
      <c r="I137" s="91">
        <f>IF(TrRoad_act!I79=0,0,TrRoad_ene!I82/TrRoad_tech!I110)</f>
        <v>1.1500801890515471</v>
      </c>
      <c r="J137" s="91">
        <f>IF(TrRoad_act!J79=0,0,TrRoad_ene!J82/TrRoad_tech!J110)</f>
        <v>1.1500801890515473</v>
      </c>
      <c r="K137" s="91">
        <f>IF(TrRoad_act!K79=0,0,TrRoad_ene!K82/TrRoad_tech!K110)</f>
        <v>1.174776230627685</v>
      </c>
      <c r="L137" s="91">
        <f>IF(TrRoad_act!L79=0,0,TrRoad_ene!L82/TrRoad_tech!L110)</f>
        <v>1.1747762306276845</v>
      </c>
      <c r="M137" s="91">
        <f>IF(TrRoad_act!M79=0,0,TrRoad_ene!M82/TrRoad_tech!M110)</f>
        <v>1.1747762306276848</v>
      </c>
      <c r="N137" s="91">
        <f>IF(TrRoad_act!N79=0,0,TrRoad_ene!N82/TrRoad_tech!N110)</f>
        <v>1.2238757157336724</v>
      </c>
      <c r="O137" s="91">
        <f>IF(TrRoad_act!O79=0,0,TrRoad_ene!O82/TrRoad_tech!O110)</f>
        <v>1.2439586407738119</v>
      </c>
      <c r="P137" s="91">
        <f>IF(TrRoad_act!P79=0,0,TrRoad_ene!P82/TrRoad_tech!P110)</f>
        <v>1.2550657708414479</v>
      </c>
      <c r="Q137" s="91">
        <f>IF(TrRoad_act!Q79=0,0,TrRoad_ene!Q82/TrRoad_tech!Q110)</f>
        <v>1.2660453560022296</v>
      </c>
      <c r="R137" s="91">
        <f>IF(TrRoad_act!R79=0,0,TrRoad_ene!R82/TrRoad_tech!R110)</f>
        <v>1.2740730928516169</v>
      </c>
      <c r="S137" s="91">
        <f>IF(TrRoad_act!S79=0,0,TrRoad_ene!S82/TrRoad_tech!S110)</f>
        <v>1.2894013351458884</v>
      </c>
      <c r="T137" s="91">
        <f>IF(TrRoad_act!T79=0,0,TrRoad_ene!T82/TrRoad_tech!T110)</f>
        <v>1.3046799315104114</v>
      </c>
      <c r="U137" s="91">
        <f>IF(TrRoad_act!U79=0,0,TrRoad_ene!U82/TrRoad_tech!U110)</f>
        <v>1.3289974836531315</v>
      </c>
      <c r="V137" s="91">
        <f>IF(TrRoad_act!V79=0,0,TrRoad_ene!V82/TrRoad_tech!V110)</f>
        <v>1.337152663615282</v>
      </c>
      <c r="W137" s="91">
        <f>IF(TrRoad_act!W79=0,0,TrRoad_ene!W82/TrRoad_tech!W110)</f>
        <v>1.3444318980516432</v>
      </c>
      <c r="X137" s="91">
        <f>IF(TrRoad_act!X79=0,0,TrRoad_ene!X82/TrRoad_tech!X110)</f>
        <v>1.3525223772696959</v>
      </c>
      <c r="Y137" s="91">
        <f>IF(TrRoad_act!Y79=0,0,TrRoad_ene!Y82/TrRoad_tech!Y110)</f>
        <v>1.3587236921312895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14.35766075536054</v>
      </c>
      <c r="C138" s="151">
        <f>IF(TrRoad_act!C80=0,0,TrRoad_ene!C83/TrRoad_tech!C111)</f>
        <v>14.101887577463863</v>
      </c>
      <c r="D138" s="151">
        <f>IF(TrRoad_act!D80=0,0,TrRoad_ene!D83/TrRoad_tech!D111)</f>
        <v>13.525999766613968</v>
      </c>
      <c r="E138" s="151">
        <f>IF(TrRoad_act!E80=0,0,TrRoad_ene!E83/TrRoad_tech!E111)</f>
        <v>15.877230233698599</v>
      </c>
      <c r="F138" s="151">
        <f>IF(TrRoad_act!F80=0,0,TrRoad_ene!F83/TrRoad_tech!F111)</f>
        <v>20.034813567688659</v>
      </c>
      <c r="G138" s="151">
        <f>IF(TrRoad_act!G80=0,0,TrRoad_ene!G83/TrRoad_tech!G111)</f>
        <v>23.250580389783138</v>
      </c>
      <c r="H138" s="151">
        <f>IF(TrRoad_act!H80=0,0,TrRoad_ene!H83/TrRoad_tech!H111)</f>
        <v>21.561312356697922</v>
      </c>
      <c r="I138" s="151">
        <f>IF(TrRoad_act!I80=0,0,TrRoad_ene!I83/TrRoad_tech!I111)</f>
        <v>19.89600133968754</v>
      </c>
      <c r="J138" s="151">
        <f>IF(TrRoad_act!J80=0,0,TrRoad_ene!J83/TrRoad_tech!J111)</f>
        <v>19.433002110580219</v>
      </c>
      <c r="K138" s="151">
        <f>IF(TrRoad_act!K80=0,0,TrRoad_ene!K83/TrRoad_tech!K111)</f>
        <v>21.62125777988927</v>
      </c>
      <c r="L138" s="151">
        <f>IF(TrRoad_act!L80=0,0,TrRoad_ene!L83/TrRoad_tech!L111)</f>
        <v>23.333389230471951</v>
      </c>
      <c r="M138" s="151">
        <f>IF(TrRoad_act!M80=0,0,TrRoad_ene!M83/TrRoad_tech!M111)</f>
        <v>24.414585621330449</v>
      </c>
      <c r="N138" s="151">
        <f>IF(TrRoad_act!N80=0,0,TrRoad_ene!N83/TrRoad_tech!N111)</f>
        <v>17.564615638961264</v>
      </c>
      <c r="O138" s="151">
        <f>IF(TrRoad_act!O80=0,0,TrRoad_ene!O83/TrRoad_tech!O111)</f>
        <v>20.080870892746049</v>
      </c>
      <c r="P138" s="151">
        <f>IF(TrRoad_act!P80=0,0,TrRoad_ene!P83/TrRoad_tech!P111)</f>
        <v>16.235830111640567</v>
      </c>
      <c r="Q138" s="151">
        <f>IF(TrRoad_act!Q80=0,0,TrRoad_ene!Q83/TrRoad_tech!Q111)</f>
        <v>17.308818394280969</v>
      </c>
      <c r="R138" s="151">
        <f>IF(TrRoad_act!R80=0,0,TrRoad_ene!R83/TrRoad_tech!R111)</f>
        <v>16.204495785951327</v>
      </c>
      <c r="S138" s="151">
        <f>IF(TrRoad_act!S80=0,0,TrRoad_ene!S83/TrRoad_tech!S111)</f>
        <v>17.22828971433988</v>
      </c>
      <c r="T138" s="151">
        <f>IF(TrRoad_act!T80=0,0,TrRoad_ene!T83/TrRoad_tech!T111)</f>
        <v>19.520154357192588</v>
      </c>
      <c r="U138" s="151">
        <f>IF(TrRoad_act!U80=0,0,TrRoad_ene!U83/TrRoad_tech!U111)</f>
        <v>20.901005043038236</v>
      </c>
      <c r="V138" s="151">
        <f>IF(TrRoad_act!V80=0,0,TrRoad_ene!V83/TrRoad_tech!V111)</f>
        <v>18.148033690536479</v>
      </c>
      <c r="W138" s="151">
        <f>IF(TrRoad_act!W80=0,0,TrRoad_ene!W83/TrRoad_tech!W111)</f>
        <v>17.110134508800005</v>
      </c>
      <c r="X138" s="151">
        <f>IF(TrRoad_act!X80=0,0,TrRoad_ene!X83/TrRoad_tech!X111)</f>
        <v>13.040814457206032</v>
      </c>
      <c r="Y138" s="151">
        <f>IF(TrRoad_act!Y80=0,0,TrRoad_ene!Y83/TrRoad_tech!Y111)</f>
        <v>12.931236497201093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1.352278832054711</v>
      </c>
      <c r="C139" s="93">
        <f>IF(TrRoad_act!C81=0,0,TrRoad_ene!C84/TrRoad_tech!C112)</f>
        <v>1.3496659483075646</v>
      </c>
      <c r="D139" s="93">
        <f>IF(TrRoad_act!D81=0,0,TrRoad_ene!D84/TrRoad_tech!D112)</f>
        <v>1.340735857650724</v>
      </c>
      <c r="E139" s="93">
        <f>IF(TrRoad_act!E81=0,0,TrRoad_ene!E84/TrRoad_tech!E112)</f>
        <v>1.3874203825021771</v>
      </c>
      <c r="F139" s="93">
        <f>IF(TrRoad_act!F81=0,0,TrRoad_ene!F84/TrRoad_tech!F112)</f>
        <v>1.4698355620249137</v>
      </c>
      <c r="G139" s="93">
        <f>IF(TrRoad_act!G81=0,0,TrRoad_ene!G84/TrRoad_tech!G112)</f>
        <v>1.5356133610807672</v>
      </c>
      <c r="H139" s="93">
        <f>IF(TrRoad_act!H81=0,0,TrRoad_ene!H84/TrRoad_tech!H112)</f>
        <v>1.5056074356028415</v>
      </c>
      <c r="I139" s="93">
        <f>IF(TrRoad_act!I81=0,0,TrRoad_ene!I84/TrRoad_tech!I112)</f>
        <v>1.4766954706520217</v>
      </c>
      <c r="J139" s="93">
        <f>IF(TrRoad_act!J81=0,0,TrRoad_ene!J84/TrRoad_tech!J112)</f>
        <v>1.4758444768781609</v>
      </c>
      <c r="K139" s="93">
        <f>IF(TrRoad_act!K81=0,0,TrRoad_ene!K84/TrRoad_tech!K112)</f>
        <v>1.5244729766896732</v>
      </c>
      <c r="L139" s="93">
        <f>IF(TrRoad_act!L81=0,0,TrRoad_ene!L84/TrRoad_tech!L112)</f>
        <v>1.5650109031308046</v>
      </c>
      <c r="M139" s="93">
        <f>IF(TrRoad_act!M81=0,0,TrRoad_ene!M84/TrRoad_tech!M112)</f>
        <v>1.5942523161807136</v>
      </c>
      <c r="N139" s="93">
        <f>IF(TrRoad_act!N81=0,0,TrRoad_ene!N84/TrRoad_tech!N112)</f>
        <v>1.4692802862413354</v>
      </c>
      <c r="O139" s="93">
        <f>IF(TrRoad_act!O81=0,0,TrRoad_ene!O84/TrRoad_tech!O112)</f>
        <v>1.5366104812490649</v>
      </c>
      <c r="P139" s="93">
        <f>IF(TrRoad_act!P81=0,0,TrRoad_ene!P84/TrRoad_tech!P112)</f>
        <v>1.4784325098868514</v>
      </c>
      <c r="Q139" s="93">
        <f>IF(TrRoad_act!Q81=0,0,TrRoad_ene!Q84/TrRoad_tech!Q112)</f>
        <v>1.5088944581678789</v>
      </c>
      <c r="R139" s="93">
        <f>IF(TrRoad_act!R81=0,0,TrRoad_ene!R84/TrRoad_tech!R112)</f>
        <v>1.5014638361693924</v>
      </c>
      <c r="S139" s="93">
        <f>IF(TrRoad_act!S81=0,0,TrRoad_ene!S84/TrRoad_tech!S112)</f>
        <v>1.5320316506985654</v>
      </c>
      <c r="T139" s="93">
        <f>IF(TrRoad_act!T81=0,0,TrRoad_ene!T84/TrRoad_tech!T112)</f>
        <v>1.5979591083409701</v>
      </c>
      <c r="U139" s="93">
        <f>IF(TrRoad_act!U81=0,0,TrRoad_ene!U84/TrRoad_tech!U112)</f>
        <v>1.6401690538727696</v>
      </c>
      <c r="V139" s="93">
        <f>IF(TrRoad_act!V81=0,0,TrRoad_ene!V84/TrRoad_tech!V112)</f>
        <v>1.6033766950153092</v>
      </c>
      <c r="W139" s="93">
        <f>IF(TrRoad_act!W81=0,0,TrRoad_ene!W84/TrRoad_tech!W112)</f>
        <v>1.6163983265041819</v>
      </c>
      <c r="X139" s="93">
        <f>IF(TrRoad_act!X81=0,0,TrRoad_ene!X84/TrRoad_tech!X112)</f>
        <v>1.5566365128818063</v>
      </c>
      <c r="Y139" s="93">
        <f>IF(TrRoad_act!Y81=0,0,TrRoad_ene!Y84/TrRoad_tech!Y112)</f>
        <v>1.5621932126281972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23.487938009677727</v>
      </c>
      <c r="C140" s="94">
        <f>IF(TrRoad_act!C82=0,0,TrRoad_ene!C85/TrRoad_tech!C113)</f>
        <v>23.954716033759492</v>
      </c>
      <c r="D140" s="94">
        <f>IF(TrRoad_act!D82=0,0,TrRoad_ene!D85/TrRoad_tech!D113)</f>
        <v>24.322608603654533</v>
      </c>
      <c r="E140" s="94">
        <f>IF(TrRoad_act!E82=0,0,TrRoad_ene!E85/TrRoad_tech!E113)</f>
        <v>28.171629917407891</v>
      </c>
      <c r="F140" s="94">
        <f>IF(TrRoad_act!F82=0,0,TrRoad_ene!F85/TrRoad_tech!F113)</f>
        <v>32.952021575640678</v>
      </c>
      <c r="G140" s="94">
        <f>IF(TrRoad_act!G82=0,0,TrRoad_ene!G85/TrRoad_tech!G113)</f>
        <v>36.617383582713416</v>
      </c>
      <c r="H140" s="94">
        <f>IF(TrRoad_act!H82=0,0,TrRoad_ene!H85/TrRoad_tech!H113)</f>
        <v>35.908745951889784</v>
      </c>
      <c r="I140" s="94">
        <f>IF(TrRoad_act!I82=0,0,TrRoad_ene!I85/TrRoad_tech!I113)</f>
        <v>32.171750405747829</v>
      </c>
      <c r="J140" s="94">
        <f>IF(TrRoad_act!J82=0,0,TrRoad_ene!J85/TrRoad_tech!J113)</f>
        <v>29.196942579432061</v>
      </c>
      <c r="K140" s="94">
        <f>IF(TrRoad_act!K82=0,0,TrRoad_ene!K85/TrRoad_tech!K113)</f>
        <v>28.831157599848392</v>
      </c>
      <c r="L140" s="94">
        <f>IF(TrRoad_act!L82=0,0,TrRoad_ene!L85/TrRoad_tech!L113)</f>
        <v>31.893518602027882</v>
      </c>
      <c r="M140" s="94">
        <f>IF(TrRoad_act!M82=0,0,TrRoad_ene!M85/TrRoad_tech!M113)</f>
        <v>34.344908660009196</v>
      </c>
      <c r="N140" s="94">
        <f>IF(TrRoad_act!N82=0,0,TrRoad_ene!N85/TrRoad_tech!N113)</f>
        <v>28.372709232667528</v>
      </c>
      <c r="O140" s="94">
        <f>IF(TrRoad_act!O82=0,0,TrRoad_ene!O85/TrRoad_tech!O113)</f>
        <v>29.492968444230097</v>
      </c>
      <c r="P140" s="94">
        <f>IF(TrRoad_act!P82=0,0,TrRoad_ene!P85/TrRoad_tech!P113)</f>
        <v>26.262533684874359</v>
      </c>
      <c r="Q140" s="94">
        <f>IF(TrRoad_act!Q82=0,0,TrRoad_ene!Q85/TrRoad_tech!Q113)</f>
        <v>27.941977638510057</v>
      </c>
      <c r="R140" s="94">
        <f>IF(TrRoad_act!R82=0,0,TrRoad_ene!R85/TrRoad_tech!R113)</f>
        <v>25.782605110275288</v>
      </c>
      <c r="S140" s="94">
        <f>IF(TrRoad_act!S82=0,0,TrRoad_ene!S85/TrRoad_tech!S113)</f>
        <v>26.49200079037367</v>
      </c>
      <c r="T140" s="94">
        <f>IF(TrRoad_act!T82=0,0,TrRoad_ene!T85/TrRoad_tech!T113)</f>
        <v>30.427854916287121</v>
      </c>
      <c r="U140" s="94">
        <f>IF(TrRoad_act!U82=0,0,TrRoad_ene!U85/TrRoad_tech!U113)</f>
        <v>31.96139075642208</v>
      </c>
      <c r="V140" s="94">
        <f>IF(TrRoad_act!V82=0,0,TrRoad_ene!V85/TrRoad_tech!V113)</f>
        <v>26.349046463694179</v>
      </c>
      <c r="W140" s="94">
        <f>IF(TrRoad_act!W82=0,0,TrRoad_ene!W85/TrRoad_tech!W113)</f>
        <v>25.824346098200699</v>
      </c>
      <c r="X140" s="94">
        <f>IF(TrRoad_act!X82=0,0,TrRoad_ene!X85/TrRoad_tech!X113)</f>
        <v>19.136944780558519</v>
      </c>
      <c r="Y140" s="94">
        <f>IF(TrRoad_act!Y82=0,0,TrRoad_ene!Y85/TrRoad_tech!Y113)</f>
        <v>18.919717080073102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3.652601659702547</v>
      </c>
      <c r="C144" s="141">
        <v>3.7579541225768995</v>
      </c>
      <c r="D144" s="141">
        <v>3.8785800989397026</v>
      </c>
      <c r="E144" s="141">
        <v>3.8255892832725884</v>
      </c>
      <c r="F144" s="141">
        <v>3.8255892832725884</v>
      </c>
      <c r="G144" s="141">
        <v>3.8785800989397026</v>
      </c>
      <c r="H144" s="141">
        <v>3.8255892832725884</v>
      </c>
      <c r="I144" s="141">
        <v>3.7725984676054738</v>
      </c>
      <c r="J144" s="141">
        <v>3.6508798971052046</v>
      </c>
      <c r="K144" s="141">
        <v>3.4269203633388101</v>
      </c>
      <c r="L144" s="141">
        <v>3.2870806658012701</v>
      </c>
      <c r="M144" s="141">
        <v>3.1855951562845362</v>
      </c>
      <c r="N144" s="141">
        <v>3.0152508217602061</v>
      </c>
      <c r="O144" s="141">
        <v>2.8825871564247088</v>
      </c>
      <c r="P144" s="141">
        <v>2.8318620875229712</v>
      </c>
      <c r="Q144" s="141">
        <v>2.7862711387947399</v>
      </c>
      <c r="R144" s="141">
        <v>2.7212979776681365</v>
      </c>
      <c r="S144" s="141">
        <v>2.6693194487668537</v>
      </c>
      <c r="T144" s="141">
        <v>2.6277366256458277</v>
      </c>
      <c r="U144" s="141">
        <v>2.5944703671490066</v>
      </c>
      <c r="V144" s="141">
        <v>2.56785736035155</v>
      </c>
      <c r="W144" s="141">
        <v>2.5465669549135845</v>
      </c>
      <c r="X144" s="141">
        <v>2.5295346305632123</v>
      </c>
      <c r="Y144" s="141">
        <v>2.5159087710829144</v>
      </c>
      <c r="DA144" s="174" t="s">
        <v>887</v>
      </c>
    </row>
    <row r="145" spans="1:105" ht="11.45" customHeight="1" x14ac:dyDescent="0.25">
      <c r="A145" s="109" t="s">
        <v>20</v>
      </c>
      <c r="B145" s="130">
        <v>6.9096435912623724</v>
      </c>
      <c r="C145" s="130">
        <v>6.975150664767737</v>
      </c>
      <c r="D145" s="130">
        <v>6.9651299891622669</v>
      </c>
      <c r="E145" s="130">
        <v>6.9913634483569433</v>
      </c>
      <c r="F145" s="130">
        <v>6.8155922946047394</v>
      </c>
      <c r="G145" s="130">
        <v>6.8190986220123868</v>
      </c>
      <c r="H145" s="130">
        <v>6.7692461352369646</v>
      </c>
      <c r="I145" s="130">
        <v>6.7029050942855868</v>
      </c>
      <c r="J145" s="130">
        <v>6.4756752343069719</v>
      </c>
      <c r="K145" s="130">
        <v>6.2201914780834171</v>
      </c>
      <c r="L145" s="130">
        <v>5.9762185130664678</v>
      </c>
      <c r="M145" s="130">
        <v>5.8249207372901539</v>
      </c>
      <c r="N145" s="130">
        <v>5.6608081288514658</v>
      </c>
      <c r="O145" s="130">
        <v>5.4737679791749638</v>
      </c>
      <c r="P145" s="130">
        <v>5.3594941547705899</v>
      </c>
      <c r="Q145" s="130">
        <v>5.2664277186662574</v>
      </c>
      <c r="R145" s="130">
        <v>5.2096697965909016</v>
      </c>
      <c r="S145" s="130">
        <v>5.244368429260529</v>
      </c>
      <c r="T145" s="130">
        <v>5.4120987822044304</v>
      </c>
      <c r="U145" s="130">
        <v>5.3729005694292207</v>
      </c>
      <c r="V145" s="130">
        <v>4.9887382487222602</v>
      </c>
      <c r="W145" s="130">
        <v>4.4829917496257066</v>
      </c>
      <c r="X145" s="130">
        <v>4.2858367118480123</v>
      </c>
      <c r="Y145" s="130">
        <v>4.0135361917621157</v>
      </c>
      <c r="DA145" s="176" t="s">
        <v>888</v>
      </c>
    </row>
    <row r="146" spans="1:105" ht="11.45" customHeight="1" x14ac:dyDescent="0.25">
      <c r="A146" s="111" t="s">
        <v>110</v>
      </c>
      <c r="B146" s="96">
        <v>7.0150237605149979</v>
      </c>
      <c r="C146" s="96">
        <v>7.2573909853147969</v>
      </c>
      <c r="D146" s="96">
        <v>7.5365214078269034</v>
      </c>
      <c r="E146" s="96">
        <v>7.4434779336562009</v>
      </c>
      <c r="F146" s="96">
        <v>7.4434779336562009</v>
      </c>
      <c r="G146" s="96">
        <v>7.5365214078269034</v>
      </c>
      <c r="H146" s="96">
        <v>7.4434779336562009</v>
      </c>
      <c r="I146" s="96">
        <v>7.3504344594855002</v>
      </c>
      <c r="J146" s="96">
        <v>7.0713040369733902</v>
      </c>
      <c r="K146" s="96">
        <v>6.6820792164626051</v>
      </c>
      <c r="L146" s="96">
        <v>6.4341521977239466</v>
      </c>
      <c r="M146" s="96">
        <v>6.2543570960923569</v>
      </c>
      <c r="N146" s="96">
        <v>6.0551527486875116</v>
      </c>
      <c r="O146" s="96">
        <v>5.7783470008857858</v>
      </c>
      <c r="P146" s="96">
        <v>5.6725813390265314</v>
      </c>
      <c r="Q146" s="96">
        <v>5.571636294225244</v>
      </c>
      <c r="R146" s="96">
        <v>5.5540359740476131</v>
      </c>
      <c r="S146" s="96">
        <v>5.5009864136205788</v>
      </c>
      <c r="T146" s="96">
        <v>5.6239490021808622</v>
      </c>
      <c r="U146" s="96">
        <v>5.6963316004852009</v>
      </c>
      <c r="V146" s="96">
        <v>5.5457455074492517</v>
      </c>
      <c r="W146" s="96">
        <v>5.3300654537928525</v>
      </c>
      <c r="X146" s="96">
        <v>5.3071488028497553</v>
      </c>
      <c r="Y146" s="96">
        <v>5.2916817623899846</v>
      </c>
      <c r="DA146" s="171" t="s">
        <v>889</v>
      </c>
    </row>
    <row r="147" spans="1:105" ht="11.45" customHeight="1" x14ac:dyDescent="0.25">
      <c r="A147" s="111" t="s">
        <v>111</v>
      </c>
      <c r="B147" s="96">
        <v>6.8341670115105773</v>
      </c>
      <c r="C147" s="96">
        <v>6.7309704556799668</v>
      </c>
      <c r="D147" s="96">
        <v>6.6181341997956951</v>
      </c>
      <c r="E147" s="96">
        <v>6.7380295092242202</v>
      </c>
      <c r="F147" s="96">
        <v>6.5730648579362398</v>
      </c>
      <c r="G147" s="96">
        <v>6.5715444464036299</v>
      </c>
      <c r="H147" s="96">
        <v>6.5601413599090694</v>
      </c>
      <c r="I147" s="96">
        <v>6.5160494254634331</v>
      </c>
      <c r="J147" s="96">
        <v>6.2988477779479846</v>
      </c>
      <c r="K147" s="96">
        <v>6.0513162771991036</v>
      </c>
      <c r="L147" s="96">
        <v>5.8188767663342578</v>
      </c>
      <c r="M147" s="96">
        <v>5.6902845720607624</v>
      </c>
      <c r="N147" s="96">
        <v>5.4992491330543034</v>
      </c>
      <c r="O147" s="96">
        <v>5.3739383648951913</v>
      </c>
      <c r="P147" s="96">
        <v>5.2199211475934515</v>
      </c>
      <c r="Q147" s="96">
        <v>5.0780185057086751</v>
      </c>
      <c r="R147" s="96">
        <v>4.9705085283890327</v>
      </c>
      <c r="S147" s="96">
        <v>5.0569743044015132</v>
      </c>
      <c r="T147" s="96">
        <v>5.2409262710666535</v>
      </c>
      <c r="U147" s="96">
        <v>5.270969844717329</v>
      </c>
      <c r="V147" s="96">
        <v>5.1205885328351162</v>
      </c>
      <c r="W147" s="96">
        <v>4.8272537971953424</v>
      </c>
      <c r="X147" s="96">
        <v>4.7542202850458137</v>
      </c>
      <c r="Y147" s="96">
        <v>4.8123547015936277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6.1953126448519908</v>
      </c>
      <c r="D148" s="96">
        <v>6.091456018607599</v>
      </c>
      <c r="E148" s="96">
        <v>6.2018099313831589</v>
      </c>
      <c r="F148" s="96">
        <v>6.0499733430624332</v>
      </c>
      <c r="G148" s="96">
        <v>6.0485739275018737</v>
      </c>
      <c r="H148" s="96">
        <v>6.0380783107976761</v>
      </c>
      <c r="I148" s="96">
        <v>5.9974952595414459</v>
      </c>
      <c r="J148" s="96">
        <v>5.7975787508900609</v>
      </c>
      <c r="K148" s="96">
        <v>5.5697460710876037</v>
      </c>
      <c r="L148" s="96">
        <v>5.1108869365871348</v>
      </c>
      <c r="M148" s="96">
        <v>5.1672722928668637</v>
      </c>
      <c r="N148" s="96">
        <v>6.9162942107377816</v>
      </c>
      <c r="O148" s="96">
        <v>4.9109781378019752</v>
      </c>
      <c r="P148" s="96">
        <v>4.9240253978075748</v>
      </c>
      <c r="Q148" s="96">
        <v>4.9099184586712932</v>
      </c>
      <c r="R148" s="96">
        <v>4.8944084482622809</v>
      </c>
      <c r="S148" s="96">
        <v>0</v>
      </c>
      <c r="T148" s="96">
        <v>5.5453128139347312</v>
      </c>
      <c r="U148" s="96">
        <v>6.926909521843382</v>
      </c>
      <c r="V148" s="96">
        <v>4.7188782534962224</v>
      </c>
      <c r="W148" s="96">
        <v>4.3529759290272629</v>
      </c>
      <c r="X148" s="96">
        <v>4.4256517010597181</v>
      </c>
      <c r="Y148" s="96">
        <v>4.5018603231215275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X149" s="96">
        <v>0</v>
      </c>
      <c r="Y149" s="96">
        <v>0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4.5522682382364223</v>
      </c>
      <c r="O150" s="96">
        <v>4.8140350266892913</v>
      </c>
      <c r="P150" s="96">
        <v>2.0186959817502252</v>
      </c>
      <c r="Q150" s="96">
        <v>3.6488590330050297</v>
      </c>
      <c r="R150" s="96">
        <v>2.8658066218965845</v>
      </c>
      <c r="S150" s="96">
        <v>3.1515566332398874</v>
      </c>
      <c r="T150" s="96">
        <v>3.3752275595882653</v>
      </c>
      <c r="U150" s="96">
        <v>3.395925587971286</v>
      </c>
      <c r="V150" s="96">
        <v>3.1329611826972723</v>
      </c>
      <c r="W150" s="96">
        <v>2.9379746998546254</v>
      </c>
      <c r="X150" s="96">
        <v>2.8215037012642359</v>
      </c>
      <c r="Y150" s="96">
        <v>2.7808556049571109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1.3312044718003742</v>
      </c>
      <c r="K151" s="96">
        <v>1.3178924270823702</v>
      </c>
      <c r="L151" s="96">
        <v>1.3047135028115466</v>
      </c>
      <c r="M151" s="96">
        <v>1.3047135028115466</v>
      </c>
      <c r="N151" s="96">
        <v>1.2037833190025795</v>
      </c>
      <c r="O151" s="96">
        <v>1.3055704027329134</v>
      </c>
      <c r="P151" s="96">
        <v>1.2192481612302588</v>
      </c>
      <c r="Q151" s="96">
        <v>1.1092003439380911</v>
      </c>
      <c r="R151" s="96">
        <v>1.0927851168607834</v>
      </c>
      <c r="S151" s="96">
        <v>1.2515312057596706</v>
      </c>
      <c r="T151" s="96">
        <v>1.391938950988822</v>
      </c>
      <c r="U151" s="96">
        <v>1.4990919891680912</v>
      </c>
      <c r="V151" s="96">
        <v>1.4789818486154866</v>
      </c>
      <c r="W151" s="96">
        <v>1.4589824048121558</v>
      </c>
      <c r="X151" s="96">
        <v>1.4326736333273749</v>
      </c>
      <c r="Y151" s="96">
        <v>1.4246605032581738</v>
      </c>
      <c r="DA151" s="171" t="s">
        <v>894</v>
      </c>
    </row>
    <row r="152" spans="1:105" ht="11.45" customHeight="1" x14ac:dyDescent="0.25">
      <c r="A152" s="109" t="s">
        <v>21</v>
      </c>
      <c r="B152" s="130">
        <v>45.829651170278161</v>
      </c>
      <c r="C152" s="130">
        <v>46.214954699504169</v>
      </c>
      <c r="D152" s="130">
        <v>46.646870163985525</v>
      </c>
      <c r="E152" s="130">
        <v>46.286273017108741</v>
      </c>
      <c r="F152" s="130">
        <v>46.501552811449734</v>
      </c>
      <c r="G152" s="130">
        <v>46.645520467212734</v>
      </c>
      <c r="H152" s="130">
        <v>46.500207319339793</v>
      </c>
      <c r="I152" s="130">
        <v>46.353518968174683</v>
      </c>
      <c r="J152" s="130">
        <v>45.900552984772325</v>
      </c>
      <c r="K152" s="130">
        <v>45.241730931376928</v>
      </c>
      <c r="L152" s="130">
        <v>44.818828413422949</v>
      </c>
      <c r="M152" s="130">
        <v>44.505479147295354</v>
      </c>
      <c r="N152" s="130">
        <v>43.960187046333445</v>
      </c>
      <c r="O152" s="130">
        <v>43.522840367920381</v>
      </c>
      <c r="P152" s="130">
        <v>43.353667196560714</v>
      </c>
      <c r="Q152" s="130">
        <v>43.199999999908329</v>
      </c>
      <c r="R152" s="130">
        <v>42.717667951916297</v>
      </c>
      <c r="S152" s="130">
        <v>41.37500433738775</v>
      </c>
      <c r="T152" s="130">
        <v>38.770010768311835</v>
      </c>
      <c r="U152" s="130">
        <v>35.157799985735821</v>
      </c>
      <c r="V152" s="130">
        <v>35.22644966260539</v>
      </c>
      <c r="W152" s="130">
        <v>34.545354607136979</v>
      </c>
      <c r="X152" s="130">
        <v>28.178795208370168</v>
      </c>
      <c r="Y152" s="130">
        <v>29.49398265193652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10.001960340678352</v>
      </c>
      <c r="U153" s="97">
        <v>0</v>
      </c>
      <c r="V153" s="97">
        <v>0</v>
      </c>
      <c r="W153" s="97">
        <v>9.2984696096640604</v>
      </c>
      <c r="X153" s="97">
        <v>9.1002345723379801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45.829651170278161</v>
      </c>
      <c r="C154" s="97">
        <v>46.214954699504169</v>
      </c>
      <c r="D154" s="97">
        <v>46.646870163985518</v>
      </c>
      <c r="E154" s="97">
        <v>46.501552811449734</v>
      </c>
      <c r="F154" s="97">
        <v>46.501552811449734</v>
      </c>
      <c r="G154" s="97">
        <v>46.645520467212734</v>
      </c>
      <c r="H154" s="97">
        <v>46.500207319339793</v>
      </c>
      <c r="I154" s="97">
        <v>46.353518968174683</v>
      </c>
      <c r="J154" s="97">
        <v>45.900552984772325</v>
      </c>
      <c r="K154" s="97">
        <v>45.241730931376928</v>
      </c>
      <c r="L154" s="97">
        <v>44.818828413422949</v>
      </c>
      <c r="M154" s="97">
        <v>44.505479147295361</v>
      </c>
      <c r="N154" s="97">
        <v>43.960187046333445</v>
      </c>
      <c r="O154" s="97">
        <v>43.522840367920381</v>
      </c>
      <c r="P154" s="97">
        <v>43.353667196560714</v>
      </c>
      <c r="Q154" s="97">
        <v>43.199999999908329</v>
      </c>
      <c r="R154" s="97">
        <v>42.717667951916297</v>
      </c>
      <c r="S154" s="97">
        <v>41.949869842228885</v>
      </c>
      <c r="T154" s="97">
        <v>40.940492587667912</v>
      </c>
      <c r="U154" s="97">
        <v>39.732412648561962</v>
      </c>
      <c r="V154" s="97">
        <v>38.366244986233767</v>
      </c>
      <c r="W154" s="97">
        <v>36.879488614445201</v>
      </c>
      <c r="X154" s="97">
        <v>35.306006570382124</v>
      </c>
      <c r="Y154" s="97">
        <v>33.67577556639489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X156" s="97">
        <v>0</v>
      </c>
      <c r="Y156" s="97">
        <v>0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36.813962066104985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24.77576288509988</v>
      </c>
      <c r="T157" s="97">
        <v>23.931780881028139</v>
      </c>
      <c r="U157" s="97">
        <v>23.080822555874796</v>
      </c>
      <c r="V157" s="97">
        <v>22.229157392701897</v>
      </c>
      <c r="W157" s="97">
        <v>21.382113396536766</v>
      </c>
      <c r="X157" s="97">
        <v>20.544168763115973</v>
      </c>
      <c r="Y157" s="97">
        <v>19.719041714390077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9.1396612995143123</v>
      </c>
      <c r="D159" s="141">
        <v>9.0257534943494715</v>
      </c>
      <c r="E159" s="141">
        <v>9.1079825984310112</v>
      </c>
      <c r="F159" s="141">
        <v>8.9963569114097552</v>
      </c>
      <c r="G159" s="141">
        <v>9.0079849025196825</v>
      </c>
      <c r="H159" s="141">
        <v>9.0159363749448254</v>
      </c>
      <c r="I159" s="141">
        <v>8.9229299892161045</v>
      </c>
      <c r="J159" s="141">
        <v>8.783552975009842</v>
      </c>
      <c r="K159" s="141">
        <v>8.4048996938985194</v>
      </c>
      <c r="L159" s="141">
        <v>8.9356443105679091</v>
      </c>
      <c r="M159" s="141">
        <v>8.9329185145179011</v>
      </c>
      <c r="N159" s="141">
        <v>7.6264647835307064</v>
      </c>
      <c r="O159" s="141">
        <v>7.4257693327190797</v>
      </c>
      <c r="P159" s="141">
        <v>7.1332669121619325</v>
      </c>
      <c r="Q159" s="141">
        <v>6.8656674186532243</v>
      </c>
      <c r="R159" s="141">
        <v>6.6632711905782891</v>
      </c>
      <c r="S159" s="141">
        <v>6.3862815612762587</v>
      </c>
      <c r="T159" s="141">
        <v>6.4743560911735951</v>
      </c>
      <c r="U159" s="141">
        <v>6.3457047973149203</v>
      </c>
      <c r="V159" s="141">
        <v>6.8607238624020184</v>
      </c>
      <c r="W159" s="141">
        <v>6.4545692207649275</v>
      </c>
      <c r="X159" s="141">
        <v>6.1654418073059185</v>
      </c>
      <c r="Y159" s="141">
        <v>6.2183343525188546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7.5822760692617353</v>
      </c>
      <c r="D160" s="96">
        <v>7.8739020719256478</v>
      </c>
      <c r="E160" s="96">
        <v>7.7766934043710103</v>
      </c>
      <c r="F160" s="96">
        <v>7.7766934043710103</v>
      </c>
      <c r="G160" s="96">
        <v>7.8739020719256478</v>
      </c>
      <c r="H160" s="96">
        <v>7.7766934043710094</v>
      </c>
      <c r="I160" s="96">
        <v>7.6794847368163719</v>
      </c>
      <c r="J160" s="96">
        <v>7.3878587341524593</v>
      </c>
      <c r="K160" s="96">
        <v>6.9812098367603586</v>
      </c>
      <c r="L160" s="96">
        <v>6.7272994188426267</v>
      </c>
      <c r="M160" s="96">
        <v>6.543029654335518</v>
      </c>
      <c r="N160" s="96">
        <v>6.2337312081101564</v>
      </c>
      <c r="O160" s="96">
        <v>6.2650656186411764</v>
      </c>
      <c r="P160" s="96">
        <v>6.842048124019076</v>
      </c>
      <c r="Q160" s="96">
        <v>6.4233595351955204</v>
      </c>
      <c r="R160" s="96">
        <v>5.7148388614227041</v>
      </c>
      <c r="S160" s="96">
        <v>5.8278525207288814</v>
      </c>
      <c r="T160" s="96">
        <v>6.0966050593438688</v>
      </c>
      <c r="U160" s="96">
        <v>5.9523190421357128</v>
      </c>
      <c r="V160" s="96">
        <v>5.4997998269443977</v>
      </c>
      <c r="W160" s="96">
        <v>5.6615323645036089</v>
      </c>
      <c r="X160" s="96">
        <v>5.8898740469391084</v>
      </c>
      <c r="Y160" s="96">
        <v>7.2367225421392218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9.2127919246750363</v>
      </c>
      <c r="D161" s="96">
        <v>9.0583510526097051</v>
      </c>
      <c r="E161" s="96">
        <v>9.2224537694144466</v>
      </c>
      <c r="F161" s="96">
        <v>8.9966638900427025</v>
      </c>
      <c r="G161" s="96">
        <v>8.9945828773295986</v>
      </c>
      <c r="H161" s="96">
        <v>8.9789752819813202</v>
      </c>
      <c r="I161" s="96">
        <v>8.9186259133013159</v>
      </c>
      <c r="J161" s="96">
        <v>8.6213383828579389</v>
      </c>
      <c r="K161" s="96">
        <v>8.2825378746373719</v>
      </c>
      <c r="L161" s="96">
        <v>7.9643940255785211</v>
      </c>
      <c r="M161" s="96">
        <v>7.7883877369193542</v>
      </c>
      <c r="N161" s="96">
        <v>7.5213885435053545</v>
      </c>
      <c r="O161" s="96">
        <v>7.2334215196347538</v>
      </c>
      <c r="P161" s="96">
        <v>7.1545794238129847</v>
      </c>
      <c r="Q161" s="96">
        <v>6.8746668684112135</v>
      </c>
      <c r="R161" s="96">
        <v>6.6966476927389698</v>
      </c>
      <c r="S161" s="96">
        <v>6.3663958425975888</v>
      </c>
      <c r="T161" s="96">
        <v>6.4698782523732516</v>
      </c>
      <c r="U161" s="96">
        <v>6.4437721071698357</v>
      </c>
      <c r="V161" s="96">
        <v>6.9695597784270271</v>
      </c>
      <c r="W161" s="96">
        <v>6.5972387565252468</v>
      </c>
      <c r="X161" s="96">
        <v>6.4673167222710743</v>
      </c>
      <c r="Y161" s="96">
        <v>6.6109107875032631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6.3961897422379463</v>
      </c>
      <c r="P162" s="96">
        <v>6.087397113966226</v>
      </c>
      <c r="Q162" s="96">
        <v>7.0261852838651917</v>
      </c>
      <c r="R162" s="96">
        <v>6.2511706666544047</v>
      </c>
      <c r="S162" s="96">
        <v>6.3747905427553713</v>
      </c>
      <c r="T162" s="96">
        <v>6.6687652333314542</v>
      </c>
      <c r="U162" s="96">
        <v>6.510938120397693</v>
      </c>
      <c r="V162" s="96">
        <v>4.7866242014827831</v>
      </c>
      <c r="W162" s="96">
        <v>7.2675772032455166</v>
      </c>
      <c r="X162" s="96">
        <v>6.7452200917622447</v>
      </c>
      <c r="Y162" s="96">
        <v>8.4031361412526291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1.4083462594508855</v>
      </c>
      <c r="I164" s="96">
        <v>1.3942627968563766</v>
      </c>
      <c r="J164" s="96">
        <v>0</v>
      </c>
      <c r="K164" s="96">
        <v>1.3690194250502927</v>
      </c>
      <c r="L164" s="96">
        <v>0</v>
      </c>
      <c r="M164" s="96">
        <v>0</v>
      </c>
      <c r="N164" s="96">
        <v>1.3327601031814273</v>
      </c>
      <c r="O164" s="96">
        <v>1.2402326008930817</v>
      </c>
      <c r="P164" s="96">
        <v>1.2508321057961216</v>
      </c>
      <c r="Q164" s="96">
        <v>1.3198853792075025</v>
      </c>
      <c r="R164" s="96">
        <v>1.3327601031814273</v>
      </c>
      <c r="S164" s="96">
        <v>1.321295500143308</v>
      </c>
      <c r="T164" s="96">
        <v>1.4067906801166035</v>
      </c>
      <c r="U164" s="96">
        <v>1.745382216743155</v>
      </c>
      <c r="V164" s="96">
        <v>1.9608770421324162</v>
      </c>
      <c r="W164" s="96">
        <v>1.9107221077564531</v>
      </c>
      <c r="X164" s="96">
        <v>2.22078606495992</v>
      </c>
      <c r="Y164" s="96">
        <v>1.9503498544573905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31.684241531601121</v>
      </c>
      <c r="D165" s="130">
        <v>32.292714058096394</v>
      </c>
      <c r="E165" s="130">
        <v>31.305713289282508</v>
      </c>
      <c r="F165" s="130">
        <v>32.11931086071008</v>
      </c>
      <c r="G165" s="130">
        <v>30.620178291717178</v>
      </c>
      <c r="H165" s="130">
        <v>30.391930207141982</v>
      </c>
      <c r="I165" s="130">
        <v>30.616388128617558</v>
      </c>
      <c r="J165" s="130">
        <v>29.769041190137628</v>
      </c>
      <c r="K165" s="130">
        <v>28.892852015117477</v>
      </c>
      <c r="L165" s="130">
        <v>28.922302120125899</v>
      </c>
      <c r="M165" s="130">
        <v>28.267097098587303</v>
      </c>
      <c r="N165" s="130">
        <v>29.160243658473792</v>
      </c>
      <c r="O165" s="130">
        <v>28.213052005866228</v>
      </c>
      <c r="P165" s="130">
        <v>27.452394636231801</v>
      </c>
      <c r="Q165" s="130">
        <v>25.703999999945449</v>
      </c>
      <c r="R165" s="130">
        <v>25.401728954079818</v>
      </c>
      <c r="S165" s="130">
        <v>24.645623939983256</v>
      </c>
      <c r="T165" s="130">
        <v>23.636848868060405</v>
      </c>
      <c r="U165" s="130">
        <v>23.036143852742178</v>
      </c>
      <c r="V165" s="130">
        <v>22.512351327504373</v>
      </c>
      <c r="W165" s="130">
        <v>23.123193446783986</v>
      </c>
      <c r="X165" s="130">
        <v>22.556653303646634</v>
      </c>
      <c r="Y165" s="130">
        <v>21.760330675517757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31.230927834989359</v>
      </c>
      <c r="D166" s="97">
        <v>31.071313053443099</v>
      </c>
      <c r="E166" s="97">
        <v>30.872562940400371</v>
      </c>
      <c r="F166" s="97">
        <v>30.635182523641834</v>
      </c>
      <c r="G166" s="97">
        <v>30.359770733752722</v>
      </c>
      <c r="H166" s="97">
        <v>30.047016669208425</v>
      </c>
      <c r="I166" s="97">
        <v>29.697695351834049</v>
      </c>
      <c r="J166" s="97">
        <v>29.312663020558876</v>
      </c>
      <c r="K166" s="97">
        <v>28.892852015117477</v>
      </c>
      <c r="L166" s="97">
        <v>28.439265306049549</v>
      </c>
      <c r="M166" s="97">
        <v>27.952970728228642</v>
      </c>
      <c r="N166" s="97">
        <v>27.435094977366298</v>
      </c>
      <c r="O166" s="97">
        <v>26.886817429634437</v>
      </c>
      <c r="P166" s="97">
        <v>26.309363843133735</v>
      </c>
      <c r="Q166" s="97">
        <v>25.703999999945449</v>
      </c>
      <c r="R166" s="97">
        <v>24.74083908604554</v>
      </c>
      <c r="S166" s="97">
        <v>24.066626446315603</v>
      </c>
      <c r="T166" s="97">
        <v>23.358703174599167</v>
      </c>
      <c r="U166" s="97">
        <v>22.49346362027908</v>
      </c>
      <c r="V166" s="97">
        <v>22.460419256000286</v>
      </c>
      <c r="W166" s="97">
        <v>22.101899630251783</v>
      </c>
      <c r="X166" s="97">
        <v>21.980131995472487</v>
      </c>
      <c r="Y166" s="97">
        <v>21.760330675517761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0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0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130.60899937122633</v>
      </c>
      <c r="C171" s="152">
        <v>127.25961117173615</v>
      </c>
      <c r="D171" s="152">
        <v>124.71780654296188</v>
      </c>
      <c r="E171" s="152">
        <v>122.30230606664568</v>
      </c>
      <c r="F171" s="152">
        <v>120.40964156293749</v>
      </c>
      <c r="G171" s="152">
        <v>119.05520569222364</v>
      </c>
      <c r="H171" s="152">
        <v>117.64060072670249</v>
      </c>
      <c r="I171" s="152">
        <v>116.22536235854895</v>
      </c>
      <c r="J171" s="152">
        <v>115.40827709787682</v>
      </c>
      <c r="K171" s="152">
        <v>113.46409125937656</v>
      </c>
      <c r="L171" s="152">
        <v>111.38438016848833</v>
      </c>
      <c r="M171" s="152">
        <v>109.56381014975368</v>
      </c>
      <c r="N171" s="152">
        <v>107.68370295974003</v>
      </c>
      <c r="O171" s="152">
        <v>105.30462013691769</v>
      </c>
      <c r="P171" s="152">
        <v>102.98980345266865</v>
      </c>
      <c r="Q171" s="152">
        <v>100.94285678821073</v>
      </c>
      <c r="R171" s="152">
        <v>98.786575317799063</v>
      </c>
      <c r="S171" s="152">
        <v>96.697031377455616</v>
      </c>
      <c r="T171" s="152">
        <v>93.540603147018317</v>
      </c>
      <c r="U171" s="152">
        <v>90.64303346522496</v>
      </c>
      <c r="V171" s="152">
        <v>88.389486009745326</v>
      </c>
      <c r="W171" s="152">
        <v>86.971164831275374</v>
      </c>
      <c r="X171" s="152">
        <v>84.81328078089534</v>
      </c>
      <c r="Y171" s="152">
        <v>82.560449628401642</v>
      </c>
      <c r="DA171" s="174" t="s">
        <v>910</v>
      </c>
    </row>
    <row r="172" spans="1:105" ht="11.45" customHeight="1" x14ac:dyDescent="0.25">
      <c r="A172" s="109" t="s">
        <v>20</v>
      </c>
      <c r="B172" s="116">
        <v>246.07502838552068</v>
      </c>
      <c r="C172" s="116">
        <v>233.71946808394523</v>
      </c>
      <c r="D172" s="116">
        <v>229.64592312780317</v>
      </c>
      <c r="E172" s="116">
        <v>225.16698259462012</v>
      </c>
      <c r="F172" s="116">
        <v>221.41031959778206</v>
      </c>
      <c r="G172" s="116">
        <v>217.89916391565308</v>
      </c>
      <c r="H172" s="116">
        <v>214.91885341228252</v>
      </c>
      <c r="I172" s="116">
        <v>211.99765772744635</v>
      </c>
      <c r="J172" s="116">
        <v>208.6237270212801</v>
      </c>
      <c r="K172" s="116">
        <v>205.13225324346112</v>
      </c>
      <c r="L172" s="116">
        <v>201.12320571552021</v>
      </c>
      <c r="M172" s="116">
        <v>196.76350605947104</v>
      </c>
      <c r="N172" s="116">
        <v>191.75810990809052</v>
      </c>
      <c r="O172" s="116">
        <v>187.19101825391914</v>
      </c>
      <c r="P172" s="116">
        <v>181.06982455703113</v>
      </c>
      <c r="Q172" s="116">
        <v>176.15395496621463</v>
      </c>
      <c r="R172" s="116">
        <v>170.61898560857136</v>
      </c>
      <c r="S172" s="116">
        <v>166.10633379696941</v>
      </c>
      <c r="T172" s="116">
        <v>162.78997006506728</v>
      </c>
      <c r="U172" s="116">
        <v>160.95495457627004</v>
      </c>
      <c r="V172" s="116">
        <v>154.75293468465537</v>
      </c>
      <c r="W172" s="116">
        <v>146.21618038743523</v>
      </c>
      <c r="X172" s="116">
        <v>140.09830200552716</v>
      </c>
      <c r="Y172" s="116">
        <v>130.40734862130125</v>
      </c>
      <c r="DA172" s="176" t="s">
        <v>911</v>
      </c>
    </row>
    <row r="173" spans="1:105" ht="11.45" customHeight="1" x14ac:dyDescent="0.25">
      <c r="A173" s="111" t="s">
        <v>110</v>
      </c>
      <c r="B173" s="87">
        <v>243.52352583202162</v>
      </c>
      <c r="C173" s="87">
        <v>233.24712833810042</v>
      </c>
      <c r="D173" s="87">
        <v>230.32682957184304</v>
      </c>
      <c r="E173" s="87">
        <v>227.22031669693536</v>
      </c>
      <c r="F173" s="87">
        <v>224.09501490109164</v>
      </c>
      <c r="G173" s="87">
        <v>221.32597908430631</v>
      </c>
      <c r="H173" s="87">
        <v>218.48263146016274</v>
      </c>
      <c r="I173" s="87">
        <v>215.43194662049822</v>
      </c>
      <c r="J173" s="87">
        <v>212.65737463010893</v>
      </c>
      <c r="K173" s="87">
        <v>210.83862257721995</v>
      </c>
      <c r="L173" s="87">
        <v>208.16544661708983</v>
      </c>
      <c r="M173" s="87">
        <v>204.02911978972091</v>
      </c>
      <c r="N173" s="87">
        <v>199.70629582575054</v>
      </c>
      <c r="O173" s="87">
        <v>194.59835644242759</v>
      </c>
      <c r="P173" s="87">
        <v>187.79976498530854</v>
      </c>
      <c r="Q173" s="87">
        <v>181.35425308928487</v>
      </c>
      <c r="R173" s="87">
        <v>175.15412269353286</v>
      </c>
      <c r="S173" s="87">
        <v>169.91269243050476</v>
      </c>
      <c r="T173" s="87">
        <v>166.79230968693992</v>
      </c>
      <c r="U173" s="87">
        <v>165.60068999835673</v>
      </c>
      <c r="V173" s="87">
        <v>164.29562366585324</v>
      </c>
      <c r="W173" s="87">
        <v>163.14351059237285</v>
      </c>
      <c r="X173" s="87">
        <v>161.41089956565219</v>
      </c>
      <c r="Y173" s="87">
        <v>160.11165677474278</v>
      </c>
      <c r="DA173" s="171" t="s">
        <v>912</v>
      </c>
    </row>
    <row r="174" spans="1:105" ht="11.45" customHeight="1" x14ac:dyDescent="0.25">
      <c r="A174" s="111" t="s">
        <v>111</v>
      </c>
      <c r="B174" s="87">
        <v>241.50329458695393</v>
      </c>
      <c r="C174" s="87">
        <v>220.92708507328567</v>
      </c>
      <c r="D174" s="87">
        <v>214.40654659706394</v>
      </c>
      <c r="E174" s="87">
        <v>210.2237791405837</v>
      </c>
      <c r="F174" s="87">
        <v>207.1046722887321</v>
      </c>
      <c r="G174" s="87">
        <v>205.90639707922827</v>
      </c>
      <c r="H174" s="87">
        <v>204.99588943700323</v>
      </c>
      <c r="I174" s="87">
        <v>204.13374081207544</v>
      </c>
      <c r="J174" s="87">
        <v>201.81025227633381</v>
      </c>
      <c r="K174" s="87">
        <v>198.79608475433446</v>
      </c>
      <c r="L174" s="87">
        <v>194.96873640773345</v>
      </c>
      <c r="M174" s="87">
        <v>190.89573466915846</v>
      </c>
      <c r="N174" s="87">
        <v>186.20712456501366</v>
      </c>
      <c r="O174" s="87">
        <v>181.74862010154635</v>
      </c>
      <c r="P174" s="87">
        <v>177.39514484693584</v>
      </c>
      <c r="Q174" s="87">
        <v>173.32874767420046</v>
      </c>
      <c r="R174" s="87">
        <v>169.32476013303443</v>
      </c>
      <c r="S174" s="87">
        <v>167.44775585501904</v>
      </c>
      <c r="T174" s="87">
        <v>165.48122583142819</v>
      </c>
      <c r="U174" s="87">
        <v>163.71647640275049</v>
      </c>
      <c r="V174" s="87">
        <v>162.00658537960246</v>
      </c>
      <c r="W174" s="87">
        <v>161.01253743026496</v>
      </c>
      <c r="X174" s="87">
        <v>159.18558569399917</v>
      </c>
      <c r="Y174" s="87">
        <v>157.76096816364674</v>
      </c>
      <c r="DA174" s="171" t="s">
        <v>913</v>
      </c>
    </row>
    <row r="175" spans="1:105" ht="11.45" customHeight="1" x14ac:dyDescent="0.25">
      <c r="A175" s="111" t="s">
        <v>112</v>
      </c>
      <c r="B175" s="87">
        <v>181.43909299637491</v>
      </c>
      <c r="C175" s="87">
        <v>170.06334490157766</v>
      </c>
      <c r="D175" s="87">
        <v>165.53291436800916</v>
      </c>
      <c r="E175" s="87">
        <v>163.03498924118898</v>
      </c>
      <c r="F175" s="87">
        <v>160.46523169103236</v>
      </c>
      <c r="G175" s="87">
        <v>158.24932299370326</v>
      </c>
      <c r="H175" s="87">
        <v>152.66187551655847</v>
      </c>
      <c r="I175" s="87">
        <v>153.34726093336798</v>
      </c>
      <c r="J175" s="87">
        <v>153.69424764646425</v>
      </c>
      <c r="K175" s="87">
        <v>154.28596862983466</v>
      </c>
      <c r="L175" s="87">
        <v>154.44825436793815</v>
      </c>
      <c r="M175" s="87">
        <v>155.53091605591757</v>
      </c>
      <c r="N175" s="87">
        <v>157.00954038398135</v>
      </c>
      <c r="O175" s="87">
        <v>156.37042797712584</v>
      </c>
      <c r="P175" s="87">
        <v>155.85789146808443</v>
      </c>
      <c r="Q175" s="87">
        <v>154.12451691892963</v>
      </c>
      <c r="R175" s="87">
        <v>151.22765220477618</v>
      </c>
      <c r="S175" s="87">
        <v>150.08505072036567</v>
      </c>
      <c r="T175" s="87">
        <v>137.29674476016814</v>
      </c>
      <c r="U175" s="87">
        <v>136.78045079246652</v>
      </c>
      <c r="V175" s="87">
        <v>132.85624218599827</v>
      </c>
      <c r="W175" s="87">
        <v>128.19699861936112</v>
      </c>
      <c r="X175" s="87">
        <v>126.93878862250064</v>
      </c>
      <c r="Y175" s="87">
        <v>125.89101568963899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X176" s="87">
        <v>0</v>
      </c>
      <c r="Y176" s="87">
        <v>0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105.193436988876</v>
      </c>
      <c r="O177" s="87">
        <v>107.43234254647878</v>
      </c>
      <c r="P177" s="87">
        <v>98.157521327731558</v>
      </c>
      <c r="Q177" s="87">
        <v>96.793997839161349</v>
      </c>
      <c r="R177" s="87">
        <v>85.68961373696385</v>
      </c>
      <c r="S177" s="87">
        <v>59.617781988837258</v>
      </c>
      <c r="T177" s="87">
        <v>59.233795966998855</v>
      </c>
      <c r="U177" s="87">
        <v>60.274866388591242</v>
      </c>
      <c r="V177" s="87">
        <v>51.376344349252847</v>
      </c>
      <c r="W177" s="87">
        <v>44.947623064997835</v>
      </c>
      <c r="X177" s="87">
        <v>41.402445590679925</v>
      </c>
      <c r="Y177" s="87">
        <v>38.548065222304281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1771.2248155817847</v>
      </c>
      <c r="C179" s="116">
        <v>1687.8198283571987</v>
      </c>
      <c r="D179" s="116">
        <v>1667.4230518415413</v>
      </c>
      <c r="E179" s="116">
        <v>1605.9586956044761</v>
      </c>
      <c r="F179" s="116">
        <v>1609.4409179239588</v>
      </c>
      <c r="G179" s="116">
        <v>1580.0607370239907</v>
      </c>
      <c r="H179" s="116">
        <v>1546.1868464072904</v>
      </c>
      <c r="I179" s="116">
        <v>1519.2762774105231</v>
      </c>
      <c r="J179" s="116">
        <v>1486.6838741358411</v>
      </c>
      <c r="K179" s="116">
        <v>1457.9878455171831</v>
      </c>
      <c r="L179" s="116">
        <v>1431.1014586606846</v>
      </c>
      <c r="M179" s="116">
        <v>1422.3321374472735</v>
      </c>
      <c r="N179" s="116">
        <v>1415.8347744652074</v>
      </c>
      <c r="O179" s="116">
        <v>1406.9271969924055</v>
      </c>
      <c r="P179" s="116">
        <v>1398.6968457832072</v>
      </c>
      <c r="Q179" s="116">
        <v>1386.9988842376426</v>
      </c>
      <c r="R179" s="116">
        <v>1376.2049680348812</v>
      </c>
      <c r="S179" s="116">
        <v>1332.9408170327019</v>
      </c>
      <c r="T179" s="116">
        <v>1240.7386104158838</v>
      </c>
      <c r="U179" s="116">
        <v>1067.6961013960745</v>
      </c>
      <c r="V179" s="116">
        <v>1121.7916640352153</v>
      </c>
      <c r="W179" s="116">
        <v>1143.8888524660524</v>
      </c>
      <c r="X179" s="116">
        <v>782.9760350632979</v>
      </c>
      <c r="Y179" s="116">
        <v>931.62660829208789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290.2021183516602</v>
      </c>
      <c r="U180" s="101">
        <v>290.2021183516602</v>
      </c>
      <c r="V180" s="101">
        <v>290.2021183516602</v>
      </c>
      <c r="W180" s="101">
        <v>279.43389019258393</v>
      </c>
      <c r="X180" s="101">
        <v>273.98835545175177</v>
      </c>
      <c r="Y180" s="101">
        <v>273.98835545175177</v>
      </c>
      <c r="DA180" s="175" t="s">
        <v>919</v>
      </c>
    </row>
    <row r="181" spans="1:105" ht="11.45" customHeight="1" x14ac:dyDescent="0.25">
      <c r="A181" s="111" t="s">
        <v>111</v>
      </c>
      <c r="B181" s="101">
        <v>1771.2248155817847</v>
      </c>
      <c r="C181" s="101">
        <v>1671.7795153017375</v>
      </c>
      <c r="D181" s="101">
        <v>1648.3863290637498</v>
      </c>
      <c r="E181" s="101">
        <v>1615.4916089504172</v>
      </c>
      <c r="F181" s="101">
        <v>1587.9831379810098</v>
      </c>
      <c r="G181" s="101">
        <v>1559.8928943101291</v>
      </c>
      <c r="H181" s="101">
        <v>1528.7016617823945</v>
      </c>
      <c r="I181" s="101">
        <v>1504.4462845832618</v>
      </c>
      <c r="J181" s="101">
        <v>1476.2911830188407</v>
      </c>
      <c r="K181" s="101">
        <v>1451.1607536145941</v>
      </c>
      <c r="L181" s="101">
        <v>1429.0644867037483</v>
      </c>
      <c r="M181" s="101">
        <v>1420.512741521841</v>
      </c>
      <c r="N181" s="101">
        <v>1413.3718786857403</v>
      </c>
      <c r="O181" s="101">
        <v>1403.8405420364743</v>
      </c>
      <c r="P181" s="101">
        <v>1395.2571562388305</v>
      </c>
      <c r="Q181" s="101">
        <v>1383.2228717809146</v>
      </c>
      <c r="R181" s="101">
        <v>1372.3029869877764</v>
      </c>
      <c r="S181" s="101">
        <v>1358.2366785376626</v>
      </c>
      <c r="T181" s="101">
        <v>1344.8156154813698</v>
      </c>
      <c r="U181" s="101">
        <v>1327.8545204243271</v>
      </c>
      <c r="V181" s="101">
        <v>1312.2316892092363</v>
      </c>
      <c r="W181" s="101">
        <v>1291.6718493788203</v>
      </c>
      <c r="X181" s="101">
        <v>1269.3092298176457</v>
      </c>
      <c r="Y181" s="101">
        <v>1242.9280584004769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336.99375486654765</v>
      </c>
      <c r="C186" s="152">
        <v>328.73710409058413</v>
      </c>
      <c r="D186" s="152">
        <v>319.12870207778155</v>
      </c>
      <c r="E186" s="152">
        <v>314.40731592328893</v>
      </c>
      <c r="F186" s="152">
        <v>304.47742031569129</v>
      </c>
      <c r="G186" s="152">
        <v>297.71241958251306</v>
      </c>
      <c r="H186" s="152">
        <v>290.5501732322715</v>
      </c>
      <c r="I186" s="152">
        <v>284.5155553273525</v>
      </c>
      <c r="J186" s="152">
        <v>272.45903934987348</v>
      </c>
      <c r="K186" s="152">
        <v>266.90722366938417</v>
      </c>
      <c r="L186" s="152">
        <v>244.42737852578085</v>
      </c>
      <c r="M186" s="152">
        <v>239.32470884136436</v>
      </c>
      <c r="N186" s="152">
        <v>264.34592085185295</v>
      </c>
      <c r="O186" s="152">
        <v>252.72263174190036</v>
      </c>
      <c r="P186" s="152">
        <v>257.72363898217236</v>
      </c>
      <c r="Q186" s="152">
        <v>251.01551867252761</v>
      </c>
      <c r="R186" s="152">
        <v>244.94501976260213</v>
      </c>
      <c r="S186" s="152">
        <v>233.47055840045874</v>
      </c>
      <c r="T186" s="152">
        <v>225.93610812684921</v>
      </c>
      <c r="U186" s="152">
        <v>220.4442692317534</v>
      </c>
      <c r="V186" s="152">
        <v>216.06754081612365</v>
      </c>
      <c r="W186" s="152">
        <v>210.40587661624178</v>
      </c>
      <c r="X186" s="152">
        <v>205.39692611832203</v>
      </c>
      <c r="Y186" s="152">
        <v>198.91275726967481</v>
      </c>
      <c r="DA186" s="174" t="s">
        <v>924</v>
      </c>
    </row>
    <row r="187" spans="1:105" ht="11.45" customHeight="1" x14ac:dyDescent="0.25">
      <c r="A187" s="111" t="s">
        <v>110</v>
      </c>
      <c r="B187" s="87">
        <v>286.44057244610019</v>
      </c>
      <c r="C187" s="87">
        <v>285.49012454750482</v>
      </c>
      <c r="D187" s="87">
        <v>282.8772267861446</v>
      </c>
      <c r="E187" s="87">
        <v>278.28363376188935</v>
      </c>
      <c r="F187" s="87">
        <v>273.551049479727</v>
      </c>
      <c r="G187" s="87">
        <v>267.82510731210937</v>
      </c>
      <c r="H187" s="87">
        <v>261.51226062967157</v>
      </c>
      <c r="I187" s="87">
        <v>253.84640683146583</v>
      </c>
      <c r="J187" s="87">
        <v>244.9091455929547</v>
      </c>
      <c r="K187" s="87">
        <v>235.6454721355216</v>
      </c>
      <c r="L187" s="87">
        <v>230.24624944565508</v>
      </c>
      <c r="M187" s="87">
        <v>225.7619392391332</v>
      </c>
      <c r="N187" s="87">
        <v>221.42441316530122</v>
      </c>
      <c r="O187" s="87">
        <v>220.07824069033222</v>
      </c>
      <c r="P187" s="87">
        <v>218.82599748387017</v>
      </c>
      <c r="Q187" s="87">
        <v>216.37510592098118</v>
      </c>
      <c r="R187" s="87">
        <v>211.78214970290801</v>
      </c>
      <c r="S187" s="87">
        <v>205.06427954870981</v>
      </c>
      <c r="T187" s="87">
        <v>199.53653559159284</v>
      </c>
      <c r="U187" s="87">
        <v>196.03108662464751</v>
      </c>
      <c r="V187" s="87">
        <v>192.34208713315041</v>
      </c>
      <c r="W187" s="87">
        <v>186.64443190463891</v>
      </c>
      <c r="X187" s="87">
        <v>182.27483146652054</v>
      </c>
      <c r="Y187" s="87">
        <v>183.10800773338275</v>
      </c>
      <c r="DA187" s="171" t="s">
        <v>925</v>
      </c>
    </row>
    <row r="188" spans="1:105" ht="11.45" customHeight="1" x14ac:dyDescent="0.25">
      <c r="A188" s="111" t="s">
        <v>111</v>
      </c>
      <c r="B188" s="87">
        <v>341.56651804329562</v>
      </c>
      <c r="C188" s="87">
        <v>327.72791973926616</v>
      </c>
      <c r="D188" s="87">
        <v>317.46855506905439</v>
      </c>
      <c r="E188" s="87">
        <v>310.47578924569359</v>
      </c>
      <c r="F188" s="87">
        <v>303.41119586982899</v>
      </c>
      <c r="G188" s="87">
        <v>297.38307017283819</v>
      </c>
      <c r="H188" s="87">
        <v>291.6786109208054</v>
      </c>
      <c r="I188" s="87">
        <v>286.12981193459677</v>
      </c>
      <c r="J188" s="87">
        <v>280.55105072764138</v>
      </c>
      <c r="K188" s="87">
        <v>279.51437824922402</v>
      </c>
      <c r="L188" s="87">
        <v>278.61464127077073</v>
      </c>
      <c r="M188" s="87">
        <v>278.34205464700364</v>
      </c>
      <c r="N188" s="87">
        <v>272.00005188430578</v>
      </c>
      <c r="O188" s="87">
        <v>265.70556444039011</v>
      </c>
      <c r="P188" s="87">
        <v>259.4212832054651</v>
      </c>
      <c r="Q188" s="87">
        <v>252.11308256037111</v>
      </c>
      <c r="R188" s="87">
        <v>244.43750504073631</v>
      </c>
      <c r="S188" s="87">
        <v>235.47995533664508</v>
      </c>
      <c r="T188" s="87">
        <v>228.34876658890761</v>
      </c>
      <c r="U188" s="87">
        <v>221.80951562440978</v>
      </c>
      <c r="V188" s="87">
        <v>218.31804178270994</v>
      </c>
      <c r="W188" s="87">
        <v>213.77098708268377</v>
      </c>
      <c r="X188" s="87">
        <v>211.70884378388811</v>
      </c>
      <c r="Y188" s="87">
        <v>207.98068169423749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241.22927307622635</v>
      </c>
      <c r="P189" s="87">
        <v>239.17888326171072</v>
      </c>
      <c r="Q189" s="87">
        <v>238.5550962385156</v>
      </c>
      <c r="R189" s="87">
        <v>237.87471474908901</v>
      </c>
      <c r="S189" s="87">
        <v>232.52926867868896</v>
      </c>
      <c r="T189" s="87">
        <v>220.47391383034653</v>
      </c>
      <c r="U189" s="87">
        <v>180.34777302728921</v>
      </c>
      <c r="V189" s="87">
        <v>171.82364359609275</v>
      </c>
      <c r="W189" s="87">
        <v>170.89969160716208</v>
      </c>
      <c r="X189" s="87">
        <v>171.6352423381926</v>
      </c>
      <c r="Y189" s="87">
        <v>172.58812368723849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X190" s="87">
        <v>0</v>
      </c>
      <c r="Y190" s="87">
        <v>0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1034.5604514459353</v>
      </c>
      <c r="C192" s="116">
        <v>1032.9553482128965</v>
      </c>
      <c r="D192" s="116">
        <v>1032.7470292236426</v>
      </c>
      <c r="E192" s="116">
        <v>1028.0861365727412</v>
      </c>
      <c r="F192" s="116">
        <v>1025.5538213089949</v>
      </c>
      <c r="G192" s="116">
        <v>1012.5650699026769</v>
      </c>
      <c r="H192" s="116">
        <v>1008.2161298092127</v>
      </c>
      <c r="I192" s="116">
        <v>1002.1041983242721</v>
      </c>
      <c r="J192" s="116">
        <v>986.67180680889953</v>
      </c>
      <c r="K192" s="116">
        <v>972.36137580527668</v>
      </c>
      <c r="L192" s="116">
        <v>962.85695978861634</v>
      </c>
      <c r="M192" s="116">
        <v>952.81519144337608</v>
      </c>
      <c r="N192" s="116">
        <v>944.86378481881673</v>
      </c>
      <c r="O192" s="116">
        <v>924.61081999186615</v>
      </c>
      <c r="P192" s="116">
        <v>914.42540414817779</v>
      </c>
      <c r="Q192" s="116">
        <v>901.97866753564131</v>
      </c>
      <c r="R192" s="116">
        <v>886.01489370384627</v>
      </c>
      <c r="S192" s="116">
        <v>869.93341713645918</v>
      </c>
      <c r="T192" s="116">
        <v>851.06113178594671</v>
      </c>
      <c r="U192" s="116">
        <v>831.08574019156015</v>
      </c>
      <c r="V192" s="116">
        <v>812.70948689330908</v>
      </c>
      <c r="W192" s="116">
        <v>789.02737516085892</v>
      </c>
      <c r="X192" s="116">
        <v>773.75303073836824</v>
      </c>
      <c r="Y192" s="116">
        <v>765.05284950185319</v>
      </c>
      <c r="DA192" s="176" t="s">
        <v>930</v>
      </c>
    </row>
    <row r="193" spans="1:105" ht="11.45" customHeight="1" x14ac:dyDescent="0.25">
      <c r="A193" s="128" t="s">
        <v>27</v>
      </c>
      <c r="B193" s="101">
        <v>952.92923099942345</v>
      </c>
      <c r="C193" s="101">
        <v>949.37866357711926</v>
      </c>
      <c r="D193" s="101">
        <v>948.05815560073336</v>
      </c>
      <c r="E193" s="101">
        <v>944.08037290481548</v>
      </c>
      <c r="F193" s="101">
        <v>941.29053396688937</v>
      </c>
      <c r="G193" s="101">
        <v>930.83666614216895</v>
      </c>
      <c r="H193" s="101">
        <v>927.92349339487077</v>
      </c>
      <c r="I193" s="101">
        <v>922.42822249856488</v>
      </c>
      <c r="J193" s="101">
        <v>909.81216921620887</v>
      </c>
      <c r="K193" s="101">
        <v>898.26369676025899</v>
      </c>
      <c r="L193" s="101">
        <v>889.86181827875794</v>
      </c>
      <c r="M193" s="101">
        <v>880.95862906720333</v>
      </c>
      <c r="N193" s="101">
        <v>874.28321525518504</v>
      </c>
      <c r="O193" s="101">
        <v>849.75893014590724</v>
      </c>
      <c r="P193" s="101">
        <v>837.7441188514448</v>
      </c>
      <c r="Q193" s="101">
        <v>828.26560036195883</v>
      </c>
      <c r="R193" s="101">
        <v>813.28540872302858</v>
      </c>
      <c r="S193" s="101">
        <v>799.5460388137451</v>
      </c>
      <c r="T193" s="101">
        <v>778.74217119876698</v>
      </c>
      <c r="U193" s="101">
        <v>759.88998073100004</v>
      </c>
      <c r="V193" s="101">
        <v>743.65167682943991</v>
      </c>
      <c r="W193" s="101">
        <v>717.48934629575831</v>
      </c>
      <c r="X193" s="101">
        <v>703.44638271741428</v>
      </c>
      <c r="Y193" s="101">
        <v>697.81384902841205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1055.4552348657937</v>
      </c>
      <c r="D194" s="88">
        <v>1046.1151217771235</v>
      </c>
      <c r="E194" s="88">
        <v>1038.4299567732958</v>
      </c>
      <c r="F194" s="88">
        <v>1019.2441102314624</v>
      </c>
      <c r="G194" s="88">
        <v>1010.5103496083119</v>
      </c>
      <c r="H194" s="88">
        <v>1005.6656887441998</v>
      </c>
      <c r="I194" s="88">
        <v>991.98555715682289</v>
      </c>
      <c r="J194" s="88">
        <v>974.1165562397822</v>
      </c>
      <c r="K194" s="88">
        <v>968.09983926237771</v>
      </c>
      <c r="L194" s="88">
        <v>955.11060227338282</v>
      </c>
      <c r="M194" s="88">
        <v>944.63207623620121</v>
      </c>
      <c r="N194" s="88">
        <v>924.03163014584425</v>
      </c>
      <c r="O194" s="88">
        <v>912.85363250834439</v>
      </c>
      <c r="P194" s="88">
        <v>899.4452272154407</v>
      </c>
      <c r="Q194" s="88">
        <v>893.95270061991039</v>
      </c>
      <c r="R194" s="88">
        <v>877.22219505302519</v>
      </c>
      <c r="S194" s="88">
        <v>861.24522000470063</v>
      </c>
      <c r="T194" s="88">
        <v>853.61445017574954</v>
      </c>
      <c r="U194" s="88">
        <v>836.88048314600337</v>
      </c>
      <c r="V194" s="88">
        <v>830.96064580140239</v>
      </c>
      <c r="W194" s="88">
        <v>810.4247984543963</v>
      </c>
      <c r="X194" s="88">
        <v>796.68910888651828</v>
      </c>
      <c r="Y194" s="88">
        <v>790.59492042787747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1.1275000000068982</v>
      </c>
      <c r="C198" s="150">
        <f>IF(TrRoad_act!C59=0,0,TrRoad_emi!C56/TrRoad_tech!C171)</f>
        <v>1.1280146976036187</v>
      </c>
      <c r="D198" s="150">
        <f>IF(TrRoad_act!D59=0,0,TrRoad_emi!D56/TrRoad_tech!D171)</f>
        <v>1.1217121160502794</v>
      </c>
      <c r="E198" s="150">
        <f>IF(TrRoad_act!E59=0,0,TrRoad_emi!E56/TrRoad_tech!E171)</f>
        <v>1.1312845591563387</v>
      </c>
      <c r="F198" s="150">
        <f>IF(TrRoad_act!F59=0,0,TrRoad_emi!F56/TrRoad_tech!F171)</f>
        <v>1.1338671355429382</v>
      </c>
      <c r="G198" s="150">
        <f>IF(TrRoad_act!G59=0,0,TrRoad_emi!G56/TrRoad_tech!G171)</f>
        <v>1.116358173734606</v>
      </c>
      <c r="H198" s="150">
        <f>IF(TrRoad_act!H59=0,0,TrRoad_emi!H56/TrRoad_tech!H171)</f>
        <v>1.1150496921887207</v>
      </c>
      <c r="I198" s="150">
        <f>IF(TrRoad_act!I59=0,0,TrRoad_emi!I56/TrRoad_tech!I171)</f>
        <v>1.0869139135608572</v>
      </c>
      <c r="J198" s="150">
        <f>IF(TrRoad_act!J59=0,0,TrRoad_emi!J56/TrRoad_tech!J171)</f>
        <v>1.0923506559592815</v>
      </c>
      <c r="K198" s="150">
        <f>IF(TrRoad_act!K59=0,0,TrRoad_emi!K56/TrRoad_tech!K171)</f>
        <v>1.0996959704400939</v>
      </c>
      <c r="L198" s="150">
        <f>IF(TrRoad_act!L59=0,0,TrRoad_emi!L56/TrRoad_tech!L171)</f>
        <v>1.104888016225654</v>
      </c>
      <c r="M198" s="150">
        <f>IF(TrRoad_act!M59=0,0,TrRoad_emi!M56/TrRoad_tech!M171)</f>
        <v>1.0942510521245143</v>
      </c>
      <c r="N198" s="150">
        <f>IF(TrRoad_act!N59=0,0,TrRoad_emi!N56/TrRoad_tech!N171)</f>
        <v>1.1153428228668565</v>
      </c>
      <c r="O198" s="150">
        <f>IF(TrRoad_act!O59=0,0,TrRoad_emi!O56/TrRoad_tech!O171)</f>
        <v>1.1251823358792947</v>
      </c>
      <c r="P198" s="150">
        <f>IF(TrRoad_act!P59=0,0,TrRoad_emi!P56/TrRoad_tech!P171)</f>
        <v>1.1254116073304556</v>
      </c>
      <c r="Q198" s="150">
        <f>IF(TrRoad_act!Q59=0,0,TrRoad_emi!Q56/TrRoad_tech!Q171)</f>
        <v>1.1183042173159081</v>
      </c>
      <c r="R198" s="150">
        <f>IF(TrRoad_act!R59=0,0,TrRoad_emi!R56/TrRoad_tech!R171)</f>
        <v>1.1207607806214013</v>
      </c>
      <c r="S198" s="150">
        <f>IF(TrRoad_act!S59=0,0,TrRoad_emi!S56/TrRoad_tech!S171)</f>
        <v>1.1737922212547851</v>
      </c>
      <c r="T198" s="150">
        <f>IF(TrRoad_act!T59=0,0,TrRoad_emi!T56/TrRoad_tech!T171)</f>
        <v>1.2067820147015145</v>
      </c>
      <c r="U198" s="150">
        <f>IF(TrRoad_act!U59=0,0,TrRoad_emi!U56/TrRoad_tech!U171)</f>
        <v>1.2044089999765006</v>
      </c>
      <c r="V198" s="150">
        <f>IF(TrRoad_act!V59=0,0,TrRoad_emi!V56/TrRoad_tech!V171)</f>
        <v>1.2191655963940573</v>
      </c>
      <c r="W198" s="150">
        <f>IF(TrRoad_act!W59=0,0,TrRoad_emi!W56/TrRoad_tech!W171)</f>
        <v>1.2284684712810068</v>
      </c>
      <c r="X198" s="150">
        <f>IF(TrRoad_act!X59=0,0,TrRoad_emi!X56/TrRoad_tech!X171)</f>
        <v>1.2411760494343516</v>
      </c>
      <c r="Y198" s="150">
        <f>IF(TrRoad_act!Y59=0,0,TrRoad_emi!Y56/TrRoad_tech!Y171)</f>
        <v>1.2577254589830034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2.5970158225648556</v>
      </c>
      <c r="C199" s="151">
        <f>IF(TrRoad_act!C60=0,0,TrRoad_emi!C57/TrRoad_tech!C172)</f>
        <v>2.6830785421995911</v>
      </c>
      <c r="D199" s="151">
        <f>IF(TrRoad_act!D60=0,0,TrRoad_emi!D57/TrRoad_tech!D172)</f>
        <v>2.7231987356411724</v>
      </c>
      <c r="E199" s="151">
        <f>IF(TrRoad_act!E60=0,0,TrRoad_emi!E57/TrRoad_tech!E172)</f>
        <v>2.8755141933714081</v>
      </c>
      <c r="F199" s="151">
        <f>IF(TrRoad_act!F60=0,0,TrRoad_emi!F57/TrRoad_tech!F172)</f>
        <v>2.9114478515234357</v>
      </c>
      <c r="G199" s="151">
        <f>IF(TrRoad_act!G60=0,0,TrRoad_emi!G57/TrRoad_tech!G172)</f>
        <v>2.7429295204504287</v>
      </c>
      <c r="H199" s="151">
        <f>IF(TrRoad_act!H60=0,0,TrRoad_emi!H57/TrRoad_tech!H172)</f>
        <v>2.5948040760558797</v>
      </c>
      <c r="I199" s="151">
        <f>IF(TrRoad_act!I60=0,0,TrRoad_emi!I57/TrRoad_tech!I172)</f>
        <v>2.5959177104843358</v>
      </c>
      <c r="J199" s="151">
        <f>IF(TrRoad_act!J60=0,0,TrRoad_emi!J57/TrRoad_tech!J172)</f>
        <v>2.625541428577804</v>
      </c>
      <c r="K199" s="151">
        <f>IF(TrRoad_act!K60=0,0,TrRoad_emi!K57/TrRoad_tech!K172)</f>
        <v>2.6196539694656682</v>
      </c>
      <c r="L199" s="151">
        <f>IF(TrRoad_act!L60=0,0,TrRoad_emi!L57/TrRoad_tech!L172)</f>
        <v>2.6966721085524443</v>
      </c>
      <c r="M199" s="151">
        <f>IF(TrRoad_act!M60=0,0,TrRoad_emi!M57/TrRoad_tech!M172)</f>
        <v>2.8943679606204813</v>
      </c>
      <c r="N199" s="151">
        <f>IF(TrRoad_act!N60=0,0,TrRoad_emi!N57/TrRoad_tech!N172)</f>
        <v>2.893616648016117</v>
      </c>
      <c r="O199" s="151">
        <f>IF(TrRoad_act!O60=0,0,TrRoad_emi!O57/TrRoad_tech!O172)</f>
        <v>2.7298449553562958</v>
      </c>
      <c r="P199" s="151">
        <f>IF(TrRoad_act!P60=0,0,TrRoad_emi!P57/TrRoad_tech!P172)</f>
        <v>2.6569792931785554</v>
      </c>
      <c r="Q199" s="151">
        <f>IF(TrRoad_act!Q60=0,0,TrRoad_emi!Q57/TrRoad_tech!Q172)</f>
        <v>2.5748341905833616</v>
      </c>
      <c r="R199" s="151">
        <f>IF(TrRoad_act!R60=0,0,TrRoad_emi!R57/TrRoad_tech!R172)</f>
        <v>2.4695741958116364</v>
      </c>
      <c r="S199" s="151">
        <f>IF(TrRoad_act!S60=0,0,TrRoad_emi!S57/TrRoad_tech!S172)</f>
        <v>2.4515603012666412</v>
      </c>
      <c r="T199" s="151">
        <f>IF(TrRoad_act!T60=0,0,TrRoad_emi!T57/TrRoad_tech!T172)</f>
        <v>2.50864977760093</v>
      </c>
      <c r="U199" s="151">
        <f>IF(TrRoad_act!U60=0,0,TrRoad_emi!U57/TrRoad_tech!U172)</f>
        <v>2.4052115232097981</v>
      </c>
      <c r="V199" s="151">
        <f>IF(TrRoad_act!V60=0,0,TrRoad_emi!V57/TrRoad_tech!V172)</f>
        <v>1.9599584229966043</v>
      </c>
      <c r="W199" s="151">
        <f>IF(TrRoad_act!W60=0,0,TrRoad_emi!W57/TrRoad_tech!W172)</f>
        <v>2.2403521585419357</v>
      </c>
      <c r="X199" s="151">
        <f>IF(TrRoad_act!X60=0,0,TrRoad_emi!X57/TrRoad_tech!X172)</f>
        <v>2.2979131562005879</v>
      </c>
      <c r="Y199" s="151">
        <f>IF(TrRoad_act!Y60=0,0,TrRoad_emi!Y57/TrRoad_tech!Y172)</f>
        <v>2.4690170087018535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2.5424560025113503</v>
      </c>
      <c r="C200" s="91">
        <f>IF(TrRoad_act!C61=0,0,TrRoad_emi!C58/TrRoad_tech!C173)</f>
        <v>2.6482263161190698</v>
      </c>
      <c r="D200" s="91">
        <f>IF(TrRoad_act!D61=0,0,TrRoad_emi!D58/TrRoad_tech!D173)</f>
        <v>2.7075062805250059</v>
      </c>
      <c r="E200" s="91">
        <f>IF(TrRoad_act!E61=0,0,TrRoad_emi!E58/TrRoad_tech!E173)</f>
        <v>2.8765688870640465</v>
      </c>
      <c r="F200" s="91">
        <f>IF(TrRoad_act!F61=0,0,TrRoad_emi!F58/TrRoad_tech!F173)</f>
        <v>2.9754849087125561</v>
      </c>
      <c r="G200" s="91">
        <f>IF(TrRoad_act!G61=0,0,TrRoad_emi!G58/TrRoad_tech!G173)</f>
        <v>2.846223103173771</v>
      </c>
      <c r="H200" s="91">
        <f>IF(TrRoad_act!H61=0,0,TrRoad_emi!H58/TrRoad_tech!H173)</f>
        <v>2.7290657661999687</v>
      </c>
      <c r="I200" s="91">
        <f>IF(TrRoad_act!I61=0,0,TrRoad_emi!I58/TrRoad_tech!I173)</f>
        <v>2.7686342256818453</v>
      </c>
      <c r="J200" s="91">
        <f>IF(TrRoad_act!J61=0,0,TrRoad_emi!J58/TrRoad_tech!J173)</f>
        <v>2.7180171018087038</v>
      </c>
      <c r="K200" s="91">
        <f>IF(TrRoad_act!K61=0,0,TrRoad_emi!K58/TrRoad_tech!K173)</f>
        <v>2.6559244077617881</v>
      </c>
      <c r="L200" s="91">
        <f>IF(TrRoad_act!L61=0,0,TrRoad_emi!L58/TrRoad_tech!L173)</f>
        <v>2.6777787426671207</v>
      </c>
      <c r="M200" s="91">
        <f>IF(TrRoad_act!M61=0,0,TrRoad_emi!M58/TrRoad_tech!M173)</f>
        <v>2.7639035770811731</v>
      </c>
      <c r="N200" s="91">
        <f>IF(TrRoad_act!N61=0,0,TrRoad_emi!N58/TrRoad_tech!N173)</f>
        <v>2.7401949049808807</v>
      </c>
      <c r="O200" s="91">
        <f>IF(TrRoad_act!O61=0,0,TrRoad_emi!O58/TrRoad_tech!O173)</f>
        <v>2.5979821121645288</v>
      </c>
      <c r="P200" s="91">
        <f>IF(TrRoad_act!P61=0,0,TrRoad_emi!P58/TrRoad_tech!P173)</f>
        <v>2.549344520532173</v>
      </c>
      <c r="Q200" s="91">
        <f>IF(TrRoad_act!Q61=0,0,TrRoad_emi!Q58/TrRoad_tech!Q173)</f>
        <v>2.4376246446967893</v>
      </c>
      <c r="R200" s="91">
        <f>IF(TrRoad_act!R61=0,0,TrRoad_emi!R58/TrRoad_tech!R173)</f>
        <v>2.2862849587626242</v>
      </c>
      <c r="S200" s="91">
        <f>IF(TrRoad_act!S61=0,0,TrRoad_emi!S58/TrRoad_tech!S173)</f>
        <v>2.2864210018348414</v>
      </c>
      <c r="T200" s="91">
        <f>IF(TrRoad_act!T61=0,0,TrRoad_emi!T58/TrRoad_tech!T173)</f>
        <v>2.2887569772484855</v>
      </c>
      <c r="U200" s="91">
        <f>IF(TrRoad_act!U61=0,0,TrRoad_emi!U58/TrRoad_tech!U173)</f>
        <v>2.185122317165606</v>
      </c>
      <c r="V200" s="91">
        <f>IF(TrRoad_act!V61=0,0,TrRoad_emi!V58/TrRoad_tech!V173)</f>
        <v>1.7003414629621663</v>
      </c>
      <c r="W200" s="91">
        <f>IF(TrRoad_act!W61=0,0,TrRoad_emi!W58/TrRoad_tech!W173)</f>
        <v>1.9586942055495131</v>
      </c>
      <c r="X200" s="91">
        <f>IF(TrRoad_act!X61=0,0,TrRoad_emi!X58/TrRoad_tech!X173)</f>
        <v>1.8961962966141142</v>
      </c>
      <c r="Y200" s="91">
        <f>IF(TrRoad_act!Y61=0,0,TrRoad_emi!Y58/TrRoad_tech!Y173)</f>
        <v>2.0177785766813225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2.8652375811570634</v>
      </c>
      <c r="C201" s="91">
        <f>IF(TrRoad_act!C62=0,0,TrRoad_emi!C59/TrRoad_tech!C174)</f>
        <v>2.9590420226199234</v>
      </c>
      <c r="D201" s="91">
        <f>IF(TrRoad_act!D62=0,0,TrRoad_emi!D59/TrRoad_tech!D174)</f>
        <v>2.9650752489396237</v>
      </c>
      <c r="E201" s="91">
        <f>IF(TrRoad_act!E62=0,0,TrRoad_emi!E59/TrRoad_tech!E174)</f>
        <v>3.079885317961478</v>
      </c>
      <c r="F201" s="91">
        <f>IF(TrRoad_act!F62=0,0,TrRoad_emi!F59/TrRoad_tech!F174)</f>
        <v>3.0252424698145517</v>
      </c>
      <c r="G201" s="91">
        <f>IF(TrRoad_act!G62=0,0,TrRoad_emi!G59/TrRoad_tech!G174)</f>
        <v>2.7833804462340641</v>
      </c>
      <c r="H201" s="91">
        <f>IF(TrRoad_act!H62=0,0,TrRoad_emi!H59/TrRoad_tech!H174)</f>
        <v>2.5809879783114118</v>
      </c>
      <c r="I201" s="91">
        <f>IF(TrRoad_act!I62=0,0,TrRoad_emi!I59/TrRoad_tech!I174)</f>
        <v>2.5379473854201726</v>
      </c>
      <c r="J201" s="91">
        <f>IF(TrRoad_act!J62=0,0,TrRoad_emi!J59/TrRoad_tech!J174)</f>
        <v>2.6181319327146979</v>
      </c>
      <c r="K201" s="91">
        <f>IF(TrRoad_act!K62=0,0,TrRoad_emi!K59/TrRoad_tech!K174)</f>
        <v>2.6412000161006648</v>
      </c>
      <c r="L201" s="91">
        <f>IF(TrRoad_act!L62=0,0,TrRoad_emi!L59/TrRoad_tech!L174)</f>
        <v>2.7474441793072599</v>
      </c>
      <c r="M201" s="91">
        <f>IF(TrRoad_act!M62=0,0,TrRoad_emi!M59/TrRoad_tech!M174)</f>
        <v>3.0161683195189641</v>
      </c>
      <c r="N201" s="91">
        <f>IF(TrRoad_act!N62=0,0,TrRoad_emi!N59/TrRoad_tech!N174)</f>
        <v>3.0133082064770873</v>
      </c>
      <c r="O201" s="91">
        <f>IF(TrRoad_act!O62=0,0,TrRoad_emi!O59/TrRoad_tech!O174)</f>
        <v>2.8425931347087343</v>
      </c>
      <c r="P201" s="91">
        <f>IF(TrRoad_act!P62=0,0,TrRoad_emi!P59/TrRoad_tech!P174)</f>
        <v>2.7351123696773318</v>
      </c>
      <c r="Q201" s="91">
        <f>IF(TrRoad_act!Q62=0,0,TrRoad_emi!Q59/TrRoad_tech!Q174)</f>
        <v>2.668509832785444</v>
      </c>
      <c r="R201" s="91">
        <f>IF(TrRoad_act!R62=0,0,TrRoad_emi!R59/TrRoad_tech!R174)</f>
        <v>2.571827671498073</v>
      </c>
      <c r="S201" s="91">
        <f>IF(TrRoad_act!S62=0,0,TrRoad_emi!S59/TrRoad_tech!S174)</f>
        <v>2.5180572553810552</v>
      </c>
      <c r="T201" s="91">
        <f>IF(TrRoad_act!T62=0,0,TrRoad_emi!T59/TrRoad_tech!T174)</f>
        <v>2.5961546729267986</v>
      </c>
      <c r="U201" s="91">
        <f>IF(TrRoad_act!U62=0,0,TrRoad_emi!U59/TrRoad_tech!U174)</f>
        <v>2.51596256292187</v>
      </c>
      <c r="V201" s="91">
        <f>IF(TrRoad_act!V62=0,0,TrRoad_emi!V59/TrRoad_tech!V174)</f>
        <v>2.0454393013045316</v>
      </c>
      <c r="W201" s="91">
        <f>IF(TrRoad_act!W62=0,0,TrRoad_emi!W59/TrRoad_tech!W174)</f>
        <v>2.2098688214170026</v>
      </c>
      <c r="X201" s="91">
        <f>IF(TrRoad_act!X62=0,0,TrRoad_emi!X59/TrRoad_tech!X174)</f>
        <v>2.3274269960149878</v>
      </c>
      <c r="Y201" s="91">
        <f>IF(TrRoad_act!Y62=0,0,TrRoad_emi!Y59/TrRoad_tech!Y174)</f>
        <v>2.3934047375646652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0.98646199743577812</v>
      </c>
      <c r="C202" s="91">
        <f>IF(TrRoad_act!C63=0,0,TrRoad_emi!C60/TrRoad_tech!C175)</f>
        <v>1.3299933742538856</v>
      </c>
      <c r="D202" s="91">
        <f>IF(TrRoad_act!D63=0,0,TrRoad_emi!D60/TrRoad_tech!D175)</f>
        <v>1.7492221959988934</v>
      </c>
      <c r="E202" s="91">
        <f>IF(TrRoad_act!E63=0,0,TrRoad_emi!E60/TrRoad_tech!E175)</f>
        <v>1.4125653205884492</v>
      </c>
      <c r="F202" s="91">
        <f>IF(TrRoad_act!F63=0,0,TrRoad_emi!F60/TrRoad_tech!F175)</f>
        <v>1.5151424995455349</v>
      </c>
      <c r="G202" s="91">
        <f>IF(TrRoad_act!G63=0,0,TrRoad_emi!G60/TrRoad_tech!G175)</f>
        <v>1.0666996786043079</v>
      </c>
      <c r="H202" s="91">
        <f>IF(TrRoad_act!H63=0,0,TrRoad_emi!H60/TrRoad_tech!H175)</f>
        <v>1.1097305561363306</v>
      </c>
      <c r="I202" s="91">
        <f>IF(TrRoad_act!I63=0,0,TrRoad_emi!I60/TrRoad_tech!I175)</f>
        <v>2.3187453538982949</v>
      </c>
      <c r="J202" s="91">
        <f>IF(TrRoad_act!J63=0,0,TrRoad_emi!J60/TrRoad_tech!J175)</f>
        <v>2.260348779100553</v>
      </c>
      <c r="K202" s="91">
        <f>IF(TrRoad_act!K63=0,0,TrRoad_emi!K60/TrRoad_tech!K175)</f>
        <v>1.4262125311305371</v>
      </c>
      <c r="L202" s="91">
        <f>IF(TrRoad_act!L63=0,0,TrRoad_emi!L60/TrRoad_tech!L175)</f>
        <v>1.5000282386029256</v>
      </c>
      <c r="M202" s="91">
        <f>IF(TrRoad_act!M63=0,0,TrRoad_emi!M60/TrRoad_tech!M175)</f>
        <v>0.7179095885474166</v>
      </c>
      <c r="N202" s="91">
        <f>IF(TrRoad_act!N63=0,0,TrRoad_emi!N60/TrRoad_tech!N175)</f>
        <v>1.9495348641270795</v>
      </c>
      <c r="O202" s="91">
        <f>IF(TrRoad_act!O63=0,0,TrRoad_emi!O60/TrRoad_tech!O175)</f>
        <v>1.2112130369176515</v>
      </c>
      <c r="P202" s="91">
        <f>IF(TrRoad_act!P63=0,0,TrRoad_emi!P60/TrRoad_tech!P175)</f>
        <v>1.3868497649929443</v>
      </c>
      <c r="Q202" s="91">
        <f>IF(TrRoad_act!Q63=0,0,TrRoad_emi!Q60/TrRoad_tech!Q175)</f>
        <v>0.69573146514852879</v>
      </c>
      <c r="R202" s="91">
        <f>IF(TrRoad_act!R63=0,0,TrRoad_emi!R60/TrRoad_tech!R175)</f>
        <v>0.76184752533338762</v>
      </c>
      <c r="S202" s="91">
        <f>IF(TrRoad_act!S63=0,0,TrRoad_emi!S60/TrRoad_tech!S175)</f>
        <v>0.76539471362791345</v>
      </c>
      <c r="T202" s="91">
        <f>IF(TrRoad_act!T63=0,0,TrRoad_emi!T60/TrRoad_tech!T175)</f>
        <v>1.2714198507511192</v>
      </c>
      <c r="U202" s="91">
        <f>IF(TrRoad_act!U63=0,0,TrRoad_emi!U60/TrRoad_tech!U175)</f>
        <v>1.629695920767033</v>
      </c>
      <c r="V202" s="91">
        <f>IF(TrRoad_act!V63=0,0,TrRoad_emi!V60/TrRoad_tech!V175)</f>
        <v>0.49955680536130054</v>
      </c>
      <c r="W202" s="91">
        <f>IF(TrRoad_act!W63=0,0,TrRoad_emi!W60/TrRoad_tech!W175)</f>
        <v>1.1858788069424637</v>
      </c>
      <c r="X202" s="91">
        <f>IF(TrRoad_act!X63=0,0,TrRoad_emi!X60/TrRoad_tech!X175)</f>
        <v>1.1457228189344055</v>
      </c>
      <c r="Y202" s="91">
        <f>IF(TrRoad_act!Y63=0,0,TrRoad_emi!Y60/TrRoad_tech!Y175)</f>
        <v>1.6550726167673493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X203" s="91">
        <f>IF(TrRoad_act!X64=0,0,TrRoad_emi!X61/TrRoad_tech!X176)</f>
        <v>0</v>
      </c>
      <c r="Y203" s="91">
        <f>IF(TrRoad_act!Y64=0,0,TrRoad_emi!Y61/TrRoad_tech!Y176)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2.7878881294437261</v>
      </c>
      <c r="O204" s="91">
        <f>IF(TrRoad_act!O65=0,0,TrRoad_emi!O62/TrRoad_tech!O177)</f>
        <v>2.6391881345507771</v>
      </c>
      <c r="P204" s="91">
        <f>IF(TrRoad_act!P65=0,0,TrRoad_emi!P62/TrRoad_tech!P177)</f>
        <v>2.5778694726811988</v>
      </c>
      <c r="Q204" s="91">
        <f>IF(TrRoad_act!Q65=0,0,TrRoad_emi!Q62/TrRoad_tech!Q177)</f>
        <v>2.453248761393874</v>
      </c>
      <c r="R204" s="91">
        <f>IF(TrRoad_act!R65=0,0,TrRoad_emi!R62/TrRoad_tech!R177)</f>
        <v>2.2943683516082776</v>
      </c>
      <c r="S204" s="91">
        <f>IF(TrRoad_act!S65=0,0,TrRoad_emi!S62/TrRoad_tech!S177)</f>
        <v>2.3146714853995225</v>
      </c>
      <c r="T204" s="91">
        <f>IF(TrRoad_act!T65=0,0,TrRoad_emi!T62/TrRoad_tech!T177)</f>
        <v>2.3133951497043923</v>
      </c>
      <c r="U204" s="91">
        <f>IF(TrRoad_act!U65=0,0,TrRoad_emi!U62/TrRoad_tech!U177)</f>
        <v>2.2037428571504751</v>
      </c>
      <c r="V204" s="91">
        <f>IF(TrRoad_act!V65=0,0,TrRoad_emi!V62/TrRoad_tech!V177)</f>
        <v>1.7149010070562869</v>
      </c>
      <c r="W204" s="91">
        <f>IF(TrRoad_act!W65=0,0,TrRoad_emi!W62/TrRoad_tech!W177)</f>
        <v>1.9744452630222196</v>
      </c>
      <c r="X204" s="91">
        <f>IF(TrRoad_act!X65=0,0,TrRoad_emi!X62/TrRoad_tech!X177)</f>
        <v>1.9083037546446029</v>
      </c>
      <c r="Y204" s="91">
        <f>IF(TrRoad_act!Y65=0,0,TrRoad_emi!Y62/TrRoad_tech!Y177)</f>
        <v>2.0280540155760698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1.1000000000067303</v>
      </c>
      <c r="C206" s="151">
        <f>IF(TrRoad_act!C67=0,0,TrRoad_emi!C64/TrRoad_tech!C179)</f>
        <v>1.0901004396861207</v>
      </c>
      <c r="D206" s="151">
        <f>IF(TrRoad_act!D67=0,0,TrRoad_emi!D64/TrRoad_tech!D179)</f>
        <v>1.088721436733679</v>
      </c>
      <c r="E206" s="151">
        <f>IF(TrRoad_act!E67=0,0,TrRoad_emi!E64/TrRoad_tech!E179)</f>
        <v>1.106645943765453</v>
      </c>
      <c r="F206" s="151">
        <f>IF(TrRoad_act!F67=0,0,TrRoad_emi!F64/TrRoad_tech!F179)</f>
        <v>1.0876065947356597</v>
      </c>
      <c r="G206" s="151">
        <f>IF(TrRoad_act!G67=0,0,TrRoad_emi!G64/TrRoad_tech!G179)</f>
        <v>1.0922647648524042</v>
      </c>
      <c r="H206" s="151">
        <f>IF(TrRoad_act!H67=0,0,TrRoad_emi!H64/TrRoad_tech!H179)</f>
        <v>1.0993465045076765</v>
      </c>
      <c r="I206" s="151">
        <f>IF(TrRoad_act!I67=0,0,TrRoad_emi!I64/TrRoad_tech!I179)</f>
        <v>1.0796942997202184</v>
      </c>
      <c r="J206" s="151">
        <f>IF(TrRoad_act!J67=0,0,TrRoad_emi!J64/TrRoad_tech!J179)</f>
        <v>1.0927868734033719</v>
      </c>
      <c r="K206" s="151">
        <f>IF(TrRoad_act!K67=0,0,TrRoad_emi!K64/TrRoad_tech!K179)</f>
        <v>1.1053076933598653</v>
      </c>
      <c r="L206" s="151">
        <f>IF(TrRoad_act!L67=0,0,TrRoad_emi!L64/TrRoad_tech!L179)</f>
        <v>1.1213853387599155</v>
      </c>
      <c r="M206" s="151">
        <f>IF(TrRoad_act!M67=0,0,TrRoad_emi!M64/TrRoad_tech!M179)</f>
        <v>1.1345980665014372</v>
      </c>
      <c r="N206" s="151">
        <f>IF(TrRoad_act!N67=0,0,TrRoad_emi!N64/TrRoad_tech!N179)</f>
        <v>1.1391489828605361</v>
      </c>
      <c r="O206" s="151">
        <f>IF(TrRoad_act!O67=0,0,TrRoad_emi!O64/TrRoad_tech!O179)</f>
        <v>1.1467920088306256</v>
      </c>
      <c r="P206" s="151">
        <f>IF(TrRoad_act!P67=0,0,TrRoad_emi!P64/TrRoad_tech!P179)</f>
        <v>1.1488995238373365</v>
      </c>
      <c r="Q206" s="151">
        <f>IF(TrRoad_act!Q67=0,0,TrRoad_emi!Q64/TrRoad_tech!Q179)</f>
        <v>1.158545252512553</v>
      </c>
      <c r="R206" s="151">
        <f>IF(TrRoad_act!R67=0,0,TrRoad_emi!R64/TrRoad_tech!R179)</f>
        <v>1.1695052154623804</v>
      </c>
      <c r="S206" s="151">
        <f>IF(TrRoad_act!S67=0,0,TrRoad_emi!S64/TrRoad_tech!S179)</f>
        <v>1.1895771815279621</v>
      </c>
      <c r="T206" s="151">
        <f>IF(TrRoad_act!T67=0,0,TrRoad_emi!T64/TrRoad_tech!T179)</f>
        <v>1.2584855341976529</v>
      </c>
      <c r="U206" s="151">
        <f>IF(TrRoad_act!U67=0,0,TrRoad_emi!U64/TrRoad_tech!U179)</f>
        <v>1.3921303122646622</v>
      </c>
      <c r="V206" s="151">
        <f>IF(TrRoad_act!V67=0,0,TrRoad_emi!V64/TrRoad_tech!V179)</f>
        <v>1.2419830068263036</v>
      </c>
      <c r="W206" s="151">
        <f>IF(TrRoad_act!W67=0,0,TrRoad_emi!W64/TrRoad_tech!W179)</f>
        <v>1.1909200533247324</v>
      </c>
      <c r="X206" s="151">
        <f>IF(TrRoad_act!X67=0,0,TrRoad_emi!X64/TrRoad_tech!X179)</f>
        <v>1.5356227944155729</v>
      </c>
      <c r="Y206" s="151">
        <f>IF(TrRoad_act!Y67=0,0,TrRoad_emi!Y64/TrRoad_tech!Y179)</f>
        <v>1.1926955502059979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1.3006912174212355</v>
      </c>
      <c r="U207" s="93">
        <f>IF(TrRoad_act!U68=0,0,TrRoad_emi!U65/TrRoad_tech!U180)</f>
        <v>1.276767619357797</v>
      </c>
      <c r="V207" s="93">
        <f>IF(TrRoad_act!V68=0,0,TrRoad_emi!V65/TrRoad_tech!V180)</f>
        <v>1.2731093733588852</v>
      </c>
      <c r="W207" s="93">
        <f>IF(TrRoad_act!W68=0,0,TrRoad_emi!W65/TrRoad_tech!W180)</f>
        <v>1.2771299957738329</v>
      </c>
      <c r="X207" s="93">
        <f>IF(TrRoad_act!X68=0,0,TrRoad_emi!X65/TrRoad_tech!X180)</f>
        <v>1.274440569001793</v>
      </c>
      <c r="Y207" s="93">
        <f>IF(TrRoad_act!Y68=0,0,TrRoad_emi!Y65/TrRoad_tech!Y180)</f>
        <v>1.2705302734562158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1.1005596851514565</v>
      </c>
      <c r="D208" s="93">
        <f>IF(TrRoad_act!D69=0,0,TrRoad_emi!D66/TrRoad_tech!D181)</f>
        <v>1.1012947563541529</v>
      </c>
      <c r="E208" s="93">
        <f>IF(TrRoad_act!E69=0,0,TrRoad_emi!E66/TrRoad_tech!E181)</f>
        <v>1.1030887793849493</v>
      </c>
      <c r="F208" s="93">
        <f>IF(TrRoad_act!F69=0,0,TrRoad_emi!F66/TrRoad_tech!F181)</f>
        <v>1.1052385967820819</v>
      </c>
      <c r="G208" s="93">
        <f>IF(TrRoad_act!G69=0,0,TrRoad_emi!G66/TrRoad_tech!G181)</f>
        <v>1.1092272372607055</v>
      </c>
      <c r="H208" s="93">
        <f>IF(TrRoad_act!H69=0,0,TrRoad_emi!H66/TrRoad_tech!H181)</f>
        <v>1.1147487687827156</v>
      </c>
      <c r="I208" s="93">
        <f>IF(TrRoad_act!I69=0,0,TrRoad_emi!I66/TrRoad_tech!I181)</f>
        <v>1.0930130292700717</v>
      </c>
      <c r="J208" s="93">
        <f>IF(TrRoad_act!J69=0,0,TrRoad_emi!J66/TrRoad_tech!J181)</f>
        <v>1.1030680790072009</v>
      </c>
      <c r="K208" s="93">
        <f>IF(TrRoad_act!K69=0,0,TrRoad_emi!K66/TrRoad_tech!K181)</f>
        <v>1.1121943083253194</v>
      </c>
      <c r="L208" s="93">
        <f>IF(TrRoad_act!L69=0,0,TrRoad_emi!L66/TrRoad_tech!L181)</f>
        <v>1.1246428963692647</v>
      </c>
      <c r="M208" s="93">
        <f>IF(TrRoad_act!M69=0,0,TrRoad_emi!M66/TrRoad_tech!M181)</f>
        <v>1.1376912339237206</v>
      </c>
      <c r="N208" s="93">
        <f>IF(TrRoad_act!N69=0,0,TrRoad_emi!N66/TrRoad_tech!N181)</f>
        <v>1.1427884156066008</v>
      </c>
      <c r="O208" s="93">
        <f>IF(TrRoad_act!O69=0,0,TrRoad_emi!O66/TrRoad_tech!O181)</f>
        <v>1.150977126973457</v>
      </c>
      <c r="P208" s="93">
        <f>IF(TrRoad_act!P69=0,0,TrRoad_emi!P66/TrRoad_tech!P181)</f>
        <v>1.1534149280398356</v>
      </c>
      <c r="Q208" s="93">
        <f>IF(TrRoad_act!Q69=0,0,TrRoad_emi!Q66/TrRoad_tech!Q181)</f>
        <v>1.1633636443426005</v>
      </c>
      <c r="R208" s="93">
        <f>IF(TrRoad_act!R69=0,0,TrRoad_emi!R66/TrRoad_tech!R181)</f>
        <v>1.1744752416194053</v>
      </c>
      <c r="S208" s="93">
        <f>IF(TrRoad_act!S69=0,0,TrRoad_emi!S66/TrRoad_tech!S181)</f>
        <v>1.1737909814632093</v>
      </c>
      <c r="T208" s="93">
        <f>IF(TrRoad_act!T69=0,0,TrRoad_emi!T66/TrRoad_tech!T181)</f>
        <v>1.1872075178643227</v>
      </c>
      <c r="U208" s="93">
        <f>IF(TrRoad_act!U69=0,0,TrRoad_emi!U66/TrRoad_tech!U181)</f>
        <v>1.2020065883295299</v>
      </c>
      <c r="V208" s="93">
        <f>IF(TrRoad_act!V69=0,0,TrRoad_emi!V66/TrRoad_tech!V181)</f>
        <v>1.1708098365506507</v>
      </c>
      <c r="W208" s="93">
        <f>IF(TrRoad_act!W69=0,0,TrRoad_emi!W66/TrRoad_tech!W181)</f>
        <v>1.1909603609743316</v>
      </c>
      <c r="X208" s="93">
        <f>IF(TrRoad_act!X69=0,0,TrRoad_emi!X66/TrRoad_tech!X181)</f>
        <v>1.1909800585502466</v>
      </c>
      <c r="Y208" s="93">
        <f>IF(TrRoad_act!Y69=0,0,TrRoad_emi!Y66/TrRoad_tech!Y181)</f>
        <v>1.195713565826362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X210" s="93">
        <f>IF(TrRoad_act!X71=0,0,TrRoad_emi!X68/TrRoad_tech!X183)</f>
        <v>0</v>
      </c>
      <c r="Y210" s="93">
        <f>IF(TrRoad_act!Y71=0,0,TrRoad_emi!Y68/TrRoad_tech!Y183)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1.0966028644603667</v>
      </c>
      <c r="C213" s="150">
        <f>IF(TrRoad_act!C74=0,0,TrRoad_emi!C71/TrRoad_tech!C186)</f>
        <v>1.085060990606117</v>
      </c>
      <c r="D213" s="150">
        <f>IF(TrRoad_act!D74=0,0,TrRoad_emi!D71/TrRoad_tech!D186)</f>
        <v>1.0870331452656856</v>
      </c>
      <c r="E213" s="150">
        <f>IF(TrRoad_act!E74=0,0,TrRoad_emi!E71/TrRoad_tech!E186)</f>
        <v>1.0819374389448939</v>
      </c>
      <c r="F213" s="150">
        <f>IF(TrRoad_act!F74=0,0,TrRoad_emi!F71/TrRoad_tech!F186)</f>
        <v>1.0950380375392017</v>
      </c>
      <c r="G213" s="150">
        <f>IF(TrRoad_act!G74=0,0,TrRoad_emi!G71/TrRoad_tech!G186)</f>
        <v>1.1014489795005109</v>
      </c>
      <c r="H213" s="150">
        <f>IF(TrRoad_act!H74=0,0,TrRoad_emi!H71/TrRoad_tech!H186)</f>
        <v>1.1116421044541802</v>
      </c>
      <c r="I213" s="150">
        <f>IF(TrRoad_act!I74=0,0,TrRoad_emi!I71/TrRoad_tech!I186)</f>
        <v>1.09212326910027</v>
      </c>
      <c r="J213" s="150">
        <f>IF(TrRoad_act!J74=0,0,TrRoad_emi!J71/TrRoad_tech!J186)</f>
        <v>1.1263515616735813</v>
      </c>
      <c r="K213" s="150">
        <f>IF(TrRoad_act!K74=0,0,TrRoad_emi!K71/TrRoad_tech!K186)</f>
        <v>1.146837560210979</v>
      </c>
      <c r="L213" s="150">
        <f>IF(TrRoad_act!L74=0,0,TrRoad_emi!L71/TrRoad_tech!L186)</f>
        <v>1.2530263180932597</v>
      </c>
      <c r="M213" s="150">
        <f>IF(TrRoad_act!M74=0,0,TrRoad_emi!M71/TrRoad_tech!M186)</f>
        <v>1.2845228079113078</v>
      </c>
      <c r="N213" s="150">
        <f>IF(TrRoad_act!N74=0,0,TrRoad_emi!N71/TrRoad_tech!N186)</f>
        <v>1.1448647838737043</v>
      </c>
      <c r="O213" s="150">
        <f>IF(TrRoad_act!O74=0,0,TrRoad_emi!O71/TrRoad_tech!O186)</f>
        <v>1.1779466663402673</v>
      </c>
      <c r="P213" s="150">
        <f>IF(TrRoad_act!P74=0,0,TrRoad_emi!P71/TrRoad_tech!P186)</f>
        <v>1.1324886725018797</v>
      </c>
      <c r="Q213" s="150">
        <f>IF(TrRoad_act!Q74=0,0,TrRoad_emi!Q71/TrRoad_tech!Q186)</f>
        <v>1.1365891718855357</v>
      </c>
      <c r="R213" s="150">
        <f>IF(TrRoad_act!R74=0,0,TrRoad_emi!R71/TrRoad_tech!R186)</f>
        <v>1.1417251749024091</v>
      </c>
      <c r="S213" s="150">
        <f>IF(TrRoad_act!S74=0,0,TrRoad_emi!S71/TrRoad_tech!S186)</f>
        <v>1.1551665956766106</v>
      </c>
      <c r="T213" s="150">
        <f>IF(TrRoad_act!T74=0,0,TrRoad_emi!T71/TrRoad_tech!T186)</f>
        <v>1.1752690081792692</v>
      </c>
      <c r="U213" s="150">
        <f>IF(TrRoad_act!U74=0,0,TrRoad_emi!U71/TrRoad_tech!U186)</f>
        <v>1.1889217130487686</v>
      </c>
      <c r="V213" s="150">
        <f>IF(TrRoad_act!V74=0,0,TrRoad_emi!V71/TrRoad_tech!V186)</f>
        <v>1.170975857358401</v>
      </c>
      <c r="W213" s="150">
        <f>IF(TrRoad_act!W74=0,0,TrRoad_emi!W71/TrRoad_tech!W186)</f>
        <v>1.2017116220870891</v>
      </c>
      <c r="X213" s="150">
        <f>IF(TrRoad_act!X74=0,0,TrRoad_emi!X71/TrRoad_tech!X186)</f>
        <v>1.2093304076305615</v>
      </c>
      <c r="Y213" s="150">
        <f>IF(TrRoad_act!Y74=0,0,TrRoad_emi!Y71/TrRoad_tech!Y186)</f>
        <v>1.2326475103217192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1.1000000000067307</v>
      </c>
      <c r="C214" s="91">
        <f>IF(TrRoad_act!C75=0,0,TrRoad_emi!C72/TrRoad_tech!C187)</f>
        <v>1.1000076484539274</v>
      </c>
      <c r="D214" s="91">
        <f>IF(TrRoad_act!D75=0,0,TrRoad_emi!D72/TrRoad_tech!D187)</f>
        <v>1.1000609371463579</v>
      </c>
      <c r="E214" s="91">
        <f>IF(TrRoad_act!E75=0,0,TrRoad_emi!E72/TrRoad_tech!E187)</f>
        <v>1.1002262121654509</v>
      </c>
      <c r="F214" s="91">
        <f>IF(TrRoad_act!F75=0,0,TrRoad_emi!F72/TrRoad_tech!F187)</f>
        <v>1.1004896061479721</v>
      </c>
      <c r="G214" s="91">
        <f>IF(TrRoad_act!G75=0,0,TrRoad_emi!G72/TrRoad_tech!G187)</f>
        <v>1.1009627745272159</v>
      </c>
      <c r="H214" s="91">
        <f>IF(TrRoad_act!H75=0,0,TrRoad_emi!H72/TrRoad_tech!H187)</f>
        <v>1.1018925003545461</v>
      </c>
      <c r="I214" s="91">
        <f>IF(TrRoad_act!I75=0,0,TrRoad_emi!I72/TrRoad_tech!I187)</f>
        <v>1.1008563933437019</v>
      </c>
      <c r="J214" s="91">
        <f>IF(TrRoad_act!J75=0,0,TrRoad_emi!J72/TrRoad_tech!J187)</f>
        <v>1.1057508976986132</v>
      </c>
      <c r="K214" s="91">
        <f>IF(TrRoad_act!K75=0,0,TrRoad_emi!K72/TrRoad_tech!K187)</f>
        <v>1.1114130828018982</v>
      </c>
      <c r="L214" s="91">
        <f>IF(TrRoad_act!L75=0,0,TrRoad_emi!L72/TrRoad_tech!L187)</f>
        <v>1.115614648728493</v>
      </c>
      <c r="M214" s="91">
        <f>IF(TrRoad_act!M75=0,0,TrRoad_emi!M72/TrRoad_tech!M187)</f>
        <v>1.1035548499480294</v>
      </c>
      <c r="N214" s="91">
        <f>IF(TrRoad_act!N75=0,0,TrRoad_emi!N72/TrRoad_tech!N187)</f>
        <v>1.1249832174376944</v>
      </c>
      <c r="O214" s="91">
        <f>IF(TrRoad_act!O75=0,0,TrRoad_emi!O72/TrRoad_tech!O187)</f>
        <v>1.1337337008144748</v>
      </c>
      <c r="P214" s="91">
        <f>IF(TrRoad_act!P75=0,0,TrRoad_emi!P72/TrRoad_tech!P187)</f>
        <v>1.1337557873323423</v>
      </c>
      <c r="Q214" s="91">
        <f>IF(TrRoad_act!Q75=0,0,TrRoad_emi!Q72/TrRoad_tech!Q187)</f>
        <v>1.1284561663895287</v>
      </c>
      <c r="R214" s="91">
        <f>IF(TrRoad_act!R75=0,0,TrRoad_emi!R72/TrRoad_tech!R187)</f>
        <v>1.1337211119240269</v>
      </c>
      <c r="S214" s="91">
        <f>IF(TrRoad_act!S75=0,0,TrRoad_emi!S72/TrRoad_tech!S187)</f>
        <v>1.162886434696581</v>
      </c>
      <c r="T214" s="91">
        <f>IF(TrRoad_act!T75=0,0,TrRoad_emi!T72/TrRoad_tech!T187)</f>
        <v>1.1730911931299925</v>
      </c>
      <c r="U214" s="91">
        <f>IF(TrRoad_act!U75=0,0,TrRoad_emi!U72/TrRoad_tech!U187)</f>
        <v>1.1702304439206053</v>
      </c>
      <c r="V214" s="91">
        <f>IF(TrRoad_act!V75=0,0,TrRoad_emi!V72/TrRoad_tech!V187)</f>
        <v>1.1816805148690448</v>
      </c>
      <c r="W214" s="91">
        <f>IF(TrRoad_act!W75=0,0,TrRoad_emi!W72/TrRoad_tech!W187)</f>
        <v>1.1962303118899955</v>
      </c>
      <c r="X214" s="91">
        <f>IF(TrRoad_act!X75=0,0,TrRoad_emi!X72/TrRoad_tech!X187)</f>
        <v>1.2080092929018236</v>
      </c>
      <c r="Y214" s="91">
        <f>IF(TrRoad_act!Y75=0,0,TrRoad_emi!Y72/TrRoad_tech!Y187)</f>
        <v>1.226839306032057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1.1005380139186498</v>
      </c>
      <c r="D215" s="91">
        <f>IF(TrRoad_act!D76=0,0,TrRoad_emi!D73/TrRoad_tech!D188)</f>
        <v>1.1015511307652373</v>
      </c>
      <c r="E215" s="91">
        <f>IF(TrRoad_act!E76=0,0,TrRoad_emi!E73/TrRoad_tech!E188)</f>
        <v>1.103035849051307</v>
      </c>
      <c r="F215" s="91">
        <f>IF(TrRoad_act!F76=0,0,TrRoad_emi!F73/TrRoad_tech!F188)</f>
        <v>1.1049259254821382</v>
      </c>
      <c r="G215" s="91">
        <f>IF(TrRoad_act!G76=0,0,TrRoad_emi!G73/TrRoad_tech!G188)</f>
        <v>1.1079196997387062</v>
      </c>
      <c r="H215" s="91">
        <f>IF(TrRoad_act!H76=0,0,TrRoad_emi!H73/TrRoad_tech!H188)</f>
        <v>1.1121741514904409</v>
      </c>
      <c r="I215" s="91">
        <f>IF(TrRoad_act!I76=0,0,TrRoad_emi!I73/TrRoad_tech!I188)</f>
        <v>1.0898034525306566</v>
      </c>
      <c r="J215" s="91">
        <f>IF(TrRoad_act!J76=0,0,TrRoad_emi!J73/TrRoad_tech!J188)</f>
        <v>1.0979321844635443</v>
      </c>
      <c r="K215" s="91">
        <f>IF(TrRoad_act!K76=0,0,TrRoad_emi!K73/TrRoad_tech!K188)</f>
        <v>1.0997730082178621</v>
      </c>
      <c r="L215" s="91">
        <f>IF(TrRoad_act!L76=0,0,TrRoad_emi!L73/TrRoad_tech!L188)</f>
        <v>1.1041322825241378</v>
      </c>
      <c r="M215" s="91">
        <f>IF(TrRoad_act!M76=0,0,TrRoad_emi!M73/TrRoad_tech!M188)</f>
        <v>1.1097068444004226</v>
      </c>
      <c r="N215" s="91">
        <f>IF(TrRoad_act!N76=0,0,TrRoad_emi!N73/TrRoad_tech!N188)</f>
        <v>1.117690224466259</v>
      </c>
      <c r="O215" s="91">
        <f>IF(TrRoad_act!O76=0,0,TrRoad_emi!O73/TrRoad_tech!O188)</f>
        <v>1.1259701976556562</v>
      </c>
      <c r="P215" s="91">
        <f>IF(TrRoad_act!P76=0,0,TrRoad_emi!P73/TrRoad_tech!P188)</f>
        <v>1.1302537527476193</v>
      </c>
      <c r="Q215" s="91">
        <f>IF(TrRoad_act!Q76=0,0,TrRoad_emi!Q73/TrRoad_tech!Q188)</f>
        <v>1.1375496432166734</v>
      </c>
      <c r="R215" s="91">
        <f>IF(TrRoad_act!R76=0,0,TrRoad_emi!R73/TrRoad_tech!R188)</f>
        <v>1.1500814094508014</v>
      </c>
      <c r="S215" s="91">
        <f>IF(TrRoad_act!S76=0,0,TrRoad_emi!S73/TrRoad_tech!S188)</f>
        <v>1.1515481208296361</v>
      </c>
      <c r="T215" s="91">
        <f>IF(TrRoad_act!T76=0,0,TrRoad_emi!T73/TrRoad_tech!T188)</f>
        <v>1.1700820281398836</v>
      </c>
      <c r="U215" s="91">
        <f>IF(TrRoad_act!U76=0,0,TrRoad_emi!U73/TrRoad_tech!U188)</f>
        <v>1.189817435290232</v>
      </c>
      <c r="V215" s="91">
        <f>IF(TrRoad_act!V76=0,0,TrRoad_emi!V73/TrRoad_tech!V188)</f>
        <v>1.1682153232855013</v>
      </c>
      <c r="W215" s="91">
        <f>IF(TrRoad_act!W76=0,0,TrRoad_emi!W73/TrRoad_tech!W188)</f>
        <v>1.1949961321501719</v>
      </c>
      <c r="X215" s="91">
        <f>IF(TrRoad_act!X76=0,0,TrRoad_emi!X73/TrRoad_tech!X188)</f>
        <v>1.1930070627639644</v>
      </c>
      <c r="Y215" s="91">
        <f>IF(TrRoad_act!Y76=0,0,TrRoad_emi!Y73/TrRoad_tech!Y188)</f>
        <v>1.2076802370838353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1.3654544439526677</v>
      </c>
      <c r="P216" s="91">
        <f>IF(TrRoad_act!P77=0,0,TrRoad_emi!P74/TrRoad_tech!P189)</f>
        <v>1.5631104631436199</v>
      </c>
      <c r="Q216" s="91">
        <f>IF(TrRoad_act!Q77=0,0,TrRoad_emi!Q74/TrRoad_tech!Q189)</f>
        <v>1.1725386668327102</v>
      </c>
      <c r="R216" s="91">
        <f>IF(TrRoad_act!R77=0,0,TrRoad_emi!R74/TrRoad_tech!R189)</f>
        <v>1.1756665422177353</v>
      </c>
      <c r="S216" s="91">
        <f>IF(TrRoad_act!S77=0,0,TrRoad_emi!S74/TrRoad_tech!S189)</f>
        <v>1.1809822010446687</v>
      </c>
      <c r="T216" s="91">
        <f>IF(TrRoad_act!T77=0,0,TrRoad_emi!T74/TrRoad_tech!T189)</f>
        <v>1.4331017031123663</v>
      </c>
      <c r="U216" s="91">
        <f>IF(TrRoad_act!U77=0,0,TrRoad_emi!U74/TrRoad_tech!U189)</f>
        <v>1.9130191451830747</v>
      </c>
      <c r="V216" s="91">
        <f>IF(TrRoad_act!V77=0,0,TrRoad_emi!V74/TrRoad_tech!V189)</f>
        <v>1.2836956931843915</v>
      </c>
      <c r="W216" s="91">
        <f>IF(TrRoad_act!W77=0,0,TrRoad_emi!W74/TrRoad_tech!W189)</f>
        <v>1.4164583164809752</v>
      </c>
      <c r="X216" s="91">
        <f>IF(TrRoad_act!X77=0,0,TrRoad_emi!X74/TrRoad_tech!X189)</f>
        <v>1.3705570210258515</v>
      </c>
      <c r="Y216" s="91">
        <f>IF(TrRoad_act!Y77=0,0,TrRoad_emi!Y74/TrRoad_tech!Y189)</f>
        <v>1.9805037717500453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X217" s="91">
        <f>IF(TrRoad_act!X78=0,0,TrRoad_emi!X75/TrRoad_tech!X190)</f>
        <v>0</v>
      </c>
      <c r="Y217" s="91">
        <f>IF(TrRoad_act!Y78=0,0,TrRoad_emi!Y75/TrRoad_tech!Y190)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14.357660755360543</v>
      </c>
      <c r="C219" s="151">
        <f>IF(TrRoad_act!C80=0,0,TrRoad_emi!C77/TrRoad_tech!C192)</f>
        <v>14.101887577463861</v>
      </c>
      <c r="D219" s="151">
        <f>IF(TrRoad_act!D80=0,0,TrRoad_emi!D77/TrRoad_tech!D192)</f>
        <v>13.525999766613968</v>
      </c>
      <c r="E219" s="151">
        <f>IF(TrRoad_act!E80=0,0,TrRoad_emi!E77/TrRoad_tech!E192)</f>
        <v>15.877230233698597</v>
      </c>
      <c r="F219" s="151">
        <f>IF(TrRoad_act!F80=0,0,TrRoad_emi!F77/TrRoad_tech!F192)</f>
        <v>20.028465578914052</v>
      </c>
      <c r="G219" s="151">
        <f>IF(TrRoad_act!G80=0,0,TrRoad_emi!G77/TrRoad_tech!G192)</f>
        <v>23.243668614792856</v>
      </c>
      <c r="H219" s="151">
        <f>IF(TrRoad_act!H80=0,0,TrRoad_emi!H77/TrRoad_tech!H192)</f>
        <v>21.555099134527456</v>
      </c>
      <c r="I219" s="151">
        <f>IF(TrRoad_act!I80=0,0,TrRoad_emi!I77/TrRoad_tech!I192)</f>
        <v>19.38882204580004</v>
      </c>
      <c r="J219" s="151">
        <f>IF(TrRoad_act!J80=0,0,TrRoad_emi!J77/TrRoad_tech!J192)</f>
        <v>18.951831431621528</v>
      </c>
      <c r="K219" s="151">
        <f>IF(TrRoad_act!K80=0,0,TrRoad_emi!K77/TrRoad_tech!K192)</f>
        <v>21.076563709514751</v>
      </c>
      <c r="L219" s="151">
        <f>IF(TrRoad_act!L80=0,0,TrRoad_emi!L77/TrRoad_tech!L192)</f>
        <v>22.792839376713228</v>
      </c>
      <c r="M219" s="151">
        <f>IF(TrRoad_act!M80=0,0,TrRoad_emi!M77/TrRoad_tech!M192)</f>
        <v>23.89901938593275</v>
      </c>
      <c r="N219" s="151">
        <f>IF(TrRoad_act!N80=0,0,TrRoad_emi!N77/TrRoad_tech!N192)</f>
        <v>17.112324550990081</v>
      </c>
      <c r="O219" s="151">
        <f>IF(TrRoad_act!O80=0,0,TrRoad_emi!O77/TrRoad_tech!O192)</f>
        <v>19.481087901227937</v>
      </c>
      <c r="P219" s="151">
        <f>IF(TrRoad_act!P80=0,0,TrRoad_emi!P77/TrRoad_tech!P192)</f>
        <v>15.611159041620486</v>
      </c>
      <c r="Q219" s="151">
        <f>IF(TrRoad_act!Q80=0,0,TrRoad_emi!Q77/TrRoad_tech!Q192)</f>
        <v>16.507337804770742</v>
      </c>
      <c r="R219" s="151">
        <f>IF(TrRoad_act!R80=0,0,TrRoad_emi!R77/TrRoad_tech!R192)</f>
        <v>15.388541962323304</v>
      </c>
      <c r="S219" s="151">
        <f>IF(TrRoad_act!S80=0,0,TrRoad_emi!S77/TrRoad_tech!S192)</f>
        <v>16.111266499516368</v>
      </c>
      <c r="T219" s="151">
        <f>IF(TrRoad_act!T80=0,0,TrRoad_emi!T77/TrRoad_tech!T192)</f>
        <v>18.260271031339496</v>
      </c>
      <c r="U219" s="151">
        <f>IF(TrRoad_act!U80=0,0,TrRoad_emi!U77/TrRoad_tech!U192)</f>
        <v>19.578384292530487</v>
      </c>
      <c r="V219" s="151">
        <f>IF(TrRoad_act!V80=0,0,TrRoad_emi!V77/TrRoad_tech!V192)</f>
        <v>16.45348356495348</v>
      </c>
      <c r="W219" s="151">
        <f>IF(TrRoad_act!W80=0,0,TrRoad_emi!W77/TrRoad_tech!W192)</f>
        <v>15.655501551344617</v>
      </c>
      <c r="X219" s="151">
        <f>IF(TrRoad_act!X80=0,0,TrRoad_emi!X77/TrRoad_tech!X192)</f>
        <v>11.842909776818553</v>
      </c>
      <c r="Y219" s="151">
        <f>IF(TrRoad_act!Y80=0,0,TrRoad_emi!Y77/TrRoad_tech!Y192)</f>
        <v>11.738337336594075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1.4459431667424834</v>
      </c>
      <c r="C220" s="93">
        <f>IF(TrRoad_act!C81=0,0,TrRoad_emi!C78/TrRoad_tech!C193)</f>
        <v>1.4431493040344954</v>
      </c>
      <c r="D220" s="93">
        <f>IF(TrRoad_act!D81=0,0,TrRoad_emi!D78/TrRoad_tech!D193)</f>
        <v>1.433600678959865</v>
      </c>
      <c r="E220" s="93">
        <f>IF(TrRoad_act!E81=0,0,TrRoad_emi!E78/TrRoad_tech!E193)</f>
        <v>1.4835187639741898</v>
      </c>
      <c r="F220" s="93">
        <f>IF(TrRoad_act!F81=0,0,TrRoad_emi!F78/TrRoad_tech!F193)</f>
        <v>1.5711443826070788</v>
      </c>
      <c r="G220" s="93">
        <f>IF(TrRoad_act!G81=0,0,TrRoad_emi!G78/TrRoad_tech!G193)</f>
        <v>1.6414880757295263</v>
      </c>
      <c r="H220" s="93">
        <f>IF(TrRoad_act!H81=0,0,TrRoad_emi!H78/TrRoad_tech!H193)</f>
        <v>1.6094280183055378</v>
      </c>
      <c r="I220" s="93">
        <f>IF(TrRoad_act!I81=0,0,TrRoad_emi!I78/TrRoad_tech!I193)</f>
        <v>1.538726875597775</v>
      </c>
      <c r="J220" s="93">
        <f>IF(TrRoad_act!J81=0,0,TrRoad_emi!J78/TrRoad_tech!J193)</f>
        <v>1.5389937451219728</v>
      </c>
      <c r="K220" s="93">
        <f>IF(TrRoad_act!K81=0,0,TrRoad_emi!K78/TrRoad_tech!K193)</f>
        <v>1.5889987464797912</v>
      </c>
      <c r="L220" s="93">
        <f>IF(TrRoad_act!L81=0,0,TrRoad_emi!L78/TrRoad_tech!L193)</f>
        <v>1.6346430985436615</v>
      </c>
      <c r="M220" s="93">
        <f>IF(TrRoad_act!M81=0,0,TrRoad_emi!M78/TrRoad_tech!M193)</f>
        <v>1.6686788212094661</v>
      </c>
      <c r="N220" s="93">
        <f>IF(TrRoad_act!N81=0,0,TrRoad_emi!N78/TrRoad_tech!N193)</f>
        <v>1.5305939159174777</v>
      </c>
      <c r="O220" s="93">
        <f>IF(TrRoad_act!O81=0,0,TrRoad_emi!O78/TrRoad_tech!O193)</f>
        <v>1.5939673694588978</v>
      </c>
      <c r="P220" s="93">
        <f>IF(TrRoad_act!P81=0,0,TrRoad_emi!P78/TrRoad_tech!P193)</f>
        <v>1.5200123869864546</v>
      </c>
      <c r="Q220" s="93">
        <f>IF(TrRoad_act!Q81=0,0,TrRoad_emi!Q78/TrRoad_tech!Q193)</f>
        <v>1.5386982303055317</v>
      </c>
      <c r="R220" s="93">
        <f>IF(TrRoad_act!R81=0,0,TrRoad_emi!R78/TrRoad_tech!R193)</f>
        <v>1.5246206603510746</v>
      </c>
      <c r="S220" s="93">
        <f>IF(TrRoad_act!S81=0,0,TrRoad_emi!S78/TrRoad_tech!S193)</f>
        <v>1.5319346032593137</v>
      </c>
      <c r="T220" s="93">
        <f>IF(TrRoad_act!T81=0,0,TrRoad_emi!T78/TrRoad_tech!T193)</f>
        <v>1.5983600153994051</v>
      </c>
      <c r="U220" s="93">
        <f>IF(TrRoad_act!U81=0,0,TrRoad_emi!U78/TrRoad_tech!U193)</f>
        <v>1.6427945961853243</v>
      </c>
      <c r="V220" s="93">
        <f>IF(TrRoad_act!V81=0,0,TrRoad_emi!V78/TrRoad_tech!V193)</f>
        <v>1.5543500272210202</v>
      </c>
      <c r="W220" s="93">
        <f>IF(TrRoad_act!W81=0,0,TrRoad_emi!W78/TrRoad_tech!W193)</f>
        <v>1.5814189090732562</v>
      </c>
      <c r="X220" s="93">
        <f>IF(TrRoad_act!X81=0,0,TrRoad_emi!X78/TrRoad_tech!X193)</f>
        <v>1.5115617422132615</v>
      </c>
      <c r="Y220" s="93">
        <f>IF(TrRoad_act!Y81=0,0,TrRoad_emi!Y78/TrRoad_tech!Y193)</f>
        <v>1.5163038983708368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25.114808174850211</v>
      </c>
      <c r="C221" s="94">
        <f>IF(TrRoad_act!C82=0,0,TrRoad_emi!C79/TrRoad_tech!C194)</f>
        <v>25.613917144322912</v>
      </c>
      <c r="D221" s="94">
        <f>IF(TrRoad_act!D82=0,0,TrRoad_emi!D79/TrRoad_tech!D194)</f>
        <v>26.007291450660908</v>
      </c>
      <c r="E221" s="94">
        <f>IF(TrRoad_act!E82=0,0,TrRoad_emi!E79/TrRoad_tech!E194)</f>
        <v>30.122911643288958</v>
      </c>
      <c r="F221" s="94">
        <f>IF(TrRoad_act!F82=0,0,TrRoad_emi!F79/TrRoad_tech!F194)</f>
        <v>35.223248730484563</v>
      </c>
      <c r="G221" s="94">
        <f>IF(TrRoad_act!G82=0,0,TrRoad_emi!G79/TrRoad_tech!G194)</f>
        <v>39.14201324292646</v>
      </c>
      <c r="H221" s="94">
        <f>IF(TrRoad_act!H82=0,0,TrRoad_emi!H79/TrRoad_tech!H194)</f>
        <v>38.384867443250215</v>
      </c>
      <c r="I221" s="94">
        <f>IF(TrRoad_act!I82=0,0,TrRoad_emi!I79/TrRoad_tech!I194)</f>
        <v>33.523186038140928</v>
      </c>
      <c r="J221" s="94">
        <f>IF(TrRoad_act!J82=0,0,TrRoad_emi!J79/TrRoad_tech!J194)</f>
        <v>30.446237872895381</v>
      </c>
      <c r="K221" s="94">
        <f>IF(TrRoad_act!K82=0,0,TrRoad_emi!K79/TrRoad_tech!K194)</f>
        <v>30.051482700074242</v>
      </c>
      <c r="L221" s="94">
        <f>IF(TrRoad_act!L82=0,0,TrRoad_emi!L79/TrRoad_tech!L194)</f>
        <v>33.312560293850765</v>
      </c>
      <c r="M221" s="94">
        <f>IF(TrRoad_act!M82=0,0,TrRoad_emi!M79/TrRoad_tech!M194)</f>
        <v>35.948275637213875</v>
      </c>
      <c r="N221" s="94">
        <f>IF(TrRoad_act!N82=0,0,TrRoad_emi!N79/TrRoad_tech!N194)</f>
        <v>29.556713267221703</v>
      </c>
      <c r="O221" s="94">
        <f>IF(TrRoad_act!O82=0,0,TrRoad_emi!O79/TrRoad_tech!O194)</f>
        <v>30.593849190960906</v>
      </c>
      <c r="P221" s="94">
        <f>IF(TrRoad_act!P82=0,0,TrRoad_emi!P79/TrRoad_tech!P194)</f>
        <v>27.001149019452505</v>
      </c>
      <c r="Q221" s="94">
        <f>IF(TrRoad_act!Q82=0,0,TrRoad_emi!Q79/TrRoad_tech!Q194)</f>
        <v>28.493889225238746</v>
      </c>
      <c r="R221" s="94">
        <f>IF(TrRoad_act!R82=0,0,TrRoad_emi!R79/TrRoad_tech!R194)</f>
        <v>26.180245891959093</v>
      </c>
      <c r="S221" s="94">
        <f>IF(TrRoad_act!S82=0,0,TrRoad_emi!S79/TrRoad_tech!S194)</f>
        <v>26.490322639118641</v>
      </c>
      <c r="T221" s="94">
        <f>IF(TrRoad_act!T82=0,0,TrRoad_emi!T79/TrRoad_tech!T194)</f>
        <v>30.435488867459767</v>
      </c>
      <c r="U221" s="94">
        <f>IF(TrRoad_act!U82=0,0,TrRoad_emi!U79/TrRoad_tech!U194)</f>
        <v>32.012553765260051</v>
      </c>
      <c r="V221" s="94">
        <f>IF(TrRoad_act!V82=0,0,TrRoad_emi!V79/TrRoad_tech!V194)</f>
        <v>25.543368077767841</v>
      </c>
      <c r="W221" s="94">
        <f>IF(TrRoad_act!W82=0,0,TrRoad_emi!W79/TrRoad_tech!W194)</f>
        <v>25.26549833942871</v>
      </c>
      <c r="X221" s="94">
        <f>IF(TrRoad_act!X82=0,0,TrRoad_emi!X79/TrRoad_tech!X194)</f>
        <v>18.582805525734443</v>
      </c>
      <c r="Y221" s="94">
        <f>IF(TrRoad_act!Y82=0,0,TrRoad_emi!Y79/TrRoad_tech!Y194)</f>
        <v>18.36395173957008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105.97849851787939</v>
      </c>
      <c r="C225" s="152">
        <v>109.0352500804064</v>
      </c>
      <c r="D225" s="152">
        <v>112.53515536660838</v>
      </c>
      <c r="E225" s="152">
        <v>110.99765207365532</v>
      </c>
      <c r="F225" s="152">
        <v>110.99765207365532</v>
      </c>
      <c r="G225" s="152">
        <v>112.53515536660838</v>
      </c>
      <c r="H225" s="152">
        <v>110.99765207365532</v>
      </c>
      <c r="I225" s="152">
        <v>109.46014878070224</v>
      </c>
      <c r="J225" s="152">
        <v>105.9285423956765</v>
      </c>
      <c r="K225" s="152">
        <v>99.430463128182623</v>
      </c>
      <c r="L225" s="152">
        <v>95.373080867826943</v>
      </c>
      <c r="M225" s="152">
        <v>92.428527116301424</v>
      </c>
      <c r="N225" s="152">
        <v>87.486067333981225</v>
      </c>
      <c r="O225" s="152">
        <v>83.636894232176459</v>
      </c>
      <c r="P225" s="152">
        <v>82.165130503125354</v>
      </c>
      <c r="Q225" s="152">
        <v>80.842330827067315</v>
      </c>
      <c r="R225" s="152">
        <v>78.957165484203614</v>
      </c>
      <c r="S225" s="152">
        <v>77.449033209912656</v>
      </c>
      <c r="T225" s="152">
        <v>76.242527390479893</v>
      </c>
      <c r="U225" s="152">
        <v>75.277322734933662</v>
      </c>
      <c r="V225" s="152">
        <v>74.505159010496698</v>
      </c>
      <c r="W225" s="152">
        <v>73.88742803094712</v>
      </c>
      <c r="X225" s="152">
        <v>73.393243247307467</v>
      </c>
      <c r="Y225" s="152">
        <v>72.997895420395722</v>
      </c>
      <c r="DA225" s="174" t="s">
        <v>933</v>
      </c>
    </row>
    <row r="226" spans="1:105" ht="11.45" customHeight="1" x14ac:dyDescent="0.25">
      <c r="A226" s="109" t="s">
        <v>20</v>
      </c>
      <c r="B226" s="116">
        <v>207.25585428054455</v>
      </c>
      <c r="C226" s="116">
        <v>209.0451562780261</v>
      </c>
      <c r="D226" s="116">
        <v>210.02293687854163</v>
      </c>
      <c r="E226" s="116">
        <v>211.38213279882893</v>
      </c>
      <c r="F226" s="116">
        <v>207.13485384361277</v>
      </c>
      <c r="G226" s="116">
        <v>207.52171693909924</v>
      </c>
      <c r="H226" s="116">
        <v>206.44580385524799</v>
      </c>
      <c r="I226" s="116">
        <v>204.62329581209119</v>
      </c>
      <c r="J226" s="116">
        <v>197.62496693593741</v>
      </c>
      <c r="K226" s="116">
        <v>189.30225620296443</v>
      </c>
      <c r="L226" s="116">
        <v>181.54787423803197</v>
      </c>
      <c r="M226" s="116">
        <v>176.75822840610854</v>
      </c>
      <c r="N226" s="116">
        <v>171.40630448120382</v>
      </c>
      <c r="O226" s="116">
        <v>165.88113594342582</v>
      </c>
      <c r="P226" s="116">
        <v>161.65088474579099</v>
      </c>
      <c r="Q226" s="116">
        <v>158.79704869064088</v>
      </c>
      <c r="R226" s="116">
        <v>156.33457176408808</v>
      </c>
      <c r="S226" s="116">
        <v>155.91843345973533</v>
      </c>
      <c r="T226" s="116">
        <v>160.1065776242672</v>
      </c>
      <c r="U226" s="116">
        <v>158.93716192632587</v>
      </c>
      <c r="V226" s="116">
        <v>143.70238364822418</v>
      </c>
      <c r="W226" s="116">
        <v>124.09228645371554</v>
      </c>
      <c r="X226" s="116">
        <v>116.40975446977488</v>
      </c>
      <c r="Y226" s="116">
        <v>104.54508849378109</v>
      </c>
      <c r="DA226" s="176" t="s">
        <v>934</v>
      </c>
    </row>
    <row r="227" spans="1:105" ht="11.45" customHeight="1" x14ac:dyDescent="0.25">
      <c r="A227" s="111" t="s">
        <v>110</v>
      </c>
      <c r="B227" s="87">
        <v>203.53757526003267</v>
      </c>
      <c r="C227" s="87">
        <v>210.56974492079982</v>
      </c>
      <c r="D227" s="87">
        <v>218.6685812639075</v>
      </c>
      <c r="E227" s="87">
        <v>215.96896914953822</v>
      </c>
      <c r="F227" s="87">
        <v>215.96896914953825</v>
      </c>
      <c r="G227" s="87">
        <v>218.6685812639075</v>
      </c>
      <c r="H227" s="87">
        <v>215.96896914953825</v>
      </c>
      <c r="I227" s="87">
        <v>213.26935703516907</v>
      </c>
      <c r="J227" s="87">
        <v>205.17052069206133</v>
      </c>
      <c r="K227" s="87">
        <v>193.87734779595547</v>
      </c>
      <c r="L227" s="87">
        <v>186.68386336051421</v>
      </c>
      <c r="M227" s="87">
        <v>181.46719406914201</v>
      </c>
      <c r="N227" s="87">
        <v>175.68737475045978</v>
      </c>
      <c r="O227" s="87">
        <v>167.65598773752868</v>
      </c>
      <c r="P227" s="87">
        <v>164.58724740313744</v>
      </c>
      <c r="Q227" s="87">
        <v>161.65837497806939</v>
      </c>
      <c r="R227" s="87">
        <v>161.14771006586787</v>
      </c>
      <c r="S227" s="87">
        <v>159.60850232166823</v>
      </c>
      <c r="T227" s="87">
        <v>163.17620329855271</v>
      </c>
      <c r="U227" s="87">
        <v>165.27634993423629</v>
      </c>
      <c r="V227" s="87">
        <v>160.9071661237785</v>
      </c>
      <c r="W227" s="87">
        <v>154.64931203064361</v>
      </c>
      <c r="X227" s="87">
        <v>153.98439631185551</v>
      </c>
      <c r="Y227" s="87">
        <v>153.53562749522649</v>
      </c>
      <c r="DA227" s="171" t="s">
        <v>935</v>
      </c>
    </row>
    <row r="228" spans="1:105" ht="11.45" customHeight="1" x14ac:dyDescent="0.25">
      <c r="A228" s="111" t="s">
        <v>111</v>
      </c>
      <c r="B228" s="87">
        <v>212.02448218850233</v>
      </c>
      <c r="C228" s="87">
        <v>208.82289283946099</v>
      </c>
      <c r="D228" s="87">
        <v>205.32223962369119</v>
      </c>
      <c r="E228" s="87">
        <v>209.04189424371998</v>
      </c>
      <c r="F228" s="87">
        <v>203.92399988880717</v>
      </c>
      <c r="G228" s="87">
        <v>203.87683035558211</v>
      </c>
      <c r="H228" s="87">
        <v>203.52305885639464</v>
      </c>
      <c r="I228" s="87">
        <v>202.15514239286955</v>
      </c>
      <c r="J228" s="87">
        <v>195.41663764644053</v>
      </c>
      <c r="K228" s="87">
        <v>187.73717383128511</v>
      </c>
      <c r="L228" s="87">
        <v>180.52592674758611</v>
      </c>
      <c r="M228" s="87">
        <v>176.53645833711263</v>
      </c>
      <c r="N228" s="87">
        <v>170.60973896271372</v>
      </c>
      <c r="O228" s="87">
        <v>166.72207413292102</v>
      </c>
      <c r="P228" s="87">
        <v>161.94381502811501</v>
      </c>
      <c r="Q228" s="87">
        <v>157.54140078858501</v>
      </c>
      <c r="R228" s="87">
        <v>154.20599104034471</v>
      </c>
      <c r="S228" s="87">
        <v>156.88852153092179</v>
      </c>
      <c r="T228" s="87">
        <v>162.59548192771081</v>
      </c>
      <c r="U228" s="87">
        <v>163.52755940484121</v>
      </c>
      <c r="V228" s="87">
        <v>158.86210131332081</v>
      </c>
      <c r="W228" s="87">
        <v>149.7616293279022</v>
      </c>
      <c r="X228" s="87">
        <v>147.49582391667491</v>
      </c>
      <c r="Y228" s="87">
        <v>149.29939698492461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163.67215573305248</v>
      </c>
      <c r="D229" s="87">
        <v>160.92839785043674</v>
      </c>
      <c r="E229" s="87">
        <v>163.84380564871174</v>
      </c>
      <c r="F229" s="87">
        <v>159.83247915815028</v>
      </c>
      <c r="G229" s="87">
        <v>159.79550840708521</v>
      </c>
      <c r="H229" s="87">
        <v>159.51822777409708</v>
      </c>
      <c r="I229" s="87">
        <v>158.44607599320969</v>
      </c>
      <c r="J229" s="87">
        <v>153.16454012676931</v>
      </c>
      <c r="K229" s="87">
        <v>147.14549508621067</v>
      </c>
      <c r="L229" s="87">
        <v>135.02302959871005</v>
      </c>
      <c r="M229" s="87">
        <v>136.51265786174017</v>
      </c>
      <c r="N229" s="87">
        <v>182.71955719557195</v>
      </c>
      <c r="O229" s="87">
        <v>129.74169741697418</v>
      </c>
      <c r="P229" s="87">
        <v>130.08638916926216</v>
      </c>
      <c r="Q229" s="87">
        <v>129.71370206344699</v>
      </c>
      <c r="R229" s="87">
        <v>129.30394762737433</v>
      </c>
      <c r="S229" s="87">
        <v>0</v>
      </c>
      <c r="T229" s="87">
        <v>146.5</v>
      </c>
      <c r="U229" s="87">
        <v>182.99999999999997</v>
      </c>
      <c r="V229" s="87">
        <v>124.66666666666669</v>
      </c>
      <c r="W229" s="87">
        <v>115</v>
      </c>
      <c r="X229" s="87">
        <v>116.92</v>
      </c>
      <c r="Y229" s="87">
        <v>118.93333333333329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X230" s="87">
        <v>0</v>
      </c>
      <c r="Y230" s="87">
        <v>0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105.19343698887599</v>
      </c>
      <c r="O231" s="87">
        <v>110.98673481871708</v>
      </c>
      <c r="P231" s="87">
        <v>29.714983011195464</v>
      </c>
      <c r="Q231" s="87">
        <v>67.533147985741223</v>
      </c>
      <c r="R231" s="87">
        <v>52.492266556769138</v>
      </c>
      <c r="S231" s="87">
        <v>58.444602179845084</v>
      </c>
      <c r="T231" s="87">
        <v>63.055143549410722</v>
      </c>
      <c r="U231" s="87">
        <v>61.103620474406981</v>
      </c>
      <c r="V231" s="87">
        <v>45.600339414509961</v>
      </c>
      <c r="W231" s="87">
        <v>39.474871501998862</v>
      </c>
      <c r="X231" s="87">
        <v>35.294750158127769</v>
      </c>
      <c r="Y231" s="87">
        <v>33.645474137931032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1421.8277138811297</v>
      </c>
      <c r="C233" s="116">
        <v>1433.7814430089009</v>
      </c>
      <c r="D233" s="116">
        <v>1447.1812695790777</v>
      </c>
      <c r="E233" s="116">
        <v>1410.6135185651376</v>
      </c>
      <c r="F233" s="116">
        <v>1442.6729167143453</v>
      </c>
      <c r="G233" s="116">
        <v>1447.1393963326557</v>
      </c>
      <c r="H233" s="116">
        <v>1442.6311739141738</v>
      </c>
      <c r="I233" s="116">
        <v>1438.0802869302177</v>
      </c>
      <c r="J233" s="116">
        <v>1424.0273851035377</v>
      </c>
      <c r="K233" s="116">
        <v>1403.5879658604529</v>
      </c>
      <c r="L233" s="116">
        <v>1390.4677586377752</v>
      </c>
      <c r="M233" s="116">
        <v>1380.746352095771</v>
      </c>
      <c r="N233" s="116">
        <v>1363.8291074406134</v>
      </c>
      <c r="O233" s="116">
        <v>1350.2607818683512</v>
      </c>
      <c r="P233" s="116">
        <v>1345.0123215955327</v>
      </c>
      <c r="Q233" s="116">
        <v>1340.2449215971562</v>
      </c>
      <c r="R233" s="116">
        <v>1325.2809614618263</v>
      </c>
      <c r="S233" s="116">
        <v>1257.8971122073385</v>
      </c>
      <c r="T233" s="116">
        <v>1114.1651377943263</v>
      </c>
      <c r="U233" s="116">
        <v>894.02137824581575</v>
      </c>
      <c r="V233" s="116">
        <v>958.68834534226846</v>
      </c>
      <c r="W233" s="116">
        <v>977.3360404311195</v>
      </c>
      <c r="X233" s="116">
        <v>570.15719823246855</v>
      </c>
      <c r="Y233" s="116">
        <v>731.72581177789868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290.2021183516602</v>
      </c>
      <c r="U234" s="101">
        <v>0</v>
      </c>
      <c r="V234" s="101">
        <v>0</v>
      </c>
      <c r="W234" s="101">
        <v>269.79066965286853</v>
      </c>
      <c r="X234" s="101">
        <v>264.03897440473008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1421.8277138811297</v>
      </c>
      <c r="C235" s="101">
        <v>1433.7814430089009</v>
      </c>
      <c r="D235" s="101">
        <v>1447.1812695790777</v>
      </c>
      <c r="E235" s="101">
        <v>1442.6729167143453</v>
      </c>
      <c r="F235" s="101">
        <v>1442.6729167143453</v>
      </c>
      <c r="G235" s="101">
        <v>1447.1393963326557</v>
      </c>
      <c r="H235" s="101">
        <v>1442.6311739141738</v>
      </c>
      <c r="I235" s="101">
        <v>1438.0802869302177</v>
      </c>
      <c r="J235" s="101">
        <v>1424.0273851035377</v>
      </c>
      <c r="K235" s="101">
        <v>1403.5879658604529</v>
      </c>
      <c r="L235" s="101">
        <v>1390.4677586377752</v>
      </c>
      <c r="M235" s="101">
        <v>1380.746352095771</v>
      </c>
      <c r="N235" s="101">
        <v>1363.8291074406134</v>
      </c>
      <c r="O235" s="101">
        <v>1350.2607818683512</v>
      </c>
      <c r="P235" s="101">
        <v>1345.0123215955327</v>
      </c>
      <c r="Q235" s="101">
        <v>1340.2449215971562</v>
      </c>
      <c r="R235" s="101">
        <v>1325.2809614618263</v>
      </c>
      <c r="S235" s="101">
        <v>1301.4606485608392</v>
      </c>
      <c r="T235" s="101">
        <v>1270.1455388524159</v>
      </c>
      <c r="U235" s="101">
        <v>1232.6658397025642</v>
      </c>
      <c r="V235" s="101">
        <v>1190.2815973069737</v>
      </c>
      <c r="W235" s="101">
        <v>1144.1561881184075</v>
      </c>
      <c r="X235" s="101">
        <v>1095.3401853687703</v>
      </c>
      <c r="Y235" s="101">
        <v>1044.7635922176414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X237" s="101">
        <v>0</v>
      </c>
      <c r="Y237" s="101">
        <v>0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285.25267961280792</v>
      </c>
      <c r="D240" s="152">
        <v>279.82677915576812</v>
      </c>
      <c r="E240" s="152">
        <v>283.71587802156193</v>
      </c>
      <c r="F240" s="152">
        <v>277.41755433893354</v>
      </c>
      <c r="G240" s="152">
        <v>277.35204085086832</v>
      </c>
      <c r="H240" s="152">
        <v>276.83594911185355</v>
      </c>
      <c r="I240" s="152">
        <v>274.5391220774377</v>
      </c>
      <c r="J240" s="152">
        <v>264.96341787999819</v>
      </c>
      <c r="K240" s="152">
        <v>249.68077212956891</v>
      </c>
      <c r="L240" s="152">
        <v>244.35937366284102</v>
      </c>
      <c r="M240" s="152">
        <v>239.64461650655599</v>
      </c>
      <c r="N240" s="152">
        <v>230.64103844206713</v>
      </c>
      <c r="O240" s="152">
        <v>219.3146148009813</v>
      </c>
      <c r="P240" s="152">
        <v>219.506914181067</v>
      </c>
      <c r="Q240" s="152">
        <v>211.194118160811</v>
      </c>
      <c r="R240" s="152">
        <v>205.6305460291112</v>
      </c>
      <c r="S240" s="152">
        <v>194.75199338570795</v>
      </c>
      <c r="T240" s="152">
        <v>197.28706836615351</v>
      </c>
      <c r="U240" s="152">
        <v>194.6211853926757</v>
      </c>
      <c r="V240" s="152">
        <v>210.44073366432153</v>
      </c>
      <c r="W240" s="152">
        <v>197.83401477037458</v>
      </c>
      <c r="X240" s="152">
        <v>187.09143573396642</v>
      </c>
      <c r="Y240" s="152">
        <v>187.78994349043717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219.99613098622029</v>
      </c>
      <c r="D241" s="87">
        <v>228.45752063953643</v>
      </c>
      <c r="E241" s="87">
        <v>225.63705742176441</v>
      </c>
      <c r="F241" s="87">
        <v>225.63705742176441</v>
      </c>
      <c r="G241" s="87">
        <v>228.45752063953643</v>
      </c>
      <c r="H241" s="87">
        <v>225.63705742176435</v>
      </c>
      <c r="I241" s="87">
        <v>222.81659420399231</v>
      </c>
      <c r="J241" s="87">
        <v>214.35520455067615</v>
      </c>
      <c r="K241" s="87">
        <v>202.55648035771949</v>
      </c>
      <c r="L241" s="87">
        <v>195.18939044319546</v>
      </c>
      <c r="M241" s="87">
        <v>189.8428909384296</v>
      </c>
      <c r="N241" s="87">
        <v>180.86874374726114</v>
      </c>
      <c r="O241" s="87">
        <v>181.77789675363928</v>
      </c>
      <c r="P241" s="87">
        <v>198.51876950350646</v>
      </c>
      <c r="Q241" s="87">
        <v>186.37071939455927</v>
      </c>
      <c r="R241" s="87">
        <v>165.81332930088172</v>
      </c>
      <c r="S241" s="87">
        <v>169.09236683114864</v>
      </c>
      <c r="T241" s="87">
        <v>176.8900938128541</v>
      </c>
      <c r="U241" s="87">
        <v>172.70370370370367</v>
      </c>
      <c r="V241" s="87">
        <v>159.5740740740741</v>
      </c>
      <c r="W241" s="87">
        <v>164.26666666666671</v>
      </c>
      <c r="X241" s="87">
        <v>170.8918918918919</v>
      </c>
      <c r="Y241" s="87">
        <v>209.97005988023949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285.81938867600019</v>
      </c>
      <c r="D242" s="87">
        <v>281.02798602616139</v>
      </c>
      <c r="E242" s="87">
        <v>286.11913956362247</v>
      </c>
      <c r="F242" s="87">
        <v>279.11419189749614</v>
      </c>
      <c r="G242" s="87">
        <v>279.04963016785439</v>
      </c>
      <c r="H242" s="87">
        <v>278.5654171955415</v>
      </c>
      <c r="I242" s="87">
        <v>276.6931270359317</v>
      </c>
      <c r="J242" s="87">
        <v>267.47002280140066</v>
      </c>
      <c r="K242" s="87">
        <v>256.95901213987025</v>
      </c>
      <c r="L242" s="87">
        <v>247.08885755562486</v>
      </c>
      <c r="M242" s="87">
        <v>241.6284053670806</v>
      </c>
      <c r="N242" s="87">
        <v>233.34497219475628</v>
      </c>
      <c r="O242" s="87">
        <v>224.41102910839433</v>
      </c>
      <c r="P242" s="87">
        <v>221.96501710530572</v>
      </c>
      <c r="Q242" s="87">
        <v>213.28095736296078</v>
      </c>
      <c r="R242" s="87">
        <v>207.75805698930003</v>
      </c>
      <c r="S242" s="87">
        <v>197.512261503166</v>
      </c>
      <c r="T242" s="87">
        <v>200.72271923873922</v>
      </c>
      <c r="U242" s="87">
        <v>199.91279728199316</v>
      </c>
      <c r="V242" s="87">
        <v>216.2249328431584</v>
      </c>
      <c r="W242" s="87">
        <v>204.67397546332549</v>
      </c>
      <c r="X242" s="87">
        <v>200.6432498472816</v>
      </c>
      <c r="Y242" s="87">
        <v>205.09813912272929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168.9790691127796</v>
      </c>
      <c r="P243" s="87">
        <v>160.82116683391646</v>
      </c>
      <c r="Q243" s="87">
        <v>185.62273736833163</v>
      </c>
      <c r="R243" s="87">
        <v>165.14785250050809</v>
      </c>
      <c r="S243" s="87">
        <v>168.41372991021569</v>
      </c>
      <c r="T243" s="87">
        <v>176.18016141993559</v>
      </c>
      <c r="U243" s="87">
        <v>172.01057300885552</v>
      </c>
      <c r="V243" s="87">
        <v>126.45642708470683</v>
      </c>
      <c r="W243" s="87">
        <v>192</v>
      </c>
      <c r="X243" s="87">
        <v>178.2</v>
      </c>
      <c r="Y243" s="87">
        <v>222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X244" s="87">
        <v>0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982.97786591380122</v>
      </c>
      <c r="D246" s="116">
        <v>1001.8552319686256</v>
      </c>
      <c r="E246" s="116">
        <v>971.23433456079897</v>
      </c>
      <c r="F246" s="116">
        <v>996.47553857311129</v>
      </c>
      <c r="G246" s="116">
        <v>949.96616791575264</v>
      </c>
      <c r="H246" s="116">
        <v>942.88495642925182</v>
      </c>
      <c r="I246" s="116">
        <v>949.84858118319937</v>
      </c>
      <c r="J246" s="116">
        <v>923.56033046257346</v>
      </c>
      <c r="K246" s="116">
        <v>896.37727277318345</v>
      </c>
      <c r="L246" s="116">
        <v>897.29093836758454</v>
      </c>
      <c r="M246" s="116">
        <v>876.96373460082714</v>
      </c>
      <c r="N246" s="116">
        <v>904.67288138629885</v>
      </c>
      <c r="O246" s="116">
        <v>875.28702948377099</v>
      </c>
      <c r="P246" s="116">
        <v>851.68825224464717</v>
      </c>
      <c r="Q246" s="116">
        <v>797.44572835030772</v>
      </c>
      <c r="R246" s="116">
        <v>788.06801459641565</v>
      </c>
      <c r="S246" s="116">
        <v>764.61047049134118</v>
      </c>
      <c r="T246" s="116">
        <v>733.31404301029329</v>
      </c>
      <c r="U246" s="116">
        <v>714.67765768251763</v>
      </c>
      <c r="V246" s="116">
        <v>698.42741990654531</v>
      </c>
      <c r="W246" s="116">
        <v>717.37830065339438</v>
      </c>
      <c r="X246" s="116">
        <v>699.80185274315431</v>
      </c>
      <c r="Y246" s="116">
        <v>675.09658981942994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906.15050521056685</v>
      </c>
      <c r="D247" s="101">
        <v>901.51935830063803</v>
      </c>
      <c r="E247" s="101">
        <v>895.75271837575713</v>
      </c>
      <c r="F247" s="101">
        <v>888.86523857658665</v>
      </c>
      <c r="G247" s="101">
        <v>880.87429658896599</v>
      </c>
      <c r="H247" s="101">
        <v>871.79988627714783</v>
      </c>
      <c r="I247" s="101">
        <v>861.66449453047744</v>
      </c>
      <c r="J247" s="101">
        <v>850.49296471391801</v>
      </c>
      <c r="K247" s="101">
        <v>838.31234822107444</v>
      </c>
      <c r="L247" s="101">
        <v>825.15174576474203</v>
      </c>
      <c r="M247" s="101">
        <v>811.0421400654875</v>
      </c>
      <c r="N247" s="101">
        <v>796.01622166307391</v>
      </c>
      <c r="O247" s="101">
        <v>780.10820959574676</v>
      </c>
      <c r="P247" s="101">
        <v>763.35366865133608</v>
      </c>
      <c r="Q247" s="101">
        <v>745.78932489441729</v>
      </c>
      <c r="R247" s="101">
        <v>717.84366944220631</v>
      </c>
      <c r="S247" s="101">
        <v>698.28171062565889</v>
      </c>
      <c r="T247" s="101">
        <v>677.74165386828372</v>
      </c>
      <c r="U247" s="101">
        <v>652.63714005371435</v>
      </c>
      <c r="V247" s="101">
        <v>651.67837355328254</v>
      </c>
      <c r="W247" s="101">
        <v>641.27609726753155</v>
      </c>
      <c r="X247" s="101">
        <v>637.7430673058044</v>
      </c>
      <c r="Y247" s="101">
        <v>631.36563663274626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0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0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332</v>
      </c>
      <c r="C4" s="28">
        <f t="shared" ref="C4:V4" si="1">SUM(C5,C6,C9)</f>
        <v>346</v>
      </c>
      <c r="D4" s="28">
        <f t="shared" si="1"/>
        <v>268</v>
      </c>
      <c r="E4" s="28">
        <f t="shared" si="1"/>
        <v>262</v>
      </c>
      <c r="F4" s="28">
        <f t="shared" si="1"/>
        <v>253</v>
      </c>
      <c r="G4" s="28">
        <f t="shared" si="1"/>
        <v>267</v>
      </c>
      <c r="H4" s="28">
        <f t="shared" si="1"/>
        <v>298</v>
      </c>
      <c r="I4" s="28">
        <f t="shared" si="1"/>
        <v>316</v>
      </c>
      <c r="J4" s="28">
        <f t="shared" si="1"/>
        <v>345</v>
      </c>
      <c r="K4" s="28">
        <f t="shared" si="1"/>
        <v>333</v>
      </c>
      <c r="L4" s="28">
        <f t="shared" si="1"/>
        <v>347</v>
      </c>
      <c r="M4" s="28">
        <f t="shared" si="1"/>
        <v>349</v>
      </c>
      <c r="N4" s="28">
        <f t="shared" si="1"/>
        <v>373</v>
      </c>
      <c r="O4" s="28">
        <f t="shared" si="1"/>
        <v>394</v>
      </c>
      <c r="P4" s="28">
        <f t="shared" si="1"/>
        <v>366</v>
      </c>
      <c r="Q4" s="28">
        <f t="shared" si="1"/>
        <v>418</v>
      </c>
      <c r="R4" s="28">
        <f t="shared" si="1"/>
        <v>417</v>
      </c>
      <c r="S4" s="28">
        <f t="shared" si="1"/>
        <v>438</v>
      </c>
      <c r="T4" s="28">
        <f t="shared" si="1"/>
        <v>462.5</v>
      </c>
      <c r="U4" s="28">
        <f t="shared" si="1"/>
        <v>494.2</v>
      </c>
      <c r="V4" s="28">
        <f t="shared" si="1"/>
        <v>299.73171150447064</v>
      </c>
      <c r="W4" s="28">
        <f t="shared" ref="W4:Y4" si="2">SUM(W5,W6,W9)</f>
        <v>348.7</v>
      </c>
      <c r="X4" s="28">
        <f t="shared" si="2"/>
        <v>487.55</v>
      </c>
      <c r="Y4" s="28">
        <f t="shared" si="2"/>
        <v>614.5</v>
      </c>
      <c r="DA4" s="173" t="s">
        <v>376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19.5</v>
      </c>
      <c r="U5" s="108">
        <v>31.2</v>
      </c>
      <c r="V5" s="108">
        <v>31.731711504470649</v>
      </c>
      <c r="W5" s="108">
        <v>44.699999999999996</v>
      </c>
      <c r="X5" s="108">
        <v>98.55</v>
      </c>
      <c r="Y5" s="108">
        <v>109.5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332</v>
      </c>
      <c r="C6" s="110">
        <f t="shared" ref="C6:V6" si="4">SUM(C7:C8)</f>
        <v>346</v>
      </c>
      <c r="D6" s="110">
        <f t="shared" si="4"/>
        <v>268</v>
      </c>
      <c r="E6" s="110">
        <f t="shared" si="4"/>
        <v>262</v>
      </c>
      <c r="F6" s="110">
        <f t="shared" si="4"/>
        <v>253</v>
      </c>
      <c r="G6" s="110">
        <f t="shared" si="4"/>
        <v>267</v>
      </c>
      <c r="H6" s="110">
        <f t="shared" si="4"/>
        <v>298</v>
      </c>
      <c r="I6" s="110">
        <f t="shared" si="4"/>
        <v>316</v>
      </c>
      <c r="J6" s="110">
        <f t="shared" si="4"/>
        <v>345</v>
      </c>
      <c r="K6" s="110">
        <f t="shared" si="4"/>
        <v>333</v>
      </c>
      <c r="L6" s="110">
        <f t="shared" si="4"/>
        <v>347</v>
      </c>
      <c r="M6" s="110">
        <f t="shared" si="4"/>
        <v>349</v>
      </c>
      <c r="N6" s="110">
        <f t="shared" si="4"/>
        <v>373</v>
      </c>
      <c r="O6" s="110">
        <f t="shared" si="4"/>
        <v>394</v>
      </c>
      <c r="P6" s="110">
        <f t="shared" si="4"/>
        <v>366</v>
      </c>
      <c r="Q6" s="110">
        <f t="shared" si="4"/>
        <v>418</v>
      </c>
      <c r="R6" s="110">
        <f t="shared" si="4"/>
        <v>417</v>
      </c>
      <c r="S6" s="110">
        <f t="shared" si="4"/>
        <v>438</v>
      </c>
      <c r="T6" s="110">
        <f t="shared" si="4"/>
        <v>443</v>
      </c>
      <c r="U6" s="110">
        <f t="shared" si="4"/>
        <v>463</v>
      </c>
      <c r="V6" s="110">
        <f t="shared" si="4"/>
        <v>268</v>
      </c>
      <c r="W6" s="110">
        <f t="shared" ref="W6:Y6" si="5">SUM(W7:W8)</f>
        <v>304</v>
      </c>
      <c r="X6" s="110">
        <f t="shared" si="5"/>
        <v>389</v>
      </c>
      <c r="Y6" s="110">
        <f t="shared" si="5"/>
        <v>505</v>
      </c>
      <c r="DA6" s="176" t="s">
        <v>378</v>
      </c>
    </row>
    <row r="7" spans="1:105" ht="11.45" customHeight="1" x14ac:dyDescent="0.25">
      <c r="A7" s="111" t="s">
        <v>90</v>
      </c>
      <c r="B7" s="84">
        <v>72.691862044751147</v>
      </c>
      <c r="C7" s="84">
        <v>74.317210816327531</v>
      </c>
      <c r="D7" s="84">
        <v>72.241204237515163</v>
      </c>
      <c r="E7" s="84">
        <v>52.881026757355258</v>
      </c>
      <c r="F7" s="84">
        <v>42.320218519253011</v>
      </c>
      <c r="G7" s="84">
        <v>30.388636683855704</v>
      </c>
      <c r="H7" s="84">
        <v>30.957830659533123</v>
      </c>
      <c r="I7" s="84">
        <v>49.776281709496985</v>
      </c>
      <c r="J7" s="84">
        <v>68.826264357039463</v>
      </c>
      <c r="K7" s="84">
        <v>55.685737539204922</v>
      </c>
      <c r="L7" s="84">
        <v>60.8709684324295</v>
      </c>
      <c r="M7" s="84">
        <v>55.17854942427158</v>
      </c>
      <c r="N7" s="84">
        <v>63.066077868175583</v>
      </c>
      <c r="O7" s="84">
        <v>50.854023882149114</v>
      </c>
      <c r="P7" s="84">
        <v>63.097159193219269</v>
      </c>
      <c r="Q7" s="84">
        <v>51.899531218201481</v>
      </c>
      <c r="R7" s="84">
        <v>52.932854057280672</v>
      </c>
      <c r="S7" s="84">
        <v>51.352756755835628</v>
      </c>
      <c r="T7" s="84">
        <v>59.627403451514681</v>
      </c>
      <c r="U7" s="84">
        <v>60.592993827526193</v>
      </c>
      <c r="V7" s="84">
        <v>33.21801989096177</v>
      </c>
      <c r="W7" s="84">
        <v>44.906013293562182</v>
      </c>
      <c r="X7" s="84">
        <v>52.130615240582685</v>
      </c>
      <c r="Y7" s="84">
        <v>67.676717670625465</v>
      </c>
      <c r="DA7" s="171" t="s">
        <v>1031</v>
      </c>
    </row>
    <row r="8" spans="1:105" ht="11.45" customHeight="1" x14ac:dyDescent="0.25">
      <c r="A8" s="111" t="s">
        <v>93</v>
      </c>
      <c r="B8" s="84">
        <v>259.30813795524887</v>
      </c>
      <c r="C8" s="84">
        <v>271.68278918367247</v>
      </c>
      <c r="D8" s="84">
        <v>195.75879576248485</v>
      </c>
      <c r="E8" s="84">
        <v>209.11897324264476</v>
      </c>
      <c r="F8" s="84">
        <v>210.67978148074698</v>
      </c>
      <c r="G8" s="84">
        <v>236.61136331614429</v>
      </c>
      <c r="H8" s="84">
        <v>267.0421693404669</v>
      </c>
      <c r="I8" s="84">
        <v>266.22371829050303</v>
      </c>
      <c r="J8" s="84">
        <v>276.17373564296054</v>
      </c>
      <c r="K8" s="84">
        <v>277.31426246079508</v>
      </c>
      <c r="L8" s="84">
        <v>286.12903156757051</v>
      </c>
      <c r="M8" s="84">
        <v>293.82145057572842</v>
      </c>
      <c r="N8" s="84">
        <v>309.93392213182443</v>
      </c>
      <c r="O8" s="84">
        <v>343.14597611785086</v>
      </c>
      <c r="P8" s="84">
        <v>302.90284080678072</v>
      </c>
      <c r="Q8" s="84">
        <v>366.1004687817985</v>
      </c>
      <c r="R8" s="84">
        <v>364.06714594271932</v>
      </c>
      <c r="S8" s="84">
        <v>386.64724324416437</v>
      </c>
      <c r="T8" s="84">
        <v>383.37259654848532</v>
      </c>
      <c r="U8" s="84">
        <v>402.40700617247381</v>
      </c>
      <c r="V8" s="84">
        <v>234.78198010903822</v>
      </c>
      <c r="W8" s="84">
        <v>259.09398670643782</v>
      </c>
      <c r="X8" s="84">
        <v>336.8693847594173</v>
      </c>
      <c r="Y8" s="84">
        <v>437.32328232937454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632</v>
      </c>
      <c r="C10" s="28">
        <f t="shared" ref="C10:V10" si="7">SUM(C11:C12)</f>
        <v>585</v>
      </c>
      <c r="D10" s="28">
        <f t="shared" si="7"/>
        <v>550</v>
      </c>
      <c r="E10" s="28">
        <f t="shared" si="7"/>
        <v>525</v>
      </c>
      <c r="F10" s="28">
        <f t="shared" si="7"/>
        <v>559</v>
      </c>
      <c r="G10" s="28">
        <f t="shared" si="7"/>
        <v>392</v>
      </c>
      <c r="H10" s="28">
        <f t="shared" si="7"/>
        <v>441</v>
      </c>
      <c r="I10" s="28">
        <f t="shared" si="7"/>
        <v>574</v>
      </c>
      <c r="J10" s="28">
        <f t="shared" si="7"/>
        <v>279</v>
      </c>
      <c r="K10" s="28">
        <f t="shared" si="7"/>
        <v>200</v>
      </c>
      <c r="L10" s="28">
        <f t="shared" si="7"/>
        <v>323</v>
      </c>
      <c r="M10" s="28">
        <f t="shared" si="7"/>
        <v>288</v>
      </c>
      <c r="N10" s="28">
        <f t="shared" si="7"/>
        <v>231</v>
      </c>
      <c r="O10" s="28">
        <f t="shared" si="7"/>
        <v>218</v>
      </c>
      <c r="P10" s="28">
        <f t="shared" si="7"/>
        <v>208</v>
      </c>
      <c r="Q10" s="28">
        <f t="shared" si="7"/>
        <v>207</v>
      </c>
      <c r="R10" s="28">
        <f t="shared" si="7"/>
        <v>201</v>
      </c>
      <c r="S10" s="28">
        <f t="shared" si="7"/>
        <v>213</v>
      </c>
      <c r="T10" s="28">
        <f t="shared" si="7"/>
        <v>223</v>
      </c>
      <c r="U10" s="28">
        <f t="shared" si="7"/>
        <v>191</v>
      </c>
      <c r="V10" s="28">
        <f t="shared" si="7"/>
        <v>162</v>
      </c>
      <c r="W10" s="28">
        <f t="shared" ref="W10:Y10" si="8">SUM(W11:W12)</f>
        <v>176</v>
      </c>
      <c r="X10" s="28">
        <f t="shared" si="8"/>
        <v>167</v>
      </c>
      <c r="Y10" s="28">
        <f t="shared" si="8"/>
        <v>174</v>
      </c>
      <c r="DA10" s="173" t="s">
        <v>384</v>
      </c>
    </row>
    <row r="11" spans="1:105" ht="11.45" customHeight="1" x14ac:dyDescent="0.25">
      <c r="A11" s="83" t="s">
        <v>90</v>
      </c>
      <c r="B11" s="84">
        <v>161.28054187871783</v>
      </c>
      <c r="C11" s="84">
        <v>146.57825235711081</v>
      </c>
      <c r="D11" s="84">
        <v>133.24643445167689</v>
      </c>
      <c r="E11" s="84">
        <v>113.12498970939558</v>
      </c>
      <c r="F11" s="84">
        <v>105.12140131157325</v>
      </c>
      <c r="G11" s="84">
        <v>48.458600895525144</v>
      </c>
      <c r="H11" s="84">
        <v>39.34703285638362</v>
      </c>
      <c r="I11" s="84">
        <v>61.909620512644779</v>
      </c>
      <c r="J11" s="84">
        <v>36.885039602566117</v>
      </c>
      <c r="K11" s="84">
        <v>23.530970901667359</v>
      </c>
      <c r="L11" s="84">
        <v>39.823392644211999</v>
      </c>
      <c r="M11" s="84">
        <v>32.074094161880303</v>
      </c>
      <c r="N11" s="84">
        <v>25.977931901941243</v>
      </c>
      <c r="O11" s="84">
        <v>22.49668275709654</v>
      </c>
      <c r="P11" s="84">
        <v>22.610955503821128</v>
      </c>
      <c r="Q11" s="84">
        <v>18.183045548930082</v>
      </c>
      <c r="R11" s="84">
        <v>18.044273680668127</v>
      </c>
      <c r="S11" s="84">
        <v>17.683369083561544</v>
      </c>
      <c r="T11" s="84">
        <v>20.48323409493544</v>
      </c>
      <c r="U11" s="84">
        <v>16.736924724462394</v>
      </c>
      <c r="V11" s="84">
        <v>15.661180805304973</v>
      </c>
      <c r="W11" s="84">
        <v>16.352681506774129</v>
      </c>
      <c r="X11" s="84">
        <v>13.076289868421215</v>
      </c>
      <c r="Y11" s="84">
        <v>13.973068296868224</v>
      </c>
      <c r="DA11" s="171" t="s">
        <v>1033</v>
      </c>
    </row>
    <row r="12" spans="1:105" ht="11.45" customHeight="1" x14ac:dyDescent="0.25">
      <c r="A12" s="85" t="s">
        <v>93</v>
      </c>
      <c r="B12" s="86">
        <v>470.71945812128217</v>
      </c>
      <c r="C12" s="86">
        <v>438.42174764288916</v>
      </c>
      <c r="D12" s="86">
        <v>416.75356554832308</v>
      </c>
      <c r="E12" s="86">
        <v>411.87501029060445</v>
      </c>
      <c r="F12" s="86">
        <v>453.87859868842673</v>
      </c>
      <c r="G12" s="86">
        <v>343.54139910447486</v>
      </c>
      <c r="H12" s="86">
        <v>401.65296714361637</v>
      </c>
      <c r="I12" s="86">
        <v>512.09037948735522</v>
      </c>
      <c r="J12" s="86">
        <v>242.11496039743389</v>
      </c>
      <c r="K12" s="86">
        <v>176.46902909833264</v>
      </c>
      <c r="L12" s="86">
        <v>283.17660735578801</v>
      </c>
      <c r="M12" s="86">
        <v>255.92590583811969</v>
      </c>
      <c r="N12" s="86">
        <v>205.02206809805875</v>
      </c>
      <c r="O12" s="86">
        <v>195.50331724290345</v>
      </c>
      <c r="P12" s="86">
        <v>185.38904449617888</v>
      </c>
      <c r="Q12" s="86">
        <v>188.81695445106993</v>
      </c>
      <c r="R12" s="86">
        <v>182.95572631933186</v>
      </c>
      <c r="S12" s="86">
        <v>195.31663091643844</v>
      </c>
      <c r="T12" s="86">
        <v>202.51676590506457</v>
      </c>
      <c r="U12" s="86">
        <v>174.2630752755376</v>
      </c>
      <c r="V12" s="86">
        <v>146.33881919469502</v>
      </c>
      <c r="W12" s="86">
        <v>159.64731849322587</v>
      </c>
      <c r="X12" s="86">
        <v>153.92371013157879</v>
      </c>
      <c r="Y12" s="86">
        <v>160.02693170313177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4.3916204931631544</v>
      </c>
      <c r="C14" s="62">
        <f t="shared" ref="C14:V14" si="10">C15+C21</f>
        <v>5.071283670374914</v>
      </c>
      <c r="D14" s="62">
        <f t="shared" si="10"/>
        <v>5.1254780882145505</v>
      </c>
      <c r="E14" s="62">
        <f t="shared" si="10"/>
        <v>4.6300603127006195</v>
      </c>
      <c r="F14" s="62">
        <f t="shared" si="10"/>
        <v>4.6258635940244215</v>
      </c>
      <c r="G14" s="62">
        <f t="shared" si="10"/>
        <v>5.2930214072461874</v>
      </c>
      <c r="H14" s="62">
        <f t="shared" si="10"/>
        <v>5.9353392275891013</v>
      </c>
      <c r="I14" s="62">
        <f t="shared" si="10"/>
        <v>6.5194558869006736</v>
      </c>
      <c r="J14" s="62">
        <f t="shared" si="10"/>
        <v>6.8869817066078705</v>
      </c>
      <c r="K14" s="62">
        <f t="shared" si="10"/>
        <v>6.7461431175020419</v>
      </c>
      <c r="L14" s="62">
        <f t="shared" si="10"/>
        <v>7.3464744653127516</v>
      </c>
      <c r="M14" s="62">
        <f t="shared" si="10"/>
        <v>7.8624666487848467</v>
      </c>
      <c r="N14" s="62">
        <f t="shared" si="10"/>
        <v>8.0619535270443201</v>
      </c>
      <c r="O14" s="62">
        <f t="shared" si="10"/>
        <v>8.4795359601096845</v>
      </c>
      <c r="P14" s="62">
        <f t="shared" si="10"/>
        <v>8.5806720688643896</v>
      </c>
      <c r="Q14" s="62">
        <f t="shared" si="10"/>
        <v>8.9428729632178836</v>
      </c>
      <c r="R14" s="62">
        <f t="shared" si="10"/>
        <v>9.1190944543536734</v>
      </c>
      <c r="S14" s="62">
        <f t="shared" si="10"/>
        <v>9.3213012736260339</v>
      </c>
      <c r="T14" s="62">
        <f t="shared" si="10"/>
        <v>10.372502302747103</v>
      </c>
      <c r="U14" s="62">
        <f t="shared" si="10"/>
        <v>10.628342261151058</v>
      </c>
      <c r="V14" s="62">
        <f t="shared" si="10"/>
        <v>9.6692208036400764</v>
      </c>
      <c r="W14" s="62">
        <f t="shared" ref="W14:Y14" si="11">W15+W21</f>
        <v>10.724582348451278</v>
      </c>
      <c r="X14" s="62">
        <f t="shared" si="11"/>
        <v>10.864061030044786</v>
      </c>
      <c r="Y14" s="62">
        <f t="shared" si="11"/>
        <v>10.863745652401688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3.1249090083112674</v>
      </c>
      <c r="C15" s="29">
        <f t="shared" ref="C15:V15" si="13">SUM(C16,C17,C20)</f>
        <v>3.6351322759075488</v>
      </c>
      <c r="D15" s="29">
        <f t="shared" si="13"/>
        <v>3.6308290265464924</v>
      </c>
      <c r="E15" s="29">
        <f t="shared" si="13"/>
        <v>3.2032895579552378</v>
      </c>
      <c r="F15" s="29">
        <f t="shared" si="13"/>
        <v>3.1066786328356555</v>
      </c>
      <c r="G15" s="29">
        <f t="shared" si="13"/>
        <v>4.2035122050230891</v>
      </c>
      <c r="H15" s="29">
        <f t="shared" si="13"/>
        <v>4.8000271739577842</v>
      </c>
      <c r="I15" s="29">
        <f t="shared" si="13"/>
        <v>5.1323712983685024</v>
      </c>
      <c r="J15" s="29">
        <f t="shared" si="13"/>
        <v>5.9841785170420767</v>
      </c>
      <c r="K15" s="29">
        <f t="shared" si="13"/>
        <v>6.0560114227581519</v>
      </c>
      <c r="L15" s="29">
        <f t="shared" si="13"/>
        <v>6.5613351372745532</v>
      </c>
      <c r="M15" s="29">
        <f t="shared" si="13"/>
        <v>7.1512706354474966</v>
      </c>
      <c r="N15" s="29">
        <f t="shared" si="13"/>
        <v>7.4564289252213882</v>
      </c>
      <c r="O15" s="29">
        <f t="shared" si="13"/>
        <v>7.8872102863970923</v>
      </c>
      <c r="P15" s="29">
        <f t="shared" si="13"/>
        <v>8.0296000111639145</v>
      </c>
      <c r="Q15" s="29">
        <f t="shared" si="13"/>
        <v>8.3760820136417955</v>
      </c>
      <c r="R15" s="29">
        <f t="shared" si="13"/>
        <v>8.5775012202849066</v>
      </c>
      <c r="S15" s="29">
        <f t="shared" si="13"/>
        <v>8.7430029831553355</v>
      </c>
      <c r="T15" s="29">
        <f t="shared" si="13"/>
        <v>9.8002271564900898</v>
      </c>
      <c r="U15" s="29">
        <f t="shared" si="13"/>
        <v>10.074190675600283</v>
      </c>
      <c r="V15" s="29">
        <f t="shared" si="13"/>
        <v>9.1742962767659222</v>
      </c>
      <c r="W15" s="29">
        <f t="shared" ref="W15:Y15" si="14">SUM(W16,W17,W20)</f>
        <v>10.22358023138376</v>
      </c>
      <c r="X15" s="29">
        <f t="shared" si="14"/>
        <v>10.396796313238427</v>
      </c>
      <c r="Y15" s="29">
        <f t="shared" si="14"/>
        <v>10.39309964657833</v>
      </c>
      <c r="DA15" s="173" t="s">
        <v>1036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0.44476655952629607</v>
      </c>
      <c r="U16" s="115">
        <v>0.70475161987041046</v>
      </c>
      <c r="V16" s="115">
        <v>0.71814216040148104</v>
      </c>
      <c r="W16" s="115">
        <v>0.94107815926535077</v>
      </c>
      <c r="X16" s="115">
        <v>1.567772935411311</v>
      </c>
      <c r="Y16" s="115">
        <v>1.3802315387788779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3.1249090083112674</v>
      </c>
      <c r="C17" s="116">
        <f t="shared" ref="C17:V17" si="16">SUM(C18:C19)</f>
        <v>3.6351322759075488</v>
      </c>
      <c r="D17" s="116">
        <f t="shared" si="16"/>
        <v>3.6308290265464924</v>
      </c>
      <c r="E17" s="116">
        <f t="shared" si="16"/>
        <v>3.2032895579552378</v>
      </c>
      <c r="F17" s="116">
        <f t="shared" si="16"/>
        <v>3.1066786328356555</v>
      </c>
      <c r="G17" s="116">
        <f t="shared" si="16"/>
        <v>4.2035122050230891</v>
      </c>
      <c r="H17" s="116">
        <f t="shared" si="16"/>
        <v>4.8000271739577842</v>
      </c>
      <c r="I17" s="116">
        <f t="shared" si="16"/>
        <v>5.1323712983685024</v>
      </c>
      <c r="J17" s="116">
        <f t="shared" si="16"/>
        <v>5.9841785170420767</v>
      </c>
      <c r="K17" s="116">
        <f t="shared" si="16"/>
        <v>6.0560114227581519</v>
      </c>
      <c r="L17" s="116">
        <f t="shared" si="16"/>
        <v>6.5613351372745532</v>
      </c>
      <c r="M17" s="116">
        <f t="shared" si="16"/>
        <v>7.1512706354474966</v>
      </c>
      <c r="N17" s="116">
        <f t="shared" si="16"/>
        <v>7.4564289252213882</v>
      </c>
      <c r="O17" s="116">
        <f t="shared" si="16"/>
        <v>7.8872102863970923</v>
      </c>
      <c r="P17" s="116">
        <f t="shared" si="16"/>
        <v>8.0296000111639145</v>
      </c>
      <c r="Q17" s="116">
        <f t="shared" si="16"/>
        <v>8.3760820136417955</v>
      </c>
      <c r="R17" s="116">
        <f t="shared" si="16"/>
        <v>8.5775012202849066</v>
      </c>
      <c r="S17" s="116">
        <f t="shared" si="16"/>
        <v>8.7430029831553355</v>
      </c>
      <c r="T17" s="116">
        <f t="shared" si="16"/>
        <v>9.355460596963793</v>
      </c>
      <c r="U17" s="116">
        <f t="shared" si="16"/>
        <v>9.3694390557298721</v>
      </c>
      <c r="V17" s="116">
        <f t="shared" si="16"/>
        <v>8.4561541163644414</v>
      </c>
      <c r="W17" s="116">
        <f t="shared" ref="W17:Y17" si="17">SUM(W18:W19)</f>
        <v>9.2825020721184099</v>
      </c>
      <c r="X17" s="116">
        <f t="shared" si="17"/>
        <v>8.8290233778271165</v>
      </c>
      <c r="Y17" s="116">
        <f t="shared" si="17"/>
        <v>9.0128681077994521</v>
      </c>
      <c r="DA17" s="176" t="s">
        <v>1038</v>
      </c>
    </row>
    <row r="18" spans="1:105" ht="11.45" customHeight="1" x14ac:dyDescent="0.25">
      <c r="A18" s="111" t="s">
        <v>92</v>
      </c>
      <c r="B18" s="87">
        <v>1.6240042028652064</v>
      </c>
      <c r="C18" s="87">
        <v>1.8948962294102412</v>
      </c>
      <c r="D18" s="87">
        <v>1.8430003632075975</v>
      </c>
      <c r="E18" s="87">
        <v>1.3724536792766469</v>
      </c>
      <c r="F18" s="87">
        <v>1.1108094385359029</v>
      </c>
      <c r="G18" s="87">
        <v>0.80254673520392328</v>
      </c>
      <c r="H18" s="87">
        <v>0.67743971909083023</v>
      </c>
      <c r="I18" s="87">
        <v>0.93672285138572819</v>
      </c>
      <c r="J18" s="87">
        <v>1.3860621510992845</v>
      </c>
      <c r="K18" s="87">
        <v>1.1696722940019859</v>
      </c>
      <c r="L18" s="87">
        <v>1.3968391212368372</v>
      </c>
      <c r="M18" s="87">
        <v>1.3743016361533236</v>
      </c>
      <c r="N18" s="87">
        <v>1.4225866351519858</v>
      </c>
      <c r="O18" s="87">
        <v>1.3821420354573191</v>
      </c>
      <c r="P18" s="87">
        <v>1.5055213185860865</v>
      </c>
      <c r="Q18" s="87">
        <v>1.2143673340690739</v>
      </c>
      <c r="R18" s="87">
        <v>1.2634914332247291</v>
      </c>
      <c r="S18" s="87">
        <v>1.1824078756912744</v>
      </c>
      <c r="T18" s="87">
        <v>1.424502207354444</v>
      </c>
      <c r="U18" s="87">
        <v>1.3637181507645801</v>
      </c>
      <c r="V18" s="87">
        <v>1.3590637992056549</v>
      </c>
      <c r="W18" s="87">
        <v>1.4461309916983045</v>
      </c>
      <c r="X18" s="87">
        <v>1.172263289940553</v>
      </c>
      <c r="Y18" s="87">
        <v>1.2270055870345755</v>
      </c>
      <c r="DA18" s="171" t="s">
        <v>1039</v>
      </c>
    </row>
    <row r="19" spans="1:105" ht="11.45" customHeight="1" x14ac:dyDescent="0.25">
      <c r="A19" s="111" t="s">
        <v>93</v>
      </c>
      <c r="B19" s="87">
        <v>1.500904805446061</v>
      </c>
      <c r="C19" s="87">
        <v>1.7402360464973077</v>
      </c>
      <c r="D19" s="87">
        <v>1.7878286633388949</v>
      </c>
      <c r="E19" s="87">
        <v>1.830835878678591</v>
      </c>
      <c r="F19" s="87">
        <v>1.9958691942997526</v>
      </c>
      <c r="G19" s="87">
        <v>3.4009654698191656</v>
      </c>
      <c r="H19" s="87">
        <v>4.1225874548669541</v>
      </c>
      <c r="I19" s="87">
        <v>4.1956484469827746</v>
      </c>
      <c r="J19" s="87">
        <v>4.5981163659427917</v>
      </c>
      <c r="K19" s="87">
        <v>4.8863391287561662</v>
      </c>
      <c r="L19" s="87">
        <v>5.1644960160377158</v>
      </c>
      <c r="M19" s="87">
        <v>5.7769689992941728</v>
      </c>
      <c r="N19" s="87">
        <v>6.0338422900694022</v>
      </c>
      <c r="O19" s="87">
        <v>6.5050682509397735</v>
      </c>
      <c r="P19" s="87">
        <v>6.5240786925778282</v>
      </c>
      <c r="Q19" s="87">
        <v>7.1617146795727216</v>
      </c>
      <c r="R19" s="87">
        <v>7.3140097870601775</v>
      </c>
      <c r="S19" s="87">
        <v>7.5605951074640609</v>
      </c>
      <c r="T19" s="87">
        <v>7.9309583896093487</v>
      </c>
      <c r="U19" s="87">
        <v>8.0057209049652922</v>
      </c>
      <c r="V19" s="87">
        <v>7.097090317158786</v>
      </c>
      <c r="W19" s="87">
        <v>7.8363710804201059</v>
      </c>
      <c r="X19" s="87">
        <v>7.656760087886564</v>
      </c>
      <c r="Y19" s="87">
        <v>7.7858625207648764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1.2667114848518866</v>
      </c>
      <c r="C21" s="29">
        <f t="shared" ref="C21:V21" si="19">SUM(C22:C23)</f>
        <v>1.4361513944673654</v>
      </c>
      <c r="D21" s="29">
        <f t="shared" si="19"/>
        <v>1.4946490616680583</v>
      </c>
      <c r="E21" s="29">
        <f t="shared" si="19"/>
        <v>1.4267707547453821</v>
      </c>
      <c r="F21" s="29">
        <f t="shared" si="19"/>
        <v>1.5191849611887656</v>
      </c>
      <c r="G21" s="29">
        <f t="shared" si="19"/>
        <v>1.0895092022230981</v>
      </c>
      <c r="H21" s="29">
        <f t="shared" si="19"/>
        <v>1.1353120536313173</v>
      </c>
      <c r="I21" s="29">
        <f t="shared" si="19"/>
        <v>1.3870845885321712</v>
      </c>
      <c r="J21" s="29">
        <f t="shared" si="19"/>
        <v>0.90280318956579364</v>
      </c>
      <c r="K21" s="29">
        <f t="shared" si="19"/>
        <v>0.69013169474388958</v>
      </c>
      <c r="L21" s="29">
        <f t="shared" si="19"/>
        <v>0.78513932803819875</v>
      </c>
      <c r="M21" s="29">
        <f t="shared" si="19"/>
        <v>0.71119601333735039</v>
      </c>
      <c r="N21" s="29">
        <f t="shared" si="19"/>
        <v>0.60552460182293233</v>
      </c>
      <c r="O21" s="29">
        <f t="shared" si="19"/>
        <v>0.59232567371259293</v>
      </c>
      <c r="P21" s="29">
        <f t="shared" si="19"/>
        <v>0.55107205770047529</v>
      </c>
      <c r="Q21" s="29">
        <f t="shared" si="19"/>
        <v>0.56679094957608867</v>
      </c>
      <c r="R21" s="29">
        <f t="shared" si="19"/>
        <v>0.54159323406876658</v>
      </c>
      <c r="S21" s="29">
        <f t="shared" si="19"/>
        <v>0.57829829047069747</v>
      </c>
      <c r="T21" s="29">
        <f t="shared" si="19"/>
        <v>0.57227514625701359</v>
      </c>
      <c r="U21" s="29">
        <f t="shared" si="19"/>
        <v>0.55415158555077437</v>
      </c>
      <c r="V21" s="29">
        <f t="shared" si="19"/>
        <v>0.49492452687415445</v>
      </c>
      <c r="W21" s="29">
        <f t="shared" ref="W21:Y21" si="20">SUM(W22:W23)</f>
        <v>0.50100211706751885</v>
      </c>
      <c r="X21" s="29">
        <f t="shared" si="20"/>
        <v>0.4672647168063585</v>
      </c>
      <c r="Y21" s="29">
        <f t="shared" si="20"/>
        <v>0.47064600582335769</v>
      </c>
      <c r="DA21" s="173" t="s">
        <v>1042</v>
      </c>
    </row>
    <row r="22" spans="1:105" ht="11.45" customHeight="1" x14ac:dyDescent="0.25">
      <c r="A22" s="83" t="s">
        <v>92</v>
      </c>
      <c r="B22" s="87">
        <v>0.39533938875810598</v>
      </c>
      <c r="C22" s="87">
        <v>0.38907441963650885</v>
      </c>
      <c r="D22" s="87">
        <v>0.35341398810272245</v>
      </c>
      <c r="E22" s="87">
        <v>0.29929983292399787</v>
      </c>
      <c r="F22" s="87">
        <v>0.27741876858942727</v>
      </c>
      <c r="G22" s="87">
        <v>0.14329037538760114</v>
      </c>
      <c r="H22" s="87">
        <v>8.9801714737139673E-2</v>
      </c>
      <c r="I22" s="87">
        <v>0.13735806917796201</v>
      </c>
      <c r="J22" s="87">
        <v>8.4719069299349817E-2</v>
      </c>
      <c r="K22" s="87">
        <v>6.3617357436939068E-2</v>
      </c>
      <c r="L22" s="87">
        <v>7.4184153317548768E-2</v>
      </c>
      <c r="M22" s="87">
        <v>6.1260049375839801E-2</v>
      </c>
      <c r="N22" s="87">
        <v>5.6293627660972269E-2</v>
      </c>
      <c r="O22" s="87">
        <v>5.0476569654116378E-2</v>
      </c>
      <c r="P22" s="87">
        <v>4.9506002608750842E-2</v>
      </c>
      <c r="Q22" s="87">
        <v>4.1054003710937689E-2</v>
      </c>
      <c r="R22" s="87">
        <v>3.9272827195831111E-2</v>
      </c>
      <c r="S22" s="87">
        <v>3.8711406760537123E-2</v>
      </c>
      <c r="T22" s="87">
        <v>4.3566290533964311E-2</v>
      </c>
      <c r="U22" s="87">
        <v>3.9449020954831687E-2</v>
      </c>
      <c r="V22" s="87">
        <v>4.6882095661391648E-2</v>
      </c>
      <c r="W22" s="87">
        <v>3.8045152606155756E-2</v>
      </c>
      <c r="X22" s="87">
        <v>2.4246264871262229E-2</v>
      </c>
      <c r="Y22" s="87">
        <v>2.2457579466913648E-2</v>
      </c>
      <c r="DA22" s="171" t="s">
        <v>1043</v>
      </c>
    </row>
    <row r="23" spans="1:105" ht="11.45" customHeight="1" x14ac:dyDescent="0.25">
      <c r="A23" s="85" t="s">
        <v>93</v>
      </c>
      <c r="B23" s="88">
        <v>0.87137209609378052</v>
      </c>
      <c r="C23" s="88">
        <v>1.0470769748308566</v>
      </c>
      <c r="D23" s="88">
        <v>1.1412350735653358</v>
      </c>
      <c r="E23" s="88">
        <v>1.1274709218213843</v>
      </c>
      <c r="F23" s="88">
        <v>1.2417661925993384</v>
      </c>
      <c r="G23" s="88">
        <v>0.94621882683549696</v>
      </c>
      <c r="H23" s="88">
        <v>1.0455103388941775</v>
      </c>
      <c r="I23" s="88">
        <v>1.2497265193542093</v>
      </c>
      <c r="J23" s="88">
        <v>0.81808412026644384</v>
      </c>
      <c r="K23" s="88">
        <v>0.6265143373069505</v>
      </c>
      <c r="L23" s="88">
        <v>0.71095517472064995</v>
      </c>
      <c r="M23" s="88">
        <v>0.64993596396151054</v>
      </c>
      <c r="N23" s="88">
        <v>0.54923097416196009</v>
      </c>
      <c r="O23" s="88">
        <v>0.54184910405847653</v>
      </c>
      <c r="P23" s="88">
        <v>0.50156605509172447</v>
      </c>
      <c r="Q23" s="88">
        <v>0.52573694586515096</v>
      </c>
      <c r="R23" s="88">
        <v>0.50232040687293544</v>
      </c>
      <c r="S23" s="88">
        <v>0.53958688371016039</v>
      </c>
      <c r="T23" s="88">
        <v>0.52870885572304926</v>
      </c>
      <c r="U23" s="88">
        <v>0.51470256459594266</v>
      </c>
      <c r="V23" s="88">
        <v>0.44804243121276283</v>
      </c>
      <c r="W23" s="88">
        <v>0.46295696446136309</v>
      </c>
      <c r="X23" s="88">
        <v>0.44301845193509626</v>
      </c>
      <c r="Y23" s="88">
        <v>0.44818842635644407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27.166285999999996</v>
      </c>
      <c r="C25" s="62">
        <f t="shared" ref="C25:V25" si="22">C26+C32</f>
        <v>31.414973999999997</v>
      </c>
      <c r="D25" s="62">
        <f t="shared" si="22"/>
        <v>31.678773999999997</v>
      </c>
      <c r="E25" s="62">
        <f t="shared" si="22"/>
        <v>30.616329999999998</v>
      </c>
      <c r="F25" s="62">
        <f t="shared" si="22"/>
        <v>31.023052</v>
      </c>
      <c r="G25" s="62">
        <f t="shared" si="22"/>
        <v>38.674337000000001</v>
      </c>
      <c r="H25" s="62">
        <f t="shared" si="22"/>
        <v>41.769126</v>
      </c>
      <c r="I25" s="62">
        <f t="shared" si="22"/>
        <v>41.887035000000004</v>
      </c>
      <c r="J25" s="62">
        <f t="shared" si="22"/>
        <v>46.303890000000003</v>
      </c>
      <c r="K25" s="62">
        <f t="shared" si="22"/>
        <v>46.509350999999995</v>
      </c>
      <c r="L25" s="62">
        <f t="shared" si="22"/>
        <v>49.054730999999997</v>
      </c>
      <c r="M25" s="62">
        <f t="shared" si="22"/>
        <v>52.487327999999998</v>
      </c>
      <c r="N25" s="62">
        <f t="shared" si="22"/>
        <v>54.061198999999995</v>
      </c>
      <c r="O25" s="62">
        <f t="shared" si="22"/>
        <v>56.468302999999992</v>
      </c>
      <c r="P25" s="62">
        <f t="shared" si="22"/>
        <v>56.977028999999995</v>
      </c>
      <c r="Q25" s="62">
        <f t="shared" si="22"/>
        <v>59.667320999999994</v>
      </c>
      <c r="R25" s="62">
        <f t="shared" si="22"/>
        <v>59.891310999999995</v>
      </c>
      <c r="S25" s="62">
        <f t="shared" si="22"/>
        <v>61.178180999999995</v>
      </c>
      <c r="T25" s="62">
        <f t="shared" si="22"/>
        <v>69.274448000000007</v>
      </c>
      <c r="U25" s="62">
        <f t="shared" si="22"/>
        <v>71.640519999999995</v>
      </c>
      <c r="V25" s="62">
        <f t="shared" si="22"/>
        <v>70.434486000000007</v>
      </c>
      <c r="W25" s="62">
        <f t="shared" ref="W25:Y25" si="23">W26+W32</f>
        <v>72.943614999999994</v>
      </c>
      <c r="X25" s="62">
        <f t="shared" si="23"/>
        <v>76.388882999999993</v>
      </c>
      <c r="Y25" s="62">
        <f t="shared" si="23"/>
        <v>76.691501999999986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20.832727999999996</v>
      </c>
      <c r="C26" s="29">
        <f t="shared" ref="C26:V26" si="25">SUM(C27,C28,C31)</f>
        <v>24.234215999999996</v>
      </c>
      <c r="D26" s="29">
        <f t="shared" si="25"/>
        <v>24.205527999999997</v>
      </c>
      <c r="E26" s="29">
        <f t="shared" si="25"/>
        <v>23.409573999999999</v>
      </c>
      <c r="F26" s="29">
        <f t="shared" si="25"/>
        <v>23.427126999999999</v>
      </c>
      <c r="G26" s="29">
        <f t="shared" si="25"/>
        <v>31.711767000000002</v>
      </c>
      <c r="H26" s="29">
        <f t="shared" si="25"/>
        <v>35.439911000000002</v>
      </c>
      <c r="I26" s="29">
        <f t="shared" si="25"/>
        <v>34.844315000000002</v>
      </c>
      <c r="J26" s="29">
        <f t="shared" si="25"/>
        <v>39.894525000000002</v>
      </c>
      <c r="K26" s="29">
        <f t="shared" si="25"/>
        <v>40.733340999999996</v>
      </c>
      <c r="L26" s="29">
        <f t="shared" si="25"/>
        <v>43.742234999999994</v>
      </c>
      <c r="M26" s="29">
        <f t="shared" si="25"/>
        <v>47.675137999999997</v>
      </c>
      <c r="N26" s="29">
        <f t="shared" si="25"/>
        <v>49.709526999999994</v>
      </c>
      <c r="O26" s="29">
        <f t="shared" si="25"/>
        <v>52.581402999999995</v>
      </c>
      <c r="P26" s="29">
        <f t="shared" si="25"/>
        <v>53.530666999999994</v>
      </c>
      <c r="Q26" s="29">
        <f t="shared" si="25"/>
        <v>56.698904999999996</v>
      </c>
      <c r="R26" s="29">
        <f t="shared" si="25"/>
        <v>57.183342999999994</v>
      </c>
      <c r="S26" s="29">
        <f t="shared" si="25"/>
        <v>58.286687999999998</v>
      </c>
      <c r="T26" s="29">
        <f t="shared" si="25"/>
        <v>66.413071000000002</v>
      </c>
      <c r="U26" s="29">
        <f t="shared" si="25"/>
        <v>68.869760999999997</v>
      </c>
      <c r="V26" s="29">
        <f t="shared" si="25"/>
        <v>67.959862000000001</v>
      </c>
      <c r="W26" s="29">
        <f t="shared" ref="W26:Y26" si="26">SUM(W27,W28,W31)</f>
        <v>70.438603999999998</v>
      </c>
      <c r="X26" s="29">
        <f t="shared" si="26"/>
        <v>74.052557999999991</v>
      </c>
      <c r="Y26" s="29">
        <f t="shared" si="26"/>
        <v>74.338270999999992</v>
      </c>
      <c r="DA26" s="173" t="s">
        <v>1046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4.0433330000000005</v>
      </c>
      <c r="U27" s="115">
        <v>6.4068329999999998</v>
      </c>
      <c r="V27" s="115">
        <v>6.5285660000000005</v>
      </c>
      <c r="W27" s="115">
        <v>8.555256</v>
      </c>
      <c r="X27" s="115">
        <v>14.252481999999999</v>
      </c>
      <c r="Y27" s="115">
        <v>14.252482000000001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20.832727999999996</v>
      </c>
      <c r="C28" s="116">
        <f t="shared" ref="C28:V28" si="28">SUM(C29:C30)</f>
        <v>24.234215999999996</v>
      </c>
      <c r="D28" s="116">
        <f t="shared" si="28"/>
        <v>24.205527999999997</v>
      </c>
      <c r="E28" s="116">
        <f t="shared" si="28"/>
        <v>23.409573999999999</v>
      </c>
      <c r="F28" s="116">
        <f t="shared" si="28"/>
        <v>23.427126999999999</v>
      </c>
      <c r="G28" s="116">
        <f t="shared" si="28"/>
        <v>31.711767000000002</v>
      </c>
      <c r="H28" s="116">
        <f t="shared" si="28"/>
        <v>35.439911000000002</v>
      </c>
      <c r="I28" s="116">
        <f t="shared" si="28"/>
        <v>34.844315000000002</v>
      </c>
      <c r="J28" s="116">
        <f t="shared" si="28"/>
        <v>39.894525000000002</v>
      </c>
      <c r="K28" s="116">
        <f t="shared" si="28"/>
        <v>40.733340999999996</v>
      </c>
      <c r="L28" s="116">
        <f t="shared" si="28"/>
        <v>43.742234999999994</v>
      </c>
      <c r="M28" s="116">
        <f t="shared" si="28"/>
        <v>47.675137999999997</v>
      </c>
      <c r="N28" s="116">
        <f t="shared" si="28"/>
        <v>49.709526999999994</v>
      </c>
      <c r="O28" s="116">
        <f t="shared" si="28"/>
        <v>52.581402999999995</v>
      </c>
      <c r="P28" s="116">
        <f t="shared" si="28"/>
        <v>53.530666999999994</v>
      </c>
      <c r="Q28" s="116">
        <f t="shared" si="28"/>
        <v>56.698904999999996</v>
      </c>
      <c r="R28" s="116">
        <f t="shared" si="28"/>
        <v>57.183342999999994</v>
      </c>
      <c r="S28" s="116">
        <f t="shared" si="28"/>
        <v>58.286687999999998</v>
      </c>
      <c r="T28" s="116">
        <f t="shared" si="28"/>
        <v>62.369737999999998</v>
      </c>
      <c r="U28" s="116">
        <f t="shared" si="28"/>
        <v>62.462927999999991</v>
      </c>
      <c r="V28" s="116">
        <f t="shared" si="28"/>
        <v>61.431295999999996</v>
      </c>
      <c r="W28" s="116">
        <f t="shared" ref="W28:Y28" si="29">SUM(W29:W30)</f>
        <v>61.883347999999991</v>
      </c>
      <c r="X28" s="116">
        <f t="shared" si="29"/>
        <v>59.800075999999997</v>
      </c>
      <c r="Y28" s="116">
        <f t="shared" si="29"/>
        <v>60.085788999999991</v>
      </c>
      <c r="DA28" s="176" t="s">
        <v>1048</v>
      </c>
    </row>
    <row r="29" spans="1:105" ht="11.45" customHeight="1" x14ac:dyDescent="0.25">
      <c r="A29" s="111" t="s">
        <v>92</v>
      </c>
      <c r="B29" s="87">
        <v>10.826694999999999</v>
      </c>
      <c r="C29" s="87">
        <v>12.632641999999999</v>
      </c>
      <c r="D29" s="87">
        <v>12.286669999999999</v>
      </c>
      <c r="E29" s="87">
        <v>11.204001</v>
      </c>
      <c r="F29" s="87">
        <v>10.121331999999999</v>
      </c>
      <c r="G29" s="87">
        <v>9.0386629999999997</v>
      </c>
      <c r="H29" s="87">
        <v>7.9559940000000005</v>
      </c>
      <c r="I29" s="87">
        <v>6.8733250000000004</v>
      </c>
      <c r="J29" s="87">
        <v>9.2404149999999987</v>
      </c>
      <c r="K29" s="87">
        <v>8.1577459999999995</v>
      </c>
      <c r="L29" s="87">
        <v>9.3122609999999995</v>
      </c>
      <c r="M29" s="87">
        <v>9.1620109999999997</v>
      </c>
      <c r="N29" s="87">
        <v>9.4839109999999991</v>
      </c>
      <c r="O29" s="87">
        <v>9.2142809999999997</v>
      </c>
      <c r="P29" s="87">
        <v>10.036809</v>
      </c>
      <c r="Q29" s="87">
        <v>8.9541399999999989</v>
      </c>
      <c r="R29" s="87">
        <v>8.4232769999999988</v>
      </c>
      <c r="S29" s="87">
        <v>7.8827199999999999</v>
      </c>
      <c r="T29" s="87">
        <v>9.4966819999999998</v>
      </c>
      <c r="U29" s="87">
        <v>9.0914549999999998</v>
      </c>
      <c r="V29" s="87">
        <v>9.0604259999999996</v>
      </c>
      <c r="W29" s="87">
        <v>9.6408739999999984</v>
      </c>
      <c r="X29" s="87">
        <v>8.5582049999999992</v>
      </c>
      <c r="Y29" s="87">
        <v>8.1800379999999997</v>
      </c>
      <c r="DA29" s="171" t="s">
        <v>1049</v>
      </c>
    </row>
    <row r="30" spans="1:105" ht="11.45" customHeight="1" x14ac:dyDescent="0.25">
      <c r="A30" s="111" t="s">
        <v>93</v>
      </c>
      <c r="B30" s="87">
        <v>10.006032999999999</v>
      </c>
      <c r="C30" s="87">
        <v>11.601573999999999</v>
      </c>
      <c r="D30" s="87">
        <v>11.918857999999998</v>
      </c>
      <c r="E30" s="87">
        <v>12.205572999999999</v>
      </c>
      <c r="F30" s="87">
        <v>13.305795</v>
      </c>
      <c r="G30" s="87">
        <v>22.673104000000002</v>
      </c>
      <c r="H30" s="87">
        <v>27.483917000000002</v>
      </c>
      <c r="I30" s="87">
        <v>27.97099</v>
      </c>
      <c r="J30" s="87">
        <v>30.654109999999999</v>
      </c>
      <c r="K30" s="87">
        <v>32.575595</v>
      </c>
      <c r="L30" s="87">
        <v>34.429973999999994</v>
      </c>
      <c r="M30" s="87">
        <v>38.513126999999997</v>
      </c>
      <c r="N30" s="87">
        <v>40.225615999999995</v>
      </c>
      <c r="O30" s="87">
        <v>43.367121999999995</v>
      </c>
      <c r="P30" s="87">
        <v>43.493857999999996</v>
      </c>
      <c r="Q30" s="87">
        <v>47.744765000000001</v>
      </c>
      <c r="R30" s="87">
        <v>48.760065999999995</v>
      </c>
      <c r="S30" s="87">
        <v>50.403967999999999</v>
      </c>
      <c r="T30" s="87">
        <v>52.873055999999998</v>
      </c>
      <c r="U30" s="87">
        <v>53.371472999999995</v>
      </c>
      <c r="V30" s="87">
        <v>52.370869999999996</v>
      </c>
      <c r="W30" s="87">
        <v>52.242473999999994</v>
      </c>
      <c r="X30" s="87">
        <v>51.241870999999996</v>
      </c>
      <c r="Y30" s="87">
        <v>51.905750999999995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6.333558</v>
      </c>
      <c r="C32" s="29">
        <f t="shared" ref="C32:V32" si="31">SUM(C33:C34)</f>
        <v>7.180758</v>
      </c>
      <c r="D32" s="29">
        <f t="shared" si="31"/>
        <v>7.4732459999999996</v>
      </c>
      <c r="E32" s="29">
        <f t="shared" si="31"/>
        <v>7.2067560000000004</v>
      </c>
      <c r="F32" s="29">
        <f t="shared" si="31"/>
        <v>7.5959249999999994</v>
      </c>
      <c r="G32" s="29">
        <f t="shared" si="31"/>
        <v>6.9625700000000004</v>
      </c>
      <c r="H32" s="29">
        <f t="shared" si="31"/>
        <v>6.3292149999999996</v>
      </c>
      <c r="I32" s="29">
        <f t="shared" si="31"/>
        <v>7.0427200000000001</v>
      </c>
      <c r="J32" s="29">
        <f t="shared" si="31"/>
        <v>6.4093650000000002</v>
      </c>
      <c r="K32" s="29">
        <f t="shared" si="31"/>
        <v>5.7760099999999994</v>
      </c>
      <c r="L32" s="29">
        <f t="shared" si="31"/>
        <v>5.3124960000000003</v>
      </c>
      <c r="M32" s="29">
        <f t="shared" si="31"/>
        <v>4.8121900000000002</v>
      </c>
      <c r="N32" s="29">
        <f t="shared" si="31"/>
        <v>4.3516720000000007</v>
      </c>
      <c r="O32" s="29">
        <f t="shared" si="31"/>
        <v>3.8869000000000002</v>
      </c>
      <c r="P32" s="29">
        <f t="shared" si="31"/>
        <v>3.4463620000000001</v>
      </c>
      <c r="Q32" s="29">
        <f t="shared" si="31"/>
        <v>2.9684160000000004</v>
      </c>
      <c r="R32" s="29">
        <f t="shared" si="31"/>
        <v>2.7079680000000002</v>
      </c>
      <c r="S32" s="29">
        <f t="shared" si="31"/>
        <v>2.8914930000000001</v>
      </c>
      <c r="T32" s="29">
        <f t="shared" si="31"/>
        <v>2.8613770000000001</v>
      </c>
      <c r="U32" s="29">
        <f t="shared" si="31"/>
        <v>2.770759</v>
      </c>
      <c r="V32" s="29">
        <f t="shared" si="31"/>
        <v>2.4746240000000004</v>
      </c>
      <c r="W32" s="29">
        <f t="shared" ref="W32:Y32" si="32">SUM(W33:W34)</f>
        <v>2.5050110000000001</v>
      </c>
      <c r="X32" s="29">
        <f t="shared" si="32"/>
        <v>2.336325</v>
      </c>
      <c r="Y32" s="29">
        <f t="shared" si="32"/>
        <v>2.3532310000000001</v>
      </c>
      <c r="DA32" s="173" t="s">
        <v>1052</v>
      </c>
    </row>
    <row r="33" spans="1:105" ht="11.45" customHeight="1" x14ac:dyDescent="0.25">
      <c r="A33" s="83" t="s">
        <v>92</v>
      </c>
      <c r="B33" s="87">
        <v>1.9766969999999999</v>
      </c>
      <c r="C33" s="87">
        <v>1.945373</v>
      </c>
      <c r="D33" s="87">
        <v>1.7670699999999999</v>
      </c>
      <c r="E33" s="87">
        <v>1.5694009999999998</v>
      </c>
      <c r="F33" s="87">
        <v>1.3870939999999998</v>
      </c>
      <c r="G33" s="87">
        <v>1.189425</v>
      </c>
      <c r="H33" s="87">
        <v>0.99175600000000008</v>
      </c>
      <c r="I33" s="87">
        <v>0.79408699999999999</v>
      </c>
      <c r="J33" s="87">
        <v>0.596418</v>
      </c>
      <c r="K33" s="87">
        <v>0.39874899999999996</v>
      </c>
      <c r="L33" s="87">
        <v>0.370921</v>
      </c>
      <c r="M33" s="87">
        <v>0.30630099999999999</v>
      </c>
      <c r="N33" s="87">
        <v>0.28146899999999997</v>
      </c>
      <c r="O33" s="87">
        <v>0.25238299999999997</v>
      </c>
      <c r="P33" s="87">
        <v>0.247531</v>
      </c>
      <c r="Q33" s="87">
        <v>0.20527100000000001</v>
      </c>
      <c r="R33" s="87">
        <v>0.19636500000000001</v>
      </c>
      <c r="S33" s="87">
        <v>0.19355800000000001</v>
      </c>
      <c r="T33" s="87">
        <v>0.217832</v>
      </c>
      <c r="U33" s="87">
        <v>0.197246</v>
      </c>
      <c r="V33" s="87">
        <v>0.23441100000000001</v>
      </c>
      <c r="W33" s="87">
        <v>0.19022600000000001</v>
      </c>
      <c r="X33" s="87">
        <v>0.12123200000000001</v>
      </c>
      <c r="Y33" s="87">
        <v>0.112288</v>
      </c>
      <c r="DA33" s="171" t="s">
        <v>1053</v>
      </c>
    </row>
    <row r="34" spans="1:105" ht="11.45" customHeight="1" x14ac:dyDescent="0.25">
      <c r="A34" s="85" t="s">
        <v>93</v>
      </c>
      <c r="B34" s="88">
        <v>4.3568610000000003</v>
      </c>
      <c r="C34" s="88">
        <v>5.235385</v>
      </c>
      <c r="D34" s="88">
        <v>5.7061760000000001</v>
      </c>
      <c r="E34" s="88">
        <v>5.6373550000000003</v>
      </c>
      <c r="F34" s="88">
        <v>6.208831</v>
      </c>
      <c r="G34" s="88">
        <v>5.7731450000000004</v>
      </c>
      <c r="H34" s="88">
        <v>5.337459</v>
      </c>
      <c r="I34" s="88">
        <v>6.2486329999999999</v>
      </c>
      <c r="J34" s="88">
        <v>5.8129470000000003</v>
      </c>
      <c r="K34" s="88">
        <v>5.3772609999999998</v>
      </c>
      <c r="L34" s="88">
        <v>4.9415750000000003</v>
      </c>
      <c r="M34" s="88">
        <v>4.5058889999999998</v>
      </c>
      <c r="N34" s="88">
        <v>4.0702030000000002</v>
      </c>
      <c r="O34" s="88">
        <v>3.6345170000000002</v>
      </c>
      <c r="P34" s="88">
        <v>3.1988310000000002</v>
      </c>
      <c r="Q34" s="88">
        <v>2.7631450000000002</v>
      </c>
      <c r="R34" s="88">
        <v>2.511603</v>
      </c>
      <c r="S34" s="88">
        <v>2.6979350000000002</v>
      </c>
      <c r="T34" s="88">
        <v>2.643545</v>
      </c>
      <c r="U34" s="88">
        <v>2.5735130000000002</v>
      </c>
      <c r="V34" s="88">
        <v>2.2402130000000002</v>
      </c>
      <c r="W34" s="88">
        <v>2.3147850000000001</v>
      </c>
      <c r="X34" s="88">
        <v>2.215093</v>
      </c>
      <c r="Y34" s="88">
        <v>2.2409430000000001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5.2535790000000011</v>
      </c>
      <c r="D36" s="54">
        <f t="shared" ref="D36:V36" si="34">D37+D43</f>
        <v>1.3691789999999999</v>
      </c>
      <c r="E36" s="54">
        <f t="shared" si="34"/>
        <v>0.72388100000000133</v>
      </c>
      <c r="F36" s="54">
        <f t="shared" si="34"/>
        <v>2.1776850000000003</v>
      </c>
      <c r="G36" s="54">
        <f t="shared" si="34"/>
        <v>9.6987830000000024</v>
      </c>
      <c r="H36" s="54">
        <f t="shared" si="34"/>
        <v>5.1422869999999996</v>
      </c>
      <c r="I36" s="54">
        <f t="shared" si="34"/>
        <v>1.9042339999999989</v>
      </c>
      <c r="J36" s="54">
        <f t="shared" si="34"/>
        <v>5.8027729999999975</v>
      </c>
      <c r="K36" s="54">
        <f t="shared" si="34"/>
        <v>2.2529590000000006</v>
      </c>
      <c r="L36" s="54">
        <f t="shared" si="34"/>
        <v>3.8114439999999949</v>
      </c>
      <c r="M36" s="54">
        <f t="shared" si="34"/>
        <v>4.6986610000000031</v>
      </c>
      <c r="N36" s="54">
        <f t="shared" si="34"/>
        <v>2.8399349999999974</v>
      </c>
      <c r="O36" s="54">
        <f t="shared" si="34"/>
        <v>3.6731680000000004</v>
      </c>
      <c r="P36" s="54">
        <f t="shared" si="34"/>
        <v>1.7747900000000016</v>
      </c>
      <c r="Q36" s="54">
        <f t="shared" si="34"/>
        <v>4.6179360000000056</v>
      </c>
      <c r="R36" s="54">
        <f t="shared" si="34"/>
        <v>1.4156839999999937</v>
      </c>
      <c r="S36" s="54">
        <f t="shared" si="34"/>
        <v>2.4112290000000045</v>
      </c>
      <c r="T36" s="54">
        <f t="shared" si="34"/>
        <v>9.1011579999999999</v>
      </c>
      <c r="U36" s="54">
        <f t="shared" si="34"/>
        <v>3.3709629999999962</v>
      </c>
      <c r="V36" s="54">
        <f t="shared" si="34"/>
        <v>0.6267730000000008</v>
      </c>
      <c r="W36" s="54">
        <f t="shared" ref="W36:Y36" si="35">W37+W43</f>
        <v>3.5140199999999964</v>
      </c>
      <c r="X36" s="54">
        <f t="shared" si="35"/>
        <v>5.780867999999999</v>
      </c>
      <c r="Y36" s="54">
        <f t="shared" si="35"/>
        <v>1.3075100000000019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4.1540510000000008</v>
      </c>
      <c r="D37" s="28">
        <f t="shared" ref="D37:V37" si="37">SUM(D38,D39,D42)</f>
        <v>0.7238749999999996</v>
      </c>
      <c r="E37" s="28">
        <f t="shared" si="37"/>
        <v>0.61818900000000099</v>
      </c>
      <c r="F37" s="28">
        <f t="shared" si="37"/>
        <v>1.4316960000000005</v>
      </c>
      <c r="G37" s="28">
        <f t="shared" si="37"/>
        <v>9.6987830000000024</v>
      </c>
      <c r="H37" s="28">
        <f t="shared" si="37"/>
        <v>5.1422869999999996</v>
      </c>
      <c r="I37" s="28">
        <f t="shared" si="37"/>
        <v>0.8185469999999988</v>
      </c>
      <c r="J37" s="28">
        <f t="shared" si="37"/>
        <v>5.8027729999999975</v>
      </c>
      <c r="K37" s="28">
        <f t="shared" si="37"/>
        <v>2.2529590000000006</v>
      </c>
      <c r="L37" s="28">
        <f t="shared" si="37"/>
        <v>3.7614569999999947</v>
      </c>
      <c r="M37" s="28">
        <f t="shared" si="37"/>
        <v>4.6854660000000035</v>
      </c>
      <c r="N37" s="28">
        <f t="shared" si="37"/>
        <v>2.7869519999999977</v>
      </c>
      <c r="O37" s="28">
        <f t="shared" si="37"/>
        <v>3.6244390000000006</v>
      </c>
      <c r="P37" s="28">
        <f t="shared" si="37"/>
        <v>1.7018270000000015</v>
      </c>
      <c r="Q37" s="28">
        <f t="shared" si="37"/>
        <v>4.5823810000000051</v>
      </c>
      <c r="R37" s="28">
        <f t="shared" si="37"/>
        <v>1.3467749999999938</v>
      </c>
      <c r="S37" s="28">
        <f t="shared" si="37"/>
        <v>1.9753760000000042</v>
      </c>
      <c r="T37" s="28">
        <f t="shared" si="37"/>
        <v>8.8789459999999991</v>
      </c>
      <c r="U37" s="28">
        <f t="shared" si="37"/>
        <v>3.2092529999999959</v>
      </c>
      <c r="V37" s="28">
        <f t="shared" si="37"/>
        <v>0.51179300000000083</v>
      </c>
      <c r="W37" s="28">
        <f t="shared" ref="W37:Y37" si="38">SUM(W38,W39,W42)</f>
        <v>3.2313049999999963</v>
      </c>
      <c r="X37" s="28">
        <f t="shared" si="38"/>
        <v>5.6972259999999988</v>
      </c>
      <c r="Y37" s="28">
        <f t="shared" si="38"/>
        <v>1.0382760000000015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4.0433330000000005</v>
      </c>
      <c r="U38" s="108">
        <v>2.3634999999999993</v>
      </c>
      <c r="V38" s="108">
        <v>0.12173300000000076</v>
      </c>
      <c r="W38" s="108">
        <v>2.0266899999999994</v>
      </c>
      <c r="X38" s="108">
        <v>5.6972259999999988</v>
      </c>
      <c r="Y38" s="108">
        <v>1.7763568394002505E-15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4.1540510000000008</v>
      </c>
      <c r="D39" s="110">
        <f t="shared" ref="D39:V39" si="40">SUM(D40:D41)</f>
        <v>0.7238749999999996</v>
      </c>
      <c r="E39" s="110">
        <f t="shared" si="40"/>
        <v>0.61818900000000099</v>
      </c>
      <c r="F39" s="110">
        <f t="shared" si="40"/>
        <v>1.4316960000000005</v>
      </c>
      <c r="G39" s="110">
        <f t="shared" si="40"/>
        <v>9.6987830000000024</v>
      </c>
      <c r="H39" s="110">
        <f t="shared" si="40"/>
        <v>5.1422869999999996</v>
      </c>
      <c r="I39" s="110">
        <f t="shared" si="40"/>
        <v>0.8185469999999988</v>
      </c>
      <c r="J39" s="110">
        <f t="shared" si="40"/>
        <v>5.8027729999999975</v>
      </c>
      <c r="K39" s="110">
        <f t="shared" si="40"/>
        <v>2.2529590000000006</v>
      </c>
      <c r="L39" s="110">
        <f t="shared" si="40"/>
        <v>3.7614569999999947</v>
      </c>
      <c r="M39" s="110">
        <f t="shared" si="40"/>
        <v>4.6854660000000035</v>
      </c>
      <c r="N39" s="110">
        <f t="shared" si="40"/>
        <v>2.7869519999999977</v>
      </c>
      <c r="O39" s="110">
        <f t="shared" si="40"/>
        <v>3.6244390000000006</v>
      </c>
      <c r="P39" s="110">
        <f t="shared" si="40"/>
        <v>1.7018270000000015</v>
      </c>
      <c r="Q39" s="110">
        <f t="shared" si="40"/>
        <v>4.5823810000000051</v>
      </c>
      <c r="R39" s="110">
        <f t="shared" si="40"/>
        <v>1.3467749999999938</v>
      </c>
      <c r="S39" s="110">
        <f t="shared" si="40"/>
        <v>1.9753760000000042</v>
      </c>
      <c r="T39" s="110">
        <f t="shared" si="40"/>
        <v>4.8356129999999995</v>
      </c>
      <c r="U39" s="110">
        <f t="shared" si="40"/>
        <v>0.84575299999999665</v>
      </c>
      <c r="V39" s="110">
        <f t="shared" si="40"/>
        <v>0.39006000000000007</v>
      </c>
      <c r="W39" s="110">
        <f t="shared" ref="W39:Y39" si="41">SUM(W40:W41)</f>
        <v>1.2046149999999969</v>
      </c>
      <c r="X39" s="110">
        <f t="shared" si="41"/>
        <v>0</v>
      </c>
      <c r="Y39" s="110">
        <f t="shared" si="41"/>
        <v>1.0382759999999998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2.227036</v>
      </c>
      <c r="D40" s="84">
        <v>7.5117000000000544E-2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2.7881789999999986</v>
      </c>
      <c r="K40" s="84">
        <v>0</v>
      </c>
      <c r="L40" s="84">
        <v>1.5756040000000002</v>
      </c>
      <c r="M40" s="84">
        <v>0.2708390000000005</v>
      </c>
      <c r="N40" s="84">
        <v>0.74298899999999968</v>
      </c>
      <c r="O40" s="84">
        <v>0.1514590000000009</v>
      </c>
      <c r="P40" s="84">
        <v>1.2436170000000004</v>
      </c>
      <c r="Q40" s="84">
        <v>0</v>
      </c>
      <c r="R40" s="84">
        <v>0</v>
      </c>
      <c r="S40" s="84">
        <v>0</v>
      </c>
      <c r="T40" s="84">
        <v>2.0350510000000002</v>
      </c>
      <c r="U40" s="84">
        <v>1.5862000000000265E-2</v>
      </c>
      <c r="V40" s="84">
        <v>0.39006000000000007</v>
      </c>
      <c r="W40" s="84">
        <v>1.001536999999999</v>
      </c>
      <c r="X40" s="84">
        <v>0</v>
      </c>
      <c r="Y40" s="84">
        <v>4.2922000000000793E-2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1.9270150000000008</v>
      </c>
      <c r="D41" s="84">
        <v>0.64875799999999906</v>
      </c>
      <c r="E41" s="84">
        <v>0.61818900000000099</v>
      </c>
      <c r="F41" s="84">
        <v>1.4316960000000005</v>
      </c>
      <c r="G41" s="84">
        <v>9.6987830000000024</v>
      </c>
      <c r="H41" s="84">
        <v>5.1422869999999996</v>
      </c>
      <c r="I41" s="84">
        <v>0.8185469999999988</v>
      </c>
      <c r="J41" s="84">
        <v>3.0145939999999989</v>
      </c>
      <c r="K41" s="84">
        <v>2.2529590000000006</v>
      </c>
      <c r="L41" s="84">
        <v>2.1858529999999945</v>
      </c>
      <c r="M41" s="84">
        <v>4.414627000000003</v>
      </c>
      <c r="N41" s="84">
        <v>2.043962999999998</v>
      </c>
      <c r="O41" s="84">
        <v>3.4729799999999997</v>
      </c>
      <c r="P41" s="84">
        <v>0.45821000000000112</v>
      </c>
      <c r="Q41" s="84">
        <v>4.5823810000000051</v>
      </c>
      <c r="R41" s="84">
        <v>1.3467749999999938</v>
      </c>
      <c r="S41" s="84">
        <v>1.9753760000000042</v>
      </c>
      <c r="T41" s="84">
        <v>2.8005619999999993</v>
      </c>
      <c r="U41" s="84">
        <v>0.82989099999999638</v>
      </c>
      <c r="V41" s="84">
        <v>0</v>
      </c>
      <c r="W41" s="84">
        <v>0.20307799999999787</v>
      </c>
      <c r="X41" s="84">
        <v>0</v>
      </c>
      <c r="Y41" s="84">
        <v>0.99535399999999896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1.0995280000000001</v>
      </c>
      <c r="D43" s="28">
        <f t="shared" ref="D43:V43" si="43">SUM(D44:D45)</f>
        <v>0.64530400000000032</v>
      </c>
      <c r="E43" s="28">
        <f t="shared" si="43"/>
        <v>0.10569200000000034</v>
      </c>
      <c r="F43" s="28">
        <f t="shared" si="43"/>
        <v>0.74598899999999979</v>
      </c>
      <c r="G43" s="28">
        <f t="shared" si="43"/>
        <v>0</v>
      </c>
      <c r="H43" s="28">
        <f t="shared" si="43"/>
        <v>0</v>
      </c>
      <c r="I43" s="28">
        <f t="shared" si="43"/>
        <v>1.0856870000000001</v>
      </c>
      <c r="J43" s="28">
        <f t="shared" si="43"/>
        <v>0</v>
      </c>
      <c r="K43" s="28">
        <f t="shared" si="43"/>
        <v>0</v>
      </c>
      <c r="L43" s="28">
        <f t="shared" si="43"/>
        <v>4.9987000000000059E-2</v>
      </c>
      <c r="M43" s="28">
        <f t="shared" si="43"/>
        <v>1.3195000000000012E-2</v>
      </c>
      <c r="N43" s="28">
        <f t="shared" si="43"/>
        <v>5.2982999999999947E-2</v>
      </c>
      <c r="O43" s="28">
        <f t="shared" si="43"/>
        <v>4.8729000000000022E-2</v>
      </c>
      <c r="P43" s="28">
        <f t="shared" si="43"/>
        <v>7.2963000000000056E-2</v>
      </c>
      <c r="Q43" s="28">
        <f t="shared" si="43"/>
        <v>3.5555000000000003E-2</v>
      </c>
      <c r="R43" s="28">
        <f t="shared" si="43"/>
        <v>6.890899999999997E-2</v>
      </c>
      <c r="S43" s="28">
        <f t="shared" si="43"/>
        <v>0.43585300000000027</v>
      </c>
      <c r="T43" s="28">
        <f t="shared" si="43"/>
        <v>0.22221199999999997</v>
      </c>
      <c r="U43" s="28">
        <f t="shared" si="43"/>
        <v>0.16171000000000027</v>
      </c>
      <c r="V43" s="28">
        <f t="shared" si="43"/>
        <v>0.11498</v>
      </c>
      <c r="W43" s="28">
        <f t="shared" ref="W43:Y43" si="44">SUM(W44:W45)</f>
        <v>0.28271499999999994</v>
      </c>
      <c r="X43" s="28">
        <f t="shared" si="44"/>
        <v>8.3642000000000022E-2</v>
      </c>
      <c r="Y43" s="28">
        <f t="shared" si="44"/>
        <v>0.26923400000000031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4.6491000000000282E-2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4.9987000000000059E-2</v>
      </c>
      <c r="M44" s="84">
        <v>1.3195000000000012E-2</v>
      </c>
      <c r="N44" s="84">
        <v>5.2982999999999947E-2</v>
      </c>
      <c r="O44" s="84">
        <v>4.8729000000000022E-2</v>
      </c>
      <c r="P44" s="84">
        <v>7.2963000000000056E-2</v>
      </c>
      <c r="Q44" s="84">
        <v>3.5555000000000003E-2</v>
      </c>
      <c r="R44" s="84">
        <v>6.890899999999997E-2</v>
      </c>
      <c r="S44" s="84">
        <v>7.5007999999999964E-2</v>
      </c>
      <c r="T44" s="84">
        <v>0.10208899999999999</v>
      </c>
      <c r="U44" s="84">
        <v>5.7229000000000002E-2</v>
      </c>
      <c r="V44" s="84">
        <v>0.11498</v>
      </c>
      <c r="W44" s="84">
        <v>3.3629999999999965E-2</v>
      </c>
      <c r="X44" s="84">
        <v>8.8209999999999955E-3</v>
      </c>
      <c r="Y44" s="84">
        <v>6.8870999999999988E-2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1.0530369999999998</v>
      </c>
      <c r="D45" s="86">
        <v>0.64530400000000032</v>
      </c>
      <c r="E45" s="86">
        <v>0.10569200000000034</v>
      </c>
      <c r="F45" s="86">
        <v>0.74598899999999979</v>
      </c>
      <c r="G45" s="86">
        <v>0</v>
      </c>
      <c r="H45" s="86">
        <v>0</v>
      </c>
      <c r="I45" s="86">
        <v>1.0856870000000001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0.3608450000000003</v>
      </c>
      <c r="T45" s="86">
        <v>0.12012299999999998</v>
      </c>
      <c r="U45" s="86">
        <v>0.10448100000000027</v>
      </c>
      <c r="V45" s="86">
        <v>0</v>
      </c>
      <c r="W45" s="86">
        <v>0.249085</v>
      </c>
      <c r="X45" s="86">
        <v>7.4821000000000026E-2</v>
      </c>
      <c r="Y45" s="86">
        <v>0.20036300000000029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106.24309351631847</v>
      </c>
      <c r="C50" s="29">
        <f t="shared" si="45"/>
        <v>95.182230999728191</v>
      </c>
      <c r="D50" s="29">
        <f t="shared" si="45"/>
        <v>73.812343693559015</v>
      </c>
      <c r="E50" s="29">
        <f t="shared" si="45"/>
        <v>81.790920008880803</v>
      </c>
      <c r="F50" s="29">
        <f t="shared" si="45"/>
        <v>81.437454561906662</v>
      </c>
      <c r="G50" s="29">
        <f t="shared" si="45"/>
        <v>63.518312063169901</v>
      </c>
      <c r="H50" s="29">
        <f t="shared" si="45"/>
        <v>62.08298186659826</v>
      </c>
      <c r="I50" s="29">
        <f t="shared" si="45"/>
        <v>61.569980352055062</v>
      </c>
      <c r="J50" s="29">
        <f t="shared" si="45"/>
        <v>57.652023417665397</v>
      </c>
      <c r="K50" s="29">
        <f t="shared" ref="K50:V50" si="46">IF(K4=0,0,K4/K15)</f>
        <v>54.986686245109219</v>
      </c>
      <c r="L50" s="29">
        <f t="shared" si="46"/>
        <v>52.88557781917185</v>
      </c>
      <c r="M50" s="29">
        <f t="shared" si="46"/>
        <v>48.802516054989304</v>
      </c>
      <c r="N50" s="29">
        <f t="shared" si="46"/>
        <v>50.023946280548138</v>
      </c>
      <c r="O50" s="29">
        <f t="shared" si="46"/>
        <v>49.954291275778914</v>
      </c>
      <c r="P50" s="29">
        <f t="shared" si="46"/>
        <v>45.581348945294124</v>
      </c>
      <c r="Q50" s="29">
        <f t="shared" si="46"/>
        <v>49.904000380991953</v>
      </c>
      <c r="R50" s="29">
        <f t="shared" si="46"/>
        <v>48.615557059186187</v>
      </c>
      <c r="S50" s="29">
        <f t="shared" si="46"/>
        <v>50.097203540233323</v>
      </c>
      <c r="T50" s="29">
        <f t="shared" si="46"/>
        <v>47.192783658459852</v>
      </c>
      <c r="U50" s="29">
        <f t="shared" si="46"/>
        <v>49.056049851920484</v>
      </c>
      <c r="V50" s="29">
        <f t="shared" si="46"/>
        <v>32.670812284921169</v>
      </c>
      <c r="W50" s="29">
        <f t="shared" ref="W50:Y50" si="47">IF(W4=0,0,W4/W15)</f>
        <v>34.107425393853781</v>
      </c>
      <c r="X50" s="29">
        <f t="shared" si="47"/>
        <v>46.894253317167887</v>
      </c>
      <c r="Y50" s="29">
        <f t="shared" si="47"/>
        <v>59.125768143896209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43.843224231535544</v>
      </c>
      <c r="U51" s="115">
        <f t="shared" si="49"/>
        <v>44.270916334661351</v>
      </c>
      <c r="V51" s="115">
        <f t="shared" si="49"/>
        <v>44.185835694050986</v>
      </c>
      <c r="W51" s="115">
        <f t="shared" ref="W51:Y51" si="50">IF(W5=0,0,W5/W16)</f>
        <v>47.498711514987114</v>
      </c>
      <c r="X51" s="115">
        <f t="shared" si="50"/>
        <v>62.859868144199744</v>
      </c>
      <c r="Y51" s="115">
        <f t="shared" si="50"/>
        <v>79.334515205236599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106.24309351631847</v>
      </c>
      <c r="C52" s="116">
        <f t="shared" si="51"/>
        <v>95.182230999728191</v>
      </c>
      <c r="D52" s="116">
        <f t="shared" si="51"/>
        <v>73.812343693559015</v>
      </c>
      <c r="E52" s="116">
        <f t="shared" si="51"/>
        <v>81.790920008880803</v>
      </c>
      <c r="F52" s="116">
        <f t="shared" si="51"/>
        <v>81.437454561906662</v>
      </c>
      <c r="G52" s="116">
        <f t="shared" si="51"/>
        <v>63.518312063169901</v>
      </c>
      <c r="H52" s="116">
        <f t="shared" si="51"/>
        <v>62.08298186659826</v>
      </c>
      <c r="I52" s="116">
        <f t="shared" si="51"/>
        <v>61.569980352055062</v>
      </c>
      <c r="J52" s="116">
        <f t="shared" si="51"/>
        <v>57.652023417665397</v>
      </c>
      <c r="K52" s="116">
        <f t="shared" ref="K52:V52" si="52">IF(K6=0,0,K6/K17)</f>
        <v>54.986686245109219</v>
      </c>
      <c r="L52" s="116">
        <f t="shared" si="52"/>
        <v>52.88557781917185</v>
      </c>
      <c r="M52" s="116">
        <f t="shared" si="52"/>
        <v>48.802516054989304</v>
      </c>
      <c r="N52" s="116">
        <f t="shared" si="52"/>
        <v>50.023946280548138</v>
      </c>
      <c r="O52" s="116">
        <f t="shared" si="52"/>
        <v>49.954291275778914</v>
      </c>
      <c r="P52" s="116">
        <f t="shared" si="52"/>
        <v>45.581348945294124</v>
      </c>
      <c r="Q52" s="116">
        <f t="shared" si="52"/>
        <v>49.904000380991953</v>
      </c>
      <c r="R52" s="116">
        <f t="shared" si="52"/>
        <v>48.615557059186187</v>
      </c>
      <c r="S52" s="116">
        <f t="shared" si="52"/>
        <v>50.097203540233323</v>
      </c>
      <c r="T52" s="116">
        <f t="shared" si="52"/>
        <v>47.352024564538333</v>
      </c>
      <c r="U52" s="116">
        <f t="shared" si="52"/>
        <v>49.415978613666603</v>
      </c>
      <c r="V52" s="116">
        <f t="shared" si="52"/>
        <v>31.692894466216444</v>
      </c>
      <c r="W52" s="116">
        <f t="shared" ref="W52:Y52" si="53">IF(W6=0,0,W6/W17)</f>
        <v>32.749790696316268</v>
      </c>
      <c r="X52" s="116">
        <f t="shared" si="53"/>
        <v>44.059233207709049</v>
      </c>
      <c r="Y52" s="116">
        <f t="shared" si="53"/>
        <v>56.030998563375057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44.760882956153672</v>
      </c>
      <c r="C53" s="87">
        <f t="shared" si="54"/>
        <v>39.21967317411238</v>
      </c>
      <c r="D53" s="87">
        <f t="shared" si="54"/>
        <v>39.197607162586237</v>
      </c>
      <c r="E53" s="87">
        <f t="shared" si="54"/>
        <v>38.530281608648721</v>
      </c>
      <c r="F53" s="87">
        <f t="shared" si="54"/>
        <v>38.098540623703173</v>
      </c>
      <c r="G53" s="87">
        <f t="shared" si="54"/>
        <v>37.865254882800187</v>
      </c>
      <c r="H53" s="87">
        <f t="shared" si="54"/>
        <v>45.698281023558259</v>
      </c>
      <c r="I53" s="87">
        <f t="shared" si="54"/>
        <v>53.138750310042205</v>
      </c>
      <c r="J53" s="87">
        <f t="shared" si="54"/>
        <v>49.655972715547726</v>
      </c>
      <c r="K53" s="87">
        <f t="shared" ref="K53:V53" si="55">IF(K7=0,0,K7/K18)</f>
        <v>47.607982017491793</v>
      </c>
      <c r="L53" s="87">
        <f t="shared" si="55"/>
        <v>43.577651504012174</v>
      </c>
      <c r="M53" s="87">
        <f t="shared" si="55"/>
        <v>40.150246476251446</v>
      </c>
      <c r="N53" s="87">
        <f t="shared" si="55"/>
        <v>44.331976914318297</v>
      </c>
      <c r="O53" s="87">
        <f t="shared" si="55"/>
        <v>36.793630884196851</v>
      </c>
      <c r="P53" s="87">
        <f t="shared" si="55"/>
        <v>41.910505294257206</v>
      </c>
      <c r="Q53" s="87">
        <f t="shared" si="55"/>
        <v>42.737917730624169</v>
      </c>
      <c r="R53" s="87">
        <f t="shared" si="55"/>
        <v>41.894113933312155</v>
      </c>
      <c r="S53" s="87">
        <f t="shared" si="55"/>
        <v>43.430661966635775</v>
      </c>
      <c r="T53" s="87">
        <f t="shared" si="55"/>
        <v>41.858414219135163</v>
      </c>
      <c r="U53" s="87">
        <f t="shared" si="55"/>
        <v>44.432197220191149</v>
      </c>
      <c r="V53" s="87">
        <f t="shared" si="55"/>
        <v>24.441839971292758</v>
      </c>
      <c r="W53" s="87">
        <f t="shared" ref="W53:Y53" si="56">IF(W7=0,0,W7/W18)</f>
        <v>31.052521210976568</v>
      </c>
      <c r="X53" s="87">
        <f t="shared" si="56"/>
        <v>44.470056929980551</v>
      </c>
      <c r="Y53" s="87">
        <f t="shared" si="56"/>
        <v>55.155997972418703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172.76787775903207</v>
      </c>
      <c r="C54" s="87">
        <f t="shared" si="57"/>
        <v>156.11835516825838</v>
      </c>
      <c r="D54" s="87">
        <f t="shared" si="57"/>
        <v>109.49527758263571</v>
      </c>
      <c r="E54" s="87">
        <f t="shared" si="57"/>
        <v>114.22049113084715</v>
      </c>
      <c r="F54" s="87">
        <f t="shared" si="57"/>
        <v>105.55791034926196</v>
      </c>
      <c r="G54" s="87">
        <f t="shared" si="57"/>
        <v>69.571821712357831</v>
      </c>
      <c r="H54" s="87">
        <f t="shared" si="57"/>
        <v>64.775380089319412</v>
      </c>
      <c r="I54" s="87">
        <f t="shared" si="57"/>
        <v>63.452341552103356</v>
      </c>
      <c r="J54" s="87">
        <f t="shared" si="57"/>
        <v>60.062363294786742</v>
      </c>
      <c r="K54" s="87">
        <f t="shared" ref="K54:V54" si="58">IF(K8=0,0,K8/K19)</f>
        <v>56.752970916160365</v>
      </c>
      <c r="L54" s="87">
        <f t="shared" si="58"/>
        <v>55.403088835586573</v>
      </c>
      <c r="M54" s="87">
        <f t="shared" si="58"/>
        <v>50.860832144265856</v>
      </c>
      <c r="N54" s="87">
        <f t="shared" si="58"/>
        <v>51.365930236844079</v>
      </c>
      <c r="O54" s="87">
        <f t="shared" si="58"/>
        <v>52.750557393195265</v>
      </c>
      <c r="P54" s="87">
        <f t="shared" si="58"/>
        <v>46.428446847426997</v>
      </c>
      <c r="Q54" s="87">
        <f t="shared" si="58"/>
        <v>51.11910836465222</v>
      </c>
      <c r="R54" s="87">
        <f t="shared" si="58"/>
        <v>49.776682906115433</v>
      </c>
      <c r="S54" s="87">
        <f t="shared" si="58"/>
        <v>51.139789626143831</v>
      </c>
      <c r="T54" s="87">
        <f t="shared" si="58"/>
        <v>48.338747691673227</v>
      </c>
      <c r="U54" s="87">
        <f t="shared" si="58"/>
        <v>50.264930660135022</v>
      </c>
      <c r="V54" s="87">
        <f t="shared" si="58"/>
        <v>33.081441776413754</v>
      </c>
      <c r="W54" s="87">
        <f t="shared" ref="W54:Y54" si="59">IF(W8=0,0,W8/W19)</f>
        <v>33.0630063389683</v>
      </c>
      <c r="X54" s="87">
        <f t="shared" si="59"/>
        <v>43.996335381118193</v>
      </c>
      <c r="Y54" s="87">
        <f t="shared" si="59"/>
        <v>56.1688934479686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498.92971490180986</v>
      </c>
      <c r="C56" s="29">
        <f t="shared" si="63"/>
        <v>407.33867073739998</v>
      </c>
      <c r="D56" s="29">
        <f t="shared" si="63"/>
        <v>367.97935656293055</v>
      </c>
      <c r="E56" s="29">
        <f t="shared" si="63"/>
        <v>367.96380795854634</v>
      </c>
      <c r="F56" s="29">
        <f t="shared" si="63"/>
        <v>367.96046187988941</v>
      </c>
      <c r="G56" s="29">
        <f t="shared" si="63"/>
        <v>359.79503358038676</v>
      </c>
      <c r="H56" s="29">
        <f t="shared" si="63"/>
        <v>388.43945908039387</v>
      </c>
      <c r="I56" s="29">
        <f t="shared" si="63"/>
        <v>413.81758888072818</v>
      </c>
      <c r="J56" s="29">
        <f t="shared" si="63"/>
        <v>309.03745492324413</v>
      </c>
      <c r="K56" s="29">
        <f t="shared" ref="K56:V56" si="64">IF(K10=0,0,K10/K21)</f>
        <v>289.79976071700452</v>
      </c>
      <c r="L56" s="29">
        <f t="shared" si="64"/>
        <v>411.39195104016665</v>
      </c>
      <c r="M56" s="29">
        <f t="shared" si="64"/>
        <v>404.95165130149485</v>
      </c>
      <c r="N56" s="29">
        <f t="shared" si="64"/>
        <v>381.48739011523941</v>
      </c>
      <c r="O56" s="29">
        <f t="shared" si="64"/>
        <v>368.04077499057979</v>
      </c>
      <c r="P56" s="29">
        <f t="shared" si="64"/>
        <v>377.44610181823884</v>
      </c>
      <c r="Q56" s="29">
        <f t="shared" si="64"/>
        <v>365.21401789287279</v>
      </c>
      <c r="R56" s="29">
        <f t="shared" si="64"/>
        <v>371.12723600693812</v>
      </c>
      <c r="S56" s="29">
        <f t="shared" si="64"/>
        <v>368.32202949559434</v>
      </c>
      <c r="T56" s="29">
        <f t="shared" si="64"/>
        <v>389.67269758007075</v>
      </c>
      <c r="U56" s="29">
        <f t="shared" si="64"/>
        <v>344.67103402792583</v>
      </c>
      <c r="V56" s="29">
        <f t="shared" si="64"/>
        <v>327.32263446946143</v>
      </c>
      <c r="W56" s="29">
        <f t="shared" ref="W56:Y56" si="65">IF(W10=0,0,W10/W21)</f>
        <v>351.29592072418507</v>
      </c>
      <c r="X56" s="29">
        <f t="shared" si="65"/>
        <v>357.39912300976772</v>
      </c>
      <c r="Y56" s="29">
        <f t="shared" si="65"/>
        <v>369.70461418364926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407.95464976397687</v>
      </c>
      <c r="C57" s="87">
        <f t="shared" si="66"/>
        <v>376.73577331054281</v>
      </c>
      <c r="D57" s="87">
        <f t="shared" si="66"/>
        <v>377.02648717160514</v>
      </c>
      <c r="E57" s="87">
        <f t="shared" si="66"/>
        <v>377.96542886183886</v>
      </c>
      <c r="F57" s="87">
        <f t="shared" si="66"/>
        <v>378.92678222918022</v>
      </c>
      <c r="G57" s="87">
        <f t="shared" si="66"/>
        <v>338.18461822327146</v>
      </c>
      <c r="H57" s="87">
        <f t="shared" si="66"/>
        <v>438.15458281122</v>
      </c>
      <c r="I57" s="87">
        <f t="shared" si="66"/>
        <v>450.71702655076109</v>
      </c>
      <c r="J57" s="87">
        <f t="shared" si="66"/>
        <v>435.38060448037987</v>
      </c>
      <c r="K57" s="87">
        <f t="shared" ref="K57:V57" si="67">IF(K11=0,0,K11/K22)</f>
        <v>369.88287237476845</v>
      </c>
      <c r="L57" s="87">
        <f t="shared" si="67"/>
        <v>536.81805160929844</v>
      </c>
      <c r="M57" s="87">
        <f t="shared" si="67"/>
        <v>523.57277685332599</v>
      </c>
      <c r="N57" s="87">
        <f t="shared" si="67"/>
        <v>461.47198148950434</v>
      </c>
      <c r="O57" s="87">
        <f t="shared" si="67"/>
        <v>445.6856500204334</v>
      </c>
      <c r="P57" s="87">
        <f t="shared" si="67"/>
        <v>456.73159439910711</v>
      </c>
      <c r="Q57" s="87">
        <f t="shared" si="67"/>
        <v>442.90553674027456</v>
      </c>
      <c r="R57" s="87">
        <f t="shared" si="67"/>
        <v>459.45950340401168</v>
      </c>
      <c r="S57" s="87">
        <f t="shared" si="67"/>
        <v>456.79996061492102</v>
      </c>
      <c r="T57" s="87">
        <f t="shared" si="67"/>
        <v>470.16245459242617</v>
      </c>
      <c r="U57" s="87">
        <f t="shared" si="67"/>
        <v>424.26717620256852</v>
      </c>
      <c r="V57" s="87">
        <f t="shared" si="67"/>
        <v>334.05462329198463</v>
      </c>
      <c r="W57" s="87">
        <f t="shared" ref="W57:Y57" si="68">IF(W11=0,0,W11/W22)</f>
        <v>429.82299679692289</v>
      </c>
      <c r="X57" s="87">
        <f t="shared" si="68"/>
        <v>539.31151613871157</v>
      </c>
      <c r="Y57" s="87">
        <f t="shared" si="68"/>
        <v>622.19832361962676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540.20487944408706</v>
      </c>
      <c r="C58" s="88">
        <f t="shared" si="69"/>
        <v>418.71014087929041</v>
      </c>
      <c r="D58" s="88">
        <f t="shared" si="69"/>
        <v>365.17767040434717</v>
      </c>
      <c r="E58" s="88">
        <f t="shared" si="69"/>
        <v>365.30876523647885</v>
      </c>
      <c r="F58" s="88">
        <f t="shared" si="69"/>
        <v>365.51051348751992</v>
      </c>
      <c r="G58" s="88">
        <f t="shared" si="69"/>
        <v>363.06760060292117</v>
      </c>
      <c r="H58" s="88">
        <f t="shared" si="69"/>
        <v>384.16929245141603</v>
      </c>
      <c r="I58" s="88">
        <f t="shared" si="69"/>
        <v>409.76195316074086</v>
      </c>
      <c r="J58" s="88">
        <f t="shared" si="69"/>
        <v>295.95362432726216</v>
      </c>
      <c r="K58" s="88">
        <f t="shared" ref="K58:V58" si="70">IF(K12=0,0,K12/K23)</f>
        <v>281.66798202396848</v>
      </c>
      <c r="L58" s="88">
        <f t="shared" si="70"/>
        <v>398.30444650333175</v>
      </c>
      <c r="M58" s="88">
        <f t="shared" si="70"/>
        <v>393.77095595417109</v>
      </c>
      <c r="N58" s="88">
        <f t="shared" si="70"/>
        <v>373.28934044714089</v>
      </c>
      <c r="O58" s="88">
        <f t="shared" si="70"/>
        <v>360.80767833438119</v>
      </c>
      <c r="P58" s="88">
        <f t="shared" si="70"/>
        <v>369.62039718233257</v>
      </c>
      <c r="Q58" s="88">
        <f t="shared" si="70"/>
        <v>359.14720457842918</v>
      </c>
      <c r="R58" s="88">
        <f t="shared" si="70"/>
        <v>364.22117002626862</v>
      </c>
      <c r="S58" s="88">
        <f t="shared" si="70"/>
        <v>361.97438598480267</v>
      </c>
      <c r="T58" s="88">
        <f t="shared" si="70"/>
        <v>383.04023795498489</v>
      </c>
      <c r="U58" s="88">
        <f t="shared" si="70"/>
        <v>338.57044293598864</v>
      </c>
      <c r="V58" s="88">
        <f t="shared" si="70"/>
        <v>326.61821515115116</v>
      </c>
      <c r="W58" s="88">
        <f t="shared" ref="W58:Y58" si="71">IF(W12=0,0,W12/W23)</f>
        <v>344.84267599035013</v>
      </c>
      <c r="X58" s="88">
        <f t="shared" si="71"/>
        <v>347.44311316885995</v>
      </c>
      <c r="Y58" s="88">
        <f t="shared" si="71"/>
        <v>357.05279809225243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</v>
      </c>
      <c r="C61" s="29">
        <f t="shared" ref="C61" si="73">IF(C26=0,0,(C62*C27+C64*C29+C65*C30+C66*C31)/(C27+C29+C30+C31))</f>
        <v>320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320</v>
      </c>
      <c r="G61" s="29">
        <f t="shared" ref="G61" si="77">IF(G26=0,0,(G62*G27+G64*G29+G65*G30+G66*G31)/(G27+G29+G30+G31))</f>
        <v>319.99999999999994</v>
      </c>
      <c r="H61" s="29">
        <f t="shared" ref="H61" si="78">IF(H26=0,0,(H62*H27+H64*H29+H65*H30+H66*H31)/(H27+H29+H30+H31))</f>
        <v>320.00000000000006</v>
      </c>
      <c r="I61" s="29">
        <f t="shared" ref="I61" si="79">IF(I26=0,0,(I62*I27+I64*I29+I65*I30+I66*I31)/(I27+I29+I30+I31))</f>
        <v>320</v>
      </c>
      <c r="J61" s="29">
        <f t="shared" ref="J61" si="80">IF(J26=0,0,(J62*J27+J64*J29+J65*J30+J66*J31)/(J27+J29+J30+J31))</f>
        <v>320</v>
      </c>
      <c r="K61" s="29">
        <f t="shared" ref="K61" si="81">IF(K26=0,0,(K62*K27+K64*K29+K65*K30+K66*K31)/(K27+K29+K30+K31))</f>
        <v>320</v>
      </c>
      <c r="L61" s="29">
        <f t="shared" ref="L61" si="82">IF(L26=0,0,(L62*L27+L64*L29+L65*L30+L66*L31)/(L27+L29+L30+L31))</f>
        <v>320</v>
      </c>
      <c r="M61" s="29">
        <f t="shared" ref="M61" si="83">IF(M26=0,0,(M62*M27+M64*M29+M65*M30+M66*M31)/(M27+M29+M30+M31))</f>
        <v>320</v>
      </c>
      <c r="N61" s="29">
        <f t="shared" ref="N61" si="84">IF(N26=0,0,(N62*N27+N64*N29+N65*N30+N66*N31)/(N27+N29+N30+N31))</f>
        <v>320</v>
      </c>
      <c r="O61" s="29">
        <f t="shared" ref="O61" si="85">IF(O26=0,0,(O62*O27+O64*O29+O65*O30+O66*O31)/(O27+O29+O30+O31))</f>
        <v>320.00000000000006</v>
      </c>
      <c r="P61" s="29">
        <f t="shared" ref="P61" si="86">IF(P26=0,0,(P62*P27+P64*P29+P65*P30+P66*P31)/(P27+P29+P30+P31))</f>
        <v>320</v>
      </c>
      <c r="Q61" s="29">
        <f t="shared" ref="Q61" si="87">IF(Q26=0,0,(Q62*Q27+Q64*Q29+Q65*Q30+Q66*Q31)/(Q27+Q29+Q30+Q31))</f>
        <v>320.00000000000006</v>
      </c>
      <c r="R61" s="29">
        <f t="shared" ref="R61" si="88">IF(R26=0,0,(R62*R27+R64*R29+R65*R30+R66*R31)/(R27+R29+R30+R31))</f>
        <v>320</v>
      </c>
      <c r="S61" s="29">
        <f t="shared" ref="S61" si="89">IF(S26=0,0,(S62*S27+S64*S29+S65*S30+S66*S31)/(S27+S29+S30+S31))</f>
        <v>320.00000000000006</v>
      </c>
      <c r="T61" s="29">
        <f t="shared" ref="T61" si="90">IF(T26=0,0,(T62*T27+T64*T29+T65*T30+T66*T31)/(T27+T29+T30+T31))</f>
        <v>324.87052676723829</v>
      </c>
      <c r="U61" s="29">
        <f t="shared" ref="U61" si="91">IF(U26=0,0,(U62*U27+U64*U29+U65*U30+U66*U31)/(U27+U29+U30+U31))</f>
        <v>327.44225960069758</v>
      </c>
      <c r="V61" s="29">
        <f t="shared" ref="V61" si="92">IF(V26=0,0,(V62*V27+V64*V29+V65*V30+V66*V31)/(V27+V29+V30+V31))</f>
        <v>327.6852021859608</v>
      </c>
      <c r="W61" s="29">
        <f t="shared" ref="W61:Y61" si="93">IF(W26=0,0,(W62*W27+W64*W29+W65*W30+W66*W31)/(W27+W29+W30+W31))</f>
        <v>329.71655372386419</v>
      </c>
      <c r="X61" s="29">
        <f t="shared" si="93"/>
        <v>335.39715292481861</v>
      </c>
      <c r="Y61" s="29">
        <f t="shared" si="93"/>
        <v>335.33797524023663</v>
      </c>
      <c r="DA61" s="173" t="s">
        <v>1074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320.00000000000006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319.99999999999994</v>
      </c>
      <c r="W63" s="116">
        <f t="shared" ref="W63:Y63" si="115">IF(W28=0,0,(W64*W29+W65*W30)/(W29+W30))</f>
        <v>320</v>
      </c>
      <c r="X63" s="116">
        <f t="shared" si="115"/>
        <v>319.99999999999994</v>
      </c>
      <c r="Y63" s="116">
        <f t="shared" si="115"/>
        <v>320.00000000000006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2100.0000000000005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2099.9999999999995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0.33200966723849523</v>
      </c>
      <c r="C72" s="30">
        <f t="shared" ref="C72:J72" si="138">IF(C50=0,0,C50/C61)</f>
        <v>0.29744447187415057</v>
      </c>
      <c r="D72" s="30">
        <f t="shared" si="138"/>
        <v>0.23066357404237192</v>
      </c>
      <c r="E72" s="30">
        <f t="shared" si="138"/>
        <v>0.25559662502775249</v>
      </c>
      <c r="F72" s="30">
        <f t="shared" si="138"/>
        <v>0.25449204550595833</v>
      </c>
      <c r="G72" s="30">
        <f t="shared" si="138"/>
        <v>0.19849472519740596</v>
      </c>
      <c r="H72" s="30">
        <f t="shared" si="138"/>
        <v>0.19400931833311952</v>
      </c>
      <c r="I72" s="30">
        <f t="shared" si="138"/>
        <v>0.19240618860017206</v>
      </c>
      <c r="J72" s="30">
        <f t="shared" si="138"/>
        <v>0.18016257318020437</v>
      </c>
      <c r="K72" s="30">
        <f t="shared" ref="K72:V72" si="139">IF(K50=0,0,K50/K61)</f>
        <v>0.1718333945159663</v>
      </c>
      <c r="L72" s="30">
        <f t="shared" si="139"/>
        <v>0.16526743068491204</v>
      </c>
      <c r="M72" s="30">
        <f t="shared" si="139"/>
        <v>0.15250786267184158</v>
      </c>
      <c r="N72" s="30">
        <f t="shared" si="139"/>
        <v>0.15632483212671294</v>
      </c>
      <c r="O72" s="30">
        <f t="shared" si="139"/>
        <v>0.15610716023680907</v>
      </c>
      <c r="P72" s="30">
        <f t="shared" si="139"/>
        <v>0.14244171545404413</v>
      </c>
      <c r="Q72" s="30">
        <f t="shared" si="139"/>
        <v>0.15595000119059982</v>
      </c>
      <c r="R72" s="30">
        <f t="shared" si="139"/>
        <v>0.15192361580995684</v>
      </c>
      <c r="S72" s="30">
        <f t="shared" si="139"/>
        <v>0.1565537610632291</v>
      </c>
      <c r="T72" s="30">
        <f t="shared" si="139"/>
        <v>0.14526643622636878</v>
      </c>
      <c r="U72" s="30">
        <f t="shared" si="139"/>
        <v>0.14981587871932697</v>
      </c>
      <c r="V72" s="30">
        <f t="shared" si="139"/>
        <v>9.9701823783853796E-2</v>
      </c>
      <c r="W72" s="30">
        <f t="shared" ref="W72:Y72" si="140">IF(W50=0,0,W50/W61)</f>
        <v>0.10344468607547852</v>
      </c>
      <c r="X72" s="30">
        <f t="shared" si="140"/>
        <v>0.13981708821386307</v>
      </c>
      <c r="Y72" s="30">
        <f t="shared" si="140"/>
        <v>0.17631694740668252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0.10960806057883886</v>
      </c>
      <c r="U73" s="118">
        <f t="shared" si="142"/>
        <v>0.11067729083665338</v>
      </c>
      <c r="V73" s="118">
        <f t="shared" si="142"/>
        <v>0.11046458923512746</v>
      </c>
      <c r="W73" s="118">
        <f t="shared" ref="W73:Y73" si="143">IF(W51=0,0,W51/W62)</f>
        <v>0.11874677878746778</v>
      </c>
      <c r="X73" s="118">
        <f t="shared" si="143"/>
        <v>0.15714967036049937</v>
      </c>
      <c r="Y73" s="118">
        <f t="shared" si="143"/>
        <v>0.1983362880130915</v>
      </c>
      <c r="DA73" s="203"/>
    </row>
    <row r="74" spans="1:105" ht="11.45" customHeight="1" x14ac:dyDescent="0.25">
      <c r="A74" s="109" t="s">
        <v>24</v>
      </c>
      <c r="B74" s="119">
        <f t="shared" si="141"/>
        <v>0.33200966723849523</v>
      </c>
      <c r="C74" s="119">
        <f t="shared" si="141"/>
        <v>0.29744447187415057</v>
      </c>
      <c r="D74" s="119">
        <f t="shared" si="141"/>
        <v>0.23066357404237192</v>
      </c>
      <c r="E74" s="119">
        <f t="shared" si="141"/>
        <v>0.25559662502775249</v>
      </c>
      <c r="F74" s="119">
        <f t="shared" si="141"/>
        <v>0.25449204550595833</v>
      </c>
      <c r="G74" s="119">
        <f t="shared" si="141"/>
        <v>0.19849472519740596</v>
      </c>
      <c r="H74" s="119">
        <f t="shared" si="141"/>
        <v>0.19400931833311952</v>
      </c>
      <c r="I74" s="119">
        <f t="shared" si="141"/>
        <v>0.19240618860017206</v>
      </c>
      <c r="J74" s="119">
        <f t="shared" si="141"/>
        <v>0.18016257318020437</v>
      </c>
      <c r="K74" s="119">
        <f t="shared" ref="K74:V74" si="144">IF(K52=0,0,K52/K63)</f>
        <v>0.1718333945159663</v>
      </c>
      <c r="L74" s="119">
        <f t="shared" si="144"/>
        <v>0.16526743068491204</v>
      </c>
      <c r="M74" s="119">
        <f t="shared" si="144"/>
        <v>0.15250786267184158</v>
      </c>
      <c r="N74" s="119">
        <f t="shared" si="144"/>
        <v>0.15632483212671294</v>
      </c>
      <c r="O74" s="119">
        <f t="shared" si="144"/>
        <v>0.15610716023680907</v>
      </c>
      <c r="P74" s="119">
        <f t="shared" si="144"/>
        <v>0.14244171545404413</v>
      </c>
      <c r="Q74" s="119">
        <f t="shared" si="144"/>
        <v>0.15595000119059982</v>
      </c>
      <c r="R74" s="119">
        <f t="shared" si="144"/>
        <v>0.15192361580995684</v>
      </c>
      <c r="S74" s="119">
        <f t="shared" si="144"/>
        <v>0.1565537610632291</v>
      </c>
      <c r="T74" s="119">
        <f t="shared" si="144"/>
        <v>0.14797507676418228</v>
      </c>
      <c r="U74" s="119">
        <f t="shared" si="144"/>
        <v>0.15442493316770814</v>
      </c>
      <c r="V74" s="119">
        <f t="shared" si="144"/>
        <v>9.9040295206926407E-2</v>
      </c>
      <c r="W74" s="119">
        <f t="shared" ref="W74:Y74" si="145">IF(W52=0,0,W52/W63)</f>
        <v>0.10234309592598834</v>
      </c>
      <c r="X74" s="119">
        <f t="shared" si="145"/>
        <v>0.13768510377409079</v>
      </c>
      <c r="Y74" s="119">
        <f t="shared" si="145"/>
        <v>0.17509687051054701</v>
      </c>
      <c r="DA74" s="176"/>
    </row>
    <row r="75" spans="1:105" ht="11.45" customHeight="1" x14ac:dyDescent="0.25">
      <c r="A75" s="111" t="s">
        <v>92</v>
      </c>
      <c r="B75" s="120">
        <f t="shared" si="141"/>
        <v>0.13987775923798024</v>
      </c>
      <c r="C75" s="120">
        <f t="shared" si="141"/>
        <v>0.12256147866910119</v>
      </c>
      <c r="D75" s="120">
        <f t="shared" si="141"/>
        <v>0.12249252238308199</v>
      </c>
      <c r="E75" s="120">
        <f t="shared" si="141"/>
        <v>0.12040713002702726</v>
      </c>
      <c r="F75" s="120">
        <f t="shared" si="141"/>
        <v>0.11905793944907242</v>
      </c>
      <c r="G75" s="120">
        <f t="shared" si="141"/>
        <v>0.11832892150875059</v>
      </c>
      <c r="H75" s="120">
        <f t="shared" si="141"/>
        <v>0.14280712819861957</v>
      </c>
      <c r="I75" s="120">
        <f t="shared" si="141"/>
        <v>0.1660585947188819</v>
      </c>
      <c r="J75" s="120">
        <f t="shared" si="141"/>
        <v>0.15517491473608663</v>
      </c>
      <c r="K75" s="120">
        <f t="shared" ref="K75:V75" si="146">IF(K53=0,0,K53/K64)</f>
        <v>0.14877494380466186</v>
      </c>
      <c r="L75" s="120">
        <f t="shared" si="146"/>
        <v>0.13618016095003804</v>
      </c>
      <c r="M75" s="120">
        <f t="shared" si="146"/>
        <v>0.12546952023828578</v>
      </c>
      <c r="N75" s="120">
        <f t="shared" si="146"/>
        <v>0.13853742785724468</v>
      </c>
      <c r="O75" s="120">
        <f t="shared" si="146"/>
        <v>0.11498009651311517</v>
      </c>
      <c r="P75" s="120">
        <f t="shared" si="146"/>
        <v>0.13097032904455377</v>
      </c>
      <c r="Q75" s="120">
        <f t="shared" si="146"/>
        <v>0.13355599290820053</v>
      </c>
      <c r="R75" s="120">
        <f t="shared" si="146"/>
        <v>0.13091910604160048</v>
      </c>
      <c r="S75" s="120">
        <f t="shared" si="146"/>
        <v>0.13572081864573679</v>
      </c>
      <c r="T75" s="120">
        <f t="shared" si="146"/>
        <v>0.13080754443479739</v>
      </c>
      <c r="U75" s="120">
        <f t="shared" si="146"/>
        <v>0.13885061631309734</v>
      </c>
      <c r="V75" s="120">
        <f t="shared" si="146"/>
        <v>7.6380749910289869E-2</v>
      </c>
      <c r="W75" s="120">
        <f t="shared" ref="W75:Y75" si="147">IF(W53=0,0,W53/W64)</f>
        <v>9.7039128784301779E-2</v>
      </c>
      <c r="X75" s="120">
        <f t="shared" si="147"/>
        <v>0.13896892790618923</v>
      </c>
      <c r="Y75" s="120">
        <f t="shared" si="147"/>
        <v>0.17236249366380846</v>
      </c>
      <c r="DA75" s="171"/>
    </row>
    <row r="76" spans="1:105" ht="11.45" customHeight="1" x14ac:dyDescent="0.25">
      <c r="A76" s="111" t="s">
        <v>93</v>
      </c>
      <c r="B76" s="120">
        <f t="shared" si="141"/>
        <v>0.53989961799697528</v>
      </c>
      <c r="C76" s="120">
        <f t="shared" si="141"/>
        <v>0.48786985990080745</v>
      </c>
      <c r="D76" s="120">
        <f t="shared" si="141"/>
        <v>0.34217274244573659</v>
      </c>
      <c r="E76" s="120">
        <f t="shared" si="141"/>
        <v>0.35693903478389732</v>
      </c>
      <c r="F76" s="120">
        <f t="shared" si="141"/>
        <v>0.32986846984144363</v>
      </c>
      <c r="G76" s="120">
        <f t="shared" si="141"/>
        <v>0.21741194285111823</v>
      </c>
      <c r="H76" s="120">
        <f t="shared" si="141"/>
        <v>0.20242306277912317</v>
      </c>
      <c r="I76" s="120">
        <f t="shared" si="141"/>
        <v>0.19828856735032299</v>
      </c>
      <c r="J76" s="120">
        <f t="shared" si="141"/>
        <v>0.18769488529620856</v>
      </c>
      <c r="K76" s="120">
        <f t="shared" ref="K76:V76" si="148">IF(K54=0,0,K54/K65)</f>
        <v>0.17735303411300113</v>
      </c>
      <c r="L76" s="120">
        <f t="shared" si="148"/>
        <v>0.17313465261120803</v>
      </c>
      <c r="M76" s="120">
        <f t="shared" si="148"/>
        <v>0.15894010045083079</v>
      </c>
      <c r="N76" s="120">
        <f t="shared" si="148"/>
        <v>0.16051853199013774</v>
      </c>
      <c r="O76" s="120">
        <f t="shared" si="148"/>
        <v>0.1648454918537352</v>
      </c>
      <c r="P76" s="120">
        <f t="shared" si="148"/>
        <v>0.14508889639820938</v>
      </c>
      <c r="Q76" s="120">
        <f t="shared" si="148"/>
        <v>0.1597472136395382</v>
      </c>
      <c r="R76" s="120">
        <f t="shared" si="148"/>
        <v>0.15555213408161073</v>
      </c>
      <c r="S76" s="120">
        <f t="shared" si="148"/>
        <v>0.15981184258169948</v>
      </c>
      <c r="T76" s="120">
        <f t="shared" si="148"/>
        <v>0.15105858653647883</v>
      </c>
      <c r="U76" s="120">
        <f t="shared" si="148"/>
        <v>0.15707790831292195</v>
      </c>
      <c r="V76" s="120">
        <f t="shared" si="148"/>
        <v>0.10337950555129298</v>
      </c>
      <c r="W76" s="120">
        <f t="shared" ref="W76:Y76" si="149">IF(W54=0,0,W54/W65)</f>
        <v>0.10332189480927594</v>
      </c>
      <c r="X76" s="120">
        <f t="shared" si="149"/>
        <v>0.13748854806599436</v>
      </c>
      <c r="Y76" s="120">
        <f t="shared" si="149"/>
        <v>0.17552779202490187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0.23758557852467135</v>
      </c>
      <c r="C78" s="30">
        <f t="shared" si="141"/>
        <v>0.19397079558923808</v>
      </c>
      <c r="D78" s="30">
        <f t="shared" si="141"/>
        <v>0.17522826502996694</v>
      </c>
      <c r="E78" s="30">
        <f t="shared" si="141"/>
        <v>0.17522086093264111</v>
      </c>
      <c r="F78" s="30">
        <f t="shared" si="141"/>
        <v>0.1752192675618521</v>
      </c>
      <c r="G78" s="30">
        <f t="shared" si="141"/>
        <v>0.17133096837161274</v>
      </c>
      <c r="H78" s="30">
        <f t="shared" si="141"/>
        <v>0.18497117099066371</v>
      </c>
      <c r="I78" s="30">
        <f t="shared" si="141"/>
        <v>0.19705599470510865</v>
      </c>
      <c r="J78" s="30">
        <f t="shared" si="141"/>
        <v>0.14716069282059244</v>
      </c>
      <c r="K78" s="30">
        <f t="shared" ref="K78:V78" si="152">IF(K56=0,0,K56/K67)</f>
        <v>0.13799988605571645</v>
      </c>
      <c r="L78" s="30">
        <f t="shared" si="152"/>
        <v>0.19590092906674603</v>
      </c>
      <c r="M78" s="30">
        <f t="shared" si="152"/>
        <v>0.19283411966737854</v>
      </c>
      <c r="N78" s="30">
        <f t="shared" si="152"/>
        <v>0.18166066195963781</v>
      </c>
      <c r="O78" s="30">
        <f t="shared" si="152"/>
        <v>0.17525751190027608</v>
      </c>
      <c r="P78" s="30">
        <f t="shared" si="152"/>
        <v>0.17973623896106611</v>
      </c>
      <c r="Q78" s="30">
        <f t="shared" si="152"/>
        <v>0.17391143709184423</v>
      </c>
      <c r="R78" s="30">
        <f t="shared" si="152"/>
        <v>0.17672725524139909</v>
      </c>
      <c r="S78" s="30">
        <f t="shared" si="152"/>
        <v>0.17539144261694969</v>
      </c>
      <c r="T78" s="30">
        <f t="shared" si="152"/>
        <v>0.1855584274190813</v>
      </c>
      <c r="U78" s="30">
        <f t="shared" si="152"/>
        <v>0.16412906382282183</v>
      </c>
      <c r="V78" s="30">
        <f t="shared" si="152"/>
        <v>0.15586792117593401</v>
      </c>
      <c r="W78" s="30">
        <f t="shared" ref="W78:Y78" si="153">IF(W56=0,0,W56/W67)</f>
        <v>0.16728377177342146</v>
      </c>
      <c r="X78" s="30">
        <f t="shared" si="153"/>
        <v>0.17019005857607986</v>
      </c>
      <c r="Y78" s="30">
        <f t="shared" si="153"/>
        <v>0.17604981627792821</v>
      </c>
      <c r="DA78" s="173"/>
    </row>
    <row r="79" spans="1:105" ht="11.45" customHeight="1" x14ac:dyDescent="0.25">
      <c r="A79" s="83" t="s">
        <v>92</v>
      </c>
      <c r="B79" s="120">
        <f t="shared" si="141"/>
        <v>0.19426411893522708</v>
      </c>
      <c r="C79" s="120">
        <f t="shared" si="141"/>
        <v>0.17939798729073467</v>
      </c>
      <c r="D79" s="120">
        <f t="shared" si="141"/>
        <v>0.17953642246266913</v>
      </c>
      <c r="E79" s="120">
        <f t="shared" si="141"/>
        <v>0.17998353755325661</v>
      </c>
      <c r="F79" s="120">
        <f t="shared" si="141"/>
        <v>0.1804413248710382</v>
      </c>
      <c r="G79" s="120">
        <f t="shared" si="141"/>
        <v>0.16104029439203402</v>
      </c>
      <c r="H79" s="120">
        <f t="shared" si="141"/>
        <v>0.20864503943391427</v>
      </c>
      <c r="I79" s="120">
        <f t="shared" si="141"/>
        <v>0.21462715550036243</v>
      </c>
      <c r="J79" s="120">
        <f t="shared" si="141"/>
        <v>0.20732409737160945</v>
      </c>
      <c r="K79" s="120">
        <f t="shared" ref="K79:V79" si="154">IF(K57=0,0,K57/K68)</f>
        <v>0.17613470113084212</v>
      </c>
      <c r="L79" s="120">
        <f t="shared" si="154"/>
        <v>0.25562764362347545</v>
      </c>
      <c r="M79" s="120">
        <f t="shared" si="154"/>
        <v>0.24932036993015524</v>
      </c>
      <c r="N79" s="120">
        <f t="shared" si="154"/>
        <v>0.21974856261404968</v>
      </c>
      <c r="O79" s="120">
        <f t="shared" si="154"/>
        <v>0.2122312619144921</v>
      </c>
      <c r="P79" s="120">
        <f t="shared" si="154"/>
        <v>0.21749123542814625</v>
      </c>
      <c r="Q79" s="120">
        <f t="shared" si="154"/>
        <v>0.21090739844774978</v>
      </c>
      <c r="R79" s="120">
        <f t="shared" si="154"/>
        <v>0.21879023971619604</v>
      </c>
      <c r="S79" s="120">
        <f t="shared" si="154"/>
        <v>0.21752379076901002</v>
      </c>
      <c r="T79" s="120">
        <f t="shared" si="154"/>
        <v>0.22388688313925056</v>
      </c>
      <c r="U79" s="120">
        <f t="shared" si="154"/>
        <v>0.20203198866788977</v>
      </c>
      <c r="V79" s="120">
        <f t="shared" si="154"/>
        <v>0.1590736301390403</v>
      </c>
      <c r="W79" s="120">
        <f t="shared" ref="W79:Y79" si="155">IF(W57=0,0,W57/W68)</f>
        <v>0.20467761752234423</v>
      </c>
      <c r="X79" s="120">
        <f t="shared" si="155"/>
        <v>0.25681500768510074</v>
      </c>
      <c r="Y79" s="120">
        <f t="shared" si="155"/>
        <v>0.29628491600934609</v>
      </c>
      <c r="DA79" s="171"/>
    </row>
    <row r="80" spans="1:105" ht="11.45" customHeight="1" x14ac:dyDescent="0.25">
      <c r="A80" s="85" t="s">
        <v>93</v>
      </c>
      <c r="B80" s="122">
        <f t="shared" si="141"/>
        <v>0.25724041878289861</v>
      </c>
      <c r="C80" s="122">
        <f t="shared" si="141"/>
        <v>0.19938578137109067</v>
      </c>
      <c r="D80" s="122">
        <f t="shared" si="141"/>
        <v>0.17389412876397484</v>
      </c>
      <c r="E80" s="122">
        <f t="shared" si="141"/>
        <v>0.17395655487451372</v>
      </c>
      <c r="F80" s="122">
        <f t="shared" si="141"/>
        <v>0.17405262547024758</v>
      </c>
      <c r="G80" s="122">
        <f t="shared" si="141"/>
        <v>0.17288933362043865</v>
      </c>
      <c r="H80" s="122">
        <f t="shared" si="141"/>
        <v>0.1829377583101981</v>
      </c>
      <c r="I80" s="122">
        <f t="shared" si="141"/>
        <v>0.19512473960035279</v>
      </c>
      <c r="J80" s="122">
        <f t="shared" si="141"/>
        <v>0.14093029729869627</v>
      </c>
      <c r="K80" s="122">
        <f t="shared" ref="K80:V80" si="156">IF(K58=0,0,K58/K69)</f>
        <v>0.13412761048760405</v>
      </c>
      <c r="L80" s="122">
        <f t="shared" si="156"/>
        <v>0.18966878404920559</v>
      </c>
      <c r="M80" s="122">
        <f t="shared" si="156"/>
        <v>0.18750997902579575</v>
      </c>
      <c r="N80" s="122">
        <f t="shared" si="156"/>
        <v>0.17775682878435281</v>
      </c>
      <c r="O80" s="122">
        <f t="shared" si="156"/>
        <v>0.17181318015922914</v>
      </c>
      <c r="P80" s="122">
        <f t="shared" si="156"/>
        <v>0.17600971294396789</v>
      </c>
      <c r="Q80" s="122">
        <f t="shared" si="156"/>
        <v>0.17102247837068058</v>
      </c>
      <c r="R80" s="122">
        <f t="shared" si="156"/>
        <v>0.17343865239346126</v>
      </c>
      <c r="S80" s="122">
        <f t="shared" si="156"/>
        <v>0.1723687552308584</v>
      </c>
      <c r="T80" s="122">
        <f t="shared" si="156"/>
        <v>0.18240011331189757</v>
      </c>
      <c r="U80" s="122">
        <f t="shared" si="156"/>
        <v>0.16122402044570888</v>
      </c>
      <c r="V80" s="122">
        <f t="shared" si="156"/>
        <v>0.15553248340531009</v>
      </c>
      <c r="W80" s="122">
        <f t="shared" ref="W80:Y80" si="157">IF(W58=0,0,W58/W69)</f>
        <v>0.16421079809064293</v>
      </c>
      <c r="X80" s="122">
        <f t="shared" si="157"/>
        <v>0.16544910150898093</v>
      </c>
      <c r="Y80" s="122">
        <f t="shared" si="157"/>
        <v>0.17002514194869164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161657.00726124857</v>
      </c>
      <c r="C82" s="54">
        <f t="shared" si="158"/>
        <v>161428.86734125309</v>
      </c>
      <c r="D82" s="54">
        <f t="shared" si="158"/>
        <v>161795.34246541711</v>
      </c>
      <c r="E82" s="54">
        <f t="shared" si="158"/>
        <v>151228.45594820214</v>
      </c>
      <c r="F82" s="54">
        <f t="shared" si="158"/>
        <v>149110.52574789937</v>
      </c>
      <c r="G82" s="54">
        <f t="shared" si="158"/>
        <v>136861.33539267103</v>
      </c>
      <c r="H82" s="54">
        <f t="shared" si="158"/>
        <v>142098.71730591397</v>
      </c>
      <c r="I82" s="54">
        <f t="shared" si="158"/>
        <v>155643.76630861251</v>
      </c>
      <c r="J82" s="54">
        <f t="shared" si="158"/>
        <v>148734.40885005277</v>
      </c>
      <c r="K82" s="54">
        <f t="shared" ref="K82:V82" si="159">IF(K14=0,0,K14/K25*1000000)</f>
        <v>145049.17769121402</v>
      </c>
      <c r="L82" s="54">
        <f t="shared" si="159"/>
        <v>149760.77364103275</v>
      </c>
      <c r="M82" s="54">
        <f t="shared" si="159"/>
        <v>149797.42631945081</v>
      </c>
      <c r="N82" s="54">
        <f t="shared" si="159"/>
        <v>149126.42849531179</v>
      </c>
      <c r="O82" s="54">
        <f t="shared" si="159"/>
        <v>150164.52610785354</v>
      </c>
      <c r="P82" s="54">
        <f t="shared" si="159"/>
        <v>150598.79778681317</v>
      </c>
      <c r="Q82" s="54">
        <f t="shared" si="159"/>
        <v>149878.90881204276</v>
      </c>
      <c r="R82" s="54">
        <f t="shared" si="159"/>
        <v>152260.72533883378</v>
      </c>
      <c r="S82" s="54">
        <f t="shared" si="159"/>
        <v>152363.16479605751</v>
      </c>
      <c r="T82" s="54">
        <f t="shared" si="159"/>
        <v>149730.56591872234</v>
      </c>
      <c r="U82" s="54">
        <f t="shared" si="159"/>
        <v>148356.57615482213</v>
      </c>
      <c r="V82" s="54">
        <f t="shared" si="159"/>
        <v>137279.63889223349</v>
      </c>
      <c r="W82" s="54">
        <f t="shared" ref="W82:Y82" si="160">IF(W14=0,0,W14/W25*1000000)</f>
        <v>147025.64917369778</v>
      </c>
      <c r="X82" s="54">
        <f t="shared" si="160"/>
        <v>142220.44626630799</v>
      </c>
      <c r="Y82" s="54">
        <f t="shared" si="160"/>
        <v>141655.14260500061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149999.99079867351</v>
      </c>
      <c r="C83" s="28">
        <f t="shared" si="161"/>
        <v>149999.99487945266</v>
      </c>
      <c r="D83" s="28">
        <f t="shared" si="161"/>
        <v>149999.99283413659</v>
      </c>
      <c r="E83" s="28">
        <f t="shared" si="161"/>
        <v>136836.73004708407</v>
      </c>
      <c r="F83" s="28">
        <f t="shared" si="161"/>
        <v>132610.31251658197</v>
      </c>
      <c r="G83" s="28">
        <f t="shared" si="161"/>
        <v>132553.70490780563</v>
      </c>
      <c r="H83" s="28">
        <f t="shared" si="161"/>
        <v>135441.28747834</v>
      </c>
      <c r="I83" s="28">
        <f t="shared" si="161"/>
        <v>147294.36633690464</v>
      </c>
      <c r="J83" s="28">
        <f t="shared" si="161"/>
        <v>149999.99416065429</v>
      </c>
      <c r="K83" s="28">
        <f t="shared" ref="K83:V83" si="162">IF(K15=0,0,K15/K26*1000000)</f>
        <v>148674.5568638269</v>
      </c>
      <c r="L83" s="28">
        <f t="shared" si="162"/>
        <v>149999.99742296099</v>
      </c>
      <c r="M83" s="28">
        <f t="shared" si="162"/>
        <v>149999.99864599231</v>
      </c>
      <c r="N83" s="28">
        <f t="shared" si="162"/>
        <v>149999.99748984512</v>
      </c>
      <c r="O83" s="28">
        <f t="shared" si="162"/>
        <v>149999.99688857852</v>
      </c>
      <c r="P83" s="28">
        <f t="shared" si="162"/>
        <v>149999.99927450775</v>
      </c>
      <c r="Q83" s="28">
        <f t="shared" si="162"/>
        <v>147729.16714426488</v>
      </c>
      <c r="R83" s="28">
        <f t="shared" si="162"/>
        <v>149999.99598283207</v>
      </c>
      <c r="S83" s="28">
        <f t="shared" si="162"/>
        <v>149999.99627968803</v>
      </c>
      <c r="T83" s="28">
        <f t="shared" si="162"/>
        <v>147564.73400379406</v>
      </c>
      <c r="U83" s="28">
        <f t="shared" si="162"/>
        <v>146278.86795774251</v>
      </c>
      <c r="V83" s="28">
        <f t="shared" si="162"/>
        <v>134995.80497626556</v>
      </c>
      <c r="W83" s="28">
        <f t="shared" ref="W83:Y83" si="163">IF(W15=0,0,W15/W26*1000000)</f>
        <v>145141.72131213392</v>
      </c>
      <c r="X83" s="28">
        <f t="shared" si="163"/>
        <v>140397.53107837852</v>
      </c>
      <c r="Y83" s="28">
        <f t="shared" si="163"/>
        <v>139808.19713412935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109999.98257039329</v>
      </c>
      <c r="U84" s="108">
        <f t="shared" si="164"/>
        <v>109999.99841893966</v>
      </c>
      <c r="V84" s="108">
        <f t="shared" si="164"/>
        <v>109999.98474419666</v>
      </c>
      <c r="W84" s="108">
        <f t="shared" ref="W84:Y84" si="165">IF(W16=0,0,W16/W27*1000000)</f>
        <v>109999.9999141289</v>
      </c>
      <c r="X84" s="108">
        <f t="shared" si="165"/>
        <v>109999.9940649854</v>
      </c>
      <c r="Y84" s="108">
        <f t="shared" si="165"/>
        <v>96841.486190186231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149999.99079867351</v>
      </c>
      <c r="C85" s="110">
        <f t="shared" si="161"/>
        <v>149999.99487945266</v>
      </c>
      <c r="D85" s="110">
        <f t="shared" si="161"/>
        <v>149999.99283413659</v>
      </c>
      <c r="E85" s="110">
        <f t="shared" si="161"/>
        <v>136836.73004708407</v>
      </c>
      <c r="F85" s="110">
        <f t="shared" si="161"/>
        <v>132610.31251658197</v>
      </c>
      <c r="G85" s="110">
        <f t="shared" si="161"/>
        <v>132553.70490780563</v>
      </c>
      <c r="H85" s="110">
        <f t="shared" si="161"/>
        <v>135441.28747834</v>
      </c>
      <c r="I85" s="110">
        <f t="shared" si="161"/>
        <v>147294.36633690464</v>
      </c>
      <c r="J85" s="110">
        <f t="shared" si="161"/>
        <v>149999.99416065429</v>
      </c>
      <c r="K85" s="110">
        <f t="shared" ref="K85:V85" si="166">IF(K17=0,0,K17/K28*1000000)</f>
        <v>148674.5568638269</v>
      </c>
      <c r="L85" s="110">
        <f t="shared" si="166"/>
        <v>149999.99742296099</v>
      </c>
      <c r="M85" s="110">
        <f t="shared" si="166"/>
        <v>149999.99864599231</v>
      </c>
      <c r="N85" s="110">
        <f t="shared" si="166"/>
        <v>149999.99748984512</v>
      </c>
      <c r="O85" s="110">
        <f t="shared" si="166"/>
        <v>149999.99688857852</v>
      </c>
      <c r="P85" s="110">
        <f t="shared" si="166"/>
        <v>149999.99927450775</v>
      </c>
      <c r="Q85" s="110">
        <f t="shared" si="166"/>
        <v>147729.16714426488</v>
      </c>
      <c r="R85" s="110">
        <f t="shared" si="166"/>
        <v>149999.99598283207</v>
      </c>
      <c r="S85" s="110">
        <f t="shared" si="166"/>
        <v>149999.99627968803</v>
      </c>
      <c r="T85" s="110">
        <f t="shared" si="166"/>
        <v>149999.99834797755</v>
      </c>
      <c r="U85" s="110">
        <f t="shared" si="166"/>
        <v>149999.99769030797</v>
      </c>
      <c r="V85" s="110">
        <f t="shared" si="166"/>
        <v>137652.21746851056</v>
      </c>
      <c r="W85" s="110">
        <f t="shared" ref="W85:Y85" si="167">IF(W17=0,0,W17/W28*1000000)</f>
        <v>149999.99793350566</v>
      </c>
      <c r="X85" s="110">
        <f t="shared" si="167"/>
        <v>147642.34376269218</v>
      </c>
      <c r="Y85" s="110">
        <f t="shared" si="167"/>
        <v>149999.9959690877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149999.99564642823</v>
      </c>
      <c r="C86" s="84">
        <f t="shared" si="161"/>
        <v>149999.99441211438</v>
      </c>
      <c r="D86" s="84">
        <f t="shared" si="161"/>
        <v>149999.98886660076</v>
      </c>
      <c r="E86" s="84">
        <f t="shared" si="161"/>
        <v>122496.74730274006</v>
      </c>
      <c r="F86" s="84">
        <f t="shared" si="161"/>
        <v>109749.33324348051</v>
      </c>
      <c r="G86" s="84">
        <f t="shared" si="161"/>
        <v>88790.425664052673</v>
      </c>
      <c r="H86" s="84">
        <f t="shared" si="161"/>
        <v>85148.344643149583</v>
      </c>
      <c r="I86" s="84">
        <f t="shared" si="161"/>
        <v>136283.80025471342</v>
      </c>
      <c r="J86" s="84">
        <f t="shared" si="161"/>
        <v>149999.9892969401</v>
      </c>
      <c r="K86" s="84">
        <f t="shared" ref="K86:V86" si="168">IF(K18=0,0,K18/K29*1000000)</f>
        <v>143381.79860000371</v>
      </c>
      <c r="L86" s="84">
        <f t="shared" si="168"/>
        <v>149999.99691125896</v>
      </c>
      <c r="M86" s="84">
        <f t="shared" si="168"/>
        <v>149999.9984886859</v>
      </c>
      <c r="N86" s="84">
        <f t="shared" si="168"/>
        <v>149999.99843439969</v>
      </c>
      <c r="O86" s="84">
        <f t="shared" si="168"/>
        <v>149999.98756900502</v>
      </c>
      <c r="P86" s="84">
        <f t="shared" si="168"/>
        <v>149999.99687012937</v>
      </c>
      <c r="Q86" s="84">
        <f t="shared" si="168"/>
        <v>135620.76693787164</v>
      </c>
      <c r="R86" s="84">
        <f t="shared" si="168"/>
        <v>149999.98613659854</v>
      </c>
      <c r="S86" s="84">
        <f t="shared" si="168"/>
        <v>149999.98423022439</v>
      </c>
      <c r="T86" s="84">
        <f t="shared" si="168"/>
        <v>149999.99024442895</v>
      </c>
      <c r="U86" s="84">
        <f t="shared" si="168"/>
        <v>149999.98908475929</v>
      </c>
      <c r="V86" s="84">
        <f t="shared" si="168"/>
        <v>149999.98887531942</v>
      </c>
      <c r="W86" s="84">
        <f t="shared" ref="W86:Y86" si="169">IF(W18=0,0,W18/W29*1000000)</f>
        <v>149999.98876640279</v>
      </c>
      <c r="X86" s="84">
        <f t="shared" si="169"/>
        <v>136975.36924396563</v>
      </c>
      <c r="Y86" s="84">
        <f t="shared" si="169"/>
        <v>149999.98619011007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149999.98555332181</v>
      </c>
      <c r="C87" s="84">
        <f t="shared" si="161"/>
        <v>149999.99538832469</v>
      </c>
      <c r="D87" s="84">
        <f t="shared" si="161"/>
        <v>149999.99692410926</v>
      </c>
      <c r="E87" s="84">
        <f t="shared" si="161"/>
        <v>149999.99415665213</v>
      </c>
      <c r="F87" s="84">
        <f t="shared" si="161"/>
        <v>149999.99581383544</v>
      </c>
      <c r="G87" s="84">
        <f t="shared" si="161"/>
        <v>149999.99425835849</v>
      </c>
      <c r="H87" s="84">
        <f t="shared" si="161"/>
        <v>149999.99653859215</v>
      </c>
      <c r="I87" s="84">
        <f t="shared" si="161"/>
        <v>149999.99810456386</v>
      </c>
      <c r="J87" s="84">
        <f t="shared" si="161"/>
        <v>149999.99562677866</v>
      </c>
      <c r="K87" s="84">
        <f t="shared" ref="K87:V87" si="170">IF(K19=0,0,K19/K30*1000000)</f>
        <v>149999.99627807768</v>
      </c>
      <c r="L87" s="84">
        <f t="shared" si="170"/>
        <v>149999.99756136083</v>
      </c>
      <c r="M87" s="84">
        <f t="shared" si="170"/>
        <v>149999.99868341442</v>
      </c>
      <c r="N87" s="84">
        <f t="shared" si="170"/>
        <v>149999.99726714945</v>
      </c>
      <c r="O87" s="84">
        <f t="shared" si="170"/>
        <v>149999.99886872302</v>
      </c>
      <c r="P87" s="84">
        <f t="shared" si="170"/>
        <v>149999.99982935129</v>
      </c>
      <c r="Q87" s="84">
        <f t="shared" si="170"/>
        <v>149999.99852492145</v>
      </c>
      <c r="R87" s="84">
        <f t="shared" si="170"/>
        <v>149999.99768376397</v>
      </c>
      <c r="S87" s="84">
        <f t="shared" si="170"/>
        <v>149999.99816411399</v>
      </c>
      <c r="T87" s="84">
        <f t="shared" si="170"/>
        <v>149999.99980347927</v>
      </c>
      <c r="U87" s="84">
        <f t="shared" si="170"/>
        <v>149999.99915620266</v>
      </c>
      <c r="V87" s="84">
        <f t="shared" si="170"/>
        <v>135515.99041907812</v>
      </c>
      <c r="W87" s="84">
        <f t="shared" ref="W87:Y87" si="171">IF(W19=0,0,W19/W30*1000000)</f>
        <v>149999.9996252112</v>
      </c>
      <c r="X87" s="84">
        <f t="shared" si="171"/>
        <v>149423.89765367005</v>
      </c>
      <c r="Y87" s="84">
        <f t="shared" si="171"/>
        <v>149999.99751019647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199999.98181936386</v>
      </c>
      <c r="C89" s="28">
        <f t="shared" si="161"/>
        <v>199999.97137730659</v>
      </c>
      <c r="D89" s="28">
        <f t="shared" si="161"/>
        <v>199999.98148971121</v>
      </c>
      <c r="E89" s="28">
        <f t="shared" si="161"/>
        <v>197976.83656077465</v>
      </c>
      <c r="F89" s="28">
        <f t="shared" si="161"/>
        <v>199999.99489051901</v>
      </c>
      <c r="G89" s="28">
        <f t="shared" si="161"/>
        <v>156480.8974592856</v>
      </c>
      <c r="H89" s="28">
        <f t="shared" si="161"/>
        <v>179376.43983200402</v>
      </c>
      <c r="I89" s="28">
        <f t="shared" si="161"/>
        <v>196952.96540713974</v>
      </c>
      <c r="J89" s="28">
        <f t="shared" si="161"/>
        <v>140856.88513071006</v>
      </c>
      <c r="K89" s="28">
        <f t="shared" ref="K89:V89" si="174">IF(K21=0,0,K21/K32*1000000)</f>
        <v>119482.42727140182</v>
      </c>
      <c r="L89" s="28">
        <f t="shared" si="174"/>
        <v>147791.04361456435</v>
      </c>
      <c r="M89" s="28">
        <f t="shared" si="174"/>
        <v>147790.50979644409</v>
      </c>
      <c r="N89" s="28">
        <f t="shared" si="174"/>
        <v>139147.57404118055</v>
      </c>
      <c r="O89" s="28">
        <f t="shared" si="174"/>
        <v>152390.25282682676</v>
      </c>
      <c r="P89" s="28">
        <f t="shared" si="174"/>
        <v>159899.64423368042</v>
      </c>
      <c r="Q89" s="28">
        <f t="shared" si="174"/>
        <v>190940.5385148472</v>
      </c>
      <c r="R89" s="28">
        <f t="shared" si="174"/>
        <v>199999.86486870103</v>
      </c>
      <c r="S89" s="28">
        <f t="shared" si="174"/>
        <v>199999.89295173719</v>
      </c>
      <c r="T89" s="28">
        <f t="shared" si="174"/>
        <v>199999.91132137206</v>
      </c>
      <c r="U89" s="28">
        <f t="shared" si="174"/>
        <v>199999.92260271439</v>
      </c>
      <c r="V89" s="28">
        <f t="shared" si="174"/>
        <v>199999.88962935554</v>
      </c>
      <c r="W89" s="28">
        <f t="shared" ref="W89:Y89" si="175">IF(W21=0,0,W21/W32*1000000)</f>
        <v>199999.96689336648</v>
      </c>
      <c r="X89" s="28">
        <f t="shared" si="175"/>
        <v>199999.87878670925</v>
      </c>
      <c r="Y89" s="28">
        <f t="shared" si="175"/>
        <v>199999.91748509079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199999.99431278845</v>
      </c>
      <c r="C90" s="84">
        <f t="shared" si="161"/>
        <v>199999.90728590809</v>
      </c>
      <c r="D90" s="84">
        <f t="shared" si="161"/>
        <v>199999.99326722906</v>
      </c>
      <c r="E90" s="84">
        <f t="shared" si="161"/>
        <v>190709.5974349436</v>
      </c>
      <c r="F90" s="84">
        <f t="shared" si="161"/>
        <v>199999.97735512324</v>
      </c>
      <c r="G90" s="84">
        <f t="shared" si="161"/>
        <v>120470.29059217786</v>
      </c>
      <c r="H90" s="84">
        <f t="shared" si="161"/>
        <v>90548.19404887862</v>
      </c>
      <c r="I90" s="84">
        <f t="shared" si="161"/>
        <v>172976.09604232534</v>
      </c>
      <c r="J90" s="84">
        <f t="shared" si="161"/>
        <v>142046.46623567669</v>
      </c>
      <c r="K90" s="84">
        <f t="shared" ref="K90:V90" si="176">IF(K22=0,0,K22/K33*1000000)</f>
        <v>159542.36233053642</v>
      </c>
      <c r="L90" s="84">
        <f t="shared" si="176"/>
        <v>199999.87414449104</v>
      </c>
      <c r="M90" s="84">
        <f t="shared" si="176"/>
        <v>199999.5082478993</v>
      </c>
      <c r="N90" s="84">
        <f t="shared" si="176"/>
        <v>199999.38771577785</v>
      </c>
      <c r="O90" s="84">
        <f t="shared" si="176"/>
        <v>199999.87976256871</v>
      </c>
      <c r="P90" s="84">
        <f t="shared" si="176"/>
        <v>199999.20255948082</v>
      </c>
      <c r="Q90" s="84">
        <f t="shared" si="176"/>
        <v>199999.04375648624</v>
      </c>
      <c r="R90" s="84">
        <f t="shared" si="176"/>
        <v>199999.11998488076</v>
      </c>
      <c r="S90" s="84">
        <f t="shared" si="176"/>
        <v>199999.00164569341</v>
      </c>
      <c r="T90" s="84">
        <f t="shared" si="176"/>
        <v>199999.49747495461</v>
      </c>
      <c r="U90" s="84">
        <f t="shared" si="176"/>
        <v>199999.09227478219</v>
      </c>
      <c r="V90" s="84">
        <f t="shared" si="176"/>
        <v>199999.55489030655</v>
      </c>
      <c r="W90" s="84">
        <f t="shared" ref="W90:Y90" si="177">IF(W22=0,0,W22/W33*1000000)</f>
        <v>199999.75085506585</v>
      </c>
      <c r="X90" s="84">
        <f t="shared" si="177"/>
        <v>199998.88537071258</v>
      </c>
      <c r="Y90" s="84">
        <f t="shared" si="177"/>
        <v>199999.81713908564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199999.97615112818</v>
      </c>
      <c r="C91" s="86">
        <f t="shared" si="161"/>
        <v>199999.99519249424</v>
      </c>
      <c r="D91" s="86">
        <f t="shared" si="161"/>
        <v>199999.97784248783</v>
      </c>
      <c r="E91" s="86">
        <f t="shared" si="161"/>
        <v>199999.98613203963</v>
      </c>
      <c r="F91" s="86">
        <f t="shared" si="161"/>
        <v>199999.99880804267</v>
      </c>
      <c r="G91" s="86">
        <f t="shared" si="161"/>
        <v>163900.06258902157</v>
      </c>
      <c r="H91" s="86">
        <f t="shared" si="161"/>
        <v>195881.66183462535</v>
      </c>
      <c r="I91" s="86">
        <f t="shared" si="161"/>
        <v>199999.98709385068</v>
      </c>
      <c r="J91" s="86">
        <f t="shared" si="161"/>
        <v>140734.83213702857</v>
      </c>
      <c r="K91" s="86">
        <f t="shared" ref="K91:V91" si="178">IF(K23=0,0,K23/K34*1000000)</f>
        <v>116511.79611831201</v>
      </c>
      <c r="L91" s="86">
        <f t="shared" si="178"/>
        <v>143872.18138359732</v>
      </c>
      <c r="M91" s="86">
        <f t="shared" si="178"/>
        <v>144241.45023579377</v>
      </c>
      <c r="N91" s="86">
        <f t="shared" si="178"/>
        <v>134939.45490236237</v>
      </c>
      <c r="O91" s="86">
        <f t="shared" si="178"/>
        <v>149084.21230619543</v>
      </c>
      <c r="P91" s="86">
        <f t="shared" si="178"/>
        <v>156796.67200040404</v>
      </c>
      <c r="Q91" s="86">
        <f t="shared" si="178"/>
        <v>190267.59213329412</v>
      </c>
      <c r="R91" s="86">
        <f t="shared" si="178"/>
        <v>199999.92310605437</v>
      </c>
      <c r="S91" s="86">
        <f t="shared" si="178"/>
        <v>199999.95689672302</v>
      </c>
      <c r="T91" s="86">
        <f t="shared" si="178"/>
        <v>199999.94542292613</v>
      </c>
      <c r="U91" s="86">
        <f t="shared" si="178"/>
        <v>199999.98624290712</v>
      </c>
      <c r="V91" s="86">
        <f t="shared" si="178"/>
        <v>199999.92465571925</v>
      </c>
      <c r="W91" s="86">
        <f t="shared" ref="W91:Y91" si="179">IF(W23=0,0,W23/W34*1000000)</f>
        <v>199999.98464711109</v>
      </c>
      <c r="X91" s="86">
        <f t="shared" si="179"/>
        <v>199999.93315634888</v>
      </c>
      <c r="Y91" s="86">
        <f t="shared" si="179"/>
        <v>199999.92251317593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15936463.049870379</v>
      </c>
      <c r="C94" s="28">
        <f t="shared" si="180"/>
        <v>14277334.162574109</v>
      </c>
      <c r="D94" s="28">
        <f t="shared" si="180"/>
        <v>11071851.025104679</v>
      </c>
      <c r="E94" s="28">
        <f t="shared" si="180"/>
        <v>11192002.041557869</v>
      </c>
      <c r="F94" s="28">
        <f t="shared" si="180"/>
        <v>10799446.300009388</v>
      </c>
      <c r="G94" s="28">
        <f t="shared" si="180"/>
        <v>8419587.5934633352</v>
      </c>
      <c r="H94" s="28">
        <f t="shared" si="180"/>
        <v>8408598.9945065025</v>
      </c>
      <c r="I94" s="28">
        <f t="shared" si="180"/>
        <v>9068911.2413316201</v>
      </c>
      <c r="J94" s="28">
        <f t="shared" si="180"/>
        <v>8647803.1759997141</v>
      </c>
      <c r="K94" s="28">
        <f t="shared" ref="K94:V94" si="181">IF(K4=0,0,K4/K26*1000000)</f>
        <v>8175121.2109019011</v>
      </c>
      <c r="L94" s="28">
        <f t="shared" si="181"/>
        <v>7932836.536587581</v>
      </c>
      <c r="M94" s="28">
        <f t="shared" si="181"/>
        <v>7320377.3421694133</v>
      </c>
      <c r="N94" s="28">
        <f t="shared" si="181"/>
        <v>7503591.8165143682</v>
      </c>
      <c r="O94" s="28">
        <f t="shared" si="181"/>
        <v>7493143.5359379826</v>
      </c>
      <c r="P94" s="28">
        <f t="shared" si="181"/>
        <v>6837202.3087252034</v>
      </c>
      <c r="Q94" s="28">
        <f t="shared" si="181"/>
        <v>7372276.4134510187</v>
      </c>
      <c r="R94" s="28">
        <f t="shared" si="181"/>
        <v>7292333.3635810707</v>
      </c>
      <c r="S94" s="28">
        <f t="shared" si="181"/>
        <v>7514580.3446577722</v>
      </c>
      <c r="T94" s="28">
        <f t="shared" si="181"/>
        <v>6963990.5674592275</v>
      </c>
      <c r="U94" s="28">
        <f t="shared" si="181"/>
        <v>7175863.4388175104</v>
      </c>
      <c r="V94" s="28">
        <f t="shared" si="181"/>
        <v>4410422.6036313996</v>
      </c>
      <c r="W94" s="28">
        <f t="shared" ref="W94:Y94" si="182">IF(W4=0,0,W4/W26*1000000)</f>
        <v>4950410.4311891254</v>
      </c>
      <c r="X94" s="28">
        <f t="shared" si="182"/>
        <v>6583837.3874944346</v>
      </c>
      <c r="Y94" s="28">
        <f t="shared" si="182"/>
        <v>8266267.0483686663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4822753.9012987539</v>
      </c>
      <c r="U95" s="108">
        <f t="shared" si="183"/>
        <v>4869800.7268177588</v>
      </c>
      <c r="V95" s="108">
        <f t="shared" si="183"/>
        <v>4860441.2522551883</v>
      </c>
      <c r="W95" s="108">
        <f t="shared" ref="W95:Y95" si="184">IF(W5=0,0,W5/W27*1000000)</f>
        <v>5224858.2625698159</v>
      </c>
      <c r="X95" s="108">
        <f t="shared" si="184"/>
        <v>6914585.1227877364</v>
      </c>
      <c r="Y95" s="108">
        <f t="shared" si="184"/>
        <v>7682872.3586530406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15936463.049870379</v>
      </c>
      <c r="C96" s="110">
        <f t="shared" si="180"/>
        <v>14277334.162574109</v>
      </c>
      <c r="D96" s="110">
        <f t="shared" si="180"/>
        <v>11071851.025104679</v>
      </c>
      <c r="E96" s="110">
        <f t="shared" si="180"/>
        <v>11192002.041557869</v>
      </c>
      <c r="F96" s="110">
        <f t="shared" si="180"/>
        <v>10799446.300009388</v>
      </c>
      <c r="G96" s="110">
        <f t="shared" si="180"/>
        <v>8419587.5934633352</v>
      </c>
      <c r="H96" s="110">
        <f t="shared" si="180"/>
        <v>8408598.9945065025</v>
      </c>
      <c r="I96" s="110">
        <f t="shared" si="180"/>
        <v>9068911.2413316201</v>
      </c>
      <c r="J96" s="110">
        <f t="shared" si="180"/>
        <v>8647803.1759997141</v>
      </c>
      <c r="K96" s="110">
        <f t="shared" ref="K96:V96" si="185">IF(K6=0,0,K6/K28*1000000)</f>
        <v>8175121.2109019011</v>
      </c>
      <c r="L96" s="110">
        <f t="shared" si="185"/>
        <v>7932836.536587581</v>
      </c>
      <c r="M96" s="110">
        <f t="shared" si="185"/>
        <v>7320377.3421694133</v>
      </c>
      <c r="N96" s="110">
        <f t="shared" si="185"/>
        <v>7503591.8165143682</v>
      </c>
      <c r="O96" s="110">
        <f t="shared" si="185"/>
        <v>7493143.5359379826</v>
      </c>
      <c r="P96" s="110">
        <f t="shared" si="185"/>
        <v>6837202.3087252034</v>
      </c>
      <c r="Q96" s="110">
        <f t="shared" si="185"/>
        <v>7372276.4134510187</v>
      </c>
      <c r="R96" s="110">
        <f t="shared" si="185"/>
        <v>7292333.3635810707</v>
      </c>
      <c r="S96" s="110">
        <f t="shared" si="185"/>
        <v>7514580.3446577722</v>
      </c>
      <c r="T96" s="110">
        <f t="shared" si="185"/>
        <v>7102803.6064541424</v>
      </c>
      <c r="U96" s="110">
        <f t="shared" si="185"/>
        <v>7412396.6779142991</v>
      </c>
      <c r="V96" s="110">
        <f t="shared" si="185"/>
        <v>4362597.2012701798</v>
      </c>
      <c r="W96" s="110">
        <f t="shared" ref="W96:Y96" si="186">IF(W6=0,0,W6/W28*1000000)</f>
        <v>4912468.5367701836</v>
      </c>
      <c r="X96" s="110">
        <f t="shared" si="186"/>
        <v>6505008.4551732019</v>
      </c>
      <c r="Y96" s="110">
        <f t="shared" si="186"/>
        <v>8404649.5586502161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6714132.2485533357</v>
      </c>
      <c r="C97" s="84">
        <f t="shared" si="180"/>
        <v>5882950.7569618085</v>
      </c>
      <c r="D97" s="84">
        <f t="shared" si="180"/>
        <v>5879640.6379853263</v>
      </c>
      <c r="E97" s="84">
        <f t="shared" si="180"/>
        <v>4719834.1697180551</v>
      </c>
      <c r="F97" s="84">
        <f t="shared" si="180"/>
        <v>4181289.4310010788</v>
      </c>
      <c r="G97" s="84">
        <f t="shared" si="180"/>
        <v>3362072.0989216776</v>
      </c>
      <c r="H97" s="84">
        <f t="shared" si="180"/>
        <v>3891132.9821934407</v>
      </c>
      <c r="I97" s="84">
        <f t="shared" si="180"/>
        <v>7241950.8330388833</v>
      </c>
      <c r="J97" s="84">
        <f t="shared" si="180"/>
        <v>7448395.3758613085</v>
      </c>
      <c r="K97" s="84">
        <f t="shared" ref="K97:V97" si="187">IF(K7=0,0,K7/K29*1000000)</f>
        <v>6826118.089384607</v>
      </c>
      <c r="L97" s="84">
        <f t="shared" si="187"/>
        <v>6536647.5910017453</v>
      </c>
      <c r="M97" s="84">
        <f t="shared" si="187"/>
        <v>6022536.9107580837</v>
      </c>
      <c r="N97" s="84">
        <f t="shared" si="187"/>
        <v>6649796.4677415881</v>
      </c>
      <c r="O97" s="84">
        <f t="shared" si="187"/>
        <v>5519044.1752480865</v>
      </c>
      <c r="P97" s="84">
        <f t="shared" si="187"/>
        <v>6286575.6629641224</v>
      </c>
      <c r="Q97" s="84">
        <f t="shared" si="187"/>
        <v>5796149.1799549125</v>
      </c>
      <c r="R97" s="84">
        <f t="shared" si="187"/>
        <v>6284116.5092019029</v>
      </c>
      <c r="S97" s="84">
        <f t="shared" si="187"/>
        <v>6514598.6101035718</v>
      </c>
      <c r="T97" s="84">
        <f t="shared" si="187"/>
        <v>6278761.7245175401</v>
      </c>
      <c r="U97" s="84">
        <f t="shared" si="187"/>
        <v>6664829.0980405435</v>
      </c>
      <c r="V97" s="84">
        <f t="shared" si="187"/>
        <v>3666275.7237862516</v>
      </c>
      <c r="W97" s="84">
        <f t="shared" ref="W97:Y97" si="188">IF(W7=0,0,W7/W29*1000000)</f>
        <v>4657877.8328149701</v>
      </c>
      <c r="X97" s="84">
        <f t="shared" si="188"/>
        <v>6091302.4682842596</v>
      </c>
      <c r="Y97" s="84">
        <f t="shared" si="188"/>
        <v>8273398.9341645436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25915179.167932875</v>
      </c>
      <c r="C98" s="84">
        <f t="shared" si="180"/>
        <v>23417752.555271596</v>
      </c>
      <c r="D98" s="84">
        <f t="shared" si="180"/>
        <v>16424291.300599847</v>
      </c>
      <c r="E98" s="84">
        <f t="shared" si="180"/>
        <v>17133073.002197012</v>
      </c>
      <c r="F98" s="84">
        <f t="shared" si="180"/>
        <v>15833686.11050651</v>
      </c>
      <c r="G98" s="84">
        <f t="shared" si="180"/>
        <v>10435772.857397217</v>
      </c>
      <c r="H98" s="84">
        <f t="shared" si="180"/>
        <v>9716306.7891839035</v>
      </c>
      <c r="I98" s="84">
        <f t="shared" si="180"/>
        <v>9517851.112545643</v>
      </c>
      <c r="J98" s="84">
        <f t="shared" si="180"/>
        <v>9009354.231552003</v>
      </c>
      <c r="K98" s="84">
        <f t="shared" ref="K98:V98" si="189">IF(K8=0,0,K8/K30*1000000)</f>
        <v>8512945.4261939079</v>
      </c>
      <c r="L98" s="84">
        <f t="shared" si="189"/>
        <v>8310463.1902298434</v>
      </c>
      <c r="M98" s="84">
        <f t="shared" si="189"/>
        <v>7629124.7546772417</v>
      </c>
      <c r="N98" s="84">
        <f t="shared" si="189"/>
        <v>7704889.3951512016</v>
      </c>
      <c r="O98" s="84">
        <f t="shared" si="189"/>
        <v>7912583.5493037999</v>
      </c>
      <c r="P98" s="84">
        <f t="shared" si="189"/>
        <v>6964267.0191910947</v>
      </c>
      <c r="Q98" s="84">
        <f t="shared" si="189"/>
        <v>7667866.1792931324</v>
      </c>
      <c r="R98" s="84">
        <f t="shared" si="189"/>
        <v>7466502.3206227683</v>
      </c>
      <c r="S98" s="84">
        <f t="shared" si="189"/>
        <v>7670968.350034751</v>
      </c>
      <c r="T98" s="84">
        <f t="shared" si="189"/>
        <v>7250812.1442514183</v>
      </c>
      <c r="U98" s="84">
        <f t="shared" si="189"/>
        <v>7539739.5566068385</v>
      </c>
      <c r="V98" s="84">
        <f t="shared" si="189"/>
        <v>4483064.3468217775</v>
      </c>
      <c r="W98" s="84">
        <f t="shared" ref="W98:Y98" si="190">IF(W8=0,0,W8/W30*1000000)</f>
        <v>4959450.9384536007</v>
      </c>
      <c r="X98" s="84">
        <f t="shared" si="190"/>
        <v>6574103.9151247488</v>
      </c>
      <c r="Y98" s="84">
        <f t="shared" si="190"/>
        <v>8425333.8773457799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99785933.909502357</v>
      </c>
      <c r="C100" s="28">
        <f t="shared" si="180"/>
        <v>81467722.488350123</v>
      </c>
      <c r="D100" s="28">
        <f t="shared" si="180"/>
        <v>73595864.501181945</v>
      </c>
      <c r="E100" s="28">
        <f t="shared" si="180"/>
        <v>72848310.668489397</v>
      </c>
      <c r="F100" s="28">
        <f t="shared" si="180"/>
        <v>73592090.4958909</v>
      </c>
      <c r="G100" s="28">
        <f t="shared" si="180"/>
        <v>56301049.756052718</v>
      </c>
      <c r="H100" s="28">
        <f t="shared" si="180"/>
        <v>69676887.260110468</v>
      </c>
      <c r="I100" s="28">
        <f t="shared" si="180"/>
        <v>81502601.267692029</v>
      </c>
      <c r="J100" s="28">
        <f t="shared" si="180"/>
        <v>43530053.289210394</v>
      </c>
      <c r="K100" s="28">
        <f t="shared" ref="K100:V100" si="193">IF(K10=0,0,K10/K32*1000000)</f>
        <v>34625978.833139144</v>
      </c>
      <c r="L100" s="28">
        <f t="shared" si="193"/>
        <v>60800045.778857991</v>
      </c>
      <c r="M100" s="28">
        <f t="shared" si="193"/>
        <v>59848010.988759793</v>
      </c>
      <c r="N100" s="28">
        <f t="shared" si="193"/>
        <v>53083044.861837</v>
      </c>
      <c r="O100" s="28">
        <f t="shared" si="193"/>
        <v>56085826.75139571</v>
      </c>
      <c r="P100" s="28">
        <f t="shared" si="193"/>
        <v>60353497.398125902</v>
      </c>
      <c r="Q100" s="28">
        <f t="shared" si="193"/>
        <v>69734161.249636158</v>
      </c>
      <c r="R100" s="28">
        <f t="shared" si="193"/>
        <v>74225397.050482124</v>
      </c>
      <c r="S100" s="28">
        <f t="shared" si="193"/>
        <v>73664366.470885456</v>
      </c>
      <c r="T100" s="28">
        <f t="shared" si="193"/>
        <v>77934504.960373968</v>
      </c>
      <c r="U100" s="28">
        <f t="shared" si="193"/>
        <v>68934180.128982708</v>
      </c>
      <c r="V100" s="28">
        <f t="shared" si="193"/>
        <v>65464490.767082185</v>
      </c>
      <c r="W100" s="28">
        <f t="shared" ref="W100:Y100" si="194">IF(W10=0,0,W10/W32*1000000)</f>
        <v>70259172.514611706</v>
      </c>
      <c r="X100" s="28">
        <f t="shared" si="194"/>
        <v>71479781.280429736</v>
      </c>
      <c r="Y100" s="28">
        <f t="shared" si="194"/>
        <v>73940892.330587178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81590927.632670984</v>
      </c>
      <c r="C101" s="84">
        <f t="shared" si="180"/>
        <v>75347119.733393446</v>
      </c>
      <c r="D101" s="84">
        <f t="shared" si="180"/>
        <v>75405294.895888045</v>
      </c>
      <c r="E101" s="84">
        <f t="shared" si="180"/>
        <v>72081634.782567114</v>
      </c>
      <c r="F101" s="84">
        <f t="shared" si="180"/>
        <v>75785347.865085751</v>
      </c>
      <c r="G101" s="84">
        <f t="shared" si="180"/>
        <v>40741199.231162243</v>
      </c>
      <c r="H101" s="84">
        <f t="shared" si="180"/>
        <v>39674106.18779581</v>
      </c>
      <c r="I101" s="84">
        <f t="shared" si="180"/>
        <v>77963271.672555745</v>
      </c>
      <c r="J101" s="84">
        <f t="shared" si="180"/>
        <v>61844276.333990782</v>
      </c>
      <c r="K101" s="84">
        <f t="shared" ref="K101:V101" si="195">IF(K11=0,0,K11/K33*1000000)</f>
        <v>59011987.24427487</v>
      </c>
      <c r="L101" s="84">
        <f t="shared" si="195"/>
        <v>107363542.76035058</v>
      </c>
      <c r="M101" s="84">
        <f t="shared" si="195"/>
        <v>104714297.90265231</v>
      </c>
      <c r="N101" s="84">
        <f t="shared" si="195"/>
        <v>92294113.745887622</v>
      </c>
      <c r="O101" s="84">
        <f t="shared" si="195"/>
        <v>89137076.415988952</v>
      </c>
      <c r="P101" s="84">
        <f t="shared" si="195"/>
        <v>91345954.663541645</v>
      </c>
      <c r="Q101" s="84">
        <f t="shared" si="195"/>
        <v>88580683.822508201</v>
      </c>
      <c r="R101" s="84">
        <f t="shared" si="195"/>
        <v>91891496.349492654</v>
      </c>
      <c r="S101" s="84">
        <f t="shared" si="195"/>
        <v>91359536.074776262</v>
      </c>
      <c r="T101" s="84">
        <f t="shared" si="195"/>
        <v>94032254.650076389</v>
      </c>
      <c r="U101" s="84">
        <f t="shared" si="195"/>
        <v>84853050.122498766</v>
      </c>
      <c r="V101" s="84">
        <f t="shared" si="195"/>
        <v>66810775.967445947</v>
      </c>
      <c r="W101" s="84">
        <f t="shared" ref="W101:Y101" si="196">IF(W11=0,0,W11/W33*1000000)</f>
        <v>85964492.271162346</v>
      </c>
      <c r="X101" s="84">
        <f t="shared" si="196"/>
        <v>107861702.09533139</v>
      </c>
      <c r="Y101" s="84">
        <f t="shared" si="196"/>
        <v>124439550.94817099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108040963.00554049</v>
      </c>
      <c r="C102" s="86">
        <f t="shared" si="180"/>
        <v>83742026.162906662</v>
      </c>
      <c r="D102" s="86">
        <f t="shared" si="180"/>
        <v>73035525.989440754</v>
      </c>
      <c r="E102" s="86">
        <f t="shared" si="180"/>
        <v>73061747.98120828</v>
      </c>
      <c r="F102" s="86">
        <f t="shared" si="180"/>
        <v>73102102.261831045</v>
      </c>
      <c r="G102" s="86">
        <f t="shared" si="180"/>
        <v>59506802.462864667</v>
      </c>
      <c r="H102" s="86">
        <f t="shared" si="180"/>
        <v>75251719.431215569</v>
      </c>
      <c r="I102" s="86">
        <f t="shared" si="180"/>
        <v>81952385.343699202</v>
      </c>
      <c r="J102" s="86">
        <f t="shared" si="180"/>
        <v>41650983.640042454</v>
      </c>
      <c r="K102" s="86">
        <f t="shared" ref="K102:V102" si="197">IF(K12=0,0,K12/K34*1000000)</f>
        <v>32817642.494632985</v>
      </c>
      <c r="L102" s="86">
        <f t="shared" si="197"/>
        <v>57304929.573220685</v>
      </c>
      <c r="M102" s="86">
        <f t="shared" si="197"/>
        <v>56798093.74756451</v>
      </c>
      <c r="N102" s="86">
        <f t="shared" si="197"/>
        <v>50371460.120799564</v>
      </c>
      <c r="O102" s="86">
        <f t="shared" si="197"/>
        <v>53790728.51850836</v>
      </c>
      <c r="P102" s="86">
        <f t="shared" si="197"/>
        <v>57955248.181657262</v>
      </c>
      <c r="Q102" s="86">
        <f t="shared" si="197"/>
        <v>68334073.83654131</v>
      </c>
      <c r="R102" s="86">
        <f t="shared" si="197"/>
        <v>72844205.998850882</v>
      </c>
      <c r="S102" s="86">
        <f t="shared" si="197"/>
        <v>72394861.594678298</v>
      </c>
      <c r="T102" s="86">
        <f t="shared" si="197"/>
        <v>76608026.685781628</v>
      </c>
      <c r="U102" s="86">
        <f t="shared" si="197"/>
        <v>67714083.929452702</v>
      </c>
      <c r="V102" s="86">
        <f t="shared" si="197"/>
        <v>65323618.421415731</v>
      </c>
      <c r="W102" s="86">
        <f t="shared" ref="W102:Y102" si="198">IF(W12=0,0,W12/W34*1000000)</f>
        <v>68968529.903738722</v>
      </c>
      <c r="X102" s="86">
        <f t="shared" si="198"/>
        <v>69488599.409405738</v>
      </c>
      <c r="Y102" s="86">
        <f t="shared" si="198"/>
        <v>71410531.95156315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4.2162162162162162E-2</v>
      </c>
      <c r="U106" s="123">
        <f t="shared" si="202"/>
        <v>6.3132335087009314E-2</v>
      </c>
      <c r="V106" s="123">
        <f t="shared" si="202"/>
        <v>0.10586704805172861</v>
      </c>
      <c r="W106" s="123">
        <f t="shared" ref="W106:Y106" si="203">IF(W5=0,0,W5/W$4)</f>
        <v>0.12819042156581589</v>
      </c>
      <c r="X106" s="123">
        <f t="shared" si="203"/>
        <v>0.20213311455235358</v>
      </c>
      <c r="Y106" s="123">
        <f t="shared" si="203"/>
        <v>0.17819365337672904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1</v>
      </c>
      <c r="G107" s="124">
        <f t="shared" si="199"/>
        <v>1</v>
      </c>
      <c r="H107" s="124">
        <f t="shared" si="199"/>
        <v>1</v>
      </c>
      <c r="I107" s="124">
        <f t="shared" si="199"/>
        <v>1</v>
      </c>
      <c r="J107" s="124">
        <f t="shared" si="199"/>
        <v>1</v>
      </c>
      <c r="K107" s="124">
        <f t="shared" ref="K107:V107" si="204">IF(K6=0,0,K6/K$4)</f>
        <v>1</v>
      </c>
      <c r="L107" s="124">
        <f t="shared" si="204"/>
        <v>1</v>
      </c>
      <c r="M107" s="124">
        <f t="shared" si="204"/>
        <v>1</v>
      </c>
      <c r="N107" s="124">
        <f t="shared" si="204"/>
        <v>1</v>
      </c>
      <c r="O107" s="124">
        <f t="shared" si="204"/>
        <v>1</v>
      </c>
      <c r="P107" s="124">
        <f t="shared" si="204"/>
        <v>1</v>
      </c>
      <c r="Q107" s="124">
        <f t="shared" si="204"/>
        <v>1</v>
      </c>
      <c r="R107" s="124">
        <f t="shared" si="204"/>
        <v>1</v>
      </c>
      <c r="S107" s="124">
        <f t="shared" si="204"/>
        <v>1</v>
      </c>
      <c r="T107" s="124">
        <f t="shared" si="204"/>
        <v>0.95783783783783782</v>
      </c>
      <c r="U107" s="124">
        <f t="shared" si="204"/>
        <v>0.93686766491299067</v>
      </c>
      <c r="V107" s="124">
        <f t="shared" si="204"/>
        <v>0.89413295194827147</v>
      </c>
      <c r="W107" s="124">
        <f t="shared" ref="W107:Y107" si="205">IF(W6=0,0,W6/W$4)</f>
        <v>0.87180957843418416</v>
      </c>
      <c r="X107" s="124">
        <f t="shared" si="205"/>
        <v>0.79786688544764639</v>
      </c>
      <c r="Y107" s="124">
        <f t="shared" si="205"/>
        <v>0.8218063466232709</v>
      </c>
      <c r="DA107" s="176"/>
    </row>
    <row r="108" spans="1:105" ht="11.45" customHeight="1" x14ac:dyDescent="0.25">
      <c r="A108" s="111" t="s">
        <v>92</v>
      </c>
      <c r="B108" s="125">
        <f t="shared" si="199"/>
        <v>0.21895139170105768</v>
      </c>
      <c r="C108" s="125">
        <f t="shared" si="199"/>
        <v>0.21478962663678478</v>
      </c>
      <c r="D108" s="125">
        <f t="shared" si="199"/>
        <v>0.26955673222953419</v>
      </c>
      <c r="E108" s="125">
        <f t="shared" si="199"/>
        <v>0.20183597998990557</v>
      </c>
      <c r="F108" s="125">
        <f t="shared" si="199"/>
        <v>0.16727359098518976</v>
      </c>
      <c r="G108" s="125">
        <f t="shared" si="199"/>
        <v>0.11381511866612623</v>
      </c>
      <c r="H108" s="125">
        <f t="shared" si="199"/>
        <v>0.10388533778366819</v>
      </c>
      <c r="I108" s="125">
        <f t="shared" si="199"/>
        <v>0.15751987882752211</v>
      </c>
      <c r="J108" s="125">
        <f t="shared" si="199"/>
        <v>0.19949641842620133</v>
      </c>
      <c r="K108" s="125">
        <f t="shared" ref="K108:V108" si="206">IF(K7=0,0,K7/K$4)</f>
        <v>0.16722443705466944</v>
      </c>
      <c r="L108" s="125">
        <f t="shared" si="206"/>
        <v>0.17542065830671325</v>
      </c>
      <c r="M108" s="125">
        <f t="shared" si="206"/>
        <v>0.15810472614404464</v>
      </c>
      <c r="N108" s="125">
        <f t="shared" si="206"/>
        <v>0.16907795675114098</v>
      </c>
      <c r="O108" s="125">
        <f t="shared" si="206"/>
        <v>0.12907112660443937</v>
      </c>
      <c r="P108" s="125">
        <f t="shared" si="206"/>
        <v>0.17239660981753899</v>
      </c>
      <c r="Q108" s="125">
        <f t="shared" si="206"/>
        <v>0.12416155793828106</v>
      </c>
      <c r="R108" s="125">
        <f t="shared" si="206"/>
        <v>0.12693729989755556</v>
      </c>
      <c r="S108" s="125">
        <f t="shared" si="206"/>
        <v>0.11724373688546948</v>
      </c>
      <c r="T108" s="125">
        <f t="shared" si="206"/>
        <v>0.12892411557084255</v>
      </c>
      <c r="U108" s="125">
        <f t="shared" si="206"/>
        <v>0.12260824327706636</v>
      </c>
      <c r="V108" s="125">
        <f t="shared" si="206"/>
        <v>0.11082584396635091</v>
      </c>
      <c r="W108" s="125">
        <f t="shared" ref="W108:Y108" si="207">IF(W7=0,0,W7/W$4)</f>
        <v>0.1287812253901984</v>
      </c>
      <c r="X108" s="125">
        <f t="shared" si="207"/>
        <v>0.10692362883926301</v>
      </c>
      <c r="Y108" s="125">
        <f t="shared" si="207"/>
        <v>0.11013298237693323</v>
      </c>
      <c r="DA108" s="171"/>
    </row>
    <row r="109" spans="1:105" ht="11.45" customHeight="1" x14ac:dyDescent="0.25">
      <c r="A109" s="111" t="s">
        <v>93</v>
      </c>
      <c r="B109" s="125">
        <f t="shared" si="199"/>
        <v>0.7810486082989424</v>
      </c>
      <c r="C109" s="125">
        <f t="shared" si="199"/>
        <v>0.7852103733632152</v>
      </c>
      <c r="D109" s="125">
        <f t="shared" si="199"/>
        <v>0.73044326777046586</v>
      </c>
      <c r="E109" s="125">
        <f t="shared" si="199"/>
        <v>0.79816402001009445</v>
      </c>
      <c r="F109" s="125">
        <f t="shared" si="199"/>
        <v>0.83272640901481021</v>
      </c>
      <c r="G109" s="125">
        <f t="shared" si="199"/>
        <v>0.88618488133387374</v>
      </c>
      <c r="H109" s="125">
        <f t="shared" si="199"/>
        <v>0.89611466221633185</v>
      </c>
      <c r="I109" s="125">
        <f t="shared" si="199"/>
        <v>0.84248012117247795</v>
      </c>
      <c r="J109" s="125">
        <f t="shared" si="199"/>
        <v>0.80050358157379864</v>
      </c>
      <c r="K109" s="125">
        <f t="shared" ref="K109:V109" si="208">IF(K8=0,0,K8/K$4)</f>
        <v>0.83277556294533062</v>
      </c>
      <c r="L109" s="125">
        <f t="shared" si="208"/>
        <v>0.82457934169328673</v>
      </c>
      <c r="M109" s="125">
        <f t="shared" si="208"/>
        <v>0.84189527385595531</v>
      </c>
      <c r="N109" s="125">
        <f t="shared" si="208"/>
        <v>0.8309220432488591</v>
      </c>
      <c r="O109" s="125">
        <f t="shared" si="208"/>
        <v>0.87092887339556058</v>
      </c>
      <c r="P109" s="125">
        <f t="shared" si="208"/>
        <v>0.82760339018246099</v>
      </c>
      <c r="Q109" s="125">
        <f t="shared" si="208"/>
        <v>0.8758384420617189</v>
      </c>
      <c r="R109" s="125">
        <f t="shared" si="208"/>
        <v>0.87306270010244447</v>
      </c>
      <c r="S109" s="125">
        <f t="shared" si="208"/>
        <v>0.88275626311453048</v>
      </c>
      <c r="T109" s="125">
        <f t="shared" si="208"/>
        <v>0.82891372226699533</v>
      </c>
      <c r="U109" s="125">
        <f t="shared" si="208"/>
        <v>0.81425942163592435</v>
      </c>
      <c r="V109" s="125">
        <f t="shared" si="208"/>
        <v>0.78330710798192049</v>
      </c>
      <c r="W109" s="125">
        <f t="shared" ref="W109:Y109" si="209">IF(W8=0,0,W8/W$4)</f>
        <v>0.74302835304398573</v>
      </c>
      <c r="X109" s="125">
        <f t="shared" si="209"/>
        <v>0.69094325660838329</v>
      </c>
      <c r="Y109" s="125">
        <f t="shared" si="209"/>
        <v>0.71167336424633776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0.25519073082075605</v>
      </c>
      <c r="C112" s="125">
        <f t="shared" si="212"/>
        <v>0.25056111514036039</v>
      </c>
      <c r="D112" s="125">
        <f t="shared" si="212"/>
        <v>0.24226624445759434</v>
      </c>
      <c r="E112" s="125">
        <f t="shared" si="212"/>
        <v>0.2154761708750392</v>
      </c>
      <c r="F112" s="125">
        <f t="shared" si="212"/>
        <v>0.18805259626399509</v>
      </c>
      <c r="G112" s="125">
        <f t="shared" si="212"/>
        <v>0.12361887983552333</v>
      </c>
      <c r="H112" s="125">
        <f t="shared" si="212"/>
        <v>8.9222296726493469E-2</v>
      </c>
      <c r="I112" s="125">
        <f t="shared" si="212"/>
        <v>0.10785648172934631</v>
      </c>
      <c r="J112" s="125">
        <f t="shared" si="212"/>
        <v>0.13220444301995024</v>
      </c>
      <c r="K112" s="125">
        <f t="shared" ref="K112:V112" si="215">IF(K11=0,0,K11/K$10)</f>
        <v>0.11765485450833679</v>
      </c>
      <c r="L112" s="125">
        <f t="shared" si="215"/>
        <v>0.12329223728858205</v>
      </c>
      <c r="M112" s="125">
        <f t="shared" si="215"/>
        <v>0.11136838250652883</v>
      </c>
      <c r="N112" s="125">
        <f t="shared" si="215"/>
        <v>0.11245857966208331</v>
      </c>
      <c r="O112" s="125">
        <f t="shared" si="215"/>
        <v>0.10319579246374559</v>
      </c>
      <c r="P112" s="125">
        <f t="shared" si="215"/>
        <v>0.10870651684529388</v>
      </c>
      <c r="Q112" s="125">
        <f t="shared" si="215"/>
        <v>8.7840799753285417E-2</v>
      </c>
      <c r="R112" s="125">
        <f t="shared" si="215"/>
        <v>8.9772505873970773E-2</v>
      </c>
      <c r="S112" s="125">
        <f t="shared" si="215"/>
        <v>8.3020512129396914E-2</v>
      </c>
      <c r="T112" s="125">
        <f t="shared" si="215"/>
        <v>9.1853067690293458E-2</v>
      </c>
      <c r="U112" s="125">
        <f t="shared" si="215"/>
        <v>8.7627878138546569E-2</v>
      </c>
      <c r="V112" s="125">
        <f t="shared" si="215"/>
        <v>9.6673955588302302E-2</v>
      </c>
      <c r="W112" s="125">
        <f t="shared" ref="W112:Y112" si="216">IF(W11=0,0,W11/W$10)</f>
        <v>9.2912963106671187E-2</v>
      </c>
      <c r="X112" s="125">
        <f t="shared" si="216"/>
        <v>7.8301136936653984E-2</v>
      </c>
      <c r="Y112" s="125">
        <f t="shared" si="216"/>
        <v>8.0304990211886348E-2</v>
      </c>
      <c r="DA112" s="171"/>
    </row>
    <row r="113" spans="1:105" ht="11.45" customHeight="1" x14ac:dyDescent="0.25">
      <c r="A113" s="85" t="s">
        <v>93</v>
      </c>
      <c r="B113" s="127">
        <f t="shared" si="212"/>
        <v>0.74480926917924395</v>
      </c>
      <c r="C113" s="127">
        <f t="shared" si="212"/>
        <v>0.74943888485963961</v>
      </c>
      <c r="D113" s="127">
        <f t="shared" si="212"/>
        <v>0.75773375554240563</v>
      </c>
      <c r="E113" s="127">
        <f t="shared" si="212"/>
        <v>0.78452382912496088</v>
      </c>
      <c r="F113" s="127">
        <f t="shared" si="212"/>
        <v>0.81194740373600494</v>
      </c>
      <c r="G113" s="127">
        <f t="shared" si="212"/>
        <v>0.87638112016447667</v>
      </c>
      <c r="H113" s="127">
        <f t="shared" si="212"/>
        <v>0.91077770327350649</v>
      </c>
      <c r="I113" s="127">
        <f t="shared" si="212"/>
        <v>0.89214351827065375</v>
      </c>
      <c r="J113" s="127">
        <f t="shared" si="212"/>
        <v>0.86779555698004973</v>
      </c>
      <c r="K113" s="127">
        <f t="shared" ref="K113:V113" si="217">IF(K12=0,0,K12/K$10)</f>
        <v>0.88234514549166321</v>
      </c>
      <c r="L113" s="127">
        <f t="shared" si="217"/>
        <v>0.87670776271141793</v>
      </c>
      <c r="M113" s="127">
        <f t="shared" si="217"/>
        <v>0.88863161749347119</v>
      </c>
      <c r="N113" s="127">
        <f t="shared" si="217"/>
        <v>0.88754142033791672</v>
      </c>
      <c r="O113" s="127">
        <f t="shared" si="217"/>
        <v>0.89680420753625434</v>
      </c>
      <c r="P113" s="127">
        <f t="shared" si="217"/>
        <v>0.89129348315470613</v>
      </c>
      <c r="Q113" s="127">
        <f t="shared" si="217"/>
        <v>0.9121592002467146</v>
      </c>
      <c r="R113" s="127">
        <f t="shared" si="217"/>
        <v>0.9102274941260291</v>
      </c>
      <c r="S113" s="127">
        <f t="shared" si="217"/>
        <v>0.91697948787060302</v>
      </c>
      <c r="T113" s="127">
        <f t="shared" si="217"/>
        <v>0.90814693230970656</v>
      </c>
      <c r="U113" s="127">
        <f t="shared" si="217"/>
        <v>0.91237212186145344</v>
      </c>
      <c r="V113" s="127">
        <f t="shared" si="217"/>
        <v>0.90332604441169762</v>
      </c>
      <c r="W113" s="127">
        <f t="shared" ref="W113:Y113" si="218">IF(W12=0,0,W12/W$10)</f>
        <v>0.90708703689332881</v>
      </c>
      <c r="X113" s="127">
        <f t="shared" si="218"/>
        <v>0.92169886306334603</v>
      </c>
      <c r="Y113" s="127">
        <f t="shared" si="218"/>
        <v>0.91969500978811358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4.5383290858901616E-2</v>
      </c>
      <c r="U117" s="123">
        <f t="shared" si="222"/>
        <v>6.9956152564922242E-2</v>
      </c>
      <c r="V117" s="123">
        <f t="shared" si="222"/>
        <v>7.827762901228616E-2</v>
      </c>
      <c r="W117" s="123">
        <f t="shared" ref="W117:Y117" si="223">IF(W16=0,0,W16/W$15)</f>
        <v>9.2049765147485516E-2</v>
      </c>
      <c r="X117" s="123">
        <f t="shared" si="223"/>
        <v>0.1507938491990112</v>
      </c>
      <c r="Y117" s="123">
        <f t="shared" si="223"/>
        <v>0.13280268502316198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1</v>
      </c>
      <c r="G118" s="124">
        <f t="shared" si="219"/>
        <v>1</v>
      </c>
      <c r="H118" s="124">
        <f t="shared" si="219"/>
        <v>1</v>
      </c>
      <c r="I118" s="124">
        <f t="shared" si="219"/>
        <v>1</v>
      </c>
      <c r="J118" s="124">
        <f t="shared" si="219"/>
        <v>1</v>
      </c>
      <c r="K118" s="124">
        <f t="shared" ref="K118:V118" si="224">IF(K17=0,0,K17/K$15)</f>
        <v>1</v>
      </c>
      <c r="L118" s="124">
        <f t="shared" si="224"/>
        <v>1</v>
      </c>
      <c r="M118" s="124">
        <f t="shared" si="224"/>
        <v>1</v>
      </c>
      <c r="N118" s="124">
        <f t="shared" si="224"/>
        <v>1</v>
      </c>
      <c r="O118" s="124">
        <f t="shared" si="224"/>
        <v>1</v>
      </c>
      <c r="P118" s="124">
        <f t="shared" si="224"/>
        <v>1</v>
      </c>
      <c r="Q118" s="124">
        <f t="shared" si="224"/>
        <v>1</v>
      </c>
      <c r="R118" s="124">
        <f t="shared" si="224"/>
        <v>1</v>
      </c>
      <c r="S118" s="124">
        <f t="shared" si="224"/>
        <v>1</v>
      </c>
      <c r="T118" s="124">
        <f t="shared" si="224"/>
        <v>0.95461670914109831</v>
      </c>
      <c r="U118" s="124">
        <f t="shared" si="224"/>
        <v>0.93004384743507773</v>
      </c>
      <c r="V118" s="124">
        <f t="shared" si="224"/>
        <v>0.92172237098771381</v>
      </c>
      <c r="W118" s="124">
        <f t="shared" ref="W118:Y118" si="225">IF(W17=0,0,W17/W$15)</f>
        <v>0.90795023485251458</v>
      </c>
      <c r="X118" s="124">
        <f t="shared" si="225"/>
        <v>0.84920615080098882</v>
      </c>
      <c r="Y118" s="124">
        <f t="shared" si="225"/>
        <v>0.86719731497683805</v>
      </c>
      <c r="DA118" s="176"/>
    </row>
    <row r="119" spans="1:105" ht="11.45" customHeight="1" x14ac:dyDescent="0.25">
      <c r="A119" s="111" t="s">
        <v>92</v>
      </c>
      <c r="B119" s="125">
        <f t="shared" si="219"/>
        <v>0.51969647709609146</v>
      </c>
      <c r="C119" s="125">
        <f t="shared" si="219"/>
        <v>0.52127297869433387</v>
      </c>
      <c r="D119" s="125">
        <f t="shared" si="219"/>
        <v>0.50759767252400478</v>
      </c>
      <c r="E119" s="125">
        <f t="shared" si="219"/>
        <v>0.42845133243362737</v>
      </c>
      <c r="F119" s="125">
        <f t="shared" si="219"/>
        <v>0.35755530900278515</v>
      </c>
      <c r="G119" s="125">
        <f t="shared" si="219"/>
        <v>0.19092289877138946</v>
      </c>
      <c r="H119" s="125">
        <f t="shared" si="219"/>
        <v>0.14113247582560212</v>
      </c>
      <c r="I119" s="125">
        <f t="shared" si="219"/>
        <v>0.18251268213651986</v>
      </c>
      <c r="J119" s="125">
        <f t="shared" si="219"/>
        <v>0.23162112345946559</v>
      </c>
      <c r="K119" s="125">
        <f t="shared" ref="K119:V119" si="226">IF(K18=0,0,K18/K$15)</f>
        <v>0.19314235267232538</v>
      </c>
      <c r="L119" s="125">
        <f t="shared" si="226"/>
        <v>0.21288946411249099</v>
      </c>
      <c r="M119" s="125">
        <f t="shared" si="226"/>
        <v>0.19217586722856916</v>
      </c>
      <c r="N119" s="125">
        <f t="shared" si="226"/>
        <v>0.19078658824736908</v>
      </c>
      <c r="O119" s="125">
        <f t="shared" si="226"/>
        <v>0.17523839041556566</v>
      </c>
      <c r="P119" s="125">
        <f t="shared" si="226"/>
        <v>0.18749642777882988</v>
      </c>
      <c r="Q119" s="125">
        <f t="shared" si="226"/>
        <v>0.14498035383264893</v>
      </c>
      <c r="R119" s="125">
        <f t="shared" si="226"/>
        <v>0.1473029732991121</v>
      </c>
      <c r="S119" s="125">
        <f t="shared" si="226"/>
        <v>0.13524047492255861</v>
      </c>
      <c r="T119" s="125">
        <f t="shared" si="226"/>
        <v>0.14535399890308495</v>
      </c>
      <c r="U119" s="125">
        <f t="shared" si="226"/>
        <v>0.13536751434212071</v>
      </c>
      <c r="V119" s="125">
        <f t="shared" si="226"/>
        <v>0.14813820681238621</v>
      </c>
      <c r="W119" s="125">
        <f t="shared" ref="W119:Y119" si="227">IF(W18=0,0,W18/W$15)</f>
        <v>0.14145054462027445</v>
      </c>
      <c r="X119" s="125">
        <f t="shared" si="227"/>
        <v>0.11275235703597358</v>
      </c>
      <c r="Y119" s="125">
        <f t="shared" si="227"/>
        <v>0.11805963848701639</v>
      </c>
      <c r="DA119" s="171"/>
    </row>
    <row r="120" spans="1:105" ht="11.45" customHeight="1" x14ac:dyDescent="0.25">
      <c r="A120" s="111" t="s">
        <v>93</v>
      </c>
      <c r="B120" s="125">
        <f t="shared" si="219"/>
        <v>0.48030352290390854</v>
      </c>
      <c r="C120" s="125">
        <f t="shared" si="219"/>
        <v>0.47872702130566613</v>
      </c>
      <c r="D120" s="125">
        <f t="shared" si="219"/>
        <v>0.49240232747599522</v>
      </c>
      <c r="E120" s="125">
        <f t="shared" si="219"/>
        <v>0.57154866756637268</v>
      </c>
      <c r="F120" s="125">
        <f t="shared" si="219"/>
        <v>0.64244469099721491</v>
      </c>
      <c r="G120" s="125">
        <f t="shared" si="219"/>
        <v>0.80907710122861054</v>
      </c>
      <c r="H120" s="125">
        <f t="shared" si="219"/>
        <v>0.85886752417439793</v>
      </c>
      <c r="I120" s="125">
        <f t="shared" si="219"/>
        <v>0.81748731786348028</v>
      </c>
      <c r="J120" s="125">
        <f t="shared" si="219"/>
        <v>0.76837887654053438</v>
      </c>
      <c r="K120" s="125">
        <f t="shared" ref="K120:V120" si="228">IF(K19=0,0,K19/K$15)</f>
        <v>0.80685764732767462</v>
      </c>
      <c r="L120" s="125">
        <f t="shared" si="228"/>
        <v>0.78711053588750901</v>
      </c>
      <c r="M120" s="125">
        <f t="shared" si="228"/>
        <v>0.80782413277143084</v>
      </c>
      <c r="N120" s="125">
        <f t="shared" si="228"/>
        <v>0.80921341175263084</v>
      </c>
      <c r="O120" s="125">
        <f t="shared" si="228"/>
        <v>0.82476160958443434</v>
      </c>
      <c r="P120" s="125">
        <f t="shared" si="228"/>
        <v>0.8125035722211702</v>
      </c>
      <c r="Q120" s="125">
        <f t="shared" si="228"/>
        <v>0.85501964616735104</v>
      </c>
      <c r="R120" s="125">
        <f t="shared" si="228"/>
        <v>0.85269702670088787</v>
      </c>
      <c r="S120" s="125">
        <f t="shared" si="228"/>
        <v>0.86475952507744136</v>
      </c>
      <c r="T120" s="125">
        <f t="shared" si="228"/>
        <v>0.80926271023801333</v>
      </c>
      <c r="U120" s="125">
        <f t="shared" si="228"/>
        <v>0.79467633309295704</v>
      </c>
      <c r="V120" s="125">
        <f t="shared" si="228"/>
        <v>0.7735841641753276</v>
      </c>
      <c r="W120" s="125">
        <f t="shared" ref="W120:Y120" si="229">IF(W19=0,0,W19/W$15)</f>
        <v>0.76649969023224007</v>
      </c>
      <c r="X120" s="125">
        <f t="shared" si="229"/>
        <v>0.7364537937650153</v>
      </c>
      <c r="Y120" s="125">
        <f t="shared" si="229"/>
        <v>0.74913767648982166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0.31209900082679998</v>
      </c>
      <c r="C123" s="125">
        <f t="shared" si="232"/>
        <v>0.27091462720112969</v>
      </c>
      <c r="D123" s="125">
        <f t="shared" si="232"/>
        <v>0.23645282171341636</v>
      </c>
      <c r="E123" s="125">
        <f t="shared" si="232"/>
        <v>0.20977429760775421</v>
      </c>
      <c r="F123" s="125">
        <f t="shared" si="232"/>
        <v>0.18261026515977782</v>
      </c>
      <c r="G123" s="125">
        <f t="shared" si="232"/>
        <v>0.13151827914369435</v>
      </c>
      <c r="H123" s="125">
        <f t="shared" si="232"/>
        <v>7.9098706342372718E-2</v>
      </c>
      <c r="I123" s="125">
        <f t="shared" si="232"/>
        <v>9.9026454704767425E-2</v>
      </c>
      <c r="J123" s="125">
        <f t="shared" si="232"/>
        <v>9.3840019927372814E-2</v>
      </c>
      <c r="K123" s="125">
        <f t="shared" ref="K123:V123" si="235">IF(K22=0,0,K22/K$21)</f>
        <v>9.2181474813365444E-2</v>
      </c>
      <c r="L123" s="125">
        <f t="shared" si="235"/>
        <v>9.4485336128697334E-2</v>
      </c>
      <c r="M123" s="125">
        <f t="shared" si="235"/>
        <v>8.6136660255407768E-2</v>
      </c>
      <c r="N123" s="125">
        <f t="shared" si="235"/>
        <v>9.2966706045469097E-2</v>
      </c>
      <c r="O123" s="125">
        <f t="shared" si="235"/>
        <v>8.521759547874759E-2</v>
      </c>
      <c r="P123" s="125">
        <f t="shared" si="235"/>
        <v>8.9835806256137352E-2</v>
      </c>
      <c r="Q123" s="125">
        <f t="shared" si="235"/>
        <v>7.2432355777103691E-2</v>
      </c>
      <c r="R123" s="125">
        <f t="shared" si="235"/>
        <v>7.2513511479437368E-2</v>
      </c>
      <c r="S123" s="125">
        <f t="shared" si="235"/>
        <v>6.6940206115823964E-2</v>
      </c>
      <c r="T123" s="125">
        <f t="shared" si="235"/>
        <v>7.6128224017609741E-2</v>
      </c>
      <c r="U123" s="125">
        <f t="shared" si="235"/>
        <v>7.1188140543932729E-2</v>
      </c>
      <c r="V123" s="125">
        <f t="shared" si="235"/>
        <v>9.4725747292197668E-2</v>
      </c>
      <c r="W123" s="125">
        <f t="shared" ref="W123:Y123" si="236">IF(W22=0,0,W22/W$21)</f>
        <v>7.5938107465179636E-2</v>
      </c>
      <c r="X123" s="125">
        <f t="shared" si="236"/>
        <v>5.1889783241027901E-2</v>
      </c>
      <c r="Y123" s="125">
        <f t="shared" si="236"/>
        <v>4.7716498576516976E-2</v>
      </c>
      <c r="DA123" s="171"/>
    </row>
    <row r="124" spans="1:105" ht="11.45" customHeight="1" x14ac:dyDescent="0.25">
      <c r="A124" s="85" t="s">
        <v>93</v>
      </c>
      <c r="B124" s="127">
        <f t="shared" si="232"/>
        <v>0.68790099917320002</v>
      </c>
      <c r="C124" s="127">
        <f t="shared" si="232"/>
        <v>0.72908537279887031</v>
      </c>
      <c r="D124" s="127">
        <f t="shared" si="232"/>
        <v>0.76354717828658358</v>
      </c>
      <c r="E124" s="127">
        <f t="shared" si="232"/>
        <v>0.79022570239224588</v>
      </c>
      <c r="F124" s="127">
        <f t="shared" si="232"/>
        <v>0.81738973484022226</v>
      </c>
      <c r="G124" s="127">
        <f t="shared" si="232"/>
        <v>0.86848172085630571</v>
      </c>
      <c r="H124" s="127">
        <f t="shared" si="232"/>
        <v>0.9209012936576273</v>
      </c>
      <c r="I124" s="127">
        <f t="shared" si="232"/>
        <v>0.90097354529523266</v>
      </c>
      <c r="J124" s="127">
        <f t="shared" si="232"/>
        <v>0.90615998007262721</v>
      </c>
      <c r="K124" s="127">
        <f t="shared" ref="K124:V124" si="237">IF(K23=0,0,K23/K$21)</f>
        <v>0.90781852518663453</v>
      </c>
      <c r="L124" s="127">
        <f t="shared" si="237"/>
        <v>0.90551466387130264</v>
      </c>
      <c r="M124" s="127">
        <f t="shared" si="237"/>
        <v>0.91386333974459222</v>
      </c>
      <c r="N124" s="127">
        <f t="shared" si="237"/>
        <v>0.90703329395453092</v>
      </c>
      <c r="O124" s="127">
        <f t="shared" si="237"/>
        <v>0.91478240452125237</v>
      </c>
      <c r="P124" s="127">
        <f t="shared" si="237"/>
        <v>0.9101641937438627</v>
      </c>
      <c r="Q124" s="127">
        <f t="shared" si="237"/>
        <v>0.92756764422289628</v>
      </c>
      <c r="R124" s="127">
        <f t="shared" si="237"/>
        <v>0.92748648852056259</v>
      </c>
      <c r="S124" s="127">
        <f t="shared" si="237"/>
        <v>0.93305979388417615</v>
      </c>
      <c r="T124" s="127">
        <f t="shared" si="237"/>
        <v>0.92387177598239023</v>
      </c>
      <c r="U124" s="127">
        <f t="shared" si="237"/>
        <v>0.92881185945606726</v>
      </c>
      <c r="V124" s="127">
        <f t="shared" si="237"/>
        <v>0.90527425270780237</v>
      </c>
      <c r="W124" s="127">
        <f t="shared" ref="W124:Y124" si="238">IF(W23=0,0,W23/W$21)</f>
        <v>0.92406189253482029</v>
      </c>
      <c r="X124" s="127">
        <f t="shared" si="238"/>
        <v>0.94811021675897211</v>
      </c>
      <c r="Y124" s="127">
        <f t="shared" si="238"/>
        <v>0.95228350142348306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12.957351676698195</v>
      </c>
      <c r="C4" s="146">
        <f t="shared" ref="C4:V4" si="0">SUM(C5,C8)</f>
        <v>14.642562338779021</v>
      </c>
      <c r="D4" s="146">
        <f t="shared" si="0"/>
        <v>14.331384350816853</v>
      </c>
      <c r="E4" s="146">
        <f t="shared" si="0"/>
        <v>12.273860705073085</v>
      </c>
      <c r="F4" s="146">
        <f t="shared" si="0"/>
        <v>11.614187446259674</v>
      </c>
      <c r="G4" s="146">
        <f t="shared" si="0"/>
        <v>11.423817712811694</v>
      </c>
      <c r="H4" s="146">
        <f t="shared" si="0"/>
        <v>12.03645743766122</v>
      </c>
      <c r="I4" s="146">
        <f t="shared" si="0"/>
        <v>13.531384350816852</v>
      </c>
      <c r="J4" s="146">
        <f t="shared" si="0"/>
        <v>14.102149613069647</v>
      </c>
      <c r="K4" s="146">
        <f t="shared" si="0"/>
        <v>13.312725709372312</v>
      </c>
      <c r="L4" s="146">
        <f t="shared" si="0"/>
        <v>14.447377472055033</v>
      </c>
      <c r="M4" s="146">
        <f t="shared" si="0"/>
        <v>15.043852106620808</v>
      </c>
      <c r="N4" s="146">
        <f t="shared" si="0"/>
        <v>15.00326741186586</v>
      </c>
      <c r="O4" s="146">
        <f t="shared" si="0"/>
        <v>15.368529664660361</v>
      </c>
      <c r="P4" s="146">
        <f t="shared" si="0"/>
        <v>14.899914015477215</v>
      </c>
      <c r="Q4" s="146">
        <f t="shared" si="0"/>
        <v>14.877214101461732</v>
      </c>
      <c r="R4" s="146">
        <f t="shared" si="0"/>
        <v>14.889509888220118</v>
      </c>
      <c r="S4" s="146">
        <f t="shared" si="0"/>
        <v>14.987446259673254</v>
      </c>
      <c r="T4" s="146">
        <f t="shared" si="0"/>
        <v>16.133190025795354</v>
      </c>
      <c r="U4" s="146">
        <f t="shared" si="0"/>
        <v>16.064746345657781</v>
      </c>
      <c r="V4" s="146">
        <f t="shared" si="0"/>
        <v>14.594840928632843</v>
      </c>
      <c r="W4" s="146">
        <f t="shared" ref="W4:Y4" si="1">SUM(W5,W8)</f>
        <v>15.874548581255372</v>
      </c>
      <c r="X4" s="146">
        <f t="shared" si="1"/>
        <v>15.096130696474633</v>
      </c>
      <c r="Y4" s="146">
        <f t="shared" si="1"/>
        <v>15.309544282029236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7.8236457437661224</v>
      </c>
      <c r="C5" s="101">
        <f t="shared" ref="C5:V5" si="2">SUM(C6:C7)</f>
        <v>8.6770421324161653</v>
      </c>
      <c r="D5" s="101">
        <f t="shared" si="2"/>
        <v>8.2051590713671541</v>
      </c>
      <c r="E5" s="101">
        <f t="shared" si="2"/>
        <v>6.2345657781599302</v>
      </c>
      <c r="F5" s="101">
        <f t="shared" si="2"/>
        <v>5.1355975924333617</v>
      </c>
      <c r="G5" s="101">
        <f t="shared" si="2"/>
        <v>3.3009458297506451</v>
      </c>
      <c r="H5" s="101">
        <f t="shared" si="2"/>
        <v>2.5023215821152189</v>
      </c>
      <c r="I5" s="101">
        <f t="shared" si="2"/>
        <v>3.406448839208942</v>
      </c>
      <c r="J5" s="101">
        <f t="shared" si="2"/>
        <v>4.3613069647463458</v>
      </c>
      <c r="K5" s="101">
        <f t="shared" si="2"/>
        <v>3.659157351676698</v>
      </c>
      <c r="L5" s="101">
        <f t="shared" si="2"/>
        <v>4.1634565778159924</v>
      </c>
      <c r="M5" s="101">
        <f t="shared" si="2"/>
        <v>3.9117798796216681</v>
      </c>
      <c r="N5" s="101">
        <f t="shared" si="2"/>
        <v>3.939810834049871</v>
      </c>
      <c r="O5" s="101">
        <f t="shared" si="2"/>
        <v>3.7001719690455723</v>
      </c>
      <c r="P5" s="101">
        <f t="shared" si="2"/>
        <v>3.7808254514187447</v>
      </c>
      <c r="Q5" s="101">
        <f t="shared" si="2"/>
        <v>3.0446259673258815</v>
      </c>
      <c r="R5" s="101">
        <f t="shared" si="2"/>
        <v>3.1147033533963886</v>
      </c>
      <c r="S5" s="101">
        <f t="shared" si="2"/>
        <v>2.8975924333619951</v>
      </c>
      <c r="T5" s="101">
        <f t="shared" si="2"/>
        <v>3.4537403267411859</v>
      </c>
      <c r="U5" s="101">
        <f t="shared" si="2"/>
        <v>3.2796216680997414</v>
      </c>
      <c r="V5" s="101">
        <f t="shared" si="2"/>
        <v>3.2898538263112638</v>
      </c>
      <c r="W5" s="101">
        <f t="shared" ref="W5:Y5" si="3">SUM(W6:W7)</f>
        <v>3.43791917454858</v>
      </c>
      <c r="X5" s="101">
        <f t="shared" si="3"/>
        <v>2.7515047291487531</v>
      </c>
      <c r="Y5" s="101">
        <f t="shared" si="3"/>
        <v>2.8623387790197765</v>
      </c>
      <c r="DA5" s="175"/>
    </row>
    <row r="6" spans="1:105" ht="11.45" customHeight="1" x14ac:dyDescent="0.25">
      <c r="A6" s="164" t="s">
        <v>175</v>
      </c>
      <c r="B6" s="165">
        <v>7.8236457437661224</v>
      </c>
      <c r="C6" s="165">
        <v>8.6770421324161653</v>
      </c>
      <c r="D6" s="165">
        <v>8.2051590713671541</v>
      </c>
      <c r="E6" s="165">
        <v>6.2345657781599302</v>
      </c>
      <c r="F6" s="165">
        <v>5.1355975924333617</v>
      </c>
      <c r="G6" s="165">
        <v>3.3009458297506451</v>
      </c>
      <c r="H6" s="165">
        <v>2.5023215821152189</v>
      </c>
      <c r="I6" s="165">
        <v>3.406448839208942</v>
      </c>
      <c r="J6" s="165">
        <v>4.3613069647463458</v>
      </c>
      <c r="K6" s="165">
        <v>3.659157351676698</v>
      </c>
      <c r="L6" s="165">
        <v>4.1634565778159924</v>
      </c>
      <c r="M6" s="165">
        <v>3.9117798796216681</v>
      </c>
      <c r="N6" s="165">
        <v>3.8559759243336198</v>
      </c>
      <c r="O6" s="165">
        <v>3.6154772141014622</v>
      </c>
      <c r="P6" s="165">
        <v>3.6560619088564059</v>
      </c>
      <c r="Q6" s="165">
        <v>2.9417024935511611</v>
      </c>
      <c r="R6" s="165">
        <v>3.0117798796216682</v>
      </c>
      <c r="S6" s="165">
        <v>2.750988822012038</v>
      </c>
      <c r="T6" s="165">
        <v>3.2988822012037828</v>
      </c>
      <c r="U6" s="165">
        <v>3.1335339638864999</v>
      </c>
      <c r="V6" s="165">
        <v>3.067583834909716</v>
      </c>
      <c r="W6" s="165">
        <v>3.217712811693894</v>
      </c>
      <c r="X6" s="165">
        <v>2.560189165950129</v>
      </c>
      <c r="Y6" s="165">
        <v>2.6576096302665522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8.3834909716251071E-2</v>
      </c>
      <c r="O7" s="167">
        <v>8.4694754944110051E-2</v>
      </c>
      <c r="P7" s="167">
        <v>0.12476354256233881</v>
      </c>
      <c r="Q7" s="167">
        <v>0.10292347377472059</v>
      </c>
      <c r="R7" s="167">
        <v>0.10292347377472059</v>
      </c>
      <c r="S7" s="167">
        <v>0.146603611349957</v>
      </c>
      <c r="T7" s="167">
        <v>0.15485812553740319</v>
      </c>
      <c r="U7" s="167">
        <v>0.1460877042132416</v>
      </c>
      <c r="V7" s="167">
        <v>0.22226999140154771</v>
      </c>
      <c r="W7" s="167">
        <v>0.22020636285468609</v>
      </c>
      <c r="X7" s="167">
        <v>0.19131556319862419</v>
      </c>
      <c r="Y7" s="167">
        <v>0.2047291487532244</v>
      </c>
      <c r="DA7" s="177" t="s">
        <v>1105</v>
      </c>
    </row>
    <row r="8" spans="1:105" ht="11.45" customHeight="1" x14ac:dyDescent="0.25">
      <c r="A8" s="85" t="s">
        <v>91</v>
      </c>
      <c r="B8" s="88">
        <v>5.133705932932072</v>
      </c>
      <c r="C8" s="88">
        <v>5.9655202063628554</v>
      </c>
      <c r="D8" s="88">
        <v>6.1262252794496987</v>
      </c>
      <c r="E8" s="88">
        <v>6.0392949269131551</v>
      </c>
      <c r="F8" s="88">
        <v>6.4785898538263114</v>
      </c>
      <c r="G8" s="88">
        <v>8.1228718830610482</v>
      </c>
      <c r="H8" s="88">
        <v>9.5341358555460012</v>
      </c>
      <c r="I8" s="88">
        <v>10.12493551160791</v>
      </c>
      <c r="J8" s="88">
        <v>9.7408426483233015</v>
      </c>
      <c r="K8" s="88">
        <v>9.6535683576956135</v>
      </c>
      <c r="L8" s="88">
        <v>10.28392089423904</v>
      </c>
      <c r="M8" s="88">
        <v>11.13207222699914</v>
      </c>
      <c r="N8" s="88">
        <v>11.063456577815989</v>
      </c>
      <c r="O8" s="88">
        <v>11.668357695614789</v>
      </c>
      <c r="P8" s="88">
        <v>11.119088564058471</v>
      </c>
      <c r="Q8" s="88">
        <v>11.83258813413585</v>
      </c>
      <c r="R8" s="88">
        <v>11.77480653482373</v>
      </c>
      <c r="S8" s="88">
        <v>12.089853826311259</v>
      </c>
      <c r="T8" s="88">
        <v>12.679449699054169</v>
      </c>
      <c r="U8" s="88">
        <v>12.78512467755804</v>
      </c>
      <c r="V8" s="88">
        <v>11.304987102321579</v>
      </c>
      <c r="W8" s="88">
        <v>12.436629406706791</v>
      </c>
      <c r="X8" s="88">
        <v>12.34462596732588</v>
      </c>
      <c r="Y8" s="88">
        <v>12.44720550300946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12.957351676698195</v>
      </c>
      <c r="C10" s="62">
        <f t="shared" ref="C10:V10" si="5">SUM(C11,C17)</f>
        <v>14.642562338779019</v>
      </c>
      <c r="D10" s="62">
        <f t="shared" si="5"/>
        <v>14.331384350816855</v>
      </c>
      <c r="E10" s="62">
        <f t="shared" si="5"/>
        <v>12.273860705073085</v>
      </c>
      <c r="F10" s="62">
        <f t="shared" si="5"/>
        <v>11.614187446259674</v>
      </c>
      <c r="G10" s="62">
        <f t="shared" si="5"/>
        <v>11.423817712811694</v>
      </c>
      <c r="H10" s="62">
        <f t="shared" si="5"/>
        <v>12.03645743766122</v>
      </c>
      <c r="I10" s="62">
        <f t="shared" si="5"/>
        <v>13.531384350816852</v>
      </c>
      <c r="J10" s="62">
        <f t="shared" si="5"/>
        <v>14.102149613069647</v>
      </c>
      <c r="K10" s="62">
        <f t="shared" si="5"/>
        <v>13.312725709372309</v>
      </c>
      <c r="L10" s="62">
        <f t="shared" si="5"/>
        <v>14.447377472055033</v>
      </c>
      <c r="M10" s="62">
        <f t="shared" si="5"/>
        <v>15.043852106620809</v>
      </c>
      <c r="N10" s="62">
        <f t="shared" si="5"/>
        <v>15.00326741186586</v>
      </c>
      <c r="O10" s="62">
        <f t="shared" si="5"/>
        <v>15.368529664660361</v>
      </c>
      <c r="P10" s="62">
        <f t="shared" si="5"/>
        <v>14.899914015477215</v>
      </c>
      <c r="Q10" s="62">
        <f t="shared" si="5"/>
        <v>14.877214101461732</v>
      </c>
      <c r="R10" s="62">
        <f t="shared" si="5"/>
        <v>14.88950988822012</v>
      </c>
      <c r="S10" s="62">
        <f t="shared" si="5"/>
        <v>14.987446259673254</v>
      </c>
      <c r="T10" s="62">
        <f t="shared" si="5"/>
        <v>16.133190025795358</v>
      </c>
      <c r="U10" s="62">
        <f t="shared" si="5"/>
        <v>16.064746345657781</v>
      </c>
      <c r="V10" s="62">
        <f t="shared" si="5"/>
        <v>14.594840928632843</v>
      </c>
      <c r="W10" s="62">
        <f t="shared" ref="W10:Y10" si="6">SUM(W11,W17)</f>
        <v>15.874548581255368</v>
      </c>
      <c r="X10" s="62">
        <f t="shared" si="6"/>
        <v>15.096130696474635</v>
      </c>
      <c r="Y10" s="62">
        <f t="shared" si="6"/>
        <v>15.309544282029236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8.4859883901889219</v>
      </c>
      <c r="C11" s="29">
        <f t="shared" ref="C11:V11" si="8">SUM(C12,C13,C16)</f>
        <v>9.7643265324060593</v>
      </c>
      <c r="D11" s="29">
        <f t="shared" si="8"/>
        <v>9.5274119146209966</v>
      </c>
      <c r="E11" s="29">
        <f t="shared" si="8"/>
        <v>7.9130349386110659</v>
      </c>
      <c r="F11" s="29">
        <f t="shared" si="8"/>
        <v>7.2063162916475907</v>
      </c>
      <c r="G11" s="29">
        <f t="shared" si="8"/>
        <v>8.4652322759193908</v>
      </c>
      <c r="H11" s="29">
        <f t="shared" si="8"/>
        <v>9.1586479161528338</v>
      </c>
      <c r="I11" s="29">
        <f t="shared" si="8"/>
        <v>9.9555385031036607</v>
      </c>
      <c r="J11" s="29">
        <f t="shared" si="8"/>
        <v>11.804235243462587</v>
      </c>
      <c r="K11" s="29">
        <f t="shared" si="8"/>
        <v>11.576843426034475</v>
      </c>
      <c r="L11" s="29">
        <f t="shared" si="8"/>
        <v>12.482290952140435</v>
      </c>
      <c r="M11" s="29">
        <f t="shared" si="8"/>
        <v>13.28548769352013</v>
      </c>
      <c r="N11" s="29">
        <f t="shared" si="8"/>
        <v>13.527931062289642</v>
      </c>
      <c r="O11" s="29">
        <f t="shared" si="8"/>
        <v>13.953654509996264</v>
      </c>
      <c r="P11" s="29">
        <f t="shared" si="8"/>
        <v>13.625250219598653</v>
      </c>
      <c r="Q11" s="29">
        <f t="shared" si="8"/>
        <v>13.620821647915323</v>
      </c>
      <c r="R11" s="29">
        <f t="shared" si="8"/>
        <v>13.710062851154493</v>
      </c>
      <c r="S11" s="29">
        <f t="shared" si="8"/>
        <v>13.747602229383897</v>
      </c>
      <c r="T11" s="29">
        <f t="shared" si="8"/>
        <v>14.90141462426511</v>
      </c>
      <c r="U11" s="29">
        <f t="shared" si="8"/>
        <v>14.884948507425646</v>
      </c>
      <c r="V11" s="29">
        <f t="shared" si="8"/>
        <v>13.515771591057572</v>
      </c>
      <c r="W11" s="29">
        <f t="shared" ref="W11:Y11" si="9">SUM(W12,W13,W16)</f>
        <v>14.809048952496418</v>
      </c>
      <c r="X11" s="29">
        <f t="shared" si="9"/>
        <v>14.132904434509086</v>
      </c>
      <c r="Y11" s="29">
        <f t="shared" si="9"/>
        <v>14.345925664826529</v>
      </c>
      <c r="DA11" s="173" t="s">
        <v>395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0.16603576824136926</v>
      </c>
      <c r="U12" s="115">
        <v>0.26219695143575916</v>
      </c>
      <c r="V12" s="115">
        <v>0.26649772028613733</v>
      </c>
      <c r="W12" s="115">
        <v>0.34855988844466579</v>
      </c>
      <c r="X12" s="115">
        <v>0.57984425211399693</v>
      </c>
      <c r="Y12" s="115">
        <v>0.50993227458306178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8.4859883901889219</v>
      </c>
      <c r="C13" s="116">
        <f t="shared" ref="C13:V13" si="11">SUM(C14:C15)</f>
        <v>9.7643265324060593</v>
      </c>
      <c r="D13" s="116">
        <f t="shared" si="11"/>
        <v>9.5274119146209966</v>
      </c>
      <c r="E13" s="116">
        <f t="shared" si="11"/>
        <v>7.9130349386110659</v>
      </c>
      <c r="F13" s="116">
        <f t="shared" si="11"/>
        <v>7.2063162916475907</v>
      </c>
      <c r="G13" s="116">
        <f t="shared" si="11"/>
        <v>8.4652322759193908</v>
      </c>
      <c r="H13" s="116">
        <f t="shared" si="11"/>
        <v>9.1586479161528338</v>
      </c>
      <c r="I13" s="116">
        <f t="shared" si="11"/>
        <v>9.9555385031036607</v>
      </c>
      <c r="J13" s="116">
        <f t="shared" si="11"/>
        <v>11.804235243462587</v>
      </c>
      <c r="K13" s="116">
        <f t="shared" si="11"/>
        <v>11.576843426034475</v>
      </c>
      <c r="L13" s="116">
        <f t="shared" si="11"/>
        <v>12.482290952140435</v>
      </c>
      <c r="M13" s="116">
        <f t="shared" si="11"/>
        <v>13.28548769352013</v>
      </c>
      <c r="N13" s="116">
        <f t="shared" si="11"/>
        <v>13.527931062289642</v>
      </c>
      <c r="O13" s="116">
        <f t="shared" si="11"/>
        <v>13.953654509996264</v>
      </c>
      <c r="P13" s="116">
        <f t="shared" si="11"/>
        <v>13.625250219598653</v>
      </c>
      <c r="Q13" s="116">
        <f t="shared" si="11"/>
        <v>13.620821647915323</v>
      </c>
      <c r="R13" s="116">
        <f t="shared" si="11"/>
        <v>13.710062851154493</v>
      </c>
      <c r="S13" s="116">
        <f t="shared" si="11"/>
        <v>13.747602229383897</v>
      </c>
      <c r="T13" s="116">
        <f t="shared" si="11"/>
        <v>14.73537885602374</v>
      </c>
      <c r="U13" s="116">
        <f t="shared" si="11"/>
        <v>14.622751555989886</v>
      </c>
      <c r="V13" s="116">
        <f t="shared" si="11"/>
        <v>13.249273870771434</v>
      </c>
      <c r="W13" s="116">
        <f t="shared" ref="W13:Y13" si="12">SUM(W14:W15)</f>
        <v>14.460489064051753</v>
      </c>
      <c r="X13" s="116">
        <f t="shared" si="12"/>
        <v>13.55306018239509</v>
      </c>
      <c r="Y13" s="116">
        <f t="shared" si="12"/>
        <v>13.835993390243468</v>
      </c>
      <c r="DA13" s="176" t="s">
        <v>397</v>
      </c>
    </row>
    <row r="14" spans="1:105" ht="11.45" customHeight="1" x14ac:dyDescent="0.25">
      <c r="A14" s="111" t="s">
        <v>95</v>
      </c>
      <c r="B14" s="87">
        <v>5.7964147226582563</v>
      </c>
      <c r="C14" s="87">
        <v>6.6957816761790241</v>
      </c>
      <c r="D14" s="87">
        <v>6.4174289375736491</v>
      </c>
      <c r="E14" s="87">
        <v>4.7339118198337715</v>
      </c>
      <c r="F14" s="87">
        <v>3.757774322598789</v>
      </c>
      <c r="G14" s="87">
        <v>2.5936388211742054</v>
      </c>
      <c r="H14" s="87">
        <v>2.0625541728382122</v>
      </c>
      <c r="I14" s="87">
        <v>2.7416476381716892</v>
      </c>
      <c r="J14" s="87">
        <v>3.9552728947963294</v>
      </c>
      <c r="K14" s="87">
        <v>3.3519714916486008</v>
      </c>
      <c r="L14" s="87">
        <v>3.8148445061714389</v>
      </c>
      <c r="M14" s="87">
        <v>3.6257287349783591</v>
      </c>
      <c r="N14" s="87">
        <v>3.6790172418416702</v>
      </c>
      <c r="O14" s="87">
        <v>3.4685132464193651</v>
      </c>
      <c r="P14" s="87">
        <v>3.5550088706405991</v>
      </c>
      <c r="Q14" s="87">
        <v>2.8585648439969806</v>
      </c>
      <c r="R14" s="87">
        <v>2.937572626851753</v>
      </c>
      <c r="S14" s="87">
        <v>2.7236254218405787</v>
      </c>
      <c r="T14" s="87">
        <v>3.2584871126300481</v>
      </c>
      <c r="U14" s="87">
        <v>3.1031810453887751</v>
      </c>
      <c r="V14" s="87">
        <v>3.080488177476052</v>
      </c>
      <c r="W14" s="87">
        <v>3.26821216341511</v>
      </c>
      <c r="X14" s="87">
        <v>2.6434430200128918</v>
      </c>
      <c r="Y14" s="87">
        <v>2.7623134861444201</v>
      </c>
      <c r="DA14" s="171" t="s">
        <v>1108</v>
      </c>
    </row>
    <row r="15" spans="1:105" ht="11.45" customHeight="1" x14ac:dyDescent="0.25">
      <c r="A15" s="111" t="s">
        <v>93</v>
      </c>
      <c r="B15" s="87">
        <v>2.6895736675306656</v>
      </c>
      <c r="C15" s="87">
        <v>3.0685448562270361</v>
      </c>
      <c r="D15" s="87">
        <v>3.1099829770473471</v>
      </c>
      <c r="E15" s="87">
        <v>3.1791231187772939</v>
      </c>
      <c r="F15" s="87">
        <v>3.4485419690488013</v>
      </c>
      <c r="G15" s="87">
        <v>5.8715934547451862</v>
      </c>
      <c r="H15" s="87">
        <v>7.0960937433146221</v>
      </c>
      <c r="I15" s="87">
        <v>7.2138908649319724</v>
      </c>
      <c r="J15" s="87">
        <v>7.8489623486662579</v>
      </c>
      <c r="K15" s="87">
        <v>8.2248719343858756</v>
      </c>
      <c r="L15" s="87">
        <v>8.6674464459689951</v>
      </c>
      <c r="M15" s="87">
        <v>9.6597589585417705</v>
      </c>
      <c r="N15" s="87">
        <v>9.8489138204479723</v>
      </c>
      <c r="O15" s="87">
        <v>10.485141263576899</v>
      </c>
      <c r="P15" s="87">
        <v>10.070241348958055</v>
      </c>
      <c r="Q15" s="87">
        <v>10.762256803918342</v>
      </c>
      <c r="R15" s="87">
        <v>10.772490224302739</v>
      </c>
      <c r="S15" s="87">
        <v>11.023976807543319</v>
      </c>
      <c r="T15" s="87">
        <v>11.476891743393692</v>
      </c>
      <c r="U15" s="87">
        <v>11.519570510601111</v>
      </c>
      <c r="V15" s="87">
        <v>10.168785693295382</v>
      </c>
      <c r="W15" s="87">
        <v>11.192276900636644</v>
      </c>
      <c r="X15" s="87">
        <v>10.909617162382197</v>
      </c>
      <c r="Y15" s="87">
        <v>11.073679904099048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4.4713632865092734</v>
      </c>
      <c r="C17" s="29">
        <f t="shared" si="13"/>
        <v>4.8782358063729605</v>
      </c>
      <c r="D17" s="29">
        <f t="shared" si="13"/>
        <v>4.803972436195858</v>
      </c>
      <c r="E17" s="29">
        <f t="shared" si="13"/>
        <v>4.3608257664620194</v>
      </c>
      <c r="F17" s="29">
        <f t="shared" si="13"/>
        <v>4.4078711546120823</v>
      </c>
      <c r="G17" s="29">
        <f t="shared" si="13"/>
        <v>2.9585854368923021</v>
      </c>
      <c r="H17" s="29">
        <f t="shared" si="13"/>
        <v>2.8778095215083868</v>
      </c>
      <c r="I17" s="29">
        <f t="shared" si="13"/>
        <v>3.5758458477131909</v>
      </c>
      <c r="J17" s="29">
        <f t="shared" si="13"/>
        <v>2.2979143696070601</v>
      </c>
      <c r="K17" s="29">
        <f t="shared" si="13"/>
        <v>1.7358822833378342</v>
      </c>
      <c r="L17" s="29">
        <f t="shared" si="13"/>
        <v>1.9650865199145986</v>
      </c>
      <c r="M17" s="29">
        <f t="shared" si="13"/>
        <v>1.7583644131006788</v>
      </c>
      <c r="N17" s="29">
        <f t="shared" si="13"/>
        <v>1.475336349576218</v>
      </c>
      <c r="O17" s="29">
        <f t="shared" si="13"/>
        <v>1.4148751546640979</v>
      </c>
      <c r="P17" s="29">
        <f t="shared" si="13"/>
        <v>1.2746637958785612</v>
      </c>
      <c r="Q17" s="29">
        <f t="shared" si="13"/>
        <v>1.256392453546409</v>
      </c>
      <c r="R17" s="29">
        <f t="shared" si="13"/>
        <v>1.1794470370656267</v>
      </c>
      <c r="S17" s="29">
        <f t="shared" si="13"/>
        <v>1.2398440302893572</v>
      </c>
      <c r="T17" s="29">
        <f t="shared" si="13"/>
        <v>1.2317754015302469</v>
      </c>
      <c r="U17" s="29">
        <f t="shared" si="13"/>
        <v>1.1797978382321341</v>
      </c>
      <c r="V17" s="29">
        <f t="shared" si="13"/>
        <v>1.0790693375752713</v>
      </c>
      <c r="W17" s="29">
        <f t="shared" si="13"/>
        <v>1.0654996287589502</v>
      </c>
      <c r="X17" s="29">
        <f t="shared" ref="X17:Y17" si="14">SUM(X18:X19)</f>
        <v>0.96322626196554795</v>
      </c>
      <c r="Y17" s="29">
        <f t="shared" si="14"/>
        <v>0.96361861720270769</v>
      </c>
      <c r="DA17" s="173" t="s">
        <v>402</v>
      </c>
    </row>
    <row r="18" spans="1:105" ht="11.45" customHeight="1" x14ac:dyDescent="0.25">
      <c r="A18" s="83" t="s">
        <v>95</v>
      </c>
      <c r="B18" s="87">
        <v>2.0272310211078666</v>
      </c>
      <c r="C18" s="87">
        <v>1.9812604562371419</v>
      </c>
      <c r="D18" s="87">
        <v>1.7877301337935056</v>
      </c>
      <c r="E18" s="87">
        <v>1.5006539583261584</v>
      </c>
      <c r="F18" s="87">
        <v>1.3778232698345723</v>
      </c>
      <c r="G18" s="87">
        <v>0.70730700857643991</v>
      </c>
      <c r="H18" s="87">
        <v>0.43976740927700664</v>
      </c>
      <c r="I18" s="87">
        <v>0.66480120103725271</v>
      </c>
      <c r="J18" s="87">
        <v>0.40603406995001612</v>
      </c>
      <c r="K18" s="87">
        <v>0.307185860028097</v>
      </c>
      <c r="L18" s="87">
        <v>0.34861207164455399</v>
      </c>
      <c r="M18" s="87">
        <v>0.286051144643309</v>
      </c>
      <c r="N18" s="87">
        <v>0.26079359220820075</v>
      </c>
      <c r="O18" s="87">
        <v>0.23165872262620721</v>
      </c>
      <c r="P18" s="87">
        <v>0.22581658077814579</v>
      </c>
      <c r="Q18" s="87">
        <v>0.18606112332890068</v>
      </c>
      <c r="R18" s="87">
        <v>0.17713072654463546</v>
      </c>
      <c r="S18" s="87">
        <v>0.17396701152141644</v>
      </c>
      <c r="T18" s="87">
        <v>0.19525321411113761</v>
      </c>
      <c r="U18" s="87">
        <v>0.17644062271096625</v>
      </c>
      <c r="V18" s="87">
        <v>0.20936564883521147</v>
      </c>
      <c r="W18" s="87">
        <v>0.16970701113346975</v>
      </c>
      <c r="X18" s="87">
        <v>0.10806170913586151</v>
      </c>
      <c r="Y18" s="87">
        <v>0.10002529287535634</v>
      </c>
      <c r="DA18" s="171" t="s">
        <v>1110</v>
      </c>
    </row>
    <row r="19" spans="1:105" ht="11.45" customHeight="1" x14ac:dyDescent="0.25">
      <c r="A19" s="85" t="s">
        <v>93</v>
      </c>
      <c r="B19" s="88">
        <v>2.4441322654014068</v>
      </c>
      <c r="C19" s="88">
        <v>2.8969753501358189</v>
      </c>
      <c r="D19" s="88">
        <v>3.0162423024023521</v>
      </c>
      <c r="E19" s="88">
        <v>2.8601718081358611</v>
      </c>
      <c r="F19" s="88">
        <v>3.0300478847775101</v>
      </c>
      <c r="G19" s="88">
        <v>2.251278428315862</v>
      </c>
      <c r="H19" s="88">
        <v>2.43804211223138</v>
      </c>
      <c r="I19" s="88">
        <v>2.9110446466759381</v>
      </c>
      <c r="J19" s="88">
        <v>1.8918802996570441</v>
      </c>
      <c r="K19" s="88">
        <v>1.4286964233097372</v>
      </c>
      <c r="L19" s="88">
        <v>1.6164744482700446</v>
      </c>
      <c r="M19" s="88">
        <v>1.4723132684573699</v>
      </c>
      <c r="N19" s="88">
        <v>1.2145427573680172</v>
      </c>
      <c r="O19" s="88">
        <v>1.1832164320378906</v>
      </c>
      <c r="P19" s="88">
        <v>1.0488472151004153</v>
      </c>
      <c r="Q19" s="88">
        <v>1.0703313302175084</v>
      </c>
      <c r="R19" s="88">
        <v>1.0023163105209913</v>
      </c>
      <c r="S19" s="88">
        <v>1.0658770187679407</v>
      </c>
      <c r="T19" s="88">
        <v>1.0365221874191093</v>
      </c>
      <c r="U19" s="88">
        <v>1.0033572155211679</v>
      </c>
      <c r="V19" s="88">
        <v>0.86970368874005999</v>
      </c>
      <c r="W19" s="88">
        <v>0.89579261762548057</v>
      </c>
      <c r="X19" s="88">
        <v>0.8551645528296864</v>
      </c>
      <c r="Y19" s="88">
        <v>0.86359332432735136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295.04716304312075</v>
      </c>
      <c r="C23" s="62">
        <f>IF(C10=0,0,C10/TrRail_act!C14*100)</f>
        <v>288.73483107081864</v>
      </c>
      <c r="D23" s="62">
        <f>IF(D10=0,0,D10/TrRail_act!D14*100)</f>
        <v>279.61068419686018</v>
      </c>
      <c r="E23" s="62">
        <f>IF(E10=0,0,E10/TrRail_act!E14*100)</f>
        <v>265.09073049016058</v>
      </c>
      <c r="F23" s="62">
        <f>IF(F10=0,0,F10/TrRail_act!F14*100)</f>
        <v>251.07068572585237</v>
      </c>
      <c r="G23" s="62">
        <f>IF(G10=0,0,G10/TrRail_act!G14*100)</f>
        <v>215.82791441524117</v>
      </c>
      <c r="H23" s="62">
        <f>IF(H10=0,0,H10/TrRail_act!H14*100)</f>
        <v>202.7930835311389</v>
      </c>
      <c r="I23" s="62">
        <f>IF(I10=0,0,I10/TrRail_act!I14*100)</f>
        <v>207.55389077798677</v>
      </c>
      <c r="J23" s="62">
        <f>IF(J10=0,0,J10/TrRail_act!J14*100)</f>
        <v>204.7653124958793</v>
      </c>
      <c r="K23" s="62">
        <f>IF(K10=0,0,K10/TrRail_act!K14*100)</f>
        <v>197.33832320921377</v>
      </c>
      <c r="L23" s="62">
        <f>IF(L10=0,0,L10/TrRail_act!L14*100)</f>
        <v>196.65728833973404</v>
      </c>
      <c r="M23" s="62">
        <f>IF(M10=0,0,M10/TrRail_act!M14*100)</f>
        <v>191.33756337072481</v>
      </c>
      <c r="N23" s="62">
        <f>IF(N10=0,0,N10/TrRail_act!N14*100)</f>
        <v>186.09965142488696</v>
      </c>
      <c r="O23" s="62">
        <f>IF(O10=0,0,O10/TrRail_act!O14*100)</f>
        <v>181.24257903921389</v>
      </c>
      <c r="P23" s="62">
        <f>IF(P10=0,0,P10/TrRail_act!P14*100)</f>
        <v>173.64506994204646</v>
      </c>
      <c r="Q23" s="62">
        <f>IF(Q10=0,0,Q10/TrRail_act!Q14*100)</f>
        <v>166.35832984156039</v>
      </c>
      <c r="R23" s="62">
        <f>IF(R10=0,0,R10/TrRail_act!R14*100)</f>
        <v>163.27838211075348</v>
      </c>
      <c r="S23" s="62">
        <f>IF(S10=0,0,S10/TrRail_act!S14*100)</f>
        <v>160.78705987198566</v>
      </c>
      <c r="T23" s="62">
        <f>IF(T10=0,0,T10/TrRail_act!T14*100)</f>
        <v>155.5380712860634</v>
      </c>
      <c r="U23" s="62">
        <f>IF(U10=0,0,U10/TrRail_act!U14*100)</f>
        <v>151.15006603031577</v>
      </c>
      <c r="V23" s="62">
        <f>IF(V10=0,0,V10/TrRail_act!V14*100)</f>
        <v>150.94123120177861</v>
      </c>
      <c r="W23" s="62">
        <f>IF(W10=0,0,W10/TrRail_act!W14*100)</f>
        <v>148.02020316947625</v>
      </c>
      <c r="X23" s="62">
        <f>IF(X10=0,0,X10/TrRail_act!X14*100)</f>
        <v>138.95476705005589</v>
      </c>
      <c r="Y23" s="62">
        <f>IF(Y10=0,0,Y10/TrRail_act!Y14*100)</f>
        <v>140.92325770389056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271.55953557748023</v>
      </c>
      <c r="C24" s="29">
        <f>IF(C11=0,0,C11/TrRail_act!C15*100)</f>
        <v>268.60993744631458</v>
      </c>
      <c r="D24" s="29">
        <f>IF(D11=0,0,D11/TrRail_act!D15*100)</f>
        <v>262.40320998213213</v>
      </c>
      <c r="E24" s="29">
        <f>IF(E11=0,0,E11/TrRail_act!E15*100)</f>
        <v>247.02839988222013</v>
      </c>
      <c r="F24" s="29">
        <f>IF(F11=0,0,F11/TrRail_act!F15*100)</f>
        <v>231.96207729635509</v>
      </c>
      <c r="G24" s="29">
        <f>IF(G11=0,0,G11/TrRail_act!G15*100)</f>
        <v>201.38474359141046</v>
      </c>
      <c r="H24" s="29">
        <f>IF(H11=0,0,H11/TrRail_act!H15*100)</f>
        <v>190.80408473190414</v>
      </c>
      <c r="I24" s="29">
        <f>IF(I11=0,0,I11/TrRail_act!I15*100)</f>
        <v>193.97541456652533</v>
      </c>
      <c r="J24" s="29">
        <f>IF(J11=0,0,J11/TrRail_act!J15*100)</f>
        <v>197.2574048358656</v>
      </c>
      <c r="K24" s="29">
        <f>IF(K11=0,0,K11/TrRail_act!K15*100)</f>
        <v>191.16283999282672</v>
      </c>
      <c r="L24" s="29">
        <f>IF(L11=0,0,L11/TrRail_act!L15*100)</f>
        <v>190.24010648731056</v>
      </c>
      <c r="M24" s="29">
        <f>IF(M11=0,0,M11/TrRail_act!M15*100)</f>
        <v>185.77800185139796</v>
      </c>
      <c r="N24" s="29">
        <f>IF(N11=0,0,N11/TrRail_act!N15*100)</f>
        <v>181.42640663456717</v>
      </c>
      <c r="O24" s="29">
        <f>IF(O11=0,0,O11/TrRail_act!O15*100)</f>
        <v>176.91495475988313</v>
      </c>
      <c r="P24" s="29">
        <f>IF(P11=0,0,P11/TrRail_act!P15*100)</f>
        <v>169.68778271215072</v>
      </c>
      <c r="Q24" s="29">
        <f>IF(Q11=0,0,Q11/TrRail_act!Q15*100)</f>
        <v>162.61566715478222</v>
      </c>
      <c r="R24" s="29">
        <f>IF(R11=0,0,R11/TrRail_act!R15*100)</f>
        <v>159.83749228425182</v>
      </c>
      <c r="S24" s="29">
        <f>IF(S11=0,0,S11/TrRail_act!S15*100)</f>
        <v>157.2411933962581</v>
      </c>
      <c r="T24" s="29">
        <f>IF(T11=0,0,T11/TrRail_act!T15*100)</f>
        <v>152.05172682550338</v>
      </c>
      <c r="U24" s="29">
        <f>IF(U11=0,0,U11/TrRail_act!U15*100)</f>
        <v>147.75329340824402</v>
      </c>
      <c r="V24" s="29">
        <f>IF(V11=0,0,V11/TrRail_act!V15*100)</f>
        <v>147.32216164946098</v>
      </c>
      <c r="W24" s="29">
        <f>IF(W11=0,0,W11/TrRail_act!W15*100)</f>
        <v>144.85188766882712</v>
      </c>
      <c r="X24" s="29">
        <f>IF(X11=0,0,X11/TrRail_act!X15*100)</f>
        <v>135.93518626996092</v>
      </c>
      <c r="Y24" s="29">
        <f>IF(Y11=0,0,Y11/TrRail_act!Y15*100)</f>
        <v>138.0331773259729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37.330991884418566</v>
      </c>
      <c r="U25" s="115">
        <f>IF(U12=0,0,U12/TrRail_act!U16*100)</f>
        <v>37.204164423768461</v>
      </c>
      <c r="V25" s="115">
        <f>IF(V12=0,0,V12/TrRail_act!V16*100)</f>
        <v>37.10932667386502</v>
      </c>
      <c r="W25" s="115">
        <f>IF(W12=0,0,W12/TrRail_act!W16*100)</f>
        <v>37.038357017738868</v>
      </c>
      <c r="X25" s="115">
        <f>IF(X12=0,0,X12/TrRail_act!X16*100)</f>
        <v>36.985218906197829</v>
      </c>
      <c r="Y25" s="115">
        <f>IF(Y12=0,0,Y12/TrRail_act!Y16*100)</f>
        <v>36.94541533474959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271.55953557748023</v>
      </c>
      <c r="C26" s="116">
        <f>IF(C13=0,0,C13/TrRail_act!C17*100)</f>
        <v>268.60993744631458</v>
      </c>
      <c r="D26" s="116">
        <f>IF(D13=0,0,D13/TrRail_act!D17*100)</f>
        <v>262.40320998213213</v>
      </c>
      <c r="E26" s="116">
        <f>IF(E13=0,0,E13/TrRail_act!E17*100)</f>
        <v>247.02839988222013</v>
      </c>
      <c r="F26" s="116">
        <f>IF(F13=0,0,F13/TrRail_act!F17*100)</f>
        <v>231.96207729635509</v>
      </c>
      <c r="G26" s="116">
        <f>IF(G13=0,0,G13/TrRail_act!G17*100)</f>
        <v>201.38474359141046</v>
      </c>
      <c r="H26" s="116">
        <f>IF(H13=0,0,H13/TrRail_act!H17*100)</f>
        <v>190.80408473190414</v>
      </c>
      <c r="I26" s="116">
        <f>IF(I13=0,0,I13/TrRail_act!I17*100)</f>
        <v>193.97541456652533</v>
      </c>
      <c r="J26" s="116">
        <f>IF(J13=0,0,J13/TrRail_act!J17*100)</f>
        <v>197.2574048358656</v>
      </c>
      <c r="K26" s="116">
        <f>IF(K13=0,0,K13/TrRail_act!K17*100)</f>
        <v>191.16283999282672</v>
      </c>
      <c r="L26" s="116">
        <f>IF(L13=0,0,L13/TrRail_act!L17*100)</f>
        <v>190.24010648731056</v>
      </c>
      <c r="M26" s="116">
        <f>IF(M13=0,0,M13/TrRail_act!M17*100)</f>
        <v>185.77800185139796</v>
      </c>
      <c r="N26" s="116">
        <f>IF(N13=0,0,N13/TrRail_act!N17*100)</f>
        <v>181.42640663456717</v>
      </c>
      <c r="O26" s="116">
        <f>IF(O13=0,0,O13/TrRail_act!O17*100)</f>
        <v>176.91495475988313</v>
      </c>
      <c r="P26" s="116">
        <f>IF(P13=0,0,P13/TrRail_act!P17*100)</f>
        <v>169.68778271215072</v>
      </c>
      <c r="Q26" s="116">
        <f>IF(Q13=0,0,Q13/TrRail_act!Q17*100)</f>
        <v>162.61566715478222</v>
      </c>
      <c r="R26" s="116">
        <f>IF(R13=0,0,R13/TrRail_act!R17*100)</f>
        <v>159.83749228425182</v>
      </c>
      <c r="S26" s="116">
        <f>IF(S13=0,0,S13/TrRail_act!S17*100)</f>
        <v>157.2411933962581</v>
      </c>
      <c r="T26" s="116">
        <f>IF(T13=0,0,T13/TrRail_act!T17*100)</f>
        <v>157.505648207272</v>
      </c>
      <c r="U26" s="116">
        <f>IF(U13=0,0,U13/TrRail_act!U17*100)</f>
        <v>156.06859139605967</v>
      </c>
      <c r="V26" s="116">
        <f>IF(V13=0,0,V13/TrRail_act!V17*100)</f>
        <v>156.68202930610377</v>
      </c>
      <c r="W26" s="116">
        <f>IF(W13=0,0,W13/TrRail_act!W17*100)</f>
        <v>155.7822336230478</v>
      </c>
      <c r="X26" s="116">
        <f>IF(X13=0,0,X13/TrRail_act!X17*100)</f>
        <v>153.50576844582545</v>
      </c>
      <c r="Y26" s="116">
        <f>IF(Y13=0,0,Y13/TrRail_act!Y17*100)</f>
        <v>153.51376747952449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356.92116513194537</v>
      </c>
      <c r="C27" s="87">
        <f>IF(C14=0,0,C14/TrRail_act!C18*100)</f>
        <v>353.35875243484907</v>
      </c>
      <c r="D27" s="87">
        <f>IF(D14=0,0,D14/TrRail_act!D18*100)</f>
        <v>348.20551670454461</v>
      </c>
      <c r="E27" s="87">
        <f>IF(E14=0,0,E14/TrRail_act!E18*100)</f>
        <v>344.92324887268944</v>
      </c>
      <c r="F27" s="87">
        <f>IF(F14=0,0,F14/TrRail_act!F18*100)</f>
        <v>338.29153698511112</v>
      </c>
      <c r="G27" s="87">
        <f>IF(G14=0,0,G14/TrRail_act!G18*100)</f>
        <v>323.17604787404366</v>
      </c>
      <c r="H27" s="87">
        <f>IF(H14=0,0,H14/TrRail_act!H18*100)</f>
        <v>304.46313003410825</v>
      </c>
      <c r="I27" s="87">
        <f>IF(I14=0,0,I14/TrRail_act!I18*100)</f>
        <v>292.6850384952038</v>
      </c>
      <c r="J27" s="87">
        <f>IF(J14=0,0,J14/TrRail_act!J18*100)</f>
        <v>285.3604285824706</v>
      </c>
      <c r="K27" s="87">
        <f>IF(K14=0,0,K14/TrRail_act!K18*100)</f>
        <v>286.57355644288771</v>
      </c>
      <c r="L27" s="87">
        <f>IF(L14=0,0,L14/TrRail_act!L18*100)</f>
        <v>273.10550285802196</v>
      </c>
      <c r="M27" s="87">
        <f>IF(M14=0,0,M14/TrRail_act!M18*100)</f>
        <v>263.82335868614621</v>
      </c>
      <c r="N27" s="87">
        <f>IF(N14=0,0,N14/TrRail_act!N18*100)</f>
        <v>258.61463554721308</v>
      </c>
      <c r="O27" s="87">
        <f>IF(O14=0,0,O14/TrRail_act!O18*100)</f>
        <v>250.95201198129496</v>
      </c>
      <c r="P27" s="87">
        <f>IF(P14=0,0,P14/TrRail_act!P18*100)</f>
        <v>236.13142017671947</v>
      </c>
      <c r="Q27" s="87">
        <f>IF(Q14=0,0,Q14/TrRail_act!Q18*100)</f>
        <v>235.39540004082355</v>
      </c>
      <c r="R27" s="87">
        <f>IF(R14=0,0,R14/TrRail_act!R18*100)</f>
        <v>232.49644197067266</v>
      </c>
      <c r="S27" s="87">
        <f>IF(S14=0,0,S14/TrRail_act!S18*100)</f>
        <v>230.34567663449113</v>
      </c>
      <c r="T27" s="87">
        <f>IF(T14=0,0,T14/TrRail_act!T18*100)</f>
        <v>228.7456695965142</v>
      </c>
      <c r="U27" s="87">
        <f>IF(U14=0,0,U14/TrRail_act!U18*100)</f>
        <v>227.55296199943885</v>
      </c>
      <c r="V27" s="87">
        <f>IF(V14=0,0,V14/TrRail_act!V18*100)</f>
        <v>226.66251424521309</v>
      </c>
      <c r="W27" s="87">
        <f>IF(W14=0,0,W14/TrRail_act!W18*100)</f>
        <v>225.99696584726351</v>
      </c>
      <c r="X27" s="87">
        <f>IF(X14=0,0,X14/TrRail_act!X18*100)</f>
        <v>225.49908733787478</v>
      </c>
      <c r="Y27" s="87">
        <f>IF(Y14=0,0,Y14/TrRail_act!Y18*100)</f>
        <v>225.12639839076635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179.19681899688092</v>
      </c>
      <c r="C28" s="87">
        <f>IF(C15=0,0,C15/TrRail_act!C19*100)</f>
        <v>176.32923202592582</v>
      </c>
      <c r="D28" s="87">
        <f>IF(D15=0,0,D15/TrRail_act!D19*100)</f>
        <v>173.95307731778036</v>
      </c>
      <c r="E28" s="87">
        <f>IF(E15=0,0,E15/TrRail_act!E19*100)</f>
        <v>173.64326075321571</v>
      </c>
      <c r="F28" s="87">
        <f>IF(F15=0,0,F15/TrRail_act!F19*100)</f>
        <v>172.78396695023474</v>
      </c>
      <c r="G28" s="87">
        <f>IF(G15=0,0,G15/TrRail_act!G19*100)</f>
        <v>172.64490059810538</v>
      </c>
      <c r="H28" s="87">
        <f>IF(H15=0,0,H15/TrRail_act!H19*100)</f>
        <v>172.12718519621143</v>
      </c>
      <c r="I28" s="87">
        <f>IF(I15=0,0,I15/TrRail_act!I19*100)</f>
        <v>171.93744795562444</v>
      </c>
      <c r="J28" s="87">
        <f>IF(J15=0,0,J15/TrRail_act!J19*100)</f>
        <v>170.6995152798165</v>
      </c>
      <c r="K28" s="87">
        <f>IF(K15=0,0,K15/TrRail_act!K19*100)</f>
        <v>168.32380474745199</v>
      </c>
      <c r="L28" s="87">
        <f>IF(L15=0,0,L15/TrRail_act!L19*100)</f>
        <v>167.82753668612179</v>
      </c>
      <c r="M28" s="87">
        <f>IF(M15=0,0,M15/TrRail_act!M19*100)</f>
        <v>167.21154224164948</v>
      </c>
      <c r="N28" s="87">
        <f>IF(N15=0,0,N15/TrRail_act!N19*100)</f>
        <v>163.2278960399326</v>
      </c>
      <c r="O28" s="87">
        <f>IF(O15=0,0,O15/TrRail_act!O19*100)</f>
        <v>161.18418530139377</v>
      </c>
      <c r="P28" s="87">
        <f>IF(P15=0,0,P15/TrRail_act!P19*100)</f>
        <v>154.35499514152929</v>
      </c>
      <c r="Q28" s="87">
        <f>IF(Q15=0,0,Q15/TrRail_act!Q19*100)</f>
        <v>150.27486133475</v>
      </c>
      <c r="R28" s="87">
        <f>IF(R15=0,0,R15/TrRail_act!R19*100)</f>
        <v>147.28569605363734</v>
      </c>
      <c r="S28" s="87">
        <f>IF(S15=0,0,S15/TrRail_act!S19*100)</f>
        <v>145.80832131402059</v>
      </c>
      <c r="T28" s="87">
        <f>IF(T15=0,0,T15/TrRail_act!T19*100)</f>
        <v>144.71002342453346</v>
      </c>
      <c r="U28" s="87">
        <f>IF(U15=0,0,U15/TrRail_act!U19*100)</f>
        <v>143.89173251663655</v>
      </c>
      <c r="V28" s="87">
        <f>IF(V15=0,0,V15/TrRail_act!V19*100)</f>
        <v>143.28105235902228</v>
      </c>
      <c r="W28" s="87">
        <f>IF(W15=0,0,W15/TrRail_act!W19*100)</f>
        <v>142.82474356786878</v>
      </c>
      <c r="X28" s="87">
        <f>IF(X15=0,0,X15/TrRail_act!X19*100)</f>
        <v>142.48346607649157</v>
      </c>
      <c r="Y28" s="87">
        <f>IF(Y15=0,0,Y15/TrRail_act!Y19*100)</f>
        <v>142.22804313029638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352.9898749621031</v>
      </c>
      <c r="C30" s="29">
        <f>IF(C17=0,0,C17/TrRail_act!C21*100)</f>
        <v>339.67420323274365</v>
      </c>
      <c r="D30" s="29">
        <f>IF(D17=0,0,D17/TrRail_act!D21*100)</f>
        <v>321.41139745771017</v>
      </c>
      <c r="E30" s="29">
        <f>IF(E17=0,0,E17/TrRail_act!E21*100)</f>
        <v>305.64305807068786</v>
      </c>
      <c r="F30" s="29">
        <f>IF(F17=0,0,F17/TrRail_act!F21*100)</f>
        <v>290.14710303364996</v>
      </c>
      <c r="G30" s="29">
        <f>IF(G17=0,0,G17/TrRail_act!G21*100)</f>
        <v>271.55212923905844</v>
      </c>
      <c r="H30" s="29">
        <f>IF(H17=0,0,H17/TrRail_act!H21*100)</f>
        <v>253.48180813404193</v>
      </c>
      <c r="I30" s="29">
        <f>IF(I17=0,0,I17/TrRail_act!I21*100)</f>
        <v>257.79580259753243</v>
      </c>
      <c r="J30" s="29">
        <f>IF(J17=0,0,J17/TrRail_act!J21*100)</f>
        <v>254.53104244262249</v>
      </c>
      <c r="K30" s="29">
        <f>IF(K17=0,0,K17/TrRail_act!K21*100)</f>
        <v>251.52913517209589</v>
      </c>
      <c r="L30" s="29">
        <f>IF(L17=0,0,L17/TrRail_act!L21*100)</f>
        <v>250.28507039950401</v>
      </c>
      <c r="M30" s="29">
        <f>IF(M17=0,0,M17/TrRail_act!M21*100)</f>
        <v>247.24047662323048</v>
      </c>
      <c r="N30" s="29">
        <f>IF(N17=0,0,N17/TrRail_act!N21*100)</f>
        <v>243.64597988830124</v>
      </c>
      <c r="O30" s="29">
        <f>IF(O17=0,0,O17/TrRail_act!O21*100)</f>
        <v>238.86777451261057</v>
      </c>
      <c r="P30" s="29">
        <f>IF(P17=0,0,P17/TrRail_act!P21*100)</f>
        <v>231.30619273230874</v>
      </c>
      <c r="Q30" s="29">
        <f>IF(Q17=0,0,Q17/TrRail_act!Q21*100)</f>
        <v>221.66769855554037</v>
      </c>
      <c r="R30" s="29">
        <f>IF(R17=0,0,R17/TrRail_act!R21*100)</f>
        <v>217.77359148394959</v>
      </c>
      <c r="S30" s="29">
        <f>IF(S17=0,0,S17/TrRail_act!S21*100)</f>
        <v>214.39524389397801</v>
      </c>
      <c r="T30" s="29">
        <f>IF(T17=0,0,T17/TrRail_act!T21*100)</f>
        <v>215.24181324083682</v>
      </c>
      <c r="U30" s="29">
        <f>IF(U17=0,0,U17/TrRail_act!U21*100)</f>
        <v>212.90164442271268</v>
      </c>
      <c r="V30" s="29">
        <f>IF(V17=0,0,V17/TrRail_act!V21*100)</f>
        <v>218.02704836441632</v>
      </c>
      <c r="W30" s="29">
        <f>IF(W17=0,0,W17/TrRail_act!W21*100)</f>
        <v>212.673677906905</v>
      </c>
      <c r="X30" s="29">
        <f>IF(X17=0,0,X17/TrRail_act!X21*100)</f>
        <v>206.1414498721339</v>
      </c>
      <c r="Y30" s="29">
        <f>IF(Y17=0,0,Y17/TrRail_act!Y21*100)</f>
        <v>204.74382131787854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512.78245445668369</v>
      </c>
      <c r="C31" s="87">
        <f>IF(C18=0,0,C18/TrRail_act!C22*100)</f>
        <v>509.22403433464638</v>
      </c>
      <c r="D31" s="87">
        <f>IF(D18=0,0,D18/TrRail_act!D22*100)</f>
        <v>505.8458900822817</v>
      </c>
      <c r="E31" s="87">
        <f>IF(E18=0,0,E18/TrRail_act!E22*100)</f>
        <v>501.38817107433005</v>
      </c>
      <c r="F31" s="87">
        <f>IF(F18=0,0,F18/TrRail_act!F22*100)</f>
        <v>496.65827472319137</v>
      </c>
      <c r="G31" s="87">
        <f>IF(G18=0,0,G18/TrRail_act!G22*100)</f>
        <v>493.61794653909669</v>
      </c>
      <c r="H31" s="87">
        <f>IF(H18=0,0,H18/TrRail_act!H22*100)</f>
        <v>489.70936753742205</v>
      </c>
      <c r="I31" s="87">
        <f>IF(I18=0,0,I18/TrRail_act!I22*100)</f>
        <v>483.99137015818997</v>
      </c>
      <c r="J31" s="87">
        <f>IF(J18=0,0,J18/TrRail_act!J22*100)</f>
        <v>479.27116445923031</v>
      </c>
      <c r="K31" s="87">
        <f>IF(K18=0,0,K18/TrRail_act!K22*100)</f>
        <v>482.86485387670507</v>
      </c>
      <c r="L31" s="87">
        <f>IF(L18=0,0,L18/TrRail_act!L22*100)</f>
        <v>469.92795099015768</v>
      </c>
      <c r="M31" s="87">
        <f>IF(M18=0,0,M18/TrRail_act!M22*100)</f>
        <v>466.94566452002243</v>
      </c>
      <c r="N31" s="87">
        <f>IF(N18=0,0,N18/TrRail_act!N22*100)</f>
        <v>463.27373637887968</v>
      </c>
      <c r="O31" s="87">
        <f>IF(O18=0,0,O18/TrRail_act!O22*100)</f>
        <v>458.94307837005596</v>
      </c>
      <c r="P31" s="87">
        <f>IF(P18=0,0,P18/TrRail_act!P22*100)</f>
        <v>456.13979897102359</v>
      </c>
      <c r="Q31" s="87">
        <f>IF(Q18=0,0,Q18/TrRail_act!Q22*100)</f>
        <v>453.21066524707777</v>
      </c>
      <c r="R31" s="87">
        <f>IF(R18=0,0,R18/TrRail_act!R22*100)</f>
        <v>451.02616539773396</v>
      </c>
      <c r="S31" s="87">
        <f>IF(S18=0,0,S18/TrRail_act!S22*100)</f>
        <v>449.39470321383544</v>
      </c>
      <c r="T31" s="87">
        <f>IF(T18=0,0,T18/TrRail_act!T22*100)</f>
        <v>448.17498051370262</v>
      </c>
      <c r="U31" s="87">
        <f>IF(U18=0,0,U18/TrRail_act!U22*100)</f>
        <v>447.262361499382</v>
      </c>
      <c r="V31" s="87">
        <f>IF(V18=0,0,V18/TrRail_act!V22*100)</f>
        <v>446.57911699887666</v>
      </c>
      <c r="W31" s="87">
        <f>IF(W18=0,0,W18/TrRail_act!W22*100)</f>
        <v>446.06736866133883</v>
      </c>
      <c r="X31" s="87">
        <f>IF(X18=0,0,X18/TrRail_act!X22*100)</f>
        <v>445.68394228812184</v>
      </c>
      <c r="Y31" s="87">
        <f>IF(Y18=0,0,Y18/TrRail_act!Y22*100)</f>
        <v>445.39658881190564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280.49237247302898</v>
      </c>
      <c r="C32" s="88">
        <f>IF(C19=0,0,C19/TrRail_act!C23*100)</f>
        <v>276.67262481860917</v>
      </c>
      <c r="D32" s="88">
        <f>IF(D19=0,0,D19/TrRail_act!D23*100)</f>
        <v>264.29632003679143</v>
      </c>
      <c r="E32" s="88">
        <f>IF(E19=0,0,E19/TrRail_act!E23*100)</f>
        <v>253.68031696244259</v>
      </c>
      <c r="F32" s="88">
        <f>IF(F19=0,0,F19/TrRail_act!F23*100)</f>
        <v>244.01114338882385</v>
      </c>
      <c r="G32" s="88">
        <f>IF(G19=0,0,G19/TrRail_act!G23*100)</f>
        <v>237.92365618479221</v>
      </c>
      <c r="H32" s="88">
        <f>IF(H19=0,0,H19/TrRail_act!H23*100)</f>
        <v>233.19158324250191</v>
      </c>
      <c r="I32" s="88">
        <f>IF(I19=0,0,I19/TrRail_act!I23*100)</f>
        <v>232.93453420354783</v>
      </c>
      <c r="J32" s="88">
        <f>IF(J19=0,0,J19/TrRail_act!J23*100)</f>
        <v>231.25742851980468</v>
      </c>
      <c r="K32" s="88">
        <f>IF(K19=0,0,K19/TrRail_act!K23*100)</f>
        <v>228.03890321982698</v>
      </c>
      <c r="L32" s="88">
        <f>IF(L19=0,0,L19/TrRail_act!L23*100)</f>
        <v>227.36657749276432</v>
      </c>
      <c r="M32" s="88">
        <f>IF(M19=0,0,M19/TrRail_act!M23*100)</f>
        <v>226.53205086286943</v>
      </c>
      <c r="N32" s="88">
        <f>IF(N19=0,0,N19/TrRail_act!N23*100)</f>
        <v>221.13515342451655</v>
      </c>
      <c r="O32" s="88">
        <f>IF(O19=0,0,O19/TrRail_act!O23*100)</f>
        <v>218.36640924115977</v>
      </c>
      <c r="P32" s="88">
        <f>IF(P19=0,0,P19/TrRail_act!P23*100)</f>
        <v>209.11447344828912</v>
      </c>
      <c r="Q32" s="88">
        <f>IF(Q19=0,0,Q19/TrRail_act!Q23*100)</f>
        <v>203.58685814940679</v>
      </c>
      <c r="R32" s="88">
        <f>IF(R19=0,0,R19/TrRail_act!R23*100)</f>
        <v>199.53724690594393</v>
      </c>
      <c r="S32" s="88">
        <f>IF(S19=0,0,S19/TrRail_act!S23*100)</f>
        <v>197.53575391585642</v>
      </c>
      <c r="T32" s="88">
        <f>IF(T19=0,0,T19/TrRail_act!T23*100)</f>
        <v>196.04782030775462</v>
      </c>
      <c r="U32" s="88">
        <f>IF(U19=0,0,U19/TrRail_act!U23*100)</f>
        <v>194.93922986547273</v>
      </c>
      <c r="V32" s="88">
        <f>IF(V19=0,0,V19/TrRail_act!V23*100)</f>
        <v>194.11190283606464</v>
      </c>
      <c r="W32" s="88">
        <f>IF(W19=0,0,W19/TrRail_act!W23*100)</f>
        <v>193.49371245936629</v>
      </c>
      <c r="X32" s="88">
        <f>IF(X19=0,0,X19/TrRail_act!X23*100)</f>
        <v>193.03136225914378</v>
      </c>
      <c r="Y32" s="88">
        <f>IF(Y19=0,0,Y19/TrRail_act!Y23*100)</f>
        <v>192.68532464078757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25.560205994544944</v>
      </c>
      <c r="C35" s="29">
        <f>IF(C11=0,0,C11/TrRail_act!C4*1000)</f>
        <v>28.220596914468381</v>
      </c>
      <c r="D35" s="29">
        <f>IF(D11=0,0,D11/TrRail_act!D4*1000)</f>
        <v>35.550044457541027</v>
      </c>
      <c r="E35" s="29">
        <f>IF(E11=0,0,E11/TrRail_act!E4*1000)</f>
        <v>30.20242342981323</v>
      </c>
      <c r="F35" s="29">
        <f>IF(F11=0,0,F11/TrRail_act!F4*1000)</f>
        <v>28.483463603350163</v>
      </c>
      <c r="G35" s="29">
        <f>IF(G11=0,0,G11/TrRail_act!G4*1000)</f>
        <v>31.704989797450899</v>
      </c>
      <c r="H35" s="29">
        <f>IF(H11=0,0,H11/TrRail_act!H4*1000)</f>
        <v>30.733717839439041</v>
      </c>
      <c r="I35" s="29">
        <f>IF(I11=0,0,I11/TrRail_act!I4*1000)</f>
        <v>31.504868680707787</v>
      </c>
      <c r="J35" s="29">
        <f>IF(J11=0,0,J11/TrRail_act!J4*1000)</f>
        <v>34.215174618732135</v>
      </c>
      <c r="K35" s="29">
        <f>IF(K11=0,0,K11/TrRail_act!K4*1000)</f>
        <v>34.765295573677101</v>
      </c>
      <c r="L35" s="29">
        <f>IF(L11=0,0,L11/TrRail_act!L4*1000)</f>
        <v>35.972020034986848</v>
      </c>
      <c r="M35" s="29">
        <f>IF(M11=0,0,M11/TrRail_act!M4*1000)</f>
        <v>38.067299981433038</v>
      </c>
      <c r="N35" s="29">
        <f>IF(N11=0,0,N11/TrRail_act!N4*1000)</f>
        <v>36.267911695146495</v>
      </c>
      <c r="O35" s="29">
        <f>IF(O11=0,0,O11/TrRail_act!O4*1000)</f>
        <v>35.415366776640262</v>
      </c>
      <c r="P35" s="29">
        <f>IF(P11=0,0,P11/TrRail_act!P4*1000)</f>
        <v>37.227459616389766</v>
      </c>
      <c r="Q35" s="29">
        <f>IF(Q11=0,0,Q11/TrRail_act!Q4*1000)</f>
        <v>32.58569772228546</v>
      </c>
      <c r="R35" s="29">
        <f>IF(R11=0,0,R11/TrRail_act!R4*1000)</f>
        <v>32.877848563919649</v>
      </c>
      <c r="S35" s="29">
        <f>IF(S11=0,0,S11/TrRail_act!S4*1000)</f>
        <v>31.387219701789718</v>
      </c>
      <c r="T35" s="29">
        <f>IF(T11=0,0,T11/TrRail_act!T4*1000)</f>
        <v>32.219274863275913</v>
      </c>
      <c r="U35" s="29">
        <f>IF(U11=0,0,U11/TrRail_act!U4*1000)</f>
        <v>30.119280670630609</v>
      </c>
      <c r="V35" s="29">
        <f>IF(V11=0,0,V11/TrRail_act!V4*1000)</f>
        <v>45.092898323025715</v>
      </c>
      <c r="W35" s="29">
        <f>IF(W11=0,0,W11/TrRail_act!W4*1000)</f>
        <v>42.469311593049667</v>
      </c>
      <c r="X35" s="29">
        <f>IF(X11=0,0,X11/TrRail_act!X4*1000)</f>
        <v>28.987600111802042</v>
      </c>
      <c r="Y35" s="29">
        <f>IF(Y11=0,0,Y11/TrRail_act!Y4*1000)</f>
        <v>23.34568863275269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8.5146547816086802</v>
      </c>
      <c r="U36" s="115">
        <f>IF(U12=0,0,U12/TrRail_act!U5*1000)</f>
        <v>8.4037484434538197</v>
      </c>
      <c r="V36" s="115">
        <f>IF(V12=0,0,V12/TrRail_act!V5*1000)</f>
        <v>8.398466633247649</v>
      </c>
      <c r="W36" s="115">
        <f>IF(W12=0,0,W12/TrRail_act!W5*1000)</f>
        <v>7.797760367889615</v>
      </c>
      <c r="X36" s="115">
        <f>IF(X12=0,0,X12/TrRail_act!X5*1000)</f>
        <v>5.8837569976052455</v>
      </c>
      <c r="Y36" s="115">
        <f>IF(Y12=0,0,Y12/TrRail_act!Y5*1000)</f>
        <v>4.6569157496170019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25.560205994544944</v>
      </c>
      <c r="C37" s="116">
        <f>IF(C13=0,0,C13/TrRail_act!C6*1000)</f>
        <v>28.220596914468381</v>
      </c>
      <c r="D37" s="116">
        <f>IF(D13=0,0,D13/TrRail_act!D6*1000)</f>
        <v>35.550044457541027</v>
      </c>
      <c r="E37" s="116">
        <f>IF(E13=0,0,E13/TrRail_act!E6*1000)</f>
        <v>30.20242342981323</v>
      </c>
      <c r="F37" s="116">
        <f>IF(F13=0,0,F13/TrRail_act!F6*1000)</f>
        <v>28.483463603350163</v>
      </c>
      <c r="G37" s="116">
        <f>IF(G13=0,0,G13/TrRail_act!G6*1000)</f>
        <v>31.704989797450899</v>
      </c>
      <c r="H37" s="116">
        <f>IF(H13=0,0,H13/TrRail_act!H6*1000)</f>
        <v>30.733717839439041</v>
      </c>
      <c r="I37" s="116">
        <f>IF(I13=0,0,I13/TrRail_act!I6*1000)</f>
        <v>31.504868680707787</v>
      </c>
      <c r="J37" s="116">
        <f>IF(J13=0,0,J13/TrRail_act!J6*1000)</f>
        <v>34.215174618732135</v>
      </c>
      <c r="K37" s="116">
        <f>IF(K13=0,0,K13/TrRail_act!K6*1000)</f>
        <v>34.765295573677101</v>
      </c>
      <c r="L37" s="116">
        <f>IF(L13=0,0,L13/TrRail_act!L6*1000)</f>
        <v>35.972020034986848</v>
      </c>
      <c r="M37" s="116">
        <f>IF(M13=0,0,M13/TrRail_act!M6*1000)</f>
        <v>38.067299981433038</v>
      </c>
      <c r="N37" s="116">
        <f>IF(N13=0,0,N13/TrRail_act!N6*1000)</f>
        <v>36.267911695146495</v>
      </c>
      <c r="O37" s="116">
        <f>IF(O13=0,0,O13/TrRail_act!O6*1000)</f>
        <v>35.415366776640262</v>
      </c>
      <c r="P37" s="116">
        <f>IF(P13=0,0,P13/TrRail_act!P6*1000)</f>
        <v>37.227459616389766</v>
      </c>
      <c r="Q37" s="116">
        <f>IF(Q13=0,0,Q13/TrRail_act!Q6*1000)</f>
        <v>32.58569772228546</v>
      </c>
      <c r="R37" s="116">
        <f>IF(R13=0,0,R13/TrRail_act!R6*1000)</f>
        <v>32.877848563919649</v>
      </c>
      <c r="S37" s="116">
        <f>IF(S13=0,0,S13/TrRail_act!S6*1000)</f>
        <v>31.387219701789718</v>
      </c>
      <c r="T37" s="116">
        <f>IF(T13=0,0,T13/TrRail_act!T6*1000)</f>
        <v>33.262706221272552</v>
      </c>
      <c r="U37" s="116">
        <f>IF(U13=0,0,U13/TrRail_act!U6*1000)</f>
        <v>31.582616751598028</v>
      </c>
      <c r="V37" s="116">
        <f>IF(V13=0,0,V13/TrRail_act!V6*1000)</f>
        <v>49.437589070042662</v>
      </c>
      <c r="W37" s="116">
        <f>IF(W13=0,0,W13/TrRail_act!W6*1000)</f>
        <v>47.567398237012341</v>
      </c>
      <c r="X37" s="116">
        <f>IF(X13=0,0,X13/TrRail_act!X6*1000)</f>
        <v>34.840771677108201</v>
      </c>
      <c r="Y37" s="116">
        <f>IF(Y13=0,0,Y13/TrRail_act!Y6*1000)</f>
        <v>27.398006713353404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79.73952736400976</v>
      </c>
      <c r="C38" s="87">
        <f>IF(C14=0,0,C14/TrRail_act!C7*1000)</f>
        <v>90.097322041961746</v>
      </c>
      <c r="D38" s="87">
        <f>IF(D14=0,0,D14/TrRail_act!D7*1000)</f>
        <v>88.833360480459035</v>
      </c>
      <c r="E38" s="87">
        <f>IF(E14=0,0,E14/TrRail_act!E7*1000)</f>
        <v>89.520043579247044</v>
      </c>
      <c r="F38" s="87">
        <f>IF(F14=0,0,F14/TrRail_act!F7*1000)</f>
        <v>88.793830799556019</v>
      </c>
      <c r="G38" s="87">
        <f>IF(G14=0,0,G14/TrRail_act!G7*1000)</f>
        <v>85.348969358408382</v>
      </c>
      <c r="H38" s="87">
        <f>IF(H14=0,0,H14/TrRail_act!H7*1000)</f>
        <v>66.624635153596316</v>
      </c>
      <c r="I38" s="87">
        <f>IF(I14=0,0,I14/TrRail_act!I7*1000)</f>
        <v>55.079398139306996</v>
      </c>
      <c r="J38" s="87">
        <f>IF(J14=0,0,J14/TrRail_act!J7*1000)</f>
        <v>57.467493430678822</v>
      </c>
      <c r="K38" s="87">
        <f>IF(K14=0,0,K14/TrRail_act!K7*1000)</f>
        <v>60.194434693240481</v>
      </c>
      <c r="L38" s="87">
        <f>IF(L14=0,0,L14/TrRail_act!L7*1000)</f>
        <v>62.67100071532704</v>
      </c>
      <c r="M38" s="87">
        <f>IF(M14=0,0,M14/TrRail_act!M7*1000)</f>
        <v>65.709025931433743</v>
      </c>
      <c r="N38" s="87">
        <f>IF(N14=0,0,N14/TrRail_act!N7*1000)</f>
        <v>58.335913159714295</v>
      </c>
      <c r="O38" s="87">
        <f>IF(O14=0,0,O14/TrRail_act!O7*1000)</f>
        <v>68.205286064627231</v>
      </c>
      <c r="P38" s="87">
        <f>IF(P14=0,0,P14/TrRail_act!P7*1000)</f>
        <v>56.341821344987551</v>
      </c>
      <c r="Q38" s="87">
        <f>IF(Q14=0,0,Q14/TrRail_act!Q7*1000)</f>
        <v>55.078818187753967</v>
      </c>
      <c r="R38" s="87">
        <f>IF(R14=0,0,R14/TrRail_act!R7*1000)</f>
        <v>55.496207018667327</v>
      </c>
      <c r="S38" s="87">
        <f>IF(S14=0,0,S14/TrRail_act!S7*1000)</f>
        <v>53.03756981909391</v>
      </c>
      <c r="T38" s="87">
        <f>IF(T14=0,0,T14/TrRail_act!T7*1000)</f>
        <v>54.647476227598077</v>
      </c>
      <c r="U38" s="87">
        <f>IF(U14=0,0,U14/TrRail_act!U7*1000)</f>
        <v>51.213528980293788</v>
      </c>
      <c r="V38" s="87">
        <f>IF(V14=0,0,V14/TrRail_act!V7*1000)</f>
        <v>92.73545465948186</v>
      </c>
      <c r="W38" s="87">
        <f>IF(W14=0,0,W14/TrRail_act!W7*1000)</f>
        <v>72.778942589491635</v>
      </c>
      <c r="X38" s="87">
        <f>IF(X14=0,0,X14/TrRail_act!X7*1000)</f>
        <v>50.708072556086428</v>
      </c>
      <c r="Y38" s="87">
        <f>IF(Y14=0,0,Y14/TrRail_act!Y7*1000)</f>
        <v>40.816304058779437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10.372114383833297</v>
      </c>
      <c r="C39" s="87">
        <f>IF(C15=0,0,C15/TrRail_act!C8*1000)</f>
        <v>11.294586843160431</v>
      </c>
      <c r="D39" s="87">
        <f>IF(D15=0,0,D15/TrRail_act!D8*1000)</f>
        <v>15.886810934517115</v>
      </c>
      <c r="E39" s="87">
        <f>IF(E15=0,0,E15/TrRail_act!E8*1000)</f>
        <v>15.202461400231229</v>
      </c>
      <c r="F39" s="87">
        <f>IF(F15=0,0,F15/TrRail_act!F8*1000)</f>
        <v>16.368642234252306</v>
      </c>
      <c r="G39" s="87">
        <f>IF(G15=0,0,G15/TrRail_act!G8*1000)</f>
        <v>24.815348563373753</v>
      </c>
      <c r="H39" s="87">
        <f>IF(H15=0,0,H15/TrRail_act!H8*1000)</f>
        <v>26.572933259343838</v>
      </c>
      <c r="I39" s="87">
        <f>IF(I15=0,0,I15/TrRail_act!I8*1000)</f>
        <v>27.097100556082619</v>
      </c>
      <c r="J39" s="87">
        <f>IF(J15=0,0,J15/TrRail_act!J8*1000)</f>
        <v>28.420379404989674</v>
      </c>
      <c r="K39" s="87">
        <f>IF(K15=0,0,K15/TrRail_act!K8*1000)</f>
        <v>29.659029656105968</v>
      </c>
      <c r="L39" s="87">
        <f>IF(L15=0,0,L15/TrRail_act!L8*1000)</f>
        <v>30.292090245033886</v>
      </c>
      <c r="M39" s="87">
        <f>IF(M15=0,0,M15/TrRail_act!M8*1000)</f>
        <v>32.8762891191707</v>
      </c>
      <c r="N39" s="87">
        <f>IF(N15=0,0,N15/TrRail_act!N8*1000)</f>
        <v>31.777463249921144</v>
      </c>
      <c r="O39" s="87">
        <f>IF(O15=0,0,O15/TrRail_act!O8*1000)</f>
        <v>30.555920783916925</v>
      </c>
      <c r="P39" s="87">
        <f>IF(P15=0,0,P15/TrRail_act!P8*1000)</f>
        <v>33.245780469195999</v>
      </c>
      <c r="Q39" s="87">
        <f>IF(Q15=0,0,Q15/TrRail_act!Q8*1000)</f>
        <v>29.397003614143998</v>
      </c>
      <c r="R39" s="87">
        <f>IF(R15=0,0,R15/TrRail_act!R8*1000)</f>
        <v>29.589295118647247</v>
      </c>
      <c r="S39" s="87">
        <f>IF(S15=0,0,S15/TrRail_act!S8*1000)</f>
        <v>28.511717075871594</v>
      </c>
      <c r="T39" s="87">
        <f>IF(T15=0,0,T15/TrRail_act!T8*1000)</f>
        <v>29.936651306641327</v>
      </c>
      <c r="U39" s="87">
        <f>IF(U15=0,0,U15/TrRail_act!U8*1000)</f>
        <v>28.626664878850946</v>
      </c>
      <c r="V39" s="87">
        <f>IF(V15=0,0,V15/TrRail_act!V8*1000)</f>
        <v>43.311610578344897</v>
      </c>
      <c r="W39" s="87">
        <f>IF(W15=0,0,W15/TrRail_act!W8*1000)</f>
        <v>43.19774859660432</v>
      </c>
      <c r="X39" s="87">
        <f>IF(X15=0,0,X15/TrRail_act!X8*1000)</f>
        <v>32.385303194511252</v>
      </c>
      <c r="Y39" s="87">
        <f>IF(Y15=0,0,Y15/TrRail_act!Y8*1000)</f>
        <v>25.321496365608066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7.0749419090336607</v>
      </c>
      <c r="C41" s="29">
        <f>IF(C17=0,0,C17/TrRail_act!C10*1000)</f>
        <v>8.338864626278566</v>
      </c>
      <c r="D41" s="29">
        <f>IF(D17=0,0,D17/TrRail_act!D10*1000)</f>
        <v>8.7344953385379238</v>
      </c>
      <c r="E41" s="29">
        <f>IF(E17=0,0,E17/TrRail_act!E10*1000)</f>
        <v>8.306334793260989</v>
      </c>
      <c r="F41" s="29">
        <f>IF(F17=0,0,F17/TrRail_act!F10*1000)</f>
        <v>7.885279346354352</v>
      </c>
      <c r="G41" s="29">
        <f>IF(G17=0,0,G17/TrRail_act!G10*1000)</f>
        <v>7.5474118288068937</v>
      </c>
      <c r="H41" s="29">
        <f>IF(H17=0,0,H17/TrRail_act!H10*1000)</f>
        <v>6.5256451734884049</v>
      </c>
      <c r="I41" s="29">
        <f>IF(I17=0,0,I17/TrRail_act!I10*1000)</f>
        <v>6.2296965988034687</v>
      </c>
      <c r="J41" s="29">
        <f>IF(J17=0,0,J17/TrRail_act!J10*1000)</f>
        <v>8.2362522208138351</v>
      </c>
      <c r="K41" s="29">
        <f>IF(K17=0,0,K17/TrRail_act!K10*1000)</f>
        <v>8.6794114166891703</v>
      </c>
      <c r="L41" s="29">
        <f>IF(L17=0,0,L17/TrRail_act!L10*1000)</f>
        <v>6.0838591947820388</v>
      </c>
      <c r="M41" s="29">
        <f>IF(M17=0,0,M17/TrRail_act!M10*1000)</f>
        <v>6.1054319899329119</v>
      </c>
      <c r="N41" s="29">
        <f>IF(N17=0,0,N17/TrRail_act!N10*1000)</f>
        <v>6.3867374440528915</v>
      </c>
      <c r="O41" s="29">
        <f>IF(O17=0,0,O17/TrRail_act!O10*1000)</f>
        <v>6.4902530030463206</v>
      </c>
      <c r="P41" s="29">
        <f>IF(P17=0,0,P17/TrRail_act!P10*1000)</f>
        <v>6.1281913263392367</v>
      </c>
      <c r="Q41" s="29">
        <f>IF(Q17=0,0,Q17/TrRail_act!Q10*1000)</f>
        <v>6.069528761093764</v>
      </c>
      <c r="R41" s="29">
        <f>IF(R17=0,0,R17/TrRail_act!R10*1000)</f>
        <v>5.8678957067941626</v>
      </c>
      <c r="S41" s="29">
        <f>IF(S17=0,0,S17/TrRail_act!S10*1000)</f>
        <v>5.820863991968813</v>
      </c>
      <c r="T41" s="29">
        <f>IF(T17=0,0,T17/TrRail_act!T10*1000)</f>
        <v>5.5236565091042458</v>
      </c>
      <c r="U41" s="29">
        <f>IF(U17=0,0,U17/TrRail_act!U10*1000)</f>
        <v>6.1769520326289742</v>
      </c>
      <c r="V41" s="29">
        <f>IF(V17=0,0,V17/TrRail_act!V10*1000)</f>
        <v>6.6609218368843912</v>
      </c>
      <c r="W41" s="29">
        <f>IF(W17=0,0,W17/TrRail_act!W10*1000)</f>
        <v>6.0539751634031269</v>
      </c>
      <c r="X41" s="29">
        <f>IF(X17=0,0,X17/TrRail_act!X10*1000)</f>
        <v>5.7678219279374128</v>
      </c>
      <c r="Y41" s="29">
        <f>IF(Y17=0,0,Y17/TrRail_act!Y10*1000)</f>
        <v>5.5380380299006191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12.56959455550648</v>
      </c>
      <c r="C42" s="87">
        <f>IF(C18=0,0,C18/TrRail_act!C11*1000)</f>
        <v>13.516742247752873</v>
      </c>
      <c r="D42" s="87">
        <f>IF(D18=0,0,D18/TrRail_act!D11*1000)</f>
        <v>13.416720238332855</v>
      </c>
      <c r="E42" s="87">
        <f>IF(E18=0,0,E18/TrRail_act!E11*1000)</f>
        <v>13.265450562083206</v>
      </c>
      <c r="F42" s="87">
        <f>IF(F18=0,0,F18/TrRail_act!F11*1000)</f>
        <v>13.106972059388653</v>
      </c>
      <c r="G42" s="87">
        <f>IF(G18=0,0,G18/TrRail_act!G11*1000)</f>
        <v>14.596108750670831</v>
      </c>
      <c r="H42" s="87">
        <f>IF(H18=0,0,H18/TrRail_act!H11*1000)</f>
        <v>11.17663461136077</v>
      </c>
      <c r="I42" s="87">
        <f>IF(I18=0,0,I18/TrRail_act!I11*1000)</f>
        <v>10.738253530426178</v>
      </c>
      <c r="J42" s="87">
        <f>IF(J18=0,0,J18/TrRail_act!J11*1000)</f>
        <v>11.00809635356249</v>
      </c>
      <c r="K42" s="87">
        <f>IF(K18=0,0,K18/TrRail_act!K11*1000)</f>
        <v>13.054534014418012</v>
      </c>
      <c r="L42" s="87">
        <f>IF(L18=0,0,L18/TrRail_act!L11*1000)</f>
        <v>8.7539520994382656</v>
      </c>
      <c r="M42" s="87">
        <f>IF(M18=0,0,M18/TrRail_act!M11*1000)</f>
        <v>8.9184481157780464</v>
      </c>
      <c r="N42" s="87">
        <f>IF(N18=0,0,N18/TrRail_act!N11*1000)</f>
        <v>10.039043646454109</v>
      </c>
      <c r="O42" s="87">
        <f>IF(O18=0,0,O18/TrRail_act!O11*1000)</f>
        <v>10.297461413644678</v>
      </c>
      <c r="P42" s="87">
        <f>IF(P18=0,0,P18/TrRail_act!P11*1000)</f>
        <v>9.9870428182472875</v>
      </c>
      <c r="Q42" s="87">
        <f>IF(Q18=0,0,Q18/TrRail_act!Q11*1000)</f>
        <v>10.232671024675996</v>
      </c>
      <c r="R42" s="87">
        <f>IF(R18=0,0,R18/TrRail_act!R11*1000)</f>
        <v>9.816450896242273</v>
      </c>
      <c r="S42" s="87">
        <f>IF(S18=0,0,S18/TrRail_act!S11*1000)</f>
        <v>9.8378883966820627</v>
      </c>
      <c r="T42" s="87">
        <f>IF(T18=0,0,T18/TrRail_act!T11*1000)</f>
        <v>9.5323430473029998</v>
      </c>
      <c r="U42" s="87">
        <f>IF(U18=0,0,U18/TrRail_act!U11*1000)</f>
        <v>10.541997745445061</v>
      </c>
      <c r="V42" s="87">
        <f>IF(V18=0,0,V18/TrRail_act!V11*1000)</f>
        <v>13.368445932524592</v>
      </c>
      <c r="W42" s="87">
        <f>IF(W18=0,0,W18/TrRail_act!W11*1000)</f>
        <v>10.377931659903503</v>
      </c>
      <c r="X42" s="87">
        <f>IF(X18=0,0,X18/TrRail_act!X11*1000)</f>
        <v>8.2639426185271994</v>
      </c>
      <c r="Y42" s="87">
        <f>IF(Y18=0,0,Y18/TrRail_act!Y11*1000)</f>
        <v>7.1584344075506277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5.1923331896164555</v>
      </c>
      <c r="C43" s="88">
        <f>IF(C19=0,0,C19/TrRail_act!C12*1000)</f>
        <v>6.6077364220889727</v>
      </c>
      <c r="D43" s="88">
        <f>IF(D19=0,0,D19/TrRail_act!D12*1000)</f>
        <v>7.2374720980104374</v>
      </c>
      <c r="E43" s="88">
        <f>IF(E19=0,0,E19/TrRail_act!E12*1000)</f>
        <v>6.9442712878303174</v>
      </c>
      <c r="F43" s="88">
        <f>IF(F19=0,0,F19/TrRail_act!F12*1000)</f>
        <v>6.6758994443303585</v>
      </c>
      <c r="G43" s="88">
        <f>IF(G19=0,0,G19/TrRail_act!G12*1000)</f>
        <v>6.5531503166266791</v>
      </c>
      <c r="H43" s="88">
        <f>IF(H19=0,0,H19/TrRail_act!H12*1000)</f>
        <v>6.0700214156755514</v>
      </c>
      <c r="I43" s="88">
        <f>IF(I19=0,0,I19/TrRail_act!I12*1000)</f>
        <v>5.6846306106944136</v>
      </c>
      <c r="J43" s="88">
        <f>IF(J19=0,0,J19/TrRail_act!J12*1000)</f>
        <v>7.8139752147141399</v>
      </c>
      <c r="K43" s="88">
        <f>IF(K19=0,0,K19/TrRail_act!K12*1000)</f>
        <v>8.096017927959668</v>
      </c>
      <c r="L43" s="88">
        <f>IF(L19=0,0,L19/TrRail_act!L12*1000)</f>
        <v>5.7083615181499718</v>
      </c>
      <c r="M43" s="88">
        <f>IF(M19=0,0,M19/TrRail_act!M12*1000)</f>
        <v>5.752888765346988</v>
      </c>
      <c r="N43" s="88">
        <f>IF(N19=0,0,N19/TrRail_act!N12*1000)</f>
        <v>5.9239611064069502</v>
      </c>
      <c r="O43" s="88">
        <f>IF(O19=0,0,O19/TrRail_act!O12*1000)</f>
        <v>6.052155271451487</v>
      </c>
      <c r="P43" s="88">
        <f>IF(P19=0,0,P19/TrRail_act!P12*1000)</f>
        <v>5.6575469060256873</v>
      </c>
      <c r="Q43" s="88">
        <f>IF(Q19=0,0,Q19/TrRail_act!Q12*1000)</f>
        <v>5.6686187600535325</v>
      </c>
      <c r="R43" s="88">
        <f>IF(R19=0,0,R19/TrRail_act!R12*1000)</f>
        <v>5.478463728276771</v>
      </c>
      <c r="S43" s="88">
        <f>IF(S19=0,0,S19/TrRail_act!S12*1000)</f>
        <v>5.4571749152480047</v>
      </c>
      <c r="T43" s="88">
        <f>IF(T19=0,0,T19/TrRail_act!T12*1000)</f>
        <v>5.1182043263766523</v>
      </c>
      <c r="U43" s="88">
        <f>IF(U19=0,0,U19/TrRail_act!U12*1000)</f>
        <v>5.7577155340263602</v>
      </c>
      <c r="V43" s="88">
        <f>IF(V19=0,0,V19/TrRail_act!V12*1000)</f>
        <v>5.9430825909765703</v>
      </c>
      <c r="W43" s="88">
        <f>IF(W19=0,0,W19/TrRail_act!W12*1000)</f>
        <v>5.6110721187183028</v>
      </c>
      <c r="X43" s="88">
        <f>IF(X19=0,0,X19/TrRail_act!X12*1000)</f>
        <v>5.555768842231422</v>
      </c>
      <c r="Y43" s="88">
        <f>IF(Y19=0,0,Y19/TrRail_act!Y12*1000)</f>
        <v>5.396549912794776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476964.41378472553</v>
      </c>
      <c r="C45" s="54">
        <f>IF(C10=0,0,1000000*C10/TrRail_act!C25)</f>
        <v>466101.36741730297</v>
      </c>
      <c r="D45" s="54">
        <f>IF(D10=0,0,1000000*D10/TrRail_act!D25)</f>
        <v>452397.06406620587</v>
      </c>
      <c r="E45" s="54">
        <f>IF(E10=0,0,1000000*E10/TrRail_act!E25)</f>
        <v>400892.61858207977</v>
      </c>
      <c r="F45" s="54">
        <f>IF(F10=0,0,1000000*F10/TrRail_act!F25)</f>
        <v>374372.8194846746</v>
      </c>
      <c r="G45" s="54">
        <f>IF(G10=0,0,1000000*G10/TrRail_act!G25)</f>
        <v>295384.96581885021</v>
      </c>
      <c r="H45" s="54">
        <f>IF(H10=0,0,1000000*H10/TrRail_act!H25)</f>
        <v>288166.37048285903</v>
      </c>
      <c r="I45" s="54">
        <f>IF(I10=0,0,1000000*I10/TrRail_act!I25)</f>
        <v>323044.69272692257</v>
      </c>
      <c r="J45" s="54">
        <f>IF(J10=0,0,1000000*J10/TrRail_act!J25)</f>
        <v>304556.47707070934</v>
      </c>
      <c r="K45" s="54">
        <f>IF(K10=0,0,1000000*K10/TrRail_act!K25)</f>
        <v>286237.6150845947</v>
      </c>
      <c r="L45" s="54">
        <f>IF(L10=0,0,1000000*L10/TrRail_act!L25)</f>
        <v>294515.47643906221</v>
      </c>
      <c r="M45" s="54">
        <f>IF(M10=0,0,1000000*M10/TrRail_act!M25)</f>
        <v>286618.745511694</v>
      </c>
      <c r="N45" s="54">
        <f>IF(N10=0,0,1000000*N10/TrRail_act!N25)</f>
        <v>277523.76361215854</v>
      </c>
      <c r="O45" s="54">
        <f>IF(O10=0,0,1000000*O10/TrRail_act!O25)</f>
        <v>272162.05991988751</v>
      </c>
      <c r="P45" s="54">
        <f>IF(P10=0,0,1000000*P10/TrRail_act!P25)</f>
        <v>261507.38774879288</v>
      </c>
      <c r="Q45" s="54">
        <f>IF(Q10=0,0,1000000*Q10/TrRail_act!Q25)</f>
        <v>249336.04948446964</v>
      </c>
      <c r="R45" s="54">
        <f>IF(R10=0,0,1000000*R10/TrRail_act!R25)</f>
        <v>248608.84892334585</v>
      </c>
      <c r="S45" s="54">
        <f>IF(S10=0,0,1000000*S10/TrRail_act!S25)</f>
        <v>244980.2530034892</v>
      </c>
      <c r="T45" s="54">
        <f>IF(T10=0,0,1000000*T10/TrRail_act!T25)</f>
        <v>232888.03435568849</v>
      </c>
      <c r="U45" s="54">
        <f>IF(U10=0,0,1000000*U10/TrRail_act!U25)</f>
        <v>224241.06281832937</v>
      </c>
      <c r="V45" s="54">
        <f>IF(V10=0,0,1000000*V10/TrRail_act!V25)</f>
        <v>207211.57713329294</v>
      </c>
      <c r="W45" s="54">
        <f>IF(W10=0,0,1000000*W10/TrRail_act!W25)</f>
        <v>217627.66461814882</v>
      </c>
      <c r="X45" s="54">
        <f>IF(X10=0,0,1000000*X10/TrRail_act!X25)</f>
        <v>197622.08980689815</v>
      </c>
      <c r="Y45" s="54">
        <f>IF(Y10=0,0,1000000*Y10/TrRail_act!Y25)</f>
        <v>199625.04166405866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407339.27837914089</v>
      </c>
      <c r="C46" s="28">
        <f>IF(C11=0,0,1000000*C11/TrRail_act!C26)</f>
        <v>402914.89241517289</v>
      </c>
      <c r="D46" s="28">
        <f>IF(D11=0,0,1000000*D11/TrRail_act!D26)</f>
        <v>393604.79616974265</v>
      </c>
      <c r="E46" s="28">
        <f>IF(E11=0,0,1000000*E11/TrRail_act!E26)</f>
        <v>338025.58468646486</v>
      </c>
      <c r="F46" s="28">
        <f>IF(F11=0,0,1000000*F11/TrRail_act!F26)</f>
        <v>307605.63562265196</v>
      </c>
      <c r="G46" s="28">
        <f>IF(G11=0,0,1000000*G11/TrRail_act!G26)</f>
        <v>266942.93874949921</v>
      </c>
      <c r="H46" s="28">
        <f>IF(H11=0,0,1000000*H11/TrRail_act!H26)</f>
        <v>258427.50892215368</v>
      </c>
      <c r="I46" s="28">
        <f>IF(I11=0,0,1000000*I11/TrRail_act!I26)</f>
        <v>285714.85773514735</v>
      </c>
      <c r="J46" s="28">
        <f>IF(J11=0,0,1000000*J11/TrRail_act!J26)</f>
        <v>295886.09573525656</v>
      </c>
      <c r="K46" s="28">
        <f>IF(K11=0,0,1000000*K11/TrRail_act!K26)</f>
        <v>284210.50524764165</v>
      </c>
      <c r="L46" s="28">
        <f>IF(L11=0,0,1000000*L11/TrRail_act!L26)</f>
        <v>285360.15482840413</v>
      </c>
      <c r="M46" s="28">
        <f>IF(M11=0,0,1000000*M11/TrRail_act!M26)</f>
        <v>278667.00026164856</v>
      </c>
      <c r="N46" s="28">
        <f>IF(N11=0,0,1000000*N11/TrRail_act!N26)</f>
        <v>272139.60539776698</v>
      </c>
      <c r="O46" s="28">
        <f>IF(O11=0,0,1000000*O11/TrRail_act!O26)</f>
        <v>265372.42663525476</v>
      </c>
      <c r="P46" s="28">
        <f>IF(P11=0,0,1000000*P11/TrRail_act!P26)</f>
        <v>254531.67283715433</v>
      </c>
      <c r="Q46" s="28">
        <f>IF(Q11=0,0,1000000*Q11/TrRail_act!Q26)</f>
        <v>240230.77073384967</v>
      </c>
      <c r="R46" s="28">
        <f>IF(R11=0,0,1000000*R11/TrRail_act!R26)</f>
        <v>239756.23200543722</v>
      </c>
      <c r="S46" s="28">
        <f>IF(S11=0,0,1000000*S11/TrRail_act!S26)</f>
        <v>235861.7842445242</v>
      </c>
      <c r="T46" s="28">
        <f>IF(T11=0,0,1000000*T11/TrRail_act!T26)</f>
        <v>224374.72623822966</v>
      </c>
      <c r="U46" s="28">
        <f>IF(U11=0,0,1000000*U11/TrRail_act!U26)</f>
        <v>216131.84496786108</v>
      </c>
      <c r="V46" s="28">
        <f>IF(V11=0,0,1000000*V11/TrRail_act!V26)</f>
        <v>198878.73802712507</v>
      </c>
      <c r="W46" s="28">
        <f>IF(W11=0,0,1000000*W11/TrRail_act!W26)</f>
        <v>210240.5231156543</v>
      </c>
      <c r="X46" s="28">
        <f>IF(X11=0,0,1000000*X11/TrRail_act!X26)</f>
        <v>190849.64538982013</v>
      </c>
      <c r="Y46" s="28">
        <f>IF(Y11=0,0,1000000*Y11/TrRail_act!Y26)</f>
        <v>192981.69666639852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41064.084566215359</v>
      </c>
      <c r="U47" s="108">
        <f>IF(U12=0,0,1000000*U12/TrRail_act!U27)</f>
        <v>40924.580277925015</v>
      </c>
      <c r="V47" s="108">
        <f>IF(V12=0,0,1000000*V12/TrRail_act!V27)</f>
        <v>40820.25367992562</v>
      </c>
      <c r="W47" s="108">
        <f>IF(W12=0,0,1000000*W12/TrRail_act!W27)</f>
        <v>40742.192687707502</v>
      </c>
      <c r="X47" s="108">
        <f>IF(X12=0,0,1000000*X12/TrRail_act!X27)</f>
        <v>40683.738601739467</v>
      </c>
      <c r="Y47" s="108">
        <f>IF(Y12=0,0,1000000*Y12/TrRail_act!Y27)</f>
        <v>35778.489289308469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407339.27837914089</v>
      </c>
      <c r="C48" s="110">
        <f>IF(C13=0,0,1000000*C13/TrRail_act!C28)</f>
        <v>402914.89241517289</v>
      </c>
      <c r="D48" s="110">
        <f>IF(D13=0,0,1000000*D13/TrRail_act!D28)</f>
        <v>393604.79616974265</v>
      </c>
      <c r="E48" s="110">
        <f>IF(E13=0,0,1000000*E13/TrRail_act!E28)</f>
        <v>338025.58468646486</v>
      </c>
      <c r="F48" s="110">
        <f>IF(F13=0,0,1000000*F13/TrRail_act!F28)</f>
        <v>307605.63562265196</v>
      </c>
      <c r="G48" s="110">
        <f>IF(G13=0,0,1000000*G13/TrRail_act!G28)</f>
        <v>266942.93874949921</v>
      </c>
      <c r="H48" s="110">
        <f>IF(H13=0,0,1000000*H13/TrRail_act!H28)</f>
        <v>258427.50892215368</v>
      </c>
      <c r="I48" s="110">
        <f>IF(I13=0,0,1000000*I13/TrRail_act!I28)</f>
        <v>285714.85773514735</v>
      </c>
      <c r="J48" s="110">
        <f>IF(J13=0,0,1000000*J13/TrRail_act!J28)</f>
        <v>295886.09573525656</v>
      </c>
      <c r="K48" s="110">
        <f>IF(K13=0,0,1000000*K13/TrRail_act!K28)</f>
        <v>284210.50524764165</v>
      </c>
      <c r="L48" s="110">
        <f>IF(L13=0,0,1000000*L13/TrRail_act!L28)</f>
        <v>285360.15482840413</v>
      </c>
      <c r="M48" s="110">
        <f>IF(M13=0,0,1000000*M13/TrRail_act!M28)</f>
        <v>278667.00026164856</v>
      </c>
      <c r="N48" s="110">
        <f>IF(N13=0,0,1000000*N13/TrRail_act!N28)</f>
        <v>272139.60539776698</v>
      </c>
      <c r="O48" s="110">
        <f>IF(O13=0,0,1000000*O13/TrRail_act!O28)</f>
        <v>265372.42663525476</v>
      </c>
      <c r="P48" s="110">
        <f>IF(P13=0,0,1000000*P13/TrRail_act!P28)</f>
        <v>254531.67283715433</v>
      </c>
      <c r="Q48" s="110">
        <f>IF(Q13=0,0,1000000*Q13/TrRail_act!Q28)</f>
        <v>240230.77073384967</v>
      </c>
      <c r="R48" s="110">
        <f>IF(R13=0,0,1000000*R13/TrRail_act!R28)</f>
        <v>239756.23200543722</v>
      </c>
      <c r="S48" s="110">
        <f>IF(S13=0,0,1000000*S13/TrRail_act!S28)</f>
        <v>235861.7842445242</v>
      </c>
      <c r="T48" s="110">
        <f>IF(T13=0,0,1000000*T13/TrRail_act!T28)</f>
        <v>236258.46970887933</v>
      </c>
      <c r="U48" s="110">
        <f>IF(U13=0,0,1000000*U13/TrRail_act!U28)</f>
        <v>234102.88348938571</v>
      </c>
      <c r="V48" s="110">
        <f>IF(V13=0,0,1000000*V13/TrRail_act!V28)</f>
        <v>215676.28771451337</v>
      </c>
      <c r="W48" s="110">
        <f>IF(W13=0,0,1000000*W13/TrRail_act!W28)</f>
        <v>233673.34721534062</v>
      </c>
      <c r="X48" s="110">
        <f>IF(X13=0,0,1000000*X13/TrRail_act!X28)</f>
        <v>226639.51434434782</v>
      </c>
      <c r="Y48" s="110">
        <f>IF(Y13=0,0,1000000*Y13/TrRail_act!Y28)</f>
        <v>230270.64503128137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535381.73215909908</v>
      </c>
      <c r="C49" s="84">
        <f>IF(C14=0,0,1000000*C14/TrRail_act!C29)</f>
        <v>530038.10890699073</v>
      </c>
      <c r="D49" s="84">
        <f>IF(D14=0,0,1000000*D14/TrRail_act!D29)</f>
        <v>522308.23628970661</v>
      </c>
      <c r="E49" s="84">
        <f>IF(E14=0,0,1000000*E14/TrRail_act!E29)</f>
        <v>422519.76055997954</v>
      </c>
      <c r="F49" s="84">
        <f>IF(F14=0,0,1000000*F14/TrRail_act!F29)</f>
        <v>371272.70626028167</v>
      </c>
      <c r="G49" s="84">
        <f>IF(G14=0,0,1000000*G14/TrRail_act!G29)</f>
        <v>286949.38855162601</v>
      </c>
      <c r="H49" s="84">
        <f>IF(H14=0,0,1000000*H14/TrRail_act!H29)</f>
        <v>259245.31527276317</v>
      </c>
      <c r="I49" s="84">
        <f>IF(I14=0,0,1000000*I14/TrRail_act!I29)</f>
        <v>398882.29323823465</v>
      </c>
      <c r="J49" s="84">
        <f>IF(J14=0,0,1000000*J14/TrRail_act!J29)</f>
        <v>428040.61233140831</v>
      </c>
      <c r="K49" s="84">
        <f>IF(K14=0,0,1000000*K14/TrRail_act!K29)</f>
        <v>410894.31953980931</v>
      </c>
      <c r="L49" s="84">
        <f>IF(L14=0,0,1000000*L14/TrRail_act!L29)</f>
        <v>409658.24585151114</v>
      </c>
      <c r="M49" s="84">
        <f>IF(M14=0,0,1000000*M14/TrRail_act!M29)</f>
        <v>395735.03404201975</v>
      </c>
      <c r="N49" s="84">
        <f>IF(N14=0,0,1000000*N14/TrRail_act!N29)</f>
        <v>387921.94927194808</v>
      </c>
      <c r="O49" s="84">
        <f>IF(O14=0,0,1000000*O14/TrRail_act!O29)</f>
        <v>376427.98677611037</v>
      </c>
      <c r="P49" s="84">
        <f>IF(P14=0,0,1000000*P14/TrRail_act!P29)</f>
        <v>354197.1228744713</v>
      </c>
      <c r="Q49" s="84">
        <f>IF(Q14=0,0,1000000*Q14/TrRail_act!Q29)</f>
        <v>319245.04687183595</v>
      </c>
      <c r="R49" s="84">
        <f>IF(R14=0,0,1000000*R14/TrRail_act!R29)</f>
        <v>348744.63072409388</v>
      </c>
      <c r="S49" s="84">
        <f>IF(S14=0,0,1000000*S14/TrRail_act!S29)</f>
        <v>345518.47862674034</v>
      </c>
      <c r="T49" s="84">
        <f>IF(T14=0,0,1000000*T14/TrRail_act!T29)</f>
        <v>343118.48207932501</v>
      </c>
      <c r="U49" s="84">
        <f>IF(U14=0,0,1000000*U14/TrRail_act!U29)</f>
        <v>341329.41816120467</v>
      </c>
      <c r="V49" s="84">
        <f>IF(V14=0,0,1000000*V14/TrRail_act!V29)</f>
        <v>339993.74615233904</v>
      </c>
      <c r="W49" s="84">
        <f>IF(W14=0,0,1000000*W14/TrRail_act!W29)</f>
        <v>338995.42338330642</v>
      </c>
      <c r="X49" s="84">
        <f>IF(X14=0,0,1000000*X14/TrRail_act!X29)</f>
        <v>308878.20752282656</v>
      </c>
      <c r="Y49" s="84">
        <f>IF(Y14=0,0,1000000*Y14/TrRail_act!Y29)</f>
        <v>337689.56649644172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268795.2026073336</v>
      </c>
      <c r="C50" s="84">
        <f>IF(C15=0,0,1000000*C15/TrRail_act!C30)</f>
        <v>264493.83990715712</v>
      </c>
      <c r="D50" s="84">
        <f>IF(D15=0,0,1000000*D15/TrRail_act!D30)</f>
        <v>260929.61062606395</v>
      </c>
      <c r="E50" s="84">
        <f>IF(E15=0,0,1000000*E15/TrRail_act!E30)</f>
        <v>260464.88098324378</v>
      </c>
      <c r="F50" s="84">
        <f>IF(F15=0,0,1000000*F15/TrRail_act!F30)</f>
        <v>259175.94319233097</v>
      </c>
      <c r="G50" s="84">
        <f>IF(G15=0,0,1000000*G15/TrRail_act!G30)</f>
        <v>258967.34098450685</v>
      </c>
      <c r="H50" s="84">
        <f>IF(H15=0,0,1000000*H15/TrRail_act!H30)</f>
        <v>258190.77183629325</v>
      </c>
      <c r="I50" s="84">
        <f>IF(I15=0,0,1000000*I15/TrRail_act!I30)</f>
        <v>257906.16867447211</v>
      </c>
      <c r="J50" s="84">
        <f>IF(J15=0,0,1000000*J15/TrRail_act!J30)</f>
        <v>256049.26545465708</v>
      </c>
      <c r="K50" s="84">
        <f>IF(K15=0,0,1000000*K15/TrRail_act!K30)</f>
        <v>252485.70085629672</v>
      </c>
      <c r="L50" s="84">
        <f>IF(L15=0,0,1000000*L15/TrRail_act!L30)</f>
        <v>251741.30093647461</v>
      </c>
      <c r="M50" s="84">
        <f>IF(M15=0,0,1000000*M15/TrRail_act!M30)</f>
        <v>250817.3111609912</v>
      </c>
      <c r="N50" s="84">
        <f>IF(N15=0,0,1000000*N15/TrRail_act!N30)</f>
        <v>244841.83959912442</v>
      </c>
      <c r="O50" s="84">
        <f>IF(O15=0,0,1000000*O15/TrRail_act!O30)</f>
        <v>241776.27612865111</v>
      </c>
      <c r="P50" s="84">
        <f>IF(P15=0,0,1000000*P15/TrRail_act!P30)</f>
        <v>231532.49244888913</v>
      </c>
      <c r="Q50" s="84">
        <f>IF(Q15=0,0,1000000*Q15/TrRail_act!Q30)</f>
        <v>225412.28978545277</v>
      </c>
      <c r="R50" s="84">
        <f>IF(R15=0,0,1000000*R15/TrRail_act!R30)</f>
        <v>220928.5406689716</v>
      </c>
      <c r="S50" s="84">
        <f>IF(S15=0,0,1000000*S15/TrRail_act!S30)</f>
        <v>218712.47929415634</v>
      </c>
      <c r="T50" s="84">
        <f>IF(T15=0,0,1000000*T15/TrRail_act!T30)</f>
        <v>217065.03485241503</v>
      </c>
      <c r="U50" s="84">
        <f>IF(U15=0,0,1000000*U15/TrRail_act!U30)</f>
        <v>215837.59756080018</v>
      </c>
      <c r="V50" s="84">
        <f>IF(V15=0,0,1000000*V15/TrRail_act!V30)</f>
        <v>194168.73718720698</v>
      </c>
      <c r="W50" s="84">
        <f>IF(W15=0,0,1000000*W15/TrRail_act!W30)</f>
        <v>214237.11481651204</v>
      </c>
      <c r="X50" s="84">
        <f>IF(X15=0,0,1000000*X15/TrRail_act!X30)</f>
        <v>212904.34852353844</v>
      </c>
      <c r="Y50" s="84">
        <f>IF(Y15=0,0,1000000*Y15/TrRail_act!Y30)</f>
        <v>213342.06115424569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705979.68574840133</v>
      </c>
      <c r="C52" s="28">
        <f>IF(C17=0,0,1000000*C17/TrRail_act!C32)</f>
        <v>679348.30924158148</v>
      </c>
      <c r="D52" s="28">
        <f>IF(D17=0,0,1000000*D17/TrRail_act!D32)</f>
        <v>642822.73542124243</v>
      </c>
      <c r="E52" s="28">
        <f>IF(E17=0,0,1000000*E17/TrRail_act!E32)</f>
        <v>605102.4575359592</v>
      </c>
      <c r="F52" s="28">
        <f>IF(F17=0,0,1000000*F17/TrRail_act!F32)</f>
        <v>580294.1912422888</v>
      </c>
      <c r="G52" s="28">
        <f>IF(G17=0,0,1000000*G17/TrRail_act!G32)</f>
        <v>424927.20890307776</v>
      </c>
      <c r="H52" s="28">
        <f>IF(H17=0,0,1000000*H17/TrRail_act!H32)</f>
        <v>454686.6430526356</v>
      </c>
      <c r="I52" s="28">
        <f>IF(I17=0,0,1000000*I17/TrRail_act!I32)</f>
        <v>507736.47791097627</v>
      </c>
      <c r="J52" s="28">
        <f>IF(J17=0,0,1000000*J17/TrRail_act!J32)</f>
        <v>358524.49807540374</v>
      </c>
      <c r="K52" s="28">
        <f>IF(K17=0,0,1000000*K17/TrRail_act!K32)</f>
        <v>300533.11599838547</v>
      </c>
      <c r="L52" s="28">
        <f>IF(L17=0,0,1000000*L17/TrRail_act!L32)</f>
        <v>369898.91755487415</v>
      </c>
      <c r="M52" s="28">
        <f>IF(M17=0,0,1000000*M17/TrRail_act!M32)</f>
        <v>365397.96082463051</v>
      </c>
      <c r="N52" s="28">
        <f>IF(N17=0,0,1000000*N17/TrRail_act!N32)</f>
        <v>339027.47026343388</v>
      </c>
      <c r="O52" s="28">
        <f>IF(O17=0,0,1000000*O17/TrRail_act!O32)</f>
        <v>364011.20550158166</v>
      </c>
      <c r="P52" s="28">
        <f>IF(P17=0,0,1000000*P17/TrRail_act!P32)</f>
        <v>369857.77926943288</v>
      </c>
      <c r="Q52" s="28">
        <f>IF(Q17=0,0,1000000*Q17/TrRail_act!Q32)</f>
        <v>423253.49733541691</v>
      </c>
      <c r="R52" s="28">
        <f>IF(R17=0,0,1000000*R17/TrRail_act!R32)</f>
        <v>435546.88868761616</v>
      </c>
      <c r="S52" s="28">
        <f>IF(S17=0,0,1000000*S17/TrRail_act!S32)</f>
        <v>428790.25828157191</v>
      </c>
      <c r="T52" s="28">
        <f>IF(T17=0,0,1000000*T17/TrRail_act!T32)</f>
        <v>430483.43560818688</v>
      </c>
      <c r="U52" s="28">
        <f>IF(U17=0,0,1000000*U17/TrRail_act!U32)</f>
        <v>425803.12406533165</v>
      </c>
      <c r="V52" s="28">
        <f>IF(V17=0,0,1000000*V17/TrRail_act!V32)</f>
        <v>436053.85609097424</v>
      </c>
      <c r="W52" s="28">
        <f>IF(W17=0,0,1000000*W17/TrRail_act!W32)</f>
        <v>425347.28540471481</v>
      </c>
      <c r="X52" s="28">
        <f>IF(X17=0,0,1000000*X17/TrRail_act!X32)</f>
        <v>412282.64987343282</v>
      </c>
      <c r="Y52" s="28">
        <f>IF(Y17=0,0,1000000*Y17/TrRail_act!Y32)</f>
        <v>409487.47369157878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1025564.8797503446</v>
      </c>
      <c r="C53" s="84">
        <f>IF(C18=0,0,1000000*C18/TrRail_act!C33)</f>
        <v>1018447.5965468534</v>
      </c>
      <c r="D53" s="84">
        <f>IF(D18=0,0,1000000*D18/TrRail_act!D33)</f>
        <v>1011691.7461071184</v>
      </c>
      <c r="E53" s="84">
        <f>IF(E18=0,0,1000000*E18/TrRail_act!E33)</f>
        <v>956195.36264228099</v>
      </c>
      <c r="F53" s="84">
        <f>IF(F18=0,0,1000000*F18/TrRail_act!F33)</f>
        <v>993316.43697872851</v>
      </c>
      <c r="G53" s="84">
        <f>IF(G18=0,0,1000000*G18/TrRail_act!G33)</f>
        <v>594662.97461079084</v>
      </c>
      <c r="H53" s="84">
        <f>IF(H18=0,0,1000000*H18/TrRail_act!H33)</f>
        <v>443422.98839332111</v>
      </c>
      <c r="I53" s="84">
        <f>IF(I18=0,0,1000000*I18/TrRail_act!I33)</f>
        <v>837189.377281397</v>
      </c>
      <c r="J53" s="84">
        <f>IF(J18=0,0,1000000*J18/TrRail_act!J33)</f>
        <v>680787.75280091492</v>
      </c>
      <c r="K53" s="84">
        <f>IF(K18=0,0,1000000*K18/TrRail_act!K33)</f>
        <v>770373.99473878811</v>
      </c>
      <c r="L53" s="84">
        <f>IF(L18=0,0,1000000*L18/TrRail_act!L33)</f>
        <v>939855.31055010087</v>
      </c>
      <c r="M53" s="84">
        <f>IF(M18=0,0,1000000*M18/TrRail_act!M33)</f>
        <v>933889.03282493039</v>
      </c>
      <c r="N53" s="84">
        <f>IF(N18=0,0,1000000*N18/TrRail_act!N33)</f>
        <v>926544.63620576612</v>
      </c>
      <c r="O53" s="84">
        <f>IF(O18=0,0,1000000*O18/TrRail_act!O33)</f>
        <v>917885.60491874348</v>
      </c>
      <c r="P53" s="84">
        <f>IF(P18=0,0,1000000*P18/TrRail_act!P33)</f>
        <v>912275.96049846604</v>
      </c>
      <c r="Q53" s="84">
        <f>IF(Q18=0,0,1000000*Q18/TrRail_act!Q33)</f>
        <v>906416.99669656542</v>
      </c>
      <c r="R53" s="84">
        <f>IF(R18=0,0,1000000*R18/TrRail_act!R33)</f>
        <v>902048.36169702059</v>
      </c>
      <c r="S53" s="84">
        <f>IF(S18=0,0,1000000*S18/TrRail_act!S33)</f>
        <v>898784.91987629782</v>
      </c>
      <c r="T53" s="84">
        <f>IF(T18=0,0,1000000*T18/TrRail_act!T33)</f>
        <v>896347.70883588097</v>
      </c>
      <c r="U53" s="84">
        <f>IF(U18=0,0,1000000*U18/TrRail_act!U33)</f>
        <v>894520.66308551875</v>
      </c>
      <c r="V53" s="84">
        <f>IF(V18=0,0,1000000*V18/TrRail_act!V33)</f>
        <v>893156.24623081449</v>
      </c>
      <c r="W53" s="84">
        <f>IF(W18=0,0,1000000*W18/TrRail_act!W33)</f>
        <v>892133.62596842577</v>
      </c>
      <c r="X53" s="84">
        <f>IF(X18=0,0,1000000*X18/TrRail_act!X33)</f>
        <v>891362.91685249365</v>
      </c>
      <c r="Y53" s="84">
        <f>IF(Y18=0,0,1000000*Y18/TrRail_act!Y33)</f>
        <v>890792.36316753656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560984.6780517915</v>
      </c>
      <c r="C54" s="86">
        <f>IF(C19=0,0,1000000*C19/TrRail_act!C34)</f>
        <v>553345.23633616616</v>
      </c>
      <c r="D54" s="86">
        <f>IF(D19=0,0,1000000*D19/TrRail_act!D34)</f>
        <v>528592.58151209354</v>
      </c>
      <c r="E54" s="86">
        <f>IF(E19=0,0,1000000*E19/TrRail_act!E34)</f>
        <v>507360.59874459938</v>
      </c>
      <c r="F54" s="86">
        <f>IF(F19=0,0,1000000*F19/TrRail_act!F34)</f>
        <v>488022.28386913898</v>
      </c>
      <c r="G54" s="86">
        <f>IF(G19=0,0,1000000*G19/TrRail_act!G34)</f>
        <v>389957.0214009629</v>
      </c>
      <c r="H54" s="86">
        <f>IF(H19=0,0,1000000*H19/TrRail_act!H34)</f>
        <v>456779.54851388646</v>
      </c>
      <c r="I54" s="86">
        <f>IF(I19=0,0,1000000*I19/TrRail_act!I34)</f>
        <v>465869.03834421677</v>
      </c>
      <c r="J54" s="86">
        <f>IF(J19=0,0,1000000*J19/TrRail_act!J34)</f>
        <v>325459.75383175589</v>
      </c>
      <c r="K54" s="86">
        <f>IF(K19=0,0,1000000*K19/TrRail_act!K34)</f>
        <v>265692.22198991961</v>
      </c>
      <c r="L54" s="86">
        <f>IF(L19=0,0,1000000*L19/TrRail_act!L34)</f>
        <v>327117.25477606722</v>
      </c>
      <c r="M54" s="86">
        <f>IF(M19=0,0,1000000*M19/TrRail_act!M34)</f>
        <v>326753.11541348888</v>
      </c>
      <c r="N54" s="86">
        <f>IF(N19=0,0,1000000*N19/TrRail_act!N34)</f>
        <v>298398.57062854536</v>
      </c>
      <c r="O54" s="86">
        <f>IF(O19=0,0,1000000*O19/TrRail_act!O34)</f>
        <v>325549.84115850623</v>
      </c>
      <c r="P54" s="86">
        <f>IF(P19=0,0,1000000*P19/TrRail_act!P34)</f>
        <v>327884.53503808583</v>
      </c>
      <c r="Q54" s="86">
        <f>IF(Q19=0,0,1000000*Q19/TrRail_act!Q34)</f>
        <v>387359.8129007013</v>
      </c>
      <c r="R54" s="86">
        <f>IF(R19=0,0,1000000*R19/TrRail_act!R34)</f>
        <v>399074.34037982568</v>
      </c>
      <c r="S54" s="86">
        <f>IF(S19=0,0,1000000*S19/TrRail_act!S34)</f>
        <v>395071.42268732964</v>
      </c>
      <c r="T54" s="86">
        <f>IF(T19=0,0,1000000*T19/TrRail_act!T34)</f>
        <v>392095.53361834557</v>
      </c>
      <c r="U54" s="86">
        <f>IF(U19=0,0,1000000*U19/TrRail_act!U34)</f>
        <v>389878.4329129745</v>
      </c>
      <c r="V54" s="86">
        <f>IF(V19=0,0,1000000*V19/TrRail_act!V34)</f>
        <v>388223.65941991226</v>
      </c>
      <c r="W54" s="86">
        <f>IF(W19=0,0,1000000*W19/TrRail_act!W34)</f>
        <v>386987.39521185792</v>
      </c>
      <c r="X54" s="86">
        <f>IF(X19=0,0,1000000*X19/TrRail_act!X34)</f>
        <v>386062.59548907721</v>
      </c>
      <c r="Y54" s="86">
        <f>IF(Y19=0,0,1000000*Y19/TrRail_act!Y34)</f>
        <v>385370.49997583666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0.65491688440081985</v>
      </c>
      <c r="C57" s="31">
        <f t="shared" ref="C57:V57" si="18">IF(C11=0,0,C11/C$10)</f>
        <v>0.66684548144599298</v>
      </c>
      <c r="D57" s="31">
        <f t="shared" si="18"/>
        <v>0.66479355248594374</v>
      </c>
      <c r="E57" s="31">
        <f t="shared" si="18"/>
        <v>0.64470626877331405</v>
      </c>
      <c r="F57" s="31">
        <f t="shared" si="18"/>
        <v>0.62047528722884271</v>
      </c>
      <c r="G57" s="31">
        <f t="shared" si="18"/>
        <v>0.74101604986446168</v>
      </c>
      <c r="H57" s="31">
        <f t="shared" si="18"/>
        <v>0.76090892719780456</v>
      </c>
      <c r="I57" s="31">
        <f t="shared" si="18"/>
        <v>0.73573687990783243</v>
      </c>
      <c r="J57" s="31">
        <f t="shared" si="18"/>
        <v>0.83705219185326263</v>
      </c>
      <c r="K57" s="31">
        <f t="shared" si="18"/>
        <v>0.86960729746608145</v>
      </c>
      <c r="L57" s="31">
        <f t="shared" si="18"/>
        <v>0.86398316762224947</v>
      </c>
      <c r="M57" s="31">
        <f t="shared" si="18"/>
        <v>0.88311740898284807</v>
      </c>
      <c r="N57" s="31">
        <f t="shared" si="18"/>
        <v>0.90166566328016018</v>
      </c>
      <c r="O57" s="31">
        <f t="shared" si="18"/>
        <v>0.90793685632025189</v>
      </c>
      <c r="P57" s="31">
        <f t="shared" si="18"/>
        <v>0.91445160055591523</v>
      </c>
      <c r="Q57" s="31">
        <f t="shared" si="18"/>
        <v>0.91554921203809492</v>
      </c>
      <c r="R57" s="31">
        <f t="shared" si="18"/>
        <v>0.92078671185820904</v>
      </c>
      <c r="S57" s="31">
        <f t="shared" si="18"/>
        <v>0.91727449701518482</v>
      </c>
      <c r="T57" s="31">
        <f t="shared" si="18"/>
        <v>0.9236496068315837</v>
      </c>
      <c r="U57" s="31">
        <f t="shared" si="18"/>
        <v>0.92655982155914784</v>
      </c>
      <c r="V57" s="31">
        <f t="shared" si="18"/>
        <v>0.92606501551803122</v>
      </c>
      <c r="W57" s="31">
        <f t="shared" ref="W57:Y57" si="19">IF(W11=0,0,W11/W$10)</f>
        <v>0.93288000453650133</v>
      </c>
      <c r="X57" s="31">
        <f t="shared" si="19"/>
        <v>0.93619383129807632</v>
      </c>
      <c r="Y57" s="31">
        <f t="shared" si="19"/>
        <v>0.93705765505157268</v>
      </c>
      <c r="DA57" s="173"/>
    </row>
    <row r="58" spans="1:105" ht="11.45" customHeight="1" x14ac:dyDescent="0.25">
      <c r="A58" s="107" t="s">
        <v>23</v>
      </c>
      <c r="B58" s="123">
        <f t="shared" si="15"/>
        <v>0</v>
      </c>
      <c r="C58" s="123">
        <f t="shared" ref="C58:V58" si="20">IF(C12=0,0,C12/C$10)</f>
        <v>0</v>
      </c>
      <c r="D58" s="123">
        <f t="shared" si="20"/>
        <v>0</v>
      </c>
      <c r="E58" s="123">
        <f t="shared" si="20"/>
        <v>0</v>
      </c>
      <c r="F58" s="123">
        <f t="shared" si="20"/>
        <v>0</v>
      </c>
      <c r="G58" s="123">
        <f t="shared" si="20"/>
        <v>0</v>
      </c>
      <c r="H58" s="123">
        <f t="shared" si="20"/>
        <v>0</v>
      </c>
      <c r="I58" s="123">
        <f t="shared" si="20"/>
        <v>0</v>
      </c>
      <c r="J58" s="123">
        <f t="shared" si="20"/>
        <v>0</v>
      </c>
      <c r="K58" s="123">
        <f t="shared" si="20"/>
        <v>0</v>
      </c>
      <c r="L58" s="123">
        <f t="shared" si="20"/>
        <v>0</v>
      </c>
      <c r="M58" s="123">
        <f t="shared" si="20"/>
        <v>0</v>
      </c>
      <c r="N58" s="123">
        <f t="shared" si="20"/>
        <v>0</v>
      </c>
      <c r="O58" s="123">
        <f t="shared" si="20"/>
        <v>0</v>
      </c>
      <c r="P58" s="123">
        <f t="shared" si="20"/>
        <v>0</v>
      </c>
      <c r="Q58" s="123">
        <f t="shared" si="20"/>
        <v>0</v>
      </c>
      <c r="R58" s="123">
        <f t="shared" si="20"/>
        <v>0</v>
      </c>
      <c r="S58" s="123">
        <f t="shared" si="20"/>
        <v>0</v>
      </c>
      <c r="T58" s="123">
        <f t="shared" si="20"/>
        <v>1.0291564654968711E-2</v>
      </c>
      <c r="U58" s="123">
        <f t="shared" si="20"/>
        <v>1.632126308092189E-2</v>
      </c>
      <c r="V58" s="123">
        <f t="shared" si="20"/>
        <v>1.8259720786905572E-2</v>
      </c>
      <c r="W58" s="123">
        <f t="shared" ref="W58:Y58" si="21">IF(W12=0,0,W12/W$10)</f>
        <v>2.1957152775748504E-2</v>
      </c>
      <c r="X58" s="123">
        <f t="shared" si="21"/>
        <v>3.8410124009419622E-2</v>
      </c>
      <c r="Y58" s="123">
        <f t="shared" si="21"/>
        <v>3.3308128915478845E-2</v>
      </c>
      <c r="DA58" s="203"/>
    </row>
    <row r="59" spans="1:105" ht="11.45" customHeight="1" x14ac:dyDescent="0.25">
      <c r="A59" s="109" t="s">
        <v>24</v>
      </c>
      <c r="B59" s="124">
        <f t="shared" si="15"/>
        <v>0.65491688440081985</v>
      </c>
      <c r="C59" s="124">
        <f t="shared" ref="C59:V59" si="22">IF(C13=0,0,C13/C$10)</f>
        <v>0.66684548144599298</v>
      </c>
      <c r="D59" s="124">
        <f t="shared" si="22"/>
        <v>0.66479355248594374</v>
      </c>
      <c r="E59" s="124">
        <f t="shared" si="22"/>
        <v>0.64470626877331405</v>
      </c>
      <c r="F59" s="124">
        <f t="shared" si="22"/>
        <v>0.62047528722884271</v>
      </c>
      <c r="G59" s="124">
        <f t="shared" si="22"/>
        <v>0.74101604986446168</v>
      </c>
      <c r="H59" s="124">
        <f t="shared" si="22"/>
        <v>0.76090892719780456</v>
      </c>
      <c r="I59" s="124">
        <f t="shared" si="22"/>
        <v>0.73573687990783243</v>
      </c>
      <c r="J59" s="124">
        <f t="shared" si="22"/>
        <v>0.83705219185326263</v>
      </c>
      <c r="K59" s="124">
        <f t="shared" si="22"/>
        <v>0.86960729746608145</v>
      </c>
      <c r="L59" s="124">
        <f t="shared" si="22"/>
        <v>0.86398316762224947</v>
      </c>
      <c r="M59" s="124">
        <f t="shared" si="22"/>
        <v>0.88311740898284807</v>
      </c>
      <c r="N59" s="124">
        <f t="shared" si="22"/>
        <v>0.90166566328016018</v>
      </c>
      <c r="O59" s="124">
        <f t="shared" si="22"/>
        <v>0.90793685632025189</v>
      </c>
      <c r="P59" s="124">
        <f t="shared" si="22"/>
        <v>0.91445160055591523</v>
      </c>
      <c r="Q59" s="124">
        <f t="shared" si="22"/>
        <v>0.91554921203809492</v>
      </c>
      <c r="R59" s="124">
        <f t="shared" si="22"/>
        <v>0.92078671185820904</v>
      </c>
      <c r="S59" s="124">
        <f t="shared" si="22"/>
        <v>0.91727449701518482</v>
      </c>
      <c r="T59" s="124">
        <f t="shared" si="22"/>
        <v>0.91335804217661498</v>
      </c>
      <c r="U59" s="124">
        <f t="shared" si="22"/>
        <v>0.91023855847822588</v>
      </c>
      <c r="V59" s="124">
        <f t="shared" si="22"/>
        <v>0.9078052947311257</v>
      </c>
      <c r="W59" s="124">
        <f t="shared" ref="W59:Y59" si="23">IF(W13=0,0,W13/W$10)</f>
        <v>0.91092285176075283</v>
      </c>
      <c r="X59" s="124">
        <f t="shared" si="23"/>
        <v>0.89778370728865675</v>
      </c>
      <c r="Y59" s="124">
        <f t="shared" si="23"/>
        <v>0.90374952613609394</v>
      </c>
      <c r="DA59" s="176"/>
    </row>
    <row r="60" spans="1:105" ht="11.45" customHeight="1" x14ac:dyDescent="0.25">
      <c r="A60" s="111" t="s">
        <v>92</v>
      </c>
      <c r="B60" s="125">
        <f t="shared" si="15"/>
        <v>0.44734563568898239</v>
      </c>
      <c r="C60" s="125">
        <f t="shared" ref="C60:V60" si="24">IF(C14=0,0,C14/C$10)</f>
        <v>0.45728210140147896</v>
      </c>
      <c r="D60" s="125">
        <f t="shared" si="24"/>
        <v>0.44778848857039211</v>
      </c>
      <c r="E60" s="125">
        <f t="shared" si="24"/>
        <v>0.38569052831739653</v>
      </c>
      <c r="F60" s="125">
        <f t="shared" si="24"/>
        <v>0.32355034219883999</v>
      </c>
      <c r="G60" s="125">
        <f t="shared" si="24"/>
        <v>0.22703783326877372</v>
      </c>
      <c r="H60" s="125">
        <f t="shared" si="24"/>
        <v>0.1713589055185479</v>
      </c>
      <c r="I60" s="125">
        <f t="shared" si="24"/>
        <v>0.2026139799957854</v>
      </c>
      <c r="J60" s="125">
        <f t="shared" si="24"/>
        <v>0.2804730486712923</v>
      </c>
      <c r="K60" s="125">
        <f t="shared" si="24"/>
        <v>0.25178701678565907</v>
      </c>
      <c r="L60" s="125">
        <f t="shared" si="24"/>
        <v>0.26405100258163361</v>
      </c>
      <c r="M60" s="125">
        <f t="shared" si="24"/>
        <v>0.24101066065271098</v>
      </c>
      <c r="N60" s="125">
        <f t="shared" si="24"/>
        <v>0.24521440169305991</v>
      </c>
      <c r="O60" s="125">
        <f t="shared" si="24"/>
        <v>0.22568933542127617</v>
      </c>
      <c r="P60" s="125">
        <f t="shared" si="24"/>
        <v>0.23859257623553065</v>
      </c>
      <c r="Q60" s="125">
        <f t="shared" si="24"/>
        <v>0.19214382642487601</v>
      </c>
      <c r="R60" s="125">
        <f t="shared" si="24"/>
        <v>0.19729142523192267</v>
      </c>
      <c r="S60" s="125">
        <f t="shared" si="24"/>
        <v>0.18172711845973666</v>
      </c>
      <c r="T60" s="125">
        <f t="shared" si="24"/>
        <v>0.20197413576732517</v>
      </c>
      <c r="U60" s="125">
        <f t="shared" si="24"/>
        <v>0.19316713620116069</v>
      </c>
      <c r="V60" s="125">
        <f t="shared" si="24"/>
        <v>0.21106692375335218</v>
      </c>
      <c r="W60" s="125">
        <f t="shared" ref="W60:Y60" si="25">IF(W14=0,0,W14/W$10)</f>
        <v>0.20587748663758587</v>
      </c>
      <c r="X60" s="125">
        <f t="shared" si="25"/>
        <v>0.17510732207890919</v>
      </c>
      <c r="Y60" s="125">
        <f t="shared" si="25"/>
        <v>0.18043081069283687</v>
      </c>
      <c r="DA60" s="171"/>
    </row>
    <row r="61" spans="1:105" ht="11.45" customHeight="1" x14ac:dyDescent="0.25">
      <c r="A61" s="111" t="s">
        <v>93</v>
      </c>
      <c r="B61" s="125">
        <f t="shared" si="15"/>
        <v>0.20757124871183749</v>
      </c>
      <c r="C61" s="125">
        <f t="shared" ref="C61:V61" si="26">IF(C15=0,0,C15/C$10)</f>
        <v>0.20956338004451405</v>
      </c>
      <c r="D61" s="125">
        <f t="shared" si="26"/>
        <v>0.21700506391555158</v>
      </c>
      <c r="E61" s="125">
        <f t="shared" si="26"/>
        <v>0.25901574045591741</v>
      </c>
      <c r="F61" s="125">
        <f t="shared" si="26"/>
        <v>0.29692494503000272</v>
      </c>
      <c r="G61" s="125">
        <f t="shared" si="26"/>
        <v>0.51397821659568799</v>
      </c>
      <c r="H61" s="125">
        <f t="shared" si="26"/>
        <v>0.58955002167925663</v>
      </c>
      <c r="I61" s="125">
        <f t="shared" si="26"/>
        <v>0.53312289991204709</v>
      </c>
      <c r="J61" s="125">
        <f t="shared" si="26"/>
        <v>0.55657914318197022</v>
      </c>
      <c r="K61" s="125">
        <f t="shared" si="26"/>
        <v>0.61782028068042238</v>
      </c>
      <c r="L61" s="125">
        <f t="shared" si="26"/>
        <v>0.59993216504061586</v>
      </c>
      <c r="M61" s="125">
        <f t="shared" si="26"/>
        <v>0.64210674833013703</v>
      </c>
      <c r="N61" s="125">
        <f t="shared" si="26"/>
        <v>0.65645126158710021</v>
      </c>
      <c r="O61" s="125">
        <f t="shared" si="26"/>
        <v>0.68224752089897578</v>
      </c>
      <c r="P61" s="125">
        <f t="shared" si="26"/>
        <v>0.67585902432038458</v>
      </c>
      <c r="Q61" s="125">
        <f t="shared" si="26"/>
        <v>0.72340538561321888</v>
      </c>
      <c r="R61" s="125">
        <f t="shared" si="26"/>
        <v>0.72349528662628626</v>
      </c>
      <c r="S61" s="125">
        <f t="shared" si="26"/>
        <v>0.73554737855544816</v>
      </c>
      <c r="T61" s="125">
        <f t="shared" si="26"/>
        <v>0.71138390640928972</v>
      </c>
      <c r="U61" s="125">
        <f t="shared" si="26"/>
        <v>0.71707142227706522</v>
      </c>
      <c r="V61" s="125">
        <f t="shared" si="26"/>
        <v>0.69673837097777347</v>
      </c>
      <c r="W61" s="125">
        <f t="shared" ref="W61:Y61" si="27">IF(W15=0,0,W15/W$10)</f>
        <v>0.70504536512316707</v>
      </c>
      <c r="X61" s="125">
        <f t="shared" si="27"/>
        <v>0.72267638520974753</v>
      </c>
      <c r="Y61" s="125">
        <f t="shared" si="27"/>
        <v>0.7233187154432571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0.34508311559918009</v>
      </c>
      <c r="C63" s="31">
        <f t="shared" ref="C63:V63" si="30">IF(C17=0,0,C17/C$10)</f>
        <v>0.33315451855400713</v>
      </c>
      <c r="D63" s="31">
        <f t="shared" si="30"/>
        <v>0.33520644751405632</v>
      </c>
      <c r="E63" s="31">
        <f t="shared" si="30"/>
        <v>0.355293731226686</v>
      </c>
      <c r="F63" s="31">
        <f t="shared" si="30"/>
        <v>0.37952471277115718</v>
      </c>
      <c r="G63" s="31">
        <f t="shared" si="30"/>
        <v>0.25898395013553821</v>
      </c>
      <c r="H63" s="31">
        <f t="shared" si="30"/>
        <v>0.23909107280219555</v>
      </c>
      <c r="I63" s="31">
        <f t="shared" si="30"/>
        <v>0.26426312009216757</v>
      </c>
      <c r="J63" s="31">
        <f t="shared" si="30"/>
        <v>0.1629478081467374</v>
      </c>
      <c r="K63" s="31">
        <f t="shared" si="30"/>
        <v>0.13039270253391863</v>
      </c>
      <c r="L63" s="31">
        <f t="shared" si="30"/>
        <v>0.13601683237775053</v>
      </c>
      <c r="M63" s="31">
        <f t="shared" si="30"/>
        <v>0.11688259101715189</v>
      </c>
      <c r="N63" s="31">
        <f t="shared" si="30"/>
        <v>9.8334336719839877E-2</v>
      </c>
      <c r="O63" s="31">
        <f t="shared" si="30"/>
        <v>9.2063143679748105E-2</v>
      </c>
      <c r="P63" s="31">
        <f t="shared" si="30"/>
        <v>8.5548399444084725E-2</v>
      </c>
      <c r="Q63" s="31">
        <f t="shared" si="30"/>
        <v>8.4450787961905083E-2</v>
      </c>
      <c r="R63" s="31">
        <f t="shared" si="30"/>
        <v>7.9213288141791002E-2</v>
      </c>
      <c r="S63" s="31">
        <f t="shared" si="30"/>
        <v>8.2725502984815208E-2</v>
      </c>
      <c r="T63" s="31">
        <f t="shared" si="30"/>
        <v>7.6350393168416242E-2</v>
      </c>
      <c r="U63" s="31">
        <f t="shared" si="30"/>
        <v>7.34401784408521E-2</v>
      </c>
      <c r="V63" s="31">
        <f t="shared" si="30"/>
        <v>7.3934984481968724E-2</v>
      </c>
      <c r="W63" s="31">
        <f t="shared" ref="W63:Y63" si="31">IF(W17=0,0,W17/W$10)</f>
        <v>6.7119995463498713E-2</v>
      </c>
      <c r="X63" s="31">
        <f t="shared" si="31"/>
        <v>6.3806168701923599E-2</v>
      </c>
      <c r="Y63" s="31">
        <f t="shared" si="31"/>
        <v>6.2942344948427348E-2</v>
      </c>
      <c r="DA63" s="173"/>
    </row>
    <row r="64" spans="1:105" ht="11.45" customHeight="1" x14ac:dyDescent="0.25">
      <c r="A64" s="83" t="s">
        <v>92</v>
      </c>
      <c r="B64" s="125">
        <f t="shared" si="15"/>
        <v>0.15645411745314669</v>
      </c>
      <c r="C64" s="125">
        <f t="shared" ref="C64:V64" si="32">IF(C18=0,0,C18/C$10)</f>
        <v>0.13530831629038165</v>
      </c>
      <c r="D64" s="125">
        <f t="shared" si="32"/>
        <v>0.12474232007402755</v>
      </c>
      <c r="E64" s="125">
        <f t="shared" si="32"/>
        <v>0.12226421615701583</v>
      </c>
      <c r="F64" s="125">
        <f t="shared" si="32"/>
        <v>0.11863277359780322</v>
      </c>
      <c r="G64" s="125">
        <f t="shared" si="32"/>
        <v>6.1915116851278394E-2</v>
      </c>
      <c r="H64" s="125">
        <f t="shared" si="32"/>
        <v>3.6536282502940248E-2</v>
      </c>
      <c r="I64" s="125">
        <f t="shared" si="32"/>
        <v>4.9130316884179001E-2</v>
      </c>
      <c r="J64" s="125">
        <f t="shared" si="32"/>
        <v>2.8792353016430221E-2</v>
      </c>
      <c r="K64" s="125">
        <f t="shared" si="32"/>
        <v>2.3074602957667393E-2</v>
      </c>
      <c r="L64" s="125">
        <f t="shared" si="32"/>
        <v>2.4129782191879459E-2</v>
      </c>
      <c r="M64" s="125">
        <f t="shared" si="32"/>
        <v>1.9014487952684518E-2</v>
      </c>
      <c r="N64" s="125">
        <f t="shared" si="32"/>
        <v>1.7382453104977852E-2</v>
      </c>
      <c r="O64" s="125">
        <f t="shared" si="32"/>
        <v>1.5073577478195719E-2</v>
      </c>
      <c r="P64" s="125">
        <f t="shared" si="32"/>
        <v>1.5155562679326866E-2</v>
      </c>
      <c r="Q64" s="125">
        <f t="shared" si="32"/>
        <v>1.2506449262608892E-2</v>
      </c>
      <c r="R64" s="125">
        <f t="shared" si="32"/>
        <v>1.1896343659019494E-2</v>
      </c>
      <c r="S64" s="125">
        <f t="shared" si="32"/>
        <v>1.1607515283608373E-2</v>
      </c>
      <c r="T64" s="125">
        <f t="shared" si="32"/>
        <v>1.2102579452603436E-2</v>
      </c>
      <c r="U64" s="125">
        <f t="shared" si="32"/>
        <v>1.0983094218518879E-2</v>
      </c>
      <c r="V64" s="125">
        <f t="shared" si="32"/>
        <v>1.4345181962515817E-2</v>
      </c>
      <c r="W64" s="125">
        <f t="shared" ref="W64:Y64" si="33">IF(W18=0,0,W18/W$10)</f>
        <v>1.0690509419200708E-2</v>
      </c>
      <c r="X64" s="125">
        <f t="shared" si="33"/>
        <v>7.1582388433545372E-3</v>
      </c>
      <c r="Y64" s="125">
        <f t="shared" si="33"/>
        <v>6.5335251678764064E-3</v>
      </c>
      <c r="DA64" s="171"/>
    </row>
    <row r="65" spans="1:105" ht="11.45" customHeight="1" x14ac:dyDescent="0.25">
      <c r="A65" s="85" t="s">
        <v>93</v>
      </c>
      <c r="B65" s="127">
        <f t="shared" si="15"/>
        <v>0.1886289981460334</v>
      </c>
      <c r="C65" s="127">
        <f t="shared" ref="C65:V65" si="34">IF(C19=0,0,C19/C$10)</f>
        <v>0.19784620226362548</v>
      </c>
      <c r="D65" s="127">
        <f t="shared" si="34"/>
        <v>0.21046412744002874</v>
      </c>
      <c r="E65" s="127">
        <f t="shared" si="34"/>
        <v>0.23302951506967018</v>
      </c>
      <c r="F65" s="127">
        <f t="shared" si="34"/>
        <v>0.26089193917335396</v>
      </c>
      <c r="G65" s="127">
        <f t="shared" si="34"/>
        <v>0.19706883328425981</v>
      </c>
      <c r="H65" s="127">
        <f t="shared" si="34"/>
        <v>0.2025547902992553</v>
      </c>
      <c r="I65" s="127">
        <f t="shared" si="34"/>
        <v>0.21513280320798858</v>
      </c>
      <c r="J65" s="127">
        <f t="shared" si="34"/>
        <v>0.13415545513030719</v>
      </c>
      <c r="K65" s="127">
        <f t="shared" si="34"/>
        <v>0.10731809957625123</v>
      </c>
      <c r="L65" s="127">
        <f t="shared" si="34"/>
        <v>0.11188705018587107</v>
      </c>
      <c r="M65" s="127">
        <f t="shared" si="34"/>
        <v>9.786810306446736E-2</v>
      </c>
      <c r="N65" s="127">
        <f t="shared" si="34"/>
        <v>8.0951883614862025E-2</v>
      </c>
      <c r="O65" s="127">
        <f t="shared" si="34"/>
        <v>7.6989566201552395E-2</v>
      </c>
      <c r="P65" s="127">
        <f t="shared" si="34"/>
        <v>7.0392836764757855E-2</v>
      </c>
      <c r="Q65" s="127">
        <f t="shared" si="34"/>
        <v>7.1944338699296201E-2</v>
      </c>
      <c r="R65" s="127">
        <f t="shared" si="34"/>
        <v>6.7316944482771521E-2</v>
      </c>
      <c r="S65" s="127">
        <f t="shared" si="34"/>
        <v>7.1117987701206822E-2</v>
      </c>
      <c r="T65" s="127">
        <f t="shared" si="34"/>
        <v>6.4247813715812799E-2</v>
      </c>
      <c r="U65" s="127">
        <f t="shared" si="34"/>
        <v>6.2457084222333217E-2</v>
      </c>
      <c r="V65" s="127">
        <f t="shared" si="34"/>
        <v>5.9589802519452922E-2</v>
      </c>
      <c r="W65" s="127">
        <f t="shared" ref="W65:Y65" si="35">IF(W19=0,0,W19/W$10)</f>
        <v>5.6429486044298011E-2</v>
      </c>
      <c r="X65" s="127">
        <f t="shared" si="35"/>
        <v>5.6647929858569056E-2</v>
      </c>
      <c r="Y65" s="127">
        <f t="shared" si="35"/>
        <v>5.6408819780550942E-2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24.272225640000002</v>
      </c>
      <c r="C4" s="26">
        <f t="shared" ref="C4:W4" si="0">SUM(C5:C6)</f>
        <v>26.919818640000003</v>
      </c>
      <c r="D4" s="26">
        <f t="shared" si="0"/>
        <v>25.45583976</v>
      </c>
      <c r="E4" s="26">
        <f t="shared" si="0"/>
        <v>19.342234079999997</v>
      </c>
      <c r="F4" s="26">
        <f t="shared" si="0"/>
        <v>15.932774520000001</v>
      </c>
      <c r="G4" s="26">
        <f t="shared" si="0"/>
        <v>10.240916400000001</v>
      </c>
      <c r="H4" s="26">
        <f t="shared" si="0"/>
        <v>7.7632495199999996</v>
      </c>
      <c r="I4" s="26">
        <f t="shared" si="0"/>
        <v>10.56823092</v>
      </c>
      <c r="J4" s="26">
        <f t="shared" si="0"/>
        <v>13.530600720000001</v>
      </c>
      <c r="K4" s="26">
        <f t="shared" si="0"/>
        <v>11.35223856</v>
      </c>
      <c r="L4" s="26">
        <f t="shared" si="0"/>
        <v>12.916785959999999</v>
      </c>
      <c r="M4" s="26">
        <f t="shared" si="0"/>
        <v>12.13597944</v>
      </c>
      <c r="N4" s="26">
        <f t="shared" si="0"/>
        <v>11.9628522</v>
      </c>
      <c r="O4" s="26">
        <f t="shared" si="0"/>
        <v>11.216724480000002</v>
      </c>
      <c r="P4" s="26">
        <f t="shared" si="0"/>
        <v>11.3426352</v>
      </c>
      <c r="Q4" s="26">
        <f t="shared" si="0"/>
        <v>9.1263931200000012</v>
      </c>
      <c r="R4" s="26">
        <f t="shared" si="0"/>
        <v>9.3438025200000006</v>
      </c>
      <c r="S4" s="26">
        <f t="shared" si="0"/>
        <v>8.5347194400000017</v>
      </c>
      <c r="T4" s="26">
        <f t="shared" si="0"/>
        <v>10.23451416</v>
      </c>
      <c r="U4" s="26">
        <f t="shared" si="0"/>
        <v>9.7215346799999995</v>
      </c>
      <c r="V4" s="26">
        <f t="shared" si="0"/>
        <v>9.51692976</v>
      </c>
      <c r="W4" s="26">
        <f t="shared" si="0"/>
        <v>9.9826927199999975</v>
      </c>
      <c r="X4" s="26">
        <f t="shared" ref="X4:Y4" si="1">SUM(X5:X6)</f>
        <v>7.9427790000000007</v>
      </c>
      <c r="Y4" s="26">
        <f t="shared" si="1"/>
        <v>8.2450180800000012</v>
      </c>
      <c r="DA4" s="202" t="s">
        <v>1137</v>
      </c>
    </row>
    <row r="5" spans="1:105" ht="11.45" customHeight="1" x14ac:dyDescent="0.25">
      <c r="A5" s="107" t="s">
        <v>92</v>
      </c>
      <c r="B5" s="129">
        <v>24.272225640000002</v>
      </c>
      <c r="C5" s="129">
        <v>26.919818640000003</v>
      </c>
      <c r="D5" s="129">
        <v>25.45583976</v>
      </c>
      <c r="E5" s="129">
        <v>19.342234079999997</v>
      </c>
      <c r="F5" s="129">
        <v>15.932774520000001</v>
      </c>
      <c r="G5" s="129">
        <v>10.240916400000001</v>
      </c>
      <c r="H5" s="129">
        <v>7.7632495199999996</v>
      </c>
      <c r="I5" s="129">
        <v>10.56823092</v>
      </c>
      <c r="J5" s="129">
        <v>13.530600720000001</v>
      </c>
      <c r="K5" s="129">
        <v>11.35223856</v>
      </c>
      <c r="L5" s="129">
        <v>12.916785959999999</v>
      </c>
      <c r="M5" s="129">
        <v>12.13597944</v>
      </c>
      <c r="N5" s="129">
        <v>11.9628522</v>
      </c>
      <c r="O5" s="129">
        <v>11.216724480000002</v>
      </c>
      <c r="P5" s="129">
        <v>11.3426352</v>
      </c>
      <c r="Q5" s="129">
        <v>9.1263931200000012</v>
      </c>
      <c r="R5" s="129">
        <v>9.3438025200000006</v>
      </c>
      <c r="S5" s="129">
        <v>8.5347194400000017</v>
      </c>
      <c r="T5" s="129">
        <v>10.23451416</v>
      </c>
      <c r="U5" s="129">
        <v>9.7215346799999995</v>
      </c>
      <c r="V5" s="129">
        <v>9.51692976</v>
      </c>
      <c r="W5" s="129">
        <v>9.9826927199999975</v>
      </c>
      <c r="X5" s="129">
        <v>7.9427790000000007</v>
      </c>
      <c r="Y5" s="129">
        <v>8.2450180800000012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24.272225640000002</v>
      </c>
      <c r="C8" s="79">
        <f t="shared" si="2"/>
        <v>26.919818640000003</v>
      </c>
      <c r="D8" s="79">
        <f t="shared" si="2"/>
        <v>25.455839760000003</v>
      </c>
      <c r="E8" s="79">
        <f t="shared" si="2"/>
        <v>19.342234079999997</v>
      </c>
      <c r="F8" s="79">
        <f t="shared" si="2"/>
        <v>15.932774519999999</v>
      </c>
      <c r="G8" s="79">
        <f t="shared" si="2"/>
        <v>10.240916400000003</v>
      </c>
      <c r="H8" s="79">
        <f t="shared" si="2"/>
        <v>7.7632495199999987</v>
      </c>
      <c r="I8" s="79">
        <f t="shared" si="2"/>
        <v>10.568230919999998</v>
      </c>
      <c r="J8" s="79">
        <f t="shared" si="2"/>
        <v>13.530600720000001</v>
      </c>
      <c r="K8" s="79">
        <f t="shared" si="2"/>
        <v>11.35223856</v>
      </c>
      <c r="L8" s="79">
        <f t="shared" si="2"/>
        <v>12.916785959999999</v>
      </c>
      <c r="M8" s="79">
        <f t="shared" si="2"/>
        <v>12.135979440000002</v>
      </c>
      <c r="N8" s="79">
        <f t="shared" si="2"/>
        <v>11.9628522</v>
      </c>
      <c r="O8" s="79">
        <f t="shared" si="2"/>
        <v>11.216724480000002</v>
      </c>
      <c r="P8" s="79">
        <f t="shared" si="2"/>
        <v>11.3426352</v>
      </c>
      <c r="Q8" s="79">
        <f t="shared" si="2"/>
        <v>9.1263931199999995</v>
      </c>
      <c r="R8" s="79">
        <f t="shared" si="2"/>
        <v>9.3438025200000006</v>
      </c>
      <c r="S8" s="79">
        <f t="shared" si="2"/>
        <v>8.5347194400000035</v>
      </c>
      <c r="T8" s="79">
        <f t="shared" si="2"/>
        <v>10.23451416</v>
      </c>
      <c r="U8" s="79">
        <f t="shared" si="2"/>
        <v>9.7215346799999995</v>
      </c>
      <c r="V8" s="79">
        <f t="shared" si="2"/>
        <v>9.5169297599999982</v>
      </c>
      <c r="W8" s="79">
        <f t="shared" si="2"/>
        <v>9.9826927199999957</v>
      </c>
      <c r="X8" s="79">
        <f t="shared" ref="X8:Y8" si="3">SUM(X9,X15)</f>
        <v>7.9427790000000007</v>
      </c>
      <c r="Y8" s="79">
        <f t="shared" si="3"/>
        <v>8.2450180799999995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17.98290600817176</v>
      </c>
      <c r="C9" s="32">
        <f t="shared" si="4"/>
        <v>20.773118952873318</v>
      </c>
      <c r="D9" s="32">
        <f t="shared" si="4"/>
        <v>19.909552183592517</v>
      </c>
      <c r="E9" s="32">
        <f t="shared" si="4"/>
        <v>14.686577027394506</v>
      </c>
      <c r="F9" s="32">
        <f t="shared" si="4"/>
        <v>11.658189704587748</v>
      </c>
      <c r="G9" s="32">
        <f t="shared" si="4"/>
        <v>8.0465538392206941</v>
      </c>
      <c r="H9" s="32">
        <f t="shared" si="4"/>
        <v>6.3989068418317192</v>
      </c>
      <c r="I9" s="32">
        <f t="shared" si="4"/>
        <v>8.5057391756394463</v>
      </c>
      <c r="J9" s="32">
        <f t="shared" si="4"/>
        <v>12.270912987946556</v>
      </c>
      <c r="K9" s="32">
        <f t="shared" si="4"/>
        <v>10.399219372754663</v>
      </c>
      <c r="L9" s="32">
        <f t="shared" si="4"/>
        <v>11.835245315022988</v>
      </c>
      <c r="M9" s="32">
        <f t="shared" si="4"/>
        <v>11.24852899109708</v>
      </c>
      <c r="N9" s="32">
        <f t="shared" si="4"/>
        <v>11.170977836050707</v>
      </c>
      <c r="O9" s="32">
        <f t="shared" si="4"/>
        <v>10.514472777423823</v>
      </c>
      <c r="P9" s="32">
        <f t="shared" si="4"/>
        <v>10.665175970318636</v>
      </c>
      <c r="Q9" s="32">
        <f t="shared" si="4"/>
        <v>8.5686671549482814</v>
      </c>
      <c r="R9" s="32">
        <f t="shared" si="4"/>
        <v>8.8124278299344319</v>
      </c>
      <c r="S9" s="32">
        <f t="shared" si="4"/>
        <v>8.0223079572616207</v>
      </c>
      <c r="T9" s="32">
        <f t="shared" si="4"/>
        <v>9.6559177411744166</v>
      </c>
      <c r="U9" s="32">
        <f t="shared" si="4"/>
        <v>9.1985250751636869</v>
      </c>
      <c r="V9" s="32">
        <f t="shared" si="4"/>
        <v>8.9112742265577616</v>
      </c>
      <c r="W9" s="32">
        <f t="shared" si="4"/>
        <v>9.4899141354663747</v>
      </c>
      <c r="X9" s="32">
        <f t="shared" ref="X9:Y9" si="5">SUM(X10,X11,X14)</f>
        <v>7.6308368597827938</v>
      </c>
      <c r="Y9" s="32">
        <f t="shared" si="5"/>
        <v>7.9568934337283821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17.98290600817176</v>
      </c>
      <c r="C11" s="130">
        <f t="shared" si="6"/>
        <v>20.773118952873318</v>
      </c>
      <c r="D11" s="130">
        <f t="shared" si="6"/>
        <v>19.909552183592517</v>
      </c>
      <c r="E11" s="130">
        <f t="shared" si="6"/>
        <v>14.686577027394506</v>
      </c>
      <c r="F11" s="130">
        <f t="shared" si="6"/>
        <v>11.658189704587748</v>
      </c>
      <c r="G11" s="130">
        <f t="shared" si="6"/>
        <v>8.0465538392206941</v>
      </c>
      <c r="H11" s="130">
        <f t="shared" si="6"/>
        <v>6.3989068418317192</v>
      </c>
      <c r="I11" s="130">
        <f t="shared" si="6"/>
        <v>8.5057391756394463</v>
      </c>
      <c r="J11" s="130">
        <f t="shared" si="6"/>
        <v>12.270912987946556</v>
      </c>
      <c r="K11" s="130">
        <f t="shared" si="6"/>
        <v>10.399219372754663</v>
      </c>
      <c r="L11" s="130">
        <f t="shared" si="6"/>
        <v>11.835245315022988</v>
      </c>
      <c r="M11" s="130">
        <f t="shared" si="6"/>
        <v>11.24852899109708</v>
      </c>
      <c r="N11" s="130">
        <f t="shared" si="6"/>
        <v>11.170977836050707</v>
      </c>
      <c r="O11" s="130">
        <f t="shared" si="6"/>
        <v>10.514472777423823</v>
      </c>
      <c r="P11" s="130">
        <f t="shared" si="6"/>
        <v>10.665175970318636</v>
      </c>
      <c r="Q11" s="130">
        <f t="shared" si="6"/>
        <v>8.5686671549482814</v>
      </c>
      <c r="R11" s="130">
        <f t="shared" si="6"/>
        <v>8.8124278299344319</v>
      </c>
      <c r="S11" s="130">
        <f t="shared" si="6"/>
        <v>8.0223079572616207</v>
      </c>
      <c r="T11" s="130">
        <f t="shared" si="6"/>
        <v>9.6559177411744166</v>
      </c>
      <c r="U11" s="130">
        <f t="shared" si="6"/>
        <v>9.1985250751636869</v>
      </c>
      <c r="V11" s="130">
        <f t="shared" si="6"/>
        <v>8.9112742265577616</v>
      </c>
      <c r="W11" s="130">
        <f t="shared" si="6"/>
        <v>9.4899141354663747</v>
      </c>
      <c r="X11" s="130">
        <f t="shared" ref="X11:Y11" si="7">SUM(X12:X13)</f>
        <v>7.6308368597827938</v>
      </c>
      <c r="Y11" s="130">
        <f t="shared" si="7"/>
        <v>7.9568934337283821</v>
      </c>
      <c r="DA11" s="176" t="s">
        <v>409</v>
      </c>
    </row>
    <row r="12" spans="1:105" ht="11.45" customHeight="1" x14ac:dyDescent="0.25">
      <c r="A12" s="111" t="s">
        <v>92</v>
      </c>
      <c r="B12" s="96">
        <v>17.98290600817176</v>
      </c>
      <c r="C12" s="96">
        <v>20.773118952873318</v>
      </c>
      <c r="D12" s="96">
        <v>19.909552183592517</v>
      </c>
      <c r="E12" s="96">
        <v>14.686577027394506</v>
      </c>
      <c r="F12" s="96">
        <v>11.658189704587748</v>
      </c>
      <c r="G12" s="96">
        <v>8.0465538392206941</v>
      </c>
      <c r="H12" s="96">
        <v>6.3989068418317192</v>
      </c>
      <c r="I12" s="96">
        <v>8.5057391756394463</v>
      </c>
      <c r="J12" s="96">
        <v>12.270912987946556</v>
      </c>
      <c r="K12" s="96">
        <v>10.399219372754663</v>
      </c>
      <c r="L12" s="96">
        <v>11.835245315022988</v>
      </c>
      <c r="M12" s="96">
        <v>11.24852899109708</v>
      </c>
      <c r="N12" s="96">
        <v>11.170977836050707</v>
      </c>
      <c r="O12" s="96">
        <v>10.514472777423823</v>
      </c>
      <c r="P12" s="96">
        <v>10.665175970318636</v>
      </c>
      <c r="Q12" s="96">
        <v>8.5686671549482814</v>
      </c>
      <c r="R12" s="96">
        <v>8.8124278299344319</v>
      </c>
      <c r="S12" s="96">
        <v>8.0223079572616207</v>
      </c>
      <c r="T12" s="96">
        <v>9.6559177411744166</v>
      </c>
      <c r="U12" s="96">
        <v>9.1985250751636869</v>
      </c>
      <c r="V12" s="96">
        <v>8.9112742265577616</v>
      </c>
      <c r="W12" s="96">
        <v>9.4899141354663747</v>
      </c>
      <c r="X12" s="96">
        <v>7.6308368597827938</v>
      </c>
      <c r="Y12" s="96">
        <v>7.9568934337283821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6.2893196318282421</v>
      </c>
      <c r="C15" s="32">
        <f t="shared" si="8"/>
        <v>6.1466996871266861</v>
      </c>
      <c r="D15" s="32">
        <f t="shared" si="8"/>
        <v>5.5462875764074875</v>
      </c>
      <c r="E15" s="32">
        <f t="shared" si="8"/>
        <v>4.6556570526054903</v>
      </c>
      <c r="F15" s="32">
        <f t="shared" si="8"/>
        <v>4.2745848154122497</v>
      </c>
      <c r="G15" s="32">
        <f t="shared" si="8"/>
        <v>2.1943625607793087</v>
      </c>
      <c r="H15" s="32">
        <f t="shared" si="8"/>
        <v>1.3643426781682799</v>
      </c>
      <c r="I15" s="32">
        <f t="shared" si="8"/>
        <v>2.0624917443605524</v>
      </c>
      <c r="J15" s="32">
        <f t="shared" si="8"/>
        <v>1.2596877320534452</v>
      </c>
      <c r="K15" s="32">
        <f t="shared" si="8"/>
        <v>0.95301918724533674</v>
      </c>
      <c r="L15" s="32">
        <f t="shared" si="8"/>
        <v>1.0815406449770113</v>
      </c>
      <c r="M15" s="32">
        <f t="shared" si="8"/>
        <v>0.88745044890292113</v>
      </c>
      <c r="N15" s="32">
        <f t="shared" si="8"/>
        <v>0.79187436394929367</v>
      </c>
      <c r="O15" s="32">
        <f t="shared" si="8"/>
        <v>0.70225170257617975</v>
      </c>
      <c r="P15" s="32">
        <f t="shared" si="8"/>
        <v>0.67745922968136441</v>
      </c>
      <c r="Q15" s="32">
        <f t="shared" si="8"/>
        <v>0.55772596505171901</v>
      </c>
      <c r="R15" s="32">
        <f t="shared" si="8"/>
        <v>0.53137469006556937</v>
      </c>
      <c r="S15" s="32">
        <f t="shared" si="8"/>
        <v>0.51241148273838233</v>
      </c>
      <c r="T15" s="32">
        <f t="shared" si="8"/>
        <v>0.57859641882558321</v>
      </c>
      <c r="U15" s="32">
        <f t="shared" si="8"/>
        <v>0.52300960483631254</v>
      </c>
      <c r="V15" s="32">
        <f t="shared" si="8"/>
        <v>0.6056555334422371</v>
      </c>
      <c r="W15" s="32">
        <f t="shared" si="8"/>
        <v>0.49277858453362189</v>
      </c>
      <c r="X15" s="32">
        <f t="shared" ref="X15:Y15" si="9">SUM(X16:X17)</f>
        <v>0.31194214021720718</v>
      </c>
      <c r="Y15" s="32">
        <f t="shared" si="9"/>
        <v>0.2881246462716181</v>
      </c>
      <c r="DA15" s="173" t="s">
        <v>414</v>
      </c>
    </row>
    <row r="16" spans="1:105" ht="11.45" customHeight="1" x14ac:dyDescent="0.25">
      <c r="A16" s="83" t="s">
        <v>92</v>
      </c>
      <c r="B16" s="96">
        <v>6.2893196318282421</v>
      </c>
      <c r="C16" s="96">
        <v>6.1466996871266861</v>
      </c>
      <c r="D16" s="96">
        <v>5.5462875764074875</v>
      </c>
      <c r="E16" s="96">
        <v>4.6556570526054903</v>
      </c>
      <c r="F16" s="96">
        <v>4.2745848154122497</v>
      </c>
      <c r="G16" s="96">
        <v>2.1943625607793087</v>
      </c>
      <c r="H16" s="96">
        <v>1.3643426781682799</v>
      </c>
      <c r="I16" s="96">
        <v>2.0624917443605524</v>
      </c>
      <c r="J16" s="96">
        <v>1.2596877320534452</v>
      </c>
      <c r="K16" s="96">
        <v>0.95301918724533674</v>
      </c>
      <c r="L16" s="96">
        <v>1.0815406449770113</v>
      </c>
      <c r="M16" s="96">
        <v>0.88745044890292113</v>
      </c>
      <c r="N16" s="96">
        <v>0.79187436394929367</v>
      </c>
      <c r="O16" s="96">
        <v>0.70225170257617975</v>
      </c>
      <c r="P16" s="96">
        <v>0.67745922968136441</v>
      </c>
      <c r="Q16" s="96">
        <v>0.55772596505171901</v>
      </c>
      <c r="R16" s="96">
        <v>0.53137469006556937</v>
      </c>
      <c r="S16" s="96">
        <v>0.51241148273838233</v>
      </c>
      <c r="T16" s="96">
        <v>0.57859641882558321</v>
      </c>
      <c r="U16" s="96">
        <v>0.52300960483631254</v>
      </c>
      <c r="V16" s="96">
        <v>0.6056555334422371</v>
      </c>
      <c r="W16" s="96">
        <v>0.49277858453362189</v>
      </c>
      <c r="X16" s="96">
        <v>0.31194214021720718</v>
      </c>
      <c r="Y16" s="96">
        <v>0.2881246462716181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1.8732397055835004</v>
      </c>
      <c r="C22" s="134">
        <f>IF(C4=0,0,C4/TrRail_ene!C4)</f>
        <v>1.8384636525470808</v>
      </c>
      <c r="D22" s="134">
        <f>IF(D4=0,0,D4/TrRail_ene!D4)</f>
        <v>1.7762303443176501</v>
      </c>
      <c r="E22" s="134">
        <f>IF(E4=0,0,E4/TrRail_ene!E4)</f>
        <v>1.5758883488066131</v>
      </c>
      <c r="F22" s="134">
        <f>IF(F4=0,0,F4/TrRail_ene!F4)</f>
        <v>1.3718372114900832</v>
      </c>
      <c r="G22" s="134">
        <f>IF(G4=0,0,G4/TrRail_ene!G4)</f>
        <v>0.89645306476791198</v>
      </c>
      <c r="H22" s="134">
        <f>IF(H4=0,0,H4/TrRail_ene!H4)</f>
        <v>0.6449779397473997</v>
      </c>
      <c r="I22" s="134">
        <f>IF(I4=0,0,I4/TrRail_ene!I4)</f>
        <v>0.78101623943318299</v>
      </c>
      <c r="J22" s="134">
        <f>IF(J4=0,0,J4/TrRail_ene!J4)</f>
        <v>0.95947079638554222</v>
      </c>
      <c r="K22" s="134">
        <f>IF(K4=0,0,K4/TrRail_ene!K4)</f>
        <v>0.85273585649014716</v>
      </c>
      <c r="L22" s="134">
        <f>IF(L4=0,0,L4/TrRail_ene!L4)</f>
        <v>0.89405748448010069</v>
      </c>
      <c r="M22" s="134">
        <f>IF(M4=0,0,M4/TrRail_ene!M4)</f>
        <v>0.80670690950617285</v>
      </c>
      <c r="N22" s="134">
        <f>IF(N4=0,0,N4/TrRail_ene!N4)</f>
        <v>0.79734979532116845</v>
      </c>
      <c r="O22" s="134">
        <f>IF(O4=0,0,O4/TrRail_ene!O4)</f>
        <v>0.72985020198728867</v>
      </c>
      <c r="P22" s="134">
        <f>IF(P4=0,0,P4/TrRail_ene!P4)</f>
        <v>0.76125507759426614</v>
      </c>
      <c r="Q22" s="134">
        <f>IF(Q4=0,0,Q4/TrRail_ene!Q4)</f>
        <v>0.61344772332766961</v>
      </c>
      <c r="R22" s="134">
        <f>IF(R4=0,0,R4/TrRail_ene!R4)</f>
        <v>0.62754265184996982</v>
      </c>
      <c r="S22" s="134">
        <f>IF(S4=0,0,S4/TrRail_ene!S4)</f>
        <v>0.56945788442720791</v>
      </c>
      <c r="T22" s="134">
        <f>IF(T4=0,0,T4/TrRail_ene!T4)</f>
        <v>0.63437634737060911</v>
      </c>
      <c r="U22" s="134">
        <f>IF(U4=0,0,U4/TrRail_ene!U4)</f>
        <v>0.60514710103889569</v>
      </c>
      <c r="V22" s="134">
        <f>IF(V4=0,0,V4/TrRail_ene!V4)</f>
        <v>0.65207492199036177</v>
      </c>
      <c r="W22" s="134">
        <f>IF(W4=0,0,W4/TrRail_ene!W4)</f>
        <v>0.6288489193190373</v>
      </c>
      <c r="X22" s="134">
        <f>IF(X4=0,0,X4/TrRail_ene!X4)</f>
        <v>0.52614667690011852</v>
      </c>
      <c r="Y22" s="134">
        <f>IF(Y4=0,0,Y4/TrRail_ene!Y4)</f>
        <v>0.53855411553159227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1.5182013431470973</v>
      </c>
      <c r="O23" s="129">
        <f>IF(O5=0,0,O5/SUM(TrRail_ene!O5:O7))</f>
        <v>1.5157031313457117</v>
      </c>
      <c r="P23" s="129">
        <f>IF(P5=0,0,P5/SUM(TrRail_ene!P5:P7))</f>
        <v>1.5000210067544517</v>
      </c>
      <c r="Q23" s="129">
        <f>IF(Q5=0,0,Q5/SUM(TrRail_ene!Q5:Q7))</f>
        <v>1.4987708207743795</v>
      </c>
      <c r="R23" s="129">
        <f>IF(R5=0,0,R5/SUM(TrRail_ene!R5:R7))</f>
        <v>1.4999506309021644</v>
      </c>
      <c r="S23" s="129">
        <f>IF(S5=0,0,S5/SUM(TrRail_ene!S5:S7))</f>
        <v>1.4727260020653434</v>
      </c>
      <c r="T23" s="129">
        <f>IF(T5=0,0,T5/SUM(TrRail_ene!T5:T7))</f>
        <v>1.4816565797893797</v>
      </c>
      <c r="U23" s="129">
        <f>IF(U5=0,0,U5/SUM(TrRail_ene!U5:U7))</f>
        <v>1.4821122165644174</v>
      </c>
      <c r="V23" s="129">
        <f>IF(V5=0,0,V5/SUM(TrRail_ene!V5:V7))</f>
        <v>1.4464061721962314</v>
      </c>
      <c r="W23" s="129">
        <f>IF(W5=0,0,W5/SUM(TrRail_ene!W5:W7))</f>
        <v>1.4518509908411077</v>
      </c>
      <c r="X23" s="129">
        <f>IF(X5=0,0,X5/SUM(TrRail_ene!X5:X7))</f>
        <v>1.4433518714062501</v>
      </c>
      <c r="Y23" s="129">
        <f>IF(Y5=0,0,Y5/SUM(TrRail_ene!Y5:Y7))</f>
        <v>1.4402589484574486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5526.9406083214253</v>
      </c>
      <c r="C26" s="54">
        <f>IF(C8=0,0,C8/TrRail_act!C14*1000)</f>
        <v>5308.2849214802163</v>
      </c>
      <c r="D26" s="54">
        <f>IF(D8=0,0,D8/TrRail_act!D14*1000)</f>
        <v>4966.529818658827</v>
      </c>
      <c r="E26" s="54">
        <f>IF(E8=0,0,E8/TrRail_act!E14*1000)</f>
        <v>4177.5339355607803</v>
      </c>
      <c r="F26" s="54">
        <f>IF(F8=0,0,F8/TrRail_act!F14*1000)</f>
        <v>3444.2810939305627</v>
      </c>
      <c r="G26" s="54">
        <f>IF(G8=0,0,G8/TrRail_act!G14*1000)</f>
        <v>1934.7959534000956</v>
      </c>
      <c r="H26" s="54">
        <f>IF(H8=0,0,H8/TrRail_act!H14*1000)</f>
        <v>1307.9706521093628</v>
      </c>
      <c r="I26" s="54">
        <f>IF(I8=0,0,I8/TrRail_act!I14*1000)</f>
        <v>1621.0295925514879</v>
      </c>
      <c r="J26" s="54">
        <f>IF(J8=0,0,J8/TrRail_act!J14*1000)</f>
        <v>1964.6633745255572</v>
      </c>
      <c r="K26" s="54">
        <f>IF(K8=0,0,K8/TrRail_act!K14*1000)</f>
        <v>1682.7746406013841</v>
      </c>
      <c r="L26" s="54">
        <f>IF(L8=0,0,L8/TrRail_act!L14*1000)</f>
        <v>1758.2292051770046</v>
      </c>
      <c r="M26" s="54">
        <f>IF(M8=0,0,M8/TrRail_act!M14*1000)</f>
        <v>1543.5333441923892</v>
      </c>
      <c r="N26" s="54">
        <f>IF(N8=0,0,N8/TrRail_act!N14*1000)</f>
        <v>1483.8651897297441</v>
      </c>
      <c r="O26" s="54">
        <f>IF(O8=0,0,O8/TrRail_act!O14*1000)</f>
        <v>1322.799329204674</v>
      </c>
      <c r="P26" s="54">
        <f>IF(P8=0,0,P8/TrRail_act!P14*1000)</f>
        <v>1321.8819119259435</v>
      </c>
      <c r="Q26" s="54">
        <f>IF(Q8=0,0,Q8/TrRail_act!Q14*1000)</f>
        <v>1020.521386978987</v>
      </c>
      <c r="R26" s="54">
        <f>IF(R8=0,0,R8/TrRail_act!R14*1000)</f>
        <v>1024.6414889955488</v>
      </c>
      <c r="S26" s="54">
        <f>IF(S8=0,0,S8/TrRail_act!S14*1000)</f>
        <v>915.61458957971797</v>
      </c>
      <c r="T26" s="54">
        <f>IF(T8=0,0,T8/TrRail_act!T14*1000)</f>
        <v>986.69673539522307</v>
      </c>
      <c r="U26" s="54">
        <f>IF(U8=0,0,U8/TrRail_act!U14*1000)</f>
        <v>914.68024280083262</v>
      </c>
      <c r="V26" s="54">
        <f>IF(V8=0,0,V8/TrRail_act!V14*1000)</f>
        <v>984.24991561028924</v>
      </c>
      <c r="W26" s="54">
        <f>IF(W8=0,0,W8/TrRail_act!W14*1000)</f>
        <v>930.82344800509475</v>
      </c>
      <c r="X26" s="54">
        <f>IF(X8=0,0,X8/TrRail_act!X14*1000)</f>
        <v>731.10588922816987</v>
      </c>
      <c r="Y26" s="54">
        <f>IF(Y8=0,0,Y8/TrRail_act!Y14*1000)</f>
        <v>758.94800410549396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5754.6974841004749</v>
      </c>
      <c r="C27" s="28">
        <f>IF(C9=0,0,C9/TrRail_act!C15*1000)</f>
        <v>5714.5427940960117</v>
      </c>
      <c r="D27" s="28">
        <f>IF(D9=0,0,D9/TrRail_act!D15*1000)</f>
        <v>5483.4727931349971</v>
      </c>
      <c r="E27" s="28">
        <f>IF(E9=0,0,E9/TrRail_act!E15*1000)</f>
        <v>4584.8421635568338</v>
      </c>
      <c r="F27" s="28">
        <f>IF(F9=0,0,F9/TrRail_act!F15*1000)</f>
        <v>3752.6217167646355</v>
      </c>
      <c r="G27" s="28">
        <f>IF(G9=0,0,G9/TrRail_act!G15*1000)</f>
        <v>1914.245384991453</v>
      </c>
      <c r="H27" s="28">
        <f>IF(H9=0,0,H9/TrRail_act!H15*1000)</f>
        <v>1333.0980450586917</v>
      </c>
      <c r="I27" s="28">
        <f>IF(I9=0,0,I9/TrRail_act!I15*1000)</f>
        <v>1657.2727655817271</v>
      </c>
      <c r="J27" s="28">
        <f>IF(J9=0,0,J9/TrRail_act!J15*1000)</f>
        <v>2050.5593128615342</v>
      </c>
      <c r="K27" s="28">
        <f>IF(K9=0,0,K9/TrRail_act!K15*1000)</f>
        <v>1717.1730115427092</v>
      </c>
      <c r="L27" s="28">
        <f>IF(L9=0,0,L9/TrRail_act!L15*1000)</f>
        <v>1803.7861300191275</v>
      </c>
      <c r="M27" s="28">
        <f>IF(M9=0,0,M9/TrRail_act!M15*1000)</f>
        <v>1572.9413085473577</v>
      </c>
      <c r="N27" s="28">
        <f>IF(N9=0,0,N9/TrRail_act!N15*1000)</f>
        <v>1498.1672792809502</v>
      </c>
      <c r="O27" s="28">
        <f>IF(O9=0,0,O9/TrRail_act!O15*1000)</f>
        <v>1333.1041516108573</v>
      </c>
      <c r="P27" s="28">
        <f>IF(P9=0,0,P9/TrRail_act!P15*1000)</f>
        <v>1328.232534060272</v>
      </c>
      <c r="Q27" s="28">
        <f>IF(Q9=0,0,Q9/TrRail_act!Q15*1000)</f>
        <v>1022.9922702515127</v>
      </c>
      <c r="R27" s="28">
        <f>IF(R9=0,0,R9/TrRail_act!R15*1000)</f>
        <v>1027.388700230546</v>
      </c>
      <c r="S27" s="28">
        <f>IF(S9=0,0,S9/TrRail_act!S15*1000)</f>
        <v>917.56893743691512</v>
      </c>
      <c r="T27" s="28">
        <f>IF(T9=0,0,T9/TrRail_act!T15*1000)</f>
        <v>985.27489077433211</v>
      </c>
      <c r="U27" s="28">
        <f>IF(U9=0,0,U9/TrRail_act!U15*1000)</f>
        <v>913.0783177890944</v>
      </c>
      <c r="V27" s="28">
        <f>IF(V9=0,0,V9/TrRail_act!V15*1000)</f>
        <v>971.33054762202642</v>
      </c>
      <c r="W27" s="28">
        <f>IF(W9=0,0,W9/TrRail_act!W15*1000)</f>
        <v>928.23785021364438</v>
      </c>
      <c r="X27" s="28">
        <f>IF(X9=0,0,X9/TrRail_act!X15*1000)</f>
        <v>733.9604075984746</v>
      </c>
      <c r="Y27" s="28">
        <f>IF(Y9=0,0,Y9/TrRail_act!Y15*1000)</f>
        <v>765.59387519660629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5754.6974841004749</v>
      </c>
      <c r="C29" s="110">
        <f>IF(C11=0,0,C11/TrRail_act!C17*1000)</f>
        <v>5714.5427940960117</v>
      </c>
      <c r="D29" s="110">
        <f>IF(D11=0,0,D11/TrRail_act!D17*1000)</f>
        <v>5483.4727931349971</v>
      </c>
      <c r="E29" s="110">
        <f>IF(E11=0,0,E11/TrRail_act!E17*1000)</f>
        <v>4584.8421635568338</v>
      </c>
      <c r="F29" s="110">
        <f>IF(F11=0,0,F11/TrRail_act!F17*1000)</f>
        <v>3752.6217167646355</v>
      </c>
      <c r="G29" s="110">
        <f>IF(G11=0,0,G11/TrRail_act!G17*1000)</f>
        <v>1914.245384991453</v>
      </c>
      <c r="H29" s="110">
        <f>IF(H11=0,0,H11/TrRail_act!H17*1000)</f>
        <v>1333.0980450586917</v>
      </c>
      <c r="I29" s="110">
        <f>IF(I11=0,0,I11/TrRail_act!I17*1000)</f>
        <v>1657.2727655817271</v>
      </c>
      <c r="J29" s="110">
        <f>IF(J11=0,0,J11/TrRail_act!J17*1000)</f>
        <v>2050.5593128615342</v>
      </c>
      <c r="K29" s="110">
        <f>IF(K11=0,0,K11/TrRail_act!K17*1000)</f>
        <v>1717.1730115427092</v>
      </c>
      <c r="L29" s="110">
        <f>IF(L11=0,0,L11/TrRail_act!L17*1000)</f>
        <v>1803.7861300191275</v>
      </c>
      <c r="M29" s="110">
        <f>IF(M11=0,0,M11/TrRail_act!M17*1000)</f>
        <v>1572.9413085473577</v>
      </c>
      <c r="N29" s="110">
        <f>IF(N11=0,0,N11/TrRail_act!N17*1000)</f>
        <v>1498.1672792809502</v>
      </c>
      <c r="O29" s="110">
        <f>IF(O11=0,0,O11/TrRail_act!O17*1000)</f>
        <v>1333.1041516108573</v>
      </c>
      <c r="P29" s="110">
        <f>IF(P11=0,0,P11/TrRail_act!P17*1000)</f>
        <v>1328.232534060272</v>
      </c>
      <c r="Q29" s="110">
        <f>IF(Q11=0,0,Q11/TrRail_act!Q17*1000)</f>
        <v>1022.9922702515127</v>
      </c>
      <c r="R29" s="110">
        <f>IF(R11=0,0,R11/TrRail_act!R17*1000)</f>
        <v>1027.388700230546</v>
      </c>
      <c r="S29" s="110">
        <f>IF(S11=0,0,S11/TrRail_act!S17*1000)</f>
        <v>917.56893743691512</v>
      </c>
      <c r="T29" s="110">
        <f>IF(T11=0,0,T11/TrRail_act!T17*1000)</f>
        <v>1032.1156976822856</v>
      </c>
      <c r="U29" s="110">
        <f>IF(U11=0,0,U11/TrRail_act!U17*1000)</f>
        <v>981.7583550573753</v>
      </c>
      <c r="V29" s="110">
        <f>IF(V11=0,0,V11/TrRail_act!V17*1000)</f>
        <v>1053.8211702306332</v>
      </c>
      <c r="W29" s="110">
        <f>IF(W11=0,0,W11/TrRail_act!W17*1000)</f>
        <v>1022.3444133636084</v>
      </c>
      <c r="X29" s="110">
        <f>IF(X11=0,0,X11/TrRail_act!X17*1000)</f>
        <v>864.29002769962028</v>
      </c>
      <c r="Y29" s="110">
        <f>IF(Y11=0,0,Y11/TrRail_act!Y17*1000)</f>
        <v>882.8369991171553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11073.189328232518</v>
      </c>
      <c r="C30" s="84">
        <f>IF(C12=0,0,C12/TrRail_act!C18*1000)</f>
        <v>10962.668366984217</v>
      </c>
      <c r="D30" s="84">
        <f>IF(D12=0,0,D12/TrRail_act!D18*1000)</f>
        <v>10802.793412878935</v>
      </c>
      <c r="E30" s="84">
        <f>IF(E12=0,0,E12/TrRail_act!E18*1000)</f>
        <v>10700.963718597106</v>
      </c>
      <c r="F30" s="84">
        <f>IF(F12=0,0,F12/TrRail_act!F18*1000)</f>
        <v>10495.22024223504</v>
      </c>
      <c r="G30" s="84">
        <f>IF(G12=0,0,G12/TrRail_act!G18*1000)</f>
        <v>10026.274466341332</v>
      </c>
      <c r="H30" s="84">
        <f>IF(H12=0,0,H12/TrRail_act!H18*1000)</f>
        <v>9445.7213852466211</v>
      </c>
      <c r="I30" s="84">
        <f>IF(I12=0,0,I12/TrRail_act!I18*1000)</f>
        <v>9080.3156590624385</v>
      </c>
      <c r="J30" s="84">
        <f>IF(J12=0,0,J12/TrRail_act!J18*1000)</f>
        <v>8853.0755841031423</v>
      </c>
      <c r="K30" s="84">
        <f>IF(K12=0,0,K12/TrRail_act!K18*1000)</f>
        <v>8890.7118909127621</v>
      </c>
      <c r="L30" s="84">
        <f>IF(L12=0,0,L12/TrRail_act!L18*1000)</f>
        <v>8472.8764645018091</v>
      </c>
      <c r="M30" s="84">
        <f>IF(M12=0,0,M12/TrRail_act!M18*1000)</f>
        <v>8184.9054786704355</v>
      </c>
      <c r="N30" s="84">
        <f>IF(N12=0,0,N12/TrRail_act!N18*1000)</f>
        <v>7852.5817409055198</v>
      </c>
      <c r="O30" s="84">
        <f>IF(O12=0,0,O12/TrRail_act!O18*1000)</f>
        <v>7607.3750075511061</v>
      </c>
      <c r="P30" s="84">
        <f>IF(P12=0,0,P12/TrRail_act!P18*1000)</f>
        <v>7084.0418123968238</v>
      </c>
      <c r="Q30" s="84">
        <f>IF(Q12=0,0,Q12/TrRail_act!Q18*1000)</f>
        <v>7056.0751385139702</v>
      </c>
      <c r="R30" s="84">
        <f>IF(R12=0,0,R12/TrRail_act!R18*1000)</f>
        <v>6974.66369632838</v>
      </c>
      <c r="S30" s="84">
        <f>IF(S12=0,0,S12/TrRail_act!S18*1000)</f>
        <v>6784.7213488590114</v>
      </c>
      <c r="T30" s="84">
        <f>IF(T12=0,0,T12/TrRail_act!T18*1000)</f>
        <v>6778.4505291200549</v>
      </c>
      <c r="U30" s="84">
        <f>IF(U12=0,0,U12/TrRail_act!U18*1000)</f>
        <v>6745.1804978957389</v>
      </c>
      <c r="V30" s="84">
        <f>IF(V12=0,0,V12/TrRail_act!V18*1000)</f>
        <v>6556.9211921958486</v>
      </c>
      <c r="W30" s="84">
        <f>IF(W12=0,0,W12/TrRail_act!W18*1000)</f>
        <v>6562.2783758486685</v>
      </c>
      <c r="X30" s="84">
        <f>IF(X12=0,0,X12/TrRail_act!X18*1000)</f>
        <v>6509.4905941904599</v>
      </c>
      <c r="Y30" s="84">
        <f>IF(Y12=0,0,Y12/TrRail_act!Y18*1000)</f>
        <v>6484.8061963259552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4965.0766627126904</v>
      </c>
      <c r="C33" s="28">
        <f>IF(C15=0,0,C15/TrRail_act!C21*1000)</f>
        <v>4279.9803076515846</v>
      </c>
      <c r="D33" s="28">
        <f>IF(D15=0,0,D15/TrRail_act!D21*1000)</f>
        <v>3710.7624248716415</v>
      </c>
      <c r="E33" s="28">
        <f>IF(E15=0,0,E15/TrRail_act!E21*1000)</f>
        <v>3263.0729478586259</v>
      </c>
      <c r="F33" s="28">
        <f>IF(F15=0,0,F15/TrRail_act!F21*1000)</f>
        <v>2813.7356046938339</v>
      </c>
      <c r="G33" s="28">
        <f>IF(G15=0,0,G15/TrRail_act!G21*1000)</f>
        <v>2014.08354908963</v>
      </c>
      <c r="H33" s="28">
        <f>IF(H15=0,0,H15/TrRail_act!H21*1000)</f>
        <v>1201.7336324444047</v>
      </c>
      <c r="I33" s="28">
        <f>IF(I15=0,0,I15/TrRail_act!I21*1000)</f>
        <v>1486.9257155708901</v>
      </c>
      <c r="J33" s="28">
        <f>IF(J15=0,0,J15/TrRail_act!J21*1000)</f>
        <v>1395.3071351678502</v>
      </c>
      <c r="K33" s="28">
        <f>IF(K15=0,0,K15/TrRail_act!K21*1000)</f>
        <v>1380.9236621120635</v>
      </c>
      <c r="L33" s="28">
        <f>IF(L15=0,0,L15/TrRail_act!L21*1000)</f>
        <v>1377.5142912270369</v>
      </c>
      <c r="M33" s="28">
        <f>IF(M15=0,0,M15/TrRail_act!M21*1000)</f>
        <v>1247.8282108732319</v>
      </c>
      <c r="N33" s="28">
        <f>IF(N15=0,0,N15/TrRail_act!N21*1000)</f>
        <v>1307.7492831263257</v>
      </c>
      <c r="O33" s="28">
        <f>IF(O15=0,0,O15/TrRail_act!O21*1000)</f>
        <v>1185.5837653880337</v>
      </c>
      <c r="P33" s="28">
        <f>IF(P15=0,0,P15/TrRail_act!P21*1000)</f>
        <v>1229.3478143462403</v>
      </c>
      <c r="Q33" s="28">
        <f>IF(Q15=0,0,Q15/TrRail_act!Q21*1000)</f>
        <v>984.00647623052294</v>
      </c>
      <c r="R33" s="28">
        <f>IF(R15=0,0,R15/TrRail_act!R21*1000)</f>
        <v>981.13243785113502</v>
      </c>
      <c r="S33" s="28">
        <f>IF(S15=0,0,S15/TrRail_act!S21*1000)</f>
        <v>886.06778055890925</v>
      </c>
      <c r="T33" s="28">
        <f>IF(T15=0,0,T15/TrRail_act!T21*1000)</f>
        <v>1011.0458624840064</v>
      </c>
      <c r="U33" s="28">
        <f>IF(U15=0,0,U15/TrRail_act!U21*1000)</f>
        <v>943.80241521187816</v>
      </c>
      <c r="V33" s="28">
        <f>IF(V15=0,0,V15/TrRail_act!V21*1000)</f>
        <v>1223.7331159711114</v>
      </c>
      <c r="W33" s="28">
        <f>IF(W15=0,0,W15/TrRail_act!W21*1000)</f>
        <v>983.58583276647369</v>
      </c>
      <c r="X33" s="28">
        <f>IF(X15=0,0,X15/TrRail_act!X21*1000)</f>
        <v>667.59190025999908</v>
      </c>
      <c r="Y33" s="28">
        <f>IF(Y15=0,0,Y15/TrRail_act!Y21*1000)</f>
        <v>612.18971946349996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15908.659270165594</v>
      </c>
      <c r="C34" s="84">
        <f>IF(C16=0,0,C16/TrRail_act!C22*1000)</f>
        <v>15798.262175316524</v>
      </c>
      <c r="D34" s="84">
        <f>IF(D16=0,0,D16/TrRail_act!D22*1000)</f>
        <v>15693.457992940046</v>
      </c>
      <c r="E34" s="84">
        <f>IF(E16=0,0,E16/TrRail_act!E22*1000)</f>
        <v>15555.160880386176</v>
      </c>
      <c r="F34" s="84">
        <f>IF(F16=0,0,F16/TrRail_act!F22*1000)</f>
        <v>15408.419686767937</v>
      </c>
      <c r="G34" s="84">
        <f>IF(G16=0,0,G16/TrRail_act!G22*1000)</f>
        <v>15314.095973602885</v>
      </c>
      <c r="H34" s="84">
        <f>IF(H16=0,0,H16/TrRail_act!H22*1000)</f>
        <v>15192.83548384208</v>
      </c>
      <c r="I34" s="84">
        <f>IF(I16=0,0,I16/TrRail_act!I22*1000)</f>
        <v>15015.439258165276</v>
      </c>
      <c r="J34" s="84">
        <f>IF(J16=0,0,J16/TrRail_act!J22*1000)</f>
        <v>14868.998709162081</v>
      </c>
      <c r="K34" s="84">
        <f>IF(K16=0,0,K16/TrRail_act!K22*1000)</f>
        <v>14980.490005263429</v>
      </c>
      <c r="L34" s="84">
        <f>IF(L16=0,0,L16/TrRail_act!L22*1000)</f>
        <v>14579.133097973438</v>
      </c>
      <c r="M34" s="84">
        <f>IF(M16=0,0,M16/TrRail_act!M22*1000)</f>
        <v>14486.610081854105</v>
      </c>
      <c r="N34" s="84">
        <f>IF(N16=0,0,N16/TrRail_act!N22*1000)</f>
        <v>14066.856176303791</v>
      </c>
      <c r="O34" s="84">
        <f>IF(O16=0,0,O16/TrRail_act!O22*1000)</f>
        <v>13912.42921989868</v>
      </c>
      <c r="P34" s="84">
        <f>IF(P16=0,0,P16/TrRail_act!P22*1000)</f>
        <v>13684.38560946576</v>
      </c>
      <c r="Q34" s="84">
        <f>IF(Q16=0,0,Q16/TrRail_act!Q22*1000)</f>
        <v>13585.178414721304</v>
      </c>
      <c r="R34" s="84">
        <f>IF(R16=0,0,R16/TrRail_act!R22*1000)</f>
        <v>13530.339626834299</v>
      </c>
      <c r="S34" s="84">
        <f>IF(S16=0,0,S16/TrRail_act!S22*1000)</f>
        <v>13236.705292269069</v>
      </c>
      <c r="T34" s="84">
        <f>IF(T16=0,0,T16/TrRail_act!T22*1000)</f>
        <v>13280.828175502091</v>
      </c>
      <c r="U34" s="84">
        <f>IF(U16=0,0,U16/TrRail_act!U22*1000)</f>
        <v>13257.860199753695</v>
      </c>
      <c r="V34" s="84">
        <f>IF(V16=0,0,V16/TrRail_act!V22*1000)</f>
        <v>12918.695824022361</v>
      </c>
      <c r="W34" s="84">
        <f>IF(W16=0,0,W16/TrRail_act!W22*1000)</f>
        <v>12952.467023457008</v>
      </c>
      <c r="X34" s="84">
        <f>IF(X16=0,0,X16/TrRail_act!X22*1000)</f>
        <v>12865.575043145516</v>
      </c>
      <c r="Y34" s="84">
        <f>IF(Y16=0,0,Y16/TrRail_act!Y22*1000)</f>
        <v>12829.728452975398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54.165379542686019</v>
      </c>
      <c r="C38" s="29">
        <f>IF(C9=0,0,C9/TrRail_act!C4*1000)</f>
        <v>60.03791604876681</v>
      </c>
      <c r="D38" s="29">
        <f>IF(D9=0,0,D9/TrRail_act!D4*1000)</f>
        <v>74.289373819375058</v>
      </c>
      <c r="E38" s="29">
        <f>IF(E9=0,0,E9/TrRail_act!E4*1000)</f>
        <v>56.055637509139331</v>
      </c>
      <c r="F38" s="29">
        <f>IF(F9=0,0,F9/TrRail_act!F4*1000)</f>
        <v>46.07980120390414</v>
      </c>
      <c r="G38" s="29">
        <f>IF(G9=0,0,G9/TrRail_act!G4*1000)</f>
        <v>30.136905764871511</v>
      </c>
      <c r="H38" s="29">
        <f>IF(H9=0,0,H9/TrRail_act!H4*1000)</f>
        <v>21.472841751113151</v>
      </c>
      <c r="I38" s="29">
        <f>IF(I9=0,0,I9/TrRail_act!I4*1000)</f>
        <v>26.916896125441284</v>
      </c>
      <c r="J38" s="29">
        <f>IF(J9=0,0,J9/TrRail_act!J4*1000)</f>
        <v>35.56786373317842</v>
      </c>
      <c r="K38" s="29">
        <f>IF(K9=0,0,K9/TrRail_act!K4*1000)</f>
        <v>31.228887005269257</v>
      </c>
      <c r="L38" s="29">
        <f>IF(L9=0,0,L9/TrRail_act!L4*1000)</f>
        <v>34.107335201795351</v>
      </c>
      <c r="M38" s="29">
        <f>IF(M9=0,0,M9/TrRail_act!M4*1000)</f>
        <v>32.230742094834042</v>
      </c>
      <c r="N38" s="29">
        <f>IF(N9=0,0,N9/TrRail_act!N4*1000)</f>
        <v>29.949002241422804</v>
      </c>
      <c r="O38" s="29">
        <f>IF(O9=0,0,O9/TrRail_act!O4*1000)</f>
        <v>26.686479130517316</v>
      </c>
      <c r="P38" s="29">
        <f>IF(P9=0,0,P9/TrRail_act!P4*1000)</f>
        <v>29.139825055515399</v>
      </c>
      <c r="Q38" s="29">
        <f>IF(Q9=0,0,Q9/TrRail_act!Q4*1000)</f>
        <v>20.499203719971966</v>
      </c>
      <c r="R38" s="29">
        <f>IF(R9=0,0,R9/TrRail_act!R4*1000)</f>
        <v>21.132920455478256</v>
      </c>
      <c r="S38" s="29">
        <f>IF(S9=0,0,S9/TrRail_act!S4*1000)</f>
        <v>18.315771591921511</v>
      </c>
      <c r="T38" s="29">
        <f>IF(T9=0,0,T9/TrRail_act!T4*1000)</f>
        <v>20.877659980917656</v>
      </c>
      <c r="U38" s="29">
        <f>IF(U9=0,0,U9/TrRail_act!U4*1000)</f>
        <v>18.612960492034979</v>
      </c>
      <c r="V38" s="29">
        <f>IF(V9=0,0,V9/TrRail_act!V4*1000)</f>
        <v>29.73083555900239</v>
      </c>
      <c r="W38" s="29">
        <f>IF(W9=0,0,W9/TrRail_act!W4*1000)</f>
        <v>27.215125137557713</v>
      </c>
      <c r="X38" s="29">
        <f>IF(X9=0,0,X9/TrRail_act!X4*1000)</f>
        <v>15.651393415614386</v>
      </c>
      <c r="Y38" s="29">
        <f>IF(Y9=0,0,Y9/TrRail_act!Y4*1000)</f>
        <v>12.948565392560427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54.165379542686019</v>
      </c>
      <c r="C40" s="116">
        <f>IF(C11=0,0,C11/TrRail_act!C6*1000)</f>
        <v>60.03791604876681</v>
      </c>
      <c r="D40" s="116">
        <f>IF(D11=0,0,D11/TrRail_act!D6*1000)</f>
        <v>74.289373819375058</v>
      </c>
      <c r="E40" s="116">
        <f>IF(E11=0,0,E11/TrRail_act!E6*1000)</f>
        <v>56.055637509139331</v>
      </c>
      <c r="F40" s="116">
        <f>IF(F11=0,0,F11/TrRail_act!F6*1000)</f>
        <v>46.07980120390414</v>
      </c>
      <c r="G40" s="116">
        <f>IF(G11=0,0,G11/TrRail_act!G6*1000)</f>
        <v>30.136905764871511</v>
      </c>
      <c r="H40" s="116">
        <f>IF(H11=0,0,H11/TrRail_act!H6*1000)</f>
        <v>21.472841751113151</v>
      </c>
      <c r="I40" s="116">
        <f>IF(I11=0,0,I11/TrRail_act!I6*1000)</f>
        <v>26.916896125441284</v>
      </c>
      <c r="J40" s="116">
        <f>IF(J11=0,0,J11/TrRail_act!J6*1000)</f>
        <v>35.56786373317842</v>
      </c>
      <c r="K40" s="116">
        <f>IF(K11=0,0,K11/TrRail_act!K6*1000)</f>
        <v>31.228887005269257</v>
      </c>
      <c r="L40" s="116">
        <f>IF(L11=0,0,L11/TrRail_act!L6*1000)</f>
        <v>34.107335201795351</v>
      </c>
      <c r="M40" s="116">
        <f>IF(M11=0,0,M11/TrRail_act!M6*1000)</f>
        <v>32.230742094834042</v>
      </c>
      <c r="N40" s="116">
        <f>IF(N11=0,0,N11/TrRail_act!N6*1000)</f>
        <v>29.949002241422804</v>
      </c>
      <c r="O40" s="116">
        <f>IF(O11=0,0,O11/TrRail_act!O6*1000)</f>
        <v>26.686479130517316</v>
      </c>
      <c r="P40" s="116">
        <f>IF(P11=0,0,P11/TrRail_act!P6*1000)</f>
        <v>29.139825055515399</v>
      </c>
      <c r="Q40" s="116">
        <f>IF(Q11=0,0,Q11/TrRail_act!Q6*1000)</f>
        <v>20.499203719971966</v>
      </c>
      <c r="R40" s="116">
        <f>IF(R11=0,0,R11/TrRail_act!R6*1000)</f>
        <v>21.132920455478256</v>
      </c>
      <c r="S40" s="116">
        <f>IF(S11=0,0,S11/TrRail_act!S6*1000)</f>
        <v>18.315771591921511</v>
      </c>
      <c r="T40" s="116">
        <f>IF(T11=0,0,T11/TrRail_act!T6*1000)</f>
        <v>21.796654043283109</v>
      </c>
      <c r="U40" s="116">
        <f>IF(U11=0,0,U11/TrRail_act!U6*1000)</f>
        <v>19.867224784370816</v>
      </c>
      <c r="V40" s="116">
        <f>IF(V11=0,0,V11/TrRail_act!V6*1000)</f>
        <v>33.251023233424483</v>
      </c>
      <c r="W40" s="116">
        <f>IF(W11=0,0,W11/TrRail_act!W6*1000)</f>
        <v>31.216822814034128</v>
      </c>
      <c r="X40" s="116">
        <f>IF(X11=0,0,X11/TrRail_act!X6*1000)</f>
        <v>19.616547197385074</v>
      </c>
      <c r="Y40" s="116">
        <f>IF(Y11=0,0,Y11/TrRail_act!Y6*1000)</f>
        <v>15.756224621244323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247.38540879721833</v>
      </c>
      <c r="C41" s="87">
        <f>IF(C12=0,0,C12/TrRail_act!C7*1000)</f>
        <v>279.51962573263648</v>
      </c>
      <c r="D41" s="87">
        <f>IF(D12=0,0,D12/TrRail_act!D7*1000)</f>
        <v>275.59828762175317</v>
      </c>
      <c r="E41" s="87">
        <f>IF(E12=0,0,E12/TrRail_act!E7*1000)</f>
        <v>277.7286661770753</v>
      </c>
      <c r="F41" s="87">
        <f>IF(F12=0,0,F12/TrRail_act!F7*1000)</f>
        <v>275.47564999656163</v>
      </c>
      <c r="G41" s="87">
        <f>IF(G12=0,0,G12/TrRail_act!G7*1000)</f>
        <v>264.78824709815012</v>
      </c>
      <c r="H41" s="87">
        <f>IF(H12=0,0,H12/TrRail_act!H7*1000)</f>
        <v>206.69752064365809</v>
      </c>
      <c r="I41" s="87">
        <f>IF(I12=0,0,I12/TrRail_act!I7*1000)</f>
        <v>170.87936028007107</v>
      </c>
      <c r="J41" s="87">
        <f>IF(J12=0,0,J12/TrRail_act!J7*1000)</f>
        <v>178.28823200821449</v>
      </c>
      <c r="K41" s="87">
        <f>IF(K12=0,0,K12/TrRail_act!K7*1000)</f>
        <v>186.74834584768152</v>
      </c>
      <c r="L41" s="87">
        <f>IF(L12=0,0,L12/TrRail_act!L7*1000)</f>
        <v>194.43169083404405</v>
      </c>
      <c r="M41" s="87">
        <f>IF(M12=0,0,M12/TrRail_act!M7*1000)</f>
        <v>203.85691737936753</v>
      </c>
      <c r="N41" s="87">
        <f>IF(N12=0,0,N12/TrRail_act!N7*1000)</f>
        <v>177.13132342558131</v>
      </c>
      <c r="O41" s="87">
        <f>IF(O12=0,0,O12/TrRail_act!O7*1000)</f>
        <v>206.75793132497103</v>
      </c>
      <c r="P41" s="87">
        <f>IF(P12=0,0,P12/TrRail_act!P7*1000)</f>
        <v>169.02783115257537</v>
      </c>
      <c r="Q41" s="87">
        <f>IF(Q12=0,0,Q12/TrRail_act!Q7*1000)</f>
        <v>165.10105108508566</v>
      </c>
      <c r="R41" s="87">
        <f>IF(R12=0,0,R12/TrRail_act!R7*1000)</f>
        <v>166.48314146065439</v>
      </c>
      <c r="S41" s="87">
        <f>IF(S12=0,0,S12/TrRail_act!S7*1000)</f>
        <v>156.21961631787141</v>
      </c>
      <c r="T41" s="87">
        <f>IF(T12=0,0,T12/TrRail_act!T7*1000)</f>
        <v>161.9375854430088</v>
      </c>
      <c r="U41" s="87">
        <f>IF(U12=0,0,U12/TrRail_act!U7*1000)</f>
        <v>151.80839391013851</v>
      </c>
      <c r="V41" s="87">
        <f>IF(V12=0,0,V12/TrRail_act!V7*1000)</f>
        <v>268.26626800179667</v>
      </c>
      <c r="W41" s="87">
        <f>IF(W12=0,0,W12/TrRail_act!W7*1000)</f>
        <v>211.32835982184304</v>
      </c>
      <c r="X41" s="87">
        <f>IF(X12=0,0,X12/TrRail_act!X7*1000)</f>
        <v>146.37918283846253</v>
      </c>
      <c r="Y41" s="87">
        <f>IF(Y12=0,0,Y12/TrRail_act!Y7*1000)</f>
        <v>117.57209432723431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9.9514551136522815</v>
      </c>
      <c r="C44" s="29">
        <f>IF(C15=0,0,C15/TrRail_act!C10*1000)</f>
        <v>10.507178952353311</v>
      </c>
      <c r="D44" s="29">
        <f>IF(D15=0,0,D15/TrRail_act!D10*1000)</f>
        <v>10.084159229831794</v>
      </c>
      <c r="E44" s="29">
        <f>IF(E15=0,0,E15/TrRail_act!E10*1000)</f>
        <v>8.867918195439028</v>
      </c>
      <c r="F44" s="29">
        <f>IF(F15=0,0,F15/TrRail_act!F10*1000)</f>
        <v>7.6468422458179779</v>
      </c>
      <c r="G44" s="29">
        <f>IF(G15=0,0,G15/TrRail_act!G10*1000)</f>
        <v>5.59786367545742</v>
      </c>
      <c r="H44" s="29">
        <f>IF(H15=0,0,H15/TrRail_act!H10*1000)</f>
        <v>3.0937475695425851</v>
      </c>
      <c r="I44" s="29">
        <f>IF(I15=0,0,I15/TrRail_act!I10*1000)</f>
        <v>3.5931911922657704</v>
      </c>
      <c r="J44" s="29">
        <f>IF(J15=0,0,J15/TrRail_act!J10*1000)</f>
        <v>4.5150097923062544</v>
      </c>
      <c r="K44" s="29">
        <f>IF(K15=0,0,K15/TrRail_act!K10*1000)</f>
        <v>4.7650959362266834</v>
      </c>
      <c r="L44" s="29">
        <f>IF(L15=0,0,L15/TrRail_act!L10*1000)</f>
        <v>3.3484230494644311</v>
      </c>
      <c r="M44" s="29">
        <f>IF(M15=0,0,M15/TrRail_act!M10*1000)</f>
        <v>3.0814251698018094</v>
      </c>
      <c r="N44" s="29">
        <f>IF(N15=0,0,N15/TrRail_act!N10*1000)</f>
        <v>3.428027549564042</v>
      </c>
      <c r="O44" s="29">
        <f>IF(O15=0,0,O15/TrRail_act!O10*1000)</f>
        <v>3.2213380852118338</v>
      </c>
      <c r="P44" s="29">
        <f>IF(P15=0,0,P15/TrRail_act!P10*1000)</f>
        <v>3.2570155273142518</v>
      </c>
      <c r="Q44" s="29">
        <f>IF(Q15=0,0,Q15/TrRail_act!Q10*1000)</f>
        <v>2.6943283335831838</v>
      </c>
      <c r="R44" s="29">
        <f>IF(R15=0,0,R15/TrRail_act!R10*1000)</f>
        <v>2.643655174455569</v>
      </c>
      <c r="S44" s="29">
        <f>IF(S15=0,0,S15/TrRail_act!S10*1000)</f>
        <v>2.4056877123867717</v>
      </c>
      <c r="T44" s="29">
        <f>IF(T15=0,0,T15/TrRail_act!T10*1000)</f>
        <v>2.594602775002615</v>
      </c>
      <c r="U44" s="29">
        <f>IF(U15=0,0,U15/TrRail_act!U10*1000)</f>
        <v>2.7382701823890709</v>
      </c>
      <c r="V44" s="29">
        <f>IF(V15=0,0,V15/TrRail_act!V10*1000)</f>
        <v>3.7386144039644265</v>
      </c>
      <c r="W44" s="29">
        <f>IF(W15=0,0,W15/TrRail_act!W10*1000)</f>
        <v>2.799878321213761</v>
      </c>
      <c r="X44" s="29">
        <f>IF(X15=0,0,X15/TrRail_act!X10*1000)</f>
        <v>1.8679170072886657</v>
      </c>
      <c r="Y44" s="29">
        <f>IF(Y15=0,0,Y15/TrRail_act!Y10*1000)</f>
        <v>1.655888771675966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38.996146457380945</v>
      </c>
      <c r="C45" s="87">
        <f>IF(C16=0,0,C16/TrRail_act!C11*1000)</f>
        <v>41.934595264182768</v>
      </c>
      <c r="D45" s="87">
        <f>IF(D16=0,0,D16/TrRail_act!D11*1000)</f>
        <v>41.624285101744334</v>
      </c>
      <c r="E45" s="87">
        <f>IF(E16=0,0,E16/TrRail_act!E11*1000)</f>
        <v>41.154983214277507</v>
      </c>
      <c r="F45" s="87">
        <f>IF(F16=0,0,F16/TrRail_act!F11*1000)</f>
        <v>40.663316528122074</v>
      </c>
      <c r="G45" s="87">
        <f>IF(G16=0,0,G16/TrRail_act!G11*1000)</f>
        <v>45.283242194925705</v>
      </c>
      <c r="H45" s="87">
        <f>IF(H16=0,0,H16/TrRail_act!H11*1000)</f>
        <v>34.674601339016355</v>
      </c>
      <c r="I45" s="87">
        <f>IF(I16=0,0,I16/TrRail_act!I11*1000)</f>
        <v>33.314559631960549</v>
      </c>
      <c r="J45" s="87">
        <f>IF(J16=0,0,J16/TrRail_act!J11*1000)</f>
        <v>34.151725079503727</v>
      </c>
      <c r="K45" s="87">
        <f>IF(K16=0,0,K16/TrRail_act!K11*1000)</f>
        <v>40.500631751569912</v>
      </c>
      <c r="L45" s="87">
        <f>IF(L16=0,0,L16/TrRail_act!L11*1000)</f>
        <v>27.158425567596744</v>
      </c>
      <c r="M45" s="87">
        <f>IF(M16=0,0,M16/TrRail_act!M11*1000)</f>
        <v>27.668761101214383</v>
      </c>
      <c r="N45" s="87">
        <f>IF(N16=0,0,N16/TrRail_act!N11*1000)</f>
        <v>30.482579095917931</v>
      </c>
      <c r="O45" s="87">
        <f>IF(O16=0,0,O16/TrRail_act!O11*1000)</f>
        <v>31.215789019145753</v>
      </c>
      <c r="P45" s="87">
        <f>IF(P16=0,0,P16/TrRail_act!P11*1000)</f>
        <v>29.961548045454229</v>
      </c>
      <c r="Q45" s="87">
        <f>IF(Q16=0,0,Q16/TrRail_act!Q11*1000)</f>
        <v>30.672857500735706</v>
      </c>
      <c r="R45" s="87">
        <f>IF(R16=0,0,R16/TrRail_act!R11*1000)</f>
        <v>29.448383430077421</v>
      </c>
      <c r="S45" s="87">
        <f>IF(S16=0,0,S16/TrRail_act!S11*1000)</f>
        <v>28.977028094421211</v>
      </c>
      <c r="T45" s="87">
        <f>IF(T16=0,0,T16/TrRail_act!T11*1000)</f>
        <v>28.247317593692074</v>
      </c>
      <c r="U45" s="87">
        <f>IF(U16=0,0,U16/TrRail_act!U11*1000)</f>
        <v>31.24884729103734</v>
      </c>
      <c r="V45" s="87">
        <f>IF(V16=0,0,V16/TrRail_act!V11*1000)</f>
        <v>38.672405418950341</v>
      </c>
      <c r="W45" s="87">
        <f>IF(W16=0,0,W16/TrRail_act!W11*1000)</f>
        <v>30.134420726624406</v>
      </c>
      <c r="X45" s="87">
        <f>IF(X16=0,0,X16/TrRail_act!X11*1000)</f>
        <v>23.855554087290205</v>
      </c>
      <c r="Y45" s="87">
        <f>IF(Y16=0,0,Y16/TrRail_act!Y11*1000)</f>
        <v>20.619998424840972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893.46867805190607</v>
      </c>
      <c r="C48" s="62">
        <f>IF(C8=0,0,1000000*C8/TrRail_act!C25/1000)</f>
        <v>856.91042239920387</v>
      </c>
      <c r="D48" s="62">
        <f>IF(D8=0,0,1000000*D8/TrRail_act!D25/1000)</f>
        <v>803.56139287461076</v>
      </c>
      <c r="E48" s="62">
        <f>IF(E8=0,0,1000000*E8/TrRail_act!E25/1000)</f>
        <v>631.7620067460731</v>
      </c>
      <c r="F48" s="62">
        <f>IF(F8=0,0,1000000*F8/TrRail_act!F25/1000)</f>
        <v>513.5785647395362</v>
      </c>
      <c r="G48" s="62">
        <f>IF(G8=0,0,1000000*G8/TrRail_act!G25/1000)</f>
        <v>264.79875789467326</v>
      </c>
      <c r="H48" s="62">
        <f>IF(H8=0,0,1000000*H8/TrRail_act!H25/1000)</f>
        <v>185.86095193852032</v>
      </c>
      <c r="I48" s="62">
        <f>IF(I8=0,0,1000000*I8/TrRail_act!I25/1000)</f>
        <v>252.30315108242914</v>
      </c>
      <c r="J48" s="62">
        <f>IF(J8=0,0,1000000*J8/TrRail_act!J25/1000)</f>
        <v>292.21304559940864</v>
      </c>
      <c r="K48" s="62">
        <f>IF(K8=0,0,1000000*K8/TrRail_act!K25/1000)</f>
        <v>244.08507785885899</v>
      </c>
      <c r="L48" s="62">
        <f>IF(L8=0,0,1000000*L8/TrRail_act!L25/1000)</f>
        <v>263.31376600556626</v>
      </c>
      <c r="M48" s="62">
        <f>IF(M8=0,0,1000000*M8/TrRail_act!M25/1000)</f>
        <v>231.21732239827492</v>
      </c>
      <c r="N48" s="62">
        <f>IF(N8=0,0,1000000*N8/TrRail_act!N25/1000)</f>
        <v>221.28351611291495</v>
      </c>
      <c r="O48" s="62">
        <f>IF(O8=0,0,1000000*O8/TrRail_act!O25/1000)</f>
        <v>198.63753440580646</v>
      </c>
      <c r="P48" s="62">
        <f>IF(P8=0,0,1000000*P8/TrRail_act!P25/1000)</f>
        <v>199.07382675218113</v>
      </c>
      <c r="Q48" s="62">
        <f>IF(Q8=0,0,1000000*Q8/TrRail_act!Q25/1000)</f>
        <v>152.954631899763</v>
      </c>
      <c r="R48" s="62">
        <f>IF(R8=0,0,1000000*R8/TrRail_act!R25/1000)</f>
        <v>156.01265632672497</v>
      </c>
      <c r="S48" s="62">
        <f>IF(S8=0,0,1000000*S8/TrRail_act!S25/1000)</f>
        <v>139.50593660180914</v>
      </c>
      <c r="T48" s="62">
        <f>IF(T8=0,0,1000000*T8/TrRail_act!T25/1000)</f>
        <v>147.73866058088257</v>
      </c>
      <c r="U48" s="62">
        <f>IF(U8=0,0,1000000*U8/TrRail_act!U25/1000)</f>
        <v>135.69882909839291</v>
      </c>
      <c r="V48" s="62">
        <f>IF(V8=0,0,1000000*V8/TrRail_act!V25/1000)</f>
        <v>135.11747299469178</v>
      </c>
      <c r="W48" s="62">
        <f>IF(W8=0,0,1000000*W8/TrRail_act!W25/1000)</f>
        <v>136.85492170904877</v>
      </c>
      <c r="X48" s="62">
        <f>IF(X8=0,0,1000000*X8/TrRail_act!X25/1000)</f>
        <v>103.97820583395625</v>
      </c>
      <c r="Y48" s="62">
        <f>IF(Y8=0,0,1000000*Y8/TrRail_act!Y25/1000)</f>
        <v>107.50888775134435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863.2045696642208</v>
      </c>
      <c r="C49" s="29">
        <f>IF(C9=0,0,1000000*C9/TrRail_act!C26/1000)</f>
        <v>857.18138985281485</v>
      </c>
      <c r="D49" s="29">
        <f>IF(D9=0,0,1000000*D9/TrRail_act!D26/1000)</f>
        <v>822.52087967643263</v>
      </c>
      <c r="E49" s="29">
        <f>IF(E9=0,0,1000000*E9/TrRail_act!E26/1000)</f>
        <v>627.37480944311528</v>
      </c>
      <c r="F49" s="29">
        <f>IF(F9=0,0,1000000*F9/TrRail_act!F26/1000)</f>
        <v>497.63633861667068</v>
      </c>
      <c r="G49" s="29">
        <f>IF(G9=0,0,1000000*G9/TrRail_act!G26/1000)</f>
        <v>253.74031788328583</v>
      </c>
      <c r="H49" s="29">
        <f>IF(H9=0,0,1000000*H9/TrRail_act!H26/1000)</f>
        <v>180.55651555760733</v>
      </c>
      <c r="I49" s="29">
        <f>IF(I9=0,0,1000000*I9/TrRail_act!I26/1000)</f>
        <v>244.10694185377002</v>
      </c>
      <c r="J49" s="29">
        <f>IF(J9=0,0,1000000*J9/TrRail_act!J26/1000)</f>
        <v>307.58388495530539</v>
      </c>
      <c r="K49" s="29">
        <f>IF(K9=0,0,1000000*K9/TrRail_act!K26/1000)</f>
        <v>255.29993654963545</v>
      </c>
      <c r="L49" s="29">
        <f>IF(L9=0,0,1000000*L9/TrRail_act!L26/1000)</f>
        <v>270.56791485444194</v>
      </c>
      <c r="M49" s="29">
        <f>IF(M9=0,0,1000000*M9/TrRail_act!M26/1000)</f>
        <v>235.94119415232905</v>
      </c>
      <c r="N49" s="29">
        <f>IF(N9=0,0,1000000*N9/TrRail_act!N26/1000)</f>
        <v>224.72508813151063</v>
      </c>
      <c r="O49" s="29">
        <f>IF(O9=0,0,1000000*O9/TrRail_act!O26/1000)</f>
        <v>199.96561859377971</v>
      </c>
      <c r="P49" s="29">
        <f>IF(P9=0,0,1000000*P9/TrRail_act!P26/1000)</f>
        <v>199.2348791454184</v>
      </c>
      <c r="Q49" s="29">
        <f>IF(Q9=0,0,1000000*Q9/TrRail_act!Q26/1000)</f>
        <v>151.12579607927668</v>
      </c>
      <c r="R49" s="29">
        <f>IF(R9=0,0,1000000*R9/TrRail_act!R26/1000)</f>
        <v>154.10830090738895</v>
      </c>
      <c r="S49" s="29">
        <f>IF(S9=0,0,1000000*S9/TrRail_act!S26/1000)</f>
        <v>137.63533720189454</v>
      </c>
      <c r="T49" s="29">
        <f>IF(T9=0,0,1000000*T9/TrRail_act!T26/1000)</f>
        <v>145.39182717773159</v>
      </c>
      <c r="U49" s="29">
        <f>IF(U9=0,0,1000000*U9/TrRail_act!U26/1000)</f>
        <v>133.56406268294856</v>
      </c>
      <c r="V49" s="29">
        <f>IF(V9=0,0,1000000*V9/TrRail_act!V26/1000)</f>
        <v>131.12554917427235</v>
      </c>
      <c r="W49" s="29">
        <f>IF(W9=0,0,1000000*W9/TrRail_act!W26/1000)</f>
        <v>134.72603936708305</v>
      </c>
      <c r="X49" s="29">
        <f>IF(X9=0,0,1000000*X9/TrRail_act!X26/1000)</f>
        <v>103.04622913610621</v>
      </c>
      <c r="Y49" s="29">
        <f>IF(Y9=0,0,1000000*Y9/TrRail_act!Y26/1000)</f>
        <v>107.03629942816914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863.2045696642208</v>
      </c>
      <c r="C51" s="116">
        <f>IF(C11=0,0,1000000*C11/TrRail_act!C28/1000)</f>
        <v>857.18138985281485</v>
      </c>
      <c r="D51" s="116">
        <f>IF(D11=0,0,1000000*D11/TrRail_act!D28/1000)</f>
        <v>822.52087967643263</v>
      </c>
      <c r="E51" s="116">
        <f>IF(E11=0,0,1000000*E11/TrRail_act!E28/1000)</f>
        <v>627.37480944311528</v>
      </c>
      <c r="F51" s="116">
        <f>IF(F11=0,0,1000000*F11/TrRail_act!F28/1000)</f>
        <v>497.63633861667068</v>
      </c>
      <c r="G51" s="116">
        <f>IF(G11=0,0,1000000*G11/TrRail_act!G28/1000)</f>
        <v>253.74031788328583</v>
      </c>
      <c r="H51" s="116">
        <f>IF(H11=0,0,1000000*H11/TrRail_act!H28/1000)</f>
        <v>180.55651555760733</v>
      </c>
      <c r="I51" s="116">
        <f>IF(I11=0,0,1000000*I11/TrRail_act!I28/1000)</f>
        <v>244.10694185377002</v>
      </c>
      <c r="J51" s="116">
        <f>IF(J11=0,0,1000000*J11/TrRail_act!J28/1000)</f>
        <v>307.58388495530539</v>
      </c>
      <c r="K51" s="116">
        <f>IF(K11=0,0,1000000*K11/TrRail_act!K28/1000)</f>
        <v>255.29993654963545</v>
      </c>
      <c r="L51" s="116">
        <f>IF(L11=0,0,1000000*L11/TrRail_act!L28/1000)</f>
        <v>270.56791485444194</v>
      </c>
      <c r="M51" s="116">
        <f>IF(M11=0,0,1000000*M11/TrRail_act!M28/1000)</f>
        <v>235.94119415232905</v>
      </c>
      <c r="N51" s="116">
        <f>IF(N11=0,0,1000000*N11/TrRail_act!N28/1000)</f>
        <v>224.72508813151063</v>
      </c>
      <c r="O51" s="116">
        <f>IF(O11=0,0,1000000*O11/TrRail_act!O28/1000)</f>
        <v>199.96561859377971</v>
      </c>
      <c r="P51" s="116">
        <f>IF(P11=0,0,1000000*P11/TrRail_act!P28/1000)</f>
        <v>199.2348791454184</v>
      </c>
      <c r="Q51" s="116">
        <f>IF(Q11=0,0,1000000*Q11/TrRail_act!Q28/1000)</f>
        <v>151.12579607927668</v>
      </c>
      <c r="R51" s="116">
        <f>IF(R11=0,0,1000000*R11/TrRail_act!R28/1000)</f>
        <v>154.10830090738895</v>
      </c>
      <c r="S51" s="116">
        <f>IF(S11=0,0,1000000*S11/TrRail_act!S28/1000)</f>
        <v>137.63533720189454</v>
      </c>
      <c r="T51" s="116">
        <f>IF(T11=0,0,1000000*T11/TrRail_act!T28/1000)</f>
        <v>154.81735294726454</v>
      </c>
      <c r="U51" s="116">
        <f>IF(U11=0,0,1000000*U11/TrRail_act!U28/1000)</f>
        <v>147.26375099104683</v>
      </c>
      <c r="V51" s="116">
        <f>IF(V11=0,0,1000000*V11/TrRail_act!V28/1000)</f>
        <v>145.0608208975074</v>
      </c>
      <c r="W51" s="116">
        <f>IF(W11=0,0,1000000*W11/TrRail_act!W28/1000)</f>
        <v>153.35165989187229</v>
      </c>
      <c r="X51" s="116">
        <f>IF(X11=0,0,1000000*X11/TrRail_act!X28/1000)</f>
        <v>127.60580538029407</v>
      </c>
      <c r="Y51" s="116">
        <f>IF(Y11=0,0,1000000*Y11/TrRail_act!Y28/1000)</f>
        <v>132.42554630893477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1660.9783510269535</v>
      </c>
      <c r="C52" s="87">
        <f>IF(C12=0,0,1000000*C12/TrRail_act!C29/1000)</f>
        <v>1644.4001937894957</v>
      </c>
      <c r="D52" s="87">
        <f>IF(D12=0,0,1000000*D12/TrRail_act!D29/1000)</f>
        <v>1620.4188916600281</v>
      </c>
      <c r="E52" s="87">
        <f>IF(E12=0,0,1000000*E12/TrRail_act!E29/1000)</f>
        <v>1310.833248532779</v>
      </c>
      <c r="F52" s="87">
        <f>IF(F12=0,0,1000000*F12/TrRail_act!F29/1000)</f>
        <v>1151.8434238287757</v>
      </c>
      <c r="G52" s="87">
        <f>IF(G12=0,0,1000000*G12/TrRail_act!G29/1000)</f>
        <v>890.23717769106941</v>
      </c>
      <c r="H52" s="87">
        <f>IF(H12=0,0,1000000*H12/TrRail_act!H29/1000)</f>
        <v>804.28753991414771</v>
      </c>
      <c r="I52" s="87">
        <f>IF(I12=0,0,1000000*I12/TrRail_act!I29/1000)</f>
        <v>1237.4999255294119</v>
      </c>
      <c r="J52" s="87">
        <f>IF(J12=0,0,1000000*J12/TrRail_act!J29/1000)</f>
        <v>1327.961242860473</v>
      </c>
      <c r="K52" s="87">
        <f>IF(K12=0,0,1000000*K12/TrRail_act!K29/1000)</f>
        <v>1274.7662617535118</v>
      </c>
      <c r="L52" s="87">
        <f>IF(L12=0,0,1000000*L12/TrRail_act!L29/1000)</f>
        <v>1270.9314435047502</v>
      </c>
      <c r="M52" s="87">
        <f>IF(M12=0,0,1000000*M12/TrRail_act!M29/1000)</f>
        <v>1227.7358094306021</v>
      </c>
      <c r="N52" s="87">
        <f>IF(N12=0,0,1000000*N12/TrRail_act!N29/1000)</f>
        <v>1177.8872488418235</v>
      </c>
      <c r="O52" s="87">
        <f>IF(O12=0,0,1000000*O12/TrRail_act!O29/1000)</f>
        <v>1141.1061565654252</v>
      </c>
      <c r="P52" s="87">
        <f>IF(P12=0,0,1000000*P12/TrRail_act!P29/1000)</f>
        <v>1062.6062496873892</v>
      </c>
      <c r="Q52" s="87">
        <f>IF(Q12=0,0,1000000*Q12/TrRail_act!Q29/1000)</f>
        <v>956.95032185651348</v>
      </c>
      <c r="R52" s="87">
        <f>IF(R12=0,0,1000000*R12/TrRail_act!R29/1000)</f>
        <v>1046.1994577566941</v>
      </c>
      <c r="S52" s="87">
        <f>IF(S12=0,0,1000000*S12/TrRail_act!S29/1000)</f>
        <v>1017.7080953353184</v>
      </c>
      <c r="T52" s="87">
        <f>IF(T12=0,0,1000000*T12/TrRail_act!T29/1000)</f>
        <v>1016.7675132403525</v>
      </c>
      <c r="U52" s="87">
        <f>IF(U12=0,0,1000000*U12/TrRail_act!U29/1000)</f>
        <v>1011.777001059092</v>
      </c>
      <c r="V52" s="87">
        <f>IF(V12=0,0,1000000*V12/TrRail_act!V29/1000)</f>
        <v>983.53810588572344</v>
      </c>
      <c r="W52" s="87">
        <f>IF(W12=0,0,1000000*W12/TrRail_act!W29/1000)</f>
        <v>984.34168265930828</v>
      </c>
      <c r="X52" s="87">
        <f>IF(X12=0,0,1000000*X12/TrRail_act!X29/1000)</f>
        <v>891.63987772935968</v>
      </c>
      <c r="Y52" s="87">
        <f>IF(Y12=0,0,1000000*Y12/TrRail_act!Y29/1000)</f>
        <v>972.72083989443354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993.01524227428604</v>
      </c>
      <c r="C55" s="29">
        <f>IF(C15=0,0,1000000*C15/TrRail_act!C32/1000)</f>
        <v>855.9959390257527</v>
      </c>
      <c r="D55" s="29">
        <f>IF(D15=0,0,1000000*D15/TrRail_act!D32/1000)</f>
        <v>742.15241628704416</v>
      </c>
      <c r="E55" s="29">
        <f>IF(E15=0,0,1000000*E15/TrRail_act!E32/1000)</f>
        <v>646.01285968409218</v>
      </c>
      <c r="F55" s="29">
        <f>IF(F15=0,0,1000000*F15/TrRail_act!F32/1000)</f>
        <v>562.7471065620382</v>
      </c>
      <c r="G55" s="29">
        <f>IF(G15=0,0,1000000*G15/TrRail_act!G32/1000)</f>
        <v>315.16560131952843</v>
      </c>
      <c r="H55" s="29">
        <f>IF(H15=0,0,1000000*H15/TrRail_act!H32/1000)</f>
        <v>215.5627006142594</v>
      </c>
      <c r="I55" s="29">
        <f>IF(I15=0,0,1000000*I15/TrRail_act!I32/1000)</f>
        <v>292.85442902182001</v>
      </c>
      <c r="J55" s="29">
        <f>IF(J15=0,0,1000000*J15/TrRail_act!J32/1000)</f>
        <v>196.53861686039807</v>
      </c>
      <c r="K55" s="29">
        <f>IF(K15=0,0,1000000*K15/TrRail_act!K32/1000)</f>
        <v>164.99611102566249</v>
      </c>
      <c r="L55" s="29">
        <f>IF(L15=0,0,1000000*L15/TrRail_act!L32/1000)</f>
        <v>203.58427469442069</v>
      </c>
      <c r="M55" s="29">
        <f>IF(M15=0,0,1000000*M15/TrRail_act!M32/1000)</f>
        <v>184.41716742333972</v>
      </c>
      <c r="N55" s="29">
        <f>IF(N15=0,0,1000000*N15/TrRail_act!N32/1000)</f>
        <v>181.97014020112118</v>
      </c>
      <c r="O55" s="29">
        <f>IF(O15=0,0,1000000*O15/TrRail_act!O32/1000)</f>
        <v>180.6714097548637</v>
      </c>
      <c r="P55" s="29">
        <f>IF(P15=0,0,1000000*P15/TrRail_act!P32/1000)</f>
        <v>196.57227815341639</v>
      </c>
      <c r="Q55" s="29">
        <f>IF(Q15=0,0,1000000*Q15/TrRail_act!Q32/1000)</f>
        <v>187.88672647355318</v>
      </c>
      <c r="R55" s="29">
        <f>IF(R15=0,0,1000000*R15/TrRail_act!R32/1000)</f>
        <v>196.2263549885262</v>
      </c>
      <c r="S55" s="29">
        <f>IF(S15=0,0,1000000*S15/TrRail_act!S32/1000)</f>
        <v>177.21346125976524</v>
      </c>
      <c r="T55" s="29">
        <f>IF(T15=0,0,1000000*T15/TrRail_act!T32/1000)</f>
        <v>202.20908283864139</v>
      </c>
      <c r="U55" s="29">
        <f>IF(U15=0,0,1000000*U15/TrRail_act!U32/1000)</f>
        <v>188.76040999463055</v>
      </c>
      <c r="V55" s="29">
        <f>IF(V15=0,0,1000000*V15/TrRail_act!V32/1000)</f>
        <v>244.74648813000965</v>
      </c>
      <c r="W55" s="29">
        <f>IF(W15=0,0,1000000*W15/TrRail_act!W32/1000)</f>
        <v>196.71713399007905</v>
      </c>
      <c r="X55" s="29">
        <f>IF(X15=0,0,1000000*X15/TrRail_act!X32/1000)</f>
        <v>133.51829913098871</v>
      </c>
      <c r="Y55" s="29">
        <f>IF(Y15=0,0,1000000*Y15/TrRail_act!Y32/1000)</f>
        <v>122.43789337792086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3181.7317635572076</v>
      </c>
      <c r="C56" s="87">
        <f>IF(C16=0,0,1000000*C16/TrRail_act!C33/1000)</f>
        <v>3159.6509703417728</v>
      </c>
      <c r="D56" s="87">
        <f>IF(D16=0,0,1000000*D16/TrRail_act!D33/1000)</f>
        <v>3138.6914929275513</v>
      </c>
      <c r="E56" s="87">
        <f>IF(E16=0,0,1000000*E16/TrRail_act!E33/1000)</f>
        <v>2966.5184695342305</v>
      </c>
      <c r="F56" s="87">
        <f>IF(F16=0,0,1000000*F16/TrRail_act!F33/1000)</f>
        <v>3081.683588431822</v>
      </c>
      <c r="G56" s="87">
        <f>IF(G16=0,0,1000000*G16/TrRail_act!G33/1000)</f>
        <v>1844.8935920964407</v>
      </c>
      <c r="H56" s="87">
        <f>IF(H16=0,0,1000000*H16/TrRail_act!H33/1000)</f>
        <v>1375.6838155436212</v>
      </c>
      <c r="I56" s="87">
        <f>IF(I16=0,0,1000000*I16/TrRail_act!I33/1000)</f>
        <v>2597.3120632380992</v>
      </c>
      <c r="J56" s="87">
        <f>IF(J16=0,0,1000000*J16/TrRail_act!J33/1000)</f>
        <v>2112.0887230993112</v>
      </c>
      <c r="K56" s="87">
        <f>IF(K16=0,0,1000000*K16/TrRail_act!K33/1000)</f>
        <v>2390.0227643087173</v>
      </c>
      <c r="L56" s="87">
        <f>IF(L16=0,0,1000000*L16/TrRail_act!L33/1000)</f>
        <v>2915.8247847304715</v>
      </c>
      <c r="M56" s="87">
        <f>IF(M16=0,0,1000000*M16/TrRail_act!M33/1000)</f>
        <v>2897.3148925498813</v>
      </c>
      <c r="N56" s="87">
        <f>IF(N16=0,0,1000000*N16/TrRail_act!N33/1000)</f>
        <v>2813.3626223466658</v>
      </c>
      <c r="O56" s="87">
        <f>IF(O16=0,0,1000000*O16/TrRail_act!O33/1000)</f>
        <v>2782.484171184984</v>
      </c>
      <c r="P56" s="87">
        <f>IF(P16=0,0,1000000*P16/TrRail_act!P33/1000)</f>
        <v>2736.8662094095866</v>
      </c>
      <c r="Q56" s="87">
        <f>IF(Q16=0,0,1000000*Q16/TrRail_act!Q33/1000)</f>
        <v>2717.0226922055185</v>
      </c>
      <c r="R56" s="87">
        <f>IF(R16=0,0,1000000*R16/TrRail_act!R33/1000)</f>
        <v>2706.0560184634192</v>
      </c>
      <c r="S56" s="87">
        <f>IF(S16=0,0,1000000*S16/TrRail_act!S33/1000)</f>
        <v>2647.3278435320799</v>
      </c>
      <c r="T56" s="87">
        <f>IF(T16=0,0,1000000*T16/TrRail_act!T33/1000)</f>
        <v>2656.158961151636</v>
      </c>
      <c r="U56" s="87">
        <f>IF(U16=0,0,1000000*U16/TrRail_act!U33/1000)</f>
        <v>2651.5600054567012</v>
      </c>
      <c r="V56" s="87">
        <f>IF(V16=0,0,1000000*V16/TrRail_act!V33/1000)</f>
        <v>2583.7334145677337</v>
      </c>
      <c r="W56" s="87">
        <f>IF(W16=0,0,1000000*W16/TrRail_act!W33/1000)</f>
        <v>2590.4901776498577</v>
      </c>
      <c r="X56" s="87">
        <f>IF(X16=0,0,1000000*X16/TrRail_act!X33/1000)</f>
        <v>2573.1006682823609</v>
      </c>
      <c r="Y56" s="87">
        <f>IF(Y16=0,0,1000000*Y16/TrRail_act!Y33/1000)</f>
        <v>2565.9433445392037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0.74088409834722346</v>
      </c>
      <c r="C60" s="31">
        <f t="shared" ref="C60:V60" si="13">IF(C9=0,0,C9/C$8)</f>
        <v>0.77166637824248419</v>
      </c>
      <c r="D60" s="31">
        <f t="shared" si="13"/>
        <v>0.78212120956533371</v>
      </c>
      <c r="E60" s="31">
        <f t="shared" si="13"/>
        <v>0.75930096630257038</v>
      </c>
      <c r="F60" s="31">
        <f t="shared" si="13"/>
        <v>0.73171120886406349</v>
      </c>
      <c r="G60" s="31">
        <f t="shared" si="13"/>
        <v>0.78572595702672576</v>
      </c>
      <c r="H60" s="31">
        <f t="shared" si="13"/>
        <v>0.8242562377193462</v>
      </c>
      <c r="I60" s="31">
        <f t="shared" si="13"/>
        <v>0.80484039760549142</v>
      </c>
      <c r="J60" s="31">
        <f t="shared" si="13"/>
        <v>0.90690082738222688</v>
      </c>
      <c r="K60" s="31">
        <f t="shared" si="13"/>
        <v>0.9160501092178126</v>
      </c>
      <c r="L60" s="31">
        <f t="shared" si="13"/>
        <v>0.91626859434488839</v>
      </c>
      <c r="M60" s="31">
        <f t="shared" si="13"/>
        <v>0.92687442712881518</v>
      </c>
      <c r="N60" s="31">
        <f t="shared" si="13"/>
        <v>0.93380555483672245</v>
      </c>
      <c r="O60" s="31">
        <f t="shared" si="13"/>
        <v>0.93739244430686253</v>
      </c>
      <c r="P60" s="31">
        <f t="shared" si="13"/>
        <v>0.94027320655773494</v>
      </c>
      <c r="Q60" s="31">
        <f t="shared" si="13"/>
        <v>0.93888867620336325</v>
      </c>
      <c r="R60" s="31">
        <f t="shared" si="13"/>
        <v>0.94313078760727398</v>
      </c>
      <c r="S60" s="31">
        <f t="shared" si="13"/>
        <v>0.93996153167767371</v>
      </c>
      <c r="T60" s="31">
        <f t="shared" si="13"/>
        <v>0.94346615679257773</v>
      </c>
      <c r="U60" s="31">
        <f t="shared" si="13"/>
        <v>0.94620092176266224</v>
      </c>
      <c r="V60" s="31">
        <f t="shared" si="13"/>
        <v>0.93636019717327024</v>
      </c>
      <c r="W60" s="31">
        <f t="shared" ref="W60:Y60" si="14">IF(W9=0,0,W9/W$8)</f>
        <v>0.95063670711346693</v>
      </c>
      <c r="X60" s="31">
        <f t="shared" si="14"/>
        <v>0.96072632258593538</v>
      </c>
      <c r="Y60" s="31">
        <f t="shared" si="14"/>
        <v>0.96505469806421362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0.74088409834722346</v>
      </c>
      <c r="C62" s="124">
        <f t="shared" ref="C62:V62" si="17">IF(C11=0,0,C11/C$8)</f>
        <v>0.77166637824248419</v>
      </c>
      <c r="D62" s="124">
        <f t="shared" si="17"/>
        <v>0.78212120956533371</v>
      </c>
      <c r="E62" s="124">
        <f t="shared" si="17"/>
        <v>0.75930096630257038</v>
      </c>
      <c r="F62" s="124">
        <f t="shared" si="17"/>
        <v>0.73171120886406349</v>
      </c>
      <c r="G62" s="124">
        <f t="shared" si="17"/>
        <v>0.78572595702672576</v>
      </c>
      <c r="H62" s="124">
        <f t="shared" si="17"/>
        <v>0.8242562377193462</v>
      </c>
      <c r="I62" s="124">
        <f t="shared" si="17"/>
        <v>0.80484039760549142</v>
      </c>
      <c r="J62" s="124">
        <f t="shared" si="17"/>
        <v>0.90690082738222688</v>
      </c>
      <c r="K62" s="124">
        <f t="shared" si="17"/>
        <v>0.9160501092178126</v>
      </c>
      <c r="L62" s="124">
        <f t="shared" si="17"/>
        <v>0.91626859434488839</v>
      </c>
      <c r="M62" s="124">
        <f t="shared" si="17"/>
        <v>0.92687442712881518</v>
      </c>
      <c r="N62" s="124">
        <f t="shared" si="17"/>
        <v>0.93380555483672245</v>
      </c>
      <c r="O62" s="124">
        <f t="shared" si="17"/>
        <v>0.93739244430686253</v>
      </c>
      <c r="P62" s="124">
        <f t="shared" si="17"/>
        <v>0.94027320655773494</v>
      </c>
      <c r="Q62" s="124">
        <f t="shared" si="17"/>
        <v>0.93888867620336325</v>
      </c>
      <c r="R62" s="124">
        <f t="shared" si="17"/>
        <v>0.94313078760727398</v>
      </c>
      <c r="S62" s="124">
        <f t="shared" si="17"/>
        <v>0.93996153167767371</v>
      </c>
      <c r="T62" s="124">
        <f t="shared" si="17"/>
        <v>0.94346615679257773</v>
      </c>
      <c r="U62" s="124">
        <f t="shared" si="17"/>
        <v>0.94620092176266224</v>
      </c>
      <c r="V62" s="124">
        <f t="shared" si="17"/>
        <v>0.93636019717327024</v>
      </c>
      <c r="W62" s="124">
        <f t="shared" ref="W62:Y62" si="18">IF(W11=0,0,W11/W$8)</f>
        <v>0.95063670711346693</v>
      </c>
      <c r="X62" s="124">
        <f t="shared" si="18"/>
        <v>0.96072632258593538</v>
      </c>
      <c r="Y62" s="124">
        <f t="shared" si="18"/>
        <v>0.96505469806421362</v>
      </c>
      <c r="DA62" s="176"/>
    </row>
    <row r="63" spans="1:105" ht="11.45" customHeight="1" x14ac:dyDescent="0.25">
      <c r="A63" s="111" t="s">
        <v>92</v>
      </c>
      <c r="B63" s="125">
        <f t="shared" si="10"/>
        <v>0.74088409834722346</v>
      </c>
      <c r="C63" s="125">
        <f t="shared" ref="C63:V63" si="19">IF(C12=0,0,C12/C$8)</f>
        <v>0.77166637824248419</v>
      </c>
      <c r="D63" s="125">
        <f t="shared" si="19"/>
        <v>0.78212120956533371</v>
      </c>
      <c r="E63" s="125">
        <f t="shared" si="19"/>
        <v>0.75930096630257038</v>
      </c>
      <c r="F63" s="125">
        <f t="shared" si="19"/>
        <v>0.73171120886406349</v>
      </c>
      <c r="G63" s="125">
        <f t="shared" si="19"/>
        <v>0.78572595702672576</v>
      </c>
      <c r="H63" s="125">
        <f t="shared" si="19"/>
        <v>0.8242562377193462</v>
      </c>
      <c r="I63" s="125">
        <f t="shared" si="19"/>
        <v>0.80484039760549142</v>
      </c>
      <c r="J63" s="125">
        <f t="shared" si="19"/>
        <v>0.90690082738222688</v>
      </c>
      <c r="K63" s="125">
        <f t="shared" si="19"/>
        <v>0.9160501092178126</v>
      </c>
      <c r="L63" s="125">
        <f t="shared" si="19"/>
        <v>0.91626859434488839</v>
      </c>
      <c r="M63" s="125">
        <f t="shared" si="19"/>
        <v>0.92687442712881518</v>
      </c>
      <c r="N63" s="125">
        <f t="shared" si="19"/>
        <v>0.93380555483672245</v>
      </c>
      <c r="O63" s="125">
        <f t="shared" si="19"/>
        <v>0.93739244430686253</v>
      </c>
      <c r="P63" s="125">
        <f t="shared" si="19"/>
        <v>0.94027320655773494</v>
      </c>
      <c r="Q63" s="125">
        <f t="shared" si="19"/>
        <v>0.93888867620336325</v>
      </c>
      <c r="R63" s="125">
        <f t="shared" si="19"/>
        <v>0.94313078760727398</v>
      </c>
      <c r="S63" s="125">
        <f t="shared" si="19"/>
        <v>0.93996153167767371</v>
      </c>
      <c r="T63" s="125">
        <f t="shared" si="19"/>
        <v>0.94346615679257773</v>
      </c>
      <c r="U63" s="125">
        <f t="shared" si="19"/>
        <v>0.94620092176266224</v>
      </c>
      <c r="V63" s="125">
        <f t="shared" si="19"/>
        <v>0.93636019717327024</v>
      </c>
      <c r="W63" s="125">
        <f t="shared" ref="W63:Y63" si="20">IF(W12=0,0,W12/W$8)</f>
        <v>0.95063670711346693</v>
      </c>
      <c r="X63" s="125">
        <f t="shared" si="20"/>
        <v>0.96072632258593538</v>
      </c>
      <c r="Y63" s="125">
        <f t="shared" si="20"/>
        <v>0.96505469806421362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0.25911590165277654</v>
      </c>
      <c r="C66" s="31">
        <f t="shared" ref="C66:V66" si="25">IF(C15=0,0,C15/C$8)</f>
        <v>0.22833362175751587</v>
      </c>
      <c r="D66" s="31">
        <f t="shared" si="25"/>
        <v>0.21787879043466632</v>
      </c>
      <c r="E66" s="31">
        <f t="shared" si="25"/>
        <v>0.24069903369742959</v>
      </c>
      <c r="F66" s="31">
        <f t="shared" si="25"/>
        <v>0.26828879113593646</v>
      </c>
      <c r="G66" s="31">
        <f t="shared" si="25"/>
        <v>0.21427404297327415</v>
      </c>
      <c r="H66" s="31">
        <f t="shared" si="25"/>
        <v>0.17574376228065386</v>
      </c>
      <c r="I66" s="31">
        <f t="shared" si="25"/>
        <v>0.19515960239450869</v>
      </c>
      <c r="J66" s="31">
        <f t="shared" si="25"/>
        <v>9.3099172617773104E-2</v>
      </c>
      <c r="K66" s="31">
        <f t="shared" si="25"/>
        <v>8.3949890782187439E-2</v>
      </c>
      <c r="L66" s="31">
        <f t="shared" si="25"/>
        <v>8.3731405655111696E-2</v>
      </c>
      <c r="M66" s="31">
        <f t="shared" si="25"/>
        <v>7.3125572871184846E-2</v>
      </c>
      <c r="N66" s="31">
        <f t="shared" si="25"/>
        <v>6.6194445163277507E-2</v>
      </c>
      <c r="O66" s="31">
        <f t="shared" si="25"/>
        <v>6.2607555693137584E-2</v>
      </c>
      <c r="P66" s="31">
        <f t="shared" si="25"/>
        <v>5.9726793442265023E-2</v>
      </c>
      <c r="Q66" s="31">
        <f t="shared" si="25"/>
        <v>6.1111323796636877E-2</v>
      </c>
      <c r="R66" s="31">
        <f t="shared" si="25"/>
        <v>5.6869212392726097E-2</v>
      </c>
      <c r="S66" s="31">
        <f t="shared" si="25"/>
        <v>6.0038468322326261E-2</v>
      </c>
      <c r="T66" s="31">
        <f t="shared" si="25"/>
        <v>5.6533843207422288E-2</v>
      </c>
      <c r="U66" s="31">
        <f t="shared" si="25"/>
        <v>5.3799078237337788E-2</v>
      </c>
      <c r="V66" s="31">
        <f t="shared" si="25"/>
        <v>6.3639802826729833E-2</v>
      </c>
      <c r="W66" s="31">
        <f t="shared" ref="W66:Y66" si="26">IF(W15=0,0,W15/W$8)</f>
        <v>4.9363292886533135E-2</v>
      </c>
      <c r="X66" s="31">
        <f t="shared" si="26"/>
        <v>3.9273677414064664E-2</v>
      </c>
      <c r="Y66" s="31">
        <f t="shared" si="26"/>
        <v>3.4945301935786433E-2</v>
      </c>
      <c r="DA66" s="173"/>
    </row>
    <row r="67" spans="1:105" ht="11.45" customHeight="1" x14ac:dyDescent="0.25">
      <c r="A67" s="83" t="s">
        <v>92</v>
      </c>
      <c r="B67" s="125">
        <f t="shared" si="10"/>
        <v>0.25911590165277654</v>
      </c>
      <c r="C67" s="125">
        <f t="shared" ref="C67:V67" si="27">IF(C16=0,0,C16/C$8)</f>
        <v>0.22833362175751587</v>
      </c>
      <c r="D67" s="125">
        <f t="shared" si="27"/>
        <v>0.21787879043466632</v>
      </c>
      <c r="E67" s="125">
        <f t="shared" si="27"/>
        <v>0.24069903369742959</v>
      </c>
      <c r="F67" s="125">
        <f t="shared" si="27"/>
        <v>0.26828879113593646</v>
      </c>
      <c r="G67" s="125">
        <f t="shared" si="27"/>
        <v>0.21427404297327415</v>
      </c>
      <c r="H67" s="125">
        <f t="shared" si="27"/>
        <v>0.17574376228065386</v>
      </c>
      <c r="I67" s="125">
        <f t="shared" si="27"/>
        <v>0.19515960239450869</v>
      </c>
      <c r="J67" s="125">
        <f t="shared" si="27"/>
        <v>9.3099172617773104E-2</v>
      </c>
      <c r="K67" s="125">
        <f t="shared" si="27"/>
        <v>8.3949890782187439E-2</v>
      </c>
      <c r="L67" s="125">
        <f t="shared" si="27"/>
        <v>8.3731405655111696E-2</v>
      </c>
      <c r="M67" s="125">
        <f t="shared" si="27"/>
        <v>7.3125572871184846E-2</v>
      </c>
      <c r="N67" s="125">
        <f t="shared" si="27"/>
        <v>6.6194445163277507E-2</v>
      </c>
      <c r="O67" s="125">
        <f t="shared" si="27"/>
        <v>6.2607555693137584E-2</v>
      </c>
      <c r="P67" s="125">
        <f t="shared" si="27"/>
        <v>5.9726793442265023E-2</v>
      </c>
      <c r="Q67" s="125">
        <f t="shared" si="27"/>
        <v>6.1111323796636877E-2</v>
      </c>
      <c r="R67" s="125">
        <f t="shared" si="27"/>
        <v>5.6869212392726097E-2</v>
      </c>
      <c r="S67" s="125">
        <f t="shared" si="27"/>
        <v>6.0038468322326261E-2</v>
      </c>
      <c r="T67" s="125">
        <f t="shared" si="27"/>
        <v>5.6533843207422288E-2</v>
      </c>
      <c r="U67" s="125">
        <f t="shared" si="27"/>
        <v>5.3799078237337788E-2</v>
      </c>
      <c r="V67" s="125">
        <f t="shared" si="27"/>
        <v>6.3639802826729833E-2</v>
      </c>
      <c r="W67" s="125">
        <f t="shared" ref="W67:Y67" si="28">IF(W16=0,0,W16/W$8)</f>
        <v>4.9363292886533135E-2</v>
      </c>
      <c r="X67" s="125">
        <f t="shared" si="28"/>
        <v>3.9273677414064664E-2</v>
      </c>
      <c r="Y67" s="125">
        <f t="shared" si="28"/>
        <v>3.4945301935786433E-2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756.34544638092154</v>
      </c>
      <c r="C4" s="11">
        <f t="shared" si="0"/>
        <v>830.28519916298615</v>
      </c>
      <c r="D4" s="11">
        <f t="shared" ref="D4:V4" si="1">SUM(D5:D7)</f>
        <v>903.05270889177336</v>
      </c>
      <c r="E4" s="11">
        <f t="shared" si="1"/>
        <v>933.02393252855279</v>
      </c>
      <c r="F4" s="11">
        <f t="shared" si="1"/>
        <v>1007.0592936437756</v>
      </c>
      <c r="G4" s="11">
        <f t="shared" si="1"/>
        <v>998.09368101782775</v>
      </c>
      <c r="H4" s="11">
        <f t="shared" si="1"/>
        <v>972.22511179997241</v>
      </c>
      <c r="I4" s="11">
        <f t="shared" si="1"/>
        <v>993.69630208799003</v>
      </c>
      <c r="J4" s="11">
        <f t="shared" si="1"/>
        <v>1036.3267859671666</v>
      </c>
      <c r="K4" s="11">
        <f t="shared" si="1"/>
        <v>977.44754805629918</v>
      </c>
      <c r="L4" s="11">
        <f t="shared" si="1"/>
        <v>1062.8997474896678</v>
      </c>
      <c r="M4" s="11">
        <f t="shared" si="1"/>
        <v>1071.5648475352441</v>
      </c>
      <c r="N4" s="11">
        <f t="shared" si="1"/>
        <v>1039.7259634572845</v>
      </c>
      <c r="O4" s="11">
        <f t="shared" si="1"/>
        <v>1180.3552626352287</v>
      </c>
      <c r="P4" s="11">
        <f t="shared" si="1"/>
        <v>1402.1110716178025</v>
      </c>
      <c r="Q4" s="11">
        <f t="shared" si="1"/>
        <v>1526.4493793627748</v>
      </c>
      <c r="R4" s="11">
        <f t="shared" si="1"/>
        <v>1636.7430971885758</v>
      </c>
      <c r="S4" s="11">
        <f t="shared" si="1"/>
        <v>2037.2304813427784</v>
      </c>
      <c r="T4" s="11">
        <f t="shared" si="1"/>
        <v>2367.4201763655597</v>
      </c>
      <c r="U4" s="11">
        <f t="shared" si="1"/>
        <v>2633.6190656087665</v>
      </c>
      <c r="V4" s="11">
        <f t="shared" si="1"/>
        <v>982.62734446000184</v>
      </c>
      <c r="W4" s="11">
        <f t="shared" ref="W4:Y4" si="2">SUM(W5:W7)</f>
        <v>1608.5355158153734</v>
      </c>
      <c r="X4" s="11">
        <f t="shared" si="2"/>
        <v>2760.1957636938446</v>
      </c>
      <c r="Y4" s="11">
        <f t="shared" si="2"/>
        <v>3092.6734376182053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637.44183634474075</v>
      </c>
      <c r="C6" s="84">
        <v>698.38324196890574</v>
      </c>
      <c r="D6" s="84">
        <v>757.95509193697615</v>
      </c>
      <c r="E6" s="84">
        <v>780.03381146106551</v>
      </c>
      <c r="F6" s="84">
        <v>838.01399786397383</v>
      </c>
      <c r="G6" s="84">
        <v>812.03756872222937</v>
      </c>
      <c r="H6" s="84">
        <v>775.11298018601269</v>
      </c>
      <c r="I6" s="84">
        <v>731.18446615939899</v>
      </c>
      <c r="J6" s="84">
        <v>695.86157623544034</v>
      </c>
      <c r="K6" s="84">
        <v>600.73494127897209</v>
      </c>
      <c r="L6" s="84">
        <v>628.84289438348776</v>
      </c>
      <c r="M6" s="84">
        <v>753.37801191383721</v>
      </c>
      <c r="N6" s="84">
        <v>764.50617636189054</v>
      </c>
      <c r="O6" s="84">
        <v>895.3093310343595</v>
      </c>
      <c r="P6" s="84">
        <v>1025.3527389443966</v>
      </c>
      <c r="Q6" s="84">
        <v>1146.9721786392424</v>
      </c>
      <c r="R6" s="84">
        <v>1358.8440927825154</v>
      </c>
      <c r="S6" s="84">
        <v>1681.5938925877967</v>
      </c>
      <c r="T6" s="84">
        <v>1875.3139941275017</v>
      </c>
      <c r="U6" s="84">
        <v>2023.8186735666425</v>
      </c>
      <c r="V6" s="84">
        <v>779.04640922409931</v>
      </c>
      <c r="W6" s="84">
        <v>1174.8756662911683</v>
      </c>
      <c r="X6" s="84">
        <v>2101.5548249584267</v>
      </c>
      <c r="Y6" s="84">
        <v>2526.2847366609649</v>
      </c>
      <c r="DA6" s="171" t="s">
        <v>192</v>
      </c>
    </row>
    <row r="7" spans="1:105" ht="11.45" customHeight="1" x14ac:dyDescent="0.25">
      <c r="A7" s="83" t="s">
        <v>182</v>
      </c>
      <c r="B7" s="84">
        <v>118.90361003618079</v>
      </c>
      <c r="C7" s="84">
        <v>131.90195719408035</v>
      </c>
      <c r="D7" s="84">
        <v>145.09761695479722</v>
      </c>
      <c r="E7" s="84">
        <v>152.99012106748728</v>
      </c>
      <c r="F7" s="84">
        <v>169.04529577980179</v>
      </c>
      <c r="G7" s="84">
        <v>186.05611229559844</v>
      </c>
      <c r="H7" s="84">
        <v>197.11213161395975</v>
      </c>
      <c r="I7" s="84">
        <v>262.5118359285911</v>
      </c>
      <c r="J7" s="84">
        <v>340.46520973172625</v>
      </c>
      <c r="K7" s="84">
        <v>376.71260677732704</v>
      </c>
      <c r="L7" s="84">
        <v>434.05685310618009</v>
      </c>
      <c r="M7" s="84">
        <v>318.18683562140677</v>
      </c>
      <c r="N7" s="84">
        <v>275.219787095394</v>
      </c>
      <c r="O7" s="84">
        <v>285.0459316008691</v>
      </c>
      <c r="P7" s="84">
        <v>376.75833267340585</v>
      </c>
      <c r="Q7" s="84">
        <v>379.47720072353252</v>
      </c>
      <c r="R7" s="84">
        <v>277.89900440606033</v>
      </c>
      <c r="S7" s="84">
        <v>355.63658875498157</v>
      </c>
      <c r="T7" s="84">
        <v>492.1061822380579</v>
      </c>
      <c r="U7" s="84">
        <v>609.80039204212414</v>
      </c>
      <c r="V7" s="84">
        <v>203.5809352359025</v>
      </c>
      <c r="W7" s="84">
        <v>433.65984952420501</v>
      </c>
      <c r="X7" s="84">
        <v>658.64093873541799</v>
      </c>
      <c r="Y7" s="84">
        <v>566.38870095724053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1750.1361512016642</v>
      </c>
      <c r="C8" s="13">
        <f t="shared" si="3"/>
        <v>1882.5466525372287</v>
      </c>
      <c r="D8" s="13">
        <f t="shared" ref="D8:V8" si="4">SUM(D9:D11)</f>
        <v>1910.1964643018957</v>
      </c>
      <c r="E8" s="13">
        <f t="shared" si="4"/>
        <v>1897.0091485676876</v>
      </c>
      <c r="F8" s="13">
        <f t="shared" si="4"/>
        <v>1893.1045157175424</v>
      </c>
      <c r="G8" s="13">
        <f t="shared" si="4"/>
        <v>1870.5012315344313</v>
      </c>
      <c r="H8" s="13">
        <f t="shared" si="4"/>
        <v>1875.1205713294373</v>
      </c>
      <c r="I8" s="13">
        <f t="shared" si="4"/>
        <v>2245.4802801748315</v>
      </c>
      <c r="J8" s="13">
        <f t="shared" si="4"/>
        <v>2510.2858931315955</v>
      </c>
      <c r="K8" s="13">
        <f t="shared" si="4"/>
        <v>2233.5898506256672</v>
      </c>
      <c r="L8" s="13">
        <f t="shared" si="4"/>
        <v>2321.4054456234621</v>
      </c>
      <c r="M8" s="13">
        <f t="shared" si="4"/>
        <v>2348.5797718454455</v>
      </c>
      <c r="N8" s="13">
        <f t="shared" si="4"/>
        <v>2011.399007443262</v>
      </c>
      <c r="O8" s="13">
        <f t="shared" si="4"/>
        <v>2199.8097034994089</v>
      </c>
      <c r="P8" s="13">
        <f t="shared" si="4"/>
        <v>2440.3076958673523</v>
      </c>
      <c r="Q8" s="13">
        <f t="shared" si="4"/>
        <v>2784.1188039353365</v>
      </c>
      <c r="R8" s="13">
        <f t="shared" si="4"/>
        <v>3029.8903659141688</v>
      </c>
      <c r="S8" s="13">
        <f t="shared" si="4"/>
        <v>3289.2444507051373</v>
      </c>
      <c r="T8" s="13">
        <f t="shared" si="4"/>
        <v>3207.9727467087901</v>
      </c>
      <c r="U8" s="13">
        <f t="shared" si="4"/>
        <v>3211.3116196545511</v>
      </c>
      <c r="V8" s="13">
        <f t="shared" si="4"/>
        <v>3161.8195918079887</v>
      </c>
      <c r="W8" s="13">
        <f t="shared" ref="W8:Y8" si="5">SUM(W9:W11)</f>
        <v>3988.4167814826205</v>
      </c>
      <c r="X8" s="13">
        <f t="shared" si="5"/>
        <v>3856.3706040703023</v>
      </c>
      <c r="Y8" s="13">
        <f t="shared" si="5"/>
        <v>3180.2237139524018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40.348509530569999</v>
      </c>
      <c r="C10" s="102">
        <v>22.319155412819146</v>
      </c>
      <c r="D10" s="102">
        <v>18.901458587366445</v>
      </c>
      <c r="E10" s="102">
        <v>31.430390081661411</v>
      </c>
      <c r="F10" s="102">
        <v>25.047042320094555</v>
      </c>
      <c r="G10" s="102">
        <v>30.171381245950439</v>
      </c>
      <c r="H10" s="102">
        <v>16.808281304921003</v>
      </c>
      <c r="I10" s="102">
        <v>22.685154472860265</v>
      </c>
      <c r="J10" s="102">
        <v>30.665264110698267</v>
      </c>
      <c r="K10" s="102">
        <v>24.249797236589011</v>
      </c>
      <c r="L10" s="102">
        <v>26.135175859049813</v>
      </c>
      <c r="M10" s="102">
        <v>20.565554694487883</v>
      </c>
      <c r="N10" s="102">
        <v>22.988464199380712</v>
      </c>
      <c r="O10" s="102">
        <v>25.803297346206353</v>
      </c>
      <c r="P10" s="102">
        <v>29.168184294111946</v>
      </c>
      <c r="Q10" s="102">
        <v>24.838374837082785</v>
      </c>
      <c r="R10" s="102">
        <v>21.821910838826977</v>
      </c>
      <c r="S10" s="102">
        <v>25.42858917146474</v>
      </c>
      <c r="T10" s="102">
        <v>23.197759247156259</v>
      </c>
      <c r="U10" s="102">
        <v>21.82961517276792</v>
      </c>
      <c r="V10" s="102">
        <v>17.070504731411372</v>
      </c>
      <c r="W10" s="102">
        <v>17.854090323553343</v>
      </c>
      <c r="X10" s="102">
        <v>19.123162362760638</v>
      </c>
      <c r="Y10" s="102">
        <v>21.58421485059791</v>
      </c>
      <c r="DA10" s="175" t="s">
        <v>196</v>
      </c>
    </row>
    <row r="11" spans="1:105" ht="11.45" customHeight="1" x14ac:dyDescent="0.25">
      <c r="A11" s="85" t="s">
        <v>182</v>
      </c>
      <c r="B11" s="86">
        <v>1709.7876416710942</v>
      </c>
      <c r="C11" s="86">
        <v>1860.2274971244096</v>
      </c>
      <c r="D11" s="86">
        <v>1891.2950057145292</v>
      </c>
      <c r="E11" s="86">
        <v>1865.5787584860261</v>
      </c>
      <c r="F11" s="86">
        <v>1868.0574733974479</v>
      </c>
      <c r="G11" s="86">
        <v>1840.3298502884809</v>
      </c>
      <c r="H11" s="86">
        <v>1858.3122900245164</v>
      </c>
      <c r="I11" s="86">
        <v>2222.7951257019713</v>
      </c>
      <c r="J11" s="86">
        <v>2479.620629020897</v>
      </c>
      <c r="K11" s="86">
        <v>2209.3400533890781</v>
      </c>
      <c r="L11" s="86">
        <v>2295.2702697644122</v>
      </c>
      <c r="M11" s="86">
        <v>2328.0142171509578</v>
      </c>
      <c r="N11" s="86">
        <v>1988.4105432438812</v>
      </c>
      <c r="O11" s="86">
        <v>2174.0064061532025</v>
      </c>
      <c r="P11" s="86">
        <v>2411.1395115732403</v>
      </c>
      <c r="Q11" s="86">
        <v>2759.2804290982535</v>
      </c>
      <c r="R11" s="86">
        <v>3008.0684550753417</v>
      </c>
      <c r="S11" s="86">
        <v>3263.8158615336724</v>
      </c>
      <c r="T11" s="86">
        <v>3184.7749874616338</v>
      </c>
      <c r="U11" s="86">
        <v>3189.4820044817834</v>
      </c>
      <c r="V11" s="86">
        <v>3144.7490870765773</v>
      </c>
      <c r="W11" s="86">
        <v>3970.5626911590671</v>
      </c>
      <c r="X11" s="86">
        <v>3837.2474417075418</v>
      </c>
      <c r="Y11" s="86">
        <v>3158.6394991018037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40.498248999748114</v>
      </c>
      <c r="C13" s="54">
        <f t="shared" si="6"/>
        <v>41.351116437365732</v>
      </c>
      <c r="D13" s="54">
        <f t="shared" ref="D13:V13" si="7">SUM(D14,D18)</f>
        <v>44.334283213810465</v>
      </c>
      <c r="E13" s="54">
        <f t="shared" si="7"/>
        <v>47.788796800868603</v>
      </c>
      <c r="F13" s="54">
        <f t="shared" si="7"/>
        <v>49.905198128135062</v>
      </c>
      <c r="G13" s="54">
        <f t="shared" si="7"/>
        <v>51.366095916807453</v>
      </c>
      <c r="H13" s="54">
        <f t="shared" si="7"/>
        <v>52.519340910730392</v>
      </c>
      <c r="I13" s="54">
        <f t="shared" si="7"/>
        <v>60.653485699323397</v>
      </c>
      <c r="J13" s="54">
        <f t="shared" si="7"/>
        <v>67.458579678874059</v>
      </c>
      <c r="K13" s="54">
        <f t="shared" si="7"/>
        <v>55.490986659967163</v>
      </c>
      <c r="L13" s="54">
        <f t="shared" si="7"/>
        <v>56.461801345888205</v>
      </c>
      <c r="M13" s="54">
        <f t="shared" si="7"/>
        <v>56.430757104051295</v>
      </c>
      <c r="N13" s="54">
        <f t="shared" si="7"/>
        <v>50.295562380187775</v>
      </c>
      <c r="O13" s="54">
        <f t="shared" si="7"/>
        <v>51.946945125254445</v>
      </c>
      <c r="P13" s="54">
        <f t="shared" si="7"/>
        <v>51.657604196963931</v>
      </c>
      <c r="Q13" s="54">
        <f t="shared" si="7"/>
        <v>57.183673013069672</v>
      </c>
      <c r="R13" s="54">
        <f t="shared" si="7"/>
        <v>58.07494361331301</v>
      </c>
      <c r="S13" s="54">
        <f t="shared" si="7"/>
        <v>65.268525179613903</v>
      </c>
      <c r="T13" s="54">
        <f t="shared" si="7"/>
        <v>67.680328380949064</v>
      </c>
      <c r="U13" s="54">
        <f t="shared" si="7"/>
        <v>66.589046440879855</v>
      </c>
      <c r="V13" s="54">
        <f t="shared" si="7"/>
        <v>68.922533212376194</v>
      </c>
      <c r="W13" s="54">
        <f t="shared" ref="W13:Y13" si="8">SUM(W14,W18)</f>
        <v>83.383310341648368</v>
      </c>
      <c r="X13" s="54">
        <f t="shared" si="8"/>
        <v>85.419488919456768</v>
      </c>
      <c r="Y13" s="54">
        <f t="shared" si="8"/>
        <v>75.287899757300636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12.353620173542415</v>
      </c>
      <c r="C14" s="11">
        <f t="shared" si="9"/>
        <v>13.374102350006567</v>
      </c>
      <c r="D14" s="11">
        <f t="shared" ref="D14:V14" si="10">SUM(D15:D17)</f>
        <v>14.501496025401179</v>
      </c>
      <c r="E14" s="11">
        <f t="shared" si="10"/>
        <v>15.11948927592001</v>
      </c>
      <c r="F14" s="11">
        <f t="shared" si="10"/>
        <v>16.466049709216243</v>
      </c>
      <c r="G14" s="11">
        <f t="shared" si="10"/>
        <v>16.163119584026703</v>
      </c>
      <c r="H14" s="11">
        <f t="shared" si="10"/>
        <v>16.255656198030707</v>
      </c>
      <c r="I14" s="11">
        <f t="shared" si="10"/>
        <v>16.472687762531105</v>
      </c>
      <c r="J14" s="11">
        <f t="shared" si="10"/>
        <v>17.000511075365946</v>
      </c>
      <c r="K14" s="11">
        <f t="shared" si="10"/>
        <v>15.628962875461792</v>
      </c>
      <c r="L14" s="11">
        <f t="shared" si="10"/>
        <v>15.610926188013803</v>
      </c>
      <c r="M14" s="11">
        <f t="shared" si="10"/>
        <v>16.625035544479026</v>
      </c>
      <c r="N14" s="11">
        <f t="shared" si="10"/>
        <v>16.251685533226958</v>
      </c>
      <c r="O14" s="11">
        <f t="shared" si="10"/>
        <v>16.46705955363484</v>
      </c>
      <c r="P14" s="11">
        <f t="shared" si="10"/>
        <v>18.297567977431232</v>
      </c>
      <c r="Q14" s="11">
        <f t="shared" si="10"/>
        <v>19.080849267061652</v>
      </c>
      <c r="R14" s="11">
        <f t="shared" si="10"/>
        <v>19.565580598055128</v>
      </c>
      <c r="S14" s="11">
        <f t="shared" si="10"/>
        <v>23.088410994180592</v>
      </c>
      <c r="T14" s="11">
        <f t="shared" si="10"/>
        <v>27.340009767591873</v>
      </c>
      <c r="U14" s="11">
        <f t="shared" si="10"/>
        <v>29.450981610047897</v>
      </c>
      <c r="V14" s="11">
        <f t="shared" si="10"/>
        <v>12.502578351287422</v>
      </c>
      <c r="W14" s="11">
        <f t="shared" ref="W14:Y14" si="11">SUM(W15:W17)</f>
        <v>17.425420557203083</v>
      </c>
      <c r="X14" s="11">
        <f t="shared" si="11"/>
        <v>27.515895997938912</v>
      </c>
      <c r="Y14" s="11">
        <f t="shared" si="11"/>
        <v>28.573685750602252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11.058991515101058</v>
      </c>
      <c r="C16" s="84">
        <v>11.972085139252101</v>
      </c>
      <c r="D16" s="84">
        <v>12.983141216307512</v>
      </c>
      <c r="E16" s="84">
        <v>13.538491144643697</v>
      </c>
      <c r="F16" s="84">
        <v>14.744849856864485</v>
      </c>
      <c r="G16" s="84">
        <v>14.420047566735636</v>
      </c>
      <c r="H16" s="84">
        <v>14.398657876095626</v>
      </c>
      <c r="I16" s="84">
        <v>13.784091154075883</v>
      </c>
      <c r="J16" s="84">
        <v>13.739532473330426</v>
      </c>
      <c r="K16" s="84">
        <v>12.025651180262081</v>
      </c>
      <c r="L16" s="84">
        <v>12.027265458741383</v>
      </c>
      <c r="M16" s="84">
        <v>13.567557204909276</v>
      </c>
      <c r="N16" s="84">
        <v>13.512951848509751</v>
      </c>
      <c r="O16" s="84">
        <v>13.698750647660832</v>
      </c>
      <c r="P16" s="84">
        <v>14.893245482782223</v>
      </c>
      <c r="Q16" s="84">
        <v>15.48967016653862</v>
      </c>
      <c r="R16" s="84">
        <v>17.311396332114327</v>
      </c>
      <c r="S16" s="84">
        <v>19.337460163517399</v>
      </c>
      <c r="T16" s="84">
        <v>21.040316345771863</v>
      </c>
      <c r="U16" s="84">
        <v>21.846294278676236</v>
      </c>
      <c r="V16" s="84">
        <v>10.091101647499544</v>
      </c>
      <c r="W16" s="84">
        <v>13.113548468304163</v>
      </c>
      <c r="X16" s="84">
        <v>21.798401207519749</v>
      </c>
      <c r="Y16" s="84">
        <v>23.796792468311196</v>
      </c>
      <c r="DA16" s="171" t="s">
        <v>201</v>
      </c>
    </row>
    <row r="17" spans="1:105" ht="11.45" customHeight="1" x14ac:dyDescent="0.25">
      <c r="A17" s="83" t="s">
        <v>182</v>
      </c>
      <c r="B17" s="84">
        <v>1.294628658441358</v>
      </c>
      <c r="C17" s="84">
        <v>1.4020172107544659</v>
      </c>
      <c r="D17" s="84">
        <v>1.5183548090936665</v>
      </c>
      <c r="E17" s="84">
        <v>1.5809981312763128</v>
      </c>
      <c r="F17" s="84">
        <v>1.7211998523517593</v>
      </c>
      <c r="G17" s="84">
        <v>1.7430720172910663</v>
      </c>
      <c r="H17" s="84">
        <v>1.856998321935079</v>
      </c>
      <c r="I17" s="84">
        <v>2.6885966084552222</v>
      </c>
      <c r="J17" s="84">
        <v>3.2609786020355198</v>
      </c>
      <c r="K17" s="84">
        <v>3.6033116951997117</v>
      </c>
      <c r="L17" s="84">
        <v>3.5836607292724194</v>
      </c>
      <c r="M17" s="84">
        <v>3.0574783395697498</v>
      </c>
      <c r="N17" s="84">
        <v>2.7387336847172086</v>
      </c>
      <c r="O17" s="84">
        <v>2.7683089059740085</v>
      </c>
      <c r="P17" s="84">
        <v>3.4043224946490072</v>
      </c>
      <c r="Q17" s="84">
        <v>3.5911791005230316</v>
      </c>
      <c r="R17" s="84">
        <v>2.2541842659408</v>
      </c>
      <c r="S17" s="84">
        <v>3.7509508306631929</v>
      </c>
      <c r="T17" s="84">
        <v>6.2996934218200087</v>
      </c>
      <c r="U17" s="84">
        <v>7.6046873313716619</v>
      </c>
      <c r="V17" s="84">
        <v>2.4114767037878786</v>
      </c>
      <c r="W17" s="84">
        <v>4.3118720888989177</v>
      </c>
      <c r="X17" s="84">
        <v>5.7174947904191615</v>
      </c>
      <c r="Y17" s="84">
        <v>4.7768932822910575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28.1446288262057</v>
      </c>
      <c r="C18" s="13">
        <f t="shared" si="12"/>
        <v>27.977014087359169</v>
      </c>
      <c r="D18" s="13">
        <f t="shared" ref="D18:V18" si="13">SUM(D19:D21)</f>
        <v>29.832787188409288</v>
      </c>
      <c r="E18" s="13">
        <f t="shared" si="13"/>
        <v>32.669307524948593</v>
      </c>
      <c r="F18" s="13">
        <f t="shared" si="13"/>
        <v>33.439148418918819</v>
      </c>
      <c r="G18" s="13">
        <f t="shared" si="13"/>
        <v>35.20297633278075</v>
      </c>
      <c r="H18" s="13">
        <f t="shared" si="13"/>
        <v>36.263684712699686</v>
      </c>
      <c r="I18" s="13">
        <f t="shared" si="13"/>
        <v>44.180797936792288</v>
      </c>
      <c r="J18" s="13">
        <f t="shared" si="13"/>
        <v>50.45806860350811</v>
      </c>
      <c r="K18" s="13">
        <f t="shared" si="13"/>
        <v>39.862023784505368</v>
      </c>
      <c r="L18" s="13">
        <f t="shared" si="13"/>
        <v>40.850875157874398</v>
      </c>
      <c r="M18" s="13">
        <f t="shared" si="13"/>
        <v>39.80572155957227</v>
      </c>
      <c r="N18" s="13">
        <f t="shared" si="13"/>
        <v>34.043876846960821</v>
      </c>
      <c r="O18" s="13">
        <f t="shared" si="13"/>
        <v>35.479885571619604</v>
      </c>
      <c r="P18" s="13">
        <f t="shared" si="13"/>
        <v>33.360036219532695</v>
      </c>
      <c r="Q18" s="13">
        <f t="shared" si="13"/>
        <v>38.102823746008021</v>
      </c>
      <c r="R18" s="13">
        <f t="shared" si="13"/>
        <v>38.509363015257883</v>
      </c>
      <c r="S18" s="13">
        <f t="shared" si="13"/>
        <v>42.180114185433311</v>
      </c>
      <c r="T18" s="13">
        <f t="shared" si="13"/>
        <v>40.340318613357191</v>
      </c>
      <c r="U18" s="13">
        <f t="shared" si="13"/>
        <v>37.138064830831951</v>
      </c>
      <c r="V18" s="13">
        <f t="shared" si="13"/>
        <v>56.419954861088776</v>
      </c>
      <c r="W18" s="13">
        <f t="shared" ref="W18:Y18" si="14">SUM(W19:W21)</f>
        <v>65.957889784445285</v>
      </c>
      <c r="X18" s="13">
        <f t="shared" si="14"/>
        <v>57.903592921517848</v>
      </c>
      <c r="Y18" s="13">
        <f t="shared" si="14"/>
        <v>46.714214006698377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2.3347782886972843</v>
      </c>
      <c r="C20" s="102">
        <v>1.1803329088055321</v>
      </c>
      <c r="D20" s="102">
        <v>0.97785924424705029</v>
      </c>
      <c r="E20" s="102">
        <v>1.3444834620560298</v>
      </c>
      <c r="F20" s="102">
        <v>1.1218546827464928</v>
      </c>
      <c r="G20" s="102">
        <v>1.3484492157594739</v>
      </c>
      <c r="H20" s="102">
        <v>0.90108689377911522</v>
      </c>
      <c r="I20" s="102">
        <v>1.1647091515667567</v>
      </c>
      <c r="J20" s="102">
        <v>1.4851171339307832</v>
      </c>
      <c r="K20" s="102">
        <v>1.1718235075408983</v>
      </c>
      <c r="L20" s="102">
        <v>1.3116466259109314</v>
      </c>
      <c r="M20" s="102">
        <v>0.96442128279438943</v>
      </c>
      <c r="N20" s="102">
        <v>0.95583359518497857</v>
      </c>
      <c r="O20" s="102">
        <v>1.0677837273094561</v>
      </c>
      <c r="P20" s="102">
        <v>1.0685041348360946</v>
      </c>
      <c r="Q20" s="102">
        <v>0.96452690690248344</v>
      </c>
      <c r="R20" s="102">
        <v>0.74623303866779667</v>
      </c>
      <c r="S20" s="102">
        <v>0.92922173546868836</v>
      </c>
      <c r="T20" s="102">
        <v>0.83640534292956747</v>
      </c>
      <c r="U20" s="102">
        <v>0.77255516252325374</v>
      </c>
      <c r="V20" s="102">
        <v>0.73854626501501497</v>
      </c>
      <c r="W20" s="102">
        <v>0.79107035642971235</v>
      </c>
      <c r="X20" s="102">
        <v>0.81839860850897728</v>
      </c>
      <c r="Y20" s="102">
        <v>0.88327748745322465</v>
      </c>
      <c r="DA20" s="175" t="s">
        <v>205</v>
      </c>
    </row>
    <row r="21" spans="1:105" ht="11.45" customHeight="1" x14ac:dyDescent="0.25">
      <c r="A21" s="85" t="s">
        <v>182</v>
      </c>
      <c r="B21" s="86">
        <v>25.809850537508417</v>
      </c>
      <c r="C21" s="86">
        <v>26.796681178553637</v>
      </c>
      <c r="D21" s="86">
        <v>28.854927944162238</v>
      </c>
      <c r="E21" s="86">
        <v>31.32482406289256</v>
      </c>
      <c r="F21" s="86">
        <v>32.317293736172324</v>
      </c>
      <c r="G21" s="86">
        <v>33.854527117021277</v>
      </c>
      <c r="H21" s="86">
        <v>35.36259781892057</v>
      </c>
      <c r="I21" s="86">
        <v>43.016088785225534</v>
      </c>
      <c r="J21" s="86">
        <v>48.972951469577325</v>
      </c>
      <c r="K21" s="86">
        <v>38.690200276964468</v>
      </c>
      <c r="L21" s="86">
        <v>39.539228531963467</v>
      </c>
      <c r="M21" s="86">
        <v>38.841300276777879</v>
      </c>
      <c r="N21" s="86">
        <v>33.088043251775844</v>
      </c>
      <c r="O21" s="86">
        <v>34.412101844310151</v>
      </c>
      <c r="P21" s="86">
        <v>32.291532084696598</v>
      </c>
      <c r="Q21" s="86">
        <v>37.138296839105536</v>
      </c>
      <c r="R21" s="86">
        <v>37.763129976590086</v>
      </c>
      <c r="S21" s="86">
        <v>41.250892449964624</v>
      </c>
      <c r="T21" s="86">
        <v>39.503913270427624</v>
      </c>
      <c r="U21" s="86">
        <v>36.365509668308697</v>
      </c>
      <c r="V21" s="86">
        <v>55.681408596073759</v>
      </c>
      <c r="W21" s="86">
        <v>65.166819428015572</v>
      </c>
      <c r="X21" s="86">
        <v>57.08519431300887</v>
      </c>
      <c r="Y21" s="86">
        <v>45.830936519245149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20924</v>
      </c>
      <c r="C23" s="54">
        <f t="shared" si="15"/>
        <v>21788</v>
      </c>
      <c r="D23" s="54">
        <f t="shared" ref="D23:V23" si="16">SUM(D24,D28)</f>
        <v>23438</v>
      </c>
      <c r="E23" s="54">
        <f t="shared" si="16"/>
        <v>24909</v>
      </c>
      <c r="F23" s="54">
        <f t="shared" si="16"/>
        <v>26489</v>
      </c>
      <c r="G23" s="54">
        <f t="shared" si="16"/>
        <v>27051</v>
      </c>
      <c r="H23" s="54">
        <f t="shared" si="16"/>
        <v>27418</v>
      </c>
      <c r="I23" s="54">
        <f t="shared" si="16"/>
        <v>28208</v>
      </c>
      <c r="J23" s="54">
        <f t="shared" si="16"/>
        <v>29795</v>
      </c>
      <c r="K23" s="54">
        <f t="shared" si="16"/>
        <v>25619</v>
      </c>
      <c r="L23" s="54">
        <f t="shared" si="16"/>
        <v>25693</v>
      </c>
      <c r="M23" s="54">
        <f t="shared" si="16"/>
        <v>27059</v>
      </c>
      <c r="N23" s="54">
        <f t="shared" si="16"/>
        <v>26864</v>
      </c>
      <c r="O23" s="54">
        <f t="shared" si="16"/>
        <v>27766</v>
      </c>
      <c r="P23" s="54">
        <f t="shared" si="16"/>
        <v>27903</v>
      </c>
      <c r="Q23" s="54">
        <f t="shared" si="16"/>
        <v>28378</v>
      </c>
      <c r="R23" s="54">
        <f t="shared" si="16"/>
        <v>29333</v>
      </c>
      <c r="S23" s="54">
        <f t="shared" si="16"/>
        <v>31899</v>
      </c>
      <c r="T23" s="54">
        <f t="shared" si="16"/>
        <v>33917</v>
      </c>
      <c r="U23" s="54">
        <f t="shared" si="16"/>
        <v>34355</v>
      </c>
      <c r="V23" s="54">
        <f t="shared" si="16"/>
        <v>20706</v>
      </c>
      <c r="W23" s="54">
        <f t="shared" ref="W23:Y23" si="17">SUM(W24,W28)</f>
        <v>23780</v>
      </c>
      <c r="X23" s="54">
        <f t="shared" si="17"/>
        <v>33252</v>
      </c>
      <c r="Y23" s="54">
        <f t="shared" si="17"/>
        <v>33634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14861</v>
      </c>
      <c r="C24" s="11">
        <f t="shared" si="18"/>
        <v>16089</v>
      </c>
      <c r="D24" s="11">
        <f t="shared" ref="D24:V24" si="19">SUM(D25:D27)</f>
        <v>17448</v>
      </c>
      <c r="E24" s="11">
        <f t="shared" si="19"/>
        <v>18194</v>
      </c>
      <c r="F24" s="11">
        <f t="shared" si="19"/>
        <v>19816</v>
      </c>
      <c r="G24" s="11">
        <f t="shared" si="19"/>
        <v>19659</v>
      </c>
      <c r="H24" s="11">
        <f t="shared" si="19"/>
        <v>19966</v>
      </c>
      <c r="I24" s="11">
        <f t="shared" si="19"/>
        <v>19211</v>
      </c>
      <c r="J24" s="11">
        <f t="shared" si="19"/>
        <v>19624</v>
      </c>
      <c r="K24" s="11">
        <f t="shared" si="19"/>
        <v>17783</v>
      </c>
      <c r="L24" s="11">
        <f t="shared" si="19"/>
        <v>17760</v>
      </c>
      <c r="M24" s="11">
        <f t="shared" si="19"/>
        <v>19665</v>
      </c>
      <c r="N24" s="11">
        <f t="shared" si="19"/>
        <v>20200</v>
      </c>
      <c r="O24" s="11">
        <f t="shared" si="19"/>
        <v>20466</v>
      </c>
      <c r="P24" s="11">
        <f t="shared" si="19"/>
        <v>21051</v>
      </c>
      <c r="Q24" s="11">
        <f t="shared" si="19"/>
        <v>21288</v>
      </c>
      <c r="R24" s="11">
        <f t="shared" si="19"/>
        <v>22683</v>
      </c>
      <c r="S24" s="11">
        <f t="shared" si="19"/>
        <v>24645</v>
      </c>
      <c r="T24" s="11">
        <f t="shared" si="19"/>
        <v>27036</v>
      </c>
      <c r="U24" s="11">
        <f t="shared" si="19"/>
        <v>28030</v>
      </c>
      <c r="V24" s="11">
        <f t="shared" si="19"/>
        <v>10996</v>
      </c>
      <c r="W24" s="11">
        <f t="shared" ref="W24:Y24" si="20">SUM(W25:W27)</f>
        <v>12895</v>
      </c>
      <c r="X24" s="11">
        <f t="shared" si="20"/>
        <v>24243</v>
      </c>
      <c r="Y24" s="11">
        <f t="shared" si="20"/>
        <v>26395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14427</v>
      </c>
      <c r="C26" s="84">
        <v>15619</v>
      </c>
      <c r="D26" s="84">
        <v>16939</v>
      </c>
      <c r="E26" s="84">
        <v>17664</v>
      </c>
      <c r="F26" s="84">
        <v>19239</v>
      </c>
      <c r="G26" s="84">
        <v>19029</v>
      </c>
      <c r="H26" s="84">
        <v>19293</v>
      </c>
      <c r="I26" s="84">
        <v>18302</v>
      </c>
      <c r="J26" s="84">
        <v>18634</v>
      </c>
      <c r="K26" s="84">
        <v>16806</v>
      </c>
      <c r="L26" s="84">
        <v>16877</v>
      </c>
      <c r="M26" s="84">
        <v>18821</v>
      </c>
      <c r="N26" s="84">
        <v>19314</v>
      </c>
      <c r="O26" s="84">
        <v>19550</v>
      </c>
      <c r="P26" s="84">
        <v>20005</v>
      </c>
      <c r="Q26" s="84">
        <v>20361</v>
      </c>
      <c r="R26" s="84">
        <v>22172</v>
      </c>
      <c r="S26" s="84">
        <v>23862</v>
      </c>
      <c r="T26" s="84">
        <v>25783</v>
      </c>
      <c r="U26" s="84">
        <v>26525</v>
      </c>
      <c r="V26" s="84">
        <v>10587</v>
      </c>
      <c r="W26" s="84">
        <v>12118</v>
      </c>
      <c r="X26" s="84">
        <v>22913</v>
      </c>
      <c r="Y26" s="84">
        <v>24693</v>
      </c>
      <c r="DA26" s="171" t="s">
        <v>210</v>
      </c>
    </row>
    <row r="27" spans="1:105" ht="11.45" customHeight="1" x14ac:dyDescent="0.25">
      <c r="A27" s="83" t="s">
        <v>182</v>
      </c>
      <c r="B27" s="84">
        <v>434</v>
      </c>
      <c r="C27" s="84">
        <v>470</v>
      </c>
      <c r="D27" s="84">
        <v>509</v>
      </c>
      <c r="E27" s="84">
        <v>530</v>
      </c>
      <c r="F27" s="84">
        <v>577</v>
      </c>
      <c r="G27" s="84">
        <v>630</v>
      </c>
      <c r="H27" s="84">
        <v>673</v>
      </c>
      <c r="I27" s="84">
        <v>909</v>
      </c>
      <c r="J27" s="84">
        <v>990</v>
      </c>
      <c r="K27" s="84">
        <v>977</v>
      </c>
      <c r="L27" s="84">
        <v>883</v>
      </c>
      <c r="M27" s="84">
        <v>844</v>
      </c>
      <c r="N27" s="84">
        <v>886</v>
      </c>
      <c r="O27" s="84">
        <v>916</v>
      </c>
      <c r="P27" s="84">
        <v>1046</v>
      </c>
      <c r="Q27" s="84">
        <v>927</v>
      </c>
      <c r="R27" s="84">
        <v>511</v>
      </c>
      <c r="S27" s="84">
        <v>783</v>
      </c>
      <c r="T27" s="84">
        <v>1253</v>
      </c>
      <c r="U27" s="84">
        <v>1505</v>
      </c>
      <c r="V27" s="84">
        <v>409</v>
      </c>
      <c r="W27" s="84">
        <v>777</v>
      </c>
      <c r="X27" s="84">
        <v>1330</v>
      </c>
      <c r="Y27" s="84">
        <v>1702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6063</v>
      </c>
      <c r="C28" s="13">
        <f t="shared" si="21"/>
        <v>5699</v>
      </c>
      <c r="D28" s="13">
        <f t="shared" ref="D28:V28" si="22">SUM(D29:D31)</f>
        <v>5990</v>
      </c>
      <c r="E28" s="13">
        <f t="shared" si="22"/>
        <v>6715</v>
      </c>
      <c r="F28" s="13">
        <f t="shared" si="22"/>
        <v>6673</v>
      </c>
      <c r="G28" s="13">
        <f t="shared" si="22"/>
        <v>7392</v>
      </c>
      <c r="H28" s="13">
        <f t="shared" si="22"/>
        <v>7452</v>
      </c>
      <c r="I28" s="13">
        <f t="shared" si="22"/>
        <v>8997</v>
      </c>
      <c r="J28" s="13">
        <f t="shared" si="22"/>
        <v>10171</v>
      </c>
      <c r="K28" s="13">
        <f t="shared" si="22"/>
        <v>7836</v>
      </c>
      <c r="L28" s="13">
        <f t="shared" si="22"/>
        <v>7933</v>
      </c>
      <c r="M28" s="13">
        <f t="shared" si="22"/>
        <v>7394</v>
      </c>
      <c r="N28" s="13">
        <f t="shared" si="22"/>
        <v>6664</v>
      </c>
      <c r="O28" s="13">
        <f t="shared" si="22"/>
        <v>7300</v>
      </c>
      <c r="P28" s="13">
        <f t="shared" si="22"/>
        <v>6852</v>
      </c>
      <c r="Q28" s="13">
        <f t="shared" si="22"/>
        <v>7090</v>
      </c>
      <c r="R28" s="13">
        <f t="shared" si="22"/>
        <v>6650</v>
      </c>
      <c r="S28" s="13">
        <f t="shared" si="22"/>
        <v>7254</v>
      </c>
      <c r="T28" s="13">
        <f t="shared" si="22"/>
        <v>6881</v>
      </c>
      <c r="U28" s="13">
        <f t="shared" si="22"/>
        <v>6325</v>
      </c>
      <c r="V28" s="13">
        <f t="shared" si="22"/>
        <v>9710</v>
      </c>
      <c r="W28" s="13">
        <f t="shared" ref="W28:Y28" si="23">SUM(W29:W31)</f>
        <v>10885</v>
      </c>
      <c r="X28" s="13">
        <f t="shared" si="23"/>
        <v>9009</v>
      </c>
      <c r="Y28" s="13">
        <f t="shared" si="23"/>
        <v>7239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1486</v>
      </c>
      <c r="C30" s="102">
        <v>947</v>
      </c>
      <c r="D30" s="102">
        <v>873</v>
      </c>
      <c r="E30" s="102">
        <v>1160</v>
      </c>
      <c r="F30" s="102">
        <v>942</v>
      </c>
      <c r="G30" s="102">
        <v>1149</v>
      </c>
      <c r="H30" s="102">
        <v>850</v>
      </c>
      <c r="I30" s="102">
        <v>1170</v>
      </c>
      <c r="J30" s="102">
        <v>1688</v>
      </c>
      <c r="K30" s="102">
        <v>1502</v>
      </c>
      <c r="L30" s="102">
        <v>1774</v>
      </c>
      <c r="M30" s="102">
        <v>1362</v>
      </c>
      <c r="N30" s="102">
        <v>1464</v>
      </c>
      <c r="O30" s="102">
        <v>1595</v>
      </c>
      <c r="P30" s="102">
        <v>1472</v>
      </c>
      <c r="Q30" s="102">
        <v>1250</v>
      </c>
      <c r="R30" s="102">
        <v>958</v>
      </c>
      <c r="S30" s="102">
        <v>1144</v>
      </c>
      <c r="T30" s="102">
        <v>1008</v>
      </c>
      <c r="U30" s="102">
        <v>909</v>
      </c>
      <c r="V30" s="102">
        <v>1013</v>
      </c>
      <c r="W30" s="102">
        <v>1162</v>
      </c>
      <c r="X30" s="102">
        <v>1145</v>
      </c>
      <c r="Y30" s="102">
        <v>1112</v>
      </c>
      <c r="DA30" s="175" t="s">
        <v>214</v>
      </c>
    </row>
    <row r="31" spans="1:105" ht="11.45" customHeight="1" x14ac:dyDescent="0.25">
      <c r="A31" s="85" t="s">
        <v>182</v>
      </c>
      <c r="B31" s="86">
        <v>4577</v>
      </c>
      <c r="C31" s="86">
        <v>4752</v>
      </c>
      <c r="D31" s="86">
        <v>5117</v>
      </c>
      <c r="E31" s="86">
        <v>5555</v>
      </c>
      <c r="F31" s="86">
        <v>5731</v>
      </c>
      <c r="G31" s="86">
        <v>6243</v>
      </c>
      <c r="H31" s="86">
        <v>6602</v>
      </c>
      <c r="I31" s="86">
        <v>7827</v>
      </c>
      <c r="J31" s="86">
        <v>8483</v>
      </c>
      <c r="K31" s="86">
        <v>6334</v>
      </c>
      <c r="L31" s="86">
        <v>6159</v>
      </c>
      <c r="M31" s="86">
        <v>6032</v>
      </c>
      <c r="N31" s="86">
        <v>5200</v>
      </c>
      <c r="O31" s="86">
        <v>5705</v>
      </c>
      <c r="P31" s="86">
        <v>5380</v>
      </c>
      <c r="Q31" s="86">
        <v>5840</v>
      </c>
      <c r="R31" s="86">
        <v>5692</v>
      </c>
      <c r="S31" s="86">
        <v>6110</v>
      </c>
      <c r="T31" s="86">
        <v>5873</v>
      </c>
      <c r="U31" s="86">
        <v>5416</v>
      </c>
      <c r="V31" s="86">
        <v>8697</v>
      </c>
      <c r="W31" s="86">
        <v>9723</v>
      </c>
      <c r="X31" s="86">
        <v>7864</v>
      </c>
      <c r="Y31" s="86">
        <v>6127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544328</v>
      </c>
      <c r="C34" s="11">
        <f t="shared" si="24"/>
        <v>594203</v>
      </c>
      <c r="D34" s="11">
        <f t="shared" ref="D34:V34" si="25">SUM(D35:D37)</f>
        <v>650794</v>
      </c>
      <c r="E34" s="11">
        <f t="shared" si="25"/>
        <v>685224</v>
      </c>
      <c r="F34" s="11">
        <f t="shared" si="25"/>
        <v>757876</v>
      </c>
      <c r="G34" s="11">
        <f t="shared" si="25"/>
        <v>773064</v>
      </c>
      <c r="H34" s="11">
        <f t="shared" si="25"/>
        <v>803112</v>
      </c>
      <c r="I34" s="11">
        <f t="shared" si="25"/>
        <v>822211</v>
      </c>
      <c r="J34" s="11">
        <f t="shared" si="25"/>
        <v>851277</v>
      </c>
      <c r="K34" s="11">
        <f t="shared" si="25"/>
        <v>771759</v>
      </c>
      <c r="L34" s="11">
        <f t="shared" si="25"/>
        <v>809897</v>
      </c>
      <c r="M34" s="11">
        <f t="shared" si="25"/>
        <v>917950</v>
      </c>
      <c r="N34" s="11">
        <f t="shared" si="25"/>
        <v>949976</v>
      </c>
      <c r="O34" s="11">
        <f t="shared" si="25"/>
        <v>1090384</v>
      </c>
      <c r="P34" s="11">
        <f t="shared" si="25"/>
        <v>1224003</v>
      </c>
      <c r="Q34" s="11">
        <f t="shared" si="25"/>
        <v>1332696</v>
      </c>
      <c r="R34" s="11">
        <f t="shared" si="25"/>
        <v>1499673</v>
      </c>
      <c r="S34" s="11">
        <f t="shared" si="25"/>
        <v>1787629</v>
      </c>
      <c r="T34" s="11">
        <f t="shared" si="25"/>
        <v>2004494</v>
      </c>
      <c r="U34" s="11">
        <f t="shared" si="25"/>
        <v>2189318</v>
      </c>
      <c r="V34" s="11">
        <f t="shared" si="25"/>
        <v>709549</v>
      </c>
      <c r="W34" s="11">
        <f t="shared" ref="W34:Y34" si="26">SUM(W35:W37)</f>
        <v>1002796</v>
      </c>
      <c r="X34" s="11">
        <f t="shared" si="26"/>
        <v>2039429</v>
      </c>
      <c r="Y34" s="11">
        <f t="shared" si="26"/>
        <v>2406884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505158</v>
      </c>
      <c r="C36" s="84">
        <v>550751</v>
      </c>
      <c r="D36" s="84">
        <v>602995</v>
      </c>
      <c r="E36" s="84">
        <v>634825</v>
      </c>
      <c r="F36" s="84">
        <v>702188</v>
      </c>
      <c r="G36" s="84">
        <v>706982</v>
      </c>
      <c r="H36" s="84">
        <v>732913</v>
      </c>
      <c r="I36" s="84">
        <v>734994</v>
      </c>
      <c r="J36" s="84">
        <v>749705</v>
      </c>
      <c r="K36" s="84">
        <v>671386</v>
      </c>
      <c r="L36" s="84">
        <v>704799</v>
      </c>
      <c r="M36" s="84">
        <v>830773</v>
      </c>
      <c r="N36" s="84">
        <v>853871</v>
      </c>
      <c r="O36" s="84">
        <v>992651</v>
      </c>
      <c r="P36" s="84">
        <v>1107413</v>
      </c>
      <c r="Q36" s="84">
        <v>1233760</v>
      </c>
      <c r="R36" s="84">
        <v>1435081</v>
      </c>
      <c r="S36" s="84">
        <v>1711391</v>
      </c>
      <c r="T36" s="84">
        <v>1904060</v>
      </c>
      <c r="U36" s="84">
        <v>2070621</v>
      </c>
      <c r="V36" s="84">
        <v>675008</v>
      </c>
      <c r="W36" s="84">
        <v>927688</v>
      </c>
      <c r="X36" s="84">
        <v>1890474</v>
      </c>
      <c r="Y36" s="84">
        <v>2208400</v>
      </c>
      <c r="DA36" s="171" t="s">
        <v>218</v>
      </c>
    </row>
    <row r="37" spans="1:105" ht="11.45" customHeight="1" x14ac:dyDescent="0.25">
      <c r="A37" s="83" t="s">
        <v>182</v>
      </c>
      <c r="B37" s="84">
        <v>39170</v>
      </c>
      <c r="C37" s="84">
        <v>43452</v>
      </c>
      <c r="D37" s="84">
        <v>47799</v>
      </c>
      <c r="E37" s="84">
        <v>50399</v>
      </c>
      <c r="F37" s="84">
        <v>55688</v>
      </c>
      <c r="G37" s="84">
        <v>66082</v>
      </c>
      <c r="H37" s="84">
        <v>70199</v>
      </c>
      <c r="I37" s="84">
        <v>87217</v>
      </c>
      <c r="J37" s="84">
        <v>101572</v>
      </c>
      <c r="K37" s="84">
        <v>100373</v>
      </c>
      <c r="L37" s="84">
        <v>105098</v>
      </c>
      <c r="M37" s="84">
        <v>87177</v>
      </c>
      <c r="N37" s="84">
        <v>96105</v>
      </c>
      <c r="O37" s="84">
        <v>97733</v>
      </c>
      <c r="P37" s="84">
        <v>116590</v>
      </c>
      <c r="Q37" s="84">
        <v>98936</v>
      </c>
      <c r="R37" s="84">
        <v>64592</v>
      </c>
      <c r="S37" s="84">
        <v>76238</v>
      </c>
      <c r="T37" s="84">
        <v>100434</v>
      </c>
      <c r="U37" s="84">
        <v>118697</v>
      </c>
      <c r="V37" s="84">
        <v>34541</v>
      </c>
      <c r="W37" s="84">
        <v>75108</v>
      </c>
      <c r="X37" s="84">
        <v>148955</v>
      </c>
      <c r="Y37" s="84">
        <v>198484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262662.4655940386</v>
      </c>
      <c r="C38" s="13">
        <f t="shared" si="27"/>
        <v>271458.91195515514</v>
      </c>
      <c r="D38" s="13">
        <f t="shared" ref="D38:V38" si="28">SUM(D39:D41)</f>
        <v>284992.38588048925</v>
      </c>
      <c r="E38" s="13">
        <f t="shared" si="28"/>
        <v>290653.45902187214</v>
      </c>
      <c r="F38" s="13">
        <f t="shared" si="28"/>
        <v>290563.91378680896</v>
      </c>
      <c r="G38" s="13">
        <f t="shared" si="28"/>
        <v>293505.26914178452</v>
      </c>
      <c r="H38" s="13">
        <f t="shared" si="28"/>
        <v>310088.77473781689</v>
      </c>
      <c r="I38" s="13">
        <f t="shared" si="28"/>
        <v>369800.03708972031</v>
      </c>
      <c r="J38" s="13">
        <f t="shared" si="28"/>
        <v>404133.80653661944</v>
      </c>
      <c r="K38" s="13">
        <f t="shared" si="28"/>
        <v>336641.91768745059</v>
      </c>
      <c r="L38" s="13">
        <f t="shared" si="28"/>
        <v>349250.96382876264</v>
      </c>
      <c r="M38" s="13">
        <f t="shared" si="28"/>
        <v>353399.62217482983</v>
      </c>
      <c r="N38" s="13">
        <f t="shared" si="28"/>
        <v>331629.04218844848</v>
      </c>
      <c r="O38" s="13">
        <f t="shared" si="28"/>
        <v>367114.48813395109</v>
      </c>
      <c r="P38" s="13">
        <f t="shared" si="28"/>
        <v>384722.06219132338</v>
      </c>
      <c r="Q38" s="13">
        <f t="shared" si="28"/>
        <v>410081.27459603973</v>
      </c>
      <c r="R38" s="13">
        <f t="shared" si="28"/>
        <v>438005.97403947654</v>
      </c>
      <c r="S38" s="13">
        <f t="shared" si="28"/>
        <v>470189.32673218648</v>
      </c>
      <c r="T38" s="13">
        <f t="shared" si="28"/>
        <v>451589.43164875603</v>
      </c>
      <c r="U38" s="13">
        <f t="shared" si="28"/>
        <v>426284.31139417813</v>
      </c>
      <c r="V38" s="13">
        <f t="shared" si="28"/>
        <v>457313.89466636535</v>
      </c>
      <c r="W38" s="13">
        <f t="shared" ref="W38:Y38" si="29">SUM(W39:W41)</f>
        <v>541673.39395981806</v>
      </c>
      <c r="X38" s="13">
        <f t="shared" si="29"/>
        <v>496269.75769861852</v>
      </c>
      <c r="Y38" s="13">
        <f t="shared" si="29"/>
        <v>406396.89130533155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24025.362339431322</v>
      </c>
      <c r="C40" s="102">
        <v>15481.112595892249</v>
      </c>
      <c r="D40" s="102">
        <v>14286.770655321654</v>
      </c>
      <c r="E40" s="102">
        <v>19977.16814567809</v>
      </c>
      <c r="F40" s="102">
        <v>15134.122287192436</v>
      </c>
      <c r="G40" s="102">
        <v>17467.644802255789</v>
      </c>
      <c r="H40" s="102">
        <v>11915.17066592624</v>
      </c>
      <c r="I40" s="102">
        <v>16130.607201898751</v>
      </c>
      <c r="J40" s="102">
        <v>23135.811582419341</v>
      </c>
      <c r="K40" s="102">
        <v>20575.73916996373</v>
      </c>
      <c r="L40" s="102">
        <v>25731.469854034036</v>
      </c>
      <c r="M40" s="102">
        <v>21239.015710629763</v>
      </c>
      <c r="N40" s="102">
        <v>24402.35085904002</v>
      </c>
      <c r="O40" s="102">
        <v>26727.42550315621</v>
      </c>
      <c r="P40" s="102">
        <v>27157.535462994154</v>
      </c>
      <c r="Q40" s="102">
        <v>23097.008198116986</v>
      </c>
      <c r="R40" s="102">
        <v>19972.306788096081</v>
      </c>
      <c r="S40" s="102">
        <v>22167.888811728058</v>
      </c>
      <c r="T40" s="102">
        <v>19379.264885878845</v>
      </c>
      <c r="U40" s="102">
        <v>17909.662143427446</v>
      </c>
      <c r="V40" s="102">
        <v>17869.832693977089</v>
      </c>
      <c r="W40" s="102">
        <v>20646.875867855902</v>
      </c>
      <c r="X40" s="102">
        <v>20484.592879011474</v>
      </c>
      <c r="Y40" s="102">
        <v>19982.681414597086</v>
      </c>
      <c r="DA40" s="175" t="s">
        <v>222</v>
      </c>
    </row>
    <row r="41" spans="1:105" ht="11.45" customHeight="1" x14ac:dyDescent="0.25">
      <c r="A41" s="85" t="s">
        <v>182</v>
      </c>
      <c r="B41" s="86">
        <v>238637.10325460727</v>
      </c>
      <c r="C41" s="86">
        <v>255977.79935926289</v>
      </c>
      <c r="D41" s="86">
        <v>270705.6152251676</v>
      </c>
      <c r="E41" s="86">
        <v>270676.29087619408</v>
      </c>
      <c r="F41" s="86">
        <v>275429.79149961652</v>
      </c>
      <c r="G41" s="86">
        <v>276037.62433952873</v>
      </c>
      <c r="H41" s="86">
        <v>298173.60407189064</v>
      </c>
      <c r="I41" s="86">
        <v>353669.42988782155</v>
      </c>
      <c r="J41" s="86">
        <v>380997.99495420011</v>
      </c>
      <c r="K41" s="86">
        <v>316066.17851748684</v>
      </c>
      <c r="L41" s="86">
        <v>323519.49397472863</v>
      </c>
      <c r="M41" s="86">
        <v>332160.60646420007</v>
      </c>
      <c r="N41" s="86">
        <v>307226.69132940844</v>
      </c>
      <c r="O41" s="86">
        <v>340387.06263079488</v>
      </c>
      <c r="P41" s="86">
        <v>357564.52672832925</v>
      </c>
      <c r="Q41" s="86">
        <v>386984.26639792277</v>
      </c>
      <c r="R41" s="86">
        <v>418033.66725138045</v>
      </c>
      <c r="S41" s="86">
        <v>448021.43792045844</v>
      </c>
      <c r="T41" s="86">
        <v>432210.1667628772</v>
      </c>
      <c r="U41" s="86">
        <v>408374.64925075066</v>
      </c>
      <c r="V41" s="86">
        <v>439444.06197238824</v>
      </c>
      <c r="W41" s="86">
        <v>521026.51809196221</v>
      </c>
      <c r="X41" s="86">
        <v>475785.16481960705</v>
      </c>
      <c r="Y41" s="86">
        <v>386414.20989073446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25.872772278631516</v>
      </c>
      <c r="C43" s="54">
        <f t="shared" si="30"/>
        <v>27.093005153347079</v>
      </c>
      <c r="D43" s="54">
        <f t="shared" ref="D43:V43" si="31">SUM(D44,D48)</f>
        <v>29.10188542287672</v>
      </c>
      <c r="E43" s="54">
        <f t="shared" si="31"/>
        <v>31.152963358547275</v>
      </c>
      <c r="F43" s="54">
        <f t="shared" si="31"/>
        <v>32.637878351687242</v>
      </c>
      <c r="G43" s="54">
        <f t="shared" si="31"/>
        <v>33.562697928270509</v>
      </c>
      <c r="H43" s="54">
        <f t="shared" si="31"/>
        <v>34.34646865041276</v>
      </c>
      <c r="I43" s="54">
        <f t="shared" si="31"/>
        <v>38.36233662492188</v>
      </c>
      <c r="J43" s="54">
        <f t="shared" si="31"/>
        <v>42.390842085506989</v>
      </c>
      <c r="K43" s="54">
        <f t="shared" si="31"/>
        <v>40.129064507412394</v>
      </c>
      <c r="L43" s="54">
        <f t="shared" si="31"/>
        <v>38.454526616891535</v>
      </c>
      <c r="M43" s="54">
        <f t="shared" si="31"/>
        <v>37.956541059823351</v>
      </c>
      <c r="N43" s="54">
        <f t="shared" si="31"/>
        <v>36.545608339222625</v>
      </c>
      <c r="O43" s="54">
        <f t="shared" si="31"/>
        <v>35.214813567049752</v>
      </c>
      <c r="P43" s="54">
        <f t="shared" si="31"/>
        <v>34.54495504283468</v>
      </c>
      <c r="Q43" s="54">
        <f t="shared" si="31"/>
        <v>36.455228982798829</v>
      </c>
      <c r="R43" s="54">
        <f t="shared" si="31"/>
        <v>37.759391055884848</v>
      </c>
      <c r="S43" s="54">
        <f t="shared" si="31"/>
        <v>40.886126452357921</v>
      </c>
      <c r="T43" s="54">
        <f t="shared" si="31"/>
        <v>42.59766566512176</v>
      </c>
      <c r="U43" s="54">
        <f t="shared" si="31"/>
        <v>42.429887499324579</v>
      </c>
      <c r="V43" s="54">
        <f t="shared" si="31"/>
        <v>52.193643498100883</v>
      </c>
      <c r="W43" s="54">
        <f t="shared" ref="W43:Y43" si="32">SUM(W44,W48)</f>
        <v>56.502228237939612</v>
      </c>
      <c r="X43" s="54">
        <f t="shared" si="32"/>
        <v>55.671199365247475</v>
      </c>
      <c r="Y43" s="54">
        <f t="shared" si="32"/>
        <v>56.02300322071973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9.9676213534663667</v>
      </c>
      <c r="C44" s="11">
        <f t="shared" si="33"/>
        <v>10.791232272572968</v>
      </c>
      <c r="D44" s="11">
        <f t="shared" ref="D44:V44" si="34">SUM(D45:D47)</f>
        <v>11.701685561920895</v>
      </c>
      <c r="E44" s="11">
        <f t="shared" si="34"/>
        <v>12.200993022322383</v>
      </c>
      <c r="F44" s="11">
        <f t="shared" si="34"/>
        <v>13.288170204656691</v>
      </c>
      <c r="G44" s="11">
        <f t="shared" si="34"/>
        <v>13.210550933297398</v>
      </c>
      <c r="H44" s="11">
        <f t="shared" si="34"/>
        <v>13.311223882781697</v>
      </c>
      <c r="I44" s="11">
        <f t="shared" si="34"/>
        <v>13.209325091788536</v>
      </c>
      <c r="J44" s="11">
        <f t="shared" si="34"/>
        <v>13.78527889277902</v>
      </c>
      <c r="K44" s="11">
        <f t="shared" si="34"/>
        <v>13.113922385102539</v>
      </c>
      <c r="L44" s="11">
        <f t="shared" si="34"/>
        <v>12.682179350979</v>
      </c>
      <c r="M44" s="11">
        <f t="shared" si="34"/>
        <v>13.693971369435262</v>
      </c>
      <c r="N44" s="11">
        <f t="shared" si="34"/>
        <v>13.792797005469552</v>
      </c>
      <c r="O44" s="11">
        <f t="shared" si="34"/>
        <v>13.971785229778821</v>
      </c>
      <c r="P44" s="11">
        <f t="shared" si="34"/>
        <v>14.781235174228522</v>
      </c>
      <c r="Q44" s="11">
        <f t="shared" si="34"/>
        <v>15.002820197670582</v>
      </c>
      <c r="R44" s="11">
        <f t="shared" si="34"/>
        <v>16.212677061483394</v>
      </c>
      <c r="S44" s="11">
        <f t="shared" si="34"/>
        <v>17.615695694291421</v>
      </c>
      <c r="T44" s="11">
        <f t="shared" si="34"/>
        <v>20.28896227608217</v>
      </c>
      <c r="U44" s="11">
        <f t="shared" si="34"/>
        <v>21.544971551187782</v>
      </c>
      <c r="V44" s="11">
        <f t="shared" si="34"/>
        <v>21.046590483514464</v>
      </c>
      <c r="W44" s="11">
        <f t="shared" ref="W44:Y44" si="35">SUM(W45:W47)</f>
        <v>20.54820941584115</v>
      </c>
      <c r="X44" s="11">
        <f t="shared" si="35"/>
        <v>20.467247989355631</v>
      </c>
      <c r="Y44" s="11">
        <f t="shared" si="35"/>
        <v>21.563262909533332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9.1799625512885079</v>
      </c>
      <c r="C46" s="84">
        <v>9.9382377172190655</v>
      </c>
      <c r="D46" s="84">
        <v>10.777910607292945</v>
      </c>
      <c r="E46" s="84">
        <v>11.239105545008409</v>
      </c>
      <c r="F46" s="84">
        <v>12.240983271807325</v>
      </c>
      <c r="G46" s="84">
        <v>12.129933437585564</v>
      </c>
      <c r="H46" s="84">
        <v>12.158826622507723</v>
      </c>
      <c r="I46" s="84">
        <v>11.571487253950698</v>
      </c>
      <c r="J46" s="84">
        <v>11.844102422190785</v>
      </c>
      <c r="K46" s="84">
        <v>11.021845297308106</v>
      </c>
      <c r="L46" s="84">
        <v>10.638197869497519</v>
      </c>
      <c r="M46" s="84">
        <v>11.728755768171567</v>
      </c>
      <c r="N46" s="84">
        <v>11.906347284423642</v>
      </c>
      <c r="O46" s="84">
        <v>12.164101388950698</v>
      </c>
      <c r="P46" s="84">
        <v>12.750167213063474</v>
      </c>
      <c r="Q46" s="84">
        <v>12.938232224396639</v>
      </c>
      <c r="R46" s="84">
        <v>14.226854968427237</v>
      </c>
      <c r="S46" s="84">
        <v>15.538772617368343</v>
      </c>
      <c r="T46" s="84">
        <v>16.827636309231341</v>
      </c>
      <c r="U46" s="84">
        <v>17.375996481935704</v>
      </c>
      <c r="V46" s="84">
        <v>16.91699835437128</v>
      </c>
      <c r="W46" s="84">
        <v>16.458000226806856</v>
      </c>
      <c r="X46" s="84">
        <v>16.416421740430231</v>
      </c>
      <c r="Y46" s="84">
        <v>17.551819600716826</v>
      </c>
      <c r="DA46" s="171" t="s">
        <v>227</v>
      </c>
    </row>
    <row r="47" spans="1:105" ht="11.45" customHeight="1" x14ac:dyDescent="0.25">
      <c r="A47" s="83" t="s">
        <v>182</v>
      </c>
      <c r="B47" s="84">
        <v>0.78765880217785844</v>
      </c>
      <c r="C47" s="84">
        <v>0.85299455535390201</v>
      </c>
      <c r="D47" s="84">
        <v>0.92377495462794923</v>
      </c>
      <c r="E47" s="84">
        <v>0.96188747731397461</v>
      </c>
      <c r="F47" s="84">
        <v>1.0471869328493648</v>
      </c>
      <c r="G47" s="84">
        <v>1.0806174957118353</v>
      </c>
      <c r="H47" s="84">
        <v>1.1523972602739727</v>
      </c>
      <c r="I47" s="84">
        <v>1.6378378378378378</v>
      </c>
      <c r="J47" s="84">
        <v>1.9411764705882353</v>
      </c>
      <c r="K47" s="84">
        <v>2.0920770877944324</v>
      </c>
      <c r="L47" s="84">
        <v>2.0439814814814814</v>
      </c>
      <c r="M47" s="84">
        <v>1.9652156012636954</v>
      </c>
      <c r="N47" s="84">
        <v>1.8864497210459095</v>
      </c>
      <c r="O47" s="84">
        <v>1.8076838408281235</v>
      </c>
      <c r="P47" s="84">
        <v>2.0310679611650486</v>
      </c>
      <c r="Q47" s="84">
        <v>2.0645879732739423</v>
      </c>
      <c r="R47" s="84">
        <v>1.9858220930561563</v>
      </c>
      <c r="S47" s="84">
        <v>2.0769230769230771</v>
      </c>
      <c r="T47" s="84">
        <v>3.4613259668508287</v>
      </c>
      <c r="U47" s="84">
        <v>4.1689750692520775</v>
      </c>
      <c r="V47" s="84">
        <v>4.1295921291431847</v>
      </c>
      <c r="W47" s="84">
        <v>4.090209189034292</v>
      </c>
      <c r="X47" s="84">
        <v>4.0508262489253992</v>
      </c>
      <c r="Y47" s="84">
        <v>4.0114433088165065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15.905150925165147</v>
      </c>
      <c r="C48" s="13">
        <f t="shared" si="36"/>
        <v>16.301772880774109</v>
      </c>
      <c r="D48" s="13">
        <f t="shared" ref="D48:V48" si="37">SUM(D49:D51)</f>
        <v>17.400199860955823</v>
      </c>
      <c r="E48" s="13">
        <f t="shared" si="37"/>
        <v>18.951970336224893</v>
      </c>
      <c r="F48" s="13">
        <f t="shared" si="37"/>
        <v>19.349708147030551</v>
      </c>
      <c r="G48" s="13">
        <f t="shared" si="37"/>
        <v>20.352146994973115</v>
      </c>
      <c r="H48" s="13">
        <f t="shared" si="37"/>
        <v>21.035244767631067</v>
      </c>
      <c r="I48" s="13">
        <f t="shared" si="37"/>
        <v>25.153011533133345</v>
      </c>
      <c r="J48" s="13">
        <f t="shared" si="37"/>
        <v>28.605563192727967</v>
      </c>
      <c r="K48" s="13">
        <f t="shared" si="37"/>
        <v>27.015142122309857</v>
      </c>
      <c r="L48" s="13">
        <f t="shared" si="37"/>
        <v>25.772347265912533</v>
      </c>
      <c r="M48" s="13">
        <f t="shared" si="37"/>
        <v>24.262569690388091</v>
      </c>
      <c r="N48" s="13">
        <f t="shared" si="37"/>
        <v>22.752811333753069</v>
      </c>
      <c r="O48" s="13">
        <f t="shared" si="37"/>
        <v>21.243028337270932</v>
      </c>
      <c r="P48" s="13">
        <f t="shared" si="37"/>
        <v>19.763719868606156</v>
      </c>
      <c r="Q48" s="13">
        <f t="shared" si="37"/>
        <v>21.452408785128249</v>
      </c>
      <c r="R48" s="13">
        <f t="shared" si="37"/>
        <v>21.546713994401454</v>
      </c>
      <c r="S48" s="13">
        <f t="shared" si="37"/>
        <v>23.2704307580665</v>
      </c>
      <c r="T48" s="13">
        <f t="shared" si="37"/>
        <v>22.308703389039589</v>
      </c>
      <c r="U48" s="13">
        <f t="shared" si="37"/>
        <v>20.884915948136793</v>
      </c>
      <c r="V48" s="13">
        <f t="shared" si="37"/>
        <v>31.147053014586419</v>
      </c>
      <c r="W48" s="13">
        <f t="shared" ref="W48:Y48" si="38">SUM(W49:W51)</f>
        <v>35.954018822098462</v>
      </c>
      <c r="X48" s="13">
        <f t="shared" si="38"/>
        <v>35.20395137589184</v>
      </c>
      <c r="Y48" s="13">
        <f t="shared" si="38"/>
        <v>34.459740311186394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1.690865210879434</v>
      </c>
      <c r="C50" s="102">
        <v>1.5440089056188286</v>
      </c>
      <c r="D50" s="102">
        <v>1.5088955131297337</v>
      </c>
      <c r="E50" s="102">
        <v>1.7004175411938371</v>
      </c>
      <c r="F50" s="102">
        <v>1.5515715010678177</v>
      </c>
      <c r="G50" s="102">
        <v>1.5479301275032362</v>
      </c>
      <c r="H50" s="102">
        <v>1.3864352438215419</v>
      </c>
      <c r="I50" s="102">
        <v>1.3627379769023409</v>
      </c>
      <c r="J50" s="102">
        <v>1.7606264838672077</v>
      </c>
      <c r="K50" s="102">
        <v>1.5916339848776675</v>
      </c>
      <c r="L50" s="102">
        <v>1.7702676999089146</v>
      </c>
      <c r="M50" s="102">
        <v>1.6819186958130414</v>
      </c>
      <c r="N50" s="102">
        <v>1.5935889106065912</v>
      </c>
      <c r="O50" s="102">
        <v>1.5052344855530249</v>
      </c>
      <c r="P50" s="102">
        <v>1.4473545883168202</v>
      </c>
      <c r="Q50" s="102">
        <v>1.4524087851282501</v>
      </c>
      <c r="R50" s="102">
        <v>1.3623168312808855</v>
      </c>
      <c r="S50" s="102">
        <v>1.2920134918794484</v>
      </c>
      <c r="T50" s="102">
        <v>1.2585241775700566</v>
      </c>
      <c r="U50" s="102">
        <v>1.2561653080958302</v>
      </c>
      <c r="V50" s="102">
        <v>1.2604550764420877</v>
      </c>
      <c r="W50" s="102">
        <v>1.2290188220984617</v>
      </c>
      <c r="X50" s="102">
        <v>1.1896656616061312</v>
      </c>
      <c r="Y50" s="102">
        <v>1.1561688826149719</v>
      </c>
      <c r="DA50" s="175" t="s">
        <v>231</v>
      </c>
    </row>
    <row r="51" spans="1:105" ht="11.45" customHeight="1" x14ac:dyDescent="0.25">
      <c r="A51" s="85" t="s">
        <v>182</v>
      </c>
      <c r="B51" s="86">
        <v>14.214285714285714</v>
      </c>
      <c r="C51" s="86">
        <v>14.75776397515528</v>
      </c>
      <c r="D51" s="86">
        <v>15.891304347826088</v>
      </c>
      <c r="E51" s="86">
        <v>17.251552795031056</v>
      </c>
      <c r="F51" s="86">
        <v>17.798136645962732</v>
      </c>
      <c r="G51" s="86">
        <v>18.804216867469879</v>
      </c>
      <c r="H51" s="86">
        <v>19.648809523809526</v>
      </c>
      <c r="I51" s="86">
        <v>23.790273556231003</v>
      </c>
      <c r="J51" s="86">
        <v>26.844936708860761</v>
      </c>
      <c r="K51" s="86">
        <v>25.42350813743219</v>
      </c>
      <c r="L51" s="86">
        <v>24.002079566003619</v>
      </c>
      <c r="M51" s="86">
        <v>22.580650994575048</v>
      </c>
      <c r="N51" s="86">
        <v>21.159222423146478</v>
      </c>
      <c r="O51" s="86">
        <v>19.737793851717907</v>
      </c>
      <c r="P51" s="86">
        <v>18.316365280289336</v>
      </c>
      <c r="Q51" s="86">
        <v>20</v>
      </c>
      <c r="R51" s="86">
        <v>20.184397163120568</v>
      </c>
      <c r="S51" s="86">
        <v>21.978417266187051</v>
      </c>
      <c r="T51" s="86">
        <v>21.050179211469533</v>
      </c>
      <c r="U51" s="86">
        <v>19.628750640040963</v>
      </c>
      <c r="V51" s="86">
        <v>29.88659793814433</v>
      </c>
      <c r="W51" s="86">
        <v>34.725000000000001</v>
      </c>
      <c r="X51" s="86">
        <v>34.014285714285712</v>
      </c>
      <c r="Y51" s="86">
        <v>33.303571428571423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1.5439943747856779</v>
      </c>
      <c r="C53" s="54">
        <f t="shared" si="39"/>
        <v>2.2397295824798222</v>
      </c>
      <c r="D53" s="54">
        <f t="shared" ref="D53:V53" si="40">SUM(D54,D58)</f>
        <v>2.9796863712369355</v>
      </c>
      <c r="E53" s="54">
        <f t="shared" si="40"/>
        <v>3.061549837308192</v>
      </c>
      <c r="F53" s="54">
        <f t="shared" si="40"/>
        <v>2.4956748026470787</v>
      </c>
      <c r="G53" s="54">
        <f t="shared" si="40"/>
        <v>2.0068826298635618</v>
      </c>
      <c r="H53" s="54">
        <f t="shared" si="40"/>
        <v>1.8540730004326946</v>
      </c>
      <c r="I53" s="54">
        <f t="shared" si="40"/>
        <v>5.3175288864086543</v>
      </c>
      <c r="J53" s="54">
        <f t="shared" si="40"/>
        <v>5.1477085870261696</v>
      </c>
      <c r="K53" s="54">
        <f t="shared" si="40"/>
        <v>0.23553194989724846</v>
      </c>
      <c r="L53" s="54">
        <f t="shared" si="40"/>
        <v>0.40530524085774883</v>
      </c>
      <c r="M53" s="54">
        <f t="shared" si="40"/>
        <v>1.4636384445673158</v>
      </c>
      <c r="N53" s="54">
        <f t="shared" si="40"/>
        <v>0.53345827714138938</v>
      </c>
      <c r="O53" s="54">
        <f t="shared" si="40"/>
        <v>0.65313717496937385</v>
      </c>
      <c r="P53" s="54">
        <f t="shared" si="40"/>
        <v>1.3311546140542481</v>
      </c>
      <c r="Q53" s="54">
        <f t="shared" si="40"/>
        <v>2.9278251565220312</v>
      </c>
      <c r="R53" s="54">
        <f t="shared" si="40"/>
        <v>2.3190499652385648</v>
      </c>
      <c r="S53" s="54">
        <f t="shared" si="40"/>
        <v>4.0889460653656524</v>
      </c>
      <c r="T53" s="54">
        <f t="shared" si="40"/>
        <v>3.1494454028048113</v>
      </c>
      <c r="U53" s="54">
        <f t="shared" si="40"/>
        <v>1.6798034118803282</v>
      </c>
      <c r="V53" s="54">
        <f t="shared" si="40"/>
        <v>10.808375187191539</v>
      </c>
      <c r="W53" s="54">
        <f t="shared" ref="W53:Y53" si="41">SUM(W54,W58)</f>
        <v>5.359923629736679</v>
      </c>
      <c r="X53" s="54">
        <f t="shared" si="41"/>
        <v>0.33731964520095797</v>
      </c>
      <c r="Y53" s="54">
        <f t="shared" si="41"/>
        <v>1.5259887479033296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7.4152078730485059E-3</v>
      </c>
      <c r="C54" s="11">
        <f t="shared" si="42"/>
        <v>1.1833186615266016</v>
      </c>
      <c r="D54" s="11">
        <f t="shared" ref="D54:V54" si="43">SUM(D55:D57)</f>
        <v>1.2701610317679286</v>
      </c>
      <c r="E54" s="11">
        <f t="shared" si="43"/>
        <v>0.85901520282148658</v>
      </c>
      <c r="F54" s="11">
        <f t="shared" si="43"/>
        <v>1.4468849247543076</v>
      </c>
      <c r="G54" s="11">
        <f t="shared" si="43"/>
        <v>0.35339171483388049</v>
      </c>
      <c r="H54" s="11">
        <f t="shared" si="43"/>
        <v>0.51755487825404889</v>
      </c>
      <c r="I54" s="11">
        <f t="shared" si="43"/>
        <v>0.59862368145891187</v>
      </c>
      <c r="J54" s="11">
        <f t="shared" si="43"/>
        <v>1.0441048603444305</v>
      </c>
      <c r="K54" s="11">
        <f t="shared" si="43"/>
        <v>0.23553194989724846</v>
      </c>
      <c r="L54" s="11">
        <f t="shared" si="43"/>
        <v>0.10867510296644427</v>
      </c>
      <c r="M54" s="11">
        <f t="shared" si="43"/>
        <v>1.4394239160810272</v>
      </c>
      <c r="N54" s="11">
        <f t="shared" si="43"/>
        <v>0.509224529765678</v>
      </c>
      <c r="O54" s="11">
        <f t="shared" si="43"/>
        <v>0.62892806744077867</v>
      </c>
      <c r="P54" s="11">
        <f t="shared" si="43"/>
        <v>1.3048239424528694</v>
      </c>
      <c r="Q54" s="11">
        <f t="shared" si="43"/>
        <v>0.68456086921842685</v>
      </c>
      <c r="R54" s="11">
        <f t="shared" si="43"/>
        <v>1.6202557575441996</v>
      </c>
      <c r="S54" s="11">
        <f t="shared" si="43"/>
        <v>1.7630847981666302</v>
      </c>
      <c r="T54" s="11">
        <f t="shared" si="43"/>
        <v>3.120284812171692</v>
      </c>
      <c r="U54" s="11">
        <f t="shared" si="43"/>
        <v>1.619512376412044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0.31914401962265782</v>
      </c>
      <c r="Y54" s="11">
        <f t="shared" si="44"/>
        <v>1.4961203662858773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6.205286518066737E-3</v>
      </c>
      <c r="C56" s="84">
        <v>1.0895497565055581</v>
      </c>
      <c r="D56" s="84">
        <v>1.1709474806488813</v>
      </c>
      <c r="E56" s="84">
        <v>0.79246952829046124</v>
      </c>
      <c r="F56" s="84">
        <v>1.3331523173739173</v>
      </c>
      <c r="G56" s="84">
        <v>0.29152800012640995</v>
      </c>
      <c r="H56" s="84">
        <v>0.41734196184691147</v>
      </c>
      <c r="I56" s="84">
        <v>8.4749952050046776E-2</v>
      </c>
      <c r="J56" s="84">
        <v>0.71233307574903293</v>
      </c>
      <c r="K56" s="84">
        <v>5.6198180846051549E-2</v>
      </c>
      <c r="L56" s="84">
        <v>0.10867510296644427</v>
      </c>
      <c r="M56" s="84">
        <v>1.4394239160810272</v>
      </c>
      <c r="N56" s="84">
        <v>0.509224529765678</v>
      </c>
      <c r="O56" s="84">
        <v>0.62892806744077867</v>
      </c>
      <c r="P56" s="84">
        <v>1.0530066702709444</v>
      </c>
      <c r="Q56" s="84">
        <v>0.62260770526453335</v>
      </c>
      <c r="R56" s="84">
        <v>1.6202557575441996</v>
      </c>
      <c r="S56" s="84">
        <v>1.6435506624547096</v>
      </c>
      <c r="T56" s="84">
        <v>1.7074487703989405</v>
      </c>
      <c r="U56" s="84">
        <v>0.88343012216579497</v>
      </c>
      <c r="V56" s="84">
        <v>0</v>
      </c>
      <c r="W56" s="84">
        <v>0</v>
      </c>
      <c r="X56" s="84">
        <v>0.31914401962265782</v>
      </c>
      <c r="Y56" s="84">
        <v>1.4961203662858773</v>
      </c>
      <c r="DA56" s="171" t="s">
        <v>236</v>
      </c>
    </row>
    <row r="57" spans="1:105" ht="11.45" customHeight="1" x14ac:dyDescent="0.25">
      <c r="A57" s="83" t="s">
        <v>182</v>
      </c>
      <c r="B57" s="84">
        <v>1.2099213549817689E-3</v>
      </c>
      <c r="C57" s="84">
        <v>9.3768905021043514E-2</v>
      </c>
      <c r="D57" s="84">
        <v>9.9213551119047172E-2</v>
      </c>
      <c r="E57" s="84">
        <v>6.6545674531025334E-2</v>
      </c>
      <c r="F57" s="84">
        <v>0.11373260738039026</v>
      </c>
      <c r="G57" s="84">
        <v>6.1863714707470541E-2</v>
      </c>
      <c r="H57" s="84">
        <v>0.10021291640713748</v>
      </c>
      <c r="I57" s="84">
        <v>0.51387372940886511</v>
      </c>
      <c r="J57" s="84">
        <v>0.33177178459539758</v>
      </c>
      <c r="K57" s="84">
        <v>0.17933376905119691</v>
      </c>
      <c r="L57" s="84">
        <v>0</v>
      </c>
      <c r="M57" s="84">
        <v>0</v>
      </c>
      <c r="N57" s="84">
        <v>0</v>
      </c>
      <c r="O57" s="84">
        <v>0</v>
      </c>
      <c r="P57" s="84">
        <v>0.25181727218192496</v>
      </c>
      <c r="Q57" s="84">
        <v>6.1953163953893498E-2</v>
      </c>
      <c r="R57" s="84">
        <v>0</v>
      </c>
      <c r="S57" s="84">
        <v>0.11953413571192062</v>
      </c>
      <c r="T57" s="84">
        <v>1.4128360417727515</v>
      </c>
      <c r="U57" s="84">
        <v>0.73608225424624907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1.5365791669126294</v>
      </c>
      <c r="C58" s="13">
        <f t="shared" si="45"/>
        <v>1.0564109209532204</v>
      </c>
      <c r="D58" s="13">
        <f t="shared" ref="D58:V58" si="46">SUM(D59:D61)</f>
        <v>1.7095253394690071</v>
      </c>
      <c r="E58" s="13">
        <f t="shared" si="46"/>
        <v>2.2025346344867054</v>
      </c>
      <c r="F58" s="13">
        <f t="shared" si="46"/>
        <v>1.0487898778927711</v>
      </c>
      <c r="G58" s="13">
        <f t="shared" si="46"/>
        <v>1.6534909150296813</v>
      </c>
      <c r="H58" s="13">
        <f t="shared" si="46"/>
        <v>1.3365181221786457</v>
      </c>
      <c r="I58" s="13">
        <f t="shared" si="46"/>
        <v>4.718905204949742</v>
      </c>
      <c r="J58" s="13">
        <f t="shared" si="46"/>
        <v>4.1036037266817393</v>
      </c>
      <c r="K58" s="13">
        <f t="shared" si="46"/>
        <v>0</v>
      </c>
      <c r="L58" s="13">
        <f t="shared" si="46"/>
        <v>0.29663013789130455</v>
      </c>
      <c r="M58" s="13">
        <f t="shared" si="46"/>
        <v>2.4214528486288626E-2</v>
      </c>
      <c r="N58" s="13">
        <f t="shared" si="46"/>
        <v>2.4233747375711372E-2</v>
      </c>
      <c r="O58" s="13">
        <f t="shared" si="46"/>
        <v>2.4209107528595137E-2</v>
      </c>
      <c r="P58" s="13">
        <f t="shared" si="46"/>
        <v>2.6330671601378718E-2</v>
      </c>
      <c r="Q58" s="13">
        <f t="shared" si="46"/>
        <v>2.2432642873036044</v>
      </c>
      <c r="R58" s="13">
        <f t="shared" si="46"/>
        <v>0.69879420769436507</v>
      </c>
      <c r="S58" s="13">
        <f t="shared" si="46"/>
        <v>2.3258612671990222</v>
      </c>
      <c r="T58" s="13">
        <f t="shared" si="46"/>
        <v>2.9160590633119286E-2</v>
      </c>
      <c r="U58" s="13">
        <f t="shared" si="46"/>
        <v>6.0291035468284244E-2</v>
      </c>
      <c r="V58" s="13">
        <f t="shared" si="46"/>
        <v>10.808375187191539</v>
      </c>
      <c r="W58" s="13">
        <f t="shared" ref="W58:Y58" si="47">SUM(W59:W61)</f>
        <v>5.359923629736679</v>
      </c>
      <c r="X58" s="13">
        <f t="shared" si="47"/>
        <v>1.8175625578300176E-2</v>
      </c>
      <c r="Y58" s="13">
        <f t="shared" si="47"/>
        <v>2.9868381617452353E-2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0.35210711722269949</v>
      </c>
      <c r="C60" s="102">
        <v>2.1007194244654675E-2</v>
      </c>
      <c r="D60" s="102">
        <v>8.4059500959197786E-2</v>
      </c>
      <c r="E60" s="102">
        <v>0.35036072144273744</v>
      </c>
      <c r="F60" s="102">
        <v>1.0280561122096188E-2</v>
      </c>
      <c r="G60" s="102">
        <v>0.15548522768353407</v>
      </c>
      <c r="H60" s="102">
        <v>0</v>
      </c>
      <c r="I60" s="102">
        <v>8.5515706689264226E-2</v>
      </c>
      <c r="J60" s="102">
        <v>0.5570151082129825</v>
      </c>
      <c r="K60" s="102">
        <v>0</v>
      </c>
      <c r="L60" s="102">
        <v>0.29663013789130455</v>
      </c>
      <c r="M60" s="102">
        <v>2.4214528486288626E-2</v>
      </c>
      <c r="N60" s="102">
        <v>2.4233747375711372E-2</v>
      </c>
      <c r="O60" s="102">
        <v>2.4209107528595137E-2</v>
      </c>
      <c r="P60" s="102">
        <v>2.6330671601378718E-2</v>
      </c>
      <c r="Q60" s="102">
        <v>6.7704101753940898E-2</v>
      </c>
      <c r="R60" s="102">
        <v>2.2471578734797212E-2</v>
      </c>
      <c r="S60" s="102">
        <v>3.9915698293539512E-2</v>
      </c>
      <c r="T60" s="102">
        <v>2.9160590633119286E-2</v>
      </c>
      <c r="U60" s="102">
        <v>6.0291035468284244E-2</v>
      </c>
      <c r="V60" s="102">
        <v>5.8602423249171823E-2</v>
      </c>
      <c r="W60" s="102">
        <v>2.9596102042004586E-2</v>
      </c>
      <c r="X60" s="102">
        <v>1.8175625578300176E-2</v>
      </c>
      <c r="Y60" s="102">
        <v>2.9868381617452353E-2</v>
      </c>
      <c r="DA60" s="175" t="s">
        <v>240</v>
      </c>
    </row>
    <row r="61" spans="1:105" ht="11.45" customHeight="1" x14ac:dyDescent="0.25">
      <c r="A61" s="85" t="s">
        <v>182</v>
      </c>
      <c r="B61" s="86">
        <v>1.1844720496899299</v>
      </c>
      <c r="C61" s="86">
        <v>1.0354037267085658</v>
      </c>
      <c r="D61" s="86">
        <v>1.6254658385098093</v>
      </c>
      <c r="E61" s="86">
        <v>1.8521739130439681</v>
      </c>
      <c r="F61" s="86">
        <v>1.0385093167706749</v>
      </c>
      <c r="G61" s="86">
        <v>1.4980056873461471</v>
      </c>
      <c r="H61" s="86">
        <v>1.3365181221786457</v>
      </c>
      <c r="I61" s="86">
        <v>4.6333894982604775</v>
      </c>
      <c r="J61" s="86">
        <v>3.5465886184687569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2.1755601855496636</v>
      </c>
      <c r="R61" s="86">
        <v>0.67632262895956785</v>
      </c>
      <c r="S61" s="86">
        <v>2.2859455689054826</v>
      </c>
      <c r="T61" s="86">
        <v>0</v>
      </c>
      <c r="U61" s="86">
        <v>0</v>
      </c>
      <c r="V61" s="86">
        <v>10.749772763942367</v>
      </c>
      <c r="W61" s="86">
        <v>5.3303275276946742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36.627952358522307</v>
      </c>
      <c r="C66" s="14">
        <f t="shared" si="48"/>
        <v>36.93225184908944</v>
      </c>
      <c r="D66" s="14">
        <f t="shared" ref="D66:V66" si="49">IF(D34=0,0,D34/D24)</f>
        <v>37.299060064190741</v>
      </c>
      <c r="E66" s="14">
        <f t="shared" si="49"/>
        <v>37.662086402110589</v>
      </c>
      <c r="F66" s="14">
        <f t="shared" si="49"/>
        <v>38.245660072668549</v>
      </c>
      <c r="G66" s="14">
        <f t="shared" si="49"/>
        <v>39.323668548756295</v>
      </c>
      <c r="H66" s="14">
        <f t="shared" si="49"/>
        <v>40.223980767304418</v>
      </c>
      <c r="I66" s="14">
        <f t="shared" si="49"/>
        <v>42.798969340482017</v>
      </c>
      <c r="J66" s="14">
        <f t="shared" si="49"/>
        <v>43.379382388911537</v>
      </c>
      <c r="K66" s="14">
        <f t="shared" si="49"/>
        <v>43.398695383231178</v>
      </c>
      <c r="L66" s="14">
        <f t="shared" si="49"/>
        <v>45.602308558558562</v>
      </c>
      <c r="M66" s="14">
        <f t="shared" si="49"/>
        <v>46.679379608441394</v>
      </c>
      <c r="N66" s="14">
        <f t="shared" si="49"/>
        <v>47.028514851485149</v>
      </c>
      <c r="O66" s="14">
        <f t="shared" si="49"/>
        <v>53.277826639304209</v>
      </c>
      <c r="P66" s="14">
        <f t="shared" si="49"/>
        <v>58.14464871027505</v>
      </c>
      <c r="Q66" s="14">
        <f t="shared" si="49"/>
        <v>62.603156708004512</v>
      </c>
      <c r="R66" s="14">
        <f t="shared" si="49"/>
        <v>66.114402856764983</v>
      </c>
      <c r="S66" s="14">
        <f t="shared" si="49"/>
        <v>72.535159261513485</v>
      </c>
      <c r="T66" s="14">
        <f t="shared" si="49"/>
        <v>74.141662967894661</v>
      </c>
      <c r="U66" s="14">
        <f t="shared" si="49"/>
        <v>78.106243310738492</v>
      </c>
      <c r="V66" s="14">
        <f t="shared" si="49"/>
        <v>64.527919243361225</v>
      </c>
      <c r="W66" s="14">
        <f t="shared" ref="W66:Y66" si="50">IF(W34=0,0,W34/W24)</f>
        <v>77.76626599457154</v>
      </c>
      <c r="X66" s="14">
        <f t="shared" si="50"/>
        <v>84.124448294353016</v>
      </c>
      <c r="Y66" s="14">
        <f t="shared" si="50"/>
        <v>91.187118772494784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35.0147639841963</v>
      </c>
      <c r="C68" s="87">
        <f t="shared" si="48"/>
        <v>35.261604456111144</v>
      </c>
      <c r="D68" s="87">
        <f t="shared" ref="D68:V68" si="53">IF(D36=0,0,D36/D26)</f>
        <v>35.598028218903124</v>
      </c>
      <c r="E68" s="87">
        <f t="shared" si="53"/>
        <v>35.938915307971016</v>
      </c>
      <c r="F68" s="87">
        <f t="shared" si="53"/>
        <v>36.498154789749989</v>
      </c>
      <c r="G68" s="87">
        <f t="shared" si="53"/>
        <v>37.152871932313836</v>
      </c>
      <c r="H68" s="87">
        <f t="shared" si="53"/>
        <v>37.988545068159439</v>
      </c>
      <c r="I68" s="87">
        <f t="shared" si="53"/>
        <v>40.159217571850071</v>
      </c>
      <c r="J68" s="87">
        <f t="shared" si="53"/>
        <v>40.233175914994099</v>
      </c>
      <c r="K68" s="87">
        <f t="shared" si="53"/>
        <v>39.949184814947046</v>
      </c>
      <c r="L68" s="87">
        <f t="shared" si="53"/>
        <v>41.760917224625231</v>
      </c>
      <c r="M68" s="87">
        <f t="shared" si="53"/>
        <v>44.140747037883216</v>
      </c>
      <c r="N68" s="87">
        <f t="shared" si="53"/>
        <v>44.209951330640983</v>
      </c>
      <c r="O68" s="87">
        <f t="shared" si="53"/>
        <v>50.774987212276216</v>
      </c>
      <c r="P68" s="87">
        <f t="shared" si="53"/>
        <v>55.356810797300675</v>
      </c>
      <c r="Q68" s="87">
        <f t="shared" si="53"/>
        <v>60.594273365748244</v>
      </c>
      <c r="R68" s="87">
        <f t="shared" si="53"/>
        <v>64.724923326718383</v>
      </c>
      <c r="S68" s="87">
        <f t="shared" si="53"/>
        <v>71.720350347833374</v>
      </c>
      <c r="T68" s="87">
        <f t="shared" si="53"/>
        <v>73.849435674669351</v>
      </c>
      <c r="U68" s="87">
        <f t="shared" si="53"/>
        <v>78.062997172478788</v>
      </c>
      <c r="V68" s="87">
        <f t="shared" si="53"/>
        <v>63.758194011523564</v>
      </c>
      <c r="W68" s="87">
        <f t="shared" ref="W68:Y68" si="54">IF(W36=0,0,W36/W26)</f>
        <v>76.554546954943063</v>
      </c>
      <c r="X68" s="87">
        <f t="shared" si="54"/>
        <v>82.506611967005625</v>
      </c>
      <c r="Y68" s="87">
        <f t="shared" si="54"/>
        <v>89.434252622200617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90.253456221198164</v>
      </c>
      <c r="C69" s="87">
        <f t="shared" si="48"/>
        <v>92.45106382978723</v>
      </c>
      <c r="D69" s="87">
        <f t="shared" ref="D69:V69" si="55">IF(D37=0,0,D37/D27)</f>
        <v>93.907662082514733</v>
      </c>
      <c r="E69" s="87">
        <f t="shared" si="55"/>
        <v>95.092452830188677</v>
      </c>
      <c r="F69" s="87">
        <f t="shared" si="55"/>
        <v>96.512998266897753</v>
      </c>
      <c r="G69" s="87">
        <f t="shared" si="55"/>
        <v>104.89206349206349</v>
      </c>
      <c r="H69" s="87">
        <f t="shared" si="55"/>
        <v>104.3075780089153</v>
      </c>
      <c r="I69" s="87">
        <f t="shared" si="55"/>
        <v>95.948294829482947</v>
      </c>
      <c r="J69" s="87">
        <f t="shared" si="55"/>
        <v>102.5979797979798</v>
      </c>
      <c r="K69" s="87">
        <f t="shared" si="55"/>
        <v>102.73592630501535</v>
      </c>
      <c r="L69" s="87">
        <f t="shared" si="55"/>
        <v>119.02378255945639</v>
      </c>
      <c r="M69" s="87">
        <f t="shared" si="55"/>
        <v>103.29028436018957</v>
      </c>
      <c r="N69" s="87">
        <f t="shared" si="55"/>
        <v>108.4706546275395</v>
      </c>
      <c r="O69" s="87">
        <f t="shared" si="55"/>
        <v>106.69541484716157</v>
      </c>
      <c r="P69" s="87">
        <f t="shared" si="55"/>
        <v>111.46271510516253</v>
      </c>
      <c r="Q69" s="87">
        <f t="shared" si="55"/>
        <v>106.72707659115426</v>
      </c>
      <c r="R69" s="87">
        <f t="shared" si="55"/>
        <v>126.40313111545989</v>
      </c>
      <c r="S69" s="87">
        <f t="shared" si="55"/>
        <v>97.366538952745856</v>
      </c>
      <c r="T69" s="87">
        <f t="shared" si="55"/>
        <v>80.15482841181165</v>
      </c>
      <c r="U69" s="87">
        <f t="shared" si="55"/>
        <v>78.868438538205979</v>
      </c>
      <c r="V69" s="87">
        <f t="shared" si="55"/>
        <v>84.452322738386314</v>
      </c>
      <c r="W69" s="87">
        <f t="shared" ref="W69:Y69" si="56">IF(W37=0,0,W37/W27)</f>
        <v>96.664092664092664</v>
      </c>
      <c r="X69" s="87">
        <f t="shared" si="56"/>
        <v>111.99624060150376</v>
      </c>
      <c r="Y69" s="87">
        <f t="shared" si="56"/>
        <v>116.61809635722679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43.322194556166686</v>
      </c>
      <c r="C70" s="15">
        <f t="shared" si="48"/>
        <v>47.632727137244281</v>
      </c>
      <c r="D70" s="15">
        <f t="shared" ref="D70:V70" si="57">IF(D38=0,0,D38/D28)</f>
        <v>47.578027692903049</v>
      </c>
      <c r="E70" s="15">
        <f t="shared" si="57"/>
        <v>43.284208342795552</v>
      </c>
      <c r="F70" s="15">
        <f t="shared" si="57"/>
        <v>43.543221008063682</v>
      </c>
      <c r="G70" s="15">
        <f t="shared" si="57"/>
        <v>39.705799396886434</v>
      </c>
      <c r="H70" s="15">
        <f t="shared" si="57"/>
        <v>41.611483459181009</v>
      </c>
      <c r="I70" s="15">
        <f t="shared" si="57"/>
        <v>41.102593874593786</v>
      </c>
      <c r="J70" s="15">
        <f t="shared" si="57"/>
        <v>39.733930443085185</v>
      </c>
      <c r="K70" s="15">
        <f t="shared" si="57"/>
        <v>42.96093895960319</v>
      </c>
      <c r="L70" s="15">
        <f t="shared" si="57"/>
        <v>44.025080528017476</v>
      </c>
      <c r="M70" s="15">
        <f t="shared" si="57"/>
        <v>47.795458773982936</v>
      </c>
      <c r="N70" s="15">
        <f t="shared" si="57"/>
        <v>49.764262033080506</v>
      </c>
      <c r="O70" s="15">
        <f t="shared" si="57"/>
        <v>50.289655908760423</v>
      </c>
      <c r="P70" s="15">
        <f t="shared" si="57"/>
        <v>56.147411294705691</v>
      </c>
      <c r="Q70" s="15">
        <f t="shared" si="57"/>
        <v>57.839389928919566</v>
      </c>
      <c r="R70" s="15">
        <f t="shared" si="57"/>
        <v>65.865560005936317</v>
      </c>
      <c r="S70" s="15">
        <f t="shared" si="57"/>
        <v>64.817938617616008</v>
      </c>
      <c r="T70" s="15">
        <f t="shared" si="57"/>
        <v>65.628459765841598</v>
      </c>
      <c r="U70" s="15">
        <f t="shared" si="57"/>
        <v>67.396729074178367</v>
      </c>
      <c r="V70" s="15">
        <f t="shared" si="57"/>
        <v>47.097208513528869</v>
      </c>
      <c r="W70" s="15">
        <f t="shared" ref="W70:Y70" si="58">IF(W38=0,0,W38/W28)</f>
        <v>49.763288374811033</v>
      </c>
      <c r="X70" s="15">
        <f t="shared" si="58"/>
        <v>55.085998190544849</v>
      </c>
      <c r="Y70" s="15">
        <f t="shared" si="58"/>
        <v>56.139921440161835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16.065947226318936</v>
      </c>
      <c r="G72" s="41">
        <f t="shared" si="61"/>
        <v>15.202475894043332</v>
      </c>
      <c r="H72" s="41">
        <f t="shared" si="61"/>
        <v>14.017847842266164</v>
      </c>
      <c r="I72" s="41">
        <f t="shared" si="61"/>
        <v>13.786843762306624</v>
      </c>
      <c r="J72" s="41">
        <f t="shared" si="61"/>
        <v>13.706049515651268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18.477606558493587</v>
      </c>
      <c r="R72" s="41">
        <f t="shared" si="61"/>
        <v>20.847919403023049</v>
      </c>
      <c r="S72" s="41">
        <f t="shared" si="61"/>
        <v>19.377525185076973</v>
      </c>
      <c r="T72" s="41">
        <f t="shared" si="61"/>
        <v>19.225461196308377</v>
      </c>
      <c r="U72" s="41">
        <f t="shared" si="61"/>
        <v>19.702598617631953</v>
      </c>
      <c r="V72" s="41">
        <f t="shared" si="61"/>
        <v>17.640506114488733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52.903188435639557</v>
      </c>
      <c r="E73" s="40">
        <f t="shared" si="63"/>
        <v>48.726605018216759</v>
      </c>
      <c r="F73" s="40">
        <f t="shared" si="63"/>
        <v>48.059639068158525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59.664691083399632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1935.4926878105578</v>
      </c>
      <c r="C75" s="62">
        <f t="shared" si="65"/>
        <v>1897.8849108392571</v>
      </c>
      <c r="D75" s="62">
        <f t="shared" ref="D75:V75" si="66">IF(D13=0,0,D13*1000000/D23)</f>
        <v>1891.555730600327</v>
      </c>
      <c r="E75" s="62">
        <f t="shared" si="66"/>
        <v>1918.5353406748004</v>
      </c>
      <c r="F75" s="62">
        <f t="shared" si="66"/>
        <v>1883.9970602187725</v>
      </c>
      <c r="G75" s="62">
        <f t="shared" si="66"/>
        <v>1898.8612589851559</v>
      </c>
      <c r="H75" s="62">
        <f t="shared" si="66"/>
        <v>1915.5059052713689</v>
      </c>
      <c r="I75" s="62">
        <f t="shared" si="66"/>
        <v>2150.22283392383</v>
      </c>
      <c r="J75" s="62">
        <f t="shared" si="66"/>
        <v>2264.0906084535682</v>
      </c>
      <c r="K75" s="62">
        <f t="shared" si="66"/>
        <v>2166.0090815397621</v>
      </c>
      <c r="L75" s="62">
        <f t="shared" si="66"/>
        <v>2197.5558068691162</v>
      </c>
      <c r="M75" s="62">
        <f t="shared" si="66"/>
        <v>2085.4709007742817</v>
      </c>
      <c r="N75" s="62">
        <f t="shared" si="66"/>
        <v>1872.2290939617246</v>
      </c>
      <c r="O75" s="62">
        <f t="shared" si="66"/>
        <v>1870.8832790194642</v>
      </c>
      <c r="P75" s="62">
        <f t="shared" si="66"/>
        <v>1851.3279646261667</v>
      </c>
      <c r="Q75" s="62">
        <f t="shared" si="66"/>
        <v>2015.070583306423</v>
      </c>
      <c r="R75" s="62">
        <f t="shared" si="66"/>
        <v>1979.8501214779603</v>
      </c>
      <c r="S75" s="62">
        <f t="shared" si="66"/>
        <v>2046.0994131356438</v>
      </c>
      <c r="T75" s="62">
        <f t="shared" si="66"/>
        <v>1995.4691859819284</v>
      </c>
      <c r="U75" s="62">
        <f t="shared" si="66"/>
        <v>1938.2636134734348</v>
      </c>
      <c r="V75" s="62">
        <f t="shared" si="66"/>
        <v>3328.6261572672747</v>
      </c>
      <c r="W75" s="62">
        <f t="shared" ref="W75:Y75" si="67">IF(W13=0,0,W13*1000000/W23)</f>
        <v>3506.4470286647756</v>
      </c>
      <c r="X75" s="62">
        <f t="shared" si="67"/>
        <v>2568.8526680938521</v>
      </c>
      <c r="Y75" s="62">
        <f t="shared" si="67"/>
        <v>2238.4462079235486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831.27785300736264</v>
      </c>
      <c r="C76" s="14">
        <f t="shared" si="65"/>
        <v>831.25752688212867</v>
      </c>
      <c r="D76" s="14">
        <f t="shared" ref="D76:V76" si="68">IF(D14=0,0,D14*1000000/D24)</f>
        <v>831.12654891111754</v>
      </c>
      <c r="E76" s="14">
        <f t="shared" si="68"/>
        <v>831.01513003847469</v>
      </c>
      <c r="F76" s="14">
        <f t="shared" si="68"/>
        <v>830.94719969803407</v>
      </c>
      <c r="G76" s="14">
        <f t="shared" si="68"/>
        <v>822.17404669752796</v>
      </c>
      <c r="H76" s="14">
        <f t="shared" si="68"/>
        <v>814.16689362069053</v>
      </c>
      <c r="I76" s="14">
        <f t="shared" si="68"/>
        <v>857.46123379996379</v>
      </c>
      <c r="J76" s="14">
        <f t="shared" si="68"/>
        <v>866.31222357144031</v>
      </c>
      <c r="K76" s="14">
        <f t="shared" si="68"/>
        <v>878.87099339041731</v>
      </c>
      <c r="L76" s="14">
        <f t="shared" si="68"/>
        <v>878.99359166744387</v>
      </c>
      <c r="M76" s="14">
        <f t="shared" si="68"/>
        <v>845.41243551889272</v>
      </c>
      <c r="N76" s="14">
        <f t="shared" si="68"/>
        <v>804.53888778351279</v>
      </c>
      <c r="O76" s="14">
        <f t="shared" si="68"/>
        <v>804.6056656715939</v>
      </c>
      <c r="P76" s="14">
        <f t="shared" si="68"/>
        <v>869.20184207074396</v>
      </c>
      <c r="Q76" s="14">
        <f t="shared" si="68"/>
        <v>896.31948830616545</v>
      </c>
      <c r="R76" s="14">
        <f t="shared" si="68"/>
        <v>862.56582454063073</v>
      </c>
      <c r="S76" s="14">
        <f t="shared" si="68"/>
        <v>936.83956154110729</v>
      </c>
      <c r="T76" s="14">
        <f t="shared" si="68"/>
        <v>1011.244628184342</v>
      </c>
      <c r="U76" s="14">
        <f t="shared" si="68"/>
        <v>1050.6950271155154</v>
      </c>
      <c r="V76" s="14">
        <f t="shared" si="68"/>
        <v>1137.0114906590964</v>
      </c>
      <c r="W76" s="14">
        <f t="shared" ref="W76:Y76" si="69">IF(W14=0,0,W14*1000000/W24)</f>
        <v>1351.3315670572381</v>
      </c>
      <c r="X76" s="14">
        <f t="shared" si="69"/>
        <v>1135.0037535758327</v>
      </c>
      <c r="Y76" s="14">
        <f t="shared" si="69"/>
        <v>1082.541608281957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766.54824392465923</v>
      </c>
      <c r="C78" s="39">
        <f t="shared" si="65"/>
        <v>766.50778790268919</v>
      </c>
      <c r="D78" s="39">
        <f t="shared" ref="D78:V78" si="72">IF(D16=0,0,D16*1000000/D26)</f>
        <v>766.46444396407765</v>
      </c>
      <c r="E78" s="39">
        <f t="shared" si="72"/>
        <v>766.44537730093384</v>
      </c>
      <c r="F78" s="39">
        <f t="shared" si="72"/>
        <v>766.40417157152069</v>
      </c>
      <c r="G78" s="39">
        <f t="shared" si="72"/>
        <v>757.79324014586348</v>
      </c>
      <c r="H78" s="39">
        <f t="shared" si="72"/>
        <v>746.31513378404736</v>
      </c>
      <c r="I78" s="39">
        <f t="shared" si="72"/>
        <v>753.14671369663881</v>
      </c>
      <c r="J78" s="39">
        <f t="shared" si="72"/>
        <v>737.33672176292941</v>
      </c>
      <c r="K78" s="39">
        <f t="shared" si="72"/>
        <v>715.55701417720343</v>
      </c>
      <c r="L78" s="39">
        <f t="shared" si="72"/>
        <v>712.64238068029761</v>
      </c>
      <c r="M78" s="39">
        <f t="shared" si="72"/>
        <v>720.87334386638736</v>
      </c>
      <c r="N78" s="39">
        <f t="shared" si="72"/>
        <v>699.64543069844422</v>
      </c>
      <c r="O78" s="39">
        <f t="shared" si="72"/>
        <v>700.70335793661548</v>
      </c>
      <c r="P78" s="39">
        <f t="shared" si="72"/>
        <v>744.47615510033609</v>
      </c>
      <c r="Q78" s="39">
        <f t="shared" si="72"/>
        <v>760.75193588422087</v>
      </c>
      <c r="R78" s="39">
        <f t="shared" si="72"/>
        <v>780.77739185072744</v>
      </c>
      <c r="S78" s="39">
        <f t="shared" si="72"/>
        <v>810.38723340530555</v>
      </c>
      <c r="T78" s="39">
        <f t="shared" si="72"/>
        <v>816.05384733242306</v>
      </c>
      <c r="U78" s="39">
        <f t="shared" si="72"/>
        <v>823.6114713921296</v>
      </c>
      <c r="V78" s="39">
        <f t="shared" si="72"/>
        <v>953.15969089445025</v>
      </c>
      <c r="W78" s="39">
        <f t="shared" ref="W78:Y78" si="73">IF(W16=0,0,W16*1000000/W26)</f>
        <v>1082.1545195827828</v>
      </c>
      <c r="X78" s="39">
        <f t="shared" si="73"/>
        <v>951.35517861125766</v>
      </c>
      <c r="Y78" s="39">
        <f t="shared" si="73"/>
        <v>963.70600851703693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2983.0153420307788</v>
      </c>
      <c r="C79" s="39">
        <f t="shared" si="65"/>
        <v>2983.0153420307788</v>
      </c>
      <c r="D79" s="39">
        <f t="shared" ref="D79:V79" si="74">IF(D17=0,0,D17*1000000/D27)</f>
        <v>2983.0153420307788</v>
      </c>
      <c r="E79" s="39">
        <f t="shared" si="74"/>
        <v>2983.0153420307788</v>
      </c>
      <c r="F79" s="39">
        <f t="shared" si="74"/>
        <v>2983.0153420307788</v>
      </c>
      <c r="G79" s="39">
        <f t="shared" si="74"/>
        <v>2766.7809798270891</v>
      </c>
      <c r="H79" s="39">
        <f t="shared" si="74"/>
        <v>2759.2842822215143</v>
      </c>
      <c r="I79" s="39">
        <f t="shared" si="74"/>
        <v>2957.752044505195</v>
      </c>
      <c r="J79" s="39">
        <f t="shared" si="74"/>
        <v>3293.9177798338583</v>
      </c>
      <c r="K79" s="39">
        <f t="shared" si="74"/>
        <v>3688.1388896619364</v>
      </c>
      <c r="L79" s="39">
        <f t="shared" si="74"/>
        <v>4058.5059221658207</v>
      </c>
      <c r="M79" s="39">
        <f t="shared" si="74"/>
        <v>3622.6046677366703</v>
      </c>
      <c r="N79" s="39">
        <f t="shared" si="74"/>
        <v>3091.1215403128767</v>
      </c>
      <c r="O79" s="39">
        <f t="shared" si="74"/>
        <v>3022.1712947314504</v>
      </c>
      <c r="P79" s="39">
        <f t="shared" si="74"/>
        <v>3254.6104155344233</v>
      </c>
      <c r="Q79" s="39">
        <f t="shared" si="74"/>
        <v>3873.9796122147054</v>
      </c>
      <c r="R79" s="39">
        <f t="shared" si="74"/>
        <v>4411.3195028195696</v>
      </c>
      <c r="S79" s="39">
        <f t="shared" si="74"/>
        <v>4790.4863737716387</v>
      </c>
      <c r="T79" s="39">
        <f t="shared" si="74"/>
        <v>5027.6882855706381</v>
      </c>
      <c r="U79" s="39">
        <f t="shared" si="74"/>
        <v>5052.9483929379812</v>
      </c>
      <c r="V79" s="39">
        <f t="shared" si="74"/>
        <v>5896.0310606060602</v>
      </c>
      <c r="W79" s="39">
        <f t="shared" ref="W79:Y79" si="75">IF(W17=0,0,W17*1000000/W27)</f>
        <v>5549.3849277978352</v>
      </c>
      <c r="X79" s="39">
        <f t="shared" si="75"/>
        <v>4298.868263473054</v>
      </c>
      <c r="Y79" s="39">
        <f t="shared" si="75"/>
        <v>2806.635300993571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4642.0301544129479</v>
      </c>
      <c r="C80" s="15">
        <f t="shared" si="65"/>
        <v>4909.1093327529688</v>
      </c>
      <c r="D80" s="15">
        <f t="shared" ref="D80:V80" si="76">IF(D18=0,0,D18*1000000/D28)</f>
        <v>4980.4319179314334</v>
      </c>
      <c r="E80" s="15">
        <f t="shared" si="76"/>
        <v>4865.1239798881006</v>
      </c>
      <c r="F80" s="15">
        <f t="shared" si="76"/>
        <v>5011.1117067164423</v>
      </c>
      <c r="G80" s="15">
        <f t="shared" si="76"/>
        <v>4762.3074043263996</v>
      </c>
      <c r="H80" s="15">
        <f t="shared" si="76"/>
        <v>4866.3022963901894</v>
      </c>
      <c r="I80" s="15">
        <f t="shared" si="76"/>
        <v>4910.6144200058125</v>
      </c>
      <c r="J80" s="15">
        <f t="shared" si="76"/>
        <v>4960.9742015050742</v>
      </c>
      <c r="K80" s="15">
        <f t="shared" si="76"/>
        <v>5087.0372364095674</v>
      </c>
      <c r="L80" s="15">
        <f t="shared" si="76"/>
        <v>5149.4863428557164</v>
      </c>
      <c r="M80" s="15">
        <f t="shared" si="76"/>
        <v>5383.5165755439912</v>
      </c>
      <c r="N80" s="15">
        <f t="shared" si="76"/>
        <v>5108.6249770349368</v>
      </c>
      <c r="O80" s="15">
        <f t="shared" si="76"/>
        <v>4860.258297482138</v>
      </c>
      <c r="P80" s="15">
        <f t="shared" si="76"/>
        <v>4868.656774596132</v>
      </c>
      <c r="Q80" s="15">
        <f t="shared" si="76"/>
        <v>5374.1641390702434</v>
      </c>
      <c r="R80" s="15">
        <f t="shared" si="76"/>
        <v>5790.8816564297567</v>
      </c>
      <c r="S80" s="15">
        <f t="shared" si="76"/>
        <v>5814.7386525273387</v>
      </c>
      <c r="T80" s="15">
        <f t="shared" si="76"/>
        <v>5862.5662859115237</v>
      </c>
      <c r="U80" s="15">
        <f t="shared" si="76"/>
        <v>5871.6308032935895</v>
      </c>
      <c r="V80" s="15">
        <f t="shared" si="76"/>
        <v>5810.499985694004</v>
      </c>
      <c r="W80" s="15">
        <f t="shared" ref="W80:Y80" si="77">IF(W18=0,0,W18*1000000/W28)</f>
        <v>6059.5213398663564</v>
      </c>
      <c r="X80" s="15">
        <f t="shared" si="77"/>
        <v>6427.3052415937227</v>
      </c>
      <c r="Y80" s="15">
        <f t="shared" si="77"/>
        <v>6453.1308200992371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1571.1832360008641</v>
      </c>
      <c r="C82" s="41">
        <f t="shared" si="65"/>
        <v>1246.3916671652926</v>
      </c>
      <c r="D82" s="41">
        <f t="shared" ref="D82:V82" si="80">IF(D20=0,0,D20*1000000/D30)</f>
        <v>1120.1136818408365</v>
      </c>
      <c r="E82" s="41">
        <f t="shared" si="80"/>
        <v>1159.037467289681</v>
      </c>
      <c r="F82" s="41">
        <f t="shared" si="80"/>
        <v>1190.9285379474445</v>
      </c>
      <c r="G82" s="41">
        <f t="shared" si="80"/>
        <v>1173.5850441770879</v>
      </c>
      <c r="H82" s="41">
        <f t="shared" si="80"/>
        <v>1060.1022279754295</v>
      </c>
      <c r="I82" s="41">
        <f t="shared" si="80"/>
        <v>995.47790732201429</v>
      </c>
      <c r="J82" s="41">
        <f t="shared" si="80"/>
        <v>879.80872863198056</v>
      </c>
      <c r="K82" s="41">
        <f t="shared" si="80"/>
        <v>780.17543777689627</v>
      </c>
      <c r="L82" s="41">
        <f t="shared" si="80"/>
        <v>739.37239341089708</v>
      </c>
      <c r="M82" s="41">
        <f t="shared" si="80"/>
        <v>708.09198443053549</v>
      </c>
      <c r="N82" s="41">
        <f t="shared" si="80"/>
        <v>652.89179998973941</v>
      </c>
      <c r="O82" s="41">
        <f t="shared" si="80"/>
        <v>669.45688232567784</v>
      </c>
      <c r="P82" s="41">
        <f t="shared" si="80"/>
        <v>725.88596116582517</v>
      </c>
      <c r="Q82" s="41">
        <f t="shared" si="80"/>
        <v>771.62152552198677</v>
      </c>
      <c r="R82" s="41">
        <f t="shared" si="80"/>
        <v>778.94889213757483</v>
      </c>
      <c r="S82" s="41">
        <f t="shared" si="80"/>
        <v>812.25676177332889</v>
      </c>
      <c r="T82" s="41">
        <f t="shared" si="80"/>
        <v>829.76720528726923</v>
      </c>
      <c r="U82" s="41">
        <f t="shared" si="80"/>
        <v>849.89566834241327</v>
      </c>
      <c r="V82" s="41">
        <f t="shared" si="80"/>
        <v>729.06837612538493</v>
      </c>
      <c r="W82" s="41">
        <f t="shared" ref="W82:Y82" si="81">IF(W20=0,0,W20*1000000/W30)</f>
        <v>680.78343926825505</v>
      </c>
      <c r="X82" s="41">
        <f t="shared" si="81"/>
        <v>714.75861005150853</v>
      </c>
      <c r="Y82" s="41">
        <f t="shared" si="81"/>
        <v>794.31428727807963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5639.0322345441155</v>
      </c>
      <c r="C83" s="40">
        <f t="shared" si="65"/>
        <v>5639.0322345441155</v>
      </c>
      <c r="D83" s="40">
        <f t="shared" ref="D83:V83" si="82">IF(D21=0,0,D21*1000000/D31)</f>
        <v>5639.0322345441155</v>
      </c>
      <c r="E83" s="40">
        <f t="shared" si="82"/>
        <v>5639.0322345441155</v>
      </c>
      <c r="F83" s="40">
        <f t="shared" si="82"/>
        <v>5639.0322345441155</v>
      </c>
      <c r="G83" s="40">
        <f t="shared" si="82"/>
        <v>5422.7978723404258</v>
      </c>
      <c r="H83" s="40">
        <f t="shared" si="82"/>
        <v>5356.3462312815154</v>
      </c>
      <c r="I83" s="40">
        <f t="shared" si="82"/>
        <v>5495.8590501118606</v>
      </c>
      <c r="J83" s="40">
        <f t="shared" si="82"/>
        <v>5773.0698419871896</v>
      </c>
      <c r="K83" s="40">
        <f t="shared" si="82"/>
        <v>6108.3360083619309</v>
      </c>
      <c r="L83" s="40">
        <f t="shared" si="82"/>
        <v>6419.7480974124801</v>
      </c>
      <c r="M83" s="40">
        <f t="shared" si="82"/>
        <v>6439.2076055666248</v>
      </c>
      <c r="N83" s="40">
        <f t="shared" si="82"/>
        <v>6363.0852407261236</v>
      </c>
      <c r="O83" s="40">
        <f t="shared" si="82"/>
        <v>6031.9196922541896</v>
      </c>
      <c r="P83" s="40">
        <f t="shared" si="82"/>
        <v>6002.1435101666539</v>
      </c>
      <c r="Q83" s="40">
        <f t="shared" si="82"/>
        <v>6359.2974039564278</v>
      </c>
      <c r="R83" s="40">
        <f t="shared" si="82"/>
        <v>6634.4219916707816</v>
      </c>
      <c r="S83" s="40">
        <f t="shared" si="82"/>
        <v>6751.3735597323448</v>
      </c>
      <c r="T83" s="40">
        <f t="shared" si="82"/>
        <v>6726.3601686408347</v>
      </c>
      <c r="U83" s="40">
        <f t="shared" si="82"/>
        <v>6714.4589490968792</v>
      </c>
      <c r="V83" s="40">
        <f t="shared" si="82"/>
        <v>6402.3696212571876</v>
      </c>
      <c r="W83" s="40">
        <f t="shared" ref="W83:Y83" si="83">IF(W21=0,0,W21*1000000/W31)</f>
        <v>6702.3366685195488</v>
      </c>
      <c r="X83" s="40">
        <f t="shared" si="83"/>
        <v>7259.0531934141491</v>
      </c>
      <c r="Y83" s="40">
        <f t="shared" si="83"/>
        <v>7480.1593796711522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50894.653548275463</v>
      </c>
      <c r="C86" s="11">
        <f t="shared" si="84"/>
        <v>51605.767863943453</v>
      </c>
      <c r="D86" s="11">
        <f t="shared" ref="D86:V86" si="85">IF(D4=0,0,D4*1000000/D24)</f>
        <v>51756.803581600951</v>
      </c>
      <c r="E86" s="11">
        <f t="shared" si="85"/>
        <v>51281.95737762739</v>
      </c>
      <c r="F86" s="11">
        <f t="shared" si="85"/>
        <v>50820.513405519559</v>
      </c>
      <c r="G86" s="11">
        <f t="shared" si="85"/>
        <v>50770.317972319433</v>
      </c>
      <c r="H86" s="11">
        <f t="shared" si="85"/>
        <v>48694.035450264069</v>
      </c>
      <c r="I86" s="11">
        <f t="shared" si="85"/>
        <v>51725.381400655358</v>
      </c>
      <c r="J86" s="11">
        <f t="shared" si="85"/>
        <v>52809.15134361836</v>
      </c>
      <c r="K86" s="11">
        <f t="shared" si="85"/>
        <v>54965.278527599345</v>
      </c>
      <c r="L86" s="11">
        <f t="shared" si="85"/>
        <v>59847.958755048858</v>
      </c>
      <c r="M86" s="11">
        <f t="shared" si="85"/>
        <v>54490.966058237689</v>
      </c>
      <c r="N86" s="11">
        <f t="shared" si="85"/>
        <v>51471.582349370517</v>
      </c>
      <c r="O86" s="11">
        <f t="shared" si="85"/>
        <v>57673.959866863515</v>
      </c>
      <c r="P86" s="11">
        <f t="shared" si="85"/>
        <v>66605.437823276923</v>
      </c>
      <c r="Q86" s="11">
        <f t="shared" si="85"/>
        <v>71704.687117755297</v>
      </c>
      <c r="R86" s="11">
        <f t="shared" si="85"/>
        <v>72157.258616081454</v>
      </c>
      <c r="S86" s="11">
        <f t="shared" si="85"/>
        <v>82663.034341358434</v>
      </c>
      <c r="T86" s="11">
        <f t="shared" si="85"/>
        <v>87565.474787896121</v>
      </c>
      <c r="U86" s="11">
        <f t="shared" si="85"/>
        <v>93957.155390965621</v>
      </c>
      <c r="V86" s="11">
        <f t="shared" si="85"/>
        <v>89362.25395234648</v>
      </c>
      <c r="W86" s="11">
        <f t="shared" ref="W86:Y86" si="86">IF(W4=0,0,W4*1000000/W24)</f>
        <v>124741.02487905184</v>
      </c>
      <c r="X86" s="11">
        <f t="shared" si="86"/>
        <v>113855.3711873054</v>
      </c>
      <c r="Y86" s="11">
        <f t="shared" si="86"/>
        <v>117168.91220375847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44183.949285696319</v>
      </c>
      <c r="C88" s="36">
        <f t="shared" si="84"/>
        <v>44713.697545867581</v>
      </c>
      <c r="D88" s="36">
        <f t="shared" ref="D88:V88" si="89">IF(D6=0,0,D6*1000000/D26)</f>
        <v>44746.153370150314</v>
      </c>
      <c r="E88" s="36">
        <f t="shared" si="89"/>
        <v>44159.522840866484</v>
      </c>
      <c r="F88" s="36">
        <f t="shared" si="89"/>
        <v>43558.085028534428</v>
      </c>
      <c r="G88" s="36">
        <f t="shared" si="89"/>
        <v>42673.68588587048</v>
      </c>
      <c r="H88" s="36">
        <f t="shared" si="89"/>
        <v>40175.865867724708</v>
      </c>
      <c r="I88" s="36">
        <f t="shared" si="89"/>
        <v>39951.069072199709</v>
      </c>
      <c r="J88" s="36">
        <f t="shared" si="89"/>
        <v>37343.650114599142</v>
      </c>
      <c r="K88" s="36">
        <f t="shared" si="89"/>
        <v>35745.266052539097</v>
      </c>
      <c r="L88" s="36">
        <f t="shared" si="89"/>
        <v>37260.348070361302</v>
      </c>
      <c r="M88" s="36">
        <f t="shared" si="89"/>
        <v>40028.585724129283</v>
      </c>
      <c r="N88" s="36">
        <f t="shared" si="89"/>
        <v>39583.00592119139</v>
      </c>
      <c r="O88" s="36">
        <f t="shared" si="89"/>
        <v>45795.873710197411</v>
      </c>
      <c r="P88" s="36">
        <f t="shared" si="89"/>
        <v>51254.823241409482</v>
      </c>
      <c r="Q88" s="36">
        <f t="shared" si="89"/>
        <v>56331.819588391649</v>
      </c>
      <c r="R88" s="36">
        <f t="shared" si="89"/>
        <v>61286.49164633391</v>
      </c>
      <c r="S88" s="36">
        <f t="shared" si="89"/>
        <v>70471.62402932682</v>
      </c>
      <c r="T88" s="36">
        <f t="shared" si="89"/>
        <v>72734.514762731327</v>
      </c>
      <c r="U88" s="36">
        <f t="shared" si="89"/>
        <v>76298.53623248417</v>
      </c>
      <c r="V88" s="36">
        <f t="shared" si="89"/>
        <v>73585.1902544724</v>
      </c>
      <c r="W88" s="36">
        <f t="shared" ref="W88:Y88" si="90">IF(W6=0,0,W6*1000000/W26)</f>
        <v>96952.934996795535</v>
      </c>
      <c r="X88" s="36">
        <f t="shared" si="90"/>
        <v>91718.885565330886</v>
      </c>
      <c r="Y88" s="36">
        <f t="shared" si="90"/>
        <v>102307.72837083242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273971.4516962691</v>
      </c>
      <c r="C89" s="36">
        <f t="shared" si="84"/>
        <v>280642.46211506455</v>
      </c>
      <c r="D89" s="36">
        <f t="shared" ref="D89:V89" si="91">IF(D7=0,0,D7*1000000/D27)</f>
        <v>285064.08046129119</v>
      </c>
      <c r="E89" s="36">
        <f t="shared" si="91"/>
        <v>288660.60578771186</v>
      </c>
      <c r="F89" s="36">
        <f t="shared" si="91"/>
        <v>292972.78298059234</v>
      </c>
      <c r="G89" s="36">
        <f t="shared" si="91"/>
        <v>295327.16237396578</v>
      </c>
      <c r="H89" s="36">
        <f t="shared" si="91"/>
        <v>292885.78248731018</v>
      </c>
      <c r="I89" s="36">
        <f t="shared" si="91"/>
        <v>288791.89871132135</v>
      </c>
      <c r="J89" s="36">
        <f t="shared" si="91"/>
        <v>343904.25225426891</v>
      </c>
      <c r="K89" s="36">
        <f t="shared" si="91"/>
        <v>385580.9690658414</v>
      </c>
      <c r="L89" s="36">
        <f t="shared" si="91"/>
        <v>491570.61506928661</v>
      </c>
      <c r="M89" s="36">
        <f t="shared" si="91"/>
        <v>376998.62040451041</v>
      </c>
      <c r="N89" s="36">
        <f t="shared" si="91"/>
        <v>310631.81387741986</v>
      </c>
      <c r="O89" s="36">
        <f t="shared" si="91"/>
        <v>311185.51484811038</v>
      </c>
      <c r="P89" s="36">
        <f t="shared" si="91"/>
        <v>360189.61058643006</v>
      </c>
      <c r="Q89" s="36">
        <f t="shared" si="91"/>
        <v>409360.51857986243</v>
      </c>
      <c r="R89" s="36">
        <f t="shared" si="91"/>
        <v>543833.66811362107</v>
      </c>
      <c r="S89" s="36">
        <f t="shared" si="91"/>
        <v>454197.43136012973</v>
      </c>
      <c r="T89" s="36">
        <f t="shared" si="91"/>
        <v>392742.36411656655</v>
      </c>
      <c r="U89" s="36">
        <f t="shared" si="91"/>
        <v>405182.98474559747</v>
      </c>
      <c r="V89" s="36">
        <f t="shared" si="91"/>
        <v>497752.89788729214</v>
      </c>
      <c r="W89" s="36">
        <f t="shared" ref="W89:Y89" si="92">IF(W7=0,0,W7*1000000/W27)</f>
        <v>558120.7844584363</v>
      </c>
      <c r="X89" s="36">
        <f t="shared" si="92"/>
        <v>495218.75092888571</v>
      </c>
      <c r="Y89" s="36">
        <f t="shared" si="92"/>
        <v>332778.32018639281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288658.44486255391</v>
      </c>
      <c r="C90" s="13">
        <f t="shared" si="84"/>
        <v>330329.295058296</v>
      </c>
      <c r="D90" s="13">
        <f t="shared" ref="D90:V90" si="93">IF(D8=0,0,D8*1000000/D28)</f>
        <v>318897.57333921461</v>
      </c>
      <c r="E90" s="13">
        <f t="shared" si="93"/>
        <v>282503.22391179262</v>
      </c>
      <c r="F90" s="13">
        <f t="shared" si="93"/>
        <v>283696.1659999314</v>
      </c>
      <c r="G90" s="13">
        <f t="shared" si="93"/>
        <v>253043.99777251505</v>
      </c>
      <c r="H90" s="13">
        <f t="shared" si="93"/>
        <v>251626.48568564645</v>
      </c>
      <c r="I90" s="13">
        <f t="shared" si="93"/>
        <v>249581.00257583987</v>
      </c>
      <c r="J90" s="13">
        <f t="shared" si="93"/>
        <v>246808.169612781</v>
      </c>
      <c r="K90" s="13">
        <f t="shared" si="93"/>
        <v>285042.09426054964</v>
      </c>
      <c r="L90" s="13">
        <f t="shared" si="93"/>
        <v>292626.42702930322</v>
      </c>
      <c r="M90" s="13">
        <f t="shared" si="93"/>
        <v>317633.18526446383</v>
      </c>
      <c r="N90" s="13">
        <f t="shared" si="93"/>
        <v>301830.58334982925</v>
      </c>
      <c r="O90" s="13">
        <f t="shared" si="93"/>
        <v>301343.79499991902</v>
      </c>
      <c r="P90" s="13">
        <f t="shared" si="93"/>
        <v>356145.31463329721</v>
      </c>
      <c r="Q90" s="13">
        <f t="shared" si="93"/>
        <v>392682.48292458907</v>
      </c>
      <c r="R90" s="13">
        <f t="shared" si="93"/>
        <v>455622.61141566449</v>
      </c>
      <c r="S90" s="13">
        <f t="shared" si="93"/>
        <v>453438.71666737489</v>
      </c>
      <c r="T90" s="13">
        <f t="shared" si="93"/>
        <v>466207.34583763842</v>
      </c>
      <c r="U90" s="13">
        <f t="shared" si="93"/>
        <v>507717.25211929658</v>
      </c>
      <c r="V90" s="13">
        <f t="shared" si="93"/>
        <v>325625.08669495251</v>
      </c>
      <c r="W90" s="13">
        <f t="shared" ref="W90:Y90" si="94">IF(W8=0,0,W8*1000000/W28)</f>
        <v>366414.03596533032</v>
      </c>
      <c r="X90" s="13">
        <f t="shared" si="94"/>
        <v>428057.5651093687</v>
      </c>
      <c r="Y90" s="13">
        <f t="shared" si="94"/>
        <v>439318.09834955126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27152.42902460969</v>
      </c>
      <c r="C92" s="34">
        <f t="shared" si="84"/>
        <v>23568.273931171221</v>
      </c>
      <c r="D92" s="34">
        <f t="shared" ref="D92:V92" si="97">IF(D10=0,0,D10*1000000/D30)</f>
        <v>21651.155311989056</v>
      </c>
      <c r="E92" s="34">
        <f t="shared" si="97"/>
        <v>27095.163863501217</v>
      </c>
      <c r="F92" s="34">
        <f t="shared" si="97"/>
        <v>26589.216900312691</v>
      </c>
      <c r="G92" s="34">
        <f t="shared" si="97"/>
        <v>26258.817446432062</v>
      </c>
      <c r="H92" s="34">
        <f t="shared" si="97"/>
        <v>19774.44859402471</v>
      </c>
      <c r="I92" s="34">
        <f t="shared" si="97"/>
        <v>19389.020916974587</v>
      </c>
      <c r="J92" s="34">
        <f t="shared" si="97"/>
        <v>18166.625657996603</v>
      </c>
      <c r="K92" s="34">
        <f t="shared" si="97"/>
        <v>16145.004817968716</v>
      </c>
      <c r="L92" s="34">
        <f t="shared" si="97"/>
        <v>14732.342648844313</v>
      </c>
      <c r="M92" s="34">
        <f t="shared" si="97"/>
        <v>15099.52620740667</v>
      </c>
      <c r="N92" s="34">
        <f t="shared" si="97"/>
        <v>15702.502868429447</v>
      </c>
      <c r="O92" s="34">
        <f t="shared" si="97"/>
        <v>16177.615891038466</v>
      </c>
      <c r="P92" s="34">
        <f t="shared" si="97"/>
        <v>19815.34259110866</v>
      </c>
      <c r="Q92" s="34">
        <f t="shared" si="97"/>
        <v>19870.699869666227</v>
      </c>
      <c r="R92" s="34">
        <f t="shared" si="97"/>
        <v>22778.612566625237</v>
      </c>
      <c r="S92" s="34">
        <f t="shared" si="97"/>
        <v>22227.787737294355</v>
      </c>
      <c r="T92" s="34">
        <f t="shared" si="97"/>
        <v>23013.650046782004</v>
      </c>
      <c r="U92" s="34">
        <f t="shared" si="97"/>
        <v>24014.978187863497</v>
      </c>
      <c r="V92" s="34">
        <f t="shared" si="97"/>
        <v>16851.436062597604</v>
      </c>
      <c r="W92" s="34">
        <f t="shared" ref="W92:Y92" si="98">IF(W10=0,0,W10*1000000/W30)</f>
        <v>15364.965855037301</v>
      </c>
      <c r="X92" s="34">
        <f t="shared" si="98"/>
        <v>16701.451845205796</v>
      </c>
      <c r="Y92" s="34">
        <f t="shared" si="98"/>
        <v>19410.265153415388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373560.76942781173</v>
      </c>
      <c r="C93" s="35">
        <f t="shared" si="84"/>
        <v>391462.01538813335</v>
      </c>
      <c r="D93" s="35">
        <f t="shared" ref="D93:V93" si="99">IF(D11=0,0,D11*1000000/D31)</f>
        <v>369610.12423578842</v>
      </c>
      <c r="E93" s="35">
        <f t="shared" si="99"/>
        <v>335837.76030351507</v>
      </c>
      <c r="F93" s="35">
        <f t="shared" si="99"/>
        <v>325956.63468809071</v>
      </c>
      <c r="G93" s="35">
        <f t="shared" si="99"/>
        <v>294782.93293103972</v>
      </c>
      <c r="H93" s="35">
        <f t="shared" si="99"/>
        <v>281477.17207278346</v>
      </c>
      <c r="I93" s="35">
        <f t="shared" si="99"/>
        <v>283990.68937038095</v>
      </c>
      <c r="J93" s="35">
        <f t="shared" si="99"/>
        <v>292304.68336919683</v>
      </c>
      <c r="K93" s="35">
        <f t="shared" si="99"/>
        <v>348806.44985618535</v>
      </c>
      <c r="L93" s="35">
        <f t="shared" si="99"/>
        <v>372669.30829102331</v>
      </c>
      <c r="M93" s="35">
        <f t="shared" si="99"/>
        <v>385944.00151706865</v>
      </c>
      <c r="N93" s="35">
        <f t="shared" si="99"/>
        <v>382386.64293151564</v>
      </c>
      <c r="O93" s="35">
        <f t="shared" si="99"/>
        <v>381070.36041248072</v>
      </c>
      <c r="P93" s="35">
        <f t="shared" si="99"/>
        <v>448167.19545971008</v>
      </c>
      <c r="Q93" s="35">
        <f t="shared" si="99"/>
        <v>472479.52553052292</v>
      </c>
      <c r="R93" s="35">
        <f t="shared" si="99"/>
        <v>528473.02443347534</v>
      </c>
      <c r="S93" s="35">
        <f t="shared" si="99"/>
        <v>534176.08208407077</v>
      </c>
      <c r="T93" s="35">
        <f t="shared" si="99"/>
        <v>542273.96347039565</v>
      </c>
      <c r="U93" s="35">
        <f t="shared" si="99"/>
        <v>588899.92697226431</v>
      </c>
      <c r="V93" s="35">
        <f t="shared" si="99"/>
        <v>361590.09854853136</v>
      </c>
      <c r="W93" s="35">
        <f t="shared" ref="W93:Y93" si="100">IF(W11=0,0,W11*1000000/W31)</f>
        <v>408368.06450262957</v>
      </c>
      <c r="X93" s="35">
        <f t="shared" si="100"/>
        <v>487951.0988946518</v>
      </c>
      <c r="Y93" s="35">
        <f t="shared" si="100"/>
        <v>515527.90910752467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808.72663256427541</v>
      </c>
      <c r="C95" s="62">
        <f t="shared" si="101"/>
        <v>804.19281200735691</v>
      </c>
      <c r="D95" s="62">
        <f t="shared" ref="D95:V95" si="102">IF(D23=0,0,D23/D43)</f>
        <v>805.37737192709881</v>
      </c>
      <c r="E95" s="62">
        <f t="shared" si="102"/>
        <v>799.57080529759128</v>
      </c>
      <c r="F95" s="62">
        <f t="shared" si="102"/>
        <v>811.60300049438194</v>
      </c>
      <c r="G95" s="62">
        <f t="shared" si="102"/>
        <v>805.98407368242044</v>
      </c>
      <c r="H95" s="62">
        <f t="shared" si="102"/>
        <v>798.27711777497404</v>
      </c>
      <c r="I95" s="62">
        <f t="shared" si="102"/>
        <v>735.3045325626706</v>
      </c>
      <c r="J95" s="62">
        <f t="shared" si="102"/>
        <v>702.86407474284681</v>
      </c>
      <c r="K95" s="62">
        <f t="shared" si="102"/>
        <v>638.41508179857556</v>
      </c>
      <c r="L95" s="62">
        <f t="shared" si="102"/>
        <v>668.13980720579445</v>
      </c>
      <c r="M95" s="62">
        <f t="shared" si="102"/>
        <v>712.89425338711123</v>
      </c>
      <c r="N95" s="62">
        <f t="shared" si="102"/>
        <v>735.08148368043919</v>
      </c>
      <c r="O95" s="62">
        <f t="shared" si="102"/>
        <v>788.47499638562465</v>
      </c>
      <c r="P95" s="62">
        <f t="shared" si="102"/>
        <v>807.73010025345638</v>
      </c>
      <c r="Q95" s="62">
        <f t="shared" si="102"/>
        <v>778.43428204469603</v>
      </c>
      <c r="R95" s="62">
        <f t="shared" si="102"/>
        <v>776.83985837023761</v>
      </c>
      <c r="S95" s="62">
        <f t="shared" si="102"/>
        <v>780.1912963599018</v>
      </c>
      <c r="T95" s="62">
        <f t="shared" si="102"/>
        <v>796.21733891795532</v>
      </c>
      <c r="U95" s="62">
        <f t="shared" si="102"/>
        <v>809.68868938308833</v>
      </c>
      <c r="V95" s="62">
        <f t="shared" si="102"/>
        <v>396.71497546925247</v>
      </c>
      <c r="W95" s="62">
        <f t="shared" ref="W95:Y95" si="103">IF(W23=0,0,W23/W43)</f>
        <v>420.86835761341564</v>
      </c>
      <c r="X95" s="62">
        <f t="shared" si="103"/>
        <v>597.29268237675922</v>
      </c>
      <c r="Y95" s="62">
        <f t="shared" si="103"/>
        <v>600.36053168175556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1490.9274211978266</v>
      </c>
      <c r="C96" s="11">
        <f t="shared" si="104"/>
        <v>1490.9326009868082</v>
      </c>
      <c r="D96" s="11">
        <f t="shared" ref="D96:V96" si="105">IF(D24=0,0,D24/D44)</f>
        <v>1491.0672404989675</v>
      </c>
      <c r="E96" s="11">
        <f t="shared" si="105"/>
        <v>1491.1900995855899</v>
      </c>
      <c r="F96" s="11">
        <f t="shared" si="105"/>
        <v>1491.2512177978954</v>
      </c>
      <c r="G96" s="11">
        <f t="shared" si="105"/>
        <v>1488.1287010104315</v>
      </c>
      <c r="H96" s="11">
        <f t="shared" si="105"/>
        <v>1499.9372090665813</v>
      </c>
      <c r="I96" s="11">
        <f t="shared" si="105"/>
        <v>1454.3513666676547</v>
      </c>
      <c r="J96" s="11">
        <f t="shared" si="105"/>
        <v>1423.5475504437859</v>
      </c>
      <c r="K96" s="11">
        <f t="shared" si="105"/>
        <v>1356.0397475130362</v>
      </c>
      <c r="L96" s="11">
        <f t="shared" si="105"/>
        <v>1400.3902254094062</v>
      </c>
      <c r="M96" s="11">
        <f t="shared" si="105"/>
        <v>1436.0333806372623</v>
      </c>
      <c r="N96" s="11">
        <f t="shared" si="105"/>
        <v>1464.5325376709063</v>
      </c>
      <c r="O96" s="11">
        <f t="shared" si="105"/>
        <v>1464.8092325653352</v>
      </c>
      <c r="P96" s="11">
        <f t="shared" si="105"/>
        <v>1424.1705616525865</v>
      </c>
      <c r="Q96" s="11">
        <f t="shared" si="105"/>
        <v>1418.9332218555342</v>
      </c>
      <c r="R96" s="11">
        <f t="shared" si="105"/>
        <v>1399.0903484957591</v>
      </c>
      <c r="S96" s="11">
        <f t="shared" si="105"/>
        <v>1399.0364290855971</v>
      </c>
      <c r="T96" s="11">
        <f t="shared" si="105"/>
        <v>1332.5472063138309</v>
      </c>
      <c r="U96" s="11">
        <f t="shared" si="105"/>
        <v>1300.9996292362102</v>
      </c>
      <c r="V96" s="11">
        <f t="shared" si="105"/>
        <v>522.45992093650659</v>
      </c>
      <c r="W96" s="11">
        <f t="shared" ref="W96:Y96" si="106">IF(W24=0,0,W24/W44)</f>
        <v>627.54859749769287</v>
      </c>
      <c r="X96" s="11">
        <f t="shared" si="106"/>
        <v>1184.4777574693001</v>
      </c>
      <c r="Y96" s="11">
        <f t="shared" si="106"/>
        <v>1224.0726327336347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1571.5750385032902</v>
      </c>
      <c r="C98" s="36">
        <f t="shared" si="104"/>
        <v>1571.6066011319494</v>
      </c>
      <c r="D98" s="36">
        <f t="shared" ref="D98:V98" si="109">IF(D26=0,0,D26/D46)</f>
        <v>1571.6404243080392</v>
      </c>
      <c r="E98" s="36">
        <f t="shared" si="109"/>
        <v>1571.6553180555425</v>
      </c>
      <c r="F98" s="36">
        <f t="shared" si="109"/>
        <v>1571.687467648949</v>
      </c>
      <c r="G98" s="36">
        <f t="shared" si="109"/>
        <v>1568.7637609813364</v>
      </c>
      <c r="H98" s="36">
        <f t="shared" si="109"/>
        <v>1586.7485078112641</v>
      </c>
      <c r="I98" s="36">
        <f t="shared" si="109"/>
        <v>1581.6462999387907</v>
      </c>
      <c r="J98" s="36">
        <f t="shared" si="109"/>
        <v>1573.2724469764673</v>
      </c>
      <c r="K98" s="36">
        <f t="shared" si="109"/>
        <v>1524.790046191682</v>
      </c>
      <c r="L98" s="36">
        <f t="shared" si="109"/>
        <v>1586.4529130813357</v>
      </c>
      <c r="M98" s="36">
        <f t="shared" si="109"/>
        <v>1604.6885425881851</v>
      </c>
      <c r="N98" s="36">
        <f t="shared" si="109"/>
        <v>1622.1599738878224</v>
      </c>
      <c r="O98" s="36">
        <f t="shared" si="109"/>
        <v>1607.1881822489829</v>
      </c>
      <c r="P98" s="36">
        <f t="shared" si="109"/>
        <v>1568.9990308129782</v>
      </c>
      <c r="Q98" s="36">
        <f t="shared" si="109"/>
        <v>1573.7080342094041</v>
      </c>
      <c r="R98" s="36">
        <f t="shared" si="109"/>
        <v>1558.4610969328726</v>
      </c>
      <c r="S98" s="36">
        <f t="shared" si="109"/>
        <v>1535.6425238714437</v>
      </c>
      <c r="T98" s="36">
        <f t="shared" si="109"/>
        <v>1532.1819135023679</v>
      </c>
      <c r="U98" s="36">
        <f t="shared" si="109"/>
        <v>1526.53115621747</v>
      </c>
      <c r="V98" s="36">
        <f t="shared" si="109"/>
        <v>625.82024176081825</v>
      </c>
      <c r="W98" s="36">
        <f t="shared" ref="W98:Y98" si="110">IF(W26=0,0,W26/W46)</f>
        <v>736.29844653071234</v>
      </c>
      <c r="X98" s="36">
        <f t="shared" si="110"/>
        <v>1395.7365595433046</v>
      </c>
      <c r="Y98" s="36">
        <f t="shared" si="110"/>
        <v>1406.8626821455894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551</v>
      </c>
      <c r="C99" s="36">
        <f t="shared" si="104"/>
        <v>551</v>
      </c>
      <c r="D99" s="36">
        <f t="shared" ref="D99:V99" si="111">IF(D27=0,0,D27/D47)</f>
        <v>551</v>
      </c>
      <c r="E99" s="36">
        <f t="shared" si="111"/>
        <v>551</v>
      </c>
      <c r="F99" s="36">
        <f t="shared" si="111"/>
        <v>551</v>
      </c>
      <c r="G99" s="36">
        <f t="shared" si="111"/>
        <v>583</v>
      </c>
      <c r="H99" s="36">
        <f t="shared" si="111"/>
        <v>584</v>
      </c>
      <c r="I99" s="36">
        <f t="shared" si="111"/>
        <v>555</v>
      </c>
      <c r="J99" s="36">
        <f t="shared" si="111"/>
        <v>510</v>
      </c>
      <c r="K99" s="36">
        <f t="shared" si="111"/>
        <v>467.00000000000006</v>
      </c>
      <c r="L99" s="36">
        <f t="shared" si="111"/>
        <v>432</v>
      </c>
      <c r="M99" s="36">
        <f t="shared" si="111"/>
        <v>429.46941773578504</v>
      </c>
      <c r="N99" s="36">
        <f t="shared" si="111"/>
        <v>469.66531369241721</v>
      </c>
      <c r="O99" s="36">
        <f t="shared" si="111"/>
        <v>506.72577765610191</v>
      </c>
      <c r="P99" s="36">
        <f t="shared" si="111"/>
        <v>515</v>
      </c>
      <c r="Q99" s="36">
        <f t="shared" si="111"/>
        <v>448.99999999999994</v>
      </c>
      <c r="R99" s="36">
        <f t="shared" si="111"/>
        <v>257.32415899028354</v>
      </c>
      <c r="S99" s="36">
        <f t="shared" si="111"/>
        <v>376.99999999999994</v>
      </c>
      <c r="T99" s="36">
        <f t="shared" si="111"/>
        <v>362</v>
      </c>
      <c r="U99" s="36">
        <f t="shared" si="111"/>
        <v>361</v>
      </c>
      <c r="V99" s="36">
        <f t="shared" si="111"/>
        <v>99.041258121745813</v>
      </c>
      <c r="W99" s="36">
        <f t="shared" ref="W99:Y99" si="112">IF(W27=0,0,W27/W47)</f>
        <v>189.96583404171841</v>
      </c>
      <c r="X99" s="36">
        <f t="shared" si="112"/>
        <v>328.3280788339963</v>
      </c>
      <c r="Y99" s="36">
        <f t="shared" si="112"/>
        <v>424.28619052381424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381.19726298271809</v>
      </c>
      <c r="C100" s="13">
        <f t="shared" si="104"/>
        <v>349.5938780205467</v>
      </c>
      <c r="D100" s="13">
        <f t="shared" ref="D100:V100" si="113">IF(D28=0,0,D28/D48)</f>
        <v>344.24891942999551</v>
      </c>
      <c r="E100" s="13">
        <f t="shared" si="113"/>
        <v>354.31672173762928</v>
      </c>
      <c r="F100" s="13">
        <f t="shared" si="113"/>
        <v>344.86308265192378</v>
      </c>
      <c r="G100" s="13">
        <f t="shared" si="113"/>
        <v>363.20492387490071</v>
      </c>
      <c r="H100" s="13">
        <f t="shared" si="113"/>
        <v>354.26257608692538</v>
      </c>
      <c r="I100" s="13">
        <f t="shared" si="113"/>
        <v>357.69076749114151</v>
      </c>
      <c r="J100" s="13">
        <f t="shared" si="113"/>
        <v>355.56020804322588</v>
      </c>
      <c r="K100" s="13">
        <f t="shared" si="113"/>
        <v>290.05955121475421</v>
      </c>
      <c r="L100" s="13">
        <f t="shared" si="113"/>
        <v>307.81053499509846</v>
      </c>
      <c r="M100" s="13">
        <f t="shared" si="113"/>
        <v>304.74925345311721</v>
      </c>
      <c r="N100" s="13">
        <f t="shared" si="113"/>
        <v>292.88688339423658</v>
      </c>
      <c r="O100" s="13">
        <f t="shared" si="113"/>
        <v>343.64215327963086</v>
      </c>
      <c r="P100" s="13">
        <f t="shared" si="113"/>
        <v>346.69586725341702</v>
      </c>
      <c r="Q100" s="13">
        <f t="shared" si="113"/>
        <v>330.49901626502191</v>
      </c>
      <c r="R100" s="13">
        <f t="shared" si="113"/>
        <v>308.63174782604386</v>
      </c>
      <c r="S100" s="13">
        <f t="shared" si="113"/>
        <v>311.72607311901442</v>
      </c>
      <c r="T100" s="13">
        <f t="shared" si="113"/>
        <v>308.44464064104596</v>
      </c>
      <c r="U100" s="13">
        <f t="shared" si="113"/>
        <v>302.85015346515064</v>
      </c>
      <c r="V100" s="13">
        <f t="shared" si="113"/>
        <v>311.74698920802325</v>
      </c>
      <c r="W100" s="13">
        <f t="shared" ref="W100:Y100" si="114">IF(W28=0,0,W28/W48)</f>
        <v>302.74779723121634</v>
      </c>
      <c r="X100" s="13">
        <f t="shared" si="114"/>
        <v>255.90877296147755</v>
      </c>
      <c r="Y100" s="13">
        <f t="shared" si="114"/>
        <v>210.07122905247374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878.84001068726127</v>
      </c>
      <c r="C102" s="34">
        <f t="shared" si="104"/>
        <v>613.33843124463624</v>
      </c>
      <c r="D102" s="34">
        <f t="shared" ref="D102:V102" si="117">IF(D30=0,0,D30/D50)</f>
        <v>578.56888857017907</v>
      </c>
      <c r="E102" s="34">
        <f t="shared" si="117"/>
        <v>682.1853879404124</v>
      </c>
      <c r="F102" s="34">
        <f t="shared" si="117"/>
        <v>607.1263872478321</v>
      </c>
      <c r="G102" s="34">
        <f t="shared" si="117"/>
        <v>742.28156658033504</v>
      </c>
      <c r="H102" s="34">
        <f t="shared" si="117"/>
        <v>613.08308757145937</v>
      </c>
      <c r="I102" s="34">
        <f t="shared" si="117"/>
        <v>858.56563758466882</v>
      </c>
      <c r="J102" s="34">
        <f t="shared" si="117"/>
        <v>958.74963569349245</v>
      </c>
      <c r="K102" s="34">
        <f t="shared" si="117"/>
        <v>943.68429819337098</v>
      </c>
      <c r="L102" s="34">
        <f t="shared" si="117"/>
        <v>1002.1083252500609</v>
      </c>
      <c r="M102" s="34">
        <f t="shared" si="117"/>
        <v>809.78944070873035</v>
      </c>
      <c r="N102" s="34">
        <f t="shared" si="117"/>
        <v>918.68109162653252</v>
      </c>
      <c r="O102" s="34">
        <f t="shared" si="117"/>
        <v>1059.635568616404</v>
      </c>
      <c r="P102" s="34">
        <f t="shared" si="117"/>
        <v>1017.027901719537</v>
      </c>
      <c r="Q102" s="34">
        <f t="shared" si="117"/>
        <v>860.63924481813353</v>
      </c>
      <c r="R102" s="34">
        <f t="shared" si="117"/>
        <v>703.21380313510747</v>
      </c>
      <c r="S102" s="34">
        <f t="shared" si="117"/>
        <v>885.43967008878667</v>
      </c>
      <c r="T102" s="34">
        <f t="shared" si="117"/>
        <v>800.93812893307643</v>
      </c>
      <c r="U102" s="34">
        <f t="shared" si="117"/>
        <v>723.63087417046734</v>
      </c>
      <c r="V102" s="34">
        <f t="shared" si="117"/>
        <v>803.67798815917808</v>
      </c>
      <c r="W102" s="34">
        <f t="shared" ref="W102:Y102" si="118">IF(W30=0,0,W30/W50)</f>
        <v>945.46965360218667</v>
      </c>
      <c r="X102" s="34">
        <f t="shared" si="118"/>
        <v>962.45528214554884</v>
      </c>
      <c r="Y102" s="34">
        <f t="shared" si="118"/>
        <v>961.79720516688474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322</v>
      </c>
      <c r="C103" s="35">
        <f t="shared" si="104"/>
        <v>322</v>
      </c>
      <c r="D103" s="35">
        <f t="shared" ref="D103:V103" si="119">IF(D31=0,0,D31/D51)</f>
        <v>322</v>
      </c>
      <c r="E103" s="35">
        <f t="shared" si="119"/>
        <v>322</v>
      </c>
      <c r="F103" s="35">
        <f t="shared" si="119"/>
        <v>322</v>
      </c>
      <c r="G103" s="35">
        <f t="shared" si="119"/>
        <v>332</v>
      </c>
      <c r="H103" s="35">
        <f t="shared" si="119"/>
        <v>335.99999999999994</v>
      </c>
      <c r="I103" s="35">
        <f t="shared" si="119"/>
        <v>329</v>
      </c>
      <c r="J103" s="35">
        <f t="shared" si="119"/>
        <v>316</v>
      </c>
      <c r="K103" s="35">
        <f t="shared" si="119"/>
        <v>249.13949584613633</v>
      </c>
      <c r="L103" s="35">
        <f t="shared" si="119"/>
        <v>256.60276573383106</v>
      </c>
      <c r="M103" s="35">
        <f t="shared" si="119"/>
        <v>267.13135956306905</v>
      </c>
      <c r="N103" s="35">
        <f t="shared" si="119"/>
        <v>245.75572277701571</v>
      </c>
      <c r="O103" s="35">
        <f t="shared" si="119"/>
        <v>289.03939532753088</v>
      </c>
      <c r="P103" s="35">
        <f t="shared" si="119"/>
        <v>293.72639809654498</v>
      </c>
      <c r="Q103" s="35">
        <f t="shared" si="119"/>
        <v>292</v>
      </c>
      <c r="R103" s="35">
        <f t="shared" si="119"/>
        <v>282</v>
      </c>
      <c r="S103" s="35">
        <f t="shared" si="119"/>
        <v>278</v>
      </c>
      <c r="T103" s="35">
        <f t="shared" si="119"/>
        <v>279</v>
      </c>
      <c r="U103" s="35">
        <f t="shared" si="119"/>
        <v>275.92178938540417</v>
      </c>
      <c r="V103" s="35">
        <f t="shared" si="119"/>
        <v>291</v>
      </c>
      <c r="W103" s="35">
        <f t="shared" ref="W103:Y103" si="120">IF(W31=0,0,W31/W51)</f>
        <v>280</v>
      </c>
      <c r="X103" s="35">
        <f t="shared" si="120"/>
        <v>231.19697606047879</v>
      </c>
      <c r="Y103" s="35">
        <f t="shared" si="120"/>
        <v>183.97426273458447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0.84279192714766893</v>
      </c>
      <c r="C108" s="43">
        <f t="shared" si="127"/>
        <v>0.84113656689646965</v>
      </c>
      <c r="D108" s="43">
        <f t="shared" ref="D108:V108" si="128">IF(D6=0,0,D6/D$4)</f>
        <v>0.83932541752423173</v>
      </c>
      <c r="E108" s="43">
        <f t="shared" si="128"/>
        <v>0.83602765616861019</v>
      </c>
      <c r="F108" s="43">
        <f t="shared" si="128"/>
        <v>0.83213967951364964</v>
      </c>
      <c r="G108" s="43">
        <f t="shared" si="128"/>
        <v>0.81358852797678904</v>
      </c>
      <c r="H108" s="43">
        <f t="shared" si="128"/>
        <v>0.7972566957779692</v>
      </c>
      <c r="I108" s="43">
        <f t="shared" si="128"/>
        <v>0.73582287125654811</v>
      </c>
      <c r="J108" s="43">
        <f t="shared" si="128"/>
        <v>0.6714692562790584</v>
      </c>
      <c r="K108" s="43">
        <f t="shared" si="128"/>
        <v>0.61459557852854818</v>
      </c>
      <c r="L108" s="43">
        <f t="shared" si="128"/>
        <v>0.5916295453721524</v>
      </c>
      <c r="M108" s="43">
        <f t="shared" si="128"/>
        <v>0.70306338776110178</v>
      </c>
      <c r="N108" s="43">
        <f t="shared" si="128"/>
        <v>0.73529584066532649</v>
      </c>
      <c r="O108" s="43">
        <f t="shared" si="128"/>
        <v>0.75850835708184716</v>
      </c>
      <c r="P108" s="43">
        <f t="shared" si="128"/>
        <v>0.73129209211743151</v>
      </c>
      <c r="Q108" s="43">
        <f t="shared" si="128"/>
        <v>0.75139876509894654</v>
      </c>
      <c r="R108" s="43">
        <f t="shared" si="128"/>
        <v>0.8302122031958431</v>
      </c>
      <c r="S108" s="43">
        <f t="shared" si="128"/>
        <v>0.82543134318284173</v>
      </c>
      <c r="T108" s="43">
        <f t="shared" si="128"/>
        <v>0.79213399161211229</v>
      </c>
      <c r="U108" s="43">
        <f t="shared" si="128"/>
        <v>0.76845535483653271</v>
      </c>
      <c r="V108" s="43">
        <f t="shared" si="128"/>
        <v>0.79281979441781214</v>
      </c>
      <c r="W108" s="43">
        <f t="shared" ref="W108:Y108" si="129">IF(W6=0,0,W6/W$4)</f>
        <v>0.73040082406611884</v>
      </c>
      <c r="X108" s="43">
        <f t="shared" si="129"/>
        <v>0.76137890384485318</v>
      </c>
      <c r="Y108" s="43">
        <f t="shared" si="129"/>
        <v>0.81686113571905616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0.1572080728523311</v>
      </c>
      <c r="C109" s="43">
        <f t="shared" si="130"/>
        <v>0.15886343310353027</v>
      </c>
      <c r="D109" s="43">
        <f t="shared" ref="D109:V109" si="131">IF(D7=0,0,D7/D$4)</f>
        <v>0.1606745824757683</v>
      </c>
      <c r="E109" s="43">
        <f t="shared" si="131"/>
        <v>0.16397234383138978</v>
      </c>
      <c r="F109" s="43">
        <f t="shared" si="131"/>
        <v>0.16786032048635036</v>
      </c>
      <c r="G109" s="43">
        <f t="shared" si="131"/>
        <v>0.18641147202321096</v>
      </c>
      <c r="H109" s="43">
        <f t="shared" si="131"/>
        <v>0.20274330422203082</v>
      </c>
      <c r="I109" s="43">
        <f t="shared" si="131"/>
        <v>0.26417712874345201</v>
      </c>
      <c r="J109" s="43">
        <f t="shared" si="131"/>
        <v>0.32853074372094154</v>
      </c>
      <c r="K109" s="43">
        <f t="shared" si="131"/>
        <v>0.38540442147145176</v>
      </c>
      <c r="L109" s="43">
        <f t="shared" si="131"/>
        <v>0.40837045462784766</v>
      </c>
      <c r="M109" s="43">
        <f t="shared" si="131"/>
        <v>0.29693661223889811</v>
      </c>
      <c r="N109" s="43">
        <f t="shared" si="131"/>
        <v>0.26470415933467356</v>
      </c>
      <c r="O109" s="43">
        <f t="shared" si="131"/>
        <v>0.24149164291815278</v>
      </c>
      <c r="P109" s="43">
        <f t="shared" si="131"/>
        <v>0.26870790788256849</v>
      </c>
      <c r="Q109" s="43">
        <f t="shared" si="131"/>
        <v>0.24860123490105351</v>
      </c>
      <c r="R109" s="43">
        <f t="shared" si="131"/>
        <v>0.1697877968041569</v>
      </c>
      <c r="S109" s="43">
        <f t="shared" si="131"/>
        <v>0.17456865681715825</v>
      </c>
      <c r="T109" s="43">
        <f t="shared" si="131"/>
        <v>0.20786600838788766</v>
      </c>
      <c r="U109" s="43">
        <f t="shared" si="131"/>
        <v>0.23154464516346729</v>
      </c>
      <c r="V109" s="43">
        <f t="shared" si="131"/>
        <v>0.20718020558218786</v>
      </c>
      <c r="W109" s="43">
        <f t="shared" ref="W109:Y109" si="132">IF(W7=0,0,W7/W$4)</f>
        <v>0.26959917593388111</v>
      </c>
      <c r="X109" s="43">
        <f t="shared" si="132"/>
        <v>0.2386210961551469</v>
      </c>
      <c r="Y109" s="43">
        <f t="shared" si="132"/>
        <v>0.18313886428094384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2.3054497504589135E-2</v>
      </c>
      <c r="C112" s="44">
        <f t="shared" si="139"/>
        <v>1.1855831239421445E-2</v>
      </c>
      <c r="D112" s="44">
        <f t="shared" ref="D112:V112" si="140">IF(D10=0,0,D10/D$8)</f>
        <v>9.8950338044281796E-3</v>
      </c>
      <c r="E112" s="44">
        <f t="shared" si="140"/>
        <v>1.6568391409916249E-2</v>
      </c>
      <c r="F112" s="44">
        <f t="shared" si="140"/>
        <v>1.323067063236125E-2</v>
      </c>
      <c r="G112" s="44">
        <f t="shared" si="140"/>
        <v>1.613010498859704E-2</v>
      </c>
      <c r="H112" s="44">
        <f t="shared" si="140"/>
        <v>8.9638402788169182E-3</v>
      </c>
      <c r="I112" s="44">
        <f t="shared" si="140"/>
        <v>1.010258458876068E-2</v>
      </c>
      <c r="J112" s="44">
        <f t="shared" si="140"/>
        <v>1.2215845292602581E-2</v>
      </c>
      <c r="K112" s="44">
        <f t="shared" si="140"/>
        <v>1.0856871161818819E-2</v>
      </c>
      <c r="L112" s="44">
        <f t="shared" si="140"/>
        <v>1.1258341755130441E-2</v>
      </c>
      <c r="M112" s="44">
        <f t="shared" si="140"/>
        <v>8.7565919374022663E-3</v>
      </c>
      <c r="N112" s="44">
        <f t="shared" si="140"/>
        <v>1.1429091947600147E-2</v>
      </c>
      <c r="O112" s="44">
        <f t="shared" si="140"/>
        <v>1.1729786128845161E-2</v>
      </c>
      <c r="P112" s="44">
        <f t="shared" si="140"/>
        <v>1.1952666601637206E-2</v>
      </c>
      <c r="Q112" s="44">
        <f t="shared" si="140"/>
        <v>8.9214493296672116E-3</v>
      </c>
      <c r="R112" s="44">
        <f t="shared" si="140"/>
        <v>7.2022113685433434E-3</v>
      </c>
      <c r="S112" s="44">
        <f t="shared" si="140"/>
        <v>7.730829846353756E-3</v>
      </c>
      <c r="T112" s="44">
        <f t="shared" si="140"/>
        <v>7.231283143211217E-3</v>
      </c>
      <c r="U112" s="44">
        <f t="shared" si="140"/>
        <v>6.7977255894948576E-3</v>
      </c>
      <c r="V112" s="44">
        <f t="shared" si="140"/>
        <v>5.3989496350897526E-3</v>
      </c>
      <c r="W112" s="44">
        <f t="shared" ref="W112:Y112" si="141">IF(W10=0,0,W10/W$8)</f>
        <v>4.4764856086370224E-3</v>
      </c>
      <c r="X112" s="44">
        <f t="shared" si="141"/>
        <v>4.9588497388131265E-3</v>
      </c>
      <c r="Y112" s="44">
        <f t="shared" si="141"/>
        <v>6.7870114784387018E-3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0.9769455024954109</v>
      </c>
      <c r="C113" s="45">
        <f t="shared" si="142"/>
        <v>0.98814416876057853</v>
      </c>
      <c r="D113" s="45">
        <f t="shared" ref="D113:V113" si="143">IF(D11=0,0,D11/D$8)</f>
        <v>0.99010496619557176</v>
      </c>
      <c r="E113" s="45">
        <f t="shared" si="143"/>
        <v>0.98343160859008372</v>
      </c>
      <c r="F113" s="45">
        <f t="shared" si="143"/>
        <v>0.98676932936763873</v>
      </c>
      <c r="G113" s="45">
        <f t="shared" si="143"/>
        <v>0.98386989501140298</v>
      </c>
      <c r="H113" s="45">
        <f t="shared" si="143"/>
        <v>0.99103615972118309</v>
      </c>
      <c r="I113" s="45">
        <f t="shared" si="143"/>
        <v>0.98989741541123932</v>
      </c>
      <c r="J113" s="45">
        <f t="shared" si="143"/>
        <v>0.98778415470739733</v>
      </c>
      <c r="K113" s="45">
        <f t="shared" si="143"/>
        <v>0.98914312883818112</v>
      </c>
      <c r="L113" s="45">
        <f t="shared" si="143"/>
        <v>0.98874165824486948</v>
      </c>
      <c r="M113" s="45">
        <f t="shared" si="143"/>
        <v>0.99124340806259781</v>
      </c>
      <c r="N113" s="45">
        <f t="shared" si="143"/>
        <v>0.98857090805239978</v>
      </c>
      <c r="O113" s="45">
        <f t="shared" si="143"/>
        <v>0.98827021387115488</v>
      </c>
      <c r="P113" s="45">
        <f t="shared" si="143"/>
        <v>0.9880473333983627</v>
      </c>
      <c r="Q113" s="45">
        <f t="shared" si="143"/>
        <v>0.99107855067033268</v>
      </c>
      <c r="R113" s="45">
        <f t="shared" si="143"/>
        <v>0.99279778863145662</v>
      </c>
      <c r="S113" s="45">
        <f t="shared" si="143"/>
        <v>0.99226917015364624</v>
      </c>
      <c r="T113" s="45">
        <f t="shared" si="143"/>
        <v>0.9927687168567888</v>
      </c>
      <c r="U113" s="45">
        <f t="shared" si="143"/>
        <v>0.99320227441050524</v>
      </c>
      <c r="V113" s="45">
        <f t="shared" si="143"/>
        <v>0.9946010503649102</v>
      </c>
      <c r="W113" s="45">
        <f t="shared" ref="W113:Y113" si="144">IF(W11=0,0,W11/W$8)</f>
        <v>0.995523514391363</v>
      </c>
      <c r="X113" s="45">
        <f t="shared" si="144"/>
        <v>0.99504115026118689</v>
      </c>
      <c r="Y113" s="45">
        <f t="shared" si="144"/>
        <v>0.99321298852156126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0.89520248799505375</v>
      </c>
      <c r="C118" s="43">
        <f t="shared" si="151"/>
        <v>0.89516924769505923</v>
      </c>
      <c r="D118" s="43">
        <f t="shared" ref="D118:V118" si="152">IF(D16=0,0,D16/D$14)</f>
        <v>0.8952966779128112</v>
      </c>
      <c r="E118" s="43">
        <f t="shared" si="152"/>
        <v>0.89543309946359873</v>
      </c>
      <c r="F118" s="43">
        <f t="shared" si="152"/>
        <v>0.8954697767377453</v>
      </c>
      <c r="G118" s="43">
        <f t="shared" si="152"/>
        <v>0.89215745090361964</v>
      </c>
      <c r="H118" s="43">
        <f t="shared" si="152"/>
        <v>0.88576294310653259</v>
      </c>
      <c r="I118" s="43">
        <f t="shared" si="152"/>
        <v>0.83678458262465683</v>
      </c>
      <c r="J118" s="43">
        <f t="shared" si="152"/>
        <v>0.80818349592085281</v>
      </c>
      <c r="K118" s="43">
        <f t="shared" si="152"/>
        <v>0.76944652540847225</v>
      </c>
      <c r="L118" s="43">
        <f t="shared" si="152"/>
        <v>0.77043894217986986</v>
      </c>
      <c r="M118" s="43">
        <f t="shared" si="152"/>
        <v>0.81609192164493738</v>
      </c>
      <c r="N118" s="43">
        <f t="shared" si="152"/>
        <v>0.83148002223413686</v>
      </c>
      <c r="O118" s="43">
        <f t="shared" si="152"/>
        <v>0.83188808560767313</v>
      </c>
      <c r="P118" s="43">
        <f t="shared" si="152"/>
        <v>0.81394672238146615</v>
      </c>
      <c r="Q118" s="43">
        <f t="shared" si="152"/>
        <v>0.81179144333358833</v>
      </c>
      <c r="R118" s="43">
        <f t="shared" si="152"/>
        <v>0.88478827629756751</v>
      </c>
      <c r="S118" s="43">
        <f t="shared" si="152"/>
        <v>0.83753967167300447</v>
      </c>
      <c r="T118" s="43">
        <f t="shared" si="152"/>
        <v>0.76957969381241775</v>
      </c>
      <c r="U118" s="43">
        <f t="shared" si="152"/>
        <v>0.74178492818802544</v>
      </c>
      <c r="V118" s="43">
        <f t="shared" si="152"/>
        <v>0.80712164834867339</v>
      </c>
      <c r="W118" s="43">
        <f t="shared" ref="W118:Y118" si="153">IF(W16=0,0,W16/W$14)</f>
        <v>0.75255276767959922</v>
      </c>
      <c r="X118" s="43">
        <f t="shared" si="153"/>
        <v>0.79221120799237521</v>
      </c>
      <c r="Y118" s="43">
        <f t="shared" si="153"/>
        <v>0.83282194239885998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0.10479751200494629</v>
      </c>
      <c r="C119" s="43">
        <f t="shared" si="154"/>
        <v>0.10483075230494086</v>
      </c>
      <c r="D119" s="43">
        <f t="shared" ref="D119:V119" si="155">IF(D17=0,0,D17/D$14)</f>
        <v>0.1047033220871887</v>
      </c>
      <c r="E119" s="43">
        <f t="shared" si="155"/>
        <v>0.10456690053640123</v>
      </c>
      <c r="F119" s="43">
        <f t="shared" si="155"/>
        <v>0.10453022326225478</v>
      </c>
      <c r="G119" s="43">
        <f t="shared" si="155"/>
        <v>0.10784254909638034</v>
      </c>
      <c r="H119" s="43">
        <f t="shared" si="155"/>
        <v>0.11423705689346735</v>
      </c>
      <c r="I119" s="43">
        <f t="shared" si="155"/>
        <v>0.16321541737534317</v>
      </c>
      <c r="J119" s="43">
        <f t="shared" si="155"/>
        <v>0.19181650407914724</v>
      </c>
      <c r="K119" s="43">
        <f t="shared" si="155"/>
        <v>0.23055347459152781</v>
      </c>
      <c r="L119" s="43">
        <f t="shared" si="155"/>
        <v>0.22956105782013009</v>
      </c>
      <c r="M119" s="43">
        <f t="shared" si="155"/>
        <v>0.18390807835506262</v>
      </c>
      <c r="N119" s="43">
        <f t="shared" si="155"/>
        <v>0.16851997776586325</v>
      </c>
      <c r="O119" s="43">
        <f t="shared" si="155"/>
        <v>0.16811191439232687</v>
      </c>
      <c r="P119" s="43">
        <f t="shared" si="155"/>
        <v>0.1860532776185338</v>
      </c>
      <c r="Q119" s="43">
        <f t="shared" si="155"/>
        <v>0.18820855666641162</v>
      </c>
      <c r="R119" s="43">
        <f t="shared" si="155"/>
        <v>0.11521172370243243</v>
      </c>
      <c r="S119" s="43">
        <f t="shared" si="155"/>
        <v>0.16246032832699556</v>
      </c>
      <c r="T119" s="43">
        <f t="shared" si="155"/>
        <v>0.23042030618758225</v>
      </c>
      <c r="U119" s="43">
        <f t="shared" si="155"/>
        <v>0.25821507181197462</v>
      </c>
      <c r="V119" s="43">
        <f t="shared" si="155"/>
        <v>0.19287835165132661</v>
      </c>
      <c r="W119" s="43">
        <f t="shared" ref="W119:Y119" si="156">IF(W17=0,0,W17/W$14)</f>
        <v>0.24744723232040072</v>
      </c>
      <c r="X119" s="43">
        <f t="shared" si="156"/>
        <v>0.20778879200762471</v>
      </c>
      <c r="Y119" s="43">
        <f t="shared" si="156"/>
        <v>0.16717805760114005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8.2956442705805114E-2</v>
      </c>
      <c r="C122" s="44">
        <f t="shared" si="163"/>
        <v>4.2189381079764367E-2</v>
      </c>
      <c r="D122" s="44">
        <f t="shared" ref="D122:V122" si="164">IF(D20=0,0,D20/D$18)</f>
        <v>3.277800488674993E-2</v>
      </c>
      <c r="E122" s="44">
        <f t="shared" si="164"/>
        <v>4.115432997865924E-2</v>
      </c>
      <c r="F122" s="44">
        <f t="shared" si="164"/>
        <v>3.3549140327741797E-2</v>
      </c>
      <c r="G122" s="44">
        <f t="shared" si="164"/>
        <v>3.8304977482935383E-2</v>
      </c>
      <c r="H122" s="44">
        <f t="shared" si="164"/>
        <v>2.4848189060709295E-2</v>
      </c>
      <c r="I122" s="44">
        <f t="shared" si="164"/>
        <v>2.6362338526186416E-2</v>
      </c>
      <c r="J122" s="44">
        <f t="shared" si="164"/>
        <v>2.9432698774116972E-2</v>
      </c>
      <c r="K122" s="44">
        <f t="shared" si="164"/>
        <v>2.9396989823592293E-2</v>
      </c>
      <c r="L122" s="44">
        <f t="shared" si="164"/>
        <v>3.2108164656004905E-2</v>
      </c>
      <c r="M122" s="44">
        <f t="shared" si="164"/>
        <v>2.4228207529187987E-2</v>
      </c>
      <c r="N122" s="44">
        <f t="shared" si="164"/>
        <v>2.8076520176646923E-2</v>
      </c>
      <c r="O122" s="44">
        <f t="shared" si="164"/>
        <v>3.0095467054256156E-2</v>
      </c>
      <c r="P122" s="44">
        <f t="shared" si="164"/>
        <v>3.2029465669778642E-2</v>
      </c>
      <c r="Q122" s="44">
        <f t="shared" si="164"/>
        <v>2.5313790739814542E-2</v>
      </c>
      <c r="R122" s="44">
        <f t="shared" si="164"/>
        <v>1.9377963701246628E-2</v>
      </c>
      <c r="S122" s="44">
        <f t="shared" si="164"/>
        <v>2.2029853484597496E-2</v>
      </c>
      <c r="T122" s="44">
        <f t="shared" si="164"/>
        <v>2.0733731702669872E-2</v>
      </c>
      <c r="U122" s="44">
        <f t="shared" si="164"/>
        <v>2.0802246052462052E-2</v>
      </c>
      <c r="V122" s="44">
        <f t="shared" si="164"/>
        <v>1.3090160508518399E-2</v>
      </c>
      <c r="W122" s="44">
        <f t="shared" ref="W122:Y122" si="165">IF(W20=0,0,W20/W$18)</f>
        <v>1.1993566789583205E-2</v>
      </c>
      <c r="X122" s="44">
        <f t="shared" si="165"/>
        <v>1.4133813934797266E-2</v>
      </c>
      <c r="Y122" s="44">
        <f t="shared" si="165"/>
        <v>1.8908109795587505E-2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0.91704355729419496</v>
      </c>
      <c r="C123" s="45">
        <f t="shared" si="166"/>
        <v>0.95781061892023567</v>
      </c>
      <c r="D123" s="45">
        <f t="shared" ref="D123:V123" si="167">IF(D21=0,0,D21/D$18)</f>
        <v>0.96722199511325013</v>
      </c>
      <c r="E123" s="45">
        <f t="shared" si="167"/>
        <v>0.95884567002134069</v>
      </c>
      <c r="F123" s="45">
        <f t="shared" si="167"/>
        <v>0.96645085967225819</v>
      </c>
      <c r="G123" s="45">
        <f t="shared" si="167"/>
        <v>0.96169502251706462</v>
      </c>
      <c r="H123" s="45">
        <f t="shared" si="167"/>
        <v>0.97515181093929071</v>
      </c>
      <c r="I123" s="45">
        <f t="shared" si="167"/>
        <v>0.9736376614738137</v>
      </c>
      <c r="J123" s="45">
        <f t="shared" si="167"/>
        <v>0.97056730122588297</v>
      </c>
      <c r="K123" s="45">
        <f t="shared" si="167"/>
        <v>0.97060301017640771</v>
      </c>
      <c r="L123" s="45">
        <f t="shared" si="167"/>
        <v>0.96789183534399514</v>
      </c>
      <c r="M123" s="45">
        <f t="shared" si="167"/>
        <v>0.97577179247081203</v>
      </c>
      <c r="N123" s="45">
        <f t="shared" si="167"/>
        <v>0.97192347982335314</v>
      </c>
      <c r="O123" s="45">
        <f t="shared" si="167"/>
        <v>0.96990453294574386</v>
      </c>
      <c r="P123" s="45">
        <f t="shared" si="167"/>
        <v>0.96797053433022129</v>
      </c>
      <c r="Q123" s="45">
        <f t="shared" si="167"/>
        <v>0.97468620926018545</v>
      </c>
      <c r="R123" s="45">
        <f t="shared" si="167"/>
        <v>0.98062203629875333</v>
      </c>
      <c r="S123" s="45">
        <f t="shared" si="167"/>
        <v>0.97797014651540248</v>
      </c>
      <c r="T123" s="45">
        <f t="shared" si="167"/>
        <v>0.9792662682973301</v>
      </c>
      <c r="U123" s="45">
        <f t="shared" si="167"/>
        <v>0.97919775394753794</v>
      </c>
      <c r="V123" s="45">
        <f t="shared" si="167"/>
        <v>0.98690983949148159</v>
      </c>
      <c r="W123" s="45">
        <f t="shared" ref="W123:Y123" si="168">IF(W21=0,0,W21/W$18)</f>
        <v>0.98800643321041681</v>
      </c>
      <c r="X123" s="45">
        <f t="shared" si="168"/>
        <v>0.98586618606520271</v>
      </c>
      <c r="Y123" s="45">
        <f t="shared" si="168"/>
        <v>0.98109189020441245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320.84230438521058</v>
      </c>
      <c r="C3" s="79">
        <f t="shared" si="0"/>
        <v>347.0195184866725</v>
      </c>
      <c r="D3" s="79">
        <f t="shared" ref="D3" si="1">SUM(D4:D5)</f>
        <v>375.98168529664667</v>
      </c>
      <c r="E3" s="79">
        <f t="shared" ref="E3" si="2">SUM(E4:E5)</f>
        <v>391.67815993121235</v>
      </c>
      <c r="F3" s="79">
        <f t="shared" ref="F3" si="3">SUM(F4:F5)</f>
        <v>426.1853826311264</v>
      </c>
      <c r="G3" s="79">
        <f t="shared" ref="G3" si="4">SUM(G4:G5)</f>
        <v>433.02983662940665</v>
      </c>
      <c r="H3" s="79">
        <f t="shared" ref="H3" si="5">SUM(H4:H5)</f>
        <v>405.24858125537395</v>
      </c>
      <c r="I3" s="79">
        <f t="shared" ref="I3" si="6">SUM(I4:I5)</f>
        <v>435.60060189165938</v>
      </c>
      <c r="J3" s="79">
        <f t="shared" ref="J3" si="7">SUM(J4:J5)</f>
        <v>438.48022355975928</v>
      </c>
      <c r="K3" s="79">
        <f t="shared" ref="K3" si="8">SUM(K4:K5)</f>
        <v>420.18521066208075</v>
      </c>
      <c r="L3" s="79">
        <f t="shared" ref="L3" si="9">SUM(L4:L5)</f>
        <v>431.12003439380914</v>
      </c>
      <c r="M3" s="79">
        <f t="shared" ref="M3" si="10">SUM(M4:M5)</f>
        <v>403.33877901977638</v>
      </c>
      <c r="N3" s="79">
        <f t="shared" ref="N3" si="11">SUM(N4:N5)</f>
        <v>372.1374032674118</v>
      </c>
      <c r="O3" s="79">
        <f t="shared" ref="O3" si="12">SUM(O4:O5)</f>
        <v>373.82476354256232</v>
      </c>
      <c r="P3" s="79">
        <f t="shared" ref="P3" si="13">SUM(P4:P5)</f>
        <v>405.97334479793648</v>
      </c>
      <c r="Q3" s="79">
        <f t="shared" ref="Q3" si="14">SUM(Q4:Q5)</f>
        <v>457.65245055889937</v>
      </c>
      <c r="R3" s="79">
        <f t="shared" ref="R3" si="15">SUM(R4:R5)</f>
        <v>507.83551160791052</v>
      </c>
      <c r="S3" s="79">
        <f t="shared" ref="S3" si="16">SUM(S4:S5)</f>
        <v>574.20928632846085</v>
      </c>
      <c r="T3" s="79">
        <f t="shared" ref="T3" si="17">SUM(T4:T5)</f>
        <v>613.99707652622533</v>
      </c>
      <c r="U3" s="79">
        <f t="shared" ref="U3" si="18">SUM(U4:U5)</f>
        <v>600.6315563198624</v>
      </c>
      <c r="V3" s="79">
        <f t="shared" ref="V3:W3" si="19">SUM(V4:V5)</f>
        <v>546.65141874462597</v>
      </c>
      <c r="W3" s="79">
        <f t="shared" si="19"/>
        <v>623.63258813413574</v>
      </c>
      <c r="X3" s="79">
        <f t="shared" ref="X3:Y3" si="20">SUM(X4:X5)</f>
        <v>647.33379191745485</v>
      </c>
      <c r="Y3" s="79">
        <f t="shared" si="20"/>
        <v>597.73955288048148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320.84230438521058</v>
      </c>
      <c r="C5" s="96">
        <f t="shared" si="24"/>
        <v>347.0195184866725</v>
      </c>
      <c r="D5" s="96">
        <f t="shared" ref="D5:V5" si="25">SUM(D8:D9,D12:D13)</f>
        <v>375.98168529664667</v>
      </c>
      <c r="E5" s="96">
        <f t="shared" si="25"/>
        <v>391.67815993121235</v>
      </c>
      <c r="F5" s="96">
        <f t="shared" si="25"/>
        <v>426.1853826311264</v>
      </c>
      <c r="G5" s="96">
        <f t="shared" si="25"/>
        <v>433.02983662940665</v>
      </c>
      <c r="H5" s="96">
        <f t="shared" si="25"/>
        <v>405.24858125537395</v>
      </c>
      <c r="I5" s="96">
        <f t="shared" si="25"/>
        <v>435.60060189165938</v>
      </c>
      <c r="J5" s="96">
        <f t="shared" si="25"/>
        <v>438.48022355975928</v>
      </c>
      <c r="K5" s="96">
        <f t="shared" si="25"/>
        <v>420.18521066208075</v>
      </c>
      <c r="L5" s="96">
        <f t="shared" si="25"/>
        <v>431.12003439380914</v>
      </c>
      <c r="M5" s="96">
        <f t="shared" si="25"/>
        <v>403.33877901977638</v>
      </c>
      <c r="N5" s="96">
        <f t="shared" si="25"/>
        <v>372.1374032674118</v>
      </c>
      <c r="O5" s="96">
        <f t="shared" si="25"/>
        <v>373.82476354256232</v>
      </c>
      <c r="P5" s="96">
        <f t="shared" si="25"/>
        <v>405.97334479793648</v>
      </c>
      <c r="Q5" s="96">
        <f t="shared" si="25"/>
        <v>457.65245055889937</v>
      </c>
      <c r="R5" s="96">
        <f t="shared" si="25"/>
        <v>507.83551160791052</v>
      </c>
      <c r="S5" s="96">
        <f t="shared" si="25"/>
        <v>574.20928632846085</v>
      </c>
      <c r="T5" s="96">
        <f t="shared" si="25"/>
        <v>613.99707652622533</v>
      </c>
      <c r="U5" s="96">
        <f t="shared" si="25"/>
        <v>600.6315563198624</v>
      </c>
      <c r="V5" s="96">
        <f t="shared" si="25"/>
        <v>546.65141874462597</v>
      </c>
      <c r="W5" s="96">
        <f t="shared" ref="W5:Y5" si="26">SUM(W8:W9,W12:W13)</f>
        <v>623.63258813413574</v>
      </c>
      <c r="X5" s="96">
        <f t="shared" si="26"/>
        <v>647.33379191745485</v>
      </c>
      <c r="Y5" s="96">
        <f t="shared" si="26"/>
        <v>597.73955288048148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45.372584827455015</v>
      </c>
      <c r="C6" s="21">
        <f t="shared" si="27"/>
        <v>51.904820155346144</v>
      </c>
      <c r="D6" s="21">
        <f t="shared" ref="D6:V6" si="28">SUM(D7:D9)</f>
        <v>56.842915075098638</v>
      </c>
      <c r="E6" s="21">
        <f t="shared" si="28"/>
        <v>56.936083028213247</v>
      </c>
      <c r="F6" s="21">
        <f t="shared" si="28"/>
        <v>64.969351985168757</v>
      </c>
      <c r="G6" s="21">
        <f t="shared" si="28"/>
        <v>62.086015089420897</v>
      </c>
      <c r="H6" s="21">
        <f t="shared" si="28"/>
        <v>58.678094432975968</v>
      </c>
      <c r="I6" s="21">
        <f t="shared" si="28"/>
        <v>75.217528064676301</v>
      </c>
      <c r="J6" s="21">
        <f t="shared" si="28"/>
        <v>79.982206451175216</v>
      </c>
      <c r="K6" s="21">
        <f t="shared" si="28"/>
        <v>103.42103783946342</v>
      </c>
      <c r="L6" s="21">
        <f t="shared" si="28"/>
        <v>113.23824893023422</v>
      </c>
      <c r="M6" s="21">
        <f t="shared" si="28"/>
        <v>87.764808319218417</v>
      </c>
      <c r="N6" s="21">
        <f t="shared" si="28"/>
        <v>77.061498127370399</v>
      </c>
      <c r="O6" s="21">
        <f t="shared" si="28"/>
        <v>75.206970112195123</v>
      </c>
      <c r="P6" s="21">
        <f t="shared" si="28"/>
        <v>103.31754767755481</v>
      </c>
      <c r="Q6" s="21">
        <f t="shared" si="28"/>
        <v>123.9961930214192</v>
      </c>
      <c r="R6" s="21">
        <f t="shared" si="28"/>
        <v>112.71994027301112</v>
      </c>
      <c r="S6" s="21">
        <f t="shared" si="28"/>
        <v>177.18602142808993</v>
      </c>
      <c r="T6" s="21">
        <f t="shared" si="28"/>
        <v>262.81048367465831</v>
      </c>
      <c r="U6" s="21">
        <f t="shared" si="28"/>
        <v>292.45259446060641</v>
      </c>
      <c r="V6" s="21">
        <f t="shared" si="28"/>
        <v>81.790266821546922</v>
      </c>
      <c r="W6" s="21">
        <f t="shared" ref="W6:Y6" si="29">SUM(W7:W9)</f>
        <v>139.60029861498083</v>
      </c>
      <c r="X6" s="21">
        <f t="shared" si="29"/>
        <v>200.72284840240164</v>
      </c>
      <c r="Y6" s="21">
        <f t="shared" si="29"/>
        <v>145.54662064532303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35.222286868076274</v>
      </c>
      <c r="C8" s="96">
        <v>40.289458704115169</v>
      </c>
      <c r="D8" s="96">
        <v>44.135352448922212</v>
      </c>
      <c r="E8" s="96">
        <v>44.221813978508401</v>
      </c>
      <c r="F8" s="96">
        <v>50.46501370621327</v>
      </c>
      <c r="G8" s="96">
        <v>48.391561206603448</v>
      </c>
      <c r="H8" s="96">
        <v>45.837482403785543</v>
      </c>
      <c r="I8" s="96">
        <v>59.07856143747032</v>
      </c>
      <c r="J8" s="96">
        <v>61.898854744873681</v>
      </c>
      <c r="K8" s="96">
        <v>79.05074744528612</v>
      </c>
      <c r="L8" s="96">
        <v>87.137151636219798</v>
      </c>
      <c r="M8" s="96">
        <v>67.355331957098457</v>
      </c>
      <c r="N8" s="96">
        <v>59.333844552513526</v>
      </c>
      <c r="O8" s="96">
        <v>58.074319907732267</v>
      </c>
      <c r="P8" s="96">
        <v>79.76721916839621</v>
      </c>
      <c r="Q8" s="96">
        <v>95.897165728935079</v>
      </c>
      <c r="R8" s="96">
        <v>88.428465116447867</v>
      </c>
      <c r="S8" s="96">
        <v>140.60706015663925</v>
      </c>
      <c r="T8" s="96">
        <v>207.66183993298588</v>
      </c>
      <c r="U8" s="96">
        <v>229.48883573363472</v>
      </c>
      <c r="V8" s="96">
        <v>60.059088423612721</v>
      </c>
      <c r="W8" s="96">
        <v>106.15000353952708</v>
      </c>
      <c r="X8" s="96">
        <v>160.03630304873283</v>
      </c>
      <c r="Y8" s="96">
        <v>114.81272011633968</v>
      </c>
      <c r="DA8" s="171" t="s">
        <v>282</v>
      </c>
    </row>
    <row r="9" spans="1:105" ht="11.45" customHeight="1" x14ac:dyDescent="0.25">
      <c r="A9" s="83" t="s">
        <v>182</v>
      </c>
      <c r="B9" s="96">
        <v>10.150297959378742</v>
      </c>
      <c r="C9" s="96">
        <v>11.615361451230974</v>
      </c>
      <c r="D9" s="96">
        <v>12.707562626176426</v>
      </c>
      <c r="E9" s="96">
        <v>12.714269049704848</v>
      </c>
      <c r="F9" s="96">
        <v>14.50433827895549</v>
      </c>
      <c r="G9" s="96">
        <v>13.694453882817447</v>
      </c>
      <c r="H9" s="96">
        <v>12.840612029190423</v>
      </c>
      <c r="I9" s="96">
        <v>16.138966627205985</v>
      </c>
      <c r="J9" s="96">
        <v>18.083351706301528</v>
      </c>
      <c r="K9" s="96">
        <v>24.370290394177303</v>
      </c>
      <c r="L9" s="96">
        <v>26.101097294014423</v>
      </c>
      <c r="M9" s="96">
        <v>20.40947636211996</v>
      </c>
      <c r="N9" s="96">
        <v>17.727653574856877</v>
      </c>
      <c r="O9" s="96">
        <v>17.132650204462859</v>
      </c>
      <c r="P9" s="96">
        <v>23.5503285091586</v>
      </c>
      <c r="Q9" s="96">
        <v>28.099027292484124</v>
      </c>
      <c r="R9" s="96">
        <v>24.291475156563251</v>
      </c>
      <c r="S9" s="96">
        <v>36.578961271450687</v>
      </c>
      <c r="T9" s="96">
        <v>55.148643741672409</v>
      </c>
      <c r="U9" s="96">
        <v>62.963758726971705</v>
      </c>
      <c r="V9" s="96">
        <v>21.731178397934197</v>
      </c>
      <c r="W9" s="96">
        <v>33.450295075453752</v>
      </c>
      <c r="X9" s="96">
        <v>40.686545353668805</v>
      </c>
      <c r="Y9" s="96">
        <v>30.733900528983344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275.46971955775558</v>
      </c>
      <c r="C10" s="22">
        <f t="shared" si="30"/>
        <v>295.11469833132634</v>
      </c>
      <c r="D10" s="22">
        <f t="shared" ref="D10:V10" si="31">SUM(D11:D13)</f>
        <v>319.13877022154799</v>
      </c>
      <c r="E10" s="22">
        <f t="shared" si="31"/>
        <v>334.74207690299909</v>
      </c>
      <c r="F10" s="22">
        <f t="shared" si="31"/>
        <v>361.21603064595763</v>
      </c>
      <c r="G10" s="22">
        <f t="shared" si="31"/>
        <v>370.94382153998572</v>
      </c>
      <c r="H10" s="22">
        <f t="shared" si="31"/>
        <v>346.57048682239798</v>
      </c>
      <c r="I10" s="22">
        <f t="shared" si="31"/>
        <v>360.38307382698304</v>
      </c>
      <c r="J10" s="22">
        <f t="shared" si="31"/>
        <v>358.49801710858407</v>
      </c>
      <c r="K10" s="22">
        <f t="shared" si="31"/>
        <v>316.76417282261735</v>
      </c>
      <c r="L10" s="22">
        <f t="shared" si="31"/>
        <v>317.88178546357489</v>
      </c>
      <c r="M10" s="22">
        <f t="shared" si="31"/>
        <v>315.57397070055799</v>
      </c>
      <c r="N10" s="22">
        <f t="shared" si="31"/>
        <v>295.07590514004136</v>
      </c>
      <c r="O10" s="22">
        <f t="shared" si="31"/>
        <v>298.61779343036721</v>
      </c>
      <c r="P10" s="22">
        <f t="shared" si="31"/>
        <v>302.65579712038164</v>
      </c>
      <c r="Q10" s="22">
        <f t="shared" si="31"/>
        <v>333.65625753748014</v>
      </c>
      <c r="R10" s="22">
        <f t="shared" si="31"/>
        <v>395.11557133489941</v>
      </c>
      <c r="S10" s="22">
        <f t="shared" si="31"/>
        <v>397.02326490037086</v>
      </c>
      <c r="T10" s="22">
        <f t="shared" si="31"/>
        <v>351.18659285156701</v>
      </c>
      <c r="U10" s="22">
        <f t="shared" si="31"/>
        <v>308.17896185925599</v>
      </c>
      <c r="V10" s="22">
        <f t="shared" si="31"/>
        <v>464.86115192307898</v>
      </c>
      <c r="W10" s="22">
        <f t="shared" ref="W10:Y10" si="32">SUM(W11:W13)</f>
        <v>484.03228951915492</v>
      </c>
      <c r="X10" s="22">
        <f t="shared" si="32"/>
        <v>446.61094351505324</v>
      </c>
      <c r="Y10" s="22">
        <f t="shared" si="32"/>
        <v>452.19293223515842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10.640671513073446</v>
      </c>
      <c r="C12" s="97">
        <v>4.5740185056979925</v>
      </c>
      <c r="D12" s="97">
        <v>3.0889564273944261</v>
      </c>
      <c r="E12" s="97">
        <v>5.0600766090231035</v>
      </c>
      <c r="F12" s="97">
        <v>4.8074421353362204</v>
      </c>
      <c r="G12" s="97">
        <v>5.6547999648883547</v>
      </c>
      <c r="H12" s="97">
        <v>2.933577212966799</v>
      </c>
      <c r="I12" s="97">
        <v>5.1977043911464982</v>
      </c>
      <c r="J12" s="97">
        <v>7.3130479482291451</v>
      </c>
      <c r="K12" s="97">
        <v>7.5580991436821625</v>
      </c>
      <c r="L12" s="97">
        <v>8.1679578395893149</v>
      </c>
      <c r="M12" s="97">
        <v>4.2669774489556129</v>
      </c>
      <c r="N12" s="97">
        <v>4.0845748540962994</v>
      </c>
      <c r="O12" s="97">
        <v>4.4406938344727518</v>
      </c>
      <c r="P12" s="97">
        <v>5.7535891784843463</v>
      </c>
      <c r="Q12" s="97">
        <v>6.0179234920400058</v>
      </c>
      <c r="R12" s="97">
        <v>3.8814925486877234</v>
      </c>
      <c r="S12" s="97">
        <v>7.6186479515219387</v>
      </c>
      <c r="T12" s="97">
        <v>8.7323112843399464</v>
      </c>
      <c r="U12" s="97">
        <v>9.6325554248310397</v>
      </c>
      <c r="V12" s="97">
        <v>7.163666154973745</v>
      </c>
      <c r="W12" s="97">
        <v>7.661853268005185</v>
      </c>
      <c r="X12" s="97">
        <v>6.5566217366426809</v>
      </c>
      <c r="Y12" s="97">
        <v>4.5995361025428156</v>
      </c>
      <c r="DA12" s="175" t="s">
        <v>286</v>
      </c>
    </row>
    <row r="13" spans="1:105" ht="11.45" customHeight="1" x14ac:dyDescent="0.25">
      <c r="A13" s="85" t="s">
        <v>182</v>
      </c>
      <c r="B13" s="98">
        <v>264.82904804468211</v>
      </c>
      <c r="C13" s="98">
        <v>290.54067982562833</v>
      </c>
      <c r="D13" s="98">
        <v>316.04981379415358</v>
      </c>
      <c r="E13" s="98">
        <v>329.68200029397599</v>
      </c>
      <c r="F13" s="98">
        <v>356.40858851062143</v>
      </c>
      <c r="G13" s="98">
        <v>365.28902157509737</v>
      </c>
      <c r="H13" s="98">
        <v>343.6369096094312</v>
      </c>
      <c r="I13" s="98">
        <v>355.18536943583655</v>
      </c>
      <c r="J13" s="98">
        <v>351.18496916035491</v>
      </c>
      <c r="K13" s="98">
        <v>309.20607367893518</v>
      </c>
      <c r="L13" s="98">
        <v>309.71382762398559</v>
      </c>
      <c r="M13" s="98">
        <v>311.30699325160236</v>
      </c>
      <c r="N13" s="98">
        <v>290.99133028594508</v>
      </c>
      <c r="O13" s="98">
        <v>294.17709959589445</v>
      </c>
      <c r="P13" s="98">
        <v>296.9022079418973</v>
      </c>
      <c r="Q13" s="98">
        <v>327.63833404544016</v>
      </c>
      <c r="R13" s="98">
        <v>391.23407878621168</v>
      </c>
      <c r="S13" s="98">
        <v>389.40461694884891</v>
      </c>
      <c r="T13" s="98">
        <v>342.45428156722704</v>
      </c>
      <c r="U13" s="98">
        <v>298.54640643442497</v>
      </c>
      <c r="V13" s="98">
        <v>457.69748576810525</v>
      </c>
      <c r="W13" s="98">
        <v>476.37043625114973</v>
      </c>
      <c r="X13" s="98">
        <v>440.05432177841055</v>
      </c>
      <c r="Y13" s="98">
        <v>447.59339613261562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792.23747275396056</v>
      </c>
      <c r="C17" s="62">
        <f>IF(C3=0,0,C3/TrAvia_act!C13*100)</f>
        <v>839.20229581298179</v>
      </c>
      <c r="D17" s="62">
        <f>IF(D3=0,0,D3/TrAvia_act!D13*100)</f>
        <v>848.06081894547367</v>
      </c>
      <c r="E17" s="62">
        <f>IF(E3=0,0,E3/TrAvia_act!E13*100)</f>
        <v>819.60247202560515</v>
      </c>
      <c r="F17" s="62">
        <f>IF(F3=0,0,F3/TrAvia_act!F13*100)</f>
        <v>853.98996220166441</v>
      </c>
      <c r="G17" s="62">
        <f>IF(G3=0,0,G3/TrAvia_act!G13*100)</f>
        <v>843.02657015386546</v>
      </c>
      <c r="H17" s="62">
        <f>IF(H3=0,0,H3/TrAvia_act!H13*100)</f>
        <v>771.61779684972464</v>
      </c>
      <c r="I17" s="62">
        <f>IF(I3=0,0,I3/TrAvia_act!I13*100)</f>
        <v>718.17900796510787</v>
      </c>
      <c r="J17" s="62">
        <f>IF(J3=0,0,J3/TrAvia_act!J13*100)</f>
        <v>649.99919305605795</v>
      </c>
      <c r="K17" s="62">
        <f>IF(K3=0,0,K3/TrAvia_act!K13*100)</f>
        <v>757.21344303509159</v>
      </c>
      <c r="L17" s="62">
        <f>IF(L3=0,0,L3/TrAvia_act!L13*100)</f>
        <v>763.5605384828998</v>
      </c>
      <c r="M17" s="62">
        <f>IF(M3=0,0,M3/TrAvia_act!M13*100)</f>
        <v>714.74989831532798</v>
      </c>
      <c r="N17" s="62">
        <f>IF(N3=0,0,N3/TrAvia_act!N13*100)</f>
        <v>739.90106811888973</v>
      </c>
      <c r="O17" s="62">
        <f>IF(O3=0,0,O3/TrAvia_act!O13*100)</f>
        <v>719.62800245750009</v>
      </c>
      <c r="P17" s="62">
        <f>IF(P3=0,0,P3/TrAvia_act!P13*100)</f>
        <v>785.8927085546037</v>
      </c>
      <c r="Q17" s="62">
        <f>IF(Q3=0,0,Q3/TrAvia_act!Q13*100)</f>
        <v>800.32013762792076</v>
      </c>
      <c r="R17" s="62">
        <f>IF(R3=0,0,R3/TrAvia_act!R13*100)</f>
        <v>874.44856595865053</v>
      </c>
      <c r="S17" s="62">
        <f>IF(S3=0,0,S3/TrAvia_act!S13*100)</f>
        <v>879.76445729129239</v>
      </c>
      <c r="T17" s="62">
        <f>IF(T3=0,0,T3/TrAvia_act!T13*100)</f>
        <v>907.20168062756591</v>
      </c>
      <c r="U17" s="62">
        <f>IF(U3=0,0,U3/TrAvia_act!U13*100)</f>
        <v>901.99753326265841</v>
      </c>
      <c r="V17" s="62">
        <f>IF(V3=0,0,V3/TrAvia_act!V13*100)</f>
        <v>793.1388956064452</v>
      </c>
      <c r="W17" s="62">
        <f>IF(W3=0,0,W3/TrAvia_act!W13*100)</f>
        <v>747.91056577019003</v>
      </c>
      <c r="X17" s="62">
        <f>IF(X3=0,0,X3/TrAvia_act!X13*100)</f>
        <v>757.82915597614374</v>
      </c>
      <c r="Y17" s="62">
        <f>IF(Y3=0,0,Y3/TrAvia_act!Y13*100)</f>
        <v>793.93840817364401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367.28168901152458</v>
      </c>
      <c r="C18" s="14">
        <f>IF(C6=0,0,C6/TrAvia_act!C14*100)</f>
        <v>388.09946863701595</v>
      </c>
      <c r="D18" s="14">
        <f>IF(D6=0,0,D6/TrAvia_act!D14*100)</f>
        <v>391.97966179166053</v>
      </c>
      <c r="E18" s="14">
        <f>IF(E6=0,0,E6/TrAvia_act!E14*100)</f>
        <v>376.5741156276506</v>
      </c>
      <c r="F18" s="14">
        <f>IF(F6=0,0,F6/TrAvia_act!F14*100)</f>
        <v>394.56550376381193</v>
      </c>
      <c r="G18" s="14">
        <f>IF(G6=0,0,G6/TrAvia_act!G14*100)</f>
        <v>384.12148574819531</v>
      </c>
      <c r="H18" s="14">
        <f>IF(H6=0,0,H6/TrAvia_act!H14*100)</f>
        <v>360.9703214569987</v>
      </c>
      <c r="I18" s="14">
        <f>IF(I6=0,0,I6/TrAvia_act!I14*100)</f>
        <v>456.61964306618279</v>
      </c>
      <c r="J18" s="14">
        <f>IF(J6=0,0,J6/TrAvia_act!J14*100)</f>
        <v>470.46942351674892</v>
      </c>
      <c r="K18" s="14">
        <f>IF(K6=0,0,K6/TrAvia_act!K14*100)</f>
        <v>661.72681235195284</v>
      </c>
      <c r="L18" s="14">
        <f>IF(L6=0,0,L6/TrAvia_act!L14*100)</f>
        <v>725.3781586462145</v>
      </c>
      <c r="M18" s="14">
        <f>IF(M6=0,0,M6/TrAvia_act!M14*100)</f>
        <v>527.90749279549095</v>
      </c>
      <c r="N18" s="14">
        <f>IF(N6=0,0,N6/TrAvia_act!N14*100)</f>
        <v>474.17541995761815</v>
      </c>
      <c r="O18" s="14">
        <f>IF(O6=0,0,O6/TrAvia_act!O14*100)</f>
        <v>456.71159363478699</v>
      </c>
      <c r="P18" s="14">
        <f>IF(P6=0,0,P6/TrAvia_act!P14*100)</f>
        <v>564.65180402657757</v>
      </c>
      <c r="Q18" s="14">
        <f>IF(Q6=0,0,Q6/TrAvia_act!Q14*100)</f>
        <v>649.84630026645527</v>
      </c>
      <c r="R18" s="14">
        <f>IF(R6=0,0,R6/TrAvia_act!R14*100)</f>
        <v>576.11344426045696</v>
      </c>
      <c r="S18" s="14">
        <f>IF(S6=0,0,S6/TrAvia_act!S14*100)</f>
        <v>767.42406167643799</v>
      </c>
      <c r="T18" s="14">
        <f>IF(T6=0,0,T6/TrAvia_act!T14*100)</f>
        <v>961.26697067309374</v>
      </c>
      <c r="U18" s="14">
        <f>IF(U6=0,0,U6/TrAvia_act!U14*100)</f>
        <v>993.0147603665248</v>
      </c>
      <c r="V18" s="14">
        <f>IF(V6=0,0,V6/TrAvia_act!V14*100)</f>
        <v>654.18719662032561</v>
      </c>
      <c r="W18" s="14">
        <f>IF(W6=0,0,W6/TrAvia_act!W14*100)</f>
        <v>801.13015440120762</v>
      </c>
      <c r="X18" s="14">
        <f>IF(X6=0,0,X6/TrAvia_act!X14*100)</f>
        <v>729.47960123645203</v>
      </c>
      <c r="Y18" s="14">
        <f>IF(Y6=0,0,Y6/TrAvia_act!Y14*100)</f>
        <v>509.37293114961665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318.49456453583696</v>
      </c>
      <c r="C20" s="87">
        <f>IF(C8=0,0,C8/TrAvia_act!C16*100)</f>
        <v>336.52833433351327</v>
      </c>
      <c r="D20" s="87">
        <f>IF(D8=0,0,D8/TrAvia_act!D16*100)</f>
        <v>339.94355998751575</v>
      </c>
      <c r="E20" s="87">
        <f>IF(E8=0,0,E8/TrAvia_act!E16*100)</f>
        <v>326.63768440698135</v>
      </c>
      <c r="F20" s="87">
        <f>IF(F8=0,0,F8/TrAvia_act!F16*100)</f>
        <v>342.25518873438523</v>
      </c>
      <c r="G20" s="87">
        <f>IF(G8=0,0,G8/TrAvia_act!G16*100)</f>
        <v>335.58530915136345</v>
      </c>
      <c r="H20" s="87">
        <f>IF(H8=0,0,H8/TrAvia_act!H16*100)</f>
        <v>318.34552079943535</v>
      </c>
      <c r="I20" s="87">
        <f>IF(I8=0,0,I8/TrAvia_act!I16*100)</f>
        <v>428.59961369307325</v>
      </c>
      <c r="J20" s="87">
        <f>IF(J8=0,0,J8/TrAvia_act!J16*100)</f>
        <v>450.51645581845304</v>
      </c>
      <c r="K20" s="87">
        <f>IF(K8=0,0,K8/TrAvia_act!K16*100)</f>
        <v>657.35107613160733</v>
      </c>
      <c r="L20" s="87">
        <f>IF(L8=0,0,L8/TrAvia_act!L16*100)</f>
        <v>724.49678553397825</v>
      </c>
      <c r="M20" s="87">
        <f>IF(M8=0,0,M8/TrAvia_act!M16*100)</f>
        <v>496.44406093033939</v>
      </c>
      <c r="N20" s="87">
        <f>IF(N8=0,0,N8/TrAvia_act!N16*100)</f>
        <v>439.0886996245535</v>
      </c>
      <c r="O20" s="87">
        <f>IF(O8=0,0,O8/TrAvia_act!O16*100)</f>
        <v>423.93880581838977</v>
      </c>
      <c r="P20" s="87">
        <f>IF(P8=0,0,P8/TrAvia_act!P16*100)</f>
        <v>535.59326112373196</v>
      </c>
      <c r="Q20" s="87">
        <f>IF(Q8=0,0,Q8/TrAvia_act!Q16*100)</f>
        <v>619.10398799902021</v>
      </c>
      <c r="R20" s="87">
        <f>IF(R8=0,0,R8/TrAvia_act!R16*100)</f>
        <v>510.8107019212797</v>
      </c>
      <c r="S20" s="87">
        <f>IF(S8=0,0,S8/TrAvia_act!S16*100)</f>
        <v>727.12268812795037</v>
      </c>
      <c r="T20" s="87">
        <f>IF(T8=0,0,T8/TrAvia_act!T16*100)</f>
        <v>986.97109169043631</v>
      </c>
      <c r="U20" s="87">
        <f>IF(U8=0,0,U8/TrAvia_act!U16*100)</f>
        <v>1050.4703122928931</v>
      </c>
      <c r="V20" s="87">
        <f>IF(V8=0,0,V8/TrAvia_act!V16*100)</f>
        <v>595.16879842841195</v>
      </c>
      <c r="W20" s="87">
        <f>IF(W8=0,0,W8/TrAvia_act!W16*100)</f>
        <v>809.46819082641741</v>
      </c>
      <c r="X20" s="87">
        <f>IF(X8=0,0,X8/TrAvia_act!X16*100)</f>
        <v>734.16532490247698</v>
      </c>
      <c r="Y20" s="87">
        <f>IF(Y8=0,0,Y8/TrAvia_act!Y16*100)</f>
        <v>482.47140983066981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784.03161348204571</v>
      </c>
      <c r="C21" s="87">
        <f>IF(C9=0,0,C9/TrAvia_act!C17*100)</f>
        <v>828.47495466766861</v>
      </c>
      <c r="D21" s="87">
        <f>IF(D9=0,0,D9/TrAvia_act!D17*100)</f>
        <v>836.92971827591475</v>
      </c>
      <c r="E21" s="87">
        <f>IF(E9=0,0,E9/TrAvia_act!E17*100)</f>
        <v>804.19254129293859</v>
      </c>
      <c r="F21" s="87">
        <f>IF(F9=0,0,F9/TrAvia_act!F17*100)</f>
        <v>842.68763206884466</v>
      </c>
      <c r="G21" s="87">
        <f>IF(G9=0,0,G9/TrAvia_act!G17*100)</f>
        <v>785.65049217531464</v>
      </c>
      <c r="H21" s="87">
        <f>IF(H9=0,0,H9/TrAvia_act!H17*100)</f>
        <v>691.47138570431798</v>
      </c>
      <c r="I21" s="87">
        <f>IF(I9=0,0,I9/TrAvia_act!I17*100)</f>
        <v>600.27475213096011</v>
      </c>
      <c r="J21" s="87">
        <f>IF(J9=0,0,J9/TrAvia_act!J17*100)</f>
        <v>554.53757638930244</v>
      </c>
      <c r="K21" s="87">
        <f>IF(K9=0,0,K9/TrAvia_act!K17*100)</f>
        <v>676.33034429530778</v>
      </c>
      <c r="L21" s="87">
        <f>IF(L9=0,0,L9/TrAvia_act!L17*100)</f>
        <v>728.33616979455678</v>
      </c>
      <c r="M21" s="87">
        <f>IF(M9=0,0,M9/TrAvia_act!M17*100)</f>
        <v>667.52644157708062</v>
      </c>
      <c r="N21" s="87">
        <f>IF(N9=0,0,N9/TrAvia_act!N17*100)</f>
        <v>647.29380858684578</v>
      </c>
      <c r="O21" s="87">
        <f>IF(O9=0,0,O9/TrAvia_act!O17*100)</f>
        <v>618.88505894304694</v>
      </c>
      <c r="P21" s="87">
        <f>IF(P9=0,0,P9/TrAvia_act!P17*100)</f>
        <v>691.77724925225357</v>
      </c>
      <c r="Q21" s="87">
        <f>IF(Q9=0,0,Q9/TrAvia_act!Q17*100)</f>
        <v>782.44572342247375</v>
      </c>
      <c r="R21" s="87">
        <f>IF(R9=0,0,R9/TrAvia_act!R17*100)</f>
        <v>1077.6171018310711</v>
      </c>
      <c r="S21" s="87">
        <f>IF(S9=0,0,S9/TrAvia_act!S17*100)</f>
        <v>975.19170265911703</v>
      </c>
      <c r="T21" s="87">
        <f>IF(T9=0,0,T9/TrAvia_act!T17*100)</f>
        <v>875.41789812590173</v>
      </c>
      <c r="U21" s="87">
        <f>IF(U9=0,0,U9/TrAvia_act!U17*100)</f>
        <v>827.9598619028942</v>
      </c>
      <c r="V21" s="87">
        <f>IF(V9=0,0,V9/TrAvia_act!V17*100)</f>
        <v>901.15647245521723</v>
      </c>
      <c r="W21" s="87">
        <f>IF(W9=0,0,W9/TrAvia_act!W17*100)</f>
        <v>775.7719706382951</v>
      </c>
      <c r="X21" s="87">
        <f>IF(X9=0,0,X9/TrAvia_act!X17*100)</f>
        <v>711.61490906554877</v>
      </c>
      <c r="Y21" s="87">
        <f>IF(Y9=0,0,Y9/TrAvia_act!Y17*100)</f>
        <v>643.38679373308048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978.76479828102538</v>
      </c>
      <c r="C22" s="15">
        <f>IF(C10=0,0,C10/TrAvia_act!C18*100)</f>
        <v>1054.8470162320423</v>
      </c>
      <c r="D22" s="15">
        <f>IF(D10=0,0,D10/TrAvia_act!D18*100)</f>
        <v>1069.7584781670705</v>
      </c>
      <c r="E22" s="15">
        <f>IF(E10=0,0,E10/TrAvia_act!E18*100)</f>
        <v>1024.6378091955771</v>
      </c>
      <c r="F22" s="15">
        <f>IF(F10=0,0,F10/TrAvia_act!F18*100)</f>
        <v>1080.218987997891</v>
      </c>
      <c r="G22" s="15">
        <f>IF(G10=0,0,G10/TrAvia_act!G18*100)</f>
        <v>1053.7285769060543</v>
      </c>
      <c r="H22" s="15">
        <f>IF(H10=0,0,H10/TrAvia_act!H18*100)</f>
        <v>955.69573133043377</v>
      </c>
      <c r="I22" s="15">
        <f>IF(I10=0,0,I10/TrAvia_act!I18*100)</f>
        <v>815.70069047319794</v>
      </c>
      <c r="J22" s="15">
        <f>IF(J10=0,0,J10/TrAvia_act!J18*100)</f>
        <v>710.48699847314288</v>
      </c>
      <c r="K22" s="15">
        <f>IF(K10=0,0,K10/TrAvia_act!K18*100)</f>
        <v>794.65150724671855</v>
      </c>
      <c r="L22" s="15">
        <f>IF(L10=0,0,L10/TrAvia_act!L18*100)</f>
        <v>778.15171458401448</v>
      </c>
      <c r="M22" s="15">
        <f>IF(M10=0,0,M10/TrAvia_act!M18*100)</f>
        <v>792.78545479517982</v>
      </c>
      <c r="N22" s="15">
        <f>IF(N10=0,0,N10/TrAvia_act!N18*100)</f>
        <v>866.75176997764129</v>
      </c>
      <c r="O22" s="15">
        <f>IF(O10=0,0,O10/TrAvia_act!O18*100)</f>
        <v>841.65376697052227</v>
      </c>
      <c r="P22" s="15">
        <f>IF(P10=0,0,P10/TrAvia_act!P18*100)</f>
        <v>907.24061307575289</v>
      </c>
      <c r="Q22" s="15">
        <f>IF(Q10=0,0,Q10/TrAvia_act!Q18*100)</f>
        <v>875.67330904822199</v>
      </c>
      <c r="R22" s="15">
        <f>IF(R10=0,0,R10/TrAvia_act!R18*100)</f>
        <v>1026.0246869789817</v>
      </c>
      <c r="S22" s="15">
        <f>IF(S10=0,0,S10/TrAvia_act!S18*100)</f>
        <v>941.25697041730825</v>
      </c>
      <c r="T22" s="15">
        <f>IF(T10=0,0,T10/TrAvia_act!T18*100)</f>
        <v>870.55978961773667</v>
      </c>
      <c r="U22" s="15">
        <f>IF(U10=0,0,U10/TrAvia_act!U18*100)</f>
        <v>829.81965609421411</v>
      </c>
      <c r="V22" s="15">
        <f>IF(V10=0,0,V10/TrAvia_act!V18*100)</f>
        <v>823.930386097633</v>
      </c>
      <c r="W22" s="15">
        <f>IF(W10=0,0,W10/TrAvia_act!W18*100)</f>
        <v>733.8504780868584</v>
      </c>
      <c r="X22" s="15">
        <f>IF(X10=0,0,X10/TrAvia_act!X18*100)</f>
        <v>771.30091757930597</v>
      </c>
      <c r="Y22" s="15">
        <f>IF(Y10=0,0,Y10/TrAvia_act!Y18*100)</f>
        <v>967.99858854591503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455.74655052195669</v>
      </c>
      <c r="C24" s="101">
        <f>IF(C12=0,0,C12/TrAvia_act!C20*100)</f>
        <v>387.51935759605203</v>
      </c>
      <c r="D24" s="101">
        <f>IF(D12=0,0,D12/TrAvia_act!D20*100)</f>
        <v>315.88967896631345</v>
      </c>
      <c r="E24" s="101">
        <f>IF(E12=0,0,E12/TrAvia_act!E20*100)</f>
        <v>376.35841212096892</v>
      </c>
      <c r="F24" s="101">
        <f>IF(F12=0,0,F12/TrAvia_act!F20*100)</f>
        <v>428.52627967525859</v>
      </c>
      <c r="G24" s="101">
        <f>IF(G12=0,0,G12/TrAvia_act!G20*100)</f>
        <v>419.35579766743069</v>
      </c>
      <c r="H24" s="101">
        <f>IF(H12=0,0,H12/TrAvia_act!H20*100)</f>
        <v>325.55985812461626</v>
      </c>
      <c r="I24" s="101">
        <f>IF(I12=0,0,I12/TrAvia_act!I20*100)</f>
        <v>446.26629610959878</v>
      </c>
      <c r="J24" s="101">
        <f>IF(J12=0,0,J12/TrAvia_act!J20*100)</f>
        <v>492.422299975295</v>
      </c>
      <c r="K24" s="101">
        <f>IF(K12=0,0,K12/TrAvia_act!K20*100)</f>
        <v>644.98613443444469</v>
      </c>
      <c r="L24" s="101">
        <f>IF(L12=0,0,L12/TrAvia_act!L20*100)</f>
        <v>622.72548705080635</v>
      </c>
      <c r="M24" s="101">
        <f>IF(M12=0,0,M12/TrAvia_act!M20*100)</f>
        <v>442.43916274764689</v>
      </c>
      <c r="N24" s="101">
        <f>IF(N12=0,0,N12/TrAvia_act!N20*100)</f>
        <v>427.33116670855543</v>
      </c>
      <c r="O24" s="101">
        <f>IF(O12=0,0,O12/TrAvia_act!O20*100)</f>
        <v>415.87951950365198</v>
      </c>
      <c r="P24" s="101">
        <f>IF(P12=0,0,P12/TrAvia_act!P20*100)</f>
        <v>538.47140042812555</v>
      </c>
      <c r="Q24" s="101">
        <f>IF(Q12=0,0,Q12/TrAvia_act!Q20*100)</f>
        <v>623.92489509351094</v>
      </c>
      <c r="R24" s="101">
        <f>IF(R12=0,0,R12/TrAvia_act!R20*100)</f>
        <v>520.14482709276854</v>
      </c>
      <c r="S24" s="101">
        <f>IF(S12=0,0,S12/TrAvia_act!S20*100)</f>
        <v>819.89558150823746</v>
      </c>
      <c r="T24" s="101">
        <f>IF(T12=0,0,T12/TrAvia_act!T20*100)</f>
        <v>1044.0286349384646</v>
      </c>
      <c r="U24" s="101">
        <f>IF(U12=0,0,U12/TrAvia_act!U20*100)</f>
        <v>1246.8437067160369</v>
      </c>
      <c r="V24" s="101">
        <f>IF(V12=0,0,V12/TrAvia_act!V20*100)</f>
        <v>969.96850357480378</v>
      </c>
      <c r="W24" s="101">
        <f>IF(W12=0,0,W12/TrAvia_act!W20*100)</f>
        <v>968.54258356803325</v>
      </c>
      <c r="X24" s="101">
        <f>IF(X12=0,0,X12/TrAvia_act!X20*100)</f>
        <v>801.1526007586998</v>
      </c>
      <c r="Y24" s="101">
        <f>IF(Y12=0,0,Y12/TrAvia_act!Y20*100)</f>
        <v>520.73512207412523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1026.0774182315265</v>
      </c>
      <c r="C25" s="88">
        <f>IF(C13=0,0,C13/TrAvia_act!C21*100)</f>
        <v>1084.2412830517185</v>
      </c>
      <c r="D25" s="88">
        <f>IF(D13=0,0,D13/TrAvia_act!D21*100)</f>
        <v>1095.3061965905722</v>
      </c>
      <c r="E25" s="88">
        <f>IF(E13=0,0,E13/TrAvia_act!E21*100)</f>
        <v>1052.462416491328</v>
      </c>
      <c r="F25" s="88">
        <f>IF(F13=0,0,F13/TrAvia_act!F21*100)</f>
        <v>1102.8416903352831</v>
      </c>
      <c r="G25" s="88">
        <f>IF(G13=0,0,G13/TrAvia_act!G21*100)</f>
        <v>1078.9960831898268</v>
      </c>
      <c r="H25" s="88">
        <f>IF(H13=0,0,H13/TrAvia_act!H21*100)</f>
        <v>971.75244694712467</v>
      </c>
      <c r="I25" s="88">
        <f>IF(I13=0,0,I13/TrAvia_act!I21*100)</f>
        <v>825.7035436420939</v>
      </c>
      <c r="J25" s="88">
        <f>IF(J13=0,0,J13/TrAvia_act!J21*100)</f>
        <v>717.09986558297567</v>
      </c>
      <c r="K25" s="88">
        <f>IF(K13=0,0,K13/TrAvia_act!K21*100)</f>
        <v>799.18447427379067</v>
      </c>
      <c r="L25" s="88">
        <f>IF(L13=0,0,L13/TrAvia_act!L21*100)</f>
        <v>783.30771520646465</v>
      </c>
      <c r="M25" s="88">
        <f>IF(M13=0,0,M13/TrAvia_act!M21*100)</f>
        <v>801.48447923542892</v>
      </c>
      <c r="N25" s="88">
        <f>IF(N13=0,0,N13/TrAvia_act!N21*100)</f>
        <v>879.44556911907284</v>
      </c>
      <c r="O25" s="88">
        <f>IF(O13=0,0,O13/TrAvia_act!O21*100)</f>
        <v>854.86524748425086</v>
      </c>
      <c r="P25" s="88">
        <f>IF(P13=0,0,P13/TrAvia_act!P21*100)</f>
        <v>919.44292752403453</v>
      </c>
      <c r="Q25" s="88">
        <f>IF(Q13=0,0,Q13/TrAvia_act!Q21*100)</f>
        <v>882.2115226900944</v>
      </c>
      <c r="R25" s="88">
        <f>IF(R13=0,0,R13/TrAvia_act!R21*100)</f>
        <v>1036.0213229908204</v>
      </c>
      <c r="S25" s="88">
        <f>IF(S13=0,0,S13/TrAvia_act!S21*100)</f>
        <v>943.99076922075869</v>
      </c>
      <c r="T25" s="88">
        <f>IF(T13=0,0,T13/TrAvia_act!T21*100)</f>
        <v>866.88698211472149</v>
      </c>
      <c r="U25" s="88">
        <f>IF(U13=0,0,U13/TrAvia_act!U21*100)</f>
        <v>820.96032520231108</v>
      </c>
      <c r="V25" s="88">
        <f>IF(V13=0,0,V13/TrAvia_act!V21*100)</f>
        <v>821.99336781932391</v>
      </c>
      <c r="W25" s="88">
        <f>IF(W13=0,0,W13/TrAvia_act!W21*100)</f>
        <v>731.00151339648698</v>
      </c>
      <c r="X25" s="88">
        <f>IF(X13=0,0,X13/TrAvia_act!X21*100)</f>
        <v>770.87295063849638</v>
      </c>
      <c r="Y25" s="88">
        <f>IF(Y13=0,0,Y13/TrAvia_act!Y21*100)</f>
        <v>976.61848115336659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59.989235136617481</v>
      </c>
      <c r="C28" s="14">
        <f>IF(C6=0,0,C6/TrAvia_act!C4*1000)</f>
        <v>62.514447093205568</v>
      </c>
      <c r="D28" s="14">
        <f>IF(D6=0,0,D6/TrAvia_act!D4*1000)</f>
        <v>62.945290474634959</v>
      </c>
      <c r="E28" s="14">
        <f>IF(E6=0,0,E6/TrAvia_act!E4*1000)</f>
        <v>61.023175336899378</v>
      </c>
      <c r="F28" s="14">
        <f>IF(F6=0,0,F6/TrAvia_act!F4*1000)</f>
        <v>64.513929214728236</v>
      </c>
      <c r="G28" s="14">
        <f>IF(G6=0,0,G6/TrAvia_act!G4*1000)</f>
        <v>62.204596893256884</v>
      </c>
      <c r="H28" s="14">
        <f>IF(H6=0,0,H6/TrAvia_act!H4*1000)</f>
        <v>60.3544320351278</v>
      </c>
      <c r="I28" s="14">
        <f>IF(I6=0,0,I6/TrAvia_act!I4*1000)</f>
        <v>75.694684489241382</v>
      </c>
      <c r="J28" s="14">
        <f>IF(J6=0,0,J6/TrAvia_act!J4*1000)</f>
        <v>77.178557511210798</v>
      </c>
      <c r="K28" s="14">
        <f>IF(K6=0,0,K6/TrAvia_act!K4*1000)</f>
        <v>105.80725077792775</v>
      </c>
      <c r="L28" s="14">
        <f>IF(L6=0,0,L6/TrAvia_act!L4*1000)</f>
        <v>106.53709270105456</v>
      </c>
      <c r="M28" s="14">
        <f>IF(M6=0,0,M6/TrAvia_act!M4*1000)</f>
        <v>81.903403719420538</v>
      </c>
      <c r="N28" s="14">
        <f>IF(N6=0,0,N6/TrAvia_act!N4*1000)</f>
        <v>74.117123969018166</v>
      </c>
      <c r="O28" s="14">
        <f>IF(O6=0,0,O6/TrAvia_act!O4*1000)</f>
        <v>63.715537595257651</v>
      </c>
      <c r="P28" s="14">
        <f>IF(P6=0,0,P6/TrAvia_act!P4*1000)</f>
        <v>73.687134898908965</v>
      </c>
      <c r="Q28" s="14">
        <f>IF(Q6=0,0,Q6/TrAvia_act!Q4*1000)</f>
        <v>81.231775319783054</v>
      </c>
      <c r="R28" s="14">
        <f>IF(R6=0,0,R6/TrAvia_act!R4*1000)</f>
        <v>68.868437854804156</v>
      </c>
      <c r="S28" s="14">
        <f>IF(S6=0,0,S6/TrAvia_act!S4*1000)</f>
        <v>86.973969342586699</v>
      </c>
      <c r="T28" s="14">
        <f>IF(T6=0,0,T6/TrAvia_act!T4*1000)</f>
        <v>111.01133896650421</v>
      </c>
      <c r="U28" s="14">
        <f>IF(U6=0,0,U6/TrAvia_act!U4*1000)</f>
        <v>111.04589812536361</v>
      </c>
      <c r="V28" s="14">
        <f>IF(V6=0,0,V6/TrAvia_act!V4*1000)</f>
        <v>83.23630243212331</v>
      </c>
      <c r="W28" s="14">
        <f>IF(W6=0,0,W6/TrAvia_act!W4*1000)</f>
        <v>86.787203168602005</v>
      </c>
      <c r="X28" s="14">
        <f>IF(X6=0,0,X6/TrAvia_act!X4*1000)</f>
        <v>72.720511726959316</v>
      </c>
      <c r="Y28" s="14">
        <f>IF(Y6=0,0,Y6/TrAvia_act!Y4*1000)</f>
        <v>47.061748865866178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55.25568743659835</v>
      </c>
      <c r="C30" s="87">
        <f>IF(C8=0,0,C8/TrAvia_act!C6*1000)</f>
        <v>57.689612640947338</v>
      </c>
      <c r="D30" s="87">
        <f>IF(D8=0,0,D8/TrAvia_act!D6*1000)</f>
        <v>58.229508474087879</v>
      </c>
      <c r="E30" s="87">
        <f>IF(E8=0,0,E8/TrAvia_act!E6*1000)</f>
        <v>56.692175811811822</v>
      </c>
      <c r="F30" s="87">
        <f>IF(F8=0,0,F8/TrAvia_act!F6*1000)</f>
        <v>60.219774174231318</v>
      </c>
      <c r="G30" s="87">
        <f>IF(G8=0,0,G8/TrAvia_act!G6*1000)</f>
        <v>59.592761555046437</v>
      </c>
      <c r="H30" s="87">
        <f>IF(H8=0,0,H8/TrAvia_act!H6*1000)</f>
        <v>59.136517611645985</v>
      </c>
      <c r="I30" s="87">
        <f>IF(I8=0,0,I8/TrAvia_act!I6*1000)</f>
        <v>80.798436197345495</v>
      </c>
      <c r="J30" s="87">
        <f>IF(J8=0,0,J8/TrAvia_act!J6*1000)</f>
        <v>88.952827485808186</v>
      </c>
      <c r="K30" s="87">
        <f>IF(K8=0,0,K8/TrAvia_act!K6*1000)</f>
        <v>131.59006079617427</v>
      </c>
      <c r="L30" s="87">
        <f>IF(L8=0,0,L8/TrAvia_act!L6*1000)</f>
        <v>138.56744254325767</v>
      </c>
      <c r="M30" s="87">
        <f>IF(M8=0,0,M8/TrAvia_act!M6*1000)</f>
        <v>89.40443030185196</v>
      </c>
      <c r="N30" s="87">
        <f>IF(N8=0,0,N8/TrAvia_act!N6*1000)</f>
        <v>77.610680445865952</v>
      </c>
      <c r="O30" s="87">
        <f>IF(O8=0,0,O8/TrAvia_act!O6*1000)</f>
        <v>64.865089522342458</v>
      </c>
      <c r="P30" s="87">
        <f>IF(P8=0,0,P8/TrAvia_act!P6*1000)</f>
        <v>77.794905244527627</v>
      </c>
      <c r="Q30" s="87">
        <f>IF(Q8=0,0,Q8/TrAvia_act!Q6*1000)</f>
        <v>83.608972837254527</v>
      </c>
      <c r="R30" s="87">
        <f>IF(R8=0,0,R8/TrAvia_act!R6*1000)</f>
        <v>65.076240597530386</v>
      </c>
      <c r="S30" s="87">
        <f>IF(S8=0,0,S8/TrAvia_act!S6*1000)</f>
        <v>83.615348971242824</v>
      </c>
      <c r="T30" s="87">
        <f>IF(T8=0,0,T8/TrAvia_act!T6*1000)</f>
        <v>110.7344373173099</v>
      </c>
      <c r="U30" s="87">
        <f>IF(U8=0,0,U8/TrAvia_act!U6*1000)</f>
        <v>113.39397087842804</v>
      </c>
      <c r="V30" s="87">
        <f>IF(V8=0,0,V8/TrAvia_act!V6*1000)</f>
        <v>77.093081634801834</v>
      </c>
      <c r="W30" s="87">
        <f>IF(W8=0,0,W8/TrAvia_act!W6*1000)</f>
        <v>90.349989011705361</v>
      </c>
      <c r="X30" s="87">
        <f>IF(X8=0,0,X8/TrAvia_act!X6*1000)</f>
        <v>76.151381419182684</v>
      </c>
      <c r="Y30" s="87">
        <f>IF(Y8=0,0,Y8/TrAvia_act!Y6*1000)</f>
        <v>45.447260338551409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85.365767753309939</v>
      </c>
      <c r="C31" s="87">
        <f>IF(C9=0,0,C9/TrAvia_act!C7*1000)</f>
        <v>88.060569367747505</v>
      </c>
      <c r="D31" s="87">
        <f>IF(D9=0,0,D9/TrAvia_act!D7*1000)</f>
        <v>87.579402700564401</v>
      </c>
      <c r="E31" s="87">
        <f>IF(E9=0,0,E9/TrAvia_act!E7*1000)</f>
        <v>83.105163660183692</v>
      </c>
      <c r="F31" s="87">
        <f>IF(F9=0,0,F9/TrAvia_act!F7*1000)</f>
        <v>85.801490139357824</v>
      </c>
      <c r="G31" s="87">
        <f>IF(G9=0,0,G9/TrAvia_act!G7*1000)</f>
        <v>73.603891395195078</v>
      </c>
      <c r="H31" s="87">
        <f>IF(H9=0,0,H9/TrAvia_act!H7*1000)</f>
        <v>65.143692192109782</v>
      </c>
      <c r="I31" s="87">
        <f>IF(I9=0,0,I9/TrAvia_act!I7*1000)</f>
        <v>61.479005585089631</v>
      </c>
      <c r="J31" s="87">
        <f>IF(J9=0,0,J9/TrAvia_act!J7*1000)</f>
        <v>53.11365505024883</v>
      </c>
      <c r="K31" s="87">
        <f>IF(K9=0,0,K9/TrAvia_act!K7*1000)</f>
        <v>64.691995849723355</v>
      </c>
      <c r="L31" s="87">
        <f>IF(L9=0,0,L9/TrAvia_act!L7*1000)</f>
        <v>60.132899889106241</v>
      </c>
      <c r="M31" s="87">
        <f>IF(M9=0,0,M9/TrAvia_act!M7*1000)</f>
        <v>64.143057088647396</v>
      </c>
      <c r="N31" s="87">
        <f>IF(N9=0,0,N9/TrAvia_act!N7*1000)</f>
        <v>64.412714514281234</v>
      </c>
      <c r="O31" s="87">
        <f>IF(O9=0,0,O9/TrAvia_act!O7*1000)</f>
        <v>60.104875408123952</v>
      </c>
      <c r="P31" s="87">
        <f>IF(P9=0,0,P9/TrAvia_act!P7*1000)</f>
        <v>62.507784080181914</v>
      </c>
      <c r="Q31" s="87">
        <f>IF(Q9=0,0,Q9/TrAvia_act!Q7*1000)</f>
        <v>74.046681167956706</v>
      </c>
      <c r="R31" s="87">
        <f>IF(R9=0,0,R9/TrAvia_act!R7*1000)</f>
        <v>87.411162945618344</v>
      </c>
      <c r="S31" s="87">
        <f>IF(S9=0,0,S9/TrAvia_act!S7*1000)</f>
        <v>102.85488734302315</v>
      </c>
      <c r="T31" s="87">
        <f>IF(T9=0,0,T9/TrAvia_act!T7*1000)</f>
        <v>112.0665533825667</v>
      </c>
      <c r="U31" s="87">
        <f>IF(U9=0,0,U9/TrAvia_act!U7*1000)</f>
        <v>103.25306370518413</v>
      </c>
      <c r="V31" s="87">
        <f>IF(V9=0,0,V9/TrAvia_act!V7*1000)</f>
        <v>106.74466335834867</v>
      </c>
      <c r="W31" s="87">
        <f>IF(W9=0,0,W9/TrAvia_act!W7*1000)</f>
        <v>77.134867597620897</v>
      </c>
      <c r="X31" s="87">
        <f>IF(X9=0,0,X9/TrAvia_act!X7*1000)</f>
        <v>61.77348379192226</v>
      </c>
      <c r="Y31" s="87">
        <f>IF(Y9=0,0,Y9/TrAvia_act!Y7*1000)</f>
        <v>54.262912514039719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157.39902256668134</v>
      </c>
      <c r="C32" s="15">
        <f>IF(C10=0,0,C10/TrAvia_act!C8*1000)</f>
        <v>156.7635510830934</v>
      </c>
      <c r="D32" s="15">
        <f>IF(D10=0,0,D10/TrAvia_act!D8*1000)</f>
        <v>167.07117628247789</v>
      </c>
      <c r="E32" s="15">
        <f>IF(E10=0,0,E10/TrAvia_act!E8*1000)</f>
        <v>176.45780841686599</v>
      </c>
      <c r="F32" s="15">
        <f>IF(F10=0,0,F10/TrAvia_act!F8*1000)</f>
        <v>190.80617453867626</v>
      </c>
      <c r="G32" s="15">
        <f>IF(G10=0,0,G10/TrAvia_act!G8*1000)</f>
        <v>198.31252462511813</v>
      </c>
      <c r="H32" s="15">
        <f>IF(H10=0,0,H10/TrAvia_act!H8*1000)</f>
        <v>184.8257078085831</v>
      </c>
      <c r="I32" s="15">
        <f>IF(I10=0,0,I10/TrAvia_act!I8*1000)</f>
        <v>160.49264694452086</v>
      </c>
      <c r="J32" s="15">
        <f>IF(J10=0,0,J10/TrAvia_act!J8*1000)</f>
        <v>142.81162878279008</v>
      </c>
      <c r="K32" s="15">
        <f>IF(K10=0,0,K10/TrAvia_act!K8*1000)</f>
        <v>141.81841520003604</v>
      </c>
      <c r="L32" s="15">
        <f>IF(L10=0,0,L10/TrAvia_act!L8*1000)</f>
        <v>136.93505633101549</v>
      </c>
      <c r="M32" s="15">
        <f>IF(M10=0,0,M10/TrAvia_act!M8*1000)</f>
        <v>134.36800166791406</v>
      </c>
      <c r="N32" s="15">
        <f>IF(N10=0,0,N10/TrAvia_act!N8*1000)</f>
        <v>146.70182497261919</v>
      </c>
      <c r="O32" s="15">
        <f>IF(O10=0,0,O10/TrAvia_act!O8*1000)</f>
        <v>135.74710255861342</v>
      </c>
      <c r="P32" s="15">
        <f>IF(P10=0,0,P10/TrAvia_act!P8*1000)</f>
        <v>124.02362113307579</v>
      </c>
      <c r="Q32" s="15">
        <f>IF(Q10=0,0,Q10/TrAvia_act!Q8*1000)</f>
        <v>119.84267950988976</v>
      </c>
      <c r="R32" s="15">
        <f>IF(R10=0,0,R10/TrAvia_act!R8*1000)</f>
        <v>130.40589711756334</v>
      </c>
      <c r="S32" s="15">
        <f>IF(S10=0,0,S10/TrAvia_act!S8*1000)</f>
        <v>120.70348399166815</v>
      </c>
      <c r="T32" s="15">
        <f>IF(T10=0,0,T10/TrAvia_act!T8*1000)</f>
        <v>109.47305996033346</v>
      </c>
      <c r="U32" s="15">
        <f>IF(U10=0,0,U10/TrAvia_act!U8*1000)</f>
        <v>95.966694721581575</v>
      </c>
      <c r="V32" s="15">
        <f>IF(V10=0,0,V10/TrAvia_act!V8*1000)</f>
        <v>147.02330048415652</v>
      </c>
      <c r="W32" s="15">
        <f>IF(W10=0,0,W10/TrAvia_act!W8*1000)</f>
        <v>121.35950579849501</v>
      </c>
      <c r="X32" s="15">
        <f>IF(X10=0,0,X10/TrAvia_act!X8*1000)</f>
        <v>115.81120939042182</v>
      </c>
      <c r="Y32" s="15">
        <f>IF(Y10=0,0,Y10/TrAvia_act!Y8*1000)</f>
        <v>142.18903225307074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263.71907257222358</v>
      </c>
      <c r="C34" s="101">
        <f>IF(C12=0,0,C12/TrAvia_act!C10*1000)</f>
        <v>204.93689931792295</v>
      </c>
      <c r="D34" s="101">
        <f>IF(D12=0,0,D12/TrAvia_act!D10*1000)</f>
        <v>163.42423591897057</v>
      </c>
      <c r="E34" s="101">
        <f>IF(E12=0,0,E12/TrAvia_act!E10*1000)</f>
        <v>160.99312149407558</v>
      </c>
      <c r="F34" s="101">
        <f>IF(F12=0,0,F12/TrAvia_act!F10*1000)</f>
        <v>191.93651984527295</v>
      </c>
      <c r="G34" s="101">
        <f>IF(G12=0,0,G12/TrAvia_act!G10*1000)</f>
        <v>187.42264130341511</v>
      </c>
      <c r="H34" s="101">
        <f>IF(H12=0,0,H12/TrAvia_act!H10*1000)</f>
        <v>174.53165851691978</v>
      </c>
      <c r="I34" s="101">
        <f>IF(I12=0,0,I12/TrAvia_act!I10*1000)</f>
        <v>229.12360580858518</v>
      </c>
      <c r="J34" s="101">
        <f>IF(J12=0,0,J12/TrAvia_act!J10*1000)</f>
        <v>238.47986183421861</v>
      </c>
      <c r="K34" s="101">
        <f>IF(K12=0,0,K12/TrAvia_act!K10*1000)</f>
        <v>311.67679753949517</v>
      </c>
      <c r="L34" s="101">
        <f>IF(L12=0,0,L12/TrAvia_act!L10*1000)</f>
        <v>312.52737244394706</v>
      </c>
      <c r="M34" s="101">
        <f>IF(M12=0,0,M12/TrAvia_act!M10*1000)</f>
        <v>207.48175832569575</v>
      </c>
      <c r="N34" s="101">
        <f>IF(N12=0,0,N12/TrAvia_act!N10*1000)</f>
        <v>177.67932727782375</v>
      </c>
      <c r="O34" s="101">
        <f>IF(O12=0,0,O12/TrAvia_act!O10*1000)</f>
        <v>172.09792124205518</v>
      </c>
      <c r="P34" s="101">
        <f>IF(P12=0,0,P12/TrAvia_act!P10*1000)</f>
        <v>197.25565089925047</v>
      </c>
      <c r="Q34" s="101">
        <f>IF(Q12=0,0,Q12/TrAvia_act!Q10*1000)</f>
        <v>242.28330281317224</v>
      </c>
      <c r="R34" s="101">
        <f>IF(R12=0,0,R12/TrAvia_act!R10*1000)</f>
        <v>177.87134121094093</v>
      </c>
      <c r="S34" s="101">
        <f>IF(S12=0,0,S12/TrAvia_act!S10*1000)</f>
        <v>299.60954184872259</v>
      </c>
      <c r="T34" s="101">
        <f>IF(T12=0,0,T12/TrAvia_act!T10*1000)</f>
        <v>376.42908486561748</v>
      </c>
      <c r="U34" s="101">
        <f>IF(U12=0,0,U12/TrAvia_act!U10*1000)</f>
        <v>441.26089024452853</v>
      </c>
      <c r="V34" s="101">
        <f>IF(V12=0,0,V12/TrAvia_act!V10*1000)</f>
        <v>419.65168972373209</v>
      </c>
      <c r="W34" s="101">
        <f>IF(W12=0,0,W12/TrAvia_act!W10*1000)</f>
        <v>429.137140518303</v>
      </c>
      <c r="X34" s="101">
        <f>IF(X12=0,0,X12/TrAvia_act!X10*1000)</f>
        <v>342.86283891050749</v>
      </c>
      <c r="Y34" s="101">
        <f>IF(Y12=0,0,Y12/TrAvia_act!Y10*1000)</f>
        <v>213.09721638614076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154.89002352704239</v>
      </c>
      <c r="C35" s="88">
        <f>IF(C13=0,0,C13/TrAvia_act!C11*1000)</f>
        <v>156.18556347261506</v>
      </c>
      <c r="D35" s="88">
        <f>IF(D13=0,0,D13/TrAvia_act!D11*1000)</f>
        <v>167.10762352737791</v>
      </c>
      <c r="E35" s="88">
        <f>IF(E13=0,0,E13/TrAvia_act!E11*1000)</f>
        <v>176.71835016042041</v>
      </c>
      <c r="F35" s="88">
        <f>IF(F13=0,0,F13/TrAvia_act!F11*1000)</f>
        <v>190.79101879152512</v>
      </c>
      <c r="G35" s="88">
        <f>IF(G13=0,0,G13/TrAvia_act!G11*1000)</f>
        <v>198.49105937059952</v>
      </c>
      <c r="H35" s="88">
        <f>IF(H13=0,0,H13/TrAvia_act!H11*1000)</f>
        <v>184.91881663490352</v>
      </c>
      <c r="I35" s="88">
        <f>IF(I13=0,0,I13/TrAvia_act!I11*1000)</f>
        <v>159.79222076243622</v>
      </c>
      <c r="J35" s="88">
        <f>IF(J13=0,0,J13/TrAvia_act!J11*1000)</f>
        <v>141.62850762337132</v>
      </c>
      <c r="K35" s="88">
        <f>IF(K13=0,0,K13/TrAvia_act!K11*1000)</f>
        <v>139.95404338260198</v>
      </c>
      <c r="L35" s="88">
        <f>IF(L13=0,0,L13/TrAvia_act!L11*1000)</f>
        <v>134.93566823212274</v>
      </c>
      <c r="M35" s="88">
        <f>IF(M13=0,0,M13/TrAvia_act!M11*1000)</f>
        <v>133.72211860139853</v>
      </c>
      <c r="N35" s="88">
        <f>IF(N13=0,0,N13/TrAvia_act!N11*1000)</f>
        <v>146.34368705932505</v>
      </c>
      <c r="O35" s="88">
        <f>IF(O13=0,0,O13/TrAvia_act!O11*1000)</f>
        <v>135.31565443564003</v>
      </c>
      <c r="P35" s="88">
        <f>IF(P13=0,0,P13/TrAvia_act!P11*1000)</f>
        <v>123.13771414586131</v>
      </c>
      <c r="Q35" s="88">
        <f>IF(Q13=0,0,Q13/TrAvia_act!Q11*1000)</f>
        <v>118.74049864243555</v>
      </c>
      <c r="R35" s="88">
        <f>IF(R13=0,0,R13/TrAvia_act!R11*1000)</f>
        <v>130.0615609748192</v>
      </c>
      <c r="S35" s="88">
        <f>IF(S13=0,0,S13/TrAvia_act!S11*1000)</f>
        <v>119.30961594318224</v>
      </c>
      <c r="T35" s="88">
        <f>IF(T13=0,0,T13/TrAvia_act!T11*1000)</f>
        <v>107.52856415773785</v>
      </c>
      <c r="U35" s="88">
        <f>IF(U13=0,0,U13/TrAvia_act!U11*1000)</f>
        <v>93.603414603034196</v>
      </c>
      <c r="V35" s="88">
        <f>IF(V13=0,0,V13/TrAvia_act!V11*1000)</f>
        <v>145.5434036531004</v>
      </c>
      <c r="W35" s="88">
        <f>IF(W13=0,0,W13/TrAvia_act!W11*1000)</f>
        <v>119.97554838054704</v>
      </c>
      <c r="X35" s="88">
        <f>IF(X13=0,0,X13/TrAvia_act!X11*1000)</f>
        <v>114.67968340936341</v>
      </c>
      <c r="Y35" s="88">
        <f>IF(Y13=0,0,Y13/TrAvia_act!Y11*1000)</f>
        <v>141.70448899277491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15333.698355248069</v>
      </c>
      <c r="C37" s="62">
        <f>IF(C3=0,0,C3/TrAvia_act!C23*1000000)</f>
        <v>15927.093743651207</v>
      </c>
      <c r="D37" s="62">
        <f>IF(D3=0,0,D3/TrAvia_act!D23*1000000)</f>
        <v>16041.543019739171</v>
      </c>
      <c r="E37" s="62">
        <f>IF(E3=0,0,E3/TrAvia_act!E23*1000000)</f>
        <v>15724.363078855527</v>
      </c>
      <c r="F37" s="62">
        <f>IF(F3=0,0,F3/TrAvia_act!F23*1000000)</f>
        <v>16089.145782442765</v>
      </c>
      <c r="G37" s="62">
        <f>IF(G3=0,0,G3/TrAvia_act!G23*1000000)</f>
        <v>16007.904943603071</v>
      </c>
      <c r="H37" s="62">
        <f>IF(H3=0,0,H3/TrAvia_act!H23*1000000)</f>
        <v>14780.384464781309</v>
      </c>
      <c r="I37" s="62">
        <f>IF(I3=0,0,I3/TrAvia_act!I23*1000000)</f>
        <v>15442.449017713392</v>
      </c>
      <c r="J37" s="62">
        <f>IF(J3=0,0,J3/TrAvia_act!J23*1000000)</f>
        <v>14716.570685006185</v>
      </c>
      <c r="K37" s="62">
        <f>IF(K3=0,0,K3/TrAvia_act!K23*1000000)</f>
        <v>16401.311942779997</v>
      </c>
      <c r="L37" s="62">
        <f>IF(L3=0,0,L3/TrAvia_act!L23*1000000)</f>
        <v>16779.668952392058</v>
      </c>
      <c r="M37" s="62">
        <f>IF(M3=0,0,M3/TrAvia_act!M23*1000000)</f>
        <v>14905.901142679937</v>
      </c>
      <c r="N37" s="62">
        <f>IF(N3=0,0,N3/TrAvia_act!N23*1000000)</f>
        <v>13852.643063855412</v>
      </c>
      <c r="O37" s="62">
        <f>IF(O3=0,0,O3/TrAvia_act!O23*1000000)</f>
        <v>13463.399969119151</v>
      </c>
      <c r="P37" s="62">
        <f>IF(P3=0,0,P3/TrAvia_act!P23*1000000)</f>
        <v>14549.451485429398</v>
      </c>
      <c r="Q37" s="62">
        <f>IF(Q3=0,0,Q3/TrAvia_act!Q23*1000000)</f>
        <v>16127.015665617711</v>
      </c>
      <c r="R37" s="62">
        <f>IF(R3=0,0,R3/TrAvia_act!R23*1000000)</f>
        <v>17312.770995394625</v>
      </c>
      <c r="S37" s="62">
        <f>IF(S3=0,0,S3/TrAvia_act!S23*1000000)</f>
        <v>18000.855397613119</v>
      </c>
      <c r="T37" s="62">
        <f>IF(T3=0,0,T3/TrAvia_act!T23*1000000)</f>
        <v>18102.92999163326</v>
      </c>
      <c r="U37" s="62">
        <f>IF(U3=0,0,U3/TrAvia_act!U23*1000000)</f>
        <v>17483.089981658053</v>
      </c>
      <c r="V37" s="62">
        <f>IF(V3=0,0,V3/TrAvia_act!V23*1000000)</f>
        <v>26400.628742616922</v>
      </c>
      <c r="W37" s="62">
        <f>IF(W3=0,0,W3/TrAvia_act!W23*1000000)</f>
        <v>26225.087810518744</v>
      </c>
      <c r="X37" s="62">
        <f>IF(X3=0,0,X3/TrAvia_act!X23*1000000)</f>
        <v>19467.51449288629</v>
      </c>
      <c r="Y37" s="62">
        <f>IF(Y3=0,0,Y3/TrAvia_act!Y23*1000000)</f>
        <v>17771.884191011522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3053.1313389041798</v>
      </c>
      <c r="C38" s="14">
        <f>IF(C6=0,0,C6/TrAvia_act!C24*1000000)</f>
        <v>3226.1060448347407</v>
      </c>
      <c r="D38" s="14">
        <f>IF(D6=0,0,D6/TrAvia_act!D24*1000000)</f>
        <v>3257.847035482499</v>
      </c>
      <c r="E38" s="14">
        <f>IF(E6=0,0,E6/TrAvia_act!E24*1000000)</f>
        <v>3129.3878766743569</v>
      </c>
      <c r="F38" s="14">
        <f>IF(F6=0,0,F6/TrAvia_act!F24*1000000)</f>
        <v>3278.6310044998363</v>
      </c>
      <c r="G38" s="14">
        <f>IF(G6=0,0,G6/TrAvia_act!G24*1000000)</f>
        <v>3158.1471636106057</v>
      </c>
      <c r="H38" s="14">
        <f>IF(H6=0,0,H6/TrAvia_act!H24*1000000)</f>
        <v>2938.9008530990668</v>
      </c>
      <c r="I38" s="14">
        <f>IF(I6=0,0,I6/TrAvia_act!I24*1000000)</f>
        <v>3915.336425208282</v>
      </c>
      <c r="J38" s="14">
        <f>IF(J6=0,0,J6/TrAvia_act!J24*1000000)</f>
        <v>4075.734124091684</v>
      </c>
      <c r="K38" s="14">
        <f>IF(K6=0,0,K6/TrAvia_act!K24*1000000)</f>
        <v>5815.7250092483509</v>
      </c>
      <c r="L38" s="14">
        <f>IF(L6=0,0,L6/TrAvia_act!L24*1000000)</f>
        <v>6376.0275298555307</v>
      </c>
      <c r="M38" s="14">
        <f>IF(M6=0,0,M6/TrAvia_act!M24*1000000)</f>
        <v>4462.995592129083</v>
      </c>
      <c r="N38" s="14">
        <f>IF(N6=0,0,N6/TrAvia_act!N24*1000000)</f>
        <v>3814.9256498698219</v>
      </c>
      <c r="O38" s="14">
        <f>IF(O6=0,0,O6/TrAvia_act!O24*1000000)</f>
        <v>3674.7273581645227</v>
      </c>
      <c r="P38" s="14">
        <f>IF(P6=0,0,P6/TrAvia_act!P24*1000000)</f>
        <v>4907.9638818846997</v>
      </c>
      <c r="Q38" s="14">
        <f>IF(Q6=0,0,Q6/TrAvia_act!Q24*1000000)</f>
        <v>5824.6990333248405</v>
      </c>
      <c r="R38" s="14">
        <f>IF(R6=0,0,R6/TrAvia_act!R24*1000000)</f>
        <v>4969.3576807746376</v>
      </c>
      <c r="S38" s="14">
        <f>IF(S6=0,0,S6/TrAvia_act!S24*1000000)</f>
        <v>7189.5322145704977</v>
      </c>
      <c r="T38" s="14">
        <f>IF(T6=0,0,T6/TrAvia_act!T24*1000000)</f>
        <v>9720.7606034420151</v>
      </c>
      <c r="U38" s="14">
        <f>IF(U6=0,0,U6/TrAvia_act!U24*1000000)</f>
        <v>10433.556705694129</v>
      </c>
      <c r="V38" s="14">
        <f>IF(V6=0,0,V6/TrAvia_act!V24*1000000)</f>
        <v>7438.183595993718</v>
      </c>
      <c r="W38" s="14">
        <f>IF(W6=0,0,W6/TrAvia_act!W24*1000000)</f>
        <v>10825.924669637909</v>
      </c>
      <c r="X38" s="14">
        <f>IF(X6=0,0,X6/TrAvia_act!X24*1000000)</f>
        <v>8279.6208556037473</v>
      </c>
      <c r="Y38" s="14">
        <f>IF(Y6=0,0,Y6/TrAvia_act!Y24*1000000)</f>
        <v>5514.1739210200049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2441.4144914449489</v>
      </c>
      <c r="C40" s="87">
        <f>IF(C8=0,0,C8/TrAvia_act!C26*1000000)</f>
        <v>2579.5158911655785</v>
      </c>
      <c r="D40" s="87">
        <f>IF(D8=0,0,D8/TrAvia_act!D26*1000000)</f>
        <v>2605.5465168500036</v>
      </c>
      <c r="E40" s="87">
        <f>IF(E8=0,0,E8/TrAvia_act!E26*1000000)</f>
        <v>2503.4994326601222</v>
      </c>
      <c r="F40" s="87">
        <f>IF(F8=0,0,F8/TrAvia_act!F26*1000000)</f>
        <v>2623.0580438803095</v>
      </c>
      <c r="G40" s="87">
        <f>IF(G8=0,0,G8/TrAvia_act!G26*1000000)</f>
        <v>2543.0427876716299</v>
      </c>
      <c r="H40" s="87">
        <f>IF(H8=0,0,H8/TrAvia_act!H26*1000000)</f>
        <v>2375.8607994498284</v>
      </c>
      <c r="I40" s="87">
        <f>IF(I8=0,0,I8/TrAvia_act!I26*1000000)</f>
        <v>3227.9839054458703</v>
      </c>
      <c r="J40" s="87">
        <f>IF(J8=0,0,J8/TrAvia_act!J26*1000000)</f>
        <v>3321.8232663343183</v>
      </c>
      <c r="K40" s="87">
        <f>IF(K8=0,0,K8/TrAvia_act!K26*1000000)</f>
        <v>4703.721733029045</v>
      </c>
      <c r="L40" s="87">
        <f>IF(L8=0,0,L8/TrAvia_act!L26*1000000)</f>
        <v>5163.0711403815731</v>
      </c>
      <c r="M40" s="87">
        <f>IF(M8=0,0,M8/TrAvia_act!M26*1000000)</f>
        <v>3578.7329024546229</v>
      </c>
      <c r="N40" s="87">
        <f>IF(N8=0,0,N8/TrAvia_act!N26*1000000)</f>
        <v>3072.0640236364052</v>
      </c>
      <c r="O40" s="87">
        <f>IF(O8=0,0,O8/TrAvia_act!O26*1000000)</f>
        <v>2970.553447965845</v>
      </c>
      <c r="P40" s="87">
        <f>IF(P8=0,0,P8/TrAvia_act!P26*1000000)</f>
        <v>3987.364117390463</v>
      </c>
      <c r="Q40" s="87">
        <f>IF(Q8=0,0,Q8/TrAvia_act!Q26*1000000)</f>
        <v>4709.8455738389603</v>
      </c>
      <c r="R40" s="87">
        <f>IF(R8=0,0,R8/TrAvia_act!R26*1000000)</f>
        <v>3988.294475755361</v>
      </c>
      <c r="S40" s="87">
        <f>IF(S8=0,0,S8/TrAvia_act!S26*1000000)</f>
        <v>5892.5094357823837</v>
      </c>
      <c r="T40" s="87">
        <f>IF(T8=0,0,T8/TrAvia_act!T26*1000000)</f>
        <v>8054.2155657986232</v>
      </c>
      <c r="U40" s="87">
        <f>IF(U8=0,0,U8/TrAvia_act!U26*1000000)</f>
        <v>8651.7939956129958</v>
      </c>
      <c r="V40" s="87">
        <f>IF(V8=0,0,V8/TrAvia_act!V26*1000000)</f>
        <v>5672.9090794004651</v>
      </c>
      <c r="W40" s="87">
        <f>IF(W8=0,0,W8/TrAvia_act!W26*1000000)</f>
        <v>8759.6966116130607</v>
      </c>
      <c r="X40" s="87">
        <f>IF(X8=0,0,X8/TrAvia_act!X26*1000000)</f>
        <v>6984.5198380278807</v>
      </c>
      <c r="Y40" s="87">
        <f>IF(Y8=0,0,Y8/TrAvia_act!Y26*1000000)</f>
        <v>4649.6059659150233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23387.783316540877</v>
      </c>
      <c r="C41" s="87">
        <f>IF(C9=0,0,C9/TrAvia_act!C27*1000000)</f>
        <v>24713.535002619094</v>
      </c>
      <c r="D41" s="87">
        <f>IF(D9=0,0,D9/TrAvia_act!D27*1000000)</f>
        <v>24965.741898185512</v>
      </c>
      <c r="E41" s="87">
        <f>IF(E9=0,0,E9/TrAvia_act!E27*1000000)</f>
        <v>23989.186886235562</v>
      </c>
      <c r="F41" s="87">
        <f>IF(F9=0,0,F9/TrAvia_act!F27*1000000)</f>
        <v>25137.501350009516</v>
      </c>
      <c r="G41" s="87">
        <f>IF(G9=0,0,G9/TrAvia_act!G27*1000000)</f>
        <v>21737.228385424518</v>
      </c>
      <c r="H41" s="87">
        <f>IF(H9=0,0,H9/TrAvia_act!H27*1000000)</f>
        <v>19079.661261798548</v>
      </c>
      <c r="I41" s="87">
        <f>IF(I9=0,0,I9/TrAvia_act!I27*1000000)</f>
        <v>17754.638753801966</v>
      </c>
      <c r="J41" s="87">
        <f>IF(J9=0,0,J9/TrAvia_act!J27*1000000)</f>
        <v>18266.011824547</v>
      </c>
      <c r="K41" s="87">
        <f>IF(K9=0,0,K9/TrAvia_act!K27*1000000)</f>
        <v>24944.002450539716</v>
      </c>
      <c r="L41" s="87">
        <f>IF(L9=0,0,L9/TrAvia_act!L27*1000000)</f>
        <v>29559.566584387794</v>
      </c>
      <c r="M41" s="87">
        <f>IF(M9=0,0,M9/TrAvia_act!M27*1000000)</f>
        <v>24181.844030947821</v>
      </c>
      <c r="N41" s="87">
        <f>IF(N9=0,0,N9/TrAvia_act!N27*1000000)</f>
        <v>20008.63834633959</v>
      </c>
      <c r="O41" s="87">
        <f>IF(O9=0,0,O9/TrAvia_act!O27*1000000)</f>
        <v>18703.766598758582</v>
      </c>
      <c r="P41" s="87">
        <f>IF(P9=0,0,P9/TrAvia_act!P27*1000000)</f>
        <v>22514.654406461377</v>
      </c>
      <c r="Q41" s="87">
        <f>IF(Q9=0,0,Q9/TrAvia_act!Q27*1000000)</f>
        <v>30311.787802032497</v>
      </c>
      <c r="R41" s="87">
        <f>IF(R9=0,0,R9/TrAvia_act!R27*1000000)</f>
        <v>47537.133378793056</v>
      </c>
      <c r="S41" s="87">
        <f>IF(S9=0,0,S9/TrAvia_act!S27*1000000)</f>
        <v>46716.425634036634</v>
      </c>
      <c r="T41" s="87">
        <f>IF(T9=0,0,T9/TrAvia_act!T27*1000000)</f>
        <v>44013.283113864651</v>
      </c>
      <c r="U41" s="87">
        <f>IF(U9=0,0,U9/TrAvia_act!U27*1000000)</f>
        <v>41836.384536193822</v>
      </c>
      <c r="V41" s="87">
        <f>IF(V9=0,0,V9/TrAvia_act!V27*1000000)</f>
        <v>53132.46552062151</v>
      </c>
      <c r="W41" s="87">
        <f>IF(W9=0,0,W9/TrAvia_act!W27*1000000)</f>
        <v>43050.572812681792</v>
      </c>
      <c r="X41" s="87">
        <f>IF(X9=0,0,X9/TrAvia_act!X27*1000000)</f>
        <v>30591.387483961509</v>
      </c>
      <c r="Y41" s="87">
        <f>IF(Y9=0,0,Y9/TrAvia_act!Y27*1000000)</f>
        <v>18057.520874843325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45434.55707698426</v>
      </c>
      <c r="C42" s="15">
        <f>IF(C10=0,0,C10/TrAvia_act!C28*1000000)</f>
        <v>51783.59332011341</v>
      </c>
      <c r="D42" s="15">
        <f>IF(D10=0,0,D10/TrAvia_act!D28*1000000)</f>
        <v>53278.592691410347</v>
      </c>
      <c r="E42" s="15">
        <f>IF(E10=0,0,E10/TrAvia_act!E28*1000000)</f>
        <v>49849.8997621741</v>
      </c>
      <c r="F42" s="15">
        <f>IF(F10=0,0,F10/TrAvia_act!F28*1000000)</f>
        <v>54130.980165736197</v>
      </c>
      <c r="G42" s="15">
        <f>IF(G10=0,0,G10/TrAvia_act!G28*1000000)</f>
        <v>50181.79403950023</v>
      </c>
      <c r="H42" s="15">
        <f>IF(H10=0,0,H10/TrAvia_act!H28*1000000)</f>
        <v>46507.043320235905</v>
      </c>
      <c r="I42" s="15">
        <f>IF(I10=0,0,I10/TrAvia_act!I28*1000000)</f>
        <v>40055.915730463828</v>
      </c>
      <c r="J42" s="15">
        <f>IF(J10=0,0,J10/TrAvia_act!J28*1000000)</f>
        <v>35247.076699300371</v>
      </c>
      <c r="K42" s="15">
        <f>IF(K10=0,0,K10/TrAvia_act!K28*1000000)</f>
        <v>40424.218073330441</v>
      </c>
      <c r="L42" s="15">
        <f>IF(L10=0,0,L10/TrAvia_act!L28*1000000)</f>
        <v>40070.816269201423</v>
      </c>
      <c r="M42" s="15">
        <f>IF(M10=0,0,M10/TrAvia_act!M28*1000000)</f>
        <v>42679.736367400321</v>
      </c>
      <c r="N42" s="15">
        <f>IF(N10=0,0,N10/TrAvia_act!N28*1000000)</f>
        <v>44279.097409970193</v>
      </c>
      <c r="O42" s="15">
        <f>IF(O10=0,0,O10/TrAvia_act!O28*1000000)</f>
        <v>40906.547045255778</v>
      </c>
      <c r="P42" s="15">
        <f>IF(P10=0,0,P10/TrAvia_act!P28*1000000)</f>
        <v>44170.43157040012</v>
      </c>
      <c r="Q42" s="15">
        <f>IF(Q10=0,0,Q10/TrAvia_act!Q28*1000000)</f>
        <v>47060.120950279292</v>
      </c>
      <c r="R42" s="15">
        <f>IF(R10=0,0,R10/TrAvia_act!R28*1000000)</f>
        <v>59415.875388706678</v>
      </c>
      <c r="S42" s="15">
        <f>IF(S10=0,0,S10/TrAvia_act!S28*1000000)</f>
        <v>54731.632878463031</v>
      </c>
      <c r="T42" s="15">
        <f>IF(T10=0,0,T10/TrAvia_act!T28*1000000)</f>
        <v>51037.144724831713</v>
      </c>
      <c r="U42" s="15">
        <f>IF(U10=0,0,U10/TrAvia_act!U28*1000000)</f>
        <v>48723.946539012803</v>
      </c>
      <c r="V42" s="15">
        <f>IF(V10=0,0,V10/TrAvia_act!V28*1000000)</f>
        <v>47874.474966331516</v>
      </c>
      <c r="W42" s="15">
        <f>IF(W10=0,0,W10/TrAvia_act!W28*1000000)</f>
        <v>44467.82632238447</v>
      </c>
      <c r="X42" s="15">
        <f>IF(X10=0,0,X10/TrAvia_act!X28*1000000)</f>
        <v>49573.864304035218</v>
      </c>
      <c r="Y42" s="15">
        <f>IF(Y10=0,0,Y10/TrAvia_act!Y28*1000000)</f>
        <v>62466.21525558205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7160.6134004531941</v>
      </c>
      <c r="C44" s="101">
        <f>IF(C12=0,0,C12/TrAvia_act!C30*1000000)</f>
        <v>4830.0089817296648</v>
      </c>
      <c r="D44" s="101">
        <f>IF(D12=0,0,D12/TrAvia_act!D30*1000000)</f>
        <v>3538.3235136247722</v>
      </c>
      <c r="E44" s="101">
        <f>IF(E12=0,0,E12/TrAvia_act!E30*1000000)</f>
        <v>4362.1350077785382</v>
      </c>
      <c r="F44" s="101">
        <f>IF(F12=0,0,F12/TrAvia_act!F30*1000000)</f>
        <v>5103.4417572571338</v>
      </c>
      <c r="G44" s="101">
        <f>IF(G12=0,0,G12/TrAvia_act!G30*1000000)</f>
        <v>4921.4969233144948</v>
      </c>
      <c r="H44" s="101">
        <f>IF(H12=0,0,H12/TrAvia_act!H30*1000000)</f>
        <v>3451.2673093727044</v>
      </c>
      <c r="I44" s="101">
        <f>IF(I12=0,0,I12/TrAvia_act!I30*1000000)</f>
        <v>4442.4823855952973</v>
      </c>
      <c r="J44" s="101">
        <f>IF(J12=0,0,J12/TrAvia_act!J30*1000000)</f>
        <v>4332.3743769130006</v>
      </c>
      <c r="K44" s="101">
        <f>IF(K12=0,0,K12/TrAvia_act!K30*1000000)</f>
        <v>5032.0233979242093</v>
      </c>
      <c r="L44" s="101">
        <f>IF(L12=0,0,L12/TrAvia_act!L30*1000000)</f>
        <v>4604.2603379872126</v>
      </c>
      <c r="M44" s="101">
        <f>IF(M12=0,0,M12/TrAvia_act!M30*1000000)</f>
        <v>3132.8762473976599</v>
      </c>
      <c r="N44" s="101">
        <f>IF(N12=0,0,N12/TrAvia_act!N30*1000000)</f>
        <v>2790.0101462406415</v>
      </c>
      <c r="O44" s="101">
        <f>IF(O12=0,0,O12/TrAvia_act!O30*1000000)</f>
        <v>2784.1340655001582</v>
      </c>
      <c r="P44" s="101">
        <f>IF(P12=0,0,P12/TrAvia_act!P30*1000000)</f>
        <v>3908.6883006007793</v>
      </c>
      <c r="Q44" s="101">
        <f>IF(Q12=0,0,Q12/TrAvia_act!Q30*1000000)</f>
        <v>4814.3387936320041</v>
      </c>
      <c r="R44" s="101">
        <f>IF(R12=0,0,R12/TrAvia_act!R30*1000000)</f>
        <v>4051.6623681500246</v>
      </c>
      <c r="S44" s="101">
        <f>IF(S12=0,0,S12/TrAvia_act!S30*1000000)</f>
        <v>6659.6573002814148</v>
      </c>
      <c r="T44" s="101">
        <f>IF(T12=0,0,T12/TrAvia_act!T30*1000000)</f>
        <v>8663.0072265277231</v>
      </c>
      <c r="U44" s="101">
        <f>IF(U12=0,0,U12/TrAvia_act!U30*1000000)</f>
        <v>10596.870654379582</v>
      </c>
      <c r="V44" s="101">
        <f>IF(V12=0,0,V12/TrAvia_act!V30*1000000)</f>
        <v>7071.7336179405183</v>
      </c>
      <c r="W44" s="101">
        <f>IF(W12=0,0,W12/TrAvia_act!W30*1000000)</f>
        <v>6593.6775111920697</v>
      </c>
      <c r="X44" s="101">
        <f>IF(X12=0,0,X12/TrAvia_act!X30*1000000)</f>
        <v>5726.3071935743938</v>
      </c>
      <c r="Y44" s="101">
        <f>IF(Y12=0,0,Y12/TrAvia_act!Y30*1000000)</f>
        <v>4136.2734735097265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57860.836365453812</v>
      </c>
      <c r="C45" s="88">
        <f>IF(C13=0,0,C13/TrAvia_act!C31*1000000)</f>
        <v>61140.715451521108</v>
      </c>
      <c r="D45" s="88">
        <f>IF(D13=0,0,D13/TrAvia_act!D31*1000000)</f>
        <v>61764.669492701498</v>
      </c>
      <c r="E45" s="88">
        <f>IF(E13=0,0,E13/TrAvia_act!E31*1000000)</f>
        <v>59348.694922407922</v>
      </c>
      <c r="F45" s="88">
        <f>IF(F13=0,0,F13/TrAvia_act!F31*1000000)</f>
        <v>62189.59841399781</v>
      </c>
      <c r="G45" s="88">
        <f>IF(G13=0,0,G13/TrAvia_act!G31*1000000)</f>
        <v>58511.776641854456</v>
      </c>
      <c r="H45" s="88">
        <f>IF(H13=0,0,H13/TrAvia_act!H31*1000000)</f>
        <v>52050.42556943823</v>
      </c>
      <c r="I45" s="88">
        <f>IF(I13=0,0,I13/TrAvia_act!I31*1000000)</f>
        <v>45379.502930348346</v>
      </c>
      <c r="J45" s="88">
        <f>IF(J13=0,0,J13/TrAvia_act!J31*1000000)</f>
        <v>41398.676076901436</v>
      </c>
      <c r="K45" s="88">
        <f>IF(K13=0,0,K13/TrAvia_act!K31*1000000)</f>
        <v>48816.873015303943</v>
      </c>
      <c r="L45" s="88">
        <f>IF(L13=0,0,L13/TrAvia_act!L31*1000000)</f>
        <v>50286.382143852185</v>
      </c>
      <c r="M45" s="88">
        <f>IF(M13=0,0,M13/TrAvia_act!M31*1000000)</f>
        <v>51609.249544363789</v>
      </c>
      <c r="N45" s="88">
        <f>IF(N13=0,0,N13/TrAvia_act!N31*1000000)</f>
        <v>55959.871208835597</v>
      </c>
      <c r="O45" s="88">
        <f>IF(O13=0,0,O13/TrAvia_act!O31*1000000)</f>
        <v>51564.785205240041</v>
      </c>
      <c r="P45" s="88">
        <f>IF(P13=0,0,P13/TrAvia_act!P31*1000000)</f>
        <v>55186.284004070127</v>
      </c>
      <c r="Q45" s="88">
        <f>IF(Q13=0,0,Q13/TrAvia_act!Q31*1000000)</f>
        <v>56102.454459835644</v>
      </c>
      <c r="R45" s="88">
        <f>IF(R13=0,0,R13/TrAvia_act!R31*1000000)</f>
        <v>68734.026490901553</v>
      </c>
      <c r="S45" s="88">
        <f>IF(S13=0,0,S13/TrAvia_act!S31*1000000)</f>
        <v>63732.343199484276</v>
      </c>
      <c r="T45" s="88">
        <f>IF(T13=0,0,T13/TrAvia_act!T31*1000000)</f>
        <v>58309.940672097233</v>
      </c>
      <c r="U45" s="88">
        <f>IF(U13=0,0,U13/TrAvia_act!U31*1000000)</f>
        <v>55123.044024081421</v>
      </c>
      <c r="V45" s="88">
        <f>IF(V13=0,0,V13/TrAvia_act!V31*1000000)</f>
        <v>52627.053670013251</v>
      </c>
      <c r="W45" s="88">
        <f>IF(W13=0,0,W13/TrAvia_act!W31*1000000)</f>
        <v>48994.18247980559</v>
      </c>
      <c r="X45" s="88">
        <f>IF(X13=0,0,X13/TrAvia_act!X31*1000000)</f>
        <v>55958.077540489641</v>
      </c>
      <c r="Y45" s="88">
        <f>IF(Y13=0,0,Y13/TrAvia_act!Y31*1000000)</f>
        <v>73052.618921595495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0.14141708935296654</v>
      </c>
      <c r="C48" s="16">
        <f t="shared" si="36"/>
        <v>0.14957320090149218</v>
      </c>
      <c r="D48" s="16">
        <f t="shared" ref="D48:V48" si="37">IF(D6=0,0,D6/D$3)</f>
        <v>0.15118532975948021</v>
      </c>
      <c r="E48" s="16">
        <f t="shared" si="37"/>
        <v>0.1453644569771583</v>
      </c>
      <c r="F48" s="16">
        <f t="shared" si="37"/>
        <v>0.15244387685018582</v>
      </c>
      <c r="G48" s="16">
        <f t="shared" si="37"/>
        <v>0.14337583657671846</v>
      </c>
      <c r="H48" s="16">
        <f t="shared" si="37"/>
        <v>0.14479531119196939</v>
      </c>
      <c r="I48" s="16">
        <f t="shared" si="37"/>
        <v>0.17267544566750637</v>
      </c>
      <c r="J48" s="16">
        <f t="shared" si="37"/>
        <v>0.18240778524022683</v>
      </c>
      <c r="K48" s="16">
        <f t="shared" si="37"/>
        <v>0.24613202753258295</v>
      </c>
      <c r="L48" s="16">
        <f t="shared" si="37"/>
        <v>0.26266060469552682</v>
      </c>
      <c r="M48" s="16">
        <f t="shared" si="37"/>
        <v>0.21759576039901474</v>
      </c>
      <c r="N48" s="16">
        <f t="shared" si="37"/>
        <v>0.20707807774967268</v>
      </c>
      <c r="O48" s="16">
        <f t="shared" si="37"/>
        <v>0.20118241873409848</v>
      </c>
      <c r="P48" s="16">
        <f t="shared" si="37"/>
        <v>0.25449342672726127</v>
      </c>
      <c r="Q48" s="16">
        <f t="shared" si="37"/>
        <v>0.27093964616597421</v>
      </c>
      <c r="R48" s="16">
        <f t="shared" si="37"/>
        <v>0.22196151646842668</v>
      </c>
      <c r="S48" s="16">
        <f t="shared" si="37"/>
        <v>0.30857393923569443</v>
      </c>
      <c r="T48" s="16">
        <f t="shared" si="37"/>
        <v>0.42803214171889142</v>
      </c>
      <c r="U48" s="16">
        <f t="shared" si="37"/>
        <v>0.48690847389453962</v>
      </c>
      <c r="V48" s="16">
        <f t="shared" si="37"/>
        <v>0.14962051504298046</v>
      </c>
      <c r="W48" s="16">
        <f t="shared" ref="W48:Y48" si="38">IF(W6=0,0,W6/W$3)</f>
        <v>0.22385023052219732</v>
      </c>
      <c r="X48" s="16">
        <f t="shared" si="38"/>
        <v>0.31007627117355391</v>
      </c>
      <c r="Y48" s="16">
        <f t="shared" si="38"/>
        <v>0.24349504720566015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0.10978068162042495</v>
      </c>
      <c r="C50" s="103">
        <f t="shared" si="42"/>
        <v>0.11610141953920818</v>
      </c>
      <c r="D50" s="103">
        <f t="shared" ref="D50:V50" si="43">IF(D8=0,0,D8/D$3)</f>
        <v>0.11738697435248677</v>
      </c>
      <c r="E50" s="103">
        <f t="shared" si="43"/>
        <v>0.11290344599830321</v>
      </c>
      <c r="F50" s="103">
        <f t="shared" si="43"/>
        <v>0.11841094453934367</v>
      </c>
      <c r="G50" s="103">
        <f t="shared" si="43"/>
        <v>0.11175110145589728</v>
      </c>
      <c r="H50" s="103">
        <f t="shared" si="43"/>
        <v>0.11310954442281024</v>
      </c>
      <c r="I50" s="103">
        <f t="shared" si="43"/>
        <v>0.13562552756105711</v>
      </c>
      <c r="J50" s="103">
        <f t="shared" si="43"/>
        <v>0.14116681076823445</v>
      </c>
      <c r="K50" s="103">
        <f t="shared" si="43"/>
        <v>0.18813310283036097</v>
      </c>
      <c r="L50" s="103">
        <f t="shared" si="43"/>
        <v>0.20211807544212584</v>
      </c>
      <c r="M50" s="103">
        <f t="shared" si="43"/>
        <v>0.16699443609362419</v>
      </c>
      <c r="N50" s="103">
        <f t="shared" si="43"/>
        <v>0.15944069053944895</v>
      </c>
      <c r="O50" s="103">
        <f t="shared" si="43"/>
        <v>0.15535171976674075</v>
      </c>
      <c r="P50" s="103">
        <f t="shared" si="43"/>
        <v>0.19648388297044092</v>
      </c>
      <c r="Q50" s="103">
        <f t="shared" si="43"/>
        <v>0.20954146669994334</v>
      </c>
      <c r="R50" s="103">
        <f t="shared" si="43"/>
        <v>0.17412816373645348</v>
      </c>
      <c r="S50" s="103">
        <f t="shared" si="43"/>
        <v>0.24487075271055228</v>
      </c>
      <c r="T50" s="103">
        <f t="shared" si="43"/>
        <v>0.33821307604241685</v>
      </c>
      <c r="U50" s="103">
        <f t="shared" si="43"/>
        <v>0.38207921864734984</v>
      </c>
      <c r="V50" s="103">
        <f t="shared" si="43"/>
        <v>0.10986725061747249</v>
      </c>
      <c r="W50" s="103">
        <f t="shared" ref="W50:Y50" si="44">IF(W8=0,0,W8/W$3)</f>
        <v>0.17021240640602237</v>
      </c>
      <c r="X50" s="103">
        <f t="shared" si="44"/>
        <v>0.24722377395855144</v>
      </c>
      <c r="Y50" s="103">
        <f t="shared" si="44"/>
        <v>0.19207817110823946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3.1636407732541602E-2</v>
      </c>
      <c r="C51" s="103">
        <f t="shared" si="45"/>
        <v>3.3471781362284007E-2</v>
      </c>
      <c r="D51" s="103">
        <f t="shared" ref="D51:V51" si="46">IF(D9=0,0,D9/D$3)</f>
        <v>3.3798355406993441E-2</v>
      </c>
      <c r="E51" s="103">
        <f t="shared" si="46"/>
        <v>3.24610109788551E-2</v>
      </c>
      <c r="F51" s="103">
        <f t="shared" si="46"/>
        <v>3.4032932310842159E-2</v>
      </c>
      <c r="G51" s="103">
        <f t="shared" si="46"/>
        <v>3.1624735120821167E-2</v>
      </c>
      <c r="H51" s="103">
        <f t="shared" si="46"/>
        <v>3.1685766769159157E-2</v>
      </c>
      <c r="I51" s="103">
        <f t="shared" si="46"/>
        <v>3.7049918106449253E-2</v>
      </c>
      <c r="J51" s="103">
        <f t="shared" si="46"/>
        <v>4.1240974471992341E-2</v>
      </c>
      <c r="K51" s="103">
        <f t="shared" si="46"/>
        <v>5.7998924702221982E-2</v>
      </c>
      <c r="L51" s="103">
        <f t="shared" si="46"/>
        <v>6.0542529253400972E-2</v>
      </c>
      <c r="M51" s="103">
        <f t="shared" si="46"/>
        <v>5.0601324305390556E-2</v>
      </c>
      <c r="N51" s="103">
        <f t="shared" si="46"/>
        <v>4.7637387210223738E-2</v>
      </c>
      <c r="O51" s="103">
        <f t="shared" si="46"/>
        <v>4.5830698967357732E-2</v>
      </c>
      <c r="P51" s="103">
        <f t="shared" si="46"/>
        <v>5.8009543756820325E-2</v>
      </c>
      <c r="Q51" s="103">
        <f t="shared" si="46"/>
        <v>6.1398179466030871E-2</v>
      </c>
      <c r="R51" s="103">
        <f t="shared" si="46"/>
        <v>4.7833352731973193E-2</v>
      </c>
      <c r="S51" s="103">
        <f t="shared" si="46"/>
        <v>6.3703186525142133E-2</v>
      </c>
      <c r="T51" s="103">
        <f t="shared" si="46"/>
        <v>8.981906567647456E-2</v>
      </c>
      <c r="U51" s="103">
        <f t="shared" si="46"/>
        <v>0.10482925524718979</v>
      </c>
      <c r="V51" s="103">
        <f t="shared" si="46"/>
        <v>3.9753264425507966E-2</v>
      </c>
      <c r="W51" s="103">
        <f t="shared" ref="W51:Y51" si="47">IF(W9=0,0,W9/W$3)</f>
        <v>5.3637824116174959E-2</v>
      </c>
      <c r="X51" s="103">
        <f t="shared" si="47"/>
        <v>6.2852497215002454E-2</v>
      </c>
      <c r="Y51" s="103">
        <f t="shared" si="47"/>
        <v>5.1416876097420669E-2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0.85858291064703351</v>
      </c>
      <c r="C52" s="17">
        <f t="shared" si="48"/>
        <v>0.85042679909850782</v>
      </c>
      <c r="D52" s="17">
        <f t="shared" ref="D52:V52" si="49">IF(D10=0,0,D10/D$3)</f>
        <v>0.84881467024051971</v>
      </c>
      <c r="E52" s="17">
        <f t="shared" si="49"/>
        <v>0.85463554302284162</v>
      </c>
      <c r="F52" s="17">
        <f t="shared" si="49"/>
        <v>0.8475561231498141</v>
      </c>
      <c r="G52" s="17">
        <f t="shared" si="49"/>
        <v>0.85662416342328151</v>
      </c>
      <c r="H52" s="17">
        <f t="shared" si="49"/>
        <v>0.85520468880803058</v>
      </c>
      <c r="I52" s="17">
        <f t="shared" si="49"/>
        <v>0.82732455433249352</v>
      </c>
      <c r="J52" s="17">
        <f t="shared" si="49"/>
        <v>0.81759221475977317</v>
      </c>
      <c r="K52" s="17">
        <f t="shared" si="49"/>
        <v>0.7538679724674171</v>
      </c>
      <c r="L52" s="17">
        <f t="shared" si="49"/>
        <v>0.73733939530447312</v>
      </c>
      <c r="M52" s="17">
        <f t="shared" si="49"/>
        <v>0.78240423960098537</v>
      </c>
      <c r="N52" s="17">
        <f t="shared" si="49"/>
        <v>0.7929219222503272</v>
      </c>
      <c r="O52" s="17">
        <f t="shared" si="49"/>
        <v>0.79881758126590152</v>
      </c>
      <c r="P52" s="17">
        <f t="shared" si="49"/>
        <v>0.74550657327273873</v>
      </c>
      <c r="Q52" s="17">
        <f t="shared" si="49"/>
        <v>0.72906035383402568</v>
      </c>
      <c r="R52" s="17">
        <f t="shared" si="49"/>
        <v>0.77803848353157334</v>
      </c>
      <c r="S52" s="17">
        <f t="shared" si="49"/>
        <v>0.69142606076430546</v>
      </c>
      <c r="T52" s="17">
        <f t="shared" si="49"/>
        <v>0.57196785828110852</v>
      </c>
      <c r="U52" s="17">
        <f t="shared" si="49"/>
        <v>0.51309152610546038</v>
      </c>
      <c r="V52" s="17">
        <f t="shared" si="49"/>
        <v>0.85037948495701943</v>
      </c>
      <c r="W52" s="17">
        <f t="shared" ref="W52:Y52" si="50">IF(W10=0,0,W10/W$3)</f>
        <v>0.77614976947780268</v>
      </c>
      <c r="X52" s="17">
        <f t="shared" si="50"/>
        <v>0.68992372882644615</v>
      </c>
      <c r="Y52" s="17">
        <f t="shared" si="50"/>
        <v>0.75650495279433982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3.3164802046484539E-2</v>
      </c>
      <c r="C54" s="104">
        <f t="shared" si="54"/>
        <v>1.3180868112678396E-2</v>
      </c>
      <c r="D54" s="104">
        <f t="shared" ref="D54:V54" si="55">IF(D12=0,0,D12/D$3)</f>
        <v>8.2157098289435647E-3</v>
      </c>
      <c r="E54" s="104">
        <f t="shared" si="55"/>
        <v>1.2918965433027384E-2</v>
      </c>
      <c r="F54" s="104">
        <f t="shared" si="55"/>
        <v>1.1280166639354631E-2</v>
      </c>
      <c r="G54" s="104">
        <f t="shared" si="55"/>
        <v>1.3058684382821907E-2</v>
      </c>
      <c r="H54" s="104">
        <f t="shared" si="55"/>
        <v>7.2389573922238062E-3</v>
      </c>
      <c r="I54" s="104">
        <f t="shared" si="55"/>
        <v>1.1932270911873643E-2</v>
      </c>
      <c r="J54" s="104">
        <f t="shared" si="55"/>
        <v>1.6678170542924087E-2</v>
      </c>
      <c r="K54" s="104">
        <f t="shared" si="55"/>
        <v>1.7987542045501691E-2</v>
      </c>
      <c r="L54" s="104">
        <f t="shared" si="55"/>
        <v>1.8945901809165857E-2</v>
      </c>
      <c r="M54" s="104">
        <f t="shared" si="55"/>
        <v>1.0579140094898725E-2</v>
      </c>
      <c r="N54" s="104">
        <f t="shared" si="55"/>
        <v>1.0975985800495285E-2</v>
      </c>
      <c r="O54" s="104">
        <f t="shared" si="55"/>
        <v>1.1879078829316643E-2</v>
      </c>
      <c r="P54" s="104">
        <f t="shared" si="55"/>
        <v>1.4172332376521069E-2</v>
      </c>
      <c r="Q54" s="104">
        <f t="shared" si="55"/>
        <v>1.3149549368064633E-2</v>
      </c>
      <c r="R54" s="104">
        <f t="shared" si="55"/>
        <v>7.6432082041646291E-3</v>
      </c>
      <c r="S54" s="104">
        <f t="shared" si="55"/>
        <v>1.3268068164198754E-2</v>
      </c>
      <c r="T54" s="104">
        <f t="shared" si="55"/>
        <v>1.4222073065468363E-2</v>
      </c>
      <c r="U54" s="104">
        <f t="shared" si="55"/>
        <v>1.6037378195462786E-2</v>
      </c>
      <c r="V54" s="104">
        <f t="shared" si="55"/>
        <v>1.3104632878160201E-2</v>
      </c>
      <c r="W54" s="104">
        <f t="shared" ref="W54:Y54" si="56">IF(W12=0,0,W12/W$3)</f>
        <v>1.2285844925020523E-2</v>
      </c>
      <c r="X54" s="104">
        <f t="shared" si="56"/>
        <v>1.0128656681464811E-2</v>
      </c>
      <c r="Y54" s="104">
        <f t="shared" si="56"/>
        <v>7.6948832988846848E-3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0.82541810860054887</v>
      </c>
      <c r="C55" s="105">
        <f t="shared" si="57"/>
        <v>0.83724593098582933</v>
      </c>
      <c r="D55" s="105">
        <f t="shared" ref="D55:V55" si="58">IF(D13=0,0,D13/D$3)</f>
        <v>0.84059896041157611</v>
      </c>
      <c r="E55" s="105">
        <f t="shared" si="58"/>
        <v>0.84171657758981433</v>
      </c>
      <c r="F55" s="105">
        <f t="shared" si="58"/>
        <v>0.83627595651045961</v>
      </c>
      <c r="G55" s="105">
        <f t="shared" si="58"/>
        <v>0.84356547904045953</v>
      </c>
      <c r="H55" s="105">
        <f t="shared" si="58"/>
        <v>0.84796573141580689</v>
      </c>
      <c r="I55" s="105">
        <f t="shared" si="58"/>
        <v>0.81539228342061987</v>
      </c>
      <c r="J55" s="105">
        <f t="shared" si="58"/>
        <v>0.80091404421684909</v>
      </c>
      <c r="K55" s="105">
        <f t="shared" si="58"/>
        <v>0.73588043042191542</v>
      </c>
      <c r="L55" s="105">
        <f t="shared" si="58"/>
        <v>0.71839349349530734</v>
      </c>
      <c r="M55" s="105">
        <f t="shared" si="58"/>
        <v>0.77182509950608658</v>
      </c>
      <c r="N55" s="105">
        <f t="shared" si="58"/>
        <v>0.78194593644983201</v>
      </c>
      <c r="O55" s="105">
        <f t="shared" si="58"/>
        <v>0.78693850243658492</v>
      </c>
      <c r="P55" s="105">
        <f t="shared" si="58"/>
        <v>0.73133424089621768</v>
      </c>
      <c r="Q55" s="105">
        <f t="shared" si="58"/>
        <v>0.71591080446596111</v>
      </c>
      <c r="R55" s="105">
        <f t="shared" si="58"/>
        <v>0.7703952753274087</v>
      </c>
      <c r="S55" s="105">
        <f t="shared" si="58"/>
        <v>0.67815799260010667</v>
      </c>
      <c r="T55" s="105">
        <f t="shared" si="58"/>
        <v>0.55774578521564011</v>
      </c>
      <c r="U55" s="105">
        <f t="shared" si="58"/>
        <v>0.49705414790999763</v>
      </c>
      <c r="V55" s="105">
        <f t="shared" si="58"/>
        <v>0.83727485207885921</v>
      </c>
      <c r="W55" s="105">
        <f t="shared" ref="W55:Y55" si="59">IF(W13=0,0,W13/W$3)</f>
        <v>0.76386392455278218</v>
      </c>
      <c r="X55" s="105">
        <f t="shared" si="59"/>
        <v>0.67979507214498136</v>
      </c>
      <c r="Y55" s="105">
        <f t="shared" si="59"/>
        <v>0.74881006949545514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633.65903307175438</v>
      </c>
      <c r="C57" s="62">
        <v>639.14360747719297</v>
      </c>
      <c r="D57" s="62">
        <v>640.76609729158452</v>
      </c>
      <c r="E57" s="62">
        <v>644.26813682122224</v>
      </c>
      <c r="F57" s="62">
        <v>641.77501639282048</v>
      </c>
      <c r="G57" s="62">
        <v>637.83392105935764</v>
      </c>
      <c r="H57" s="62">
        <v>639.92370203692155</v>
      </c>
      <c r="I57" s="62">
        <v>660.14464132253806</v>
      </c>
      <c r="J57" s="62">
        <v>682.59235992798142</v>
      </c>
      <c r="K57" s="62">
        <v>692.49141651217781</v>
      </c>
      <c r="L57" s="62">
        <v>709.67629556603379</v>
      </c>
      <c r="M57" s="62">
        <v>696.33442753067811</v>
      </c>
      <c r="N57" s="62">
        <v>675.8832779339009</v>
      </c>
      <c r="O57" s="62">
        <v>652.41708844573714</v>
      </c>
      <c r="P57" s="62">
        <v>636.05404948745377</v>
      </c>
      <c r="Q57" s="62">
        <v>660.00001653349682</v>
      </c>
      <c r="R57" s="62">
        <v>665.0199210637677</v>
      </c>
      <c r="S57" s="62">
        <v>664.6535990654121</v>
      </c>
      <c r="T57" s="62">
        <v>648.80922848629405</v>
      </c>
      <c r="U57" s="62">
        <v>640.45525592867568</v>
      </c>
      <c r="V57" s="62">
        <v>712.32537780697191</v>
      </c>
      <c r="W57" s="62">
        <v>716.67255148561071</v>
      </c>
      <c r="X57" s="62">
        <v>684.22168681517928</v>
      </c>
      <c r="Y57" s="62">
        <v>649.88026996475367</v>
      </c>
      <c r="DA57" s="172" t="s">
        <v>314</v>
      </c>
    </row>
    <row r="58" spans="1:105" ht="11.45" customHeight="1" x14ac:dyDescent="0.25">
      <c r="A58" s="10" t="s">
        <v>33</v>
      </c>
      <c r="B58" s="14">
        <v>403.68118207393456</v>
      </c>
      <c r="C58" s="14">
        <v>403.6899087993549</v>
      </c>
      <c r="D58" s="14">
        <v>403.6757216426891</v>
      </c>
      <c r="E58" s="14">
        <v>403.65808526408705</v>
      </c>
      <c r="F58" s="14">
        <v>403.65650554321553</v>
      </c>
      <c r="G58" s="14">
        <v>402.61847320176906</v>
      </c>
      <c r="H58" s="14">
        <v>404.75474857767136</v>
      </c>
      <c r="I58" s="14">
        <v>409.73704913598516</v>
      </c>
      <c r="J58" s="14">
        <v>426.19200864815815</v>
      </c>
      <c r="K58" s="14">
        <v>451.34537714111161</v>
      </c>
      <c r="L58" s="14">
        <v>468.6664861806384</v>
      </c>
      <c r="M58" s="14">
        <v>440.51932740415697</v>
      </c>
      <c r="N58" s="14">
        <v>426.87233859031073</v>
      </c>
      <c r="O58" s="14">
        <v>421.72472141812722</v>
      </c>
      <c r="P58" s="14">
        <v>417.26812412855713</v>
      </c>
      <c r="Q58" s="14">
        <v>433.72675807480772</v>
      </c>
      <c r="R58" s="14">
        <v>425.49926438858006</v>
      </c>
      <c r="S58" s="14">
        <v>436.56392627731407</v>
      </c>
      <c r="T58" s="14">
        <v>454.49356043497903</v>
      </c>
      <c r="U58" s="14">
        <v>462.86853044922066</v>
      </c>
      <c r="V58" s="14">
        <v>437.33036997631115</v>
      </c>
      <c r="W58" s="14">
        <v>449.22059079329307</v>
      </c>
      <c r="X58" s="14">
        <v>423.73126204640539</v>
      </c>
      <c r="Y58" s="14">
        <v>378.78883565669304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388.9824733865251</v>
      </c>
      <c r="C60" s="87">
        <v>388.98701387015848</v>
      </c>
      <c r="D60" s="87">
        <v>388.99113026611695</v>
      </c>
      <c r="E60" s="87">
        <v>388.99280172470094</v>
      </c>
      <c r="F60" s="87">
        <v>388.99678196865733</v>
      </c>
      <c r="G60" s="87">
        <v>391.33013908644068</v>
      </c>
      <c r="H60" s="87">
        <v>394.7265311929375</v>
      </c>
      <c r="I60" s="87">
        <v>392.38124987237046</v>
      </c>
      <c r="J60" s="87">
        <v>398.68729485212509</v>
      </c>
      <c r="K60" s="87">
        <v>404.39026389343826</v>
      </c>
      <c r="L60" s="87">
        <v>404.85751478190929</v>
      </c>
      <c r="M60" s="87">
        <v>402.3597471685016</v>
      </c>
      <c r="N60" s="87">
        <v>405.16412508576212</v>
      </c>
      <c r="O60" s="87">
        <v>405.48735855299174</v>
      </c>
      <c r="P60" s="87">
        <v>393.74853825496604</v>
      </c>
      <c r="Q60" s="87">
        <v>389.2921975374536</v>
      </c>
      <c r="R60" s="87">
        <v>384.04563186465981</v>
      </c>
      <c r="S60" s="87">
        <v>377.21984567293168</v>
      </c>
      <c r="T60" s="87">
        <v>375.92312989332703</v>
      </c>
      <c r="U60" s="87">
        <v>374.35781751368472</v>
      </c>
      <c r="V60" s="87">
        <v>358.32628689730461</v>
      </c>
      <c r="W60" s="87">
        <v>348.16072198962087</v>
      </c>
      <c r="X60" s="87">
        <v>357.47348088238482</v>
      </c>
      <c r="Y60" s="87">
        <v>356.74354462705782</v>
      </c>
      <c r="DA60" s="171" t="s">
        <v>317</v>
      </c>
    </row>
    <row r="61" spans="1:105" ht="11.45" customHeight="1" x14ac:dyDescent="0.25">
      <c r="A61" s="83" t="s">
        <v>182</v>
      </c>
      <c r="B61" s="87">
        <v>529.24065706092085</v>
      </c>
      <c r="C61" s="87">
        <v>529.24065706092085</v>
      </c>
      <c r="D61" s="87">
        <v>529.24065706092085</v>
      </c>
      <c r="E61" s="87">
        <v>529.24065706092085</v>
      </c>
      <c r="F61" s="87">
        <v>529.24065706092074</v>
      </c>
      <c r="G61" s="87">
        <v>496.00435357704771</v>
      </c>
      <c r="H61" s="87">
        <v>482.51080765662323</v>
      </c>
      <c r="I61" s="87">
        <v>498.71801353546238</v>
      </c>
      <c r="J61" s="87">
        <v>542.07805222242973</v>
      </c>
      <c r="K61" s="87">
        <v>608.05283428351288</v>
      </c>
      <c r="L61" s="87">
        <v>682.81829787224467</v>
      </c>
      <c r="M61" s="87">
        <v>609.85242816961852</v>
      </c>
      <c r="N61" s="87">
        <v>533.98097987261349</v>
      </c>
      <c r="O61" s="87">
        <v>502.07398612087405</v>
      </c>
      <c r="P61" s="87">
        <v>520.16171503228406</v>
      </c>
      <c r="Q61" s="87">
        <v>625.38433555916856</v>
      </c>
      <c r="R61" s="87">
        <v>743.84957535036085</v>
      </c>
      <c r="S61" s="87">
        <v>742.50336575136123</v>
      </c>
      <c r="T61" s="87">
        <v>716.91057080788255</v>
      </c>
      <c r="U61" s="87">
        <v>717.13685172895714</v>
      </c>
      <c r="V61" s="87">
        <v>767.93204307788994</v>
      </c>
      <c r="W61" s="87">
        <v>756.57049831242659</v>
      </c>
      <c r="X61" s="87">
        <v>676.34429448040271</v>
      </c>
      <c r="Y61" s="87">
        <v>488.61067686896797</v>
      </c>
      <c r="DA61" s="171" t="s">
        <v>318</v>
      </c>
    </row>
    <row r="62" spans="1:105" ht="11.45" customHeight="1" x14ac:dyDescent="0.25">
      <c r="A62" s="12" t="s">
        <v>34</v>
      </c>
      <c r="B62" s="15">
        <v>734.60401398083866</v>
      </c>
      <c r="C62" s="15">
        <v>751.69964562237192</v>
      </c>
      <c r="D62" s="15">
        <v>756.01396596773463</v>
      </c>
      <c r="E62" s="15">
        <v>755.62345377792553</v>
      </c>
      <c r="F62" s="15">
        <v>759.02893647518226</v>
      </c>
      <c r="G62" s="15">
        <v>745.83090903541074</v>
      </c>
      <c r="H62" s="15">
        <v>745.34116543510402</v>
      </c>
      <c r="I62" s="15">
        <v>753.50841635796462</v>
      </c>
      <c r="J62" s="15">
        <v>768.97967383633215</v>
      </c>
      <c r="K62" s="15">
        <v>787.03911226564901</v>
      </c>
      <c r="L62" s="15">
        <v>801.77680333636613</v>
      </c>
      <c r="M62" s="15">
        <v>803.17673476163827</v>
      </c>
      <c r="N62" s="15">
        <v>794.75480066726868</v>
      </c>
      <c r="O62" s="15">
        <v>759.48690801277996</v>
      </c>
      <c r="P62" s="15">
        <v>756.05542824541988</v>
      </c>
      <c r="Q62" s="15">
        <v>773.31145944904893</v>
      </c>
      <c r="R62" s="15">
        <v>786.71398053758139</v>
      </c>
      <c r="S62" s="15">
        <v>789.50456759784061</v>
      </c>
      <c r="T62" s="15">
        <v>780.50358403756684</v>
      </c>
      <c r="U62" s="15">
        <v>781.28390195823511</v>
      </c>
      <c r="V62" s="15">
        <v>773.26386384583475</v>
      </c>
      <c r="W62" s="15">
        <v>787.33070791151943</v>
      </c>
      <c r="X62" s="15">
        <v>808.00722541053847</v>
      </c>
      <c r="Y62" s="15">
        <v>815.69878191676582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347.89328260347878</v>
      </c>
      <c r="C64" s="101">
        <v>345.62855024636951</v>
      </c>
      <c r="D64" s="101">
        <v>355.52225312648216</v>
      </c>
      <c r="E64" s="101">
        <v>430.3095636950676</v>
      </c>
      <c r="F64" s="101">
        <v>454.90691169298327</v>
      </c>
      <c r="G64" s="101">
        <v>468.14809288478619</v>
      </c>
      <c r="H64" s="101">
        <v>427.69172309529233</v>
      </c>
      <c r="I64" s="101">
        <v>431.35748084464944</v>
      </c>
      <c r="J64" s="101">
        <v>442.66071348581903</v>
      </c>
      <c r="K64" s="101">
        <v>413.97233763171442</v>
      </c>
      <c r="L64" s="101">
        <v>374.55115267838443</v>
      </c>
      <c r="M64" s="101">
        <v>383.54258862375963</v>
      </c>
      <c r="N64" s="101">
        <v>401.89848487085226</v>
      </c>
      <c r="O64" s="101">
        <v>402.26103851225639</v>
      </c>
      <c r="P64" s="101">
        <v>390.09646921777289</v>
      </c>
      <c r="Q64" s="101">
        <v>382.12214881849263</v>
      </c>
      <c r="R64" s="101">
        <v>387.80223598392416</v>
      </c>
      <c r="S64" s="101">
        <v>385.37547174144936</v>
      </c>
      <c r="T64" s="101">
        <v>388.4331929771264</v>
      </c>
      <c r="U64" s="101">
        <v>367.1208515295387</v>
      </c>
      <c r="V64" s="101">
        <v>393.38983253323846</v>
      </c>
      <c r="W64" s="101">
        <v>392.78229573810574</v>
      </c>
      <c r="X64" s="101">
        <v>384.93957811599518</v>
      </c>
      <c r="Y64" s="101">
        <v>380.43893763064386</v>
      </c>
      <c r="DA64" s="175" t="s">
        <v>321</v>
      </c>
    </row>
    <row r="65" spans="1:105" ht="11.45" customHeight="1" x14ac:dyDescent="0.25">
      <c r="A65" s="85" t="s">
        <v>182</v>
      </c>
      <c r="B65" s="88">
        <v>769.58615455208997</v>
      </c>
      <c r="C65" s="88">
        <v>769.58615455208997</v>
      </c>
      <c r="D65" s="88">
        <v>769.58615455209008</v>
      </c>
      <c r="E65" s="88">
        <v>769.58615455209008</v>
      </c>
      <c r="F65" s="88">
        <v>769.58615455208997</v>
      </c>
      <c r="G65" s="88">
        <v>756.89120754065641</v>
      </c>
      <c r="H65" s="88">
        <v>753.43530350647336</v>
      </c>
      <c r="I65" s="88">
        <v>762.23101651465333</v>
      </c>
      <c r="J65" s="88">
        <v>778.87537880408524</v>
      </c>
      <c r="K65" s="88">
        <v>798.33831499060341</v>
      </c>
      <c r="L65" s="88">
        <v>815.9492873223686</v>
      </c>
      <c r="M65" s="88">
        <v>813.59616198572076</v>
      </c>
      <c r="N65" s="88">
        <v>806.10347009028328</v>
      </c>
      <c r="O65" s="88">
        <v>770.57137975334285</v>
      </c>
      <c r="P65" s="88">
        <v>768.16475337362181</v>
      </c>
      <c r="Q65" s="88">
        <v>783.47112340538058</v>
      </c>
      <c r="R65" s="88">
        <v>794.59683144223595</v>
      </c>
      <c r="S65" s="88">
        <v>798.6080200930943</v>
      </c>
      <c r="T65" s="88">
        <v>788.80478112765161</v>
      </c>
      <c r="U65" s="88">
        <v>790.08245326834935</v>
      </c>
      <c r="V65" s="88">
        <v>778.30243154869822</v>
      </c>
      <c r="W65" s="88">
        <v>792.12019366187985</v>
      </c>
      <c r="X65" s="88">
        <v>814.07251042914652</v>
      </c>
      <c r="Y65" s="88">
        <v>824.08733451570492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1.250258311498337</v>
      </c>
      <c r="C67" s="59">
        <f t="shared" ref="C67:W67" si="61">IF(C3=0,0,C17/C57)</f>
        <v>1.3130105441020588</v>
      </c>
      <c r="D67" s="59">
        <f t="shared" si="61"/>
        <v>1.3235107514740412</v>
      </c>
      <c r="E67" s="59">
        <f t="shared" si="61"/>
        <v>1.2721449737829211</v>
      </c>
      <c r="F67" s="59">
        <f t="shared" si="61"/>
        <v>1.3306687552308059</v>
      </c>
      <c r="G67" s="59">
        <f t="shared" si="61"/>
        <v>1.3217023151633422</v>
      </c>
      <c r="H67" s="59">
        <f t="shared" si="61"/>
        <v>1.2057965572983336</v>
      </c>
      <c r="I67" s="59">
        <f t="shared" si="61"/>
        <v>1.08791159241451</v>
      </c>
      <c r="J67" s="59">
        <f t="shared" si="61"/>
        <v>0.95225090583293037</v>
      </c>
      <c r="K67" s="59">
        <f t="shared" si="61"/>
        <v>1.0934625686032249</v>
      </c>
      <c r="L67" s="59">
        <f t="shared" si="61"/>
        <v>1.075927917070822</v>
      </c>
      <c r="M67" s="59">
        <f t="shared" si="61"/>
        <v>1.0264463023176296</v>
      </c>
      <c r="N67" s="59">
        <f t="shared" si="61"/>
        <v>1.0947172274785137</v>
      </c>
      <c r="O67" s="59">
        <f t="shared" si="61"/>
        <v>1.1030183224842876</v>
      </c>
      <c r="P67" s="59">
        <f t="shared" si="61"/>
        <v>1.2355753558803582</v>
      </c>
      <c r="Q67" s="59">
        <f t="shared" si="61"/>
        <v>1.2126062387565142</v>
      </c>
      <c r="R67" s="59">
        <f t="shared" si="61"/>
        <v>1.31492085915243</v>
      </c>
      <c r="S67" s="59">
        <f t="shared" si="61"/>
        <v>1.3236435618920197</v>
      </c>
      <c r="T67" s="59">
        <f t="shared" si="61"/>
        <v>1.3982564377885238</v>
      </c>
      <c r="U67" s="59">
        <f t="shared" si="61"/>
        <v>1.4083693199687151</v>
      </c>
      <c r="V67" s="59">
        <f t="shared" si="61"/>
        <v>1.1134502859469544</v>
      </c>
      <c r="W67" s="59">
        <f t="shared" si="61"/>
        <v>1.0435875689948291</v>
      </c>
      <c r="X67" s="59">
        <f t="shared" ref="X67:Y67" si="62">IF(X3=0,0,X17/X57)</f>
        <v>1.1075783924704028</v>
      </c>
      <c r="Y67" s="59">
        <f t="shared" si="62"/>
        <v>1.2216687363300063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0.90983108780199873</v>
      </c>
      <c r="C68" s="23">
        <f t="shared" ref="C68:W68" si="64">IF(C6=0,0,C18/C58)</f>
        <v>0.96138015882361871</v>
      </c>
      <c r="D68" s="23">
        <f t="shared" si="64"/>
        <v>0.97102610034749315</v>
      </c>
      <c r="E68" s="23">
        <f t="shared" si="64"/>
        <v>0.93290368600267926</v>
      </c>
      <c r="F68" s="23">
        <f t="shared" si="64"/>
        <v>0.97747837169830942</v>
      </c>
      <c r="G68" s="23">
        <f t="shared" si="64"/>
        <v>0.95405827430997159</v>
      </c>
      <c r="H68" s="23">
        <f t="shared" si="64"/>
        <v>0.89182479693065164</v>
      </c>
      <c r="I68" s="23">
        <f t="shared" si="64"/>
        <v>1.1144211733575453</v>
      </c>
      <c r="J68" s="23">
        <f t="shared" si="64"/>
        <v>1.103890767471297</v>
      </c>
      <c r="K68" s="23">
        <f t="shared" si="64"/>
        <v>1.4661207267557017</v>
      </c>
      <c r="L68" s="23">
        <f t="shared" si="64"/>
        <v>1.5477491564579926</v>
      </c>
      <c r="M68" s="23">
        <f t="shared" si="64"/>
        <v>1.1983753264727004</v>
      </c>
      <c r="N68" s="23">
        <f t="shared" si="64"/>
        <v>1.1108131801735375</v>
      </c>
      <c r="O68" s="23">
        <f t="shared" si="64"/>
        <v>1.0829613974229682</v>
      </c>
      <c r="P68" s="23">
        <f t="shared" si="64"/>
        <v>1.3532109724552375</v>
      </c>
      <c r="Q68" s="23">
        <f t="shared" si="64"/>
        <v>1.4982850104774306</v>
      </c>
      <c r="R68" s="23">
        <f t="shared" si="64"/>
        <v>1.3539704823892034</v>
      </c>
      <c r="S68" s="23">
        <f t="shared" si="64"/>
        <v>1.7578732815156033</v>
      </c>
      <c r="T68" s="23">
        <f t="shared" si="64"/>
        <v>2.1150288020650954</v>
      </c>
      <c r="U68" s="23">
        <f t="shared" si="64"/>
        <v>2.1453494783989515</v>
      </c>
      <c r="V68" s="23">
        <f t="shared" si="64"/>
        <v>1.495865006255479</v>
      </c>
      <c r="W68" s="23">
        <f t="shared" si="64"/>
        <v>1.7833780793228249</v>
      </c>
      <c r="X68" s="23">
        <f t="shared" ref="X68:Y68" si="65">IF(X6=0,0,X18/X58)</f>
        <v>1.7215619109938654</v>
      </c>
      <c r="Y68" s="23">
        <f t="shared" si="65"/>
        <v>1.3447411412391141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0.81878898492003382</v>
      </c>
      <c r="C70" s="91">
        <f t="shared" ref="C70:W70" si="68">IF(C8=0,0,C20/C60)</f>
        <v>0.86514028061061288</v>
      </c>
      <c r="D70" s="91">
        <f t="shared" si="68"/>
        <v>0.87391082607707082</v>
      </c>
      <c r="E70" s="91">
        <f t="shared" si="68"/>
        <v>0.83970110233080941</v>
      </c>
      <c r="F70" s="91">
        <f t="shared" si="68"/>
        <v>0.87984066860985444</v>
      </c>
      <c r="G70" s="91">
        <f t="shared" si="68"/>
        <v>0.85755037916268495</v>
      </c>
      <c r="H70" s="91">
        <f t="shared" si="68"/>
        <v>0.80649638583283356</v>
      </c>
      <c r="I70" s="91">
        <f t="shared" si="68"/>
        <v>1.0923040125706402</v>
      </c>
      <c r="J70" s="91">
        <f t="shared" si="68"/>
        <v>1.1299995300466037</v>
      </c>
      <c r="K70" s="91">
        <f t="shared" si="68"/>
        <v>1.6255363563966201</v>
      </c>
      <c r="L70" s="91">
        <f t="shared" si="68"/>
        <v>1.7895105292148372</v>
      </c>
      <c r="M70" s="91">
        <f t="shared" si="68"/>
        <v>1.2338313273729065</v>
      </c>
      <c r="N70" s="91">
        <f t="shared" si="68"/>
        <v>1.0837304500530753</v>
      </c>
      <c r="O70" s="91">
        <f t="shared" si="68"/>
        <v>1.045504371162749</v>
      </c>
      <c r="P70" s="91">
        <f t="shared" si="68"/>
        <v>1.3602419033665503</v>
      </c>
      <c r="Q70" s="91">
        <f t="shared" si="68"/>
        <v>1.5903323825015951</v>
      </c>
      <c r="R70" s="91">
        <f t="shared" si="68"/>
        <v>1.3300781457691275</v>
      </c>
      <c r="S70" s="91">
        <f t="shared" si="68"/>
        <v>1.927583334940447</v>
      </c>
      <c r="T70" s="91">
        <f t="shared" si="68"/>
        <v>2.6254598698688798</v>
      </c>
      <c r="U70" s="91">
        <f t="shared" si="68"/>
        <v>2.8060595055010249</v>
      </c>
      <c r="V70" s="91">
        <f t="shared" si="68"/>
        <v>1.6609688437370653</v>
      </c>
      <c r="W70" s="91">
        <f t="shared" si="68"/>
        <v>2.3249842377410648</v>
      </c>
      <c r="X70" s="91">
        <f t="shared" ref="X70:Y70" si="69">IF(X8=0,0,X20/X60)</f>
        <v>2.0537616471304916</v>
      </c>
      <c r="Y70" s="91">
        <f t="shared" si="69"/>
        <v>1.3524320680702122</v>
      </c>
      <c r="DA70" s="171"/>
    </row>
    <row r="71" spans="1:105" ht="11.45" customHeight="1" x14ac:dyDescent="0.25">
      <c r="A71" s="83" t="s">
        <v>182</v>
      </c>
      <c r="B71" s="91">
        <f t="shared" si="63"/>
        <v>1.4814274055135486</v>
      </c>
      <c r="C71" s="91">
        <f t="shared" ref="C71:W71" si="70">IF(C9=0,0,C21/C61)</f>
        <v>1.5654030800817764</v>
      </c>
      <c r="D71" s="91">
        <f t="shared" si="70"/>
        <v>1.5813783523807692</v>
      </c>
      <c r="E71" s="91">
        <f t="shared" si="70"/>
        <v>1.5195214701737627</v>
      </c>
      <c r="F71" s="91">
        <f t="shared" si="70"/>
        <v>1.592257928082504</v>
      </c>
      <c r="G71" s="91">
        <f t="shared" si="70"/>
        <v>1.5839588634846009</v>
      </c>
      <c r="H71" s="91">
        <f t="shared" si="70"/>
        <v>1.4330692177912845</v>
      </c>
      <c r="I71" s="91">
        <f t="shared" si="70"/>
        <v>1.2036355933397147</v>
      </c>
      <c r="J71" s="91">
        <f t="shared" si="70"/>
        <v>1.0229847419864921</v>
      </c>
      <c r="K71" s="91">
        <f t="shared" si="70"/>
        <v>1.1122887784780222</v>
      </c>
      <c r="L71" s="91">
        <f t="shared" si="70"/>
        <v>1.0666617635528397</v>
      </c>
      <c r="M71" s="91">
        <f t="shared" si="70"/>
        <v>1.0945704415420008</v>
      </c>
      <c r="N71" s="91">
        <f t="shared" si="70"/>
        <v>1.2122038667767983</v>
      </c>
      <c r="O71" s="91">
        <f t="shared" si="70"/>
        <v>1.2326570904911427</v>
      </c>
      <c r="P71" s="91">
        <f t="shared" si="70"/>
        <v>1.3299272692710922</v>
      </c>
      <c r="Q71" s="91">
        <f t="shared" si="70"/>
        <v>1.2511437830032526</v>
      </c>
      <c r="R71" s="91">
        <f t="shared" si="70"/>
        <v>1.4487029871913313</v>
      </c>
      <c r="S71" s="91">
        <f t="shared" si="70"/>
        <v>1.3133835449652023</v>
      </c>
      <c r="T71" s="91">
        <f t="shared" si="70"/>
        <v>1.2210977683581903</v>
      </c>
      <c r="U71" s="91">
        <f t="shared" si="70"/>
        <v>1.1545353720238363</v>
      </c>
      <c r="V71" s="91">
        <f t="shared" si="70"/>
        <v>1.1734846599750683</v>
      </c>
      <c r="W71" s="91">
        <f t="shared" si="70"/>
        <v>1.025379620760654</v>
      </c>
      <c r="X71" s="91">
        <f t="shared" ref="X71:Y71" si="71">IF(X9=0,0,X21/X61)</f>
        <v>1.0521489053326643</v>
      </c>
      <c r="Y71" s="91">
        <f t="shared" si="71"/>
        <v>1.316767774818026</v>
      </c>
      <c r="DA71" s="171"/>
    </row>
    <row r="72" spans="1:105" ht="11.45" customHeight="1" x14ac:dyDescent="0.25">
      <c r="A72" s="12" t="s">
        <v>34</v>
      </c>
      <c r="B72" s="24">
        <f t="shared" si="63"/>
        <v>1.3323706100883834</v>
      </c>
      <c r="C72" s="24">
        <f t="shared" ref="C72:W72" si="72">IF(C10=0,0,C22/C62)</f>
        <v>1.4032825775229396</v>
      </c>
      <c r="D72" s="24">
        <f t="shared" si="72"/>
        <v>1.414998302045555</v>
      </c>
      <c r="E72" s="24">
        <f t="shared" si="72"/>
        <v>1.3560164180619965</v>
      </c>
      <c r="F72" s="24">
        <f t="shared" si="72"/>
        <v>1.4231591657286053</v>
      </c>
      <c r="G72" s="24">
        <f t="shared" si="72"/>
        <v>1.4128250306344237</v>
      </c>
      <c r="H72" s="24">
        <f t="shared" si="72"/>
        <v>1.2822258794367438</v>
      </c>
      <c r="I72" s="24">
        <f t="shared" si="72"/>
        <v>1.0825369335830857</v>
      </c>
      <c r="J72" s="24">
        <f t="shared" si="72"/>
        <v>0.92393469248494242</v>
      </c>
      <c r="K72" s="24">
        <f t="shared" si="72"/>
        <v>1.0096721940020945</v>
      </c>
      <c r="L72" s="24">
        <f t="shared" si="72"/>
        <v>0.97053408298413901</v>
      </c>
      <c r="M72" s="24">
        <f t="shared" si="72"/>
        <v>0.98706227469407182</v>
      </c>
      <c r="N72" s="24">
        <f t="shared" si="72"/>
        <v>1.0905901659856909</v>
      </c>
      <c r="O72" s="24">
        <f t="shared" si="72"/>
        <v>1.108187327642993</v>
      </c>
      <c r="P72" s="24">
        <f t="shared" si="72"/>
        <v>1.1999657421694452</v>
      </c>
      <c r="Q72" s="24">
        <f t="shared" si="72"/>
        <v>1.1323682047490948</v>
      </c>
      <c r="R72" s="24">
        <f t="shared" si="72"/>
        <v>1.3041902296917023</v>
      </c>
      <c r="S72" s="24">
        <f t="shared" si="72"/>
        <v>1.192212191097503</v>
      </c>
      <c r="T72" s="24">
        <f t="shared" si="72"/>
        <v>1.1153821807124915</v>
      </c>
      <c r="U72" s="24">
        <f t="shared" si="72"/>
        <v>1.0621230694941077</v>
      </c>
      <c r="V72" s="24">
        <f t="shared" si="72"/>
        <v>1.0655229406425484</v>
      </c>
      <c r="W72" s="24">
        <f t="shared" si="72"/>
        <v>0.9320739947175144</v>
      </c>
      <c r="X72" s="24">
        <f t="shared" ref="X72:Y72" si="73">IF(X10=0,0,X22/X62)</f>
        <v>0.95457180743330294</v>
      </c>
      <c r="Y72" s="24">
        <f t="shared" si="73"/>
        <v>1.1867108422931174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1.3100182536189029</v>
      </c>
      <c r="C74" s="93">
        <f t="shared" ref="C74:W74" si="76">IF(C12=0,0,C24/C64)</f>
        <v>1.1212018142593316</v>
      </c>
      <c r="D74" s="93">
        <f t="shared" si="76"/>
        <v>0.88852294388990372</v>
      </c>
      <c r="E74" s="93">
        <f t="shared" si="76"/>
        <v>0.87462246687984291</v>
      </c>
      <c r="F74" s="93">
        <f t="shared" si="76"/>
        <v>0.94200872455521412</v>
      </c>
      <c r="G74" s="93">
        <f t="shared" si="76"/>
        <v>0.89577593936847766</v>
      </c>
      <c r="H74" s="93">
        <f t="shared" si="76"/>
        <v>0.7612021475853521</v>
      </c>
      <c r="I74" s="93">
        <f t="shared" si="76"/>
        <v>1.0345625517743569</v>
      </c>
      <c r="J74" s="93">
        <f t="shared" si="76"/>
        <v>1.1124147342952992</v>
      </c>
      <c r="K74" s="93">
        <f t="shared" si="76"/>
        <v>1.5580416269462163</v>
      </c>
      <c r="L74" s="93">
        <f t="shared" si="76"/>
        <v>1.6625912978714594</v>
      </c>
      <c r="M74" s="93">
        <f t="shared" si="76"/>
        <v>1.1535594113165422</v>
      </c>
      <c r="N74" s="93">
        <f t="shared" si="76"/>
        <v>1.0632813578430778</v>
      </c>
      <c r="O74" s="93">
        <f t="shared" si="76"/>
        <v>1.0338548347654122</v>
      </c>
      <c r="P74" s="93">
        <f t="shared" si="76"/>
        <v>1.3803544582392049</v>
      </c>
      <c r="Q74" s="93">
        <f t="shared" si="76"/>
        <v>1.6327891409138762</v>
      </c>
      <c r="R74" s="93">
        <f t="shared" si="76"/>
        <v>1.3412630945076101</v>
      </c>
      <c r="S74" s="93">
        <f t="shared" si="76"/>
        <v>2.1275240424702226</v>
      </c>
      <c r="T74" s="93">
        <f t="shared" si="76"/>
        <v>2.6877945907160004</v>
      </c>
      <c r="U74" s="93">
        <f t="shared" si="76"/>
        <v>3.3962759171027783</v>
      </c>
      <c r="V74" s="93">
        <f t="shared" si="76"/>
        <v>2.4656674457717429</v>
      </c>
      <c r="W74" s="93">
        <f t="shared" si="76"/>
        <v>2.4658509155764632</v>
      </c>
      <c r="X74" s="93">
        <f t="shared" ref="X74:Y74" si="77">IF(X12=0,0,X24/X64)</f>
        <v>2.0812424762342463</v>
      </c>
      <c r="Y74" s="93">
        <f t="shared" si="77"/>
        <v>1.368774514294566</v>
      </c>
      <c r="DA74" s="175"/>
    </row>
    <row r="75" spans="1:105" ht="11.45" customHeight="1" x14ac:dyDescent="0.25">
      <c r="A75" s="85" t="s">
        <v>182</v>
      </c>
      <c r="B75" s="94">
        <f t="shared" si="63"/>
        <v>1.3332846649621939</v>
      </c>
      <c r="C75" s="94">
        <f t="shared" ref="C75:W75" si="78">IF(C13=0,0,C25/C65)</f>
        <v>1.4088627720735987</v>
      </c>
      <c r="D75" s="94">
        <f t="shared" si="78"/>
        <v>1.4232405171426918</v>
      </c>
      <c r="E75" s="94">
        <f t="shared" si="78"/>
        <v>1.3675693231563864</v>
      </c>
      <c r="F75" s="94">
        <f t="shared" si="78"/>
        <v>1.4330321352742534</v>
      </c>
      <c r="G75" s="94">
        <f t="shared" si="78"/>
        <v>1.4255629771361409</v>
      </c>
      <c r="H75" s="94">
        <f t="shared" si="78"/>
        <v>1.289762296012156</v>
      </c>
      <c r="I75" s="94">
        <f t="shared" si="78"/>
        <v>1.0832720340057433</v>
      </c>
      <c r="J75" s="94">
        <f t="shared" si="78"/>
        <v>0.92068626778784302</v>
      </c>
      <c r="K75" s="94">
        <f t="shared" si="78"/>
        <v>1.0010599006302199</v>
      </c>
      <c r="L75" s="94">
        <f t="shared" si="78"/>
        <v>0.95999558719755607</v>
      </c>
      <c r="M75" s="94">
        <f t="shared" si="78"/>
        <v>0.9851133973878009</v>
      </c>
      <c r="N75" s="94">
        <f t="shared" si="78"/>
        <v>1.0909834800991185</v>
      </c>
      <c r="O75" s="94">
        <f t="shared" si="78"/>
        <v>1.1093913814420284</v>
      </c>
      <c r="P75" s="94">
        <f t="shared" si="78"/>
        <v>1.196934542343983</v>
      </c>
      <c r="Q75" s="94">
        <f t="shared" si="78"/>
        <v>1.1260294047029273</v>
      </c>
      <c r="R75" s="94">
        <f t="shared" si="78"/>
        <v>1.303832688472198</v>
      </c>
      <c r="S75" s="94">
        <f t="shared" si="78"/>
        <v>1.1820451904686819</v>
      </c>
      <c r="T75" s="94">
        <f t="shared" si="78"/>
        <v>1.0989879915223713</v>
      </c>
      <c r="U75" s="94">
        <f t="shared" si="78"/>
        <v>1.0390818348214528</v>
      </c>
      <c r="V75" s="94">
        <f t="shared" si="78"/>
        <v>1.0561361939775618</v>
      </c>
      <c r="W75" s="94">
        <f t="shared" si="78"/>
        <v>0.92284165868458889</v>
      </c>
      <c r="X75" s="94">
        <f t="shared" ref="X75:Y75" si="79">IF(X13=0,0,X25/X65)</f>
        <v>0.94693401479939787</v>
      </c>
      <c r="Y75" s="94">
        <f t="shared" si="79"/>
        <v>1.1850909973362234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965.83454063999977</v>
      </c>
      <c r="C3" s="79">
        <f t="shared" si="0"/>
        <v>1044.63604908</v>
      </c>
      <c r="D3" s="79">
        <f t="shared" ref="D3" si="1">SUM(D4:D5)</f>
        <v>1131.82112628</v>
      </c>
      <c r="E3" s="79">
        <f t="shared" ref="E3" si="2">SUM(E4:E5)</f>
        <v>1179.0723682799999</v>
      </c>
      <c r="F3" s="79">
        <f t="shared" ref="F3" si="3">SUM(F4:F5)</f>
        <v>1282.9497782400001</v>
      </c>
      <c r="G3" s="79">
        <f t="shared" ref="G3" si="4">SUM(G4:G5)</f>
        <v>1303.5537010799997</v>
      </c>
      <c r="H3" s="79">
        <f t="shared" ref="H3" si="5">SUM(H4:H5)</f>
        <v>1219.9235324400004</v>
      </c>
      <c r="I3" s="79">
        <f t="shared" ref="I3" si="6">SUM(I4:I5)</f>
        <v>1311.2924994</v>
      </c>
      <c r="J3" s="79">
        <f t="shared" ref="J3" si="7">SUM(J4:J5)</f>
        <v>1319.9610510000002</v>
      </c>
      <c r="K3" s="79">
        <f t="shared" ref="K3" si="8">SUM(K4:K5)</f>
        <v>1264.8874053600005</v>
      </c>
      <c r="L3" s="79">
        <f t="shared" ref="L3" si="9">SUM(L4:L5)</f>
        <v>1297.80460584</v>
      </c>
      <c r="M3" s="79">
        <f t="shared" ref="M3" si="10">SUM(M4:M5)</f>
        <v>1214.1744372000003</v>
      </c>
      <c r="N3" s="79">
        <f t="shared" ref="N3" si="11">SUM(N4:N5)</f>
        <v>1120.2486487199999</v>
      </c>
      <c r="O3" s="79">
        <f t="shared" ref="O3" si="12">SUM(O4:O5)</f>
        <v>1125.3281248800001</v>
      </c>
      <c r="P3" s="79">
        <f t="shared" ref="P3" si="13">SUM(P4:P5)</f>
        <v>1222.1052948000006</v>
      </c>
      <c r="Q3" s="79">
        <f t="shared" ref="Q3" si="14">SUM(Q4:Q5)</f>
        <v>1377.6753823199999</v>
      </c>
      <c r="R3" s="79">
        <f t="shared" ref="R3" si="15">SUM(R4:R5)</f>
        <v>1528.7419126800003</v>
      </c>
      <c r="S3" s="79">
        <f t="shared" ref="S3" si="16">SUM(S4:S5)</f>
        <v>1728.5474973599999</v>
      </c>
      <c r="T3" s="79">
        <f t="shared" ref="T3" si="17">SUM(T4:T5)</f>
        <v>1848.3210482399995</v>
      </c>
      <c r="U3" s="79">
        <f t="shared" ref="U3" si="18">SUM(U4:U5)</f>
        <v>1808.0866998000001</v>
      </c>
      <c r="V3" s="79">
        <f t="shared" ref="V3:W3" si="19">SUM(V4:V5)</f>
        <v>1645.5897950399997</v>
      </c>
      <c r="W3" s="79">
        <f t="shared" si="19"/>
        <v>1877.32691748</v>
      </c>
      <c r="X3" s="79">
        <f t="shared" ref="X3:Y3" si="20">SUM(X4:X5)</f>
        <v>1948.6748692800002</v>
      </c>
      <c r="Y3" s="79">
        <f t="shared" si="20"/>
        <v>1797.4437166800001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965.83454063999977</v>
      </c>
      <c r="C5" s="96">
        <f t="shared" si="24"/>
        <v>1044.63604908</v>
      </c>
      <c r="D5" s="96">
        <f t="shared" ref="D5:V5" si="25">SUM(D8:D9,D12:D13)</f>
        <v>1131.82112628</v>
      </c>
      <c r="E5" s="96">
        <f t="shared" si="25"/>
        <v>1179.0723682799999</v>
      </c>
      <c r="F5" s="96">
        <f t="shared" si="25"/>
        <v>1282.9497782400001</v>
      </c>
      <c r="G5" s="96">
        <f t="shared" si="25"/>
        <v>1303.5537010799997</v>
      </c>
      <c r="H5" s="96">
        <f t="shared" si="25"/>
        <v>1219.9235324400004</v>
      </c>
      <c r="I5" s="96">
        <f t="shared" si="25"/>
        <v>1311.2924994</v>
      </c>
      <c r="J5" s="96">
        <f t="shared" si="25"/>
        <v>1319.9610510000002</v>
      </c>
      <c r="K5" s="96">
        <f t="shared" si="25"/>
        <v>1264.8874053600005</v>
      </c>
      <c r="L5" s="96">
        <f t="shared" si="25"/>
        <v>1297.80460584</v>
      </c>
      <c r="M5" s="96">
        <f t="shared" si="25"/>
        <v>1214.1744372000003</v>
      </c>
      <c r="N5" s="96">
        <f t="shared" si="25"/>
        <v>1120.2486487199999</v>
      </c>
      <c r="O5" s="96">
        <f t="shared" si="25"/>
        <v>1125.3281248800001</v>
      </c>
      <c r="P5" s="96">
        <f t="shared" si="25"/>
        <v>1222.1052948000006</v>
      </c>
      <c r="Q5" s="96">
        <f t="shared" si="25"/>
        <v>1377.6753823199999</v>
      </c>
      <c r="R5" s="96">
        <f t="shared" si="25"/>
        <v>1528.7419126800003</v>
      </c>
      <c r="S5" s="96">
        <f t="shared" si="25"/>
        <v>1728.5474973599999</v>
      </c>
      <c r="T5" s="96">
        <f t="shared" si="25"/>
        <v>1848.3210482399995</v>
      </c>
      <c r="U5" s="96">
        <f t="shared" si="25"/>
        <v>1808.0866998000001</v>
      </c>
      <c r="V5" s="96">
        <f t="shared" si="25"/>
        <v>1645.5897950399997</v>
      </c>
      <c r="W5" s="96">
        <f t="shared" ref="W5:Y5" si="26">SUM(W8:W9,W12:W13)</f>
        <v>1877.32691748</v>
      </c>
      <c r="X5" s="96">
        <f t="shared" si="26"/>
        <v>1948.6748692800002</v>
      </c>
      <c r="Y5" s="96">
        <f t="shared" si="26"/>
        <v>1797.4437166800001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136.58550953386825</v>
      </c>
      <c r="C6" s="21">
        <f t="shared" si="27"/>
        <v>156.24955763798388</v>
      </c>
      <c r="D6" s="21">
        <f t="shared" ref="D6:V6" si="28">SUM(D7:D9)</f>
        <v>171.11475020538813</v>
      </c>
      <c r="E6" s="21">
        <f t="shared" si="28"/>
        <v>171.3952145517942</v>
      </c>
      <c r="F6" s="21">
        <f t="shared" si="28"/>
        <v>195.57783799899181</v>
      </c>
      <c r="G6" s="21">
        <f t="shared" si="28"/>
        <v>186.89810241502255</v>
      </c>
      <c r="H6" s="21">
        <f t="shared" si="28"/>
        <v>176.63920751005639</v>
      </c>
      <c r="I6" s="21">
        <f t="shared" si="28"/>
        <v>226.42801673435332</v>
      </c>
      <c r="J6" s="21">
        <f t="shared" si="28"/>
        <v>240.77117191627207</v>
      </c>
      <c r="K6" s="21">
        <f t="shared" si="28"/>
        <v>311.32930168168502</v>
      </c>
      <c r="L6" s="21">
        <f t="shared" si="28"/>
        <v>340.88214254657419</v>
      </c>
      <c r="M6" s="21">
        <f t="shared" si="28"/>
        <v>264.1992099195798</v>
      </c>
      <c r="N6" s="21">
        <f t="shared" si="28"/>
        <v>231.97893677860594</v>
      </c>
      <c r="O6" s="21">
        <f t="shared" si="28"/>
        <v>226.39623403286606</v>
      </c>
      <c r="P6" s="21">
        <f t="shared" si="28"/>
        <v>311.01776429518191</v>
      </c>
      <c r="Q6" s="21">
        <f t="shared" si="28"/>
        <v>373.26688061735399</v>
      </c>
      <c r="R6" s="21">
        <f t="shared" si="28"/>
        <v>339.32187322729601</v>
      </c>
      <c r="S6" s="21">
        <f t="shared" si="28"/>
        <v>533.38471041637627</v>
      </c>
      <c r="T6" s="21">
        <f t="shared" si="28"/>
        <v>791.14081686227348</v>
      </c>
      <c r="U6" s="21">
        <f t="shared" si="28"/>
        <v>880.37273566863269</v>
      </c>
      <c r="V6" s="21">
        <f t="shared" si="28"/>
        <v>246.21399268335745</v>
      </c>
      <c r="W6" s="21">
        <f t="shared" ref="W6:Y6" si="29">SUM(W7:W9)</f>
        <v>420.24006324342412</v>
      </c>
      <c r="X6" s="21">
        <f t="shared" si="29"/>
        <v>604.23783719595508</v>
      </c>
      <c r="Y6" s="21">
        <f t="shared" si="29"/>
        <v>437.66864264251387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106.02997420400919</v>
      </c>
      <c r="C8" s="96">
        <v>121.28372820001793</v>
      </c>
      <c r="D8" s="96">
        <v>132.86105752223307</v>
      </c>
      <c r="E8" s="96">
        <v>133.12133346019243</v>
      </c>
      <c r="F8" s="96">
        <v>151.91529503793993</v>
      </c>
      <c r="G8" s="96">
        <v>145.67356190260145</v>
      </c>
      <c r="H8" s="96">
        <v>137.98499498495377</v>
      </c>
      <c r="I8" s="96">
        <v>177.84473701798217</v>
      </c>
      <c r="J8" s="96">
        <v>186.33469190795688</v>
      </c>
      <c r="K8" s="96">
        <v>237.96719230142142</v>
      </c>
      <c r="L8" s="96">
        <v>262.30976923230747</v>
      </c>
      <c r="M8" s="96">
        <v>202.76037545950754</v>
      </c>
      <c r="N8" s="96">
        <v>178.61321812780139</v>
      </c>
      <c r="O8" s="96">
        <v>174.82165950198961</v>
      </c>
      <c r="P8" s="96">
        <v>240.12399372103948</v>
      </c>
      <c r="Q8" s="96">
        <v>288.68012024773793</v>
      </c>
      <c r="R8" s="96">
        <v>266.19702208192217</v>
      </c>
      <c r="S8" s="96">
        <v>423.27072677448461</v>
      </c>
      <c r="T8" s="96">
        <v>625.12634723919462</v>
      </c>
      <c r="U8" s="96">
        <v>690.83235350624943</v>
      </c>
      <c r="V8" s="96">
        <v>180.79642642521486</v>
      </c>
      <c r="W8" s="96">
        <v>319.54433223507095</v>
      </c>
      <c r="X8" s="96">
        <v>481.75875540158859</v>
      </c>
      <c r="Y8" s="96">
        <v>345.24970176989098</v>
      </c>
      <c r="DA8" s="171" t="s">
        <v>329</v>
      </c>
    </row>
    <row r="9" spans="1:105" ht="11.45" customHeight="1" x14ac:dyDescent="0.25">
      <c r="A9" s="83" t="s">
        <v>182</v>
      </c>
      <c r="B9" s="96">
        <v>30.555535329859058</v>
      </c>
      <c r="C9" s="96">
        <v>34.965829437965944</v>
      </c>
      <c r="D9" s="96">
        <v>38.253692683155052</v>
      </c>
      <c r="E9" s="96">
        <v>38.273881091601758</v>
      </c>
      <c r="F9" s="96">
        <v>43.662542961051884</v>
      </c>
      <c r="G9" s="96">
        <v>41.224540512421086</v>
      </c>
      <c r="H9" s="96">
        <v>38.654212525102608</v>
      </c>
      <c r="I9" s="96">
        <v>48.583279716371159</v>
      </c>
      <c r="J9" s="96">
        <v>54.436480008315186</v>
      </c>
      <c r="K9" s="96">
        <v>73.36210938026359</v>
      </c>
      <c r="L9" s="96">
        <v>78.572373314266713</v>
      </c>
      <c r="M9" s="96">
        <v>61.438834460072265</v>
      </c>
      <c r="N9" s="96">
        <v>53.365718650804553</v>
      </c>
      <c r="O9" s="96">
        <v>51.574574530876433</v>
      </c>
      <c r="P9" s="96">
        <v>70.893770574142437</v>
      </c>
      <c r="Q9" s="96">
        <v>84.586760369616044</v>
      </c>
      <c r="R9" s="96">
        <v>73.12485114537381</v>
      </c>
      <c r="S9" s="96">
        <v>110.11398364189171</v>
      </c>
      <c r="T9" s="96">
        <v>166.01446962307887</v>
      </c>
      <c r="U9" s="96">
        <v>189.54038216238325</v>
      </c>
      <c r="V9" s="96">
        <v>65.417566258142571</v>
      </c>
      <c r="W9" s="96">
        <v>100.69573100835315</v>
      </c>
      <c r="X9" s="96">
        <v>122.47908179436648</v>
      </c>
      <c r="Y9" s="96">
        <v>92.418940872622869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829.24903110613161</v>
      </c>
      <c r="C10" s="22">
        <f t="shared" si="30"/>
        <v>888.38649144201611</v>
      </c>
      <c r="D10" s="22">
        <f t="shared" ref="D10:V10" si="31">SUM(D11:D13)</f>
        <v>960.70637607461197</v>
      </c>
      <c r="E10" s="22">
        <f t="shared" si="31"/>
        <v>1007.6771537282057</v>
      </c>
      <c r="F10" s="22">
        <f t="shared" si="31"/>
        <v>1087.3719402410084</v>
      </c>
      <c r="G10" s="22">
        <f t="shared" si="31"/>
        <v>1116.6555986649771</v>
      </c>
      <c r="H10" s="22">
        <f t="shared" si="31"/>
        <v>1043.284324929944</v>
      </c>
      <c r="I10" s="22">
        <f t="shared" si="31"/>
        <v>1084.8644826656466</v>
      </c>
      <c r="J10" s="22">
        <f t="shared" si="31"/>
        <v>1079.1898790837281</v>
      </c>
      <c r="K10" s="22">
        <f t="shared" si="31"/>
        <v>953.55810367831532</v>
      </c>
      <c r="L10" s="22">
        <f t="shared" si="31"/>
        <v>956.92246329342584</v>
      </c>
      <c r="M10" s="22">
        <f t="shared" si="31"/>
        <v>949.97522728042031</v>
      </c>
      <c r="N10" s="22">
        <f t="shared" si="31"/>
        <v>888.26971194139401</v>
      </c>
      <c r="O10" s="22">
        <f t="shared" si="31"/>
        <v>898.93189084713413</v>
      </c>
      <c r="P10" s="22">
        <f t="shared" si="31"/>
        <v>911.08753050481857</v>
      </c>
      <c r="Q10" s="22">
        <f t="shared" si="31"/>
        <v>1004.4085017026459</v>
      </c>
      <c r="R10" s="22">
        <f t="shared" si="31"/>
        <v>1189.4200394527043</v>
      </c>
      <c r="S10" s="22">
        <f t="shared" si="31"/>
        <v>1195.1627869436236</v>
      </c>
      <c r="T10" s="22">
        <f t="shared" si="31"/>
        <v>1057.1802313777262</v>
      </c>
      <c r="U10" s="22">
        <f t="shared" si="31"/>
        <v>927.71396413136756</v>
      </c>
      <c r="V10" s="22">
        <f t="shared" si="31"/>
        <v>1399.3758023566422</v>
      </c>
      <c r="W10" s="22">
        <f t="shared" ref="W10:Y10" si="32">SUM(W11:W13)</f>
        <v>1457.0868542365758</v>
      </c>
      <c r="X10" s="22">
        <f t="shared" si="32"/>
        <v>1344.4370320840451</v>
      </c>
      <c r="Y10" s="22">
        <f t="shared" si="32"/>
        <v>1359.7750740374863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32.03171134998292</v>
      </c>
      <c r="C12" s="97">
        <v>13.769209988672916</v>
      </c>
      <c r="D12" s="97">
        <v>9.2987139517845723</v>
      </c>
      <c r="E12" s="97">
        <v>15.232395168847049</v>
      </c>
      <c r="F12" s="97">
        <v>14.471887288470269</v>
      </c>
      <c r="G12" s="97">
        <v>17.02269635846309</v>
      </c>
      <c r="H12" s="97">
        <v>8.8309744731043178</v>
      </c>
      <c r="I12" s="97">
        <v>15.646697347548706</v>
      </c>
      <c r="J12" s="97">
        <v>22.01453551859532</v>
      </c>
      <c r="K12" s="97">
        <v>22.752215386738545</v>
      </c>
      <c r="L12" s="97">
        <v>24.588078629727836</v>
      </c>
      <c r="M12" s="97">
        <v>12.844921470783618</v>
      </c>
      <c r="N12" s="97">
        <v>12.295833261374751</v>
      </c>
      <c r="O12" s="97">
        <v>13.367861504296602</v>
      </c>
      <c r="P12" s="97">
        <v>17.32008243701187</v>
      </c>
      <c r="Q12" s="97">
        <v>18.11581045298416</v>
      </c>
      <c r="R12" s="97">
        <v>11.684492729046104</v>
      </c>
      <c r="S12" s="97">
        <v>22.934486020027645</v>
      </c>
      <c r="T12" s="97">
        <v>26.286956996512348</v>
      </c>
      <c r="U12" s="97">
        <v>28.996970214878797</v>
      </c>
      <c r="V12" s="97">
        <v>21.564850132046089</v>
      </c>
      <c r="W12" s="97">
        <v>23.064547381726079</v>
      </c>
      <c r="X12" s="97">
        <v>19.737458734735444</v>
      </c>
      <c r="Y12" s="97">
        <v>13.831119636166148</v>
      </c>
      <c r="DA12" s="175" t="s">
        <v>333</v>
      </c>
    </row>
    <row r="13" spans="1:105" ht="11.45" customHeight="1" x14ac:dyDescent="0.25">
      <c r="A13" s="85" t="s">
        <v>182</v>
      </c>
      <c r="B13" s="98">
        <v>797.21731975614864</v>
      </c>
      <c r="C13" s="98">
        <v>874.61728145334314</v>
      </c>
      <c r="D13" s="98">
        <v>951.40766212282745</v>
      </c>
      <c r="E13" s="98">
        <v>992.44475855935866</v>
      </c>
      <c r="F13" s="98">
        <v>1072.9000529525381</v>
      </c>
      <c r="G13" s="98">
        <v>1099.6329023065141</v>
      </c>
      <c r="H13" s="98">
        <v>1034.4533504568396</v>
      </c>
      <c r="I13" s="98">
        <v>1069.2177853180979</v>
      </c>
      <c r="J13" s="98">
        <v>1057.1753435651328</v>
      </c>
      <c r="K13" s="98">
        <v>930.80588829157682</v>
      </c>
      <c r="L13" s="98">
        <v>932.33438466369796</v>
      </c>
      <c r="M13" s="98">
        <v>937.13030580963675</v>
      </c>
      <c r="N13" s="98">
        <v>875.97387868001931</v>
      </c>
      <c r="O13" s="98">
        <v>885.56402934283756</v>
      </c>
      <c r="P13" s="98">
        <v>893.76744806780675</v>
      </c>
      <c r="Q13" s="98">
        <v>986.29269124966174</v>
      </c>
      <c r="R13" s="98">
        <v>1177.7355467236582</v>
      </c>
      <c r="S13" s="98">
        <v>1172.228300923596</v>
      </c>
      <c r="T13" s="98">
        <v>1030.8932743812138</v>
      </c>
      <c r="U13" s="98">
        <v>898.71699391648872</v>
      </c>
      <c r="V13" s="98">
        <v>1377.8109522245961</v>
      </c>
      <c r="W13" s="98">
        <v>1434.0223068548498</v>
      </c>
      <c r="X13" s="98">
        <v>1324.6995733493097</v>
      </c>
      <c r="Y13" s="98">
        <v>1345.9439544013201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3.0103091999999991</v>
      </c>
      <c r="D19" s="98">
        <f>IF(D5=0,0,D5/TrAvia_ene!D5)</f>
        <v>3.0103091999999996</v>
      </c>
      <c r="E19" s="98">
        <f>IF(E5=0,0,E5/TrAvia_ene!E5)</f>
        <v>3.0103092</v>
      </c>
      <c r="F19" s="98">
        <f>IF(F5=0,0,F5/TrAvia_ene!F5)</f>
        <v>3.0103092</v>
      </c>
      <c r="G19" s="98">
        <f>IF(G5=0,0,G5/TrAvia_ene!G5)</f>
        <v>3.0103091999999996</v>
      </c>
      <c r="H19" s="98">
        <f>IF(H5=0,0,H5/TrAvia_ene!H5)</f>
        <v>3.0103092000000014</v>
      </c>
      <c r="I19" s="98">
        <f>IF(I5=0,0,I5/TrAvia_ene!I5)</f>
        <v>3.0103092000000009</v>
      </c>
      <c r="J19" s="98">
        <f>IF(J5=0,0,J5/TrAvia_ene!J5)</f>
        <v>3.0103092000000005</v>
      </c>
      <c r="K19" s="98">
        <f>IF(K5=0,0,K5/TrAvia_ene!K5)</f>
        <v>3.0103092000000018</v>
      </c>
      <c r="L19" s="98">
        <f>IF(L5=0,0,L5/TrAvia_ene!L5)</f>
        <v>3.0103092</v>
      </c>
      <c r="M19" s="98">
        <f>IF(M5=0,0,M5/TrAvia_ene!M5)</f>
        <v>3.0103092000000014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3.0103092000000005</v>
      </c>
      <c r="Q19" s="98">
        <f>IF(Q5=0,0,Q5/TrAvia_ene!Q5)</f>
        <v>3.0103092</v>
      </c>
      <c r="R19" s="98">
        <f>IF(R5=0,0,R5/TrAvia_ene!R5)</f>
        <v>3.0103092000000009</v>
      </c>
      <c r="S19" s="98">
        <f>IF(S5=0,0,S5/TrAvia_ene!S5)</f>
        <v>3.0103092</v>
      </c>
      <c r="T19" s="98">
        <f>IF(T5=0,0,T5/TrAvia_ene!T5)</f>
        <v>3.0103091999999991</v>
      </c>
      <c r="U19" s="98">
        <f>IF(U5=0,0,U5/TrAvia_ene!U5)</f>
        <v>3.0103092000000005</v>
      </c>
      <c r="V19" s="98">
        <f>IF(V5=0,0,V5/TrAvia_ene!V5)</f>
        <v>3.0103091999999996</v>
      </c>
      <c r="W19" s="98">
        <f>IF(W5=0,0,W5/TrAvia_ene!W5)</f>
        <v>3.0103092000000005</v>
      </c>
      <c r="X19" s="98">
        <f>IF(X5=0,0,X5/TrAvia_ene!X5)</f>
        <v>3.0103092000000005</v>
      </c>
      <c r="Y19" s="98">
        <f>IF(Y5=0,0,Y5/TrAvia_ene!Y5)</f>
        <v>3.0070683929450466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23848.797528159972</v>
      </c>
      <c r="C21" s="54">
        <f>IF(C3=0,0,C3/TrAvia_act!C13*1000)</f>
        <v>25262.583917469401</v>
      </c>
      <c r="D21" s="54">
        <f>IF(D3=0,0,D3/TrAvia_act!D13*1000)</f>
        <v>25529.252854310933</v>
      </c>
      <c r="E21" s="54">
        <f>IF(E3=0,0,E3/TrAvia_act!E13*1000)</f>
        <v>24672.568618814214</v>
      </c>
      <c r="F21" s="54">
        <f>IF(F3=0,0,F3/TrAvia_act!F13*1000)</f>
        <v>25707.738399233232</v>
      </c>
      <c r="G21" s="54">
        <f>IF(G3=0,0,G3/TrAvia_act!G13*1000)</f>
        <v>25377.706399786268</v>
      </c>
      <c r="H21" s="54">
        <f>IF(H3=0,0,H3/TrAvia_act!H13*1000)</f>
        <v>23228.081527404582</v>
      </c>
      <c r="I21" s="54">
        <f>IF(I3=0,0,I3/TrAvia_act!I13*1000)</f>
        <v>21619.408749242382</v>
      </c>
      <c r="J21" s="54">
        <f>IF(J3=0,0,J3/TrAvia_act!J13*1000)</f>
        <v>19566.985508492278</v>
      </c>
      <c r="K21" s="54">
        <f>IF(K3=0,0,K3/TrAvia_act!K13*1000)</f>
        <v>22794.465939322134</v>
      </c>
      <c r="L21" s="54">
        <f>IF(L3=0,0,L3/TrAvia_act!L13*1000)</f>
        <v>22985.53313752027</v>
      </c>
      <c r="M21" s="54">
        <f>IF(M3=0,0,M3/TrAvia_act!M13*1000)</f>
        <v>21516.181945976976</v>
      </c>
      <c r="N21" s="54">
        <f>IF(N3=0,0,N3/TrAvia_act!N13*1000)</f>
        <v>22273.309924481204</v>
      </c>
      <c r="O21" s="54">
        <f>IF(O3=0,0,O3/TrAvia_act!O13*1000)</f>
        <v>21663.027963754357</v>
      </c>
      <c r="P21" s="54">
        <f>IF(P3=0,0,P3/TrAvia_act!P13*1000)</f>
        <v>23657.800507748427</v>
      </c>
      <c r="Q21" s="54">
        <f>IF(Q3=0,0,Q3/TrAvia_act!Q13*1000)</f>
        <v>24092.110732465961</v>
      </c>
      <c r="R21" s="54">
        <f>IF(R3=0,0,R3/TrAvia_act!R13*1000)</f>
        <v>26323.60563032133</v>
      </c>
      <c r="S21" s="54">
        <f>IF(S3=0,0,S3/TrAvia_act!S13*1000)</f>
        <v>26483.630396169847</v>
      </c>
      <c r="T21" s="54">
        <f>IF(T3=0,0,T3/TrAvia_act!T13*1000)</f>
        <v>27309.575654486223</v>
      </c>
      <c r="U21" s="54">
        <f>IF(U3=0,0,U3/TrAvia_act!U13*1000)</f>
        <v>27152.914727578875</v>
      </c>
      <c r="V21" s="54">
        <f>IF(V3=0,0,V3/TrAvia_act!V13*1000)</f>
        <v>23875.933143219212</v>
      </c>
      <c r="W21" s="54">
        <f>IF(W3=0,0,W3/TrAvia_act!W13*1000)</f>
        <v>22514.420569152087</v>
      </c>
      <c r="X21" s="54">
        <f>IF(X3=0,0,X3/TrAvia_act!X13*1000)</f>
        <v>22813.000802632207</v>
      </c>
      <c r="Y21" s="54">
        <f>IF(Y3=0,0,Y3/TrAvia_act!Y13*1000)</f>
        <v>23874.27093164068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11056.314474229313</v>
      </c>
      <c r="C22" s="11">
        <f>IF(C6=0,0,C6/TrAvia_act!C14*1000)</f>
        <v>11682.994009531201</v>
      </c>
      <c r="D22" s="11">
        <f>IF(D6=0,0,D6/TrAvia_act!D14*1000)</f>
        <v>11799.799821043242</v>
      </c>
      <c r="E22" s="11">
        <f>IF(E6=0,0,E6/TrAvia_act!E14*1000)</f>
        <v>11336.045247557802</v>
      </c>
      <c r="F22" s="11">
        <f>IF(F6=0,0,F6/TrAvia_act!F14*1000)</f>
        <v>11877.641659828379</v>
      </c>
      <c r="G22" s="11">
        <f>IF(G6=0,0,G6/TrAvia_act!G14*1000)</f>
        <v>11563.244424654613</v>
      </c>
      <c r="H22" s="11">
        <f>IF(H6=0,0,H6/TrAvia_act!H14*1000)</f>
        <v>10866.322796089609</v>
      </c>
      <c r="I22" s="11">
        <f>IF(I6=0,0,I6/TrAvia_act!I14*1000)</f>
        <v>13745.663124228464</v>
      </c>
      <c r="J22" s="11">
        <f>IF(J6=0,0,J6/TrAvia_act!J14*1000)</f>
        <v>14162.584339311654</v>
      </c>
      <c r="K22" s="11">
        <f>IF(K6=0,0,K6/TrAvia_act!K14*1000)</f>
        <v>19920.02311109758</v>
      </c>
      <c r="L22" s="11">
        <f>IF(L6=0,0,L6/TrAvia_act!L14*1000)</f>
        <v>21836.125444517591</v>
      </c>
      <c r="M22" s="11">
        <f>IF(M6=0,0,M6/TrAvia_act!M14*1000)</f>
        <v>15891.647823112004</v>
      </c>
      <c r="N22" s="11">
        <f>IF(N6=0,0,N6/TrAvia_act!N14*1000)</f>
        <v>14274.146291122819</v>
      </c>
      <c r="O22" s="11">
        <f>IF(O6=0,0,O6/TrAvia_act!O14*1000)</f>
        <v>13748.431120654612</v>
      </c>
      <c r="P22" s="11">
        <f>IF(P6=0,0,P6/TrAvia_act!P14*1000)</f>
        <v>16997.765204578038</v>
      </c>
      <c r="Q22" s="11">
        <f>IF(Q6=0,0,Q6/TrAvia_act!Q14*1000)</f>
        <v>19562.382962780728</v>
      </c>
      <c r="R22" s="11">
        <f>IF(R6=0,0,R6/TrAvia_act!R14*1000)</f>
        <v>17342.796015009415</v>
      </c>
      <c r="S22" s="11">
        <f>IF(S6=0,0,S6/TrAvia_act!S14*1000)</f>
        <v>23101.837131659482</v>
      </c>
      <c r="T22" s="11">
        <f>IF(T6=0,0,T6/TrAvia_act!T14*1000)</f>
        <v>28937.108054733431</v>
      </c>
      <c r="U22" s="11">
        <f>IF(U6=0,0,U6/TrAvia_act!U14*1000)</f>
        <v>29892.814688671453</v>
      </c>
      <c r="V22" s="11">
        <f>IF(V6=0,0,V6/TrAvia_act!V14*1000)</f>
        <v>19693.057365083754</v>
      </c>
      <c r="W22" s="11">
        <f>IF(W6=0,0,W6/TrAvia_act!W14*1000)</f>
        <v>24116.494741913761</v>
      </c>
      <c r="X22" s="11">
        <f>IF(X6=0,0,X6/TrAvia_act!X14*1000)</f>
        <v>21959.591548144232</v>
      </c>
      <c r="Y22" s="11">
        <f>IF(Y6=0,0,Y6/TrAvia_act!Y14*1000)</f>
        <v>15317.192414817857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9587.6711777222372</v>
      </c>
      <c r="C24" s="84">
        <f>IF(C8=0,0,C8/TrAvia_act!C16*1000)</f>
        <v>10130.543409048505</v>
      </c>
      <c r="D24" s="84">
        <f>IF(D8=0,0,D8/TrAvia_act!D16*1000)</f>
        <v>10233.352261111706</v>
      </c>
      <c r="E24" s="84">
        <f>IF(E8=0,0,E8/TrAvia_act!E16*1000)</f>
        <v>9832.8042643703266</v>
      </c>
      <c r="F24" s="84">
        <f>IF(F8=0,0,F8/TrAvia_act!F16*1000)</f>
        <v>10302.939433948563</v>
      </c>
      <c r="G24" s="84">
        <f>IF(G8=0,0,G8/TrAvia_act!G16*1000)</f>
        <v>10102.155435231936</v>
      </c>
      <c r="H24" s="84">
        <f>IF(H8=0,0,H8/TrAvia_act!H16*1000)</f>
        <v>9583.1845004133193</v>
      </c>
      <c r="I24" s="84">
        <f>IF(I8=0,0,I8/TrAvia_act!I16*1000)</f>
        <v>12902.173602167048</v>
      </c>
      <c r="J24" s="84">
        <f>IF(J8=0,0,J8/TrAvia_act!J16*1000)</f>
        <v>13561.938317016826</v>
      </c>
      <c r="K24" s="84">
        <f>IF(K8=0,0,K8/TrAvia_act!K16*1000)</f>
        <v>19788.29992108879</v>
      </c>
      <c r="L24" s="84">
        <f>IF(L8=0,0,L8/TrAvia_act!L16*1000)</f>
        <v>21809.593388633613</v>
      </c>
      <c r="M24" s="84">
        <f>IF(M8=0,0,M8/TrAvia_act!M16*1000)</f>
        <v>14944.501239039615</v>
      </c>
      <c r="N24" s="84">
        <f>IF(N8=0,0,N8/TrAvia_act!N16*1000)</f>
        <v>13217.927520958301</v>
      </c>
      <c r="O24" s="84">
        <f>IF(O8=0,0,O8/TrAvia_act!O16*1000)</f>
        <v>12761.868873921123</v>
      </c>
      <c r="P24" s="84">
        <f>IF(P8=0,0,P8/TrAvia_act!P16*1000)</f>
        <v>16123.013214187729</v>
      </c>
      <c r="Q24" s="84">
        <f>IF(Q8=0,0,Q8/TrAvia_act!Q16*1000)</f>
        <v>18636.944308301401</v>
      </c>
      <c r="R24" s="84">
        <f>IF(R8=0,0,R8/TrAvia_act!R16*1000)</f>
        <v>15376.981554520866</v>
      </c>
      <c r="S24" s="84">
        <f>IF(S8=0,0,S8/TrAvia_act!S16*1000)</f>
        <v>21888.641176002999</v>
      </c>
      <c r="T24" s="84">
        <f>IF(T8=0,0,T8/TrAvia_act!T16*1000)</f>
        <v>29710.881574497635</v>
      </c>
      <c r="U24" s="84">
        <f>IF(U8=0,0,U8/TrAvia_act!U16*1000)</f>
        <v>31622.404454221698</v>
      </c>
      <c r="V24" s="84">
        <f>IF(V8=0,0,V8/TrAvia_act!V16*1000)</f>
        <v>17916.421094619942</v>
      </c>
      <c r="W24" s="84">
        <f>IF(W8=0,0,W8/TrAvia_act!W16*1000)</f>
        <v>24367.495419521201</v>
      </c>
      <c r="X24" s="84">
        <f>IF(X8=0,0,X8/TrAvia_act!X16*1000)</f>
        <v>22100.646318749161</v>
      </c>
      <c r="Y24" s="84">
        <f>IF(Y8=0,0,Y8/TrAvia_act!Y16*1000)</f>
        <v>14508.245270014433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23601.775791558466</v>
      </c>
      <c r="C25" s="84">
        <f>IF(C9=0,0,C9/TrAvia_act!C17*1000)</f>
        <v>24939.657780056652</v>
      </c>
      <c r="D25" s="84">
        <f>IF(D9=0,0,D9/TrAvia_act!D17*1000)</f>
        <v>25194.172306793942</v>
      </c>
      <c r="E25" s="84">
        <f>IF(E9=0,0,E9/TrAvia_act!E17*1000)</f>
        <v>24208.682056255126</v>
      </c>
      <c r="F25" s="84">
        <f>IF(F9=0,0,F9/TrAvia_act!F17*1000)</f>
        <v>25367.503315430582</v>
      </c>
      <c r="G25" s="84">
        <f>IF(G9=0,0,G9/TrAvia_act!G17*1000)</f>
        <v>23650.509045798779</v>
      </c>
      <c r="H25" s="84">
        <f>IF(H9=0,0,H9/TrAvia_act!H17*1000)</f>
        <v>20815.426739224575</v>
      </c>
      <c r="I25" s="84">
        <f>IF(I9=0,0,I9/TrAvia_act!I17*1000)</f>
        <v>18070.126088675494</v>
      </c>
      <c r="J25" s="84">
        <f>IF(J9=0,0,J9/TrAvia_act!J17*1000)</f>
        <v>16693.295679504201</v>
      </c>
      <c r="K25" s="84">
        <f>IF(K9=0,0,K9/TrAvia_act!K17*1000)</f>
        <v>20359.634576713332</v>
      </c>
      <c r="L25" s="84">
        <f>IF(L9=0,0,L9/TrAvia_act!L17*1000)</f>
        <v>21925.170726253164</v>
      </c>
      <c r="M25" s="84">
        <f>IF(M9=0,0,M9/TrAvia_act!M17*1000)</f>
        <v>20094.609883227487</v>
      </c>
      <c r="N25" s="84">
        <f>IF(N9=0,0,N9/TrAvia_act!N17*1000)</f>
        <v>19485.545070920209</v>
      </c>
      <c r="O25" s="84">
        <f>IF(O9=0,0,O9/TrAvia_act!O17*1000)</f>
        <v>18630.353866787966</v>
      </c>
      <c r="P25" s="84">
        <f>IF(P9=0,0,P9/TrAvia_act!P17*1000)</f>
        <v>20824.634177747528</v>
      </c>
      <c r="Q25" s="84">
        <f>IF(Q9=0,0,Q9/TrAvia_act!Q17*1000)</f>
        <v>23554.035597193284</v>
      </c>
      <c r="R25" s="84">
        <f>IF(R9=0,0,R9/TrAvia_act!R17*1000)</f>
        <v>32439.606757194106</v>
      </c>
      <c r="S25" s="84">
        <f>IF(S9=0,0,S9/TrAvia_act!S17*1000)</f>
        <v>29356.285542784048</v>
      </c>
      <c r="T25" s="84">
        <f>IF(T9=0,0,T9/TrAvia_act!T17*1000)</f>
        <v>26352.785525730644</v>
      </c>
      <c r="U25" s="84">
        <f>IF(U9=0,0,U9/TrAvia_act!U17*1000)</f>
        <v>24924.151895170125</v>
      </c>
      <c r="V25" s="84">
        <f>IF(V9=0,0,V9/TrAvia_act!V17*1000)</f>
        <v>27127.596196714872</v>
      </c>
      <c r="W25" s="84">
        <f>IF(W9=0,0,W9/TrAvia_act!W17*1000)</f>
        <v>23353.135003145901</v>
      </c>
      <c r="X25" s="84">
        <f>IF(X9=0,0,X9/TrAvia_act!X17*1000)</f>
        <v>21421.809076171856</v>
      </c>
      <c r="Y25" s="84">
        <f>IF(Y9=0,0,Y9/TrAvia_act!Y17*1000)</f>
        <v>19347.080918730007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29463.846769015156</v>
      </c>
      <c r="C26" s="13">
        <f>IF(C10=0,0,C10/TrAvia_act!C18*1000)</f>
        <v>31754.156775558655</v>
      </c>
      <c r="D26" s="13">
        <f>IF(D10=0,0,D10/TrAvia_act!D18*1000)</f>
        <v>32203.037886043319</v>
      </c>
      <c r="E26" s="13">
        <f>IF(E10=0,0,E10/TrAvia_act!E18*1000)</f>
        <v>30844.766236892905</v>
      </c>
      <c r="F26" s="13">
        <f>IF(F10=0,0,F10/TrAvia_act!F18*1000)</f>
        <v>32517.931575847415</v>
      </c>
      <c r="G26" s="13">
        <f>IF(G10=0,0,G10/TrAvia_act!G18*1000)</f>
        <v>31720.488293632028</v>
      </c>
      <c r="H26" s="13">
        <f>IF(H10=0,0,H10/TrAvia_act!H18*1000)</f>
        <v>28769.39652424735</v>
      </c>
      <c r="I26" s="13">
        <f>IF(I10=0,0,I10/TrAvia_act!I18*1000)</f>
        <v>24555.112929778206</v>
      </c>
      <c r="J26" s="13">
        <f>IF(J10=0,0,J10/TrAvia_act!J18*1000)</f>
        <v>21387.855479840884</v>
      </c>
      <c r="K26" s="13">
        <f>IF(K10=0,0,K10/TrAvia_act!K18*1000)</f>
        <v>23921.467430586647</v>
      </c>
      <c r="L26" s="13">
        <f>IF(L10=0,0,L10/TrAvia_act!L18*1000)</f>
        <v>23424.772654080331</v>
      </c>
      <c r="M26" s="13">
        <f>IF(M10=0,0,M10/TrAvia_act!M18*1000)</f>
        <v>23865.293481961147</v>
      </c>
      <c r="N26" s="13">
        <f>IF(N10=0,0,N10/TrAvia_act!N18*1000)</f>
        <v>26091.908272799781</v>
      </c>
      <c r="O26" s="13">
        <f>IF(O10=0,0,O10/TrAvia_act!O18*1000)</f>
        <v>25336.380779260195</v>
      </c>
      <c r="P26" s="13">
        <f>IF(P10=0,0,P10/TrAvia_act!P18*1000)</f>
        <v>27310.747641555801</v>
      </c>
      <c r="Q26" s="13">
        <f>IF(Q10=0,0,Q10/TrAvia_act!Q18*1000)</f>
        <v>26360.474184223061</v>
      </c>
      <c r="R26" s="13">
        <f>IF(R10=0,0,R10/TrAvia_act!R18*1000)</f>
        <v>30886.515546399492</v>
      </c>
      <c r="S26" s="13">
        <f>IF(S10=0,0,S10/TrAvia_act!S18*1000)</f>
        <v>28334.745176113513</v>
      </c>
      <c r="T26" s="13">
        <f>IF(T10=0,0,T10/TrAvia_act!T18*1000)</f>
        <v>26206.541438363362</v>
      </c>
      <c r="U26" s="13">
        <f>IF(U10=0,0,U10/TrAvia_act!U18*1000)</f>
        <v>24980.137450812494</v>
      </c>
      <c r="V26" s="13">
        <f>IF(V10=0,0,V10/TrAvia_act!V18*1000)</f>
        <v>24802.852214292565</v>
      </c>
      <c r="W26" s="13">
        <f>IF(W10=0,0,W10/TrAvia_act!W18*1000)</f>
        <v>22091.168456092688</v>
      </c>
      <c r="X26" s="13">
        <f>IF(X10=0,0,X10/TrAvia_act!X18*1000)</f>
        <v>23218.542481574263</v>
      </c>
      <c r="Y26" s="13">
        <f>IF(Y10=0,0,Y10/TrAvia_act!Y18*1000)</f>
        <v>29108.379600318382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13719.380339045114</v>
      </c>
      <c r="C28" s="102">
        <f>IF(C12=0,0,C12/TrAvia_act!C20*1000)</f>
        <v>11665.53087349485</v>
      </c>
      <c r="D28" s="102">
        <f>IF(D12=0,0,D12/TrAvia_act!D20*1000)</f>
        <v>9509.2560677733982</v>
      </c>
      <c r="E28" s="102">
        <f>IF(E12=0,0,E12/TrAvia_act!E20*1000)</f>
        <v>11329.551905051441</v>
      </c>
      <c r="F28" s="102">
        <f>IF(F12=0,0,F12/TrAvia_act!F20*1000)</f>
        <v>12899.966021482038</v>
      </c>
      <c r="G28" s="102">
        <f>IF(G12=0,0,G12/TrAvia_act!G20*1000)</f>
        <v>12623.90615791605</v>
      </c>
      <c r="H28" s="102">
        <f>IF(H12=0,0,H12/TrAvia_act!H20*1000)</f>
        <v>9800.3583606322736</v>
      </c>
      <c r="I28" s="102">
        <f>IF(I12=0,0,I12/TrAvia_act!I20*1000)</f>
        <v>13433.995368286498</v>
      </c>
      <c r="J28" s="102">
        <f>IF(J12=0,0,J12/TrAvia_act!J20*1000)</f>
        <v>14823.433799007906</v>
      </c>
      <c r="K28" s="102">
        <f>IF(K12=0,0,K12/TrAvia_act!K20*1000)</f>
        <v>19416.076943604461</v>
      </c>
      <c r="L28" s="102">
        <f>IF(L12=0,0,L12/TrAvia_act!L20*1000)</f>
        <v>18745.96262743523</v>
      </c>
      <c r="M28" s="102">
        <f>IF(M12=0,0,M12/TrAvia_act!M20*1000)</f>
        <v>13318.786820595393</v>
      </c>
      <c r="N28" s="102">
        <f>IF(N12=0,0,N12/TrAvia_act!N20*1000)</f>
        <v>12863.989425894983</v>
      </c>
      <c r="O28" s="102">
        <f>IF(O12=0,0,O12/TrAvia_act!O20*1000)</f>
        <v>12519.25943653423</v>
      </c>
      <c r="P28" s="102">
        <f>IF(P12=0,0,P12/TrAvia_act!P20*1000)</f>
        <v>16209.654106456703</v>
      </c>
      <c r="Q28" s="102">
        <f>IF(Q12=0,0,Q12/TrAvia_act!Q20*1000)</f>
        <v>18782.068518090313</v>
      </c>
      <c r="R28" s="102">
        <f>IF(R12=0,0,R12/TrAvia_act!R20*1000)</f>
        <v>15657.967583297706</v>
      </c>
      <c r="S28" s="102">
        <f>IF(S12=0,0,S12/TrAvia_act!S20*1000)</f>
        <v>24681.392120535973</v>
      </c>
      <c r="T28" s="102">
        <f>IF(T12=0,0,T12/TrAvia_act!T20*1000)</f>
        <v>31428.490048187003</v>
      </c>
      <c r="U28" s="102">
        <f>IF(U12=0,0,U12/TrAvia_act!U20*1000)</f>
        <v>37533.850812893885</v>
      </c>
      <c r="V28" s="102">
        <f>IF(V12=0,0,V12/TrAvia_act!V20*1000)</f>
        <v>29199.051100214645</v>
      </c>
      <c r="W28" s="102">
        <f>IF(W12=0,0,W12/TrAvia_act!W20*1000)</f>
        <v>29156.126499066202</v>
      </c>
      <c r="X28" s="102">
        <f>IF(X12=0,0,X12/TrAvia_act!X20*1000)</f>
        <v>24117.170446678414</v>
      </c>
      <c r="Y28" s="102">
        <f>IF(Y12=0,0,Y12/TrAvia_act!Y20*1000)</f>
        <v>15658.861266854825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30888.102920146121</v>
      </c>
      <c r="C29" s="86">
        <f>IF(C13=0,0,C13/TrAvia_act!C21*1000)</f>
        <v>32639.015093903916</v>
      </c>
      <c r="D29" s="86">
        <f>IF(D13=0,0,D13/TrAvia_act!D21*1000)</f>
        <v>32972.103204136081</v>
      </c>
      <c r="E29" s="86">
        <f>IF(E13=0,0,E13/TrAvia_act!E21*1000)</f>
        <v>31682.372950180761</v>
      </c>
      <c r="F29" s="86">
        <f>IF(F13=0,0,F13/TrAvia_act!F21*1000)</f>
        <v>33198.94486559854</v>
      </c>
      <c r="G29" s="86">
        <f>IF(G13=0,0,G13/TrAvia_act!G21*1000)</f>
        <v>32481.118359903008</v>
      </c>
      <c r="H29" s="86">
        <f>IF(H13=0,0,H13/TrAvia_act!H21*1000)</f>
        <v>29252.753311674427</v>
      </c>
      <c r="I29" s="86">
        <f>IF(I13=0,0,I13/TrAvia_act!I21*1000)</f>
        <v>24856.229738983973</v>
      </c>
      <c r="J29" s="86">
        <f>IF(J13=0,0,J13/TrAvia_act!J21*1000)</f>
        <v>21586.923226831954</v>
      </c>
      <c r="K29" s="86">
        <f>IF(K13=0,0,K13/TrAvia_act!K21*1000)</f>
        <v>24057.923754035564</v>
      </c>
      <c r="L29" s="86">
        <f>IF(L13=0,0,L13/TrAvia_act!L21*1000)</f>
        <v>23579.984215170003</v>
      </c>
      <c r="M29" s="86">
        <f>IF(M13=0,0,M13/TrAvia_act!M21*1000)</f>
        <v>24127.161014996211</v>
      </c>
      <c r="N29" s="86">
        <f>IF(N13=0,0,N13/TrAvia_act!N21*1000)</f>
        <v>26474.030876183817</v>
      </c>
      <c r="O29" s="86">
        <f>IF(O13=0,0,O13/TrAvia_act!O21*1000)</f>
        <v>25734.08719262118</v>
      </c>
      <c r="P29" s="86">
        <f>IF(P13=0,0,P13/TrAvia_act!P21*1000)</f>
        <v>27678.07503600535</v>
      </c>
      <c r="Q29" s="86">
        <f>IF(Q13=0,0,Q13/TrAvia_act!Q21*1000)</f>
        <v>26557.294631000001</v>
      </c>
      <c r="R29" s="86">
        <f>IF(R13=0,0,R13/TrAvia_act!R21*1000)</f>
        <v>31187.445199954389</v>
      </c>
      <c r="S29" s="86">
        <f>IF(S13=0,0,S13/TrAvia_act!S21*1000)</f>
        <v>28417.04097300327</v>
      </c>
      <c r="T29" s="86">
        <f>IF(T13=0,0,T13/TrAvia_act!T21*1000)</f>
        <v>26095.978576201815</v>
      </c>
      <c r="U29" s="86">
        <f>IF(U13=0,0,U13/TrAvia_act!U21*1000)</f>
        <v>24713.444197915091</v>
      </c>
      <c r="V29" s="86">
        <f>IF(V13=0,0,V13/TrAvia_act!V21*1000)</f>
        <v>24744.541974854947</v>
      </c>
      <c r="W29" s="86">
        <f>IF(W13=0,0,W13/TrAvia_act!W21*1000)</f>
        <v>22005.405809913686</v>
      </c>
      <c r="X29" s="86">
        <f>IF(X13=0,0,X13/TrAvia_act!X21*1000)</f>
        <v>23205.659353382114</v>
      </c>
      <c r="Y29" s="86">
        <f>IF(Y13=0,0,Y13/TrAvia_act!Y21*1000)</f>
        <v>29367.585666422867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180.5861464327229</v>
      </c>
      <c r="C32" s="14">
        <f>IF(C6=0,0,C6/TrAvia_act!C4*1000)</f>
        <v>188.18781521758993</v>
      </c>
      <c r="D32" s="14">
        <f>IF(D6=0,0,D6/TrAvia_act!D4*1000)</f>
        <v>189.484787012466</v>
      </c>
      <c r="E32" s="14">
        <f>IF(E6=0,0,E6/TrAvia_act!E4*1000)</f>
        <v>183.69862612988126</v>
      </c>
      <c r="F32" s="14">
        <f>IF(F6=0,0,F6/TrAvia_act!F4*1000)</f>
        <v>194.20687464324521</v>
      </c>
      <c r="G32" s="14">
        <f>IF(G6=0,0,G6/TrAvia_act!G4*1000)</f>
        <v>187.25507031006262</v>
      </c>
      <c r="H32" s="14">
        <f>IF(H6=0,0,H6/TrAvia_act!H4*1000)</f>
        <v>181.68550201612001</v>
      </c>
      <c r="I32" s="14">
        <f>IF(I6=0,0,I6/TrAvia_act!I4*1000)</f>
        <v>227.8644051090607</v>
      </c>
      <c r="J32" s="14">
        <f>IF(J6=0,0,J6/TrAvia_act!J4*1000)</f>
        <v>232.33132171872694</v>
      </c>
      <c r="K32" s="14">
        <f>IF(K6=0,0,K6/TrAvia_act!K4*1000)</f>
        <v>318.51254044350321</v>
      </c>
      <c r="L32" s="14">
        <f>IF(L6=0,0,L6/TrAvia_act!L4*1000)</f>
        <v>320.70959029923733</v>
      </c>
      <c r="M32" s="14">
        <f>IF(M6=0,0,M6/TrAvia_act!M4*1000)</f>
        <v>246.55456972788593</v>
      </c>
      <c r="N32" s="14">
        <f>IF(N6=0,0,N6/TrAvia_act!N4*1000)</f>
        <v>223.11546016147594</v>
      </c>
      <c r="O32" s="14">
        <f>IF(O6=0,0,O6/TrAvia_act!O4*1000)</f>
        <v>191.80346900595003</v>
      </c>
      <c r="P32" s="14">
        <f>IF(P6=0,0,P6/TrAvia_act!P4*1000)</f>
        <v>221.8210601078267</v>
      </c>
      <c r="Q32" s="14">
        <f>IF(Q6=0,0,Q6/TrAvia_act!Q4*1000)</f>
        <v>244.53276057747584</v>
      </c>
      <c r="R32" s="14">
        <f>IF(R6=0,0,R6/TrAvia_act!R4*1000)</f>
        <v>207.31529206394529</v>
      </c>
      <c r="S32" s="14">
        <f>IF(S6=0,0,S6/TrAvia_act!S4*1000)</f>
        <v>261.81854007250666</v>
      </c>
      <c r="T32" s="14">
        <f>IF(T6=0,0,T6/TrAvia_act!T4*1000)</f>
        <v>334.17845499518603</v>
      </c>
      <c r="U32" s="14">
        <f>IF(U6=0,0,U6/TrAvia_act!U4*1000)</f>
        <v>334.28248874904494</v>
      </c>
      <c r="V32" s="14">
        <f>IF(V6=0,0,V6/TrAvia_act!V4*1000)</f>
        <v>250.5670069854032</v>
      </c>
      <c r="W32" s="14">
        <f>IF(W6=0,0,W6/TrAvia_act!W4*1000)</f>
        <v>261.25631614071182</v>
      </c>
      <c r="X32" s="14">
        <f>IF(X6=0,0,X6/TrAvia_act!X4*1000)</f>
        <v>218.91122548037356</v>
      </c>
      <c r="Y32" s="14">
        <f>IF(Y6=0,0,Y6/TrAvia_act!Y4*1000)</f>
        <v>141.5178975312636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166.33670424271642</v>
      </c>
      <c r="C34" s="87">
        <f>IF(C8=0,0,C8/TrAvia_act!C6*1000)</f>
        <v>173.66357167748001</v>
      </c>
      <c r="D34" s="87">
        <f>IF(D8=0,0,D8/TrAvia_act!D6*1000)</f>
        <v>175.28882507102472</v>
      </c>
      <c r="E34" s="87">
        <f>IF(E8=0,0,E8/TrAvia_act!E6*1000)</f>
        <v>170.66097841431457</v>
      </c>
      <c r="F34" s="87">
        <f>IF(F8=0,0,F8/TrAvia_act!F6*1000)</f>
        <v>181.28014021861097</v>
      </c>
      <c r="G34" s="87">
        <f>IF(G8=0,0,G8/TrAvia_act!G6*1000)</f>
        <v>179.39263836256259</v>
      </c>
      <c r="H34" s="87">
        <f>IF(H8=0,0,H8/TrAvia_act!H6*1000)</f>
        <v>178.01920302229999</v>
      </c>
      <c r="I34" s="87">
        <f>IF(I8=0,0,I8/TrAvia_act!I6*1000)</f>
        <v>243.22827583048218</v>
      </c>
      <c r="J34" s="87">
        <f>IF(J8=0,0,J8/TrAvia_act!J6*1000)</f>
        <v>267.77551494654125</v>
      </c>
      <c r="K34" s="87">
        <f>IF(K8=0,0,K8/TrAvia_act!K6*1000)</f>
        <v>396.12677064328295</v>
      </c>
      <c r="L34" s="87">
        <f>IF(L8=0,0,L8/TrAvia_act!L6*1000)</f>
        <v>417.13084710843992</v>
      </c>
      <c r="M34" s="87">
        <f>IF(M8=0,0,M8/TrAvia_act!M6*1000)</f>
        <v>269.13497905842382</v>
      </c>
      <c r="N34" s="87">
        <f>IF(N8=0,0,N8/TrAvia_act!N6*1000)</f>
        <v>233.63214536445042</v>
      </c>
      <c r="O34" s="87">
        <f>IF(O8=0,0,O8/TrAvia_act!O6*1000)</f>
        <v>195.26397574793114</v>
      </c>
      <c r="P34" s="87">
        <f>IF(P8=0,0,P8/TrAvia_act!P6*1000)</f>
        <v>234.1867189707298</v>
      </c>
      <c r="Q34" s="87">
        <f>IF(Q8=0,0,Q8/TrAvia_act!Q6*1000)</f>
        <v>251.68886013453741</v>
      </c>
      <c r="R34" s="87">
        <f>IF(R8=0,0,R8/TrAvia_act!R6*1000)</f>
        <v>195.89960577215925</v>
      </c>
      <c r="S34" s="87">
        <f>IF(S8=0,0,S8/TrAvia_act!S6*1000)</f>
        <v>251.70805426934285</v>
      </c>
      <c r="T34" s="87">
        <f>IF(T8=0,0,T8/TrAvia_act!T6*1000)</f>
        <v>333.34489541312115</v>
      </c>
      <c r="U34" s="87">
        <f>IF(U8=0,0,U8/TrAvia_act!U6*1000)</f>
        <v>341.35091375986406</v>
      </c>
      <c r="V34" s="87">
        <f>IF(V8=0,0,V8/TrAvia_act!V6*1000)</f>
        <v>232.07401290159495</v>
      </c>
      <c r="W34" s="87">
        <f>IF(W8=0,0,W8/TrAvia_act!W6*1000)</f>
        <v>271.98140314183559</v>
      </c>
      <c r="X34" s="87">
        <f>IF(X8=0,0,X8/TrAvia_act!X6*1000)</f>
        <v>229.23920407887471</v>
      </c>
      <c r="Y34" s="87">
        <f>IF(Y8=0,0,Y8/TrAvia_act!Y6*1000)</f>
        <v>136.66302011000295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256.97735603285224</v>
      </c>
      <c r="C35" s="87">
        <f>IF(C9=0,0,C9/TrAvia_act!C7*1000)</f>
        <v>265.08954212496843</v>
      </c>
      <c r="D35" s="87">
        <f>IF(D9=0,0,D9/TrAvia_act!D7*1000)</f>
        <v>263.64108168001383</v>
      </c>
      <c r="E35" s="87">
        <f>IF(E9=0,0,E9/TrAvia_act!E7*1000)</f>
        <v>250.17223873375667</v>
      </c>
      <c r="F35" s="87">
        <f>IF(F9=0,0,F9/TrAvia_act!F7*1000)</f>
        <v>258.28901514021817</v>
      </c>
      <c r="G35" s="87">
        <f>IF(G9=0,0,G9/TrAvia_act!G7*1000)</f>
        <v>221.57047142275661</v>
      </c>
      <c r="H35" s="87">
        <f>IF(H9=0,0,H9/TrAvia_act!H7*1000)</f>
        <v>196.10265592787627</v>
      </c>
      <c r="I35" s="87">
        <f>IF(I9=0,0,I9/TrAvia_act!I7*1000)</f>
        <v>185.07081611964674</v>
      </c>
      <c r="J35" s="87">
        <f>IF(J9=0,0,J9/TrAvia_act!J7*1000)</f>
        <v>159.88852444339051</v>
      </c>
      <c r="K35" s="87">
        <f>IF(K9=0,0,K9/TrAvia_act!K7*1000)</f>
        <v>194.74291027278406</v>
      </c>
      <c r="L35" s="87">
        <f>IF(L9=0,0,L9/TrAvia_act!L7*1000)</f>
        <v>181.01862175885549</v>
      </c>
      <c r="M35" s="87">
        <f>IF(M9=0,0,M9/TrAvia_act!M7*1000)</f>
        <v>193.09043487008054</v>
      </c>
      <c r="N35" s="87">
        <f>IF(N9=0,0,N9/TrAvia_act!N7*1000)</f>
        <v>193.90218709931438</v>
      </c>
      <c r="O35" s="87">
        <f>IF(O9=0,0,O9/TrAvia_act!O7*1000)</f>
        <v>180.93425940592931</v>
      </c>
      <c r="P35" s="87">
        <f>IF(P9=0,0,P9/TrAvia_act!P7*1000)</f>
        <v>188.1677574881852</v>
      </c>
      <c r="Q35" s="87">
        <f>IF(Q9=0,0,Q9/TrAvia_act!Q7*1000)</f>
        <v>222.90340554936682</v>
      </c>
      <c r="R35" s="87">
        <f>IF(R9=0,0,R9/TrAvia_act!R7*1000)</f>
        <v>263.13462799789403</v>
      </c>
      <c r="S35" s="87">
        <f>IF(S9=0,0,S9/TrAvia_act!S7*1000)</f>
        <v>309.62501363366619</v>
      </c>
      <c r="T35" s="87">
        <f>IF(T9=0,0,T9/TrAvia_act!T7*1000)</f>
        <v>337.35497665983161</v>
      </c>
      <c r="U35" s="87">
        <f>IF(U9=0,0,U9/TrAvia_act!U7*1000)</f>
        <v>310.82364759990196</v>
      </c>
      <c r="V35" s="87">
        <f>IF(V9=0,0,V9/TrAvia_act!V7*1000)</f>
        <v>321.3344421585399</v>
      </c>
      <c r="W35" s="87">
        <f>IF(W9=0,0,W9/TrAvia_act!W7*1000)</f>
        <v>232.1998015699001</v>
      </c>
      <c r="X35" s="87">
        <f>IF(X9=0,0,X9/TrAvia_act!X7*1000)</f>
        <v>185.9572865748745</v>
      </c>
      <c r="Y35" s="87">
        <f>IF(Y9=0,0,Y9/TrAvia_act!Y7*1000)</f>
        <v>163.17228913011107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473.81972570348853</v>
      </c>
      <c r="C36" s="15">
        <f>IF(C10=0,0,C10/TrAvia_act!C8*1000)</f>
        <v>471.9067600501059</v>
      </c>
      <c r="D36" s="15">
        <f>IF(D10=0,0,D10/TrAvia_act!D8*1000)</f>
        <v>502.93589901796497</v>
      </c>
      <c r="E36" s="15">
        <f>IF(E10=0,0,E10/TrAvia_act!E8*1000)</f>
        <v>531.19256408912918</v>
      </c>
      <c r="F36" s="15">
        <f>IF(F10=0,0,F10/TrAvia_act!F8*1000)</f>
        <v>574.38558263058303</v>
      </c>
      <c r="G36" s="15">
        <f>IF(G10=0,0,G10/TrAvia_act!G8*1000)</f>
        <v>596.98201735421958</v>
      </c>
      <c r="H36" s="15">
        <f>IF(H10=0,0,H10/TrAvia_act!H8*1000)</f>
        <v>556.38252861268984</v>
      </c>
      <c r="I36" s="15">
        <f>IF(I10=0,0,I10/TrAvia_act!I8*1000)</f>
        <v>483.13249162944322</v>
      </c>
      <c r="J36" s="15">
        <f>IF(J10=0,0,J10/TrAvia_act!J8*1000)</f>
        <v>429.90715999181782</v>
      </c>
      <c r="K36" s="15">
        <f>IF(K10=0,0,K10/TrAvia_act!K8*1000)</f>
        <v>426.91728000608845</v>
      </c>
      <c r="L36" s="15">
        <f>IF(L10=0,0,L10/TrAvia_act!L8*1000)</f>
        <v>412.21685987577416</v>
      </c>
      <c r="M36" s="15">
        <f>IF(M10=0,0,M10/TrAvia_act!M8*1000)</f>
        <v>404.48923160653703</v>
      </c>
      <c r="N36" s="15">
        <f>IF(N10=0,0,N10/TrAvia_act!N8*1000)</f>
        <v>441.61785337186535</v>
      </c>
      <c r="O36" s="15">
        <f>IF(O10=0,0,O10/TrAvia_act!O8*1000)</f>
        <v>408.64075170553753</v>
      </c>
      <c r="P36" s="15">
        <f>IF(P10=0,0,P10/TrAvia_act!P8*1000)</f>
        <v>373.3494477142126</v>
      </c>
      <c r="Q36" s="15">
        <f>IF(Q10=0,0,Q10/TrAvia_act!Q8*1000)</f>
        <v>360.76352068127272</v>
      </c>
      <c r="R36" s="15">
        <f>IF(R10=0,0,R10/TrAvia_act!R8*1000)</f>
        <v>392.56207182725444</v>
      </c>
      <c r="S36" s="15">
        <f>IF(S10=0,0,S10/TrAvia_act!S8*1000)</f>
        <v>363.35480833217144</v>
      </c>
      <c r="T36" s="15">
        <f>IF(T10=0,0,T10/TrAvia_act!T8*1000)</f>
        <v>329.54775955074336</v>
      </c>
      <c r="U36" s="15">
        <f>IF(U10=0,0,U10/TrAvia_act!U8*1000)</f>
        <v>288.88942401396849</v>
      </c>
      <c r="V36" s="15">
        <f>IF(V10=0,0,V10/TrAvia_act!V8*1000)</f>
        <v>442.58559406182076</v>
      </c>
      <c r="W36" s="15">
        <f>IF(W10=0,0,W10/TrAvia_act!W8*1000)</f>
        <v>365.32963681266295</v>
      </c>
      <c r="X36" s="15">
        <f>IF(X10=0,0,X10/TrAvia_act!X8*1000)</f>
        <v>348.62754909111317</v>
      </c>
      <c r="Y36" s="15">
        <f>IF(Y10=0,0,Y10/TrAvia_act!Y8*1000)</f>
        <v>427.57214471165281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793.87595037963251</v>
      </c>
      <c r="C38" s="101">
        <f>IF(C12=0,0,C12/TrAvia_act!C10*1000)</f>
        <v>616.92343343621701</v>
      </c>
      <c r="D38" s="101">
        <f>IF(D12=0,0,D12/TrAvia_act!D10*1000)</f>
        <v>491.95748088984755</v>
      </c>
      <c r="E38" s="101">
        <f>IF(E12=0,0,E12/TrAvia_act!E10*1000)</f>
        <v>484.63907477033337</v>
      </c>
      <c r="F38" s="101">
        <f>IF(F12=0,0,F12/TrAvia_act!F10*1000)</f>
        <v>577.78827150620782</v>
      </c>
      <c r="G38" s="101">
        <f>IF(G12=0,0,G12/TrAvia_act!G10*1000)</f>
        <v>564.20010140397051</v>
      </c>
      <c r="H38" s="101">
        <f>IF(H12=0,0,H12/TrAvia_act!H10*1000)</f>
        <v>525.39425732474206</v>
      </c>
      <c r="I38" s="101">
        <f>IF(I12=0,0,I12/TrAvia_act!I10*1000)</f>
        <v>689.73289850275751</v>
      </c>
      <c r="J38" s="101">
        <f>IF(J12=0,0,J12/TrAvia_act!J10*1000)</f>
        <v>717.89812209427714</v>
      </c>
      <c r="K38" s="101">
        <f>IF(K12=0,0,K12/TrAvia_act!K10*1000)</f>
        <v>938.24353105968009</v>
      </c>
      <c r="L38" s="101">
        <f>IF(L12=0,0,L12/TrAvia_act!L10*1000)</f>
        <v>940.80402451984025</v>
      </c>
      <c r="M38" s="101">
        <f>IF(M12=0,0,M12/TrAvia_act!M10*1000)</f>
        <v>624.58424592001882</v>
      </c>
      <c r="N38" s="101">
        <f>IF(N12=0,0,N12/TrAvia_act!N10*1000)</f>
        <v>534.86971355424384</v>
      </c>
      <c r="O38" s="101">
        <f>IF(O12=0,0,O12/TrAvia_act!O10*1000)</f>
        <v>518.06795561583408</v>
      </c>
      <c r="P38" s="101">
        <f>IF(P12=0,0,P12/TrAvia_act!P10*1000)</f>
        <v>593.80050065400189</v>
      </c>
      <c r="Q38" s="101">
        <f>IF(Q12=0,0,Q12/TrAvia_act!Q10*1000)</f>
        <v>729.34765546487836</v>
      </c>
      <c r="R38" s="101">
        <f>IF(R12=0,0,R12/TrAvia_act!R10*1000)</f>
        <v>535.44773486363476</v>
      </c>
      <c r="S38" s="101">
        <f>IF(S12=0,0,S12/TrAvia_act!S10*1000)</f>
        <v>901.91736023499459</v>
      </c>
      <c r="T38" s="101">
        <f>IF(T12=0,0,T12/TrAvia_act!T10*1000)</f>
        <v>1133.1679373185489</v>
      </c>
      <c r="U38" s="101">
        <f>IF(U12=0,0,U12/TrAvia_act!U10*1000)</f>
        <v>1328.3317175032948</v>
      </c>
      <c r="V38" s="101">
        <f>IF(V12=0,0,V12/TrAvia_act!V10*1000)</f>
        <v>1263.281342370896</v>
      </c>
      <c r="W38" s="101">
        <f>IF(W12=0,0,W12/TrAvia_act!W10*1000)</f>
        <v>1291.8354821639407</v>
      </c>
      <c r="X38" s="101">
        <f>IF(X12=0,0,X12/TrAvia_act!X10*1000)</f>
        <v>1032.1231583104188</v>
      </c>
      <c r="Y38" s="101">
        <f>IF(Y12=0,0,Y12/TrAvia_act!Y10*1000)</f>
        <v>640.79790401933519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466.26686281167224</v>
      </c>
      <c r="C39" s="88">
        <f>IF(C13=0,0,C13/TrAvia_act!C11*1000)</f>
        <v>470.16683862879694</v>
      </c>
      <c r="D39" s="88">
        <f>IF(D13=0,0,D13/TrAvia_act!D11*1000)</f>
        <v>503.04561649460209</v>
      </c>
      <c r="E39" s="88">
        <f>IF(E13=0,0,E13/TrAvia_act!E11*1000)</f>
        <v>531.9768752967351</v>
      </c>
      <c r="F39" s="88">
        <f>IF(F13=0,0,F13/TrAvia_act!F11*1000)</f>
        <v>574.3399591455011</v>
      </c>
      <c r="G39" s="88">
        <f>IF(G13=0,0,G13/TrAvia_act!G11*1000)</f>
        <v>597.51946214106192</v>
      </c>
      <c r="H39" s="88">
        <f>IF(H13=0,0,H13/TrAvia_act!H11*1000)</f>
        <v>556.66281496916338</v>
      </c>
      <c r="I39" s="88">
        <f>IF(I13=0,0,I13/TrAvia_act!I11*1000)</f>
        <v>481.02399224959288</v>
      </c>
      <c r="J39" s="88">
        <f>IF(J13=0,0,J13/TrAvia_act!J11*1000)</f>
        <v>426.34559948090487</v>
      </c>
      <c r="K39" s="88">
        <f>IF(K13=0,0,K13/TrAvia_act!K11*1000)</f>
        <v>421.30494437184603</v>
      </c>
      <c r="L39" s="88">
        <f>IF(L13=0,0,L13/TrAvia_act!L11*1000)</f>
        <v>406.19808348730686</v>
      </c>
      <c r="M39" s="88">
        <f>IF(M13=0,0,M13/TrAvia_act!M11*1000)</f>
        <v>402.54492386928126</v>
      </c>
      <c r="N39" s="88">
        <f>IF(N13=0,0,N13/TrAvia_act!N11*1000)</f>
        <v>440.53974751660724</v>
      </c>
      <c r="O39" s="88">
        <f>IF(O13=0,0,O13/TrAvia_act!O11*1000)</f>
        <v>407.3419594516281</v>
      </c>
      <c r="P39" s="88">
        <f>IF(P13=0,0,P13/TrAvia_act!P11*1000)</f>
        <v>370.68259376025651</v>
      </c>
      <c r="Q39" s="88">
        <f>IF(Q13=0,0,Q13/TrAvia_act!Q11*1000)</f>
        <v>357.44561547591127</v>
      </c>
      <c r="R39" s="88">
        <f>IF(R13=0,0,R13/TrAvia_act!R11*1000)</f>
        <v>391.52551356885931</v>
      </c>
      <c r="S39" s="88">
        <f>IF(S13=0,0,S13/TrAvia_act!S11*1000)</f>
        <v>359.15883452222818</v>
      </c>
      <c r="T39" s="88">
        <f>IF(T13=0,0,T13/TrAvia_act!T11*1000)</f>
        <v>323.69422594682845</v>
      </c>
      <c r="U39" s="88">
        <f>IF(U13=0,0,U13/TrAvia_act!U11*1000)</f>
        <v>281.77522013092823</v>
      </c>
      <c r="V39" s="88">
        <f>IF(V13=0,0,V13/TrAvia_act!V11*1000)</f>
        <v>438.13064701624165</v>
      </c>
      <c r="W39" s="88">
        <f>IF(W13=0,0,W13/TrAvia_act!W11*1000)</f>
        <v>361.16349706500597</v>
      </c>
      <c r="X39" s="88">
        <f>IF(X13=0,0,X13/TrAvia_act!X11*1000)</f>
        <v>345.22130602029404</v>
      </c>
      <c r="Y39" s="88">
        <f>IF(Y13=0,0,Y13/TrAvia_act!Y11*1000)</f>
        <v>426.11508998860268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46159.173228828127</v>
      </c>
      <c r="C41" s="54">
        <f>IF(C3=0,0,C3/TrAvia_act!C23*1000000)</f>
        <v>47945.476825775659</v>
      </c>
      <c r="D41" s="54">
        <f>IF(D3=0,0,D3/TrAvia_act!D23*1000000)</f>
        <v>48290.0045345166</v>
      </c>
      <c r="E41" s="54">
        <f>IF(E3=0,0,E3/TrAvia_act!E23*1000000)</f>
        <v>47335.194840419121</v>
      </c>
      <c r="F41" s="54">
        <f>IF(F3=0,0,F3/TrAvia_act!F23*1000000)</f>
        <v>48433.303569028656</v>
      </c>
      <c r="G41" s="54">
        <f>IF(G3=0,0,G3/TrAvia_act!G23*1000000)</f>
        <v>48188.743524453799</v>
      </c>
      <c r="H41" s="54">
        <f>IF(H3=0,0,H3/TrAvia_act!H23*1000000)</f>
        <v>44493.527333868282</v>
      </c>
      <c r="I41" s="54">
        <f>IF(I3=0,0,I3/TrAvia_act!I23*1000000)</f>
        <v>46486.546348553602</v>
      </c>
      <c r="J41" s="54">
        <f>IF(J3=0,0,J3/TrAvia_act!J23*1000000)</f>
        <v>44301.42812552442</v>
      </c>
      <c r="K41" s="54">
        <f>IF(K3=0,0,K3/TrAvia_act!K23*1000000)</f>
        <v>49373.020233420524</v>
      </c>
      <c r="L41" s="54">
        <f>IF(L3=0,0,L3/TrAvia_act!L23*1000000)</f>
        <v>50511.991820340168</v>
      </c>
      <c r="M41" s="54">
        <f>IF(M3=0,0,M3/TrAvia_act!M23*1000000)</f>
        <v>44871.371344099942</v>
      </c>
      <c r="N41" s="54">
        <f>IF(N3=0,0,N3/TrAvia_act!N23*1000000)</f>
        <v>41700.738859440142</v>
      </c>
      <c r="O41" s="54">
        <f>IF(O3=0,0,O3/TrAvia_act!O23*1000000)</f>
        <v>40528.996790319099</v>
      </c>
      <c r="P41" s="54">
        <f>IF(P3=0,0,P3/TrAvia_act!P23*1000000)</f>
        <v>43798.347661541789</v>
      </c>
      <c r="Q41" s="54">
        <f>IF(Q3=0,0,Q3/TrAvia_act!Q23*1000000)</f>
        <v>48547.303626753113</v>
      </c>
      <c r="R41" s="54">
        <f>IF(R3=0,0,R3/TrAvia_act!R23*1000000)</f>
        <v>52116.793804929614</v>
      </c>
      <c r="S41" s="54">
        <f>IF(S3=0,0,S3/TrAvia_act!S23*1000000)</f>
        <v>54188.140611304429</v>
      </c>
      <c r="T41" s="54">
        <f>IF(T3=0,0,T3/TrAvia_act!T23*1000000)</f>
        <v>54495.416700769507</v>
      </c>
      <c r="U41" s="54">
        <f>IF(U3=0,0,U3/TrAvia_act!U23*1000000)</f>
        <v>52629.506616213075</v>
      </c>
      <c r="V41" s="54">
        <f>IF(V3=0,0,V3/TrAvia_act!V23*1000000)</f>
        <v>79474.05558968414</v>
      </c>
      <c r="W41" s="54">
        <f>IF(W3=0,0,W3/TrAvia_act!W23*1000000)</f>
        <v>78945.623106812447</v>
      </c>
      <c r="X41" s="54">
        <f>IF(X3=0,0,X3/TrAvia_act!X23*1000000)</f>
        <v>58603.23797906893</v>
      </c>
      <c r="Y41" s="54">
        <f>IF(Y3=0,0,Y3/TrAvia_act!Y23*1000000)</f>
        <v>53441.271233870488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9190.869358311571</v>
      </c>
      <c r="C42" s="11">
        <f>IF(C6=0,0,C6/TrAvia_act!C24*1000000)</f>
        <v>9711.5767069416306</v>
      </c>
      <c r="D42" s="11">
        <f>IF(D6=0,0,D6/TrAvia_act!D24*1000000)</f>
        <v>9807.1269031056945</v>
      </c>
      <c r="E42" s="11">
        <f>IF(E6=0,0,E6/TrAvia_act!E24*1000000)</f>
        <v>9420.4251155212805</v>
      </c>
      <c r="F42" s="11">
        <f>IF(F6=0,0,F6/TrAvia_act!F24*1000000)</f>
        <v>9869.693076251102</v>
      </c>
      <c r="G42" s="11">
        <f>IF(G6=0,0,G6/TrAvia_act!G24*1000000)</f>
        <v>9506.9994615709129</v>
      </c>
      <c r="H42" s="11">
        <f>IF(H6=0,0,H6/TrAvia_act!H24*1000000)</f>
        <v>8847.0002759719719</v>
      </c>
      <c r="I42" s="11">
        <f>IF(I6=0,0,I6/TrAvia_act!I24*1000000)</f>
        <v>11786.373261899605</v>
      </c>
      <c r="J42" s="11">
        <f>IF(J6=0,0,J6/TrAvia_act!J24*1000000)</f>
        <v>12269.219930507137</v>
      </c>
      <c r="K42" s="11">
        <f>IF(K6=0,0,K6/TrAvia_act!K24*1000000)</f>
        <v>17507.130500010404</v>
      </c>
      <c r="L42" s="11">
        <f>IF(L6=0,0,L6/TrAvia_act!L24*1000000)</f>
        <v>19193.814332577374</v>
      </c>
      <c r="M42" s="11">
        <f>IF(M6=0,0,M6/TrAvia_act!M24*1000000)</f>
        <v>13434.996690545629</v>
      </c>
      <c r="N42" s="11">
        <f>IF(N6=0,0,N6/TrAvia_act!N24*1000000)</f>
        <v>11484.105781119106</v>
      </c>
      <c r="O42" s="11">
        <f>IF(O6=0,0,O6/TrAvia_act!O24*1000000)</f>
        <v>11062.06557377436</v>
      </c>
      <c r="P42" s="11">
        <f>IF(P6=0,0,P6/TrAvia_act!P24*1000000)</f>
        <v>14774.488826905226</v>
      </c>
      <c r="Q42" s="11">
        <f>IF(Q6=0,0,Q6/TrAvia_act!Q24*1000000)</f>
        <v>17534.145087248871</v>
      </c>
      <c r="R42" s="11">
        <f>IF(R6=0,0,R6/TrAvia_act!R24*1000000)</f>
        <v>14959.303144526562</v>
      </c>
      <c r="S42" s="11">
        <f>IF(S6=0,0,S6/TrAvia_act!S24*1000000)</f>
        <v>21642.714969217945</v>
      </c>
      <c r="T42" s="11">
        <f>IF(T6=0,0,T6/TrAvia_act!T24*1000000)</f>
        <v>29262.495075539038</v>
      </c>
      <c r="U42" s="11">
        <f>IF(U6=0,0,U6/TrAvia_act!U24*1000000)</f>
        <v>31408.231739872735</v>
      </c>
      <c r="V42" s="11">
        <f>IF(V6=0,0,V6/TrAvia_act!V24*1000000)</f>
        <v>22391.232510308972</v>
      </c>
      <c r="W42" s="11">
        <f>IF(W6=0,0,W6/TrAvia_act!W24*1000000)</f>
        <v>32589.380631517965</v>
      </c>
      <c r="X42" s="11">
        <f>IF(X6=0,0,X6/TrAvia_act!X24*1000000)</f>
        <v>24924.218834135834</v>
      </c>
      <c r="Y42" s="11">
        <f>IF(Y6=0,0,Y6/TrAvia_act!Y24*1000000)</f>
        <v>16581.498111101115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7349.4125046100507</v>
      </c>
      <c r="C44" s="84">
        <f>IF(C8=0,0,C8/TrAvia_act!C26*1000000)</f>
        <v>7765.1404187219368</v>
      </c>
      <c r="D44" s="84">
        <f>IF(D8=0,0,D8/TrAvia_act!D26*1000000)</f>
        <v>7843.5006507015223</v>
      </c>
      <c r="E44" s="84">
        <f>IF(E8=0,0,E8/TrAvia_act!E26*1000000)</f>
        <v>7536.3073743315463</v>
      </c>
      <c r="F44" s="84">
        <f>IF(F8=0,0,F8/TrAvia_act!F26*1000000)</f>
        <v>7896.2157616269005</v>
      </c>
      <c r="G44" s="84">
        <f>IF(G8=0,0,G8/TrAvia_act!G26*1000000)</f>
        <v>7655.3450997215541</v>
      </c>
      <c r="H44" s="84">
        <f>IF(H8=0,0,H8/TrAvia_act!H26*1000000)</f>
        <v>7152.0756225031755</v>
      </c>
      <c r="I44" s="84">
        <f>IF(I8=0,0,I8/TrAvia_act!I26*1000000)</f>
        <v>9717.2296480156365</v>
      </c>
      <c r="J44" s="84">
        <f>IF(J8=0,0,J8/TrAvia_act!J26*1000000)</f>
        <v>9999.7151394202465</v>
      </c>
      <c r="K44" s="84">
        <f>IF(K8=0,0,K8/TrAvia_act!K26*1000000)</f>
        <v>14159.656807177284</v>
      </c>
      <c r="L44" s="84">
        <f>IF(L8=0,0,L8/TrAvia_act!L26*1000000)</f>
        <v>15542.440554145138</v>
      </c>
      <c r="M44" s="84">
        <f>IF(M8=0,0,M8/TrAvia_act!M26*1000000)</f>
        <v>10773.092580601857</v>
      </c>
      <c r="N44" s="84">
        <f>IF(N8=0,0,N8/TrAvia_act!N26*1000000)</f>
        <v>9247.8625933416897</v>
      </c>
      <c r="O44" s="84">
        <f>IF(O8=0,0,O8/TrAvia_act!O26*1000000)</f>
        <v>8942.2843735033039</v>
      </c>
      <c r="P44" s="84">
        <f>IF(P8=0,0,P8/TrAvia_act!P26*1000000)</f>
        <v>12003.198886330392</v>
      </c>
      <c r="Q44" s="84">
        <f>IF(Q8=0,0,Q8/TrAvia_act!Q26*1000000)</f>
        <v>14178.091461506701</v>
      </c>
      <c r="R44" s="84">
        <f>IF(R8=0,0,R8/TrAvia_act!R26*1000000)</f>
        <v>12005.999552675545</v>
      </c>
      <c r="S44" s="84">
        <f>IF(S8=0,0,S8/TrAvia_act!S26*1000000)</f>
        <v>17738.275365622521</v>
      </c>
      <c r="T44" s="84">
        <f>IF(T8=0,0,T8/TrAvia_act!T26*1000000)</f>
        <v>24245.679216506789</v>
      </c>
      <c r="U44" s="84">
        <f>IF(U8=0,0,U8/TrAvia_act!U26*1000000)</f>
        <v>26044.575061498563</v>
      </c>
      <c r="V44" s="84">
        <f>IF(V8=0,0,V8/TrAvia_act!V26*1000000)</f>
        <v>17077.21039248275</v>
      </c>
      <c r="W44" s="84">
        <f>IF(W8=0,0,W8/TrAvia_act!W26*1000000)</f>
        <v>26369.395299147625</v>
      </c>
      <c r="X44" s="84">
        <f>IF(X8=0,0,X8/TrAvia_act!X26*1000000)</f>
        <v>21025.564325997842</v>
      </c>
      <c r="Y44" s="84">
        <f>IF(Y8=0,0,Y8/TrAvia_act!Y26*1000000)</f>
        <v>13981.683139751791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70404.45928538953</v>
      </c>
      <c r="C45" s="84">
        <f>IF(C9=0,0,C9/TrAvia_act!C27*1000000)</f>
        <v>74395.381782906261</v>
      </c>
      <c r="D45" s="84">
        <f>IF(D9=0,0,D9/TrAvia_act!D27*1000000)</f>
        <v>75154.602520933302</v>
      </c>
      <c r="E45" s="84">
        <f>IF(E9=0,0,E9/TrAvia_act!E27*1000000)</f>
        <v>72214.869984154255</v>
      </c>
      <c r="F45" s="84">
        <f>IF(F9=0,0,F9/TrAvia_act!F27*1000000)</f>
        <v>75671.651578946083</v>
      </c>
      <c r="G45" s="84">
        <f>IF(G9=0,0,G9/TrAvia_act!G27*1000000)</f>
        <v>65435.778591144575</v>
      </c>
      <c r="H45" s="84">
        <f>IF(H9=0,0,H9/TrAvia_act!H27*1000000)</f>
        <v>57435.679829275789</v>
      </c>
      <c r="I45" s="84">
        <f>IF(I9=0,0,I9/TrAvia_act!I27*1000000)</f>
        <v>53446.9523832466</v>
      </c>
      <c r="J45" s="84">
        <f>IF(J9=0,0,J9/TrAvia_act!J27*1000000)</f>
        <v>54986.343442742611</v>
      </c>
      <c r="K45" s="84">
        <f>IF(K9=0,0,K9/TrAvia_act!K27*1000000)</f>
        <v>75089.160061682283</v>
      </c>
      <c r="L45" s="84">
        <f>IF(L9=0,0,L9/TrAvia_act!L27*1000000)</f>
        <v>88983.435236995152</v>
      </c>
      <c r="M45" s="84">
        <f>IF(M9=0,0,M9/TrAvia_act!M27*1000000)</f>
        <v>72794.827559327328</v>
      </c>
      <c r="N45" s="84">
        <f>IF(N9=0,0,N9/TrAvia_act!N27*1000000)</f>
        <v>60232.188093458863</v>
      </c>
      <c r="O45" s="84">
        <f>IF(O9=0,0,O9/TrAvia_act!O27*1000000)</f>
        <v>56304.120666895673</v>
      </c>
      <c r="P45" s="84">
        <f>IF(P9=0,0,P9/TrAvia_act!P27*1000000)</f>
        <v>67776.071294591238</v>
      </c>
      <c r="Q45" s="84">
        <f>IF(Q9=0,0,Q9/TrAvia_act!Q27*1000000)</f>
        <v>91247.853688906194</v>
      </c>
      <c r="R45" s="84">
        <f>IF(R9=0,0,R9/TrAvia_act!R27*1000000)</f>
        <v>143101.46995180784</v>
      </c>
      <c r="S45" s="84">
        <f>IF(S9=0,0,S9/TrAvia_act!S27*1000000)</f>
        <v>140630.88587725634</v>
      </c>
      <c r="T45" s="84">
        <f>IF(T9=0,0,T9/TrAvia_act!T27*1000000)</f>
        <v>132493.5910798714</v>
      </c>
      <c r="U45" s="84">
        <f>IF(U9=0,0,U9/TrAvia_act!U27*1000000)</f>
        <v>125940.45326404202</v>
      </c>
      <c r="V45" s="84">
        <f>IF(V9=0,0,V9/TrAvia_act!V27*1000000)</f>
        <v>159945.14977540972</v>
      </c>
      <c r="W45" s="84">
        <f>IF(W9=0,0,W9/TrAvia_act!W27*1000000)</f>
        <v>129595.53540328592</v>
      </c>
      <c r="X45" s="84">
        <f>IF(X9=0,0,X9/TrAvia_act!X27*1000000)</f>
        <v>92089.535183734188</v>
      </c>
      <c r="Y45" s="84">
        <f>IF(Y9=0,0,Y9/TrAvia_act!Y27*1000000)</f>
        <v>54300.200277686759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136772.06516677086</v>
      </c>
      <c r="C46" s="13">
        <f>IF(C10=0,0,C10/TrAvia_act!C28*1000000)</f>
        <v>155884.62738059592</v>
      </c>
      <c r="D46" s="13">
        <f>IF(D10=0,0,D10/TrAvia_act!D28*1000000)</f>
        <v>160385.03774200531</v>
      </c>
      <c r="E46" s="13">
        <f>IF(E10=0,0,E10/TrAvia_act!E28*1000000)</f>
        <v>150063.61187315051</v>
      </c>
      <c r="F46" s="13">
        <f>IF(F10=0,0,F10/TrAvia_act!F28*1000000)</f>
        <v>162950.98759793321</v>
      </c>
      <c r="G46" s="13">
        <f>IF(G10=0,0,G10/TrAvia_act!G28*1000000)</f>
        <v>151062.71626961272</v>
      </c>
      <c r="H46" s="13">
        <f>IF(H10=0,0,H10/TrAvia_act!H28*1000000)</f>
        <v>140000.58037170477</v>
      </c>
      <c r="I46" s="13">
        <f>IF(I10=0,0,I10/TrAvia_act!I28*1000000)</f>
        <v>120580.69163784002</v>
      </c>
      <c r="J46" s="13">
        <f>IF(J10=0,0,J10/TrAvia_act!J28*1000000)</f>
        <v>106104.59926100954</v>
      </c>
      <c r="K46" s="13">
        <f>IF(K10=0,0,K10/TrAvia_act!K28*1000000)</f>
        <v>121689.39556895294</v>
      </c>
      <c r="L46" s="13">
        <f>IF(L10=0,0,L10/TrAvia_act!L28*1000000)</f>
        <v>120625.54686668674</v>
      </c>
      <c r="M46" s="13">
        <f>IF(M10=0,0,M10/TrAvia_act!M28*1000000)</f>
        <v>128479.20304035979</v>
      </c>
      <c r="N46" s="13">
        <f>IF(N10=0,0,N10/TrAvia_act!N28*1000000)</f>
        <v>133293.77430092948</v>
      </c>
      <c r="O46" s="13">
        <f>IF(O10=0,0,O10/TrAvia_act!O28*1000000)</f>
        <v>123141.35491056633</v>
      </c>
      <c r="P46" s="13">
        <f>IF(P10=0,0,P10/TrAvia_act!P28*1000000)</f>
        <v>132966.65652434598</v>
      </c>
      <c r="Q46" s="13">
        <f>IF(Q10=0,0,Q10/TrAvia_act!Q28*1000000)</f>
        <v>141665.51504973849</v>
      </c>
      <c r="R46" s="13">
        <f>IF(R10=0,0,R10/TrAvia_act!R28*1000000)</f>
        <v>178860.15630867734</v>
      </c>
      <c r="S46" s="13">
        <f>IF(S10=0,0,S10/TrAvia_act!S28*1000000)</f>
        <v>164759.13798505979</v>
      </c>
      <c r="T46" s="13">
        <f>IF(T10=0,0,T10/TrAvia_act!T28*1000000)</f>
        <v>153637.58630689234</v>
      </c>
      <c r="U46" s="13">
        <f>IF(U10=0,0,U10/TrAvia_act!U28*1000000)</f>
        <v>146674.14452669845</v>
      </c>
      <c r="V46" s="13">
        <f>IF(V10=0,0,V10/TrAvia_act!V28*1000000)</f>
        <v>144116.97243631745</v>
      </c>
      <c r="W46" s="13">
        <f>IF(W10=0,0,W10/TrAvia_act!W28*1000000)</f>
        <v>133861.90668227617</v>
      </c>
      <c r="X46" s="13">
        <f>IF(X10=0,0,X10/TrAvia_act!X28*1000000)</f>
        <v>149232.6597939888</v>
      </c>
      <c r="Y46" s="13">
        <f>IF(Y10=0,0,Y10/TrAvia_act!Y28*1000000)</f>
        <v>187840.18152196246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21555.660397027536</v>
      </c>
      <c r="C48" s="102">
        <f>IF(C12=0,0,C12/TrAvia_act!C30*1000000)</f>
        <v>14539.820473783439</v>
      </c>
      <c r="D48" s="102">
        <f>IF(D12=0,0,D12/TrAvia_act!D30*1000000)</f>
        <v>10651.447825640977</v>
      </c>
      <c r="E48" s="102">
        <f>IF(E12=0,0,E12/TrAvia_act!E30*1000000)</f>
        <v>13131.3751455578</v>
      </c>
      <c r="F48" s="102">
        <f>IF(F12=0,0,F12/TrAvia_act!F30*1000000)</f>
        <v>15362.937673535318</v>
      </c>
      <c r="G48" s="102">
        <f>IF(G12=0,0,G12/TrAvia_act!G30*1000000)</f>
        <v>14815.227466025317</v>
      </c>
      <c r="H48" s="102">
        <f>IF(H12=0,0,H12/TrAvia_act!H30*1000000)</f>
        <v>10389.381733063903</v>
      </c>
      <c r="I48" s="102">
        <f>IF(I12=0,0,I12/TrAvia_act!I30*1000000)</f>
        <v>13373.245596195475</v>
      </c>
      <c r="J48" s="102">
        <f>IF(J12=0,0,J12/TrAvia_act!J30*1000000)</f>
        <v>13041.786444665475</v>
      </c>
      <c r="K48" s="102">
        <f>IF(K12=0,0,K12/TrAvia_act!K30*1000000)</f>
        <v>15147.946329386516</v>
      </c>
      <c r="L48" s="102">
        <f>IF(L12=0,0,L12/TrAvia_act!L30*1000000)</f>
        <v>13860.247254638012</v>
      </c>
      <c r="M48" s="102">
        <f>IF(M12=0,0,M12/TrAvia_act!M30*1000000)</f>
        <v>9430.9261900026577</v>
      </c>
      <c r="N48" s="102">
        <f>IF(N12=0,0,N12/TrAvia_act!N30*1000000)</f>
        <v>8398.793211321552</v>
      </c>
      <c r="O48" s="102">
        <f>IF(O12=0,0,O12/TrAvia_act!O30*1000000)</f>
        <v>8381.1043914085276</v>
      </c>
      <c r="P48" s="102">
        <f>IF(P12=0,0,P12/TrAvia_act!P30*1000000)</f>
        <v>11766.360351230889</v>
      </c>
      <c r="Q48" s="102">
        <f>IF(Q12=0,0,Q12/TrAvia_act!Q30*1000000)</f>
        <v>14492.648362387328</v>
      </c>
      <c r="R48" s="102">
        <f>IF(R12=0,0,R12/TrAvia_act!R30*1000000)</f>
        <v>12196.756502135808</v>
      </c>
      <c r="S48" s="102">
        <f>IF(S12=0,0,S12/TrAvia_act!S30*1000000)</f>
        <v>20047.627639884304</v>
      </c>
      <c r="T48" s="102">
        <f>IF(T12=0,0,T12/TrAvia_act!T30*1000000)</f>
        <v>26078.330353682886</v>
      </c>
      <c r="U48" s="102">
        <f>IF(U12=0,0,U12/TrAvia_act!U30*1000000)</f>
        <v>31899.857222088885</v>
      </c>
      <c r="V48" s="102">
        <f>IF(V12=0,0,V12/TrAvia_act!V30*1000000)</f>
        <v>21288.104770035628</v>
      </c>
      <c r="W48" s="102">
        <f>IF(W12=0,0,W12/TrAvia_act!W30*1000000)</f>
        <v>19849.008073774596</v>
      </c>
      <c r="X48" s="102">
        <f>IF(X12=0,0,X12/TrAvia_act!X30*1000000)</f>
        <v>17237.955226843183</v>
      </c>
      <c r="Y48" s="102">
        <f>IF(Y12=0,0,Y12/TrAvia_act!Y30*1000000)</f>
        <v>12438.057226768118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174179.0080306202</v>
      </c>
      <c r="C49" s="86">
        <f>IF(C13=0,0,C13/TrAvia_act!C31*1000000)</f>
        <v>184052.45821829612</v>
      </c>
      <c r="D49" s="86">
        <f>IF(D13=0,0,D13/TrAvia_act!D31*1000000)</f>
        <v>185930.75280883868</v>
      </c>
      <c r="E49" s="86">
        <f>IF(E13=0,0,E13/TrAvia_act!E31*1000000)</f>
        <v>178657.92233291786</v>
      </c>
      <c r="F49" s="86">
        <f>IF(F13=0,0,F13/TrAvia_act!F31*1000000)</f>
        <v>187209.92024996303</v>
      </c>
      <c r="G49" s="86">
        <f>IF(G13=0,0,G13/TrAvia_act!G31*1000000)</f>
        <v>176138.53953331956</v>
      </c>
      <c r="H49" s="86">
        <f>IF(H13=0,0,H13/TrAvia_act!H31*1000000)</f>
        <v>156687.87495559521</v>
      </c>
      <c r="I49" s="86">
        <f>IF(I13=0,0,I13/TrAvia_act!I31*1000000)</f>
        <v>136606.33516265464</v>
      </c>
      <c r="J49" s="86">
        <f>IF(J13=0,0,J13/TrAvia_act!J31*1000000)</f>
        <v>124622.81546211633</v>
      </c>
      <c r="K49" s="86">
        <f>IF(K13=0,0,K13/TrAvia_act!K31*1000000)</f>
        <v>146953.88195320129</v>
      </c>
      <c r="L49" s="86">
        <f>IF(L13=0,0,L13/TrAvia_act!L31*1000000)</f>
        <v>151377.55880235395</v>
      </c>
      <c r="M49" s="86">
        <f>IF(M13=0,0,M13/TrAvia_act!M31*1000000)</f>
        <v>155359.79870849414</v>
      </c>
      <c r="N49" s="86">
        <f>IF(N13=0,0,N13/TrAvia_act!N31*1000000)</f>
        <v>168456.51513077295</v>
      </c>
      <c r="O49" s="86">
        <f>IF(O13=0,0,O13/TrAvia_act!O31*1000000)</f>
        <v>155225.94729935803</v>
      </c>
      <c r="P49" s="86">
        <f>IF(P13=0,0,P13/TrAvia_act!P31*1000000)</f>
        <v>166127.77845126519</v>
      </c>
      <c r="Q49" s="86">
        <f>IF(Q13=0,0,Q13/TrAvia_act!Q31*1000000)</f>
        <v>168885.73480302427</v>
      </c>
      <c r="R49" s="86">
        <f>IF(R13=0,0,R13/TrAvia_act!R31*1000000)</f>
        <v>206910.67229860474</v>
      </c>
      <c r="S49" s="86">
        <f>IF(S13=0,0,S13/TrAvia_act!S31*1000000)</f>
        <v>191854.05907096498</v>
      </c>
      <c r="T49" s="86">
        <f>IF(T13=0,0,T13/TrAvia_act!T31*1000000)</f>
        <v>175530.95085666844</v>
      </c>
      <c r="U49" s="86">
        <f>IF(U13=0,0,U13/TrAvia_act!U31*1000000)</f>
        <v>165937.40655769731</v>
      </c>
      <c r="V49" s="86">
        <f>IF(V13=0,0,V13/TrAvia_act!V31*1000000)</f>
        <v>158423.70383173463</v>
      </c>
      <c r="W49" s="86">
        <f>IF(W13=0,0,W13/TrAvia_act!W31*1000000)</f>
        <v>147487.63826543759</v>
      </c>
      <c r="X49" s="86">
        <f>IF(X13=0,0,X13/TrAvia_act!X31*1000000)</f>
        <v>168451.11563444938</v>
      </c>
      <c r="Y49" s="86">
        <f>IF(Y13=0,0,Y13/TrAvia_act!Y31*1000000)</f>
        <v>219674.22138098907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0.14141708935296654</v>
      </c>
      <c r="C52" s="16">
        <f t="shared" si="36"/>
        <v>0.14957320090149218</v>
      </c>
      <c r="D52" s="16">
        <f t="shared" ref="D52:V52" si="37">IF(D6=0,0,D6/D$3)</f>
        <v>0.15118532975948024</v>
      </c>
      <c r="E52" s="16">
        <f t="shared" si="37"/>
        <v>0.1453644569771583</v>
      </c>
      <c r="F52" s="16">
        <f t="shared" si="37"/>
        <v>0.15244387685018584</v>
      </c>
      <c r="G52" s="16">
        <f t="shared" si="37"/>
        <v>0.14337583657671846</v>
      </c>
      <c r="H52" s="16">
        <f t="shared" si="37"/>
        <v>0.14479531119196937</v>
      </c>
      <c r="I52" s="16">
        <f t="shared" si="37"/>
        <v>0.17267544566750637</v>
      </c>
      <c r="J52" s="16">
        <f t="shared" si="37"/>
        <v>0.18240778524022677</v>
      </c>
      <c r="K52" s="16">
        <f t="shared" si="37"/>
        <v>0.24613202753258293</v>
      </c>
      <c r="L52" s="16">
        <f t="shared" si="37"/>
        <v>0.26266060469552677</v>
      </c>
      <c r="M52" s="16">
        <f t="shared" si="37"/>
        <v>0.21759576039901471</v>
      </c>
      <c r="N52" s="16">
        <f t="shared" si="37"/>
        <v>0.20707807774967271</v>
      </c>
      <c r="O52" s="16">
        <f t="shared" si="37"/>
        <v>0.20118241873409848</v>
      </c>
      <c r="P52" s="16">
        <f t="shared" si="37"/>
        <v>0.25449342672726122</v>
      </c>
      <c r="Q52" s="16">
        <f t="shared" si="37"/>
        <v>0.27093964616597421</v>
      </c>
      <c r="R52" s="16">
        <f t="shared" si="37"/>
        <v>0.22196151646842671</v>
      </c>
      <c r="S52" s="16">
        <f t="shared" si="37"/>
        <v>0.30857393923569443</v>
      </c>
      <c r="T52" s="16">
        <f t="shared" si="37"/>
        <v>0.42803214171889148</v>
      </c>
      <c r="U52" s="16">
        <f t="shared" si="37"/>
        <v>0.48690847389453962</v>
      </c>
      <c r="V52" s="16">
        <f t="shared" si="37"/>
        <v>0.14962051504298049</v>
      </c>
      <c r="W52" s="16">
        <f t="shared" ref="W52:Y52" si="38">IF(W6=0,0,W6/W$3)</f>
        <v>0.22385023052219732</v>
      </c>
      <c r="X52" s="16">
        <f t="shared" si="38"/>
        <v>0.31007627117355391</v>
      </c>
      <c r="Y52" s="16">
        <f t="shared" si="38"/>
        <v>0.24349504720566018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0.10978068162042494</v>
      </c>
      <c r="C54" s="103">
        <f t="shared" si="42"/>
        <v>0.11610141953920816</v>
      </c>
      <c r="D54" s="103">
        <f t="shared" ref="D54:V54" si="43">IF(D8=0,0,D8/D$3)</f>
        <v>0.11738697435248678</v>
      </c>
      <c r="E54" s="103">
        <f t="shared" si="43"/>
        <v>0.11290344599830321</v>
      </c>
      <c r="F54" s="103">
        <f t="shared" si="43"/>
        <v>0.11841094453934368</v>
      </c>
      <c r="G54" s="103">
        <f t="shared" si="43"/>
        <v>0.11175110145589728</v>
      </c>
      <c r="H54" s="103">
        <f t="shared" si="43"/>
        <v>0.11310954442281021</v>
      </c>
      <c r="I54" s="103">
        <f t="shared" si="43"/>
        <v>0.13562552756105711</v>
      </c>
      <c r="J54" s="103">
        <f t="shared" si="43"/>
        <v>0.14116681076823445</v>
      </c>
      <c r="K54" s="103">
        <f t="shared" si="43"/>
        <v>0.18813310283036094</v>
      </c>
      <c r="L54" s="103">
        <f t="shared" si="43"/>
        <v>0.20211807544212582</v>
      </c>
      <c r="M54" s="103">
        <f t="shared" si="43"/>
        <v>0.16699443609362416</v>
      </c>
      <c r="N54" s="103">
        <f t="shared" si="43"/>
        <v>0.15944069053944898</v>
      </c>
      <c r="O54" s="103">
        <f t="shared" si="43"/>
        <v>0.15535171976674075</v>
      </c>
      <c r="P54" s="103">
        <f t="shared" si="43"/>
        <v>0.19648388297044089</v>
      </c>
      <c r="Q54" s="103">
        <f t="shared" si="43"/>
        <v>0.20954146669994331</v>
      </c>
      <c r="R54" s="103">
        <f t="shared" si="43"/>
        <v>0.17412816373645348</v>
      </c>
      <c r="S54" s="103">
        <f t="shared" si="43"/>
        <v>0.24487075271055231</v>
      </c>
      <c r="T54" s="103">
        <f t="shared" si="43"/>
        <v>0.33821307604241685</v>
      </c>
      <c r="U54" s="103">
        <f t="shared" si="43"/>
        <v>0.38207921864734984</v>
      </c>
      <c r="V54" s="103">
        <f t="shared" si="43"/>
        <v>0.1098672506174725</v>
      </c>
      <c r="W54" s="103">
        <f t="shared" ref="W54:Y54" si="44">IF(W8=0,0,W8/W$3)</f>
        <v>0.17021240640602237</v>
      </c>
      <c r="X54" s="103">
        <f t="shared" si="44"/>
        <v>0.24722377395855147</v>
      </c>
      <c r="Y54" s="103">
        <f t="shared" si="44"/>
        <v>0.19207817110823946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3.1636407732541602E-2</v>
      </c>
      <c r="C55" s="103">
        <f t="shared" si="45"/>
        <v>3.3471781362284007E-2</v>
      </c>
      <c r="D55" s="103">
        <f t="shared" ref="D55:V55" si="46">IF(D9=0,0,D9/D$3)</f>
        <v>3.3798355406993448E-2</v>
      </c>
      <c r="E55" s="103">
        <f t="shared" si="46"/>
        <v>3.24610109788551E-2</v>
      </c>
      <c r="F55" s="103">
        <f t="shared" si="46"/>
        <v>3.4032932310842159E-2</v>
      </c>
      <c r="G55" s="103">
        <f t="shared" si="46"/>
        <v>3.1624735120821167E-2</v>
      </c>
      <c r="H55" s="103">
        <f t="shared" si="46"/>
        <v>3.168576676915915E-2</v>
      </c>
      <c r="I55" s="103">
        <f t="shared" si="46"/>
        <v>3.7049918106449253E-2</v>
      </c>
      <c r="J55" s="103">
        <f t="shared" si="46"/>
        <v>4.1240974471992341E-2</v>
      </c>
      <c r="K55" s="103">
        <f t="shared" si="46"/>
        <v>5.7998924702221975E-2</v>
      </c>
      <c r="L55" s="103">
        <f t="shared" si="46"/>
        <v>6.0542529253400965E-2</v>
      </c>
      <c r="M55" s="103">
        <f t="shared" si="46"/>
        <v>5.0601324305390549E-2</v>
      </c>
      <c r="N55" s="103">
        <f t="shared" si="46"/>
        <v>4.7637387210223744E-2</v>
      </c>
      <c r="O55" s="103">
        <f t="shared" si="46"/>
        <v>4.5830698967357732E-2</v>
      </c>
      <c r="P55" s="103">
        <f t="shared" si="46"/>
        <v>5.8009543756820325E-2</v>
      </c>
      <c r="Q55" s="103">
        <f t="shared" si="46"/>
        <v>6.1398179466030871E-2</v>
      </c>
      <c r="R55" s="103">
        <f t="shared" si="46"/>
        <v>4.7833352731973193E-2</v>
      </c>
      <c r="S55" s="103">
        <f t="shared" si="46"/>
        <v>6.3703186525142133E-2</v>
      </c>
      <c r="T55" s="103">
        <f t="shared" si="46"/>
        <v>8.9819065676474588E-2</v>
      </c>
      <c r="U55" s="103">
        <f t="shared" si="46"/>
        <v>0.10482925524718981</v>
      </c>
      <c r="V55" s="103">
        <f t="shared" si="46"/>
        <v>3.9753264425507973E-2</v>
      </c>
      <c r="W55" s="103">
        <f t="shared" ref="W55:Y55" si="47">IF(W9=0,0,W9/W$3)</f>
        <v>5.3637824116174966E-2</v>
      </c>
      <c r="X55" s="103">
        <f t="shared" si="47"/>
        <v>6.2852497215002454E-2</v>
      </c>
      <c r="Y55" s="103">
        <f t="shared" si="47"/>
        <v>5.1416876097420669E-2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0.85858291064703351</v>
      </c>
      <c r="C56" s="17">
        <f t="shared" si="48"/>
        <v>0.85042679909850782</v>
      </c>
      <c r="D56" s="17">
        <f t="shared" ref="D56:V56" si="49">IF(D10=0,0,D10/D$3)</f>
        <v>0.84881467024051982</v>
      </c>
      <c r="E56" s="17">
        <f t="shared" si="49"/>
        <v>0.85463554302284173</v>
      </c>
      <c r="F56" s="17">
        <f t="shared" si="49"/>
        <v>0.84755612314981421</v>
      </c>
      <c r="G56" s="17">
        <f t="shared" si="49"/>
        <v>0.85662416342328151</v>
      </c>
      <c r="H56" s="17">
        <f t="shared" si="49"/>
        <v>0.85520468880803058</v>
      </c>
      <c r="I56" s="17">
        <f t="shared" si="49"/>
        <v>0.82732455433249363</v>
      </c>
      <c r="J56" s="17">
        <f t="shared" si="49"/>
        <v>0.81759221475977317</v>
      </c>
      <c r="K56" s="17">
        <f t="shared" si="49"/>
        <v>0.75386797246741699</v>
      </c>
      <c r="L56" s="17">
        <f t="shared" si="49"/>
        <v>0.73733939530447323</v>
      </c>
      <c r="M56" s="17">
        <f t="shared" si="49"/>
        <v>0.78240423960098515</v>
      </c>
      <c r="N56" s="17">
        <f t="shared" si="49"/>
        <v>0.79292192225032732</v>
      </c>
      <c r="O56" s="17">
        <f t="shared" si="49"/>
        <v>0.79881758126590152</v>
      </c>
      <c r="P56" s="17">
        <f t="shared" si="49"/>
        <v>0.74550657327273873</v>
      </c>
      <c r="Q56" s="17">
        <f t="shared" si="49"/>
        <v>0.72906035383402579</v>
      </c>
      <c r="R56" s="17">
        <f t="shared" si="49"/>
        <v>0.77803848353157334</v>
      </c>
      <c r="S56" s="17">
        <f t="shared" si="49"/>
        <v>0.69142606076430557</v>
      </c>
      <c r="T56" s="17">
        <f t="shared" si="49"/>
        <v>0.57196785828110863</v>
      </c>
      <c r="U56" s="17">
        <f t="shared" si="49"/>
        <v>0.51309152610546038</v>
      </c>
      <c r="V56" s="17">
        <f t="shared" si="49"/>
        <v>0.85037948495701954</v>
      </c>
      <c r="W56" s="17">
        <f t="shared" ref="W56:Y56" si="50">IF(W10=0,0,W10/W$3)</f>
        <v>0.77614976947780268</v>
      </c>
      <c r="X56" s="17">
        <f t="shared" si="50"/>
        <v>0.68992372882644604</v>
      </c>
      <c r="Y56" s="17">
        <f t="shared" si="50"/>
        <v>0.75650495279433994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3.3164802046484539E-2</v>
      </c>
      <c r="C58" s="104">
        <f t="shared" si="54"/>
        <v>1.3180868112678396E-2</v>
      </c>
      <c r="D58" s="104">
        <f t="shared" ref="D58:V58" si="55">IF(D12=0,0,D12/D$3)</f>
        <v>8.2157098289435647E-3</v>
      </c>
      <c r="E58" s="104">
        <f t="shared" si="55"/>
        <v>1.2918965433027382E-2</v>
      </c>
      <c r="F58" s="104">
        <f t="shared" si="55"/>
        <v>1.1280166639354629E-2</v>
      </c>
      <c r="G58" s="104">
        <f t="shared" si="55"/>
        <v>1.3058684382821909E-2</v>
      </c>
      <c r="H58" s="104">
        <f t="shared" si="55"/>
        <v>7.2389573922238054E-3</v>
      </c>
      <c r="I58" s="104">
        <f t="shared" si="55"/>
        <v>1.1932270911873643E-2</v>
      </c>
      <c r="J58" s="104">
        <f t="shared" si="55"/>
        <v>1.6678170542924087E-2</v>
      </c>
      <c r="K58" s="104">
        <f t="shared" si="55"/>
        <v>1.7987542045501688E-2</v>
      </c>
      <c r="L58" s="104">
        <f t="shared" si="55"/>
        <v>1.8945901809165853E-2</v>
      </c>
      <c r="M58" s="104">
        <f t="shared" si="55"/>
        <v>1.0579140094898725E-2</v>
      </c>
      <c r="N58" s="104">
        <f t="shared" si="55"/>
        <v>1.0975985800495287E-2</v>
      </c>
      <c r="O58" s="104">
        <f t="shared" si="55"/>
        <v>1.1879078829316641E-2</v>
      </c>
      <c r="P58" s="104">
        <f t="shared" si="55"/>
        <v>1.4172332376521065E-2</v>
      </c>
      <c r="Q58" s="104">
        <f t="shared" si="55"/>
        <v>1.3149549368064636E-2</v>
      </c>
      <c r="R58" s="104">
        <f t="shared" si="55"/>
        <v>7.6432082041646282E-3</v>
      </c>
      <c r="S58" s="104">
        <f t="shared" si="55"/>
        <v>1.3268068164198754E-2</v>
      </c>
      <c r="T58" s="104">
        <f t="shared" si="55"/>
        <v>1.4222073065468363E-2</v>
      </c>
      <c r="U58" s="104">
        <f t="shared" si="55"/>
        <v>1.603737819546279E-2</v>
      </c>
      <c r="V58" s="104">
        <f t="shared" si="55"/>
        <v>1.3104632878160202E-2</v>
      </c>
      <c r="W58" s="104">
        <f t="shared" ref="W58:Y58" si="56">IF(W12=0,0,W12/W$3)</f>
        <v>1.2285844925020523E-2</v>
      </c>
      <c r="X58" s="104">
        <f t="shared" si="56"/>
        <v>1.0128656681464813E-2</v>
      </c>
      <c r="Y58" s="104">
        <f t="shared" si="56"/>
        <v>7.6948832988846848E-3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0.82541810860054898</v>
      </c>
      <c r="C59" s="105">
        <f t="shared" si="57"/>
        <v>0.83724593098582933</v>
      </c>
      <c r="D59" s="105">
        <f t="shared" ref="D59:V59" si="58">IF(D13=0,0,D13/D$3)</f>
        <v>0.84059896041157633</v>
      </c>
      <c r="E59" s="105">
        <f t="shared" si="58"/>
        <v>0.84171657758981433</v>
      </c>
      <c r="F59" s="105">
        <f t="shared" si="58"/>
        <v>0.83627595651045961</v>
      </c>
      <c r="G59" s="105">
        <f t="shared" si="58"/>
        <v>0.84356547904045964</v>
      </c>
      <c r="H59" s="105">
        <f t="shared" si="58"/>
        <v>0.84796573141580678</v>
      </c>
      <c r="I59" s="105">
        <f t="shared" si="58"/>
        <v>0.81539228342061987</v>
      </c>
      <c r="J59" s="105">
        <f t="shared" si="58"/>
        <v>0.80091404421684909</v>
      </c>
      <c r="K59" s="105">
        <f t="shared" si="58"/>
        <v>0.73588043042191531</v>
      </c>
      <c r="L59" s="105">
        <f t="shared" si="58"/>
        <v>0.71839349349530734</v>
      </c>
      <c r="M59" s="105">
        <f t="shared" si="58"/>
        <v>0.77182509950608646</v>
      </c>
      <c r="N59" s="105">
        <f t="shared" si="58"/>
        <v>0.78194593644983212</v>
      </c>
      <c r="O59" s="105">
        <f t="shared" si="58"/>
        <v>0.78693850243658492</v>
      </c>
      <c r="P59" s="105">
        <f t="shared" si="58"/>
        <v>0.73133424089621768</v>
      </c>
      <c r="Q59" s="105">
        <f t="shared" si="58"/>
        <v>0.71591080446596111</v>
      </c>
      <c r="R59" s="105">
        <f t="shared" si="58"/>
        <v>0.7703952753274087</v>
      </c>
      <c r="S59" s="105">
        <f t="shared" si="58"/>
        <v>0.67815799260010678</v>
      </c>
      <c r="T59" s="105">
        <f t="shared" si="58"/>
        <v>0.55774578521564022</v>
      </c>
      <c r="U59" s="105">
        <f t="shared" si="58"/>
        <v>0.49705414790999763</v>
      </c>
      <c r="V59" s="105">
        <f t="shared" si="58"/>
        <v>0.83727485207885932</v>
      </c>
      <c r="W59" s="105">
        <f t="shared" ref="W59:Y59" si="59">IF(W13=0,0,W13/W$3)</f>
        <v>0.76386392455278218</v>
      </c>
      <c r="X59" s="105">
        <f t="shared" si="59"/>
        <v>0.67979507214498136</v>
      </c>
      <c r="Y59" s="105">
        <f t="shared" si="59"/>
        <v>0.74881006949545514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978269</v>
      </c>
      <c r="C4" s="11">
        <f t="shared" si="0"/>
        <v>1066711</v>
      </c>
      <c r="D4" s="11">
        <f t="shared" ref="D4" si="1">SUM(D5:D7)</f>
        <v>1160183</v>
      </c>
      <c r="E4" s="11">
        <f t="shared" ref="E4" si="2">SUM(E5:E7)</f>
        <v>1216984</v>
      </c>
      <c r="F4" s="11">
        <f t="shared" ref="F4" si="3">SUM(F5:F7)</f>
        <v>1339852</v>
      </c>
      <c r="G4" s="11">
        <f t="shared" ref="G4" si="4">SUM(G5:G7)</f>
        <v>1396051</v>
      </c>
      <c r="H4" s="11">
        <f t="shared" ref="H4" si="5">SUM(H5:H7)</f>
        <v>1409538</v>
      </c>
      <c r="I4" s="11">
        <f t="shared" ref="I4" si="6">SUM(I5:I7)</f>
        <v>1326887</v>
      </c>
      <c r="J4" s="11">
        <f t="shared" ref="J4" si="7">SUM(J5:J7)</f>
        <v>1415385</v>
      </c>
      <c r="K4" s="11">
        <f t="shared" ref="K4" si="8">SUM(K5:K7)</f>
        <v>1258411</v>
      </c>
      <c r="L4" s="11">
        <f t="shared" ref="L4" si="9">SUM(L5:L7)</f>
        <v>1328882</v>
      </c>
      <c r="M4" s="11">
        <f t="shared" ref="M4" si="10">SUM(M5:M7)</f>
        <v>1573467</v>
      </c>
      <c r="N4" s="11">
        <f t="shared" ref="N4" si="11">SUM(N5:N7)</f>
        <v>1539893</v>
      </c>
      <c r="O4" s="11">
        <f t="shared" ref="O4" si="12">SUM(O5:O7)</f>
        <v>1670098</v>
      </c>
      <c r="P4" s="11">
        <f t="shared" ref="P4" si="13">SUM(P5:P7)</f>
        <v>1815872</v>
      </c>
      <c r="Q4" s="11">
        <f t="shared" ref="Q4" si="14">SUM(Q5:Q7)</f>
        <v>1987367</v>
      </c>
      <c r="R4" s="11">
        <f t="shared" ref="R4" si="15">SUM(R5:R7)</f>
        <v>2319879</v>
      </c>
      <c r="S4" s="11">
        <f t="shared" ref="S4" si="16">SUM(S5:S7)</f>
        <v>2707759</v>
      </c>
      <c r="T4" s="11">
        <f t="shared" ref="T4" si="17">SUM(T5:T7)</f>
        <v>3023859</v>
      </c>
      <c r="U4" s="11">
        <f t="shared" ref="U4" si="18">SUM(U5:U7)</f>
        <v>3242291</v>
      </c>
      <c r="V4" s="11">
        <f t="shared" ref="V4:W4" si="19">SUM(V5:V7)</f>
        <v>1328290</v>
      </c>
      <c r="W4" s="11">
        <f t="shared" si="19"/>
        <v>1621393</v>
      </c>
      <c r="X4" s="11">
        <f t="shared" ref="X4:Y4" si="20">SUM(X5:X7)</f>
        <v>2828220</v>
      </c>
      <c r="Y4" s="11">
        <f t="shared" si="20"/>
        <v>3121553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919890</v>
      </c>
      <c r="C6" s="84">
        <v>1001773</v>
      </c>
      <c r="D6" s="84">
        <v>1088604</v>
      </c>
      <c r="E6" s="84">
        <v>1141392</v>
      </c>
      <c r="F6" s="84">
        <v>1257055</v>
      </c>
      <c r="G6" s="84">
        <v>1292580</v>
      </c>
      <c r="H6" s="84">
        <v>1300674</v>
      </c>
      <c r="I6" s="84">
        <v>1191017</v>
      </c>
      <c r="J6" s="84">
        <v>1259335</v>
      </c>
      <c r="K6" s="84">
        <v>1121205</v>
      </c>
      <c r="L6" s="84">
        <v>1203429</v>
      </c>
      <c r="M6" s="84">
        <v>1447470</v>
      </c>
      <c r="N6" s="84">
        <v>1423286</v>
      </c>
      <c r="O6" s="84">
        <v>1548687</v>
      </c>
      <c r="P6" s="84">
        <v>1663726</v>
      </c>
      <c r="Q6" s="84">
        <v>1843017</v>
      </c>
      <c r="R6" s="84">
        <v>2226574</v>
      </c>
      <c r="S6" s="84">
        <v>2602238</v>
      </c>
      <c r="T6" s="84">
        <v>2863132</v>
      </c>
      <c r="U6" s="84">
        <v>3050156</v>
      </c>
      <c r="V6" s="84">
        <v>1264416</v>
      </c>
      <c r="W6" s="84">
        <v>1508089</v>
      </c>
      <c r="X6" s="84">
        <v>2661311</v>
      </c>
      <c r="Y6" s="84">
        <v>2904473</v>
      </c>
      <c r="DA6" s="171" t="s">
        <v>364</v>
      </c>
    </row>
    <row r="7" spans="1:105" ht="11.45" customHeight="1" x14ac:dyDescent="0.25">
      <c r="A7" s="85" t="s">
        <v>182</v>
      </c>
      <c r="B7" s="86">
        <v>58379</v>
      </c>
      <c r="C7" s="86">
        <v>64938</v>
      </c>
      <c r="D7" s="86">
        <v>71579</v>
      </c>
      <c r="E7" s="86">
        <v>75592</v>
      </c>
      <c r="F7" s="86">
        <v>82797</v>
      </c>
      <c r="G7" s="86">
        <v>103471</v>
      </c>
      <c r="H7" s="86">
        <v>108864</v>
      </c>
      <c r="I7" s="86">
        <v>135870</v>
      </c>
      <c r="J7" s="86">
        <v>156050</v>
      </c>
      <c r="K7" s="86">
        <v>137206</v>
      </c>
      <c r="L7" s="86">
        <v>125453</v>
      </c>
      <c r="M7" s="86">
        <v>125997</v>
      </c>
      <c r="N7" s="86">
        <v>116607</v>
      </c>
      <c r="O7" s="86">
        <v>121411</v>
      </c>
      <c r="P7" s="86">
        <v>152146</v>
      </c>
      <c r="Q7" s="86">
        <v>144350</v>
      </c>
      <c r="R7" s="86">
        <v>93305</v>
      </c>
      <c r="S7" s="86">
        <v>105521</v>
      </c>
      <c r="T7" s="86">
        <v>160727</v>
      </c>
      <c r="U7" s="86">
        <v>192135</v>
      </c>
      <c r="V7" s="86">
        <v>63874</v>
      </c>
      <c r="W7" s="86">
        <v>113304</v>
      </c>
      <c r="X7" s="86">
        <v>166909</v>
      </c>
      <c r="Y7" s="86">
        <v>217080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65.827938900477761</v>
      </c>
      <c r="C12" s="14">
        <f>IF(C4=0,0,C4/TrAvia_act!C24)</f>
        <v>66.300640188948975</v>
      </c>
      <c r="D12" s="14">
        <f>IF(D4=0,0,D4/TrAvia_act!D24)</f>
        <v>66.493752865657953</v>
      </c>
      <c r="E12" s="14">
        <f>IF(E4=0,0,E4/TrAvia_act!E24)</f>
        <v>66.889304166208646</v>
      </c>
      <c r="F12" s="14">
        <f>IF(F4=0,0,F4/TrAvia_act!F24)</f>
        <v>67.614654824384331</v>
      </c>
      <c r="G12" s="14">
        <f>IF(G4=0,0,G4/TrAvia_act!G24)</f>
        <v>71.013327229258863</v>
      </c>
      <c r="H12" s="14">
        <f>IF(H4=0,0,H4/TrAvia_act!H24)</f>
        <v>70.596914755083645</v>
      </c>
      <c r="I12" s="14">
        <f>IF(I4=0,0,I4/TrAvia_act!I24)</f>
        <v>69.069127062620367</v>
      </c>
      <c r="J12" s="14">
        <f>IF(J4=0,0,J4/TrAvia_act!J24)</f>
        <v>72.125203832042402</v>
      </c>
      <c r="K12" s="14">
        <f>IF(K4=0,0,K4/TrAvia_act!K24)</f>
        <v>70.764831580723168</v>
      </c>
      <c r="L12" s="14">
        <f>IF(L4=0,0,L4/TrAvia_act!L24)</f>
        <v>74.824436936936934</v>
      </c>
      <c r="M12" s="14">
        <f>IF(M4=0,0,M4/TrAvia_act!M24)</f>
        <v>80.013577421815413</v>
      </c>
      <c r="N12" s="14">
        <f>IF(N4=0,0,N4/TrAvia_act!N24)</f>
        <v>76.232326732673272</v>
      </c>
      <c r="O12" s="14">
        <f>IF(O4=0,0,O4/TrAvia_act!O24)</f>
        <v>81.603537574513823</v>
      </c>
      <c r="P12" s="14">
        <f>IF(P4=0,0,P4/TrAvia_act!P24)</f>
        <v>86.260605196902759</v>
      </c>
      <c r="Q12" s="14">
        <f>IF(Q4=0,0,Q4/TrAvia_act!Q24)</f>
        <v>93.356210071401733</v>
      </c>
      <c r="R12" s="14">
        <f>IF(R4=0,0,R4/TrAvia_act!R24)</f>
        <v>102.27390556804656</v>
      </c>
      <c r="S12" s="14">
        <f>IF(S4=0,0,S4/TrAvia_act!S24)</f>
        <v>109.8705214039359</v>
      </c>
      <c r="T12" s="14">
        <f>IF(T4=0,0,T4/TrAvia_act!T24)</f>
        <v>111.84565024411896</v>
      </c>
      <c r="U12" s="14">
        <f>IF(U4=0,0,U4/TrAvia_act!U24)</f>
        <v>115.67217267213699</v>
      </c>
      <c r="V12" s="14">
        <f>IF(V4=0,0,V4/TrAvia_act!V24)</f>
        <v>120.79756275009095</v>
      </c>
      <c r="W12" s="14">
        <f>IF(W4=0,0,W4/TrAvia_act!W24)</f>
        <v>125.73811554866228</v>
      </c>
      <c r="X12" s="14">
        <f>IF(X4=0,0,X4/TrAvia_act!X24)</f>
        <v>116.66130429402301</v>
      </c>
      <c r="Y12" s="14">
        <f>IF(Y4=0,0,Y4/TrAvia_act!Y24)</f>
        <v>118.26304224284902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63.761696818465374</v>
      </c>
      <c r="C14" s="87">
        <f>IF(C6=0,0,C6/TrAvia_act!C26)</f>
        <v>64.138101030795823</v>
      </c>
      <c r="D14" s="87">
        <f>IF(D6=0,0,D6/TrAvia_act!D26)</f>
        <v>64.26613141271622</v>
      </c>
      <c r="E14" s="87">
        <f>IF(E6=0,0,E6/TrAvia_act!E26)</f>
        <v>64.616847826086953</v>
      </c>
      <c r="F14" s="87">
        <f>IF(F6=0,0,F6/TrAvia_act!F26)</f>
        <v>65.338894952960132</v>
      </c>
      <c r="G14" s="87">
        <f>IF(G6=0,0,G6/TrAvia_act!G26)</f>
        <v>67.926848494403274</v>
      </c>
      <c r="H14" s="87">
        <f>IF(H6=0,0,H6/TrAvia_act!H26)</f>
        <v>67.416886953817453</v>
      </c>
      <c r="I14" s="87">
        <f>IF(I6=0,0,I6/TrAvia_act!I26)</f>
        <v>65.075784067315041</v>
      </c>
      <c r="J14" s="87">
        <f>IF(J6=0,0,J6/TrAvia_act!J26)</f>
        <v>67.582644628099175</v>
      </c>
      <c r="K14" s="87">
        <f>IF(K6=0,0,K6/TrAvia_act!K26)</f>
        <v>66.714566226347728</v>
      </c>
      <c r="L14" s="87">
        <f>IF(L6=0,0,L6/TrAvia_act!L26)</f>
        <v>71.30586004621675</v>
      </c>
      <c r="M14" s="87">
        <f>IF(M6=0,0,M6/TrAvia_act!M26)</f>
        <v>76.907178152064191</v>
      </c>
      <c r="N14" s="87">
        <f>IF(N6=0,0,N6/TrAvia_act!N26)</f>
        <v>73.691933312622965</v>
      </c>
      <c r="O14" s="87">
        <f>IF(O6=0,0,O6/TrAvia_act!O26)</f>
        <v>79.216726342710999</v>
      </c>
      <c r="P14" s="87">
        <f>IF(P6=0,0,P6/TrAvia_act!P26)</f>
        <v>83.165508622844285</v>
      </c>
      <c r="Q14" s="87">
        <f>IF(Q6=0,0,Q6/TrAvia_act!Q26)</f>
        <v>90.517017828200977</v>
      </c>
      <c r="R14" s="87">
        <f>IF(R6=0,0,R6/TrAvia_act!R26)</f>
        <v>100.4227854952192</v>
      </c>
      <c r="S14" s="87">
        <f>IF(S6=0,0,S6/TrAvia_act!S26)</f>
        <v>109.05364177353114</v>
      </c>
      <c r="T14" s="87">
        <f>IF(T6=0,0,T6/TrAvia_act!T26)</f>
        <v>111.04727921498662</v>
      </c>
      <c r="U14" s="87">
        <f>IF(U6=0,0,U6/TrAvia_act!U26)</f>
        <v>114.99174363807728</v>
      </c>
      <c r="V14" s="87">
        <f>IF(V6=0,0,V6/TrAvia_act!V26)</f>
        <v>119.43100028336639</v>
      </c>
      <c r="W14" s="87">
        <f>IF(W6=0,0,W6/TrAvia_act!W26)</f>
        <v>124.45032183528635</v>
      </c>
      <c r="X14" s="87">
        <f>IF(X6=0,0,X6/TrAvia_act!X26)</f>
        <v>116.14851830838388</v>
      </c>
      <c r="Y14" s="87">
        <f>IF(Y6=0,0,Y6/TrAvia_act!Y26)</f>
        <v>117.62333454825254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134.51382488479263</v>
      </c>
      <c r="C15" s="88">
        <f>IF(C7=0,0,C7/TrAvia_act!C27)</f>
        <v>138.16595744680851</v>
      </c>
      <c r="D15" s="88">
        <f>IF(D7=0,0,D7/TrAvia_act!D27)</f>
        <v>140.62671905697445</v>
      </c>
      <c r="E15" s="88">
        <f>IF(E7=0,0,E7/TrAvia_act!E27)</f>
        <v>142.62641509433962</v>
      </c>
      <c r="F15" s="88">
        <f>IF(F7=0,0,F7/TrAvia_act!F27)</f>
        <v>143.49566724436741</v>
      </c>
      <c r="G15" s="88">
        <f>IF(G7=0,0,G7/TrAvia_act!G27)</f>
        <v>164.23968253968255</v>
      </c>
      <c r="H15" s="88">
        <f>IF(H7=0,0,H7/TrAvia_act!H27)</f>
        <v>161.75928677563149</v>
      </c>
      <c r="I15" s="88">
        <f>IF(I7=0,0,I7/TrAvia_act!I27)</f>
        <v>149.47194719471946</v>
      </c>
      <c r="J15" s="88">
        <f>IF(J7=0,0,J7/TrAvia_act!J27)</f>
        <v>157.62626262626262</v>
      </c>
      <c r="K15" s="88">
        <f>IF(K7=0,0,K7/TrAvia_act!K27)</f>
        <v>140.43602865916068</v>
      </c>
      <c r="L15" s="88">
        <f>IF(L7=0,0,L7/TrAvia_act!L27)</f>
        <v>142.07587768969424</v>
      </c>
      <c r="M15" s="88">
        <f>IF(M7=0,0,M7/TrAvia_act!M27)</f>
        <v>149.28554502369667</v>
      </c>
      <c r="N15" s="88">
        <f>IF(N7=0,0,N7/TrAvia_act!N27)</f>
        <v>131.61060948081263</v>
      </c>
      <c r="O15" s="88">
        <f>IF(O7=0,0,O7/TrAvia_act!O27)</f>
        <v>132.5447598253275</v>
      </c>
      <c r="P15" s="88">
        <f>IF(P7=0,0,P7/TrAvia_act!P27)</f>
        <v>145.45506692160612</v>
      </c>
      <c r="Q15" s="88">
        <f>IF(Q7=0,0,Q7/TrAvia_act!Q27)</f>
        <v>155.71736785329017</v>
      </c>
      <c r="R15" s="88">
        <f>IF(R7=0,0,R7/TrAvia_act!R27)</f>
        <v>182.59295499021528</v>
      </c>
      <c r="S15" s="88">
        <f>IF(S7=0,0,S7/TrAvia_act!S27)</f>
        <v>134.76500638569604</v>
      </c>
      <c r="T15" s="88">
        <f>IF(T7=0,0,T7/TrAvia_act!T27)</f>
        <v>128.27374301675977</v>
      </c>
      <c r="U15" s="88">
        <f>IF(U7=0,0,U7/TrAvia_act!U27)</f>
        <v>127.66445182724253</v>
      </c>
      <c r="V15" s="88">
        <f>IF(V7=0,0,V7/TrAvia_act!V27)</f>
        <v>156.17114914425429</v>
      </c>
      <c r="W15" s="88">
        <f>IF(W7=0,0,W7/TrAvia_act!W27)</f>
        <v>145.82239382239382</v>
      </c>
      <c r="X15" s="88">
        <f>IF(X7=0,0,X7/TrAvia_act!X27)</f>
        <v>125.49548872180451</v>
      </c>
      <c r="Y15" s="88">
        <f>IF(Y7=0,0,Y7/TrAvia_act!Y27)</f>
        <v>127.54406580493537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0.55641955331304582</v>
      </c>
      <c r="C18" s="25">
        <f>IF(TrAvia_act!C34=0,0,(TrAvia_act!C34/TrAvia_act!C24)/TrAvia_png!C12)</f>
        <v>0.55704216043520682</v>
      </c>
      <c r="D18" s="25">
        <f>IF(TrAvia_act!D34=0,0,(TrAvia_act!D34/TrAvia_act!D24)/TrAvia_png!D12)</f>
        <v>0.56094081709523413</v>
      </c>
      <c r="E18" s="25">
        <f>IF(TrAvia_act!E34=0,0,(TrAvia_act!E34/TrAvia_act!E24)/TrAvia_png!E12)</f>
        <v>0.56305095219000412</v>
      </c>
      <c r="F18" s="25">
        <f>IF(TrAvia_act!F34=0,0,(TrAvia_act!F34/TrAvia_act!F24)/TrAvia_png!F12)</f>
        <v>0.56564157832357609</v>
      </c>
      <c r="G18" s="25">
        <f>IF(TrAvia_act!G34=0,0,(TrAvia_act!G34/TrAvia_act!G24)/TrAvia_png!G12)</f>
        <v>0.55375054349733643</v>
      </c>
      <c r="H18" s="25">
        <f>IF(TrAvia_act!H34=0,0,(TrAvia_act!H34/TrAvia_act!H24)/TrAvia_png!H12)</f>
        <v>0.56976966921076266</v>
      </c>
      <c r="I18" s="25">
        <f>IF(TrAvia_act!I34=0,0,(TrAvia_act!I34/TrAvia_act!I24)/TrAvia_png!I12)</f>
        <v>0.6196541227700626</v>
      </c>
      <c r="J18" s="25">
        <f>IF(TrAvia_act!J34=0,0,(TrAvia_act!J34/TrAvia_act!J24)/TrAvia_png!J12)</f>
        <v>0.60144554308545017</v>
      </c>
      <c r="K18" s="25">
        <f>IF(TrAvia_act!K34=0,0,(TrAvia_act!K34/TrAvia_act!K24)/TrAvia_png!K12)</f>
        <v>0.61328055778279111</v>
      </c>
      <c r="L18" s="25">
        <f>IF(TrAvia_act!L34=0,0,(TrAvia_act!L34/TrAvia_act!L24)/TrAvia_png!L12)</f>
        <v>0.6094574236087178</v>
      </c>
      <c r="M18" s="25">
        <f>IF(TrAvia_act!M34=0,0,(TrAvia_act!M34/TrAvia_act!M24)/TrAvia_png!M12)</f>
        <v>0.58339323290542477</v>
      </c>
      <c r="N18" s="25">
        <f>IF(TrAvia_act!N34=0,0,(TrAvia_act!N34/TrAvia_act!N24)/TrAvia_png!N12)</f>
        <v>0.61691039572230011</v>
      </c>
      <c r="O18" s="25">
        <f>IF(TrAvia_act!O34=0,0,(TrAvia_act!O34/TrAvia_act!O24)/TrAvia_png!O12)</f>
        <v>0.65288623781358934</v>
      </c>
      <c r="P18" s="25">
        <f>IF(TrAvia_act!P34=0,0,(TrAvia_act!P34/TrAvia_act!P24)/TrAvia_png!P12)</f>
        <v>0.6740579732492159</v>
      </c>
      <c r="Q18" s="25">
        <f>IF(TrAvia_act!Q34=0,0,(TrAvia_act!Q34/TrAvia_act!Q24)/TrAvia_png!Q12)</f>
        <v>0.6705837422076546</v>
      </c>
      <c r="R18" s="25">
        <f>IF(TrAvia_act!R34=0,0,(TrAvia_act!R34/TrAvia_act!R24)/TrAvia_png!R12)</f>
        <v>0.64644449128596793</v>
      </c>
      <c r="S18" s="25">
        <f>IF(TrAvia_act!S34=0,0,(TrAvia_act!S34/TrAvia_act!S24)/TrAvia_png!S12)</f>
        <v>0.66018763117397072</v>
      </c>
      <c r="T18" s="25">
        <f>IF(TrAvia_act!T34=0,0,(TrAvia_act!T34/TrAvia_act!T24)/TrAvia_png!T12)</f>
        <v>0.66289268117329547</v>
      </c>
      <c r="U18" s="25">
        <f>IF(TrAvia_act!U34=0,0,(TrAvia_act!U34/TrAvia_act!U24)/TrAvia_png!U12)</f>
        <v>0.67523797216227655</v>
      </c>
      <c r="V18" s="25">
        <f>IF(TrAvia_act!V34=0,0,(TrAvia_act!V34/TrAvia_act!V24)/TrAvia_png!V12)</f>
        <v>0.53418229452905619</v>
      </c>
      <c r="W18" s="25">
        <f>IF(TrAvia_act!W34=0,0,(TrAvia_act!W34/TrAvia_act!W24)/TrAvia_png!W12)</f>
        <v>0.61847806176540787</v>
      </c>
      <c r="X18" s="25">
        <f>IF(TrAvia_act!X34=0,0,(TrAvia_act!X34/TrAvia_act!X24)/TrAvia_png!X12)</f>
        <v>0.72109984371795699</v>
      </c>
      <c r="Y18" s="25">
        <f>IF(TrAvia_act!Y34=0,0,(TrAvia_act!Y34/TrAvia_act!Y24)/TrAvia_png!Y12)</f>
        <v>0.77105338272327906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0.54915044190066209</v>
      </c>
      <c r="C20" s="89">
        <f>IF(TrAvia_act!C36=0,0,(TrAvia_act!C36/TrAvia_act!C26)/TrAvia_png!C14)</f>
        <v>0.54977624671457503</v>
      </c>
      <c r="D20" s="89">
        <f>IF(TrAvia_act!D36=0,0,(TrAvia_act!D36/TrAvia_act!D26)/TrAvia_png!D14)</f>
        <v>0.5539158408383581</v>
      </c>
      <c r="E20" s="89">
        <f>IF(TrAvia_act!E36=0,0,(TrAvia_act!E36/TrAvia_act!E26)/TrAvia_png!E14)</f>
        <v>0.55618490404698828</v>
      </c>
      <c r="F20" s="89">
        <f>IF(TrAvia_act!F36=0,0,(TrAvia_act!F36/TrAvia_act!F26)/TrAvia_png!F14)</f>
        <v>0.55859767472385857</v>
      </c>
      <c r="G20" s="89">
        <f>IF(TrAvia_act!G36=0,0,(TrAvia_act!G36/TrAvia_act!G26)/TrAvia_png!G14)</f>
        <v>0.54695415370808775</v>
      </c>
      <c r="H20" s="89">
        <f>IF(TrAvia_act!H36=0,0,(TrAvia_act!H36/TrAvia_act!H26)/TrAvia_png!H14)</f>
        <v>0.56348708438855544</v>
      </c>
      <c r="I20" s="89">
        <f>IF(TrAvia_act!I36=0,0,(TrAvia_act!I36/TrAvia_act!I26)/TrAvia_png!I14)</f>
        <v>0.61711461717171134</v>
      </c>
      <c r="J20" s="89">
        <f>IF(TrAvia_act!J36=0,0,(TrAvia_act!J36/TrAvia_act!J26)/TrAvia_png!J14)</f>
        <v>0.59531816395160941</v>
      </c>
      <c r="K20" s="89">
        <f>IF(TrAvia_act!K36=0,0,(TrAvia_act!K36/TrAvia_act!K26)/TrAvia_png!K14)</f>
        <v>0.59880753296676348</v>
      </c>
      <c r="L20" s="89">
        <f>IF(TrAvia_act!L36=0,0,(TrAvia_act!L36/TrAvia_act!L26)/TrAvia_png!L14)</f>
        <v>0.5856589794661754</v>
      </c>
      <c r="M20" s="89">
        <f>IF(TrAvia_act!M36=0,0,(TrAvia_act!M36/TrAvia_act!M26)/TrAvia_png!M14)</f>
        <v>0.5739483374439539</v>
      </c>
      <c r="N20" s="89">
        <f>IF(TrAvia_act!N36=0,0,(TrAvia_act!N36/TrAvia_act!N26)/TrAvia_png!N14)</f>
        <v>0.59992931849255882</v>
      </c>
      <c r="O20" s="89">
        <f>IF(TrAvia_act!O36=0,0,(TrAvia_act!O36/TrAvia_act!O26)/TrAvia_png!O14)</f>
        <v>0.64096295765380606</v>
      </c>
      <c r="P20" s="89">
        <f>IF(TrAvia_act!P36=0,0,(TrAvia_act!P36/TrAvia_act!P26)/TrAvia_png!P14)</f>
        <v>0.66562222385176406</v>
      </c>
      <c r="Q20" s="89">
        <f>IF(TrAvia_act!Q36=0,0,(TrAvia_act!Q36/TrAvia_act!Q26)/TrAvia_png!Q14)</f>
        <v>0.66942410189379697</v>
      </c>
      <c r="R20" s="89">
        <f>IF(TrAvia_act!R36=0,0,(TrAvia_act!R36/TrAvia_act!R26)/TrAvia_png!R14)</f>
        <v>0.64452427810618462</v>
      </c>
      <c r="S20" s="89">
        <f>IF(TrAvia_act!S36=0,0,(TrAvia_act!S36/TrAvia_act!S26)/TrAvia_png!S14)</f>
        <v>0.65766121315575288</v>
      </c>
      <c r="T20" s="89">
        <f>IF(TrAvia_act!T36=0,0,(TrAvia_act!T36/TrAvia_act!T26)/TrAvia_png!T14)</f>
        <v>0.66502697046451231</v>
      </c>
      <c r="U20" s="89">
        <f>IF(TrAvia_act!U36=0,0,(TrAvia_act!U36/TrAvia_act!U26)/TrAvia_png!U14)</f>
        <v>0.67885740926037874</v>
      </c>
      <c r="V20" s="89">
        <f>IF(TrAvia_act!V36=0,0,(TrAvia_act!V36/TrAvia_act!V26)/TrAvia_png!V14)</f>
        <v>0.53384961911269713</v>
      </c>
      <c r="W20" s="89">
        <f>IF(TrAvia_act!W36=0,0,(TrAvia_act!W36/TrAvia_act!W26)/TrAvia_png!W14)</f>
        <v>0.61514141406773748</v>
      </c>
      <c r="X20" s="89">
        <f>IF(TrAvia_act!X36=0,0,(TrAvia_act!X36/TrAvia_act!X26)/TrAvia_png!X14)</f>
        <v>0.71035440803423577</v>
      </c>
      <c r="Y20" s="89">
        <f>IF(TrAvia_act!Y36=0,0,(TrAvia_act!Y36/TrAvia_act!Y26)/TrAvia_png!Y14)</f>
        <v>0.76034447557267693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0.6709604481063397</v>
      </c>
      <c r="C21" s="90">
        <f>IF(TrAvia_act!C37=0,0,(TrAvia_act!C37/TrAvia_act!C27)/TrAvia_png!C15)</f>
        <v>0.66913055529890053</v>
      </c>
      <c r="D21" s="90">
        <f>IF(TrAvia_act!D37=0,0,(TrAvia_act!D37/TrAvia_act!D27)/TrAvia_png!D15)</f>
        <v>0.66777965604437062</v>
      </c>
      <c r="E21" s="90">
        <f>IF(TrAvia_act!E37=0,0,(TrAvia_act!E37/TrAvia_act!E27)/TrAvia_png!E15)</f>
        <v>0.66672399195682086</v>
      </c>
      <c r="F21" s="90">
        <f>IF(TrAvia_act!F37=0,0,(TrAvia_act!F37/TrAvia_act!F27)/TrAvia_png!F15)</f>
        <v>0.67258475548630992</v>
      </c>
      <c r="G21" s="90">
        <f>IF(TrAvia_act!G37=0,0,(TrAvia_act!G37/TrAvia_act!G27)/TrAvia_png!G15)</f>
        <v>0.63865237602806579</v>
      </c>
      <c r="H21" s="90">
        <f>IF(TrAvia_act!H37=0,0,(TrAvia_act!H37/TrAvia_act!H27)/TrAvia_png!H15)</f>
        <v>0.64483208406819514</v>
      </c>
      <c r="I21" s="90">
        <f>IF(TrAvia_act!I37=0,0,(TrAvia_act!I37/TrAvia_act!I27)/TrAvia_png!I15)</f>
        <v>0.64191506587178926</v>
      </c>
      <c r="J21" s="90">
        <f>IF(TrAvia_act!J37=0,0,(TrAvia_act!J37/TrAvia_act!J27)/TrAvia_png!J15)</f>
        <v>0.65089394424863833</v>
      </c>
      <c r="K21" s="90">
        <f>IF(TrAvia_act!K37=0,0,(TrAvia_act!K37/TrAvia_act!K27)/TrAvia_png!K15)</f>
        <v>0.73154964068626749</v>
      </c>
      <c r="L21" s="90">
        <f>IF(TrAvia_act!L37=0,0,(TrAvia_act!L37/TrAvia_act!L27)/TrAvia_png!L15)</f>
        <v>0.83774800124349347</v>
      </c>
      <c r="M21" s="90">
        <f>IF(TrAvia_act!M37=0,0,(TrAvia_act!M37/TrAvia_act!M27)/TrAvia_png!M15)</f>
        <v>0.69189742612919358</v>
      </c>
      <c r="N21" s="90">
        <f>IF(TrAvia_act!N37=0,0,(TrAvia_act!N37/TrAvia_act!N27)/TrAvia_png!N15)</f>
        <v>0.82417865136741375</v>
      </c>
      <c r="O21" s="90">
        <f>IF(TrAvia_act!O37=0,0,(TrAvia_act!O37/TrAvia_act!O27)/TrAvia_png!O15)</f>
        <v>0.80497648483251105</v>
      </c>
      <c r="P21" s="90">
        <f>IF(TrAvia_act!P37=0,0,(TrAvia_act!P37/TrAvia_act!P27)/TrAvia_png!P15)</f>
        <v>0.76630341908430066</v>
      </c>
      <c r="Q21" s="90">
        <f>IF(TrAvia_act!Q37=0,0,(TrAvia_act!Q37/TrAvia_act!Q27)/TrAvia_png!Q15)</f>
        <v>0.68538967786629723</v>
      </c>
      <c r="R21" s="90">
        <f>IF(TrAvia_act!R37=0,0,(TrAvia_act!R37/TrAvia_act!R27)/TrAvia_png!R15)</f>
        <v>0.69226729542896948</v>
      </c>
      <c r="S21" s="90">
        <f>IF(TrAvia_act!S37=0,0,(TrAvia_act!S37/TrAvia_act!S27)/TrAvia_png!S15)</f>
        <v>0.72249125766435118</v>
      </c>
      <c r="T21" s="90">
        <f>IF(TrAvia_act!T37=0,0,(TrAvia_act!T37/TrAvia_act!T27)/TrAvia_png!T15)</f>
        <v>0.6248732322509597</v>
      </c>
      <c r="U21" s="90">
        <f>IF(TrAvia_act!U37=0,0,(TrAvia_act!U37/TrAvia_act!U27)/TrAvia_png!U15)</f>
        <v>0.61777916569079028</v>
      </c>
      <c r="V21" s="90">
        <f>IF(TrAvia_act!V37=0,0,(TrAvia_act!V37/TrAvia_act!V27)/TrAvia_png!V15)</f>
        <v>0.5407677615305132</v>
      </c>
      <c r="W21" s="90">
        <f>IF(TrAvia_act!W37=0,0,(TrAvia_act!W37/TrAvia_act!W27)/TrAvia_png!W15)</f>
        <v>0.66288921838593517</v>
      </c>
      <c r="X21" s="90">
        <f>IF(TrAvia_act!X37=0,0,(TrAvia_act!X37/TrAvia_act!X27)/TrAvia_png!X15)</f>
        <v>0.89243240328562268</v>
      </c>
      <c r="Y21" s="90">
        <f>IF(TrAvia_act!Y37=0,0,(TrAvia_act!Y37/TrAvia_act!Y27)/TrAvia_png!Y15)</f>
        <v>0.91433572876358948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5.5794195465667079E-2</v>
      </c>
      <c r="C24" s="23">
        <f>IF(TrAvia_ene!C6=0,0,TrAvia_ene!C6/(C12*TrAvia_act!C14))</f>
        <v>5.8536307874400367E-2</v>
      </c>
      <c r="D24" s="23">
        <f>IF(TrAvia_ene!D6=0,0,TrAvia_ene!D6/(D12*TrAvia_act!D14))</f>
        <v>5.8949847902795449E-2</v>
      </c>
      <c r="E24" s="23">
        <f>IF(TrAvia_ene!E6=0,0,TrAvia_ene!E6/(E12*TrAvia_act!E14))</f>
        <v>5.6298106299914163E-2</v>
      </c>
      <c r="F24" s="23">
        <f>IF(TrAvia_ene!F6=0,0,TrAvia_ene!F6/(F12*TrAvia_act!F14))</f>
        <v>5.8355027440222487E-2</v>
      </c>
      <c r="G24" s="23">
        <f>IF(TrAvia_ene!G6=0,0,TrAvia_ene!G6/(G12*TrAvia_act!G14))</f>
        <v>5.4091464339940103E-2</v>
      </c>
      <c r="H24" s="23">
        <f>IF(TrAvia_ene!H6=0,0,TrAvia_ene!H6/(H12*TrAvia_act!H14))</f>
        <v>5.1131175166688914E-2</v>
      </c>
      <c r="I24" s="23">
        <f>IF(TrAvia_ene!I6=0,0,TrAvia_ene!I6/(I12*TrAvia_act!I14))</f>
        <v>6.6110527595375029E-2</v>
      </c>
      <c r="J24" s="23">
        <f>IF(TrAvia_ene!J6=0,0,TrAvia_ene!J6/(J12*TrAvia_act!J14))</f>
        <v>6.522954508556103E-2</v>
      </c>
      <c r="K24" s="23">
        <f>IF(TrAvia_ene!K6=0,0,TrAvia_ene!K6/(K12*TrAvia_act!K14))</f>
        <v>9.3510688511581494E-2</v>
      </c>
      <c r="L24" s="23">
        <f>IF(TrAvia_ene!L6=0,0,TrAvia_ene!L6/(L12*TrAvia_act!L14))</f>
        <v>9.6944018336893506E-2</v>
      </c>
      <c r="M24" s="23">
        <f>IF(TrAvia_ene!M6=0,0,TrAvia_ene!M6/(M12*TrAvia_act!M14))</f>
        <v>6.5977239089369713E-2</v>
      </c>
      <c r="N24" s="23">
        <f>IF(TrAvia_ene!N6=0,0,TrAvia_ene!N6/(N12*TrAvia_act!N14))</f>
        <v>6.2201357387454095E-2</v>
      </c>
      <c r="O24" s="23">
        <f>IF(TrAvia_ene!O6=0,0,TrAvia_ene!O6/(O12*TrAvia_act!O14))</f>
        <v>5.5967131721189722E-2</v>
      </c>
      <c r="P24" s="23">
        <f>IF(TrAvia_ene!P6=0,0,TrAvia_ene!P6/(P12*TrAvia_act!P14))</f>
        <v>6.5458827090034352E-2</v>
      </c>
      <c r="Q24" s="23">
        <f>IF(TrAvia_ene!Q6=0,0,TrAvia_ene!Q6/(Q12*TrAvia_act!Q14))</f>
        <v>6.9609327517626593E-2</v>
      </c>
      <c r="R24" s="23">
        <f>IF(TrAvia_ene!R6=0,0,TrAvia_ene!R6/(R12*TrAvia_act!R14))</f>
        <v>5.6330443338466991E-2</v>
      </c>
      <c r="S24" s="23">
        <f>IF(TrAvia_ene!S6=0,0,TrAvia_ene!S6/(S12*TrAvia_act!S14))</f>
        <v>6.9848040390654453E-2</v>
      </c>
      <c r="T24" s="23">
        <f>IF(TrAvia_ene!T6=0,0,TrAvia_ene!T6/(T12*TrAvia_act!T14))</f>
        <v>8.5945852035818324E-2</v>
      </c>
      <c r="U24" s="23">
        <f>IF(TrAvia_ene!U6=0,0,TrAvia_ene!U6/(U12*TrAvia_act!U14))</f>
        <v>8.5847333669537035E-2</v>
      </c>
      <c r="V24" s="23">
        <f>IF(TrAvia_ene!V6=0,0,TrAvia_ene!V6/(V12*TrAvia_act!V14))</f>
        <v>5.4155661896401398E-2</v>
      </c>
      <c r="W24" s="23">
        <f>IF(TrAvia_ene!W6=0,0,TrAvia_ene!W6/(W12*TrAvia_act!W14))</f>
        <v>6.3714184907690929E-2</v>
      </c>
      <c r="X24" s="23">
        <f>IF(TrAvia_ene!X6=0,0,TrAvia_ene!X6/(X12*TrAvia_act!X14))</f>
        <v>6.2529697027725234E-2</v>
      </c>
      <c r="Y24" s="23">
        <f>IF(TrAvia_ene!Y6=0,0,TrAvia_ene!Y6/(Y12*TrAvia_act!Y14))</f>
        <v>4.3071184495967647E-2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4.995076674992141E-2</v>
      </c>
      <c r="C26" s="93">
        <f>IF(TrAvia_ene!C8=0,0,TrAvia_ene!C8/(C14*TrAvia_act!C16))</f>
        <v>5.2469332413182863E-2</v>
      </c>
      <c r="D26" s="93">
        <f>IF(TrAvia_ene!D8=0,0,TrAvia_ene!D8/(D14*TrAvia_act!D16))</f>
        <v>5.2896222709346373E-2</v>
      </c>
      <c r="E26" s="93">
        <f>IF(TrAvia_ene!E8=0,0,TrAvia_ene!E8/(E14*TrAvia_act!E16))</f>
        <v>5.0549925506442307E-2</v>
      </c>
      <c r="F26" s="93">
        <f>IF(TrAvia_ene!F8=0,0,TrAvia_ene!F8/(F14*TrAvia_act!F16))</f>
        <v>5.2381539201234922E-2</v>
      </c>
      <c r="G26" s="93">
        <f>IF(TrAvia_ene!G8=0,0,TrAvia_ene!G8/(G14*TrAvia_act!G16))</f>
        <v>4.9403927399784116E-2</v>
      </c>
      <c r="H26" s="93">
        <f>IF(TrAvia_ene!H8=0,0,TrAvia_ene!H8/(H14*TrAvia_act!H16))</f>
        <v>4.7220442115268747E-2</v>
      </c>
      <c r="I26" s="93">
        <f>IF(TrAvia_ene!I8=0,0,TrAvia_ene!I8/(I14*TrAvia_act!I16))</f>
        <v>6.5861613476639103E-2</v>
      </c>
      <c r="J26" s="93">
        <f>IF(TrAvia_ene!J8=0,0,TrAvia_ene!J8/(J14*TrAvia_act!J16))</f>
        <v>6.6661560567450706E-2</v>
      </c>
      <c r="K26" s="93">
        <f>IF(TrAvia_ene!K8=0,0,TrAvia_ene!K8/(K14*TrAvia_act!K16))</f>
        <v>9.8531866924137818E-2</v>
      </c>
      <c r="L26" s="93">
        <f>IF(TrAvia_ene!L8=0,0,TrAvia_ene!L8/(L14*TrAvia_act!L16))</f>
        <v>0.10160410169155762</v>
      </c>
      <c r="M26" s="93">
        <f>IF(TrAvia_ene!M8=0,0,TrAvia_ene!M8/(M14*TrAvia_act!M16))</f>
        <v>6.4551069595707805E-2</v>
      </c>
      <c r="N26" s="93">
        <f>IF(TrAvia_ene!N8=0,0,TrAvia_ene!N8/(N14*TrAvia_act!N16))</f>
        <v>5.9584364242665402E-2</v>
      </c>
      <c r="O26" s="93">
        <f>IF(TrAvia_ene!O8=0,0,TrAvia_ene!O8/(O14*TrAvia_act!O16))</f>
        <v>5.3516324820635293E-2</v>
      </c>
      <c r="P26" s="93">
        <f>IF(TrAvia_ene!P8=0,0,TrAvia_ene!P8/(P14*TrAvia_act!P16))</f>
        <v>6.4400888059573863E-2</v>
      </c>
      <c r="Q26" s="93">
        <f>IF(TrAvia_ene!Q8=0,0,TrAvia_ene!Q8/(Q14*TrAvia_act!Q16))</f>
        <v>6.8396419021897525E-2</v>
      </c>
      <c r="R26" s="93">
        <f>IF(TrAvia_ene!R8=0,0,TrAvia_ene!R8/(R14*TrAvia_act!R16))</f>
        <v>5.0866016054254712E-2</v>
      </c>
      <c r="S26" s="93">
        <f>IF(TrAvia_ene!S8=0,0,TrAvia_ene!S8/(S14*TrAvia_act!S16))</f>
        <v>6.6675690632867365E-2</v>
      </c>
      <c r="T26" s="93">
        <f>IF(TrAvia_ene!T8=0,0,TrAvia_ene!T8/(T14*TrAvia_act!T16))</f>
        <v>8.887845777649972E-2</v>
      </c>
      <c r="U26" s="93">
        <f>IF(TrAvia_ene!U8=0,0,TrAvia_ene!U8/(U14*TrAvia_act!U16))</f>
        <v>9.1351803099805354E-2</v>
      </c>
      <c r="V26" s="93">
        <f>IF(TrAvia_ene!V8=0,0,TrAvia_ene!V8/(V14*TrAvia_act!V16))</f>
        <v>4.9833694519537855E-2</v>
      </c>
      <c r="W26" s="93">
        <f>IF(TrAvia_ene!W8=0,0,TrAvia_ene!W8/(W14*TrAvia_act!W16))</f>
        <v>6.5043479107894334E-2</v>
      </c>
      <c r="X26" s="93">
        <f>IF(TrAvia_ene!X8=0,0,TrAvia_ene!X8/(X14*TrAvia_act!X16))</f>
        <v>6.3209185583685837E-2</v>
      </c>
      <c r="Y26" s="93">
        <f>IF(TrAvia_ene!Y8=0,0,TrAvia_ene!Y8/(Y14*TrAvia_act!Y16))</f>
        <v>4.1018341444209433E-2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5.8286322179415179E-2</v>
      </c>
      <c r="C27" s="94">
        <f>IF(TrAvia_ene!C9=0,0,TrAvia_ene!C9/(C15*TrAvia_act!C17))</f>
        <v>5.9962306922572962E-2</v>
      </c>
      <c r="D27" s="94">
        <f>IF(TrAvia_ene!D9=0,0,TrAvia_ene!D9/(D15*TrAvia_act!D17))</f>
        <v>5.9514274661903718E-2</v>
      </c>
      <c r="E27" s="94">
        <f>IF(TrAvia_ene!E9=0,0,TrAvia_ene!E9/(E15*TrAvia_act!E17))</f>
        <v>5.6384544248764074E-2</v>
      </c>
      <c r="F27" s="94">
        <f>IF(TrAvia_ene!F9=0,0,TrAvia_ene!F9/(F15*TrAvia_act!F17))</f>
        <v>5.8725649927379421E-2</v>
      </c>
      <c r="G27" s="94">
        <f>IF(TrAvia_ene!G9=0,0,TrAvia_ene!G9/(G15*TrAvia_act!G17))</f>
        <v>4.7835607085120295E-2</v>
      </c>
      <c r="H27" s="94">
        <f>IF(TrAvia_ene!H9=0,0,TrAvia_ene!H9/(H15*TrAvia_act!H17))</f>
        <v>4.2746935863003932E-2</v>
      </c>
      <c r="I27" s="94">
        <f>IF(TrAvia_ene!I9=0,0,TrAvia_ene!I9/(I15*TrAvia_act!I17))</f>
        <v>4.0159693065948535E-2</v>
      </c>
      <c r="J27" s="94">
        <f>IF(TrAvia_ene!J9=0,0,TrAvia_ene!J9/(J15*TrAvia_act!J17))</f>
        <v>3.5180531920884939E-2</v>
      </c>
      <c r="K27" s="94">
        <f>IF(TrAvia_ene!K9=0,0,TrAvia_ene!K9/(K15*TrAvia_act!K17))</f>
        <v>4.8159318570362507E-2</v>
      </c>
      <c r="L27" s="94">
        <f>IF(TrAvia_ene!L9=0,0,TrAvia_ene!L9/(L15*TrAvia_act!L17))</f>
        <v>5.1263886708854602E-2</v>
      </c>
      <c r="M27" s="94">
        <f>IF(TrAvia_ene!M9=0,0,TrAvia_ene!M9/(M15*TrAvia_act!M17))</f>
        <v>4.4714740564541701E-2</v>
      </c>
      <c r="N27" s="94">
        <f>IF(TrAvia_ene!N9=0,0,TrAvia_ene!N9/(N15*TrAvia_act!N17))</f>
        <v>4.9182494567902905E-2</v>
      </c>
      <c r="O27" s="94">
        <f>IF(TrAvia_ene!O9=0,0,TrAvia_ene!O9/(O15*TrAvia_act!O17))</f>
        <v>4.6692533130592039E-2</v>
      </c>
      <c r="P27" s="94">
        <f>IF(TrAvia_ene!P9=0,0,TrAvia_ene!P9/(P15*TrAvia_act!P17))</f>
        <v>4.7559515381137674E-2</v>
      </c>
      <c r="Q27" s="94">
        <f>IF(TrAvia_ene!Q9=0,0,TrAvia_ene!Q9/(Q15*TrAvia_act!Q17))</f>
        <v>5.024781334344533E-2</v>
      </c>
      <c r="R27" s="94">
        <f>IF(TrAvia_ene!R9=0,0,TrAvia_ene!R9/(R15*TrAvia_act!R17))</f>
        <v>5.9017452337567895E-2</v>
      </c>
      <c r="S27" s="94">
        <f>IF(TrAvia_ene!S9=0,0,TrAvia_ene!S9/(S15*TrAvia_act!S17))</f>
        <v>7.2362383144785283E-2</v>
      </c>
      <c r="T27" s="94">
        <f>IF(TrAvia_ene!T9=0,0,TrAvia_ene!T9/(T15*TrAvia_act!T17))</f>
        <v>6.8246071061598537E-2</v>
      </c>
      <c r="U27" s="94">
        <f>IF(TrAvia_ene!U9=0,0,TrAvia_ene!U9/(U15*TrAvia_act!U17))</f>
        <v>6.485437802398604E-2</v>
      </c>
      <c r="V27" s="94">
        <f>IF(TrAvia_ene!V9=0,0,TrAvia_ene!V9/(V15*TrAvia_act!V17))</f>
        <v>5.7703133862633288E-2</v>
      </c>
      <c r="W27" s="94">
        <f>IF(TrAvia_ene!W9=0,0,TrAvia_ene!W9/(W15*TrAvia_act!W17))</f>
        <v>5.3199782989652195E-2</v>
      </c>
      <c r="X27" s="94">
        <f>IF(TrAvia_ene!X9=0,0,TrAvia_ene!X9/(X15*TrAvia_act!X17))</f>
        <v>5.6704421514548638E-2</v>
      </c>
      <c r="Y27" s="94">
        <f>IF(TrAvia_ene!Y9=0,0,TrAvia_ene!Y9/(Y15*TrAvia_act!Y17))</f>
        <v>5.0444275056831724E-2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378</v>
      </c>
      <c r="C3" s="54">
        <f t="shared" si="0"/>
        <v>371</v>
      </c>
      <c r="D3" s="54">
        <f t="shared" si="0"/>
        <v>370</v>
      </c>
      <c r="E3" s="54">
        <f t="shared" si="0"/>
        <v>316</v>
      </c>
      <c r="F3" s="54">
        <f t="shared" si="0"/>
        <v>370</v>
      </c>
      <c r="G3" s="54">
        <f t="shared" si="0"/>
        <v>342</v>
      </c>
      <c r="H3" s="54">
        <f t="shared" si="0"/>
        <v>381</v>
      </c>
      <c r="I3" s="54">
        <f t="shared" si="0"/>
        <v>345</v>
      </c>
      <c r="J3" s="54">
        <f t="shared" si="0"/>
        <v>367</v>
      </c>
      <c r="K3" s="54">
        <f t="shared" si="0"/>
        <v>279</v>
      </c>
      <c r="L3" s="54">
        <f t="shared" si="0"/>
        <v>359</v>
      </c>
      <c r="M3" s="54">
        <f t="shared" si="0"/>
        <v>305</v>
      </c>
      <c r="N3" s="54">
        <f t="shared" si="0"/>
        <v>290</v>
      </c>
      <c r="O3" s="54">
        <f t="shared" si="0"/>
        <v>313</v>
      </c>
      <c r="P3" s="54">
        <f t="shared" si="0"/>
        <v>285</v>
      </c>
      <c r="Q3" s="54">
        <f t="shared" si="0"/>
        <v>235</v>
      </c>
      <c r="R3" s="54">
        <f t="shared" ref="R3:V3" si="1">SUM(R4:R5)</f>
        <v>190</v>
      </c>
      <c r="S3" s="54">
        <f t="shared" si="1"/>
        <v>195</v>
      </c>
      <c r="T3" s="54">
        <f t="shared" si="1"/>
        <v>205</v>
      </c>
      <c r="U3" s="54">
        <f t="shared" si="1"/>
        <v>228</v>
      </c>
      <c r="V3" s="54">
        <f t="shared" si="1"/>
        <v>201</v>
      </c>
      <c r="W3" s="54">
        <f t="shared" ref="W3:Y3" si="2">SUM(W4:W5)</f>
        <v>217</v>
      </c>
      <c r="X3" s="54">
        <f t="shared" si="2"/>
        <v>200</v>
      </c>
      <c r="Y3" s="54">
        <f t="shared" si="2"/>
        <v>165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378</v>
      </c>
      <c r="C5" s="58">
        <v>371</v>
      </c>
      <c r="D5" s="58">
        <v>370</v>
      </c>
      <c r="E5" s="58">
        <v>316</v>
      </c>
      <c r="F5" s="58">
        <v>370</v>
      </c>
      <c r="G5" s="58">
        <v>342</v>
      </c>
      <c r="H5" s="58">
        <v>381</v>
      </c>
      <c r="I5" s="58">
        <v>345</v>
      </c>
      <c r="J5" s="58">
        <v>367</v>
      </c>
      <c r="K5" s="58">
        <v>279</v>
      </c>
      <c r="L5" s="58">
        <v>359</v>
      </c>
      <c r="M5" s="58">
        <v>305</v>
      </c>
      <c r="N5" s="58">
        <v>290</v>
      </c>
      <c r="O5" s="58">
        <v>313</v>
      </c>
      <c r="P5" s="58">
        <v>285</v>
      </c>
      <c r="Q5" s="58">
        <v>235</v>
      </c>
      <c r="R5" s="58">
        <v>190</v>
      </c>
      <c r="S5" s="58">
        <v>195</v>
      </c>
      <c r="T5" s="58">
        <v>205</v>
      </c>
      <c r="U5" s="58">
        <v>228</v>
      </c>
      <c r="V5" s="58">
        <v>201</v>
      </c>
      <c r="W5" s="58">
        <v>217</v>
      </c>
      <c r="X5" s="58">
        <v>200</v>
      </c>
      <c r="Y5" s="58">
        <v>165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0.26900000000000002</v>
      </c>
      <c r="C7" s="59">
        <f t="shared" si="3"/>
        <v>0.26400000000000001</v>
      </c>
      <c r="D7" s="59">
        <f t="shared" si="3"/>
        <v>0.26400000000000001</v>
      </c>
      <c r="E7" s="59">
        <f t="shared" si="3"/>
        <v>0.22900000000000001</v>
      </c>
      <c r="F7" s="59">
        <f t="shared" si="3"/>
        <v>0.26400000000000001</v>
      </c>
      <c r="G7" s="59">
        <f t="shared" si="3"/>
        <v>0.245</v>
      </c>
      <c r="H7" s="59">
        <f t="shared" si="3"/>
        <v>0.27100000000000002</v>
      </c>
      <c r="I7" s="59">
        <f t="shared" si="3"/>
        <v>0.247</v>
      </c>
      <c r="J7" s="59">
        <f t="shared" si="3"/>
        <v>0.26400000000000001</v>
      </c>
      <c r="K7" s="59">
        <f t="shared" si="3"/>
        <v>0.17899999999999999</v>
      </c>
      <c r="L7" s="59">
        <f t="shared" si="3"/>
        <v>0.20699999999999999</v>
      </c>
      <c r="M7" s="59">
        <f t="shared" si="3"/>
        <v>0.17899999999999999</v>
      </c>
      <c r="N7" s="59">
        <f t="shared" si="3"/>
        <v>0.215</v>
      </c>
      <c r="O7" s="59">
        <f t="shared" si="3"/>
        <v>0.25800000000000001</v>
      </c>
      <c r="P7" s="59">
        <f t="shared" si="3"/>
        <v>0.25</v>
      </c>
      <c r="Q7" s="59">
        <f t="shared" si="3"/>
        <v>0.218</v>
      </c>
      <c r="R7" s="59">
        <f t="shared" ref="R7:V7" si="4">SUM(R8:R9)</f>
        <v>0.19</v>
      </c>
      <c r="S7" s="59">
        <f t="shared" si="4"/>
        <v>0.19500000000000001</v>
      </c>
      <c r="T7" s="59">
        <f t="shared" si="4"/>
        <v>0.2</v>
      </c>
      <c r="U7" s="59">
        <f t="shared" si="4"/>
        <v>0.20699999999999999</v>
      </c>
      <c r="V7" s="59">
        <f t="shared" si="4"/>
        <v>0.151</v>
      </c>
      <c r="W7" s="59">
        <f t="shared" ref="W7:Y7" si="5">SUM(W8:W9)</f>
        <v>0.14599999999999999</v>
      </c>
      <c r="X7" s="59">
        <f t="shared" si="5"/>
        <v>0.155</v>
      </c>
      <c r="Y7" s="59">
        <f t="shared" si="5"/>
        <v>0.153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0.26900000000000002</v>
      </c>
      <c r="C9" s="61">
        <v>0.26400000000000001</v>
      </c>
      <c r="D9" s="61">
        <v>0.26400000000000001</v>
      </c>
      <c r="E9" s="61">
        <v>0.22900000000000001</v>
      </c>
      <c r="F9" s="61">
        <v>0.26400000000000001</v>
      </c>
      <c r="G9" s="61">
        <v>0.245</v>
      </c>
      <c r="H9" s="61">
        <v>0.27100000000000002</v>
      </c>
      <c r="I9" s="61">
        <v>0.247</v>
      </c>
      <c r="J9" s="61">
        <v>0.26400000000000001</v>
      </c>
      <c r="K9" s="61">
        <v>0.17899999999999999</v>
      </c>
      <c r="L9" s="61">
        <v>0.20699999999999999</v>
      </c>
      <c r="M9" s="61">
        <v>0.17899999999999999</v>
      </c>
      <c r="N9" s="61">
        <v>0.215</v>
      </c>
      <c r="O9" s="61">
        <v>0.25800000000000001</v>
      </c>
      <c r="P9" s="61">
        <v>0.25</v>
      </c>
      <c r="Q9" s="61">
        <v>0.218</v>
      </c>
      <c r="R9" s="61">
        <v>0.19</v>
      </c>
      <c r="S9" s="61">
        <v>0.19500000000000001</v>
      </c>
      <c r="T9" s="61">
        <v>0.2</v>
      </c>
      <c r="U9" s="61">
        <v>0.20699999999999999</v>
      </c>
      <c r="V9" s="61">
        <v>0.151</v>
      </c>
      <c r="W9" s="61">
        <v>0.14599999999999999</v>
      </c>
      <c r="X9" s="61">
        <v>0.155</v>
      </c>
      <c r="Y9" s="61">
        <v>0.153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1405.2044609665427</v>
      </c>
      <c r="C13" s="62">
        <f t="shared" si="6"/>
        <v>1405.3030303030303</v>
      </c>
      <c r="D13" s="62">
        <f t="shared" si="6"/>
        <v>1401.5151515151515</v>
      </c>
      <c r="E13" s="62">
        <f t="shared" si="6"/>
        <v>1379.9126637554584</v>
      </c>
      <c r="F13" s="62">
        <f t="shared" ref="F13:V13" si="7">IF(F3=0,0,F3/F7)</f>
        <v>1401.5151515151515</v>
      </c>
      <c r="G13" s="62">
        <f t="shared" si="7"/>
        <v>1395.9183673469388</v>
      </c>
      <c r="H13" s="62">
        <f t="shared" si="7"/>
        <v>1405.9040590405903</v>
      </c>
      <c r="I13" s="62">
        <f t="shared" si="7"/>
        <v>1396.7611336032389</v>
      </c>
      <c r="J13" s="62">
        <f t="shared" si="7"/>
        <v>1390.151515151515</v>
      </c>
      <c r="K13" s="62">
        <f t="shared" si="7"/>
        <v>1558.659217877095</v>
      </c>
      <c r="L13" s="62">
        <f t="shared" si="7"/>
        <v>1734.2995169082126</v>
      </c>
      <c r="M13" s="62">
        <f t="shared" si="7"/>
        <v>1703.9106145251396</v>
      </c>
      <c r="N13" s="62">
        <f t="shared" si="7"/>
        <v>1348.8372093023256</v>
      </c>
      <c r="O13" s="62">
        <f t="shared" si="7"/>
        <v>1213.1782945736434</v>
      </c>
      <c r="P13" s="62">
        <f t="shared" si="7"/>
        <v>1140</v>
      </c>
      <c r="Q13" s="62">
        <f t="shared" si="7"/>
        <v>1077.9816513761468</v>
      </c>
      <c r="R13" s="62">
        <f t="shared" si="7"/>
        <v>1000</v>
      </c>
      <c r="S13" s="62">
        <f t="shared" si="7"/>
        <v>1000</v>
      </c>
      <c r="T13" s="62">
        <f t="shared" si="7"/>
        <v>1025</v>
      </c>
      <c r="U13" s="62">
        <f t="shared" si="7"/>
        <v>1101.449275362319</v>
      </c>
      <c r="V13" s="62">
        <f t="shared" si="7"/>
        <v>1331.1258278145697</v>
      </c>
      <c r="W13" s="62">
        <f t="shared" ref="W13:Y13" si="8">IF(W3=0,0,W3/W7)</f>
        <v>1486.3013698630139</v>
      </c>
      <c r="X13" s="62">
        <f t="shared" si="8"/>
        <v>1290.3225806451612</v>
      </c>
      <c r="Y13" s="62">
        <f t="shared" si="8"/>
        <v>1078.4313725490197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:Y14" si="10">IF(W4=0,0,W4/W8)</f>
        <v>0</v>
      </c>
      <c r="X14" s="63">
        <f t="shared" si="10"/>
        <v>0</v>
      </c>
      <c r="Y14" s="63">
        <f t="shared" si="10"/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1405.2044609665427</v>
      </c>
      <c r="C15" s="64">
        <f t="shared" si="6"/>
        <v>1405.3030303030303</v>
      </c>
      <c r="D15" s="64">
        <f t="shared" si="6"/>
        <v>1401.5151515151515</v>
      </c>
      <c r="E15" s="64">
        <f t="shared" si="6"/>
        <v>1379.9126637554584</v>
      </c>
      <c r="F15" s="64">
        <f t="shared" ref="F15:V15" si="11">IF(F5=0,0,F5/F9)</f>
        <v>1401.5151515151515</v>
      </c>
      <c r="G15" s="64">
        <f t="shared" si="11"/>
        <v>1395.9183673469388</v>
      </c>
      <c r="H15" s="64">
        <f t="shared" si="11"/>
        <v>1405.9040590405903</v>
      </c>
      <c r="I15" s="64">
        <f t="shared" si="11"/>
        <v>1396.7611336032389</v>
      </c>
      <c r="J15" s="64">
        <f t="shared" si="11"/>
        <v>1390.151515151515</v>
      </c>
      <c r="K15" s="64">
        <f t="shared" si="11"/>
        <v>1558.659217877095</v>
      </c>
      <c r="L15" s="64">
        <f t="shared" si="11"/>
        <v>1734.2995169082126</v>
      </c>
      <c r="M15" s="64">
        <f t="shared" si="11"/>
        <v>1703.9106145251396</v>
      </c>
      <c r="N15" s="64">
        <f t="shared" si="11"/>
        <v>1348.8372093023256</v>
      </c>
      <c r="O15" s="64">
        <f t="shared" si="11"/>
        <v>1213.1782945736434</v>
      </c>
      <c r="P15" s="64">
        <f t="shared" si="11"/>
        <v>1140</v>
      </c>
      <c r="Q15" s="64">
        <f t="shared" si="11"/>
        <v>1077.9816513761468</v>
      </c>
      <c r="R15" s="64">
        <f t="shared" si="11"/>
        <v>1000</v>
      </c>
      <c r="S15" s="64">
        <f t="shared" si="11"/>
        <v>1000</v>
      </c>
      <c r="T15" s="64">
        <f t="shared" si="11"/>
        <v>1025</v>
      </c>
      <c r="U15" s="64">
        <f t="shared" si="11"/>
        <v>1101.449275362319</v>
      </c>
      <c r="V15" s="64">
        <f t="shared" si="11"/>
        <v>1331.1258278145697</v>
      </c>
      <c r="W15" s="64">
        <f t="shared" ref="W15:Y15" si="12">IF(W5=0,0,W5/W9)</f>
        <v>1486.3013698630139</v>
      </c>
      <c r="X15" s="64">
        <f t="shared" si="12"/>
        <v>1290.3225806451612</v>
      </c>
      <c r="Y15" s="64">
        <f t="shared" si="12"/>
        <v>1078.4313725490197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:Y18" si="18">IF(W4=0,0,W4/W$3)</f>
        <v>0</v>
      </c>
      <c r="X18" s="66">
        <f t="shared" si="18"/>
        <v>0</v>
      </c>
      <c r="Y18" s="66">
        <f t="shared" si="18"/>
        <v>0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:Y19" si="21">IF(W5=0,0,W5/W$3)</f>
        <v>1</v>
      </c>
      <c r="X19" s="67">
        <f t="shared" si="21"/>
        <v>1</v>
      </c>
      <c r="Y19" s="67">
        <f t="shared" si="21"/>
        <v>1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:Y22" si="27">IF(W8=0,0,W8/W$7)</f>
        <v>0</v>
      </c>
      <c r="X22" s="66">
        <f t="shared" si="27"/>
        <v>0</v>
      </c>
      <c r="Y22" s="66">
        <f t="shared" si="27"/>
        <v>0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:Y23" si="30">IF(W9=0,0,W9/W$7)</f>
        <v>1</v>
      </c>
      <c r="X23" s="67">
        <f t="shared" si="30"/>
        <v>1</v>
      </c>
      <c r="Y23" s="67">
        <f t="shared" si="30"/>
        <v>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0.45900000000000002</v>
      </c>
      <c r="C3" s="62">
        <f t="shared" ref="C3:V3" si="0">SUM(C4,C10)</f>
        <v>0.45200000000000001</v>
      </c>
      <c r="D3" s="62">
        <f t="shared" si="0"/>
        <v>0.45100000000000001</v>
      </c>
      <c r="E3" s="62">
        <f t="shared" si="0"/>
        <v>0.39700000000000002</v>
      </c>
      <c r="F3" s="62">
        <f t="shared" si="0"/>
        <v>0.45100000000000001</v>
      </c>
      <c r="G3" s="62">
        <f t="shared" si="0"/>
        <v>0.42299999999999999</v>
      </c>
      <c r="H3" s="62">
        <f t="shared" si="0"/>
        <v>0.46200000000000002</v>
      </c>
      <c r="I3" s="62">
        <f t="shared" si="0"/>
        <v>0.42599999999999999</v>
      </c>
      <c r="J3" s="62">
        <f t="shared" si="0"/>
        <v>0.44800000000000001</v>
      </c>
      <c r="K3" s="62">
        <f t="shared" si="0"/>
        <v>0.35899999999999999</v>
      </c>
      <c r="L3" s="62">
        <f t="shared" si="0"/>
        <v>0.44</v>
      </c>
      <c r="M3" s="62">
        <f t="shared" si="0"/>
        <v>0.38600000000000001</v>
      </c>
      <c r="N3" s="62">
        <f t="shared" si="0"/>
        <v>0.37093723129836631</v>
      </c>
      <c r="O3" s="62">
        <f t="shared" si="0"/>
        <v>0.34342218400687879</v>
      </c>
      <c r="P3" s="62">
        <f t="shared" si="0"/>
        <v>0.35296646603611348</v>
      </c>
      <c r="Q3" s="62">
        <f t="shared" si="0"/>
        <v>0.32519346517626824</v>
      </c>
      <c r="R3" s="62">
        <f t="shared" si="0"/>
        <v>0.30670679277730006</v>
      </c>
      <c r="S3" s="62">
        <f t="shared" si="0"/>
        <v>0.31650902837489248</v>
      </c>
      <c r="T3" s="62">
        <f t="shared" si="0"/>
        <v>0.31539122957867594</v>
      </c>
      <c r="U3" s="62">
        <f t="shared" si="0"/>
        <v>0.30275150472914875</v>
      </c>
      <c r="V3" s="62">
        <f t="shared" si="0"/>
        <v>0.10343938091143594</v>
      </c>
      <c r="W3" s="62">
        <f t="shared" ref="W3:Y3" si="1">SUM(W4,W10)</f>
        <v>8.9423903697334467E-2</v>
      </c>
      <c r="X3" s="62">
        <f t="shared" si="1"/>
        <v>0.10937231298366294</v>
      </c>
      <c r="Y3" s="62">
        <f t="shared" si="1"/>
        <v>0.1283748925193465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:Y4" si="3">SUM(W5:W9)</f>
        <v>0</v>
      </c>
      <c r="X4" s="71">
        <f t="shared" si="3"/>
        <v>0</v>
      </c>
      <c r="Y4" s="71">
        <f t="shared" si="3"/>
        <v>0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0.45900000000000002</v>
      </c>
      <c r="C10" s="71">
        <f t="shared" ref="C10:V10" si="4">SUM(C11:C15)</f>
        <v>0.45200000000000001</v>
      </c>
      <c r="D10" s="71">
        <f t="shared" si="4"/>
        <v>0.45100000000000001</v>
      </c>
      <c r="E10" s="71">
        <f t="shared" si="4"/>
        <v>0.39700000000000002</v>
      </c>
      <c r="F10" s="71">
        <f t="shared" si="4"/>
        <v>0.45100000000000001</v>
      </c>
      <c r="G10" s="71">
        <f t="shared" si="4"/>
        <v>0.42299999999999999</v>
      </c>
      <c r="H10" s="71">
        <f t="shared" si="4"/>
        <v>0.46200000000000002</v>
      </c>
      <c r="I10" s="71">
        <f t="shared" si="4"/>
        <v>0.42599999999999999</v>
      </c>
      <c r="J10" s="71">
        <f t="shared" si="4"/>
        <v>0.44800000000000001</v>
      </c>
      <c r="K10" s="71">
        <f t="shared" si="4"/>
        <v>0.35899999999999999</v>
      </c>
      <c r="L10" s="71">
        <f t="shared" si="4"/>
        <v>0.44</v>
      </c>
      <c r="M10" s="71">
        <f t="shared" si="4"/>
        <v>0.38600000000000001</v>
      </c>
      <c r="N10" s="71">
        <f t="shared" si="4"/>
        <v>0.37093723129836631</v>
      </c>
      <c r="O10" s="71">
        <f t="shared" si="4"/>
        <v>0.34342218400687879</v>
      </c>
      <c r="P10" s="71">
        <f t="shared" si="4"/>
        <v>0.35296646603611348</v>
      </c>
      <c r="Q10" s="71">
        <f t="shared" si="4"/>
        <v>0.32519346517626824</v>
      </c>
      <c r="R10" s="71">
        <f t="shared" si="4"/>
        <v>0.30670679277730006</v>
      </c>
      <c r="S10" s="71">
        <f t="shared" si="4"/>
        <v>0.31650902837489248</v>
      </c>
      <c r="T10" s="71">
        <f t="shared" si="4"/>
        <v>0.31539122957867594</v>
      </c>
      <c r="U10" s="71">
        <f t="shared" si="4"/>
        <v>0.30275150472914875</v>
      </c>
      <c r="V10" s="71">
        <f t="shared" si="4"/>
        <v>0.10343938091143594</v>
      </c>
      <c r="W10" s="71">
        <f t="shared" ref="W10:Y10" si="5">SUM(W11:W15)</f>
        <v>8.9423903697334467E-2</v>
      </c>
      <c r="X10" s="71">
        <f t="shared" si="5"/>
        <v>0.10937231298366294</v>
      </c>
      <c r="Y10" s="71">
        <f t="shared" si="5"/>
        <v>0.1283748925193465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0.45900000000000002</v>
      </c>
      <c r="C11" s="73">
        <v>0.45200000000000001</v>
      </c>
      <c r="D11" s="73">
        <v>0.45100000000000001</v>
      </c>
      <c r="E11" s="73">
        <v>0.39700000000000002</v>
      </c>
      <c r="F11" s="73">
        <v>0.45100000000000001</v>
      </c>
      <c r="G11" s="73">
        <v>0.42299999999999999</v>
      </c>
      <c r="H11" s="73">
        <v>0.46200000000000002</v>
      </c>
      <c r="I11" s="73">
        <v>0.42599999999999999</v>
      </c>
      <c r="J11" s="73">
        <v>0.44800000000000001</v>
      </c>
      <c r="K11" s="73">
        <v>0.35899999999999999</v>
      </c>
      <c r="L11" s="73">
        <v>0.44</v>
      </c>
      <c r="M11" s="73">
        <v>0.38600000000000001</v>
      </c>
      <c r="N11" s="73">
        <v>0.32373172828890801</v>
      </c>
      <c r="O11" s="73">
        <v>0.2942390369733448</v>
      </c>
      <c r="P11" s="73">
        <v>0.29836629406706788</v>
      </c>
      <c r="Q11" s="73">
        <v>0.26285468615649182</v>
      </c>
      <c r="R11" s="73">
        <v>0.25270851246775577</v>
      </c>
      <c r="S11" s="73">
        <v>0.25270851246775577</v>
      </c>
      <c r="T11" s="73">
        <v>0.25674978503869311</v>
      </c>
      <c r="U11" s="73">
        <v>0.24153052450558901</v>
      </c>
      <c r="V11" s="73">
        <v>9.4411006018916596E-2</v>
      </c>
      <c r="W11" s="73">
        <v>8.2201203783318993E-2</v>
      </c>
      <c r="X11" s="73">
        <v>9.9484092863284607E-2</v>
      </c>
      <c r="Y11" s="73">
        <v>0.1166809974204643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3.9036973344797943E-2</v>
      </c>
      <c r="O12" s="73">
        <v>4.0068787618228741E-2</v>
      </c>
      <c r="P12" s="73">
        <v>4.2132416165090281E-2</v>
      </c>
      <c r="Q12" s="73">
        <v>4.8323301805674956E-2</v>
      </c>
      <c r="R12" s="73">
        <v>3.9036973344797943E-2</v>
      </c>
      <c r="S12" s="73">
        <v>4.5227858985382619E-2</v>
      </c>
      <c r="T12" s="73">
        <v>4.0068787618228741E-2</v>
      </c>
      <c r="U12" s="73">
        <v>4.3164230438521051E-2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8.1685296646603605E-3</v>
      </c>
      <c r="O13" s="73">
        <v>9.114359415305244E-3</v>
      </c>
      <c r="P13" s="73">
        <v>1.2467755803955288E-2</v>
      </c>
      <c r="Q13" s="73">
        <v>1.4015477214101459E-2</v>
      </c>
      <c r="R13" s="73">
        <v>1.4961306964746348E-2</v>
      </c>
      <c r="S13" s="73">
        <v>1.8572656921754086E-2</v>
      </c>
      <c r="T13" s="73">
        <v>1.8572656921754086E-2</v>
      </c>
      <c r="U13" s="73">
        <v>1.8056749785038687E-2</v>
      </c>
      <c r="V13" s="73">
        <v>9.0283748925193454E-3</v>
      </c>
      <c r="W13" s="73">
        <v>7.222699914015477E-3</v>
      </c>
      <c r="X13" s="73">
        <v>9.888220120378332E-3</v>
      </c>
      <c r="Y13" s="73">
        <v>1.16938950988822E-2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170.63197026022306</v>
      </c>
      <c r="C19" s="62">
        <f>IF(C3=0,0,C3/TrNavi_act!C7*100)</f>
        <v>171.21212121212122</v>
      </c>
      <c r="D19" s="62">
        <f>IF(D3=0,0,D3/TrNavi_act!D7*100)</f>
        <v>170.83333333333331</v>
      </c>
      <c r="E19" s="62">
        <f>IF(E3=0,0,E3/TrNavi_act!E7*100)</f>
        <v>173.36244541484714</v>
      </c>
      <c r="F19" s="62">
        <f>IF(F3=0,0,F3/TrNavi_act!F7*100)</f>
        <v>170.83333333333331</v>
      </c>
      <c r="G19" s="62">
        <f>IF(G3=0,0,G3/TrNavi_act!G7*100)</f>
        <v>172.65306122448979</v>
      </c>
      <c r="H19" s="62">
        <f>IF(H3=0,0,H3/TrNavi_act!H7*100)</f>
        <v>170.47970479704796</v>
      </c>
      <c r="I19" s="62">
        <f>IF(I3=0,0,I3/TrNavi_act!I7*100)</f>
        <v>172.46963562753038</v>
      </c>
      <c r="J19" s="62">
        <f>IF(J3=0,0,J3/TrNavi_act!J7*100)</f>
        <v>169.69696969696969</v>
      </c>
      <c r="K19" s="62">
        <f>IF(K3=0,0,K3/TrNavi_act!K7*100)</f>
        <v>200.55865921787711</v>
      </c>
      <c r="L19" s="62">
        <f>IF(L3=0,0,L3/TrNavi_act!L7*100)</f>
        <v>212.56038647342996</v>
      </c>
      <c r="M19" s="62">
        <f>IF(M3=0,0,M3/TrNavi_act!M7*100)</f>
        <v>215.64245810055866</v>
      </c>
      <c r="N19" s="62">
        <f>IF(N3=0,0,N3/TrNavi_act!N7*100)</f>
        <v>172.52894478993781</v>
      </c>
      <c r="O19" s="62">
        <f>IF(O3=0,0,O3/TrNavi_act!O7*100)</f>
        <v>133.10937364607705</v>
      </c>
      <c r="P19" s="62">
        <f>IF(P3=0,0,P3/TrNavi_act!P7*100)</f>
        <v>141.1865864144454</v>
      </c>
      <c r="Q19" s="62">
        <f>IF(Q3=0,0,Q3/TrNavi_act!Q7*100)</f>
        <v>149.17131430104047</v>
      </c>
      <c r="R19" s="62">
        <f>IF(R3=0,0,R3/TrNavi_act!R7*100)</f>
        <v>161.42462777752635</v>
      </c>
      <c r="S19" s="62">
        <f>IF(S3=0,0,S3/TrNavi_act!S7*100)</f>
        <v>162.3123222435346</v>
      </c>
      <c r="T19" s="62">
        <f>IF(T3=0,0,T3/TrNavi_act!T7*100)</f>
        <v>157.69561478933795</v>
      </c>
      <c r="U19" s="62">
        <f>IF(U3=0,0,U3/TrNavi_act!U7*100)</f>
        <v>146.25676556963708</v>
      </c>
      <c r="V19" s="62">
        <f>IF(V3=0,0,V3/TrNavi_act!V7*100)</f>
        <v>68.502901265851619</v>
      </c>
      <c r="W19" s="62">
        <f>IF(W3=0,0,W3/TrNavi_act!W7*100)</f>
        <v>61.24924910776334</v>
      </c>
      <c r="X19" s="62">
        <f>IF(X3=0,0,X3/TrNavi_act!X7*100)</f>
        <v>70.562782570105114</v>
      </c>
      <c r="Y19" s="62">
        <f>IF(Y3=0,0,Y3/TrNavi_act!Y7*100)</f>
        <v>83.905158509376804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>
        <f>IF(X4=0,0,X4/TrNavi_act!X8*100)</f>
        <v>0</v>
      </c>
      <c r="Y20" s="63">
        <f>IF(Y4=0,0,Y4/TrNavi_act!Y8*100)</f>
        <v>0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170.63197026022306</v>
      </c>
      <c r="C21" s="64">
        <f>IF(C10=0,0,C10/TrNavi_act!C9*100)</f>
        <v>171.21212121212122</v>
      </c>
      <c r="D21" s="64">
        <f>IF(D10=0,0,D10/TrNavi_act!D9*100)</f>
        <v>170.83333333333331</v>
      </c>
      <c r="E21" s="64">
        <f>IF(E10=0,0,E10/TrNavi_act!E9*100)</f>
        <v>173.36244541484714</v>
      </c>
      <c r="F21" s="64">
        <f>IF(F10=0,0,F10/TrNavi_act!F9*100)</f>
        <v>170.83333333333331</v>
      </c>
      <c r="G21" s="64">
        <f>IF(G10=0,0,G10/TrNavi_act!G9*100)</f>
        <v>172.65306122448979</v>
      </c>
      <c r="H21" s="64">
        <f>IF(H10=0,0,H10/TrNavi_act!H9*100)</f>
        <v>170.47970479704796</v>
      </c>
      <c r="I21" s="64">
        <f>IF(I10=0,0,I10/TrNavi_act!I9*100)</f>
        <v>172.46963562753038</v>
      </c>
      <c r="J21" s="64">
        <f>IF(J10=0,0,J10/TrNavi_act!J9*100)</f>
        <v>169.69696969696969</v>
      </c>
      <c r="K21" s="64">
        <f>IF(K10=0,0,K10/TrNavi_act!K9*100)</f>
        <v>200.55865921787711</v>
      </c>
      <c r="L21" s="64">
        <f>IF(L10=0,0,L10/TrNavi_act!L9*100)</f>
        <v>212.56038647342996</v>
      </c>
      <c r="M21" s="64">
        <f>IF(M10=0,0,M10/TrNavi_act!M9*100)</f>
        <v>215.64245810055866</v>
      </c>
      <c r="N21" s="64">
        <f>IF(N10=0,0,N10/TrNavi_act!N9*100)</f>
        <v>172.52894478993781</v>
      </c>
      <c r="O21" s="64">
        <f>IF(O10=0,0,O10/TrNavi_act!O9*100)</f>
        <v>133.10937364607705</v>
      </c>
      <c r="P21" s="64">
        <f>IF(P10=0,0,P10/TrNavi_act!P9*100)</f>
        <v>141.1865864144454</v>
      </c>
      <c r="Q21" s="64">
        <f>IF(Q10=0,0,Q10/TrNavi_act!Q9*100)</f>
        <v>149.17131430104047</v>
      </c>
      <c r="R21" s="64">
        <f>IF(R10=0,0,R10/TrNavi_act!R9*100)</f>
        <v>161.42462777752635</v>
      </c>
      <c r="S21" s="64">
        <f>IF(S10=0,0,S10/TrNavi_act!S9*100)</f>
        <v>162.3123222435346</v>
      </c>
      <c r="T21" s="64">
        <f>IF(T10=0,0,T10/TrNavi_act!T9*100)</f>
        <v>157.69561478933795</v>
      </c>
      <c r="U21" s="64">
        <f>IF(U10=0,0,U10/TrNavi_act!U9*100)</f>
        <v>146.25676556963708</v>
      </c>
      <c r="V21" s="64">
        <f>IF(V10=0,0,V10/TrNavi_act!V9*100)</f>
        <v>68.502901265851619</v>
      </c>
      <c r="W21" s="64">
        <f>IF(W10=0,0,W10/TrNavi_act!W9*100)</f>
        <v>61.24924910776334</v>
      </c>
      <c r="X21" s="64">
        <f>IF(X10=0,0,X10/TrNavi_act!X9*100)</f>
        <v>70.562782570105114</v>
      </c>
      <c r="Y21" s="64">
        <f>IF(Y10=0,0,Y10/TrNavi_act!Y9*100)</f>
        <v>83.905158509376804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1.2142857142857144</v>
      </c>
      <c r="C23" s="62">
        <f>IF(C3=0,0,C3/TrNavi_act!C3*1000)</f>
        <v>1.2183288409703505</v>
      </c>
      <c r="D23" s="62">
        <f>IF(D3=0,0,D3/TrNavi_act!D3*1000)</f>
        <v>1.2189189189189189</v>
      </c>
      <c r="E23" s="62">
        <f>IF(E3=0,0,E3/TrNavi_act!E3*1000)</f>
        <v>1.2563291139240509</v>
      </c>
      <c r="F23" s="62">
        <f>IF(F3=0,0,F3/TrNavi_act!F3*1000)</f>
        <v>1.2189189189189189</v>
      </c>
      <c r="G23" s="62">
        <f>IF(G3=0,0,G3/TrNavi_act!G3*1000)</f>
        <v>1.236842105263158</v>
      </c>
      <c r="H23" s="62">
        <f>IF(H3=0,0,H3/TrNavi_act!H3*1000)</f>
        <v>1.2125984251968505</v>
      </c>
      <c r="I23" s="62">
        <f>IF(I3=0,0,I3/TrNavi_act!I3*1000)</f>
        <v>1.2347826086956522</v>
      </c>
      <c r="J23" s="62">
        <f>IF(J3=0,0,J3/TrNavi_act!J3*1000)</f>
        <v>1.2207084468664851</v>
      </c>
      <c r="K23" s="62">
        <f>IF(K3=0,0,K3/TrNavi_act!K3*1000)</f>
        <v>1.2867383512544803</v>
      </c>
      <c r="L23" s="62">
        <f>IF(L3=0,0,L3/TrNavi_act!L3*1000)</f>
        <v>1.2256267409470751</v>
      </c>
      <c r="M23" s="62">
        <f>IF(M3=0,0,M3/TrNavi_act!M3*1000)</f>
        <v>1.2655737704918033</v>
      </c>
      <c r="N23" s="62">
        <f>IF(N3=0,0,N3/TrNavi_act!N3*1000)</f>
        <v>1.2790939010288493</v>
      </c>
      <c r="O23" s="62">
        <f>IF(O3=0,0,O3/TrNavi_act!O3*1000)</f>
        <v>1.0971954760603155</v>
      </c>
      <c r="P23" s="62">
        <f>IF(P3=0,0,P3/TrNavi_act!P3*1000)</f>
        <v>1.2384788281968895</v>
      </c>
      <c r="Q23" s="62">
        <f>IF(Q3=0,0,Q3/TrNavi_act!Q3*1000)</f>
        <v>1.3838019794734819</v>
      </c>
      <c r="R23" s="62">
        <f>IF(R3=0,0,R3/TrNavi_act!R3*1000)</f>
        <v>1.6142462777752635</v>
      </c>
      <c r="S23" s="62">
        <f>IF(S3=0,0,S3/TrNavi_act!S3*1000)</f>
        <v>1.623123222435346</v>
      </c>
      <c r="T23" s="62">
        <f>IF(T3=0,0,T3/TrNavi_act!T3*1000)</f>
        <v>1.5384938028228095</v>
      </c>
      <c r="U23" s="62">
        <f>IF(U3=0,0,U3/TrNavi_act!U3*1000)</f>
        <v>1.3278574768822313</v>
      </c>
      <c r="V23" s="62">
        <f>IF(V3=0,0,V3/TrNavi_act!V3*1000)</f>
        <v>0.51462378562903455</v>
      </c>
      <c r="W23" s="62">
        <f>IF(W3=0,0,W3/TrNavi_act!W3*1000)</f>
        <v>0.41209172210753209</v>
      </c>
      <c r="X23" s="62">
        <f>IF(X3=0,0,X3/TrNavi_act!X3*1000)</f>
        <v>0.54686156491831472</v>
      </c>
      <c r="Y23" s="62">
        <f>IF(Y3=0,0,Y3/TrNavi_act!Y3*1000)</f>
        <v>0.77802965163240301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>
        <f>IF(X4=0,0,X4/TrNavi_act!X4*1000)</f>
        <v>0</v>
      </c>
      <c r="Y24" s="63">
        <f>IF(Y4=0,0,Y4/TrNavi_act!Y4*1000)</f>
        <v>0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1.2142857142857144</v>
      </c>
      <c r="C25" s="64">
        <f>IF(C10=0,0,C10/TrNavi_act!C5*1000)</f>
        <v>1.2183288409703505</v>
      </c>
      <c r="D25" s="64">
        <f>IF(D10=0,0,D10/TrNavi_act!D5*1000)</f>
        <v>1.2189189189189189</v>
      </c>
      <c r="E25" s="64">
        <f>IF(E10=0,0,E10/TrNavi_act!E5*1000)</f>
        <v>1.2563291139240509</v>
      </c>
      <c r="F25" s="64">
        <f>IF(F10=0,0,F10/TrNavi_act!F5*1000)</f>
        <v>1.2189189189189189</v>
      </c>
      <c r="G25" s="64">
        <f>IF(G10=0,0,G10/TrNavi_act!G5*1000)</f>
        <v>1.236842105263158</v>
      </c>
      <c r="H25" s="64">
        <f>IF(H10=0,0,H10/TrNavi_act!H5*1000)</f>
        <v>1.2125984251968505</v>
      </c>
      <c r="I25" s="64">
        <f>IF(I10=0,0,I10/TrNavi_act!I5*1000)</f>
        <v>1.2347826086956522</v>
      </c>
      <c r="J25" s="64">
        <f>IF(J10=0,0,J10/TrNavi_act!J5*1000)</f>
        <v>1.2207084468664851</v>
      </c>
      <c r="K25" s="64">
        <f>IF(K10=0,0,K10/TrNavi_act!K5*1000)</f>
        <v>1.2867383512544803</v>
      </c>
      <c r="L25" s="64">
        <f>IF(L10=0,0,L10/TrNavi_act!L5*1000)</f>
        <v>1.2256267409470751</v>
      </c>
      <c r="M25" s="64">
        <f>IF(M10=0,0,M10/TrNavi_act!M5*1000)</f>
        <v>1.2655737704918033</v>
      </c>
      <c r="N25" s="64">
        <f>IF(N10=0,0,N10/TrNavi_act!N5*1000)</f>
        <v>1.2790939010288493</v>
      </c>
      <c r="O25" s="64">
        <f>IF(O10=0,0,O10/TrNavi_act!O5*1000)</f>
        <v>1.0971954760603155</v>
      </c>
      <c r="P25" s="64">
        <f>IF(P10=0,0,P10/TrNavi_act!P5*1000)</f>
        <v>1.2384788281968895</v>
      </c>
      <c r="Q25" s="64">
        <f>IF(Q10=0,0,Q10/TrNavi_act!Q5*1000)</f>
        <v>1.3838019794734819</v>
      </c>
      <c r="R25" s="64">
        <f>IF(R10=0,0,R10/TrNavi_act!R5*1000)</f>
        <v>1.6142462777752635</v>
      </c>
      <c r="S25" s="64">
        <f>IF(S10=0,0,S10/TrNavi_act!S5*1000)</f>
        <v>1.623123222435346</v>
      </c>
      <c r="T25" s="64">
        <f>IF(T10=0,0,T10/TrNavi_act!T5*1000)</f>
        <v>1.5384938028228095</v>
      </c>
      <c r="U25" s="64">
        <f>IF(U10=0,0,U10/TrNavi_act!U5*1000)</f>
        <v>1.3278574768822313</v>
      </c>
      <c r="V25" s="64">
        <f>IF(V10=0,0,V10/TrNavi_act!V5*1000)</f>
        <v>0.51462378562903455</v>
      </c>
      <c r="W25" s="64">
        <f>IF(W10=0,0,W10/TrNavi_act!W5*1000)</f>
        <v>0.41209172210753209</v>
      </c>
      <c r="X25" s="64">
        <f>IF(X10=0,0,X10/TrNavi_act!X5*1000)</f>
        <v>0.54686156491831472</v>
      </c>
      <c r="Y25" s="64">
        <f>IF(Y10=0,0,Y10/TrNavi_act!Y5*1000)</f>
        <v>0.77802965163240301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0</v>
      </c>
      <c r="J28" s="77">
        <f t="shared" si="9"/>
        <v>0</v>
      </c>
      <c r="K28" s="77">
        <f t="shared" si="9"/>
        <v>0</v>
      </c>
      <c r="L28" s="77">
        <f t="shared" si="9"/>
        <v>0</v>
      </c>
      <c r="M28" s="77">
        <f t="shared" si="9"/>
        <v>0</v>
      </c>
      <c r="N28" s="77">
        <f t="shared" si="9"/>
        <v>0</v>
      </c>
      <c r="O28" s="77">
        <f t="shared" si="9"/>
        <v>0</v>
      </c>
      <c r="P28" s="77">
        <f t="shared" si="9"/>
        <v>0</v>
      </c>
      <c r="Q28" s="77">
        <f t="shared" si="9"/>
        <v>0</v>
      </c>
      <c r="R28" s="77">
        <f t="shared" si="9"/>
        <v>0</v>
      </c>
      <c r="S28" s="77">
        <f t="shared" si="9"/>
        <v>0</v>
      </c>
      <c r="T28" s="77">
        <f t="shared" si="9"/>
        <v>0</v>
      </c>
      <c r="U28" s="77">
        <f t="shared" si="9"/>
        <v>0</v>
      </c>
      <c r="V28" s="77">
        <f t="shared" ref="V28:W28" si="10">IF(V4=0,0,V4/V$3)</f>
        <v>0</v>
      </c>
      <c r="W28" s="77">
        <f t="shared" si="10"/>
        <v>0</v>
      </c>
      <c r="X28" s="77">
        <f t="shared" ref="X28:Y28" si="11">IF(X4=0,0,X4/X$3)</f>
        <v>0</v>
      </c>
      <c r="Y28" s="77">
        <f t="shared" si="11"/>
        <v>0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1</v>
      </c>
      <c r="C29" s="78">
        <f t="shared" si="12"/>
        <v>1</v>
      </c>
      <c r="D29" s="78">
        <f t="shared" si="12"/>
        <v>1</v>
      </c>
      <c r="E29" s="78">
        <f t="shared" si="12"/>
        <v>1</v>
      </c>
      <c r="F29" s="78">
        <f t="shared" si="12"/>
        <v>1</v>
      </c>
      <c r="G29" s="78">
        <f t="shared" si="12"/>
        <v>1</v>
      </c>
      <c r="H29" s="78">
        <f t="shared" si="12"/>
        <v>1</v>
      </c>
      <c r="I29" s="78">
        <f t="shared" si="12"/>
        <v>1</v>
      </c>
      <c r="J29" s="78">
        <f t="shared" si="12"/>
        <v>1</v>
      </c>
      <c r="K29" s="78">
        <f t="shared" si="12"/>
        <v>1</v>
      </c>
      <c r="L29" s="78">
        <f t="shared" si="12"/>
        <v>1</v>
      </c>
      <c r="M29" s="78">
        <f t="shared" si="12"/>
        <v>1</v>
      </c>
      <c r="N29" s="78">
        <f t="shared" si="12"/>
        <v>1</v>
      </c>
      <c r="O29" s="78">
        <f t="shared" si="12"/>
        <v>1</v>
      </c>
      <c r="P29" s="78">
        <f t="shared" si="12"/>
        <v>1</v>
      </c>
      <c r="Q29" s="78">
        <f t="shared" si="12"/>
        <v>1</v>
      </c>
      <c r="R29" s="78">
        <f t="shared" si="12"/>
        <v>1</v>
      </c>
      <c r="S29" s="78">
        <f t="shared" si="12"/>
        <v>1</v>
      </c>
      <c r="T29" s="78">
        <f t="shared" si="12"/>
        <v>1</v>
      </c>
      <c r="U29" s="78">
        <f t="shared" si="12"/>
        <v>1</v>
      </c>
      <c r="V29" s="78">
        <f t="shared" ref="V29:W29" si="13">IF(V10=0,0,V10/V$3)</f>
        <v>1</v>
      </c>
      <c r="W29" s="78">
        <f t="shared" si="13"/>
        <v>1</v>
      </c>
      <c r="X29" s="78">
        <f t="shared" ref="X29:Y29" si="14">IF(X10=0,0,X10/X$3)</f>
        <v>1</v>
      </c>
      <c r="Y29" s="78">
        <f t="shared" si="14"/>
        <v>1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1.4240102292000001</v>
      </c>
      <c r="C3" s="54">
        <f t="shared" ref="C3:V3" si="1">SUM(C4:C5)</f>
        <v>1.4022932976000002</v>
      </c>
      <c r="D3" s="54">
        <f t="shared" si="1"/>
        <v>1.3991908788</v>
      </c>
      <c r="E3" s="54">
        <f t="shared" si="1"/>
        <v>1.2316602636</v>
      </c>
      <c r="F3" s="54">
        <f t="shared" si="1"/>
        <v>1.3991908788</v>
      </c>
      <c r="G3" s="54">
        <f t="shared" si="1"/>
        <v>1.3123231524000001</v>
      </c>
      <c r="H3" s="54">
        <f t="shared" si="1"/>
        <v>1.4333174856000002</v>
      </c>
      <c r="I3" s="54">
        <f t="shared" si="1"/>
        <v>1.3216304087999999</v>
      </c>
      <c r="J3" s="54">
        <f t="shared" si="1"/>
        <v>1.3898836224000002</v>
      </c>
      <c r="K3" s="54">
        <f t="shared" si="1"/>
        <v>1.1137683491999999</v>
      </c>
      <c r="L3" s="54">
        <f t="shared" si="1"/>
        <v>1.3650642720000001</v>
      </c>
      <c r="M3" s="54">
        <f t="shared" si="1"/>
        <v>1.1975336568000001</v>
      </c>
      <c r="N3" s="54">
        <f t="shared" si="1"/>
        <v>1.1176153200000001</v>
      </c>
      <c r="O3" s="54">
        <f t="shared" si="1"/>
        <v>1.0291104</v>
      </c>
      <c r="P3" s="54">
        <f t="shared" si="1"/>
        <v>1.0479023999999999</v>
      </c>
      <c r="Q3" s="54">
        <f t="shared" si="1"/>
        <v>0.95569307999999997</v>
      </c>
      <c r="R3" s="54">
        <f t="shared" si="1"/>
        <v>0.89727155999999986</v>
      </c>
      <c r="S3" s="54">
        <f t="shared" si="1"/>
        <v>0.91523411999999993</v>
      </c>
      <c r="T3" s="54">
        <f t="shared" si="1"/>
        <v>0.91280304000000034</v>
      </c>
      <c r="U3" s="54">
        <f t="shared" si="1"/>
        <v>0.87456780000000012</v>
      </c>
      <c r="V3" s="54">
        <f t="shared" si="1"/>
        <v>0.29290248000000002</v>
      </c>
      <c r="W3" s="54">
        <f t="shared" ref="W3:Y3" si="2">SUM(W4:W5)</f>
        <v>0.25502256000000001</v>
      </c>
      <c r="X3" s="54">
        <f t="shared" si="2"/>
        <v>0.30864132</v>
      </c>
      <c r="Y3" s="54">
        <f t="shared" si="2"/>
        <v>0.36199331999999995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1.4240102292000001</v>
      </c>
      <c r="C5" s="58">
        <v>1.4022932976000002</v>
      </c>
      <c r="D5" s="58">
        <v>1.3991908788</v>
      </c>
      <c r="E5" s="58">
        <v>1.2316602636</v>
      </c>
      <c r="F5" s="58">
        <v>1.3991908788</v>
      </c>
      <c r="G5" s="58">
        <v>1.3123231524000001</v>
      </c>
      <c r="H5" s="58">
        <v>1.4333174856000002</v>
      </c>
      <c r="I5" s="58">
        <v>1.3216304087999999</v>
      </c>
      <c r="J5" s="58">
        <v>1.3898836224000002</v>
      </c>
      <c r="K5" s="58">
        <v>1.1137683491999999</v>
      </c>
      <c r="L5" s="58">
        <v>1.3650642720000001</v>
      </c>
      <c r="M5" s="58">
        <v>1.1975336568000001</v>
      </c>
      <c r="N5" s="58">
        <v>1.1176153200000001</v>
      </c>
      <c r="O5" s="58">
        <v>1.0291104</v>
      </c>
      <c r="P5" s="58">
        <v>1.0479023999999999</v>
      </c>
      <c r="Q5" s="58">
        <v>0.95569307999999997</v>
      </c>
      <c r="R5" s="58">
        <v>0.89727155999999986</v>
      </c>
      <c r="S5" s="58">
        <v>0.91523411999999993</v>
      </c>
      <c r="T5" s="58">
        <v>0.91280304000000034</v>
      </c>
      <c r="U5" s="58">
        <v>0.87456780000000012</v>
      </c>
      <c r="V5" s="58">
        <v>0.29290248000000002</v>
      </c>
      <c r="W5" s="58">
        <v>0.25502256000000001</v>
      </c>
      <c r="X5" s="58">
        <v>0.30864132</v>
      </c>
      <c r="Y5" s="58">
        <v>0.36199331999999995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3.1024188000000006</v>
      </c>
      <c r="D9" s="79">
        <f>IF(D3=0,0,D3/TrNavi_ene!D3)</f>
        <v>3.1024188000000001</v>
      </c>
      <c r="E9" s="79">
        <f>IF(E3=0,0,E3/TrNavi_ene!E3)</f>
        <v>3.1024187999999997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3.1024187999999997</v>
      </c>
      <c r="J9" s="79">
        <f>IF(J3=0,0,J3/TrNavi_ene!J3)</f>
        <v>3.1024188000000001</v>
      </c>
      <c r="K9" s="79">
        <f>IF(K3=0,0,K3/TrNavi_ene!K3)</f>
        <v>3.1024187999999997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3.0129499702364395</v>
      </c>
      <c r="O9" s="79">
        <f>IF(O3=0,0,O3/TrNavi_ene!O3)</f>
        <v>2.9966334381572355</v>
      </c>
      <c r="P9" s="79">
        <f>IF(P3=0,0,P3/TrNavi_ene!P3)</f>
        <v>2.9688440711327648</v>
      </c>
      <c r="Q9" s="79">
        <f>IF(Q3=0,0,Q3/TrNavi_ene!Q3)</f>
        <v>2.9388446643046011</v>
      </c>
      <c r="R9" s="79">
        <f>IF(R3=0,0,R3/TrNavi_ene!R3)</f>
        <v>2.9255027313708997</v>
      </c>
      <c r="S9" s="79">
        <f>IF(S3=0,0,S3/TrNavi_ene!S3)</f>
        <v>2.8916524899755505</v>
      </c>
      <c r="T9" s="79">
        <f>IF(T3=0,0,T3/TrNavi_ene!T3)</f>
        <v>2.8941928449291168</v>
      </c>
      <c r="U9" s="79">
        <f>IF(U3=0,0,U3/TrNavi_ene!U3)</f>
        <v>2.8887314723090034</v>
      </c>
      <c r="V9" s="79">
        <f>IF(V3=0,0,V3/TrNavi_ene!V3)</f>
        <v>2.8316341167082295</v>
      </c>
      <c r="W9" s="79">
        <f>IF(W3=0,0,W3/TrNavi_ene!W3)</f>
        <v>2.8518388200000007</v>
      </c>
      <c r="X9" s="79">
        <f>IF(X3=0,0,X3/TrNavi_ene!X3)</f>
        <v>2.8219328235849055</v>
      </c>
      <c r="Y9" s="79">
        <f>IF(Y3=0,0,Y3/TrNavi_ene!Y3)</f>
        <v>2.8198140064300068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>
        <f>IF(X4=0,0,X4/TrNavi_ene!X4)</f>
        <v>0</v>
      </c>
      <c r="Y10" s="80">
        <f>IF(Y4=0,0,Y4/TrNavi_ene!Y4)</f>
        <v>0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3.1024188000000006</v>
      </c>
      <c r="D11" s="81">
        <f>IF(D5=0,0,D5/TrNavi_ene!D10)</f>
        <v>3.1024188000000001</v>
      </c>
      <c r="E11" s="81">
        <f>IF(E5=0,0,E5/TrNavi_ene!E10)</f>
        <v>3.1024187999999997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3.1024187999999997</v>
      </c>
      <c r="J11" s="81">
        <f>IF(J5=0,0,J5/TrNavi_ene!J10)</f>
        <v>3.1024188000000001</v>
      </c>
      <c r="K11" s="81">
        <f>IF(K5=0,0,K5/TrNavi_ene!K10)</f>
        <v>3.1024187999999997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3.0129499702364395</v>
      </c>
      <c r="O11" s="81">
        <f>IF(O5=0,0,O5/TrNavi_ene!O10)</f>
        <v>2.9966334381572355</v>
      </c>
      <c r="P11" s="81">
        <f>IF(P5=0,0,P5/TrNavi_ene!P10)</f>
        <v>2.9688440711327648</v>
      </c>
      <c r="Q11" s="81">
        <f>IF(Q5=0,0,Q5/TrNavi_ene!Q10)</f>
        <v>2.9388446643046011</v>
      </c>
      <c r="R11" s="81">
        <f>IF(R5=0,0,R5/TrNavi_ene!R10)</f>
        <v>2.9255027313708997</v>
      </c>
      <c r="S11" s="81">
        <f>IF(S5=0,0,S5/TrNavi_ene!S10)</f>
        <v>2.8916524899755505</v>
      </c>
      <c r="T11" s="81">
        <f>IF(T5=0,0,T5/TrNavi_ene!T10)</f>
        <v>2.8941928449291168</v>
      </c>
      <c r="U11" s="81">
        <f>IF(U5=0,0,U5/TrNavi_ene!U10)</f>
        <v>2.8887314723090034</v>
      </c>
      <c r="V11" s="81">
        <f>IF(V5=0,0,V5/TrNavi_ene!V10)</f>
        <v>2.8316341167082295</v>
      </c>
      <c r="W11" s="81">
        <f>IF(W5=0,0,W5/TrNavi_ene!W10)</f>
        <v>2.8518388200000007</v>
      </c>
      <c r="X11" s="81">
        <f>IF(X5=0,0,X5/TrNavi_ene!X10)</f>
        <v>2.8219328235849055</v>
      </c>
      <c r="Y11" s="81">
        <f>IF(Y5=0,0,Y5/TrNavi_ene!Y10)</f>
        <v>2.8198140064300068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5293.7183241635694</v>
      </c>
      <c r="C13" s="54">
        <f>IF(C3=0,0,C3/TrNavi_act!C7*1000)</f>
        <v>5311.7170363636369</v>
      </c>
      <c r="D13" s="54">
        <f>IF(D3=0,0,D3/TrNavi_act!D7*1000)</f>
        <v>5299.9654500000006</v>
      </c>
      <c r="E13" s="54">
        <f>IF(E3=0,0,E3/TrNavi_act!E7*1000)</f>
        <v>5378.4290986899559</v>
      </c>
      <c r="F13" s="54">
        <f>IF(F3=0,0,F3/TrNavi_act!F7*1000)</f>
        <v>5299.9654500000006</v>
      </c>
      <c r="G13" s="54">
        <f>IF(G3=0,0,G3/TrNavi_act!G7*1000)</f>
        <v>5356.4210302040819</v>
      </c>
      <c r="H13" s="54">
        <f>IF(H3=0,0,H3/TrNavi_act!H7*1000)</f>
        <v>5288.9944118081185</v>
      </c>
      <c r="I13" s="54">
        <f>IF(I3=0,0,I3/TrNavi_act!I7*1000)</f>
        <v>5350.7303999999995</v>
      </c>
      <c r="J13" s="54">
        <f>IF(J3=0,0,J3/TrNavi_act!J7*1000)</f>
        <v>5264.7106909090917</v>
      </c>
      <c r="K13" s="54">
        <f>IF(K3=0,0,K3/TrNavi_act!K7*1000)</f>
        <v>6222.1695486033514</v>
      </c>
      <c r="L13" s="54">
        <f>IF(L3=0,0,L3/TrNavi_act!L7*1000)</f>
        <v>6594.5133913043492</v>
      </c>
      <c r="M13" s="54">
        <f>IF(M3=0,0,M3/TrNavi_act!M7*1000)</f>
        <v>6690.1321608938561</v>
      </c>
      <c r="N13" s="54">
        <f>IF(N3=0,0,N3/TrNavi_act!N7*1000)</f>
        <v>5198.2107906976753</v>
      </c>
      <c r="O13" s="54">
        <f>IF(O3=0,0,O3/TrNavi_act!O7*1000)</f>
        <v>3988.7999999999997</v>
      </c>
      <c r="P13" s="54">
        <f>IF(P3=0,0,P3/TrNavi_act!P7*1000)</f>
        <v>4191.6095999999998</v>
      </c>
      <c r="Q13" s="54">
        <f>IF(Q3=0,0,Q3/TrNavi_act!Q7*1000)</f>
        <v>4383.9132110091741</v>
      </c>
      <c r="R13" s="54">
        <f>IF(R3=0,0,R3/TrNavi_act!R7*1000)</f>
        <v>4722.4818947368412</v>
      </c>
      <c r="S13" s="54">
        <f>IF(S3=0,0,S3/TrNavi_act!S7*1000)</f>
        <v>4693.5083076923065</v>
      </c>
      <c r="T13" s="54">
        <f>IF(T3=0,0,T3/TrNavi_act!T7*1000)</f>
        <v>4564.0152000000016</v>
      </c>
      <c r="U13" s="54">
        <f>IF(U3=0,0,U3/TrNavi_act!U7*1000)</f>
        <v>4224.9652173913055</v>
      </c>
      <c r="V13" s="54">
        <f>IF(V3=0,0,V3/TrNavi_act!V7*1000)</f>
        <v>1939.7515231788082</v>
      </c>
      <c r="W13" s="54">
        <f>IF(W3=0,0,W3/TrNavi_act!W7*1000)</f>
        <v>1746.7298630136986</v>
      </c>
      <c r="X13" s="54">
        <f>IF(X3=0,0,X3/TrNavi_act!X7*1000)</f>
        <v>1991.2343225806453</v>
      </c>
      <c r="Y13" s="54">
        <f>IF(Y3=0,0,Y3/TrNavi_act!Y7*1000)</f>
        <v>2365.9694117647055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56">
        <f>IF(X4=0,0,X4/TrNavi_act!X8*1000)</f>
        <v>0</v>
      </c>
      <c r="Y14" s="56">
        <f>IF(Y4=0,0,Y4/TrNavi_act!Y8*1000)</f>
        <v>0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5293.7183241635694</v>
      </c>
      <c r="C15" s="58">
        <f>IF(C5=0,0,C5/TrNavi_act!C9*1000)</f>
        <v>5311.7170363636369</v>
      </c>
      <c r="D15" s="58">
        <f>IF(D5=0,0,D5/TrNavi_act!D9*1000)</f>
        <v>5299.9654500000006</v>
      </c>
      <c r="E15" s="58">
        <f>IF(E5=0,0,E5/TrNavi_act!E9*1000)</f>
        <v>5378.4290986899559</v>
      </c>
      <c r="F15" s="58">
        <f>IF(F5=0,0,F5/TrNavi_act!F9*1000)</f>
        <v>5299.9654500000006</v>
      </c>
      <c r="G15" s="58">
        <f>IF(G5=0,0,G5/TrNavi_act!G9*1000)</f>
        <v>5356.4210302040819</v>
      </c>
      <c r="H15" s="58">
        <f>IF(H5=0,0,H5/TrNavi_act!H9*1000)</f>
        <v>5288.9944118081185</v>
      </c>
      <c r="I15" s="58">
        <f>IF(I5=0,0,I5/TrNavi_act!I9*1000)</f>
        <v>5350.7303999999995</v>
      </c>
      <c r="J15" s="58">
        <f>IF(J5=0,0,J5/TrNavi_act!J9*1000)</f>
        <v>5264.7106909090917</v>
      </c>
      <c r="K15" s="58">
        <f>IF(K5=0,0,K5/TrNavi_act!K9*1000)</f>
        <v>6222.1695486033514</v>
      </c>
      <c r="L15" s="58">
        <f>IF(L5=0,0,L5/TrNavi_act!L9*1000)</f>
        <v>6594.5133913043492</v>
      </c>
      <c r="M15" s="58">
        <f>IF(M5=0,0,M5/TrNavi_act!M9*1000)</f>
        <v>6690.1321608938561</v>
      </c>
      <c r="N15" s="58">
        <f>IF(N5=0,0,N5/TrNavi_act!N9*1000)</f>
        <v>5198.2107906976753</v>
      </c>
      <c r="O15" s="58">
        <f>IF(O5=0,0,O5/TrNavi_act!O9*1000)</f>
        <v>3988.7999999999997</v>
      </c>
      <c r="P15" s="58">
        <f>IF(P5=0,0,P5/TrNavi_act!P9*1000)</f>
        <v>4191.6095999999998</v>
      </c>
      <c r="Q15" s="58">
        <f>IF(Q5=0,0,Q5/TrNavi_act!Q9*1000)</f>
        <v>4383.9132110091741</v>
      </c>
      <c r="R15" s="58">
        <f>IF(R5=0,0,R5/TrNavi_act!R9*1000)</f>
        <v>4722.4818947368412</v>
      </c>
      <c r="S15" s="58">
        <f>IF(S5=0,0,S5/TrNavi_act!S9*1000)</f>
        <v>4693.5083076923065</v>
      </c>
      <c r="T15" s="58">
        <f>IF(T5=0,0,T5/TrNavi_act!T9*1000)</f>
        <v>4564.0152000000016</v>
      </c>
      <c r="U15" s="58">
        <f>IF(U5=0,0,U5/TrNavi_act!U9*1000)</f>
        <v>4224.9652173913055</v>
      </c>
      <c r="V15" s="58">
        <f>IF(V5=0,0,V5/TrNavi_act!V9*1000)</f>
        <v>1939.7515231788082</v>
      </c>
      <c r="W15" s="58">
        <f>IF(W5=0,0,W5/TrNavi_act!W9*1000)</f>
        <v>1746.7298630136986</v>
      </c>
      <c r="X15" s="58">
        <f>IF(X5=0,0,X5/TrNavi_act!X9*1000)</f>
        <v>1991.2343225806453</v>
      </c>
      <c r="Y15" s="58">
        <f>IF(Y5=0,0,Y5/TrNavi_act!Y9*1000)</f>
        <v>2365.9694117647055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3.7672228285714286</v>
      </c>
      <c r="C17" s="62">
        <f>IF(C3=0,0,C3/TrNavi_act!C3*1000)</f>
        <v>3.779766300808626</v>
      </c>
      <c r="D17" s="62">
        <f>IF(D3=0,0,D3/TrNavi_act!D3*1000)</f>
        <v>3.7815969697297298</v>
      </c>
      <c r="E17" s="62">
        <f>IF(E3=0,0,E3/TrNavi_act!E3*1000)</f>
        <v>3.8976590620253169</v>
      </c>
      <c r="F17" s="62">
        <f>IF(F3=0,0,F3/TrNavi_act!F3*1000)</f>
        <v>3.7815969697297298</v>
      </c>
      <c r="G17" s="62">
        <f>IF(G3=0,0,G3/TrNavi_act!G3*1000)</f>
        <v>3.8372022000000001</v>
      </c>
      <c r="H17" s="62">
        <f>IF(H3=0,0,H3/TrNavi_act!H3*1000)</f>
        <v>3.7619881511811029</v>
      </c>
      <c r="I17" s="62">
        <f>IF(I3=0,0,I3/TrNavi_act!I3*1000)</f>
        <v>3.8308127791304343</v>
      </c>
      <c r="J17" s="62">
        <f>IF(J3=0,0,J3/TrNavi_act!J3*1000)</f>
        <v>3.7871488348773847</v>
      </c>
      <c r="K17" s="62">
        <f>IF(K3=0,0,K3/TrNavi_act!K3*1000)</f>
        <v>3.9920012516129026</v>
      </c>
      <c r="L17" s="62">
        <f>IF(L3=0,0,L3/TrNavi_act!L3*1000)</f>
        <v>3.8024074428969366</v>
      </c>
      <c r="M17" s="62">
        <f>IF(M3=0,0,M3/TrNavi_act!M3*1000)</f>
        <v>3.9263398583606559</v>
      </c>
      <c r="N17" s="62">
        <f>IF(N3=0,0,N3/TrNavi_act!N3*1000)</f>
        <v>3.853845931034483</v>
      </c>
      <c r="O17" s="62">
        <f>IF(O3=0,0,O3/TrNavi_act!O3*1000)</f>
        <v>3.2878926517571885</v>
      </c>
      <c r="P17" s="62">
        <f>IF(P3=0,0,P3/TrNavi_act!P3*1000)</f>
        <v>3.6768505263157891</v>
      </c>
      <c r="Q17" s="62">
        <f>IF(Q3=0,0,Q3/TrNavi_act!Q3*1000)</f>
        <v>4.0667790638297872</v>
      </c>
      <c r="R17" s="62">
        <f>IF(R3=0,0,R3/TrNavi_act!R3*1000)</f>
        <v>4.7224818947368412</v>
      </c>
      <c r="S17" s="62">
        <f>IF(S3=0,0,S3/TrNavi_act!S3*1000)</f>
        <v>4.6935083076923076</v>
      </c>
      <c r="T17" s="62">
        <f>IF(T3=0,0,T3/TrNavi_act!T3*1000)</f>
        <v>4.452697756097562</v>
      </c>
      <c r="U17" s="62">
        <f>IF(U3=0,0,U3/TrNavi_act!U3*1000)</f>
        <v>3.8358236842105269</v>
      </c>
      <c r="V17" s="62">
        <f>IF(V3=0,0,V3/TrNavi_act!V3*1000)</f>
        <v>1.4572262686567166</v>
      </c>
      <c r="W17" s="62">
        <f>IF(W3=0,0,W3/TrNavi_act!W3*1000)</f>
        <v>1.1752191705069126</v>
      </c>
      <c r="X17" s="62">
        <f>IF(X3=0,0,X3/TrNavi_act!X3*1000)</f>
        <v>1.5432066</v>
      </c>
      <c r="Y17" s="62">
        <f>IF(Y3=0,0,Y3/TrNavi_act!Y3*1000)</f>
        <v>2.1938989090909091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>
        <f>IF(X4=0,0,X4/TrNavi_act!X4*1000)</f>
        <v>0</v>
      </c>
      <c r="Y18" s="63">
        <f>IF(Y4=0,0,Y4/TrNavi_act!Y4*1000)</f>
        <v>0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3.7672228285714286</v>
      </c>
      <c r="C19" s="64">
        <f>IF(C5=0,0,C5/TrNavi_act!C5*1000)</f>
        <v>3.779766300808626</v>
      </c>
      <c r="D19" s="64">
        <f>IF(D5=0,0,D5/TrNavi_act!D5*1000)</f>
        <v>3.7815969697297298</v>
      </c>
      <c r="E19" s="64">
        <f>IF(E5=0,0,E5/TrNavi_act!E5*1000)</f>
        <v>3.8976590620253169</v>
      </c>
      <c r="F19" s="64">
        <f>IF(F5=0,0,F5/TrNavi_act!F5*1000)</f>
        <v>3.7815969697297298</v>
      </c>
      <c r="G19" s="64">
        <f>IF(G5=0,0,G5/TrNavi_act!G5*1000)</f>
        <v>3.8372022000000001</v>
      </c>
      <c r="H19" s="64">
        <f>IF(H5=0,0,H5/TrNavi_act!H5*1000)</f>
        <v>3.7619881511811029</v>
      </c>
      <c r="I19" s="64">
        <f>IF(I5=0,0,I5/TrNavi_act!I5*1000)</f>
        <v>3.8308127791304343</v>
      </c>
      <c r="J19" s="64">
        <f>IF(J5=0,0,J5/TrNavi_act!J5*1000)</f>
        <v>3.7871488348773847</v>
      </c>
      <c r="K19" s="64">
        <f>IF(K5=0,0,K5/TrNavi_act!K5*1000)</f>
        <v>3.9920012516129026</v>
      </c>
      <c r="L19" s="64">
        <f>IF(L5=0,0,L5/TrNavi_act!L5*1000)</f>
        <v>3.8024074428969366</v>
      </c>
      <c r="M19" s="64">
        <f>IF(M5=0,0,M5/TrNavi_act!M5*1000)</f>
        <v>3.9263398583606559</v>
      </c>
      <c r="N19" s="64">
        <f>IF(N5=0,0,N5/TrNavi_act!N5*1000)</f>
        <v>3.853845931034483</v>
      </c>
      <c r="O19" s="64">
        <f>IF(O5=0,0,O5/TrNavi_act!O5*1000)</f>
        <v>3.2878926517571885</v>
      </c>
      <c r="P19" s="64">
        <f>IF(P5=0,0,P5/TrNavi_act!P5*1000)</f>
        <v>3.6768505263157891</v>
      </c>
      <c r="Q19" s="64">
        <f>IF(Q5=0,0,Q5/TrNavi_act!Q5*1000)</f>
        <v>4.0667790638297872</v>
      </c>
      <c r="R19" s="64">
        <f>IF(R5=0,0,R5/TrNavi_act!R5*1000)</f>
        <v>4.7224818947368412</v>
      </c>
      <c r="S19" s="64">
        <f>IF(S5=0,0,S5/TrNavi_act!S5*1000)</f>
        <v>4.6935083076923076</v>
      </c>
      <c r="T19" s="64">
        <f>IF(T5=0,0,T5/TrNavi_act!T5*1000)</f>
        <v>4.452697756097562</v>
      </c>
      <c r="U19" s="64">
        <f>IF(U5=0,0,U5/TrNavi_act!U5*1000)</f>
        <v>3.8358236842105269</v>
      </c>
      <c r="V19" s="64">
        <f>IF(V5=0,0,V5/TrNavi_act!V5*1000)</f>
        <v>1.4572262686567166</v>
      </c>
      <c r="W19" s="64">
        <f>IF(W5=0,0,W5/TrNavi_act!W5*1000)</f>
        <v>1.1752191705069126</v>
      </c>
      <c r="X19" s="64">
        <f>IF(X5=0,0,X5/TrNavi_act!X5*1000)</f>
        <v>1.5432066</v>
      </c>
      <c r="Y19" s="64">
        <f>IF(Y5=0,0,Y5/TrNavi_act!Y5*1000)</f>
        <v>2.1938989090909091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6"/>
        <v>0</v>
      </c>
      <c r="N22" s="77">
        <f t="shared" si="6"/>
        <v>0</v>
      </c>
      <c r="O22" s="77">
        <f t="shared" si="6"/>
        <v>0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0</v>
      </c>
      <c r="T22" s="77">
        <f t="shared" si="6"/>
        <v>0</v>
      </c>
      <c r="U22" s="77">
        <f t="shared" si="6"/>
        <v>0</v>
      </c>
      <c r="V22" s="77">
        <f t="shared" ref="V22:W22" si="7">IF(V4=0,0,V4/V$3)</f>
        <v>0</v>
      </c>
      <c r="W22" s="77">
        <f t="shared" si="7"/>
        <v>0</v>
      </c>
      <c r="X22" s="77">
        <f t="shared" ref="X22:Y22" si="8">IF(X4=0,0,X4/X$3)</f>
        <v>0</v>
      </c>
      <c r="Y22" s="77">
        <f t="shared" si="8"/>
        <v>0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1</v>
      </c>
      <c r="C23" s="78">
        <f t="shared" si="9"/>
        <v>1</v>
      </c>
      <c r="D23" s="78">
        <f t="shared" si="9"/>
        <v>1</v>
      </c>
      <c r="E23" s="78">
        <f t="shared" si="9"/>
        <v>1</v>
      </c>
      <c r="F23" s="78">
        <f t="shared" si="9"/>
        <v>1</v>
      </c>
      <c r="G23" s="78">
        <f t="shared" si="9"/>
        <v>1</v>
      </c>
      <c r="H23" s="78">
        <f t="shared" si="9"/>
        <v>1</v>
      </c>
      <c r="I23" s="78">
        <f t="shared" si="9"/>
        <v>1</v>
      </c>
      <c r="J23" s="78">
        <f t="shared" si="9"/>
        <v>1</v>
      </c>
      <c r="K23" s="78">
        <f t="shared" si="9"/>
        <v>1</v>
      </c>
      <c r="L23" s="78">
        <f t="shared" si="9"/>
        <v>1</v>
      </c>
      <c r="M23" s="78">
        <f t="shared" si="9"/>
        <v>1</v>
      </c>
      <c r="N23" s="78">
        <f t="shared" si="9"/>
        <v>1</v>
      </c>
      <c r="O23" s="78">
        <f t="shared" si="9"/>
        <v>1</v>
      </c>
      <c r="P23" s="78">
        <f t="shared" si="9"/>
        <v>1</v>
      </c>
      <c r="Q23" s="78">
        <f t="shared" si="9"/>
        <v>1</v>
      </c>
      <c r="R23" s="78">
        <f t="shared" si="9"/>
        <v>1</v>
      </c>
      <c r="S23" s="78">
        <f t="shared" si="9"/>
        <v>1</v>
      </c>
      <c r="T23" s="78">
        <f t="shared" si="9"/>
        <v>1</v>
      </c>
      <c r="U23" s="78">
        <f t="shared" si="9"/>
        <v>1</v>
      </c>
      <c r="V23" s="78">
        <f t="shared" ref="V23:W23" si="10">IF(V5=0,0,V5/V$3)</f>
        <v>1</v>
      </c>
      <c r="W23" s="78">
        <f t="shared" si="10"/>
        <v>1</v>
      </c>
      <c r="X23" s="78">
        <f t="shared" ref="X23:Y23" si="11">IF(X5=0,0,X5/X$3)</f>
        <v>1</v>
      </c>
      <c r="Y23" s="78">
        <f t="shared" si="11"/>
        <v>1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W3" si="1">SUM(R4:R5)</f>
        <v>0</v>
      </c>
      <c r="S3" s="54">
        <f t="shared" si="1"/>
        <v>0</v>
      </c>
      <c r="T3" s="54">
        <f t="shared" si="1"/>
        <v>0</v>
      </c>
      <c r="U3" s="54">
        <f t="shared" si="1"/>
        <v>0</v>
      </c>
      <c r="V3" s="54">
        <f t="shared" si="1"/>
        <v>0</v>
      </c>
      <c r="W3" s="54">
        <f t="shared" si="1"/>
        <v>0</v>
      </c>
      <c r="X3" s="54">
        <f t="shared" ref="X3:Y3" si="2">SUM(X4:X5)</f>
        <v>0</v>
      </c>
      <c r="Y3" s="54">
        <f t="shared" si="2"/>
        <v>0</v>
      </c>
      <c r="DA3" s="172" t="s">
        <v>388</v>
      </c>
    </row>
    <row r="4" spans="1:105" ht="11.45" customHeight="1" x14ac:dyDescent="0.25">
      <c r="A4" s="55" t="s">
        <v>166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DA4" s="181" t="s">
        <v>389</v>
      </c>
    </row>
    <row r="5" spans="1:105" ht="11.45" customHeight="1" x14ac:dyDescent="0.25">
      <c r="A5" s="57" t="s">
        <v>167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si="3"/>
        <v>0</v>
      </c>
      <c r="S7" s="59">
        <f t="shared" si="3"/>
        <v>0</v>
      </c>
      <c r="T7" s="59">
        <f t="shared" si="3"/>
        <v>0</v>
      </c>
      <c r="U7" s="59">
        <f t="shared" si="3"/>
        <v>0</v>
      </c>
      <c r="V7" s="59">
        <f t="shared" si="3"/>
        <v>0</v>
      </c>
      <c r="W7" s="59">
        <f t="shared" si="3"/>
        <v>0</v>
      </c>
      <c r="X7" s="59">
        <f t="shared" ref="X7:Y7" si="4">SUM(X8:X9)</f>
        <v>0</v>
      </c>
      <c r="Y7" s="59">
        <f t="shared" si="4"/>
        <v>0</v>
      </c>
      <c r="DA7" s="172" t="s">
        <v>963</v>
      </c>
    </row>
    <row r="8" spans="1:105" ht="11.45" customHeight="1" x14ac:dyDescent="0.25">
      <c r="A8" s="55" t="s">
        <v>166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DA8" s="181" t="s">
        <v>964</v>
      </c>
    </row>
    <row r="9" spans="1:105" ht="11.45" customHeight="1" x14ac:dyDescent="0.25">
      <c r="A9" s="57" t="s">
        <v>167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0</v>
      </c>
      <c r="C13" s="62">
        <f t="shared" si="5"/>
        <v>0</v>
      </c>
      <c r="D13" s="62">
        <f t="shared" si="5"/>
        <v>0</v>
      </c>
      <c r="E13" s="62">
        <f t="shared" si="5"/>
        <v>0</v>
      </c>
      <c r="F13" s="62">
        <f t="shared" si="5"/>
        <v>0</v>
      </c>
      <c r="G13" s="62">
        <f t="shared" si="5"/>
        <v>0</v>
      </c>
      <c r="H13" s="62">
        <f t="shared" si="5"/>
        <v>0</v>
      </c>
      <c r="I13" s="62">
        <f t="shared" si="5"/>
        <v>0</v>
      </c>
      <c r="J13" s="62">
        <f t="shared" si="5"/>
        <v>0</v>
      </c>
      <c r="K13" s="62">
        <f t="shared" si="5"/>
        <v>0</v>
      </c>
      <c r="L13" s="62">
        <f t="shared" si="5"/>
        <v>0</v>
      </c>
      <c r="M13" s="62">
        <f t="shared" si="5"/>
        <v>0</v>
      </c>
      <c r="N13" s="62">
        <f t="shared" si="5"/>
        <v>0</v>
      </c>
      <c r="O13" s="62">
        <f t="shared" si="5"/>
        <v>0</v>
      </c>
      <c r="P13" s="62">
        <f t="shared" si="5"/>
        <v>0</v>
      </c>
      <c r="Q13" s="62">
        <f t="shared" si="5"/>
        <v>0</v>
      </c>
      <c r="R13" s="62">
        <f t="shared" si="5"/>
        <v>0</v>
      </c>
      <c r="S13" s="62">
        <f t="shared" si="5"/>
        <v>0</v>
      </c>
      <c r="T13" s="62">
        <f t="shared" si="5"/>
        <v>0</v>
      </c>
      <c r="U13" s="62">
        <f t="shared" si="5"/>
        <v>0</v>
      </c>
      <c r="V13" s="62">
        <f t="shared" si="5"/>
        <v>0</v>
      </c>
      <c r="W13" s="62">
        <f t="shared" si="5"/>
        <v>0</v>
      </c>
      <c r="X13" s="62">
        <f t="shared" ref="X13:Y13" si="6">IF(X3=0,0,X3/X7)</f>
        <v>0</v>
      </c>
      <c r="Y13" s="62">
        <f t="shared" si="6"/>
        <v>0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0</v>
      </c>
      <c r="C14" s="63">
        <f t="shared" si="5"/>
        <v>0</v>
      </c>
      <c r="D14" s="63">
        <f t="shared" si="5"/>
        <v>0</v>
      </c>
      <c r="E14" s="63">
        <f t="shared" si="5"/>
        <v>0</v>
      </c>
      <c r="F14" s="63">
        <f t="shared" si="5"/>
        <v>0</v>
      </c>
      <c r="G14" s="63">
        <f t="shared" si="5"/>
        <v>0</v>
      </c>
      <c r="H14" s="63">
        <f t="shared" si="5"/>
        <v>0</v>
      </c>
      <c r="I14" s="63">
        <f t="shared" si="5"/>
        <v>0</v>
      </c>
      <c r="J14" s="63">
        <f t="shared" si="5"/>
        <v>0</v>
      </c>
      <c r="K14" s="63">
        <f t="shared" si="5"/>
        <v>0</v>
      </c>
      <c r="L14" s="63">
        <f t="shared" si="5"/>
        <v>0</v>
      </c>
      <c r="M14" s="63">
        <f t="shared" si="5"/>
        <v>0</v>
      </c>
      <c r="N14" s="63">
        <f t="shared" si="5"/>
        <v>0</v>
      </c>
      <c r="O14" s="63">
        <f t="shared" si="5"/>
        <v>0</v>
      </c>
      <c r="P14" s="63">
        <f t="shared" si="5"/>
        <v>0</v>
      </c>
      <c r="Q14" s="63">
        <f t="shared" si="5"/>
        <v>0</v>
      </c>
      <c r="R14" s="63">
        <f t="shared" si="5"/>
        <v>0</v>
      </c>
      <c r="S14" s="63">
        <f t="shared" si="5"/>
        <v>0</v>
      </c>
      <c r="T14" s="63">
        <f t="shared" si="5"/>
        <v>0</v>
      </c>
      <c r="U14" s="63">
        <f t="shared" si="5"/>
        <v>0</v>
      </c>
      <c r="V14" s="63">
        <f t="shared" si="5"/>
        <v>0</v>
      </c>
      <c r="W14" s="63">
        <f t="shared" si="5"/>
        <v>0</v>
      </c>
      <c r="X14" s="63">
        <f t="shared" ref="X14:Y14" si="7">IF(X4=0,0,X4/X8)</f>
        <v>0</v>
      </c>
      <c r="Y14" s="63">
        <f t="shared" si="7"/>
        <v>0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0</v>
      </c>
      <c r="C15" s="64">
        <f t="shared" si="5"/>
        <v>0</v>
      </c>
      <c r="D15" s="64">
        <f t="shared" si="5"/>
        <v>0</v>
      </c>
      <c r="E15" s="64">
        <f t="shared" si="5"/>
        <v>0</v>
      </c>
      <c r="F15" s="64">
        <f t="shared" si="5"/>
        <v>0</v>
      </c>
      <c r="G15" s="64">
        <f t="shared" si="5"/>
        <v>0</v>
      </c>
      <c r="H15" s="64">
        <f t="shared" si="5"/>
        <v>0</v>
      </c>
      <c r="I15" s="64">
        <f t="shared" si="5"/>
        <v>0</v>
      </c>
      <c r="J15" s="64">
        <f t="shared" si="5"/>
        <v>0</v>
      </c>
      <c r="K15" s="64">
        <f t="shared" si="5"/>
        <v>0</v>
      </c>
      <c r="L15" s="64">
        <f t="shared" si="5"/>
        <v>0</v>
      </c>
      <c r="M15" s="64">
        <f t="shared" si="5"/>
        <v>0</v>
      </c>
      <c r="N15" s="64">
        <f t="shared" si="5"/>
        <v>0</v>
      </c>
      <c r="O15" s="64">
        <f t="shared" si="5"/>
        <v>0</v>
      </c>
      <c r="P15" s="64">
        <f t="shared" si="5"/>
        <v>0</v>
      </c>
      <c r="Q15" s="64">
        <f t="shared" si="5"/>
        <v>0</v>
      </c>
      <c r="R15" s="64">
        <f t="shared" si="5"/>
        <v>0</v>
      </c>
      <c r="S15" s="64">
        <f t="shared" si="5"/>
        <v>0</v>
      </c>
      <c r="T15" s="64">
        <f t="shared" si="5"/>
        <v>0</v>
      </c>
      <c r="U15" s="64">
        <f t="shared" si="5"/>
        <v>0</v>
      </c>
      <c r="V15" s="64">
        <f t="shared" si="5"/>
        <v>0</v>
      </c>
      <c r="W15" s="64">
        <f t="shared" si="5"/>
        <v>0</v>
      </c>
      <c r="X15" s="64">
        <f t="shared" ref="X15:Y15" si="8">IF(X5=0,0,X5/X9)</f>
        <v>0</v>
      </c>
      <c r="Y15" s="64">
        <f t="shared" si="8"/>
        <v>0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0</v>
      </c>
      <c r="C17" s="65">
        <f t="shared" si="9"/>
        <v>0</v>
      </c>
      <c r="D17" s="65">
        <f t="shared" si="9"/>
        <v>0</v>
      </c>
      <c r="E17" s="65">
        <f t="shared" si="9"/>
        <v>0</v>
      </c>
      <c r="F17" s="65">
        <f t="shared" si="9"/>
        <v>0</v>
      </c>
      <c r="G17" s="65">
        <f t="shared" si="9"/>
        <v>0</v>
      </c>
      <c r="H17" s="65">
        <f t="shared" si="9"/>
        <v>0</v>
      </c>
      <c r="I17" s="65">
        <f t="shared" si="9"/>
        <v>0</v>
      </c>
      <c r="J17" s="65">
        <f t="shared" si="9"/>
        <v>0</v>
      </c>
      <c r="K17" s="65">
        <f t="shared" si="9"/>
        <v>0</v>
      </c>
      <c r="L17" s="65">
        <f t="shared" si="9"/>
        <v>0</v>
      </c>
      <c r="M17" s="65">
        <f t="shared" si="9"/>
        <v>0</v>
      </c>
      <c r="N17" s="65">
        <f t="shared" si="9"/>
        <v>0</v>
      </c>
      <c r="O17" s="65">
        <f t="shared" si="9"/>
        <v>0</v>
      </c>
      <c r="P17" s="65">
        <f t="shared" si="9"/>
        <v>0</v>
      </c>
      <c r="Q17" s="65">
        <f t="shared" si="9"/>
        <v>0</v>
      </c>
      <c r="R17" s="65">
        <f t="shared" si="9"/>
        <v>0</v>
      </c>
      <c r="S17" s="65">
        <f t="shared" si="9"/>
        <v>0</v>
      </c>
      <c r="T17" s="65">
        <f t="shared" si="9"/>
        <v>0</v>
      </c>
      <c r="U17" s="65">
        <f t="shared" si="9"/>
        <v>0</v>
      </c>
      <c r="V17" s="65">
        <f t="shared" si="9"/>
        <v>0</v>
      </c>
      <c r="W17" s="65">
        <f t="shared" si="9"/>
        <v>0</v>
      </c>
      <c r="X17" s="65">
        <f t="shared" ref="X17:Y17" si="10">IF(X3=0,0,X3/X$3)</f>
        <v>0</v>
      </c>
      <c r="Y17" s="65">
        <f t="shared" si="10"/>
        <v>0</v>
      </c>
      <c r="DA17" s="172"/>
    </row>
    <row r="18" spans="1:105" ht="11.45" customHeight="1" x14ac:dyDescent="0.25">
      <c r="A18" s="55" t="s">
        <v>166</v>
      </c>
      <c r="B18" s="66">
        <f t="shared" si="9"/>
        <v>0</v>
      </c>
      <c r="C18" s="66">
        <f t="shared" si="9"/>
        <v>0</v>
      </c>
      <c r="D18" s="66">
        <f t="shared" si="9"/>
        <v>0</v>
      </c>
      <c r="E18" s="66">
        <f t="shared" si="9"/>
        <v>0</v>
      </c>
      <c r="F18" s="66">
        <f t="shared" si="9"/>
        <v>0</v>
      </c>
      <c r="G18" s="66">
        <f t="shared" si="9"/>
        <v>0</v>
      </c>
      <c r="H18" s="66">
        <f t="shared" si="9"/>
        <v>0</v>
      </c>
      <c r="I18" s="66">
        <f t="shared" si="9"/>
        <v>0</v>
      </c>
      <c r="J18" s="66">
        <f t="shared" si="9"/>
        <v>0</v>
      </c>
      <c r="K18" s="66">
        <f t="shared" si="9"/>
        <v>0</v>
      </c>
      <c r="L18" s="66">
        <f t="shared" si="9"/>
        <v>0</v>
      </c>
      <c r="M18" s="66">
        <f t="shared" si="9"/>
        <v>0</v>
      </c>
      <c r="N18" s="66">
        <f t="shared" si="9"/>
        <v>0</v>
      </c>
      <c r="O18" s="66">
        <f t="shared" si="9"/>
        <v>0</v>
      </c>
      <c r="P18" s="66">
        <f t="shared" si="9"/>
        <v>0</v>
      </c>
      <c r="Q18" s="66">
        <f t="shared" si="9"/>
        <v>0</v>
      </c>
      <c r="R18" s="66">
        <f t="shared" si="9"/>
        <v>0</v>
      </c>
      <c r="S18" s="66">
        <f t="shared" si="9"/>
        <v>0</v>
      </c>
      <c r="T18" s="66">
        <f t="shared" si="9"/>
        <v>0</v>
      </c>
      <c r="U18" s="66">
        <f t="shared" si="9"/>
        <v>0</v>
      </c>
      <c r="V18" s="66">
        <f t="shared" si="9"/>
        <v>0</v>
      </c>
      <c r="W18" s="66">
        <f t="shared" si="9"/>
        <v>0</v>
      </c>
      <c r="X18" s="66">
        <f t="shared" ref="X18:Y18" si="11">IF(X4=0,0,X4/X$3)</f>
        <v>0</v>
      </c>
      <c r="Y18" s="66">
        <f t="shared" si="11"/>
        <v>0</v>
      </c>
      <c r="DA18" s="181"/>
    </row>
    <row r="19" spans="1:105" ht="11.45" customHeight="1" x14ac:dyDescent="0.25">
      <c r="A19" s="57" t="s">
        <v>167</v>
      </c>
      <c r="B19" s="67">
        <f t="shared" si="9"/>
        <v>0</v>
      </c>
      <c r="C19" s="67">
        <f t="shared" si="9"/>
        <v>0</v>
      </c>
      <c r="D19" s="67">
        <f t="shared" si="9"/>
        <v>0</v>
      </c>
      <c r="E19" s="67">
        <f t="shared" si="9"/>
        <v>0</v>
      </c>
      <c r="F19" s="67">
        <f t="shared" si="9"/>
        <v>0</v>
      </c>
      <c r="G19" s="67">
        <f t="shared" si="9"/>
        <v>0</v>
      </c>
      <c r="H19" s="67">
        <f t="shared" si="9"/>
        <v>0</v>
      </c>
      <c r="I19" s="67">
        <f t="shared" si="9"/>
        <v>0</v>
      </c>
      <c r="J19" s="67">
        <f t="shared" si="9"/>
        <v>0</v>
      </c>
      <c r="K19" s="67">
        <f t="shared" si="9"/>
        <v>0</v>
      </c>
      <c r="L19" s="67">
        <f t="shared" si="9"/>
        <v>0</v>
      </c>
      <c r="M19" s="67">
        <f t="shared" si="9"/>
        <v>0</v>
      </c>
      <c r="N19" s="67">
        <f t="shared" si="9"/>
        <v>0</v>
      </c>
      <c r="O19" s="67">
        <f t="shared" si="9"/>
        <v>0</v>
      </c>
      <c r="P19" s="67">
        <f t="shared" si="9"/>
        <v>0</v>
      </c>
      <c r="Q19" s="67">
        <f t="shared" si="9"/>
        <v>0</v>
      </c>
      <c r="R19" s="67">
        <f t="shared" si="9"/>
        <v>0</v>
      </c>
      <c r="S19" s="67">
        <f t="shared" si="9"/>
        <v>0</v>
      </c>
      <c r="T19" s="67">
        <f t="shared" si="9"/>
        <v>0</v>
      </c>
      <c r="U19" s="67">
        <f t="shared" si="9"/>
        <v>0</v>
      </c>
      <c r="V19" s="67">
        <f t="shared" si="9"/>
        <v>0</v>
      </c>
      <c r="W19" s="67">
        <f t="shared" si="9"/>
        <v>0</v>
      </c>
      <c r="X19" s="67">
        <f t="shared" ref="X19:Y19" si="12">IF(X5=0,0,X5/X$3)</f>
        <v>0</v>
      </c>
      <c r="Y19" s="67">
        <f t="shared" si="12"/>
        <v>0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0</v>
      </c>
      <c r="C21" s="65">
        <f t="shared" si="13"/>
        <v>0</v>
      </c>
      <c r="D21" s="65">
        <f t="shared" si="13"/>
        <v>0</v>
      </c>
      <c r="E21" s="65">
        <f t="shared" si="13"/>
        <v>0</v>
      </c>
      <c r="F21" s="65">
        <f t="shared" si="13"/>
        <v>0</v>
      </c>
      <c r="G21" s="65">
        <f t="shared" si="13"/>
        <v>0</v>
      </c>
      <c r="H21" s="65">
        <f t="shared" si="13"/>
        <v>0</v>
      </c>
      <c r="I21" s="65">
        <f t="shared" si="13"/>
        <v>0</v>
      </c>
      <c r="J21" s="65">
        <f t="shared" si="13"/>
        <v>0</v>
      </c>
      <c r="K21" s="65">
        <f t="shared" si="13"/>
        <v>0</v>
      </c>
      <c r="L21" s="65">
        <f t="shared" si="13"/>
        <v>0</v>
      </c>
      <c r="M21" s="65">
        <f t="shared" si="13"/>
        <v>0</v>
      </c>
      <c r="N21" s="65">
        <f t="shared" si="13"/>
        <v>0</v>
      </c>
      <c r="O21" s="65">
        <f t="shared" si="13"/>
        <v>0</v>
      </c>
      <c r="P21" s="65">
        <f t="shared" si="13"/>
        <v>0</v>
      </c>
      <c r="Q21" s="65">
        <f t="shared" si="13"/>
        <v>0</v>
      </c>
      <c r="R21" s="65">
        <f t="shared" si="13"/>
        <v>0</v>
      </c>
      <c r="S21" s="65">
        <f t="shared" si="13"/>
        <v>0</v>
      </c>
      <c r="T21" s="65">
        <f t="shared" si="13"/>
        <v>0</v>
      </c>
      <c r="U21" s="65">
        <f t="shared" si="13"/>
        <v>0</v>
      </c>
      <c r="V21" s="65">
        <f t="shared" si="13"/>
        <v>0</v>
      </c>
      <c r="W21" s="65">
        <f t="shared" si="13"/>
        <v>0</v>
      </c>
      <c r="X21" s="65">
        <f t="shared" ref="X21:Y21" si="14">IF(X7=0,0,X7/X$7)</f>
        <v>0</v>
      </c>
      <c r="Y21" s="65">
        <f t="shared" si="14"/>
        <v>0</v>
      </c>
      <c r="DA21" s="172"/>
    </row>
    <row r="22" spans="1:105" ht="11.45" customHeight="1" x14ac:dyDescent="0.25">
      <c r="A22" s="55" t="s">
        <v>166</v>
      </c>
      <c r="B22" s="66">
        <f t="shared" si="13"/>
        <v>0</v>
      </c>
      <c r="C22" s="66">
        <f t="shared" si="13"/>
        <v>0</v>
      </c>
      <c r="D22" s="66">
        <f t="shared" si="13"/>
        <v>0</v>
      </c>
      <c r="E22" s="66">
        <f t="shared" si="13"/>
        <v>0</v>
      </c>
      <c r="F22" s="66">
        <f t="shared" si="13"/>
        <v>0</v>
      </c>
      <c r="G22" s="66">
        <f t="shared" si="13"/>
        <v>0</v>
      </c>
      <c r="H22" s="66">
        <f t="shared" si="13"/>
        <v>0</v>
      </c>
      <c r="I22" s="66">
        <f t="shared" si="13"/>
        <v>0</v>
      </c>
      <c r="J22" s="66">
        <f t="shared" si="13"/>
        <v>0</v>
      </c>
      <c r="K22" s="66">
        <f t="shared" si="13"/>
        <v>0</v>
      </c>
      <c r="L22" s="66">
        <f t="shared" si="13"/>
        <v>0</v>
      </c>
      <c r="M22" s="66">
        <f t="shared" si="13"/>
        <v>0</v>
      </c>
      <c r="N22" s="66">
        <f t="shared" si="13"/>
        <v>0</v>
      </c>
      <c r="O22" s="66">
        <f t="shared" si="13"/>
        <v>0</v>
      </c>
      <c r="P22" s="66">
        <f t="shared" si="13"/>
        <v>0</v>
      </c>
      <c r="Q22" s="66">
        <f t="shared" si="13"/>
        <v>0</v>
      </c>
      <c r="R22" s="66">
        <f t="shared" si="13"/>
        <v>0</v>
      </c>
      <c r="S22" s="66">
        <f t="shared" si="13"/>
        <v>0</v>
      </c>
      <c r="T22" s="66">
        <f t="shared" si="13"/>
        <v>0</v>
      </c>
      <c r="U22" s="66">
        <f t="shared" si="13"/>
        <v>0</v>
      </c>
      <c r="V22" s="66">
        <f t="shared" si="13"/>
        <v>0</v>
      </c>
      <c r="W22" s="66">
        <f t="shared" si="13"/>
        <v>0</v>
      </c>
      <c r="X22" s="66">
        <f t="shared" ref="X22:Y22" si="15">IF(X8=0,0,X8/X$7)</f>
        <v>0</v>
      </c>
      <c r="Y22" s="66">
        <f t="shared" si="15"/>
        <v>0</v>
      </c>
      <c r="DA22" s="181"/>
    </row>
    <row r="23" spans="1:105" ht="11.45" customHeight="1" x14ac:dyDescent="0.25">
      <c r="A23" s="57" t="s">
        <v>167</v>
      </c>
      <c r="B23" s="67">
        <f t="shared" si="13"/>
        <v>0</v>
      </c>
      <c r="C23" s="67">
        <f t="shared" si="13"/>
        <v>0</v>
      </c>
      <c r="D23" s="67">
        <f t="shared" si="13"/>
        <v>0</v>
      </c>
      <c r="E23" s="67">
        <f t="shared" si="13"/>
        <v>0</v>
      </c>
      <c r="F23" s="67">
        <f t="shared" si="13"/>
        <v>0</v>
      </c>
      <c r="G23" s="67">
        <f t="shared" si="13"/>
        <v>0</v>
      </c>
      <c r="H23" s="67">
        <f t="shared" si="13"/>
        <v>0</v>
      </c>
      <c r="I23" s="67">
        <f t="shared" si="13"/>
        <v>0</v>
      </c>
      <c r="J23" s="67">
        <f t="shared" si="13"/>
        <v>0</v>
      </c>
      <c r="K23" s="67">
        <f t="shared" si="13"/>
        <v>0</v>
      </c>
      <c r="L23" s="67">
        <f t="shared" si="13"/>
        <v>0</v>
      </c>
      <c r="M23" s="67">
        <f t="shared" si="13"/>
        <v>0</v>
      </c>
      <c r="N23" s="67">
        <f t="shared" si="13"/>
        <v>0</v>
      </c>
      <c r="O23" s="67">
        <f t="shared" si="13"/>
        <v>0</v>
      </c>
      <c r="P23" s="67">
        <f t="shared" si="13"/>
        <v>0</v>
      </c>
      <c r="Q23" s="67">
        <f t="shared" si="13"/>
        <v>0</v>
      </c>
      <c r="R23" s="67">
        <f t="shared" si="13"/>
        <v>0</v>
      </c>
      <c r="S23" s="67">
        <f t="shared" si="13"/>
        <v>0</v>
      </c>
      <c r="T23" s="67">
        <f t="shared" si="13"/>
        <v>0</v>
      </c>
      <c r="U23" s="67">
        <f t="shared" si="13"/>
        <v>0</v>
      </c>
      <c r="V23" s="67">
        <f t="shared" si="13"/>
        <v>0</v>
      </c>
      <c r="W23" s="67">
        <f t="shared" si="13"/>
        <v>0</v>
      </c>
      <c r="X23" s="67">
        <f t="shared" ref="X23:Y23" si="16">IF(X9=0,0,X9/X$7)</f>
        <v>0</v>
      </c>
      <c r="Y23" s="67">
        <f t="shared" si="16"/>
        <v>0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</v>
      </c>
      <c r="T3" s="62">
        <f t="shared" si="0"/>
        <v>0</v>
      </c>
      <c r="U3" s="62">
        <f t="shared" si="0"/>
        <v>0</v>
      </c>
      <c r="V3" s="62">
        <f t="shared" si="0"/>
        <v>0</v>
      </c>
      <c r="W3" s="62">
        <f t="shared" si="0"/>
        <v>0</v>
      </c>
      <c r="X3" s="62">
        <f t="shared" ref="X3:Y3" si="1">SUM(X4,X10)</f>
        <v>0</v>
      </c>
      <c r="Y3" s="62">
        <f t="shared" si="1"/>
        <v>0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0</v>
      </c>
      <c r="C4" s="71">
        <f t="shared" ref="C4:W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si="2"/>
        <v>0</v>
      </c>
      <c r="X4" s="71">
        <f t="shared" ref="X4:Y4" si="3">SUM(X5:X9)</f>
        <v>0</v>
      </c>
      <c r="Y4" s="71">
        <f t="shared" si="3"/>
        <v>0</v>
      </c>
      <c r="DA4" s="186" t="s">
        <v>971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DA5" s="187" t="s">
        <v>972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0</v>
      </c>
      <c r="C10" s="71">
        <f t="shared" ref="C10:W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si="4"/>
        <v>0</v>
      </c>
      <c r="X10" s="71">
        <f t="shared" ref="X10:Y10" si="5">SUM(X11:X15)</f>
        <v>0</v>
      </c>
      <c r="Y10" s="71">
        <f t="shared" si="5"/>
        <v>0</v>
      </c>
      <c r="DA10" s="186" t="s">
        <v>977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DA11" s="187" t="s">
        <v>978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0</v>
      </c>
      <c r="J19" s="62">
        <f>IF(J3=0,0,J3/MBunk_act!J7*100)</f>
        <v>0</v>
      </c>
      <c r="K19" s="62">
        <f>IF(K3=0,0,K3/MBunk_act!K7*100)</f>
        <v>0</v>
      </c>
      <c r="L19" s="62">
        <f>IF(L3=0,0,L3/MBunk_act!L7*100)</f>
        <v>0</v>
      </c>
      <c r="M19" s="62">
        <f>IF(M3=0,0,M3/MBunk_act!M7*100)</f>
        <v>0</v>
      </c>
      <c r="N19" s="62">
        <f>IF(N3=0,0,N3/MBunk_act!N7*100)</f>
        <v>0</v>
      </c>
      <c r="O19" s="62">
        <f>IF(O3=0,0,O3/MBunk_act!O7*100)</f>
        <v>0</v>
      </c>
      <c r="P19" s="62">
        <f>IF(P3=0,0,P3/MBunk_act!P7*100)</f>
        <v>0</v>
      </c>
      <c r="Q19" s="62">
        <f>IF(Q3=0,0,Q3/MBunk_act!Q7*100)</f>
        <v>0</v>
      </c>
      <c r="R19" s="62">
        <f>IF(R3=0,0,R3/MBunk_act!R7*100)</f>
        <v>0</v>
      </c>
      <c r="S19" s="62">
        <f>IF(S3=0,0,S3/MBunk_act!S7*100)</f>
        <v>0</v>
      </c>
      <c r="T19" s="62">
        <f>IF(T3=0,0,T3/MBunk_act!T7*100)</f>
        <v>0</v>
      </c>
      <c r="U19" s="62">
        <f>IF(U3=0,0,U3/MBunk_act!U7*100)</f>
        <v>0</v>
      </c>
      <c r="V19" s="62">
        <f>IF(V3=0,0,V3/MBunk_act!V7*100)</f>
        <v>0</v>
      </c>
      <c r="W19" s="62">
        <f>IF(W3=0,0,W3/MBunk_act!W7*100)</f>
        <v>0</v>
      </c>
      <c r="X19" s="62">
        <f>IF(X3=0,0,X3/MBunk_act!X7*100)</f>
        <v>0</v>
      </c>
      <c r="Y19" s="62">
        <f>IF(Y3=0,0,Y3/MBunk_act!Y7*100)</f>
        <v>0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0</v>
      </c>
      <c r="J20" s="63">
        <f>IF(J4=0,0,J4/MBunk_act!J8*100)</f>
        <v>0</v>
      </c>
      <c r="K20" s="63">
        <f>IF(K4=0,0,K4/MBunk_act!K8*100)</f>
        <v>0</v>
      </c>
      <c r="L20" s="63">
        <f>IF(L4=0,0,L4/MBunk_act!L8*100)</f>
        <v>0</v>
      </c>
      <c r="M20" s="63">
        <f>IF(M4=0,0,M4/MBunk_act!M8*100)</f>
        <v>0</v>
      </c>
      <c r="N20" s="63">
        <f>IF(N4=0,0,N4/MBunk_act!N8*100)</f>
        <v>0</v>
      </c>
      <c r="O20" s="63">
        <f>IF(O4=0,0,O4/MBunk_act!O8*100)</f>
        <v>0</v>
      </c>
      <c r="P20" s="63">
        <f>IF(P4=0,0,P4/MBunk_act!P8*100)</f>
        <v>0</v>
      </c>
      <c r="Q20" s="63">
        <f>IF(Q4=0,0,Q4/MBunk_act!Q8*100)</f>
        <v>0</v>
      </c>
      <c r="R20" s="63">
        <f>IF(R4=0,0,R4/MBunk_act!R8*100)</f>
        <v>0</v>
      </c>
      <c r="S20" s="63">
        <f>IF(S4=0,0,S4/MBunk_act!S8*100)</f>
        <v>0</v>
      </c>
      <c r="T20" s="63">
        <f>IF(T4=0,0,T4/MBunk_act!T8*100)</f>
        <v>0</v>
      </c>
      <c r="U20" s="63">
        <f>IF(U4=0,0,U4/MBunk_act!U8*100)</f>
        <v>0</v>
      </c>
      <c r="V20" s="63">
        <f>IF(V4=0,0,V4/MBunk_act!V8*100)</f>
        <v>0</v>
      </c>
      <c r="W20" s="63">
        <f>IF(W4=0,0,W4/MBunk_act!W8*100)</f>
        <v>0</v>
      </c>
      <c r="X20" s="63">
        <f>IF(X4=0,0,X4/MBunk_act!X8*100)</f>
        <v>0</v>
      </c>
      <c r="Y20" s="63">
        <f>IF(Y4=0,0,Y4/MBunk_act!Y8*100)</f>
        <v>0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0</v>
      </c>
      <c r="J21" s="64">
        <f>IF(J10=0,0,J10/MBunk_act!J9*100)</f>
        <v>0</v>
      </c>
      <c r="K21" s="64">
        <f>IF(K10=0,0,K10/MBunk_act!K9*100)</f>
        <v>0</v>
      </c>
      <c r="L21" s="64">
        <f>IF(L10=0,0,L10/MBunk_act!L9*100)</f>
        <v>0</v>
      </c>
      <c r="M21" s="64">
        <f>IF(M10=0,0,M10/MBunk_act!M9*100)</f>
        <v>0</v>
      </c>
      <c r="N21" s="64">
        <f>IF(N10=0,0,N10/MBunk_act!N9*100)</f>
        <v>0</v>
      </c>
      <c r="O21" s="64">
        <f>IF(O10=0,0,O10/MBunk_act!O9*100)</f>
        <v>0</v>
      </c>
      <c r="P21" s="64">
        <f>IF(P10=0,0,P10/MBunk_act!P9*100)</f>
        <v>0</v>
      </c>
      <c r="Q21" s="64">
        <f>IF(Q10=0,0,Q10/MBunk_act!Q9*100)</f>
        <v>0</v>
      </c>
      <c r="R21" s="64">
        <f>IF(R10=0,0,R10/MBunk_act!R9*100)</f>
        <v>0</v>
      </c>
      <c r="S21" s="64">
        <f>IF(S10=0,0,S10/MBunk_act!S9*100)</f>
        <v>0</v>
      </c>
      <c r="T21" s="64">
        <f>IF(T10=0,0,T10/MBunk_act!T9*100)</f>
        <v>0</v>
      </c>
      <c r="U21" s="64">
        <f>IF(U10=0,0,U10/MBunk_act!U9*100)</f>
        <v>0</v>
      </c>
      <c r="V21" s="64">
        <f>IF(V10=0,0,V10/MBunk_act!V9*100)</f>
        <v>0</v>
      </c>
      <c r="W21" s="64">
        <f>IF(W10=0,0,W10/MBunk_act!W9*100)</f>
        <v>0</v>
      </c>
      <c r="X21" s="64">
        <f>IF(X10=0,0,X10/MBunk_act!X9*100)</f>
        <v>0</v>
      </c>
      <c r="Y21" s="64">
        <f>IF(Y10=0,0,Y10/MBunk_act!Y9*100)</f>
        <v>0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</v>
      </c>
      <c r="J23" s="62">
        <f>IF(J3=0,0,J3/MBunk_act!J3*1000)</f>
        <v>0</v>
      </c>
      <c r="K23" s="62">
        <f>IF(K3=0,0,K3/MBunk_act!K3*1000)</f>
        <v>0</v>
      </c>
      <c r="L23" s="62">
        <f>IF(L3=0,0,L3/MBunk_act!L3*1000)</f>
        <v>0</v>
      </c>
      <c r="M23" s="62">
        <f>IF(M3=0,0,M3/MBunk_act!M3*1000)</f>
        <v>0</v>
      </c>
      <c r="N23" s="62">
        <f>IF(N3=0,0,N3/MBunk_act!N3*1000)</f>
        <v>0</v>
      </c>
      <c r="O23" s="62">
        <f>IF(O3=0,0,O3/MBunk_act!O3*1000)</f>
        <v>0</v>
      </c>
      <c r="P23" s="62">
        <f>IF(P3=0,0,P3/MBunk_act!P3*1000)</f>
        <v>0</v>
      </c>
      <c r="Q23" s="62">
        <f>IF(Q3=0,0,Q3/MBunk_act!Q3*1000)</f>
        <v>0</v>
      </c>
      <c r="R23" s="62">
        <f>IF(R3=0,0,R3/MBunk_act!R3*1000)</f>
        <v>0</v>
      </c>
      <c r="S23" s="62">
        <f>IF(S3=0,0,S3/MBunk_act!S3*1000)</f>
        <v>0</v>
      </c>
      <c r="T23" s="62">
        <f>IF(T3=0,0,T3/MBunk_act!T3*1000)</f>
        <v>0</v>
      </c>
      <c r="U23" s="62">
        <f>IF(U3=0,0,U3/MBunk_act!U3*1000)</f>
        <v>0</v>
      </c>
      <c r="V23" s="62">
        <f>IF(V3=0,0,V3/MBunk_act!V3*1000)</f>
        <v>0</v>
      </c>
      <c r="W23" s="62">
        <f>IF(W3=0,0,W3/MBunk_act!W3*1000)</f>
        <v>0</v>
      </c>
      <c r="X23" s="62">
        <f>IF(X3=0,0,X3/MBunk_act!X3*1000)</f>
        <v>0</v>
      </c>
      <c r="Y23" s="62">
        <f>IF(Y3=0,0,Y3/MBunk_act!Y3*1000)</f>
        <v>0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0</v>
      </c>
      <c r="J24" s="63">
        <f>IF(J4=0,0,J4/MBunk_act!J4*1000)</f>
        <v>0</v>
      </c>
      <c r="K24" s="63">
        <f>IF(K4=0,0,K4/MBunk_act!K4*1000)</f>
        <v>0</v>
      </c>
      <c r="L24" s="63">
        <f>IF(L4=0,0,L4/MBunk_act!L4*1000)</f>
        <v>0</v>
      </c>
      <c r="M24" s="63">
        <f>IF(M4=0,0,M4/MBunk_act!M4*1000)</f>
        <v>0</v>
      </c>
      <c r="N24" s="63">
        <f>IF(N4=0,0,N4/MBunk_act!N4*1000)</f>
        <v>0</v>
      </c>
      <c r="O24" s="63">
        <f>IF(O4=0,0,O4/MBunk_act!O4*1000)</f>
        <v>0</v>
      </c>
      <c r="P24" s="63">
        <f>IF(P4=0,0,P4/MBunk_act!P4*1000)</f>
        <v>0</v>
      </c>
      <c r="Q24" s="63">
        <f>IF(Q4=0,0,Q4/MBunk_act!Q4*1000)</f>
        <v>0</v>
      </c>
      <c r="R24" s="63">
        <f>IF(R4=0,0,R4/MBunk_act!R4*1000)</f>
        <v>0</v>
      </c>
      <c r="S24" s="63">
        <f>IF(S4=0,0,S4/MBunk_act!S4*1000)</f>
        <v>0</v>
      </c>
      <c r="T24" s="63">
        <f>IF(T4=0,0,T4/MBunk_act!T4*1000)</f>
        <v>0</v>
      </c>
      <c r="U24" s="63">
        <f>IF(U4=0,0,U4/MBunk_act!U4*1000)</f>
        <v>0</v>
      </c>
      <c r="V24" s="63">
        <f>IF(V4=0,0,V4/MBunk_act!V4*1000)</f>
        <v>0</v>
      </c>
      <c r="W24" s="63">
        <f>IF(W4=0,0,W4/MBunk_act!W4*1000)</f>
        <v>0</v>
      </c>
      <c r="X24" s="63">
        <f>IF(X4=0,0,X4/MBunk_act!X4*1000)</f>
        <v>0</v>
      </c>
      <c r="Y24" s="63">
        <f>IF(Y4=0,0,Y4/MBunk_act!Y4*1000)</f>
        <v>0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</v>
      </c>
      <c r="J25" s="64">
        <f>IF(J10=0,0,J10/MBunk_act!J5*1000)</f>
        <v>0</v>
      </c>
      <c r="K25" s="64">
        <f>IF(K10=0,0,K10/MBunk_act!K5*1000)</f>
        <v>0</v>
      </c>
      <c r="L25" s="64">
        <f>IF(L10=0,0,L10/MBunk_act!L5*1000)</f>
        <v>0</v>
      </c>
      <c r="M25" s="64">
        <f>IF(M10=0,0,M10/MBunk_act!M5*1000)</f>
        <v>0</v>
      </c>
      <c r="N25" s="64">
        <f>IF(N10=0,0,N10/MBunk_act!N5*1000)</f>
        <v>0</v>
      </c>
      <c r="O25" s="64">
        <f>IF(O10=0,0,O10/MBunk_act!O5*1000)</f>
        <v>0</v>
      </c>
      <c r="P25" s="64">
        <f>IF(P10=0,0,P10/MBunk_act!P5*1000)</f>
        <v>0</v>
      </c>
      <c r="Q25" s="64">
        <f>IF(Q10=0,0,Q10/MBunk_act!Q5*1000)</f>
        <v>0</v>
      </c>
      <c r="R25" s="64">
        <f>IF(R10=0,0,R10/MBunk_act!R5*1000)</f>
        <v>0</v>
      </c>
      <c r="S25" s="64">
        <f>IF(S10=0,0,S10/MBunk_act!S5*1000)</f>
        <v>0</v>
      </c>
      <c r="T25" s="64">
        <f>IF(T10=0,0,T10/MBunk_act!T5*1000)</f>
        <v>0</v>
      </c>
      <c r="U25" s="64">
        <f>IF(U10=0,0,U10/MBunk_act!U5*1000)</f>
        <v>0</v>
      </c>
      <c r="V25" s="64">
        <f>IF(V10=0,0,V10/MBunk_act!V5*1000)</f>
        <v>0</v>
      </c>
      <c r="W25" s="64">
        <f>IF(W10=0,0,W10/MBunk_act!W5*1000)</f>
        <v>0</v>
      </c>
      <c r="X25" s="64">
        <f>IF(X10=0,0,X10/MBunk_act!X5*1000)</f>
        <v>0</v>
      </c>
      <c r="Y25" s="64">
        <f>IF(Y10=0,0,Y10/MBunk_act!Y5*1000)</f>
        <v>0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6">IF(C3=0,0,C3/C$3)</f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0</v>
      </c>
      <c r="T27" s="76">
        <f t="shared" si="6"/>
        <v>0</v>
      </c>
      <c r="U27" s="76">
        <f t="shared" si="6"/>
        <v>0</v>
      </c>
      <c r="V27" s="76">
        <f t="shared" si="6"/>
        <v>0</v>
      </c>
      <c r="W27" s="76">
        <f t="shared" si="6"/>
        <v>0</v>
      </c>
      <c r="X27" s="76">
        <f t="shared" ref="X27:Y27" si="7">IF(X3=0,0,X3/X$3)</f>
        <v>0</v>
      </c>
      <c r="Y27" s="76">
        <f t="shared" si="7"/>
        <v>0</v>
      </c>
      <c r="DA27" s="183"/>
    </row>
    <row r="28" spans="1:105" ht="11.45" customHeight="1" x14ac:dyDescent="0.25">
      <c r="A28" s="55" t="s">
        <v>166</v>
      </c>
      <c r="B28" s="77">
        <f>IF(B4=0,0,B4/B$3)</f>
        <v>0</v>
      </c>
      <c r="C28" s="77">
        <f t="shared" si="6"/>
        <v>0</v>
      </c>
      <c r="D28" s="77">
        <f t="shared" si="6"/>
        <v>0</v>
      </c>
      <c r="E28" s="77">
        <f t="shared" si="6"/>
        <v>0</v>
      </c>
      <c r="F28" s="77">
        <f t="shared" si="6"/>
        <v>0</v>
      </c>
      <c r="G28" s="77">
        <f t="shared" si="6"/>
        <v>0</v>
      </c>
      <c r="H28" s="77">
        <f t="shared" si="6"/>
        <v>0</v>
      </c>
      <c r="I28" s="77">
        <f t="shared" si="6"/>
        <v>0</v>
      </c>
      <c r="J28" s="77">
        <f t="shared" si="6"/>
        <v>0</v>
      </c>
      <c r="K28" s="77">
        <f t="shared" si="6"/>
        <v>0</v>
      </c>
      <c r="L28" s="77">
        <f t="shared" si="6"/>
        <v>0</v>
      </c>
      <c r="M28" s="77">
        <f t="shared" si="6"/>
        <v>0</v>
      </c>
      <c r="N28" s="77">
        <f t="shared" si="6"/>
        <v>0</v>
      </c>
      <c r="O28" s="77">
        <f t="shared" si="6"/>
        <v>0</v>
      </c>
      <c r="P28" s="77">
        <f t="shared" si="6"/>
        <v>0</v>
      </c>
      <c r="Q28" s="77">
        <f t="shared" si="6"/>
        <v>0</v>
      </c>
      <c r="R28" s="77">
        <f t="shared" si="6"/>
        <v>0</v>
      </c>
      <c r="S28" s="77">
        <f t="shared" si="6"/>
        <v>0</v>
      </c>
      <c r="T28" s="77">
        <f t="shared" si="6"/>
        <v>0</v>
      </c>
      <c r="U28" s="77">
        <f t="shared" si="6"/>
        <v>0</v>
      </c>
      <c r="V28" s="77">
        <f t="shared" si="6"/>
        <v>0</v>
      </c>
      <c r="W28" s="77">
        <f t="shared" si="6"/>
        <v>0</v>
      </c>
      <c r="X28" s="77">
        <f t="shared" ref="X28:Y28" si="8">IF(X4=0,0,X4/X$3)</f>
        <v>0</v>
      </c>
      <c r="Y28" s="77">
        <f t="shared" si="8"/>
        <v>0</v>
      </c>
      <c r="DA28" s="184"/>
    </row>
    <row r="29" spans="1:105" ht="11.45" customHeight="1" x14ac:dyDescent="0.25">
      <c r="A29" s="57" t="s">
        <v>167</v>
      </c>
      <c r="B29" s="78">
        <f>IF(B10=0,0,B10/B$3)</f>
        <v>0</v>
      </c>
      <c r="C29" s="78">
        <f t="shared" ref="C29:W29" si="9">IF(C10=0,0,C10/C$3)</f>
        <v>0</v>
      </c>
      <c r="D29" s="78">
        <f t="shared" si="9"/>
        <v>0</v>
      </c>
      <c r="E29" s="78">
        <f t="shared" si="9"/>
        <v>0</v>
      </c>
      <c r="F29" s="78">
        <f t="shared" si="9"/>
        <v>0</v>
      </c>
      <c r="G29" s="78">
        <f t="shared" si="9"/>
        <v>0</v>
      </c>
      <c r="H29" s="78">
        <f t="shared" si="9"/>
        <v>0</v>
      </c>
      <c r="I29" s="78">
        <f t="shared" si="9"/>
        <v>0</v>
      </c>
      <c r="J29" s="78">
        <f t="shared" si="9"/>
        <v>0</v>
      </c>
      <c r="K29" s="78">
        <f t="shared" si="9"/>
        <v>0</v>
      </c>
      <c r="L29" s="78">
        <f t="shared" si="9"/>
        <v>0</v>
      </c>
      <c r="M29" s="78">
        <f t="shared" si="9"/>
        <v>0</v>
      </c>
      <c r="N29" s="78">
        <f t="shared" si="9"/>
        <v>0</v>
      </c>
      <c r="O29" s="78">
        <f t="shared" si="9"/>
        <v>0</v>
      </c>
      <c r="P29" s="78">
        <f t="shared" si="9"/>
        <v>0</v>
      </c>
      <c r="Q29" s="78">
        <f t="shared" si="9"/>
        <v>0</v>
      </c>
      <c r="R29" s="78">
        <f t="shared" si="9"/>
        <v>0</v>
      </c>
      <c r="S29" s="78">
        <f t="shared" si="9"/>
        <v>0</v>
      </c>
      <c r="T29" s="78">
        <f t="shared" si="9"/>
        <v>0</v>
      </c>
      <c r="U29" s="78">
        <f t="shared" si="9"/>
        <v>0</v>
      </c>
      <c r="V29" s="78">
        <f t="shared" si="9"/>
        <v>0</v>
      </c>
      <c r="W29" s="78">
        <f t="shared" si="9"/>
        <v>0</v>
      </c>
      <c r="X29" s="78">
        <f t="shared" ref="X29:Y29" si="10">IF(X10=0,0,X10/X$3)</f>
        <v>0</v>
      </c>
      <c r="Y29" s="78">
        <f t="shared" si="10"/>
        <v>0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0</v>
      </c>
      <c r="J3" s="62">
        <f t="shared" si="1"/>
        <v>0</v>
      </c>
      <c r="K3" s="62">
        <f t="shared" si="1"/>
        <v>0</v>
      </c>
      <c r="L3" s="62">
        <f t="shared" si="1"/>
        <v>0</v>
      </c>
      <c r="M3" s="62">
        <f t="shared" si="1"/>
        <v>0</v>
      </c>
      <c r="N3" s="62">
        <f t="shared" si="1"/>
        <v>0</v>
      </c>
      <c r="O3" s="62">
        <f t="shared" si="1"/>
        <v>0</v>
      </c>
      <c r="P3" s="62">
        <f t="shared" si="1"/>
        <v>0</v>
      </c>
      <c r="Q3" s="62">
        <f t="shared" si="1"/>
        <v>0</v>
      </c>
      <c r="R3" s="62">
        <f t="shared" si="1"/>
        <v>0</v>
      </c>
      <c r="S3" s="62">
        <f t="shared" si="1"/>
        <v>0</v>
      </c>
      <c r="T3" s="62">
        <f t="shared" si="1"/>
        <v>0</v>
      </c>
      <c r="U3" s="62">
        <f t="shared" si="1"/>
        <v>0</v>
      </c>
      <c r="V3" s="62">
        <f t="shared" si="1"/>
        <v>0</v>
      </c>
      <c r="W3" s="62">
        <f t="shared" si="1"/>
        <v>0</v>
      </c>
      <c r="X3" s="62">
        <f t="shared" ref="X3:Y3" si="2">SUM(X4:X5)</f>
        <v>0</v>
      </c>
      <c r="Y3" s="62">
        <f t="shared" si="2"/>
        <v>0</v>
      </c>
      <c r="DA3" s="172" t="s">
        <v>987</v>
      </c>
    </row>
    <row r="4" spans="1:105" ht="11.45" customHeight="1" x14ac:dyDescent="0.25">
      <c r="A4" s="55" t="s">
        <v>166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DA4" s="181" t="s">
        <v>988</v>
      </c>
    </row>
    <row r="5" spans="1:105" ht="11.45" customHeight="1" x14ac:dyDescent="0.25">
      <c r="A5" s="57" t="s">
        <v>167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0</v>
      </c>
      <c r="J9" s="79">
        <f>IF(J3=0,0,J3/MBunk_ene!J3)</f>
        <v>0</v>
      </c>
      <c r="K9" s="79">
        <f>IF(K3=0,0,K3/MBunk_ene!K3)</f>
        <v>0</v>
      </c>
      <c r="L9" s="79">
        <f>IF(L3=0,0,L3/MBunk_ene!L3)</f>
        <v>0</v>
      </c>
      <c r="M9" s="79">
        <f>IF(M3=0,0,M3/MBunk_ene!M3)</f>
        <v>0</v>
      </c>
      <c r="N9" s="79">
        <f>IF(N3=0,0,N3/MBunk_ene!N3)</f>
        <v>0</v>
      </c>
      <c r="O9" s="79">
        <f>IF(O3=0,0,O3/MBunk_ene!O3)</f>
        <v>0</v>
      </c>
      <c r="P9" s="79">
        <f>IF(P3=0,0,P3/MBunk_ene!P3)</f>
        <v>0</v>
      </c>
      <c r="Q9" s="79">
        <f>IF(Q3=0,0,Q3/MBunk_ene!Q3)</f>
        <v>0</v>
      </c>
      <c r="R9" s="79">
        <f>IF(R3=0,0,R3/MBunk_ene!R3)</f>
        <v>0</v>
      </c>
      <c r="S9" s="79">
        <f>IF(S3=0,0,S3/MBunk_ene!S3)</f>
        <v>0</v>
      </c>
      <c r="T9" s="79">
        <f>IF(T3=0,0,T3/MBunk_ene!T3)</f>
        <v>0</v>
      </c>
      <c r="U9" s="79">
        <f>IF(U3=0,0,U3/MBunk_ene!U3)</f>
        <v>0</v>
      </c>
      <c r="V9" s="79">
        <f>IF(V3=0,0,V3/MBunk_ene!V3)</f>
        <v>0</v>
      </c>
      <c r="W9" s="79">
        <f>IF(W3=0,0,W3/MBunk_ene!W3)</f>
        <v>0</v>
      </c>
      <c r="X9" s="79">
        <f>IF(X3=0,0,X3/MBunk_ene!X3)</f>
        <v>0</v>
      </c>
      <c r="Y9" s="79">
        <f>IF(Y3=0,0,Y3/MBunk_ene!Y3)</f>
        <v>0</v>
      </c>
      <c r="DA9" s="172"/>
    </row>
    <row r="10" spans="1:105" ht="11.45" customHeight="1" x14ac:dyDescent="0.25">
      <c r="A10" s="55" t="s">
        <v>166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0</v>
      </c>
      <c r="J10" s="80">
        <f>IF(J4=0,0,J4/MBunk_ene!J4)</f>
        <v>0</v>
      </c>
      <c r="K10" s="80">
        <f>IF(K4=0,0,K4/MBunk_ene!K4)</f>
        <v>0</v>
      </c>
      <c r="L10" s="80">
        <f>IF(L4=0,0,L4/MBunk_ene!L4)</f>
        <v>0</v>
      </c>
      <c r="M10" s="80">
        <f>IF(M4=0,0,M4/MBunk_ene!M4)</f>
        <v>0</v>
      </c>
      <c r="N10" s="80">
        <f>IF(N4=0,0,N4/MBunk_ene!N4)</f>
        <v>0</v>
      </c>
      <c r="O10" s="80">
        <f>IF(O4=0,0,O4/MBunk_ene!O4)</f>
        <v>0</v>
      </c>
      <c r="P10" s="80">
        <f>IF(P4=0,0,P4/MBunk_ene!P4)</f>
        <v>0</v>
      </c>
      <c r="Q10" s="80">
        <f>IF(Q4=0,0,Q4/MBunk_ene!Q4)</f>
        <v>0</v>
      </c>
      <c r="R10" s="80">
        <f>IF(R4=0,0,R4/MBunk_ene!R4)</f>
        <v>0</v>
      </c>
      <c r="S10" s="80">
        <f>IF(S4=0,0,S4/MBunk_ene!S4)</f>
        <v>0</v>
      </c>
      <c r="T10" s="80">
        <f>IF(T4=0,0,T4/MBunk_ene!T4)</f>
        <v>0</v>
      </c>
      <c r="U10" s="80">
        <f>IF(U4=0,0,U4/MBunk_ene!U4)</f>
        <v>0</v>
      </c>
      <c r="V10" s="80">
        <f>IF(V4=0,0,V4/MBunk_ene!V4)</f>
        <v>0</v>
      </c>
      <c r="W10" s="80">
        <f>IF(W4=0,0,W4/MBunk_ene!W4)</f>
        <v>0</v>
      </c>
      <c r="X10" s="80">
        <f>IF(X4=0,0,X4/MBunk_ene!X4)</f>
        <v>0</v>
      </c>
      <c r="Y10" s="80">
        <f>IF(Y4=0,0,Y4/MBunk_ene!Y4)</f>
        <v>0</v>
      </c>
      <c r="DA10" s="181"/>
    </row>
    <row r="11" spans="1:105" ht="11.45" customHeight="1" x14ac:dyDescent="0.25">
      <c r="A11" s="57" t="s">
        <v>167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0</v>
      </c>
      <c r="J11" s="81">
        <f>IF(J5=0,0,J5/MBunk_ene!J10)</f>
        <v>0</v>
      </c>
      <c r="K11" s="81">
        <f>IF(K5=0,0,K5/MBunk_ene!K10)</f>
        <v>0</v>
      </c>
      <c r="L11" s="81">
        <f>IF(L5=0,0,L5/MBunk_ene!L10)</f>
        <v>0</v>
      </c>
      <c r="M11" s="81">
        <f>IF(M5=0,0,M5/MBunk_ene!M10)</f>
        <v>0</v>
      </c>
      <c r="N11" s="81">
        <f>IF(N5=0,0,N5/MBunk_ene!N10)</f>
        <v>0</v>
      </c>
      <c r="O11" s="81">
        <f>IF(O5=0,0,O5/MBunk_ene!O10)</f>
        <v>0</v>
      </c>
      <c r="P11" s="81">
        <f>IF(P5=0,0,P5/MBunk_ene!P10)</f>
        <v>0</v>
      </c>
      <c r="Q11" s="81">
        <f>IF(Q5=0,0,Q5/MBunk_ene!Q10)</f>
        <v>0</v>
      </c>
      <c r="R11" s="81">
        <f>IF(R5=0,0,R5/MBunk_ene!R10)</f>
        <v>0</v>
      </c>
      <c r="S11" s="81">
        <f>IF(S5=0,0,S5/MBunk_ene!S10)</f>
        <v>0</v>
      </c>
      <c r="T11" s="81">
        <f>IF(T5=0,0,T5/MBunk_ene!T10)</f>
        <v>0</v>
      </c>
      <c r="U11" s="81">
        <f>IF(U5=0,0,U5/MBunk_ene!U10)</f>
        <v>0</v>
      </c>
      <c r="V11" s="81">
        <f>IF(V5=0,0,V5/MBunk_ene!V10)</f>
        <v>0</v>
      </c>
      <c r="W11" s="81">
        <f>IF(W5=0,0,W5/MBunk_ene!W10)</f>
        <v>0</v>
      </c>
      <c r="X11" s="81">
        <f>IF(X5=0,0,X5/MBunk_ene!X10)</f>
        <v>0</v>
      </c>
      <c r="Y11" s="81">
        <f>IF(Y5=0,0,Y5/MBunk_ene!Y10)</f>
        <v>0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0</v>
      </c>
      <c r="J13" s="62">
        <f>IF(J3=0,0,J3/MBunk_act!J7*100)</f>
        <v>0</v>
      </c>
      <c r="K13" s="62">
        <f>IF(K3=0,0,K3/MBunk_act!K7*100)</f>
        <v>0</v>
      </c>
      <c r="L13" s="62">
        <f>IF(L3=0,0,L3/MBunk_act!L7*100)</f>
        <v>0</v>
      </c>
      <c r="M13" s="62">
        <f>IF(M3=0,0,M3/MBunk_act!M7*100)</f>
        <v>0</v>
      </c>
      <c r="N13" s="62">
        <f>IF(N3=0,0,N3/MBunk_act!N7*100)</f>
        <v>0</v>
      </c>
      <c r="O13" s="62">
        <f>IF(O3=0,0,O3/MBunk_act!O7*100)</f>
        <v>0</v>
      </c>
      <c r="P13" s="62">
        <f>IF(P3=0,0,P3/MBunk_act!P7*100)</f>
        <v>0</v>
      </c>
      <c r="Q13" s="62">
        <f>IF(Q3=0,0,Q3/MBunk_act!Q7*100)</f>
        <v>0</v>
      </c>
      <c r="R13" s="62">
        <f>IF(R3=0,0,R3/MBunk_act!R7*100)</f>
        <v>0</v>
      </c>
      <c r="S13" s="62">
        <f>IF(S3=0,0,S3/MBunk_act!S7*100)</f>
        <v>0</v>
      </c>
      <c r="T13" s="62">
        <f>IF(T3=0,0,T3/MBunk_act!T7*100)</f>
        <v>0</v>
      </c>
      <c r="U13" s="62">
        <f>IF(U3=0,0,U3/MBunk_act!U7*100)</f>
        <v>0</v>
      </c>
      <c r="V13" s="62">
        <f>IF(V3=0,0,V3/MBunk_act!V7*100)</f>
        <v>0</v>
      </c>
      <c r="W13" s="62">
        <f>IF(W3=0,0,W3/MBunk_act!W7*100)</f>
        <v>0</v>
      </c>
      <c r="X13" s="62">
        <f>IF(X3=0,0,X3/MBunk_act!X7*100)</f>
        <v>0</v>
      </c>
      <c r="Y13" s="62">
        <f>IF(Y3=0,0,Y3/MBunk_act!Y7*100)</f>
        <v>0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0</v>
      </c>
      <c r="J14" s="63">
        <f>IF(J4=0,0,J4/MBunk_act!J8*100)</f>
        <v>0</v>
      </c>
      <c r="K14" s="63">
        <f>IF(K4=0,0,K4/MBunk_act!K8*100)</f>
        <v>0</v>
      </c>
      <c r="L14" s="63">
        <f>IF(L4=0,0,L4/MBunk_act!L8*100)</f>
        <v>0</v>
      </c>
      <c r="M14" s="63">
        <f>IF(M4=0,0,M4/MBunk_act!M8*100)</f>
        <v>0</v>
      </c>
      <c r="N14" s="63">
        <f>IF(N4=0,0,N4/MBunk_act!N8*100)</f>
        <v>0</v>
      </c>
      <c r="O14" s="63">
        <f>IF(O4=0,0,O4/MBunk_act!O8*100)</f>
        <v>0</v>
      </c>
      <c r="P14" s="63">
        <f>IF(P4=0,0,P4/MBunk_act!P8*100)</f>
        <v>0</v>
      </c>
      <c r="Q14" s="63">
        <f>IF(Q4=0,0,Q4/MBunk_act!Q8*100)</f>
        <v>0</v>
      </c>
      <c r="R14" s="63">
        <f>IF(R4=0,0,R4/MBunk_act!R8*100)</f>
        <v>0</v>
      </c>
      <c r="S14" s="63">
        <f>IF(S4=0,0,S4/MBunk_act!S8*100)</f>
        <v>0</v>
      </c>
      <c r="T14" s="63">
        <f>IF(T4=0,0,T4/MBunk_act!T8*100)</f>
        <v>0</v>
      </c>
      <c r="U14" s="63">
        <f>IF(U4=0,0,U4/MBunk_act!U8*100)</f>
        <v>0</v>
      </c>
      <c r="V14" s="63">
        <f>IF(V4=0,0,V4/MBunk_act!V8*100)</f>
        <v>0</v>
      </c>
      <c r="W14" s="63">
        <f>IF(W4=0,0,W4/MBunk_act!W8*100)</f>
        <v>0</v>
      </c>
      <c r="X14" s="63">
        <f>IF(X4=0,0,X4/MBunk_act!X8*100)</f>
        <v>0</v>
      </c>
      <c r="Y14" s="63">
        <f>IF(Y4=0,0,Y4/MBunk_act!Y8*100)</f>
        <v>0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0</v>
      </c>
      <c r="J15" s="64">
        <f>IF(J5=0,0,J5/MBunk_act!J9*100)</f>
        <v>0</v>
      </c>
      <c r="K15" s="64">
        <f>IF(K5=0,0,K5/MBunk_act!K9*100)</f>
        <v>0</v>
      </c>
      <c r="L15" s="64">
        <f>IF(L5=0,0,L5/MBunk_act!L9*100)</f>
        <v>0</v>
      </c>
      <c r="M15" s="64">
        <f>IF(M5=0,0,M5/MBunk_act!M9*100)</f>
        <v>0</v>
      </c>
      <c r="N15" s="64">
        <f>IF(N5=0,0,N5/MBunk_act!N9*100)</f>
        <v>0</v>
      </c>
      <c r="O15" s="64">
        <f>IF(O5=0,0,O5/MBunk_act!O9*100)</f>
        <v>0</v>
      </c>
      <c r="P15" s="64">
        <f>IF(P5=0,0,P5/MBunk_act!P9*100)</f>
        <v>0</v>
      </c>
      <c r="Q15" s="64">
        <f>IF(Q5=0,0,Q5/MBunk_act!Q9*100)</f>
        <v>0</v>
      </c>
      <c r="R15" s="64">
        <f>IF(R5=0,0,R5/MBunk_act!R9*100)</f>
        <v>0</v>
      </c>
      <c r="S15" s="64">
        <f>IF(S5=0,0,S5/MBunk_act!S9*100)</f>
        <v>0</v>
      </c>
      <c r="T15" s="64">
        <f>IF(T5=0,0,T5/MBunk_act!T9*100)</f>
        <v>0</v>
      </c>
      <c r="U15" s="64">
        <f>IF(U5=0,0,U5/MBunk_act!U9*100)</f>
        <v>0</v>
      </c>
      <c r="V15" s="64">
        <f>IF(V5=0,0,V5/MBunk_act!V9*100)</f>
        <v>0</v>
      </c>
      <c r="W15" s="64">
        <f>IF(W5=0,0,W5/MBunk_act!W9*100)</f>
        <v>0</v>
      </c>
      <c r="X15" s="64">
        <f>IF(X5=0,0,X5/MBunk_act!X9*100)</f>
        <v>0</v>
      </c>
      <c r="Y15" s="64">
        <f>IF(Y5=0,0,Y5/MBunk_act!Y9*100)</f>
        <v>0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0</v>
      </c>
      <c r="J17" s="62">
        <f>IF(J3=0,0,J3/MBunk_act!J3*1000)</f>
        <v>0</v>
      </c>
      <c r="K17" s="62">
        <f>IF(K3=0,0,K3/MBunk_act!K3*1000)</f>
        <v>0</v>
      </c>
      <c r="L17" s="62">
        <f>IF(L3=0,0,L3/MBunk_act!L3*1000)</f>
        <v>0</v>
      </c>
      <c r="M17" s="62">
        <f>IF(M3=0,0,M3/MBunk_act!M3*1000)</f>
        <v>0</v>
      </c>
      <c r="N17" s="62">
        <f>IF(N3=0,0,N3/MBunk_act!N3*1000)</f>
        <v>0</v>
      </c>
      <c r="O17" s="62">
        <f>IF(O3=0,0,O3/MBunk_act!O3*1000)</f>
        <v>0</v>
      </c>
      <c r="P17" s="62">
        <f>IF(P3=0,0,P3/MBunk_act!P3*1000)</f>
        <v>0</v>
      </c>
      <c r="Q17" s="62">
        <f>IF(Q3=0,0,Q3/MBunk_act!Q3*1000)</f>
        <v>0</v>
      </c>
      <c r="R17" s="62">
        <f>IF(R3=0,0,R3/MBunk_act!R3*1000)</f>
        <v>0</v>
      </c>
      <c r="S17" s="62">
        <f>IF(S3=0,0,S3/MBunk_act!S3*1000)</f>
        <v>0</v>
      </c>
      <c r="T17" s="62">
        <f>IF(T3=0,0,T3/MBunk_act!T3*1000)</f>
        <v>0</v>
      </c>
      <c r="U17" s="62">
        <f>IF(U3=0,0,U3/MBunk_act!U3*1000)</f>
        <v>0</v>
      </c>
      <c r="V17" s="62">
        <f>IF(V3=0,0,V3/MBunk_act!V3*1000)</f>
        <v>0</v>
      </c>
      <c r="W17" s="62">
        <f>IF(W3=0,0,W3/MBunk_act!W3*1000)</f>
        <v>0</v>
      </c>
      <c r="X17" s="62">
        <f>IF(X3=0,0,X3/MBunk_act!X3*1000)</f>
        <v>0</v>
      </c>
      <c r="Y17" s="62">
        <f>IF(Y3=0,0,Y3/MBunk_act!Y3*1000)</f>
        <v>0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0</v>
      </c>
      <c r="J18" s="63">
        <f>IF(J4=0,0,J4/MBunk_act!J4*1000)</f>
        <v>0</v>
      </c>
      <c r="K18" s="63">
        <f>IF(K4=0,0,K4/MBunk_act!K4*1000)</f>
        <v>0</v>
      </c>
      <c r="L18" s="63">
        <f>IF(L4=0,0,L4/MBunk_act!L4*1000)</f>
        <v>0</v>
      </c>
      <c r="M18" s="63">
        <f>IF(M4=0,0,M4/MBunk_act!M4*1000)</f>
        <v>0</v>
      </c>
      <c r="N18" s="63">
        <f>IF(N4=0,0,N4/MBunk_act!N4*1000)</f>
        <v>0</v>
      </c>
      <c r="O18" s="63">
        <f>IF(O4=0,0,O4/MBunk_act!O4*1000)</f>
        <v>0</v>
      </c>
      <c r="P18" s="63">
        <f>IF(P4=0,0,P4/MBunk_act!P4*1000)</f>
        <v>0</v>
      </c>
      <c r="Q18" s="63">
        <f>IF(Q4=0,0,Q4/MBunk_act!Q4*1000)</f>
        <v>0</v>
      </c>
      <c r="R18" s="63">
        <f>IF(R4=0,0,R4/MBunk_act!R4*1000)</f>
        <v>0</v>
      </c>
      <c r="S18" s="63">
        <f>IF(S4=0,0,S4/MBunk_act!S4*1000)</f>
        <v>0</v>
      </c>
      <c r="T18" s="63">
        <f>IF(T4=0,0,T4/MBunk_act!T4*1000)</f>
        <v>0</v>
      </c>
      <c r="U18" s="63">
        <f>IF(U4=0,0,U4/MBunk_act!U4*1000)</f>
        <v>0</v>
      </c>
      <c r="V18" s="63">
        <f>IF(V4=0,0,V4/MBunk_act!V4*1000)</f>
        <v>0</v>
      </c>
      <c r="W18" s="63">
        <f>IF(W4=0,0,W4/MBunk_act!W4*1000)</f>
        <v>0</v>
      </c>
      <c r="X18" s="63">
        <f>IF(X4=0,0,X4/MBunk_act!X4*1000)</f>
        <v>0</v>
      </c>
      <c r="Y18" s="63">
        <f>IF(Y4=0,0,Y4/MBunk_act!Y4*1000)</f>
        <v>0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0</v>
      </c>
      <c r="J19" s="64">
        <f>IF(J5=0,0,J5/MBunk_act!J5*1000)</f>
        <v>0</v>
      </c>
      <c r="K19" s="64">
        <f>IF(K5=0,0,K5/MBunk_act!K5*1000)</f>
        <v>0</v>
      </c>
      <c r="L19" s="64">
        <f>IF(L5=0,0,L5/MBunk_act!L5*1000)</f>
        <v>0</v>
      </c>
      <c r="M19" s="64">
        <f>IF(M5=0,0,M5/MBunk_act!M5*1000)</f>
        <v>0</v>
      </c>
      <c r="N19" s="64">
        <f>IF(N5=0,0,N5/MBunk_act!N5*1000)</f>
        <v>0</v>
      </c>
      <c r="O19" s="64">
        <f>IF(O5=0,0,O5/MBunk_act!O5*1000)</f>
        <v>0</v>
      </c>
      <c r="P19" s="64">
        <f>IF(P5=0,0,P5/MBunk_act!P5*1000)</f>
        <v>0</v>
      </c>
      <c r="Q19" s="64">
        <f>IF(Q5=0,0,Q5/MBunk_act!Q5*1000)</f>
        <v>0</v>
      </c>
      <c r="R19" s="64">
        <f>IF(R5=0,0,R5/MBunk_act!R5*1000)</f>
        <v>0</v>
      </c>
      <c r="S19" s="64">
        <f>IF(S5=0,0,S5/MBunk_act!S5*1000)</f>
        <v>0</v>
      </c>
      <c r="T19" s="64">
        <f>IF(T5=0,0,T5/MBunk_act!T5*1000)</f>
        <v>0</v>
      </c>
      <c r="U19" s="64">
        <f>IF(U5=0,0,U5/MBunk_act!U5*1000)</f>
        <v>0</v>
      </c>
      <c r="V19" s="64">
        <f>IF(V5=0,0,V5/MBunk_act!V5*1000)</f>
        <v>0</v>
      </c>
      <c r="W19" s="64">
        <f>IF(W5=0,0,W5/MBunk_act!W5*1000)</f>
        <v>0</v>
      </c>
      <c r="X19" s="64">
        <f>IF(X5=0,0,X5/MBunk_act!X5*1000)</f>
        <v>0</v>
      </c>
      <c r="Y19" s="64">
        <f>IF(Y5=0,0,Y5/MBunk_act!Y5*1000)</f>
        <v>0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0</v>
      </c>
      <c r="T21" s="76">
        <f t="shared" si="3"/>
        <v>0</v>
      </c>
      <c r="U21" s="76">
        <f t="shared" si="3"/>
        <v>0</v>
      </c>
      <c r="V21" s="76">
        <f t="shared" si="3"/>
        <v>0</v>
      </c>
      <c r="W21" s="76">
        <f t="shared" si="3"/>
        <v>0</v>
      </c>
      <c r="X21" s="76">
        <f t="shared" ref="X21:Y21" si="4">IF(X3=0,0,X3/X$3)</f>
        <v>0</v>
      </c>
      <c r="Y21" s="76">
        <f t="shared" si="4"/>
        <v>0</v>
      </c>
      <c r="DA21" s="183"/>
    </row>
    <row r="22" spans="1:105" ht="11.45" customHeight="1" x14ac:dyDescent="0.25">
      <c r="A22" s="55" t="s">
        <v>166</v>
      </c>
      <c r="B22" s="77">
        <f t="shared" si="3"/>
        <v>0</v>
      </c>
      <c r="C22" s="77">
        <f t="shared" si="3"/>
        <v>0</v>
      </c>
      <c r="D22" s="77">
        <f t="shared" si="3"/>
        <v>0</v>
      </c>
      <c r="E22" s="77">
        <f t="shared" si="3"/>
        <v>0</v>
      </c>
      <c r="F22" s="77">
        <f t="shared" si="3"/>
        <v>0</v>
      </c>
      <c r="G22" s="77">
        <f t="shared" si="3"/>
        <v>0</v>
      </c>
      <c r="H22" s="77">
        <f t="shared" si="3"/>
        <v>0</v>
      </c>
      <c r="I22" s="77">
        <f t="shared" si="3"/>
        <v>0</v>
      </c>
      <c r="J22" s="77">
        <f t="shared" si="3"/>
        <v>0</v>
      </c>
      <c r="K22" s="77">
        <f t="shared" si="3"/>
        <v>0</v>
      </c>
      <c r="L22" s="77">
        <f t="shared" si="3"/>
        <v>0</v>
      </c>
      <c r="M22" s="77">
        <f t="shared" si="3"/>
        <v>0</v>
      </c>
      <c r="N22" s="77">
        <f t="shared" si="3"/>
        <v>0</v>
      </c>
      <c r="O22" s="77">
        <f t="shared" si="3"/>
        <v>0</v>
      </c>
      <c r="P22" s="77">
        <f t="shared" si="3"/>
        <v>0</v>
      </c>
      <c r="Q22" s="77">
        <f t="shared" si="3"/>
        <v>0</v>
      </c>
      <c r="R22" s="77">
        <f t="shared" si="3"/>
        <v>0</v>
      </c>
      <c r="S22" s="77">
        <f t="shared" si="3"/>
        <v>0</v>
      </c>
      <c r="T22" s="77">
        <f t="shared" si="3"/>
        <v>0</v>
      </c>
      <c r="U22" s="77">
        <f t="shared" si="3"/>
        <v>0</v>
      </c>
      <c r="V22" s="77">
        <f t="shared" si="3"/>
        <v>0</v>
      </c>
      <c r="W22" s="77">
        <f t="shared" si="3"/>
        <v>0</v>
      </c>
      <c r="X22" s="77">
        <f t="shared" ref="X22:Y22" si="5">IF(X4=0,0,X4/X$3)</f>
        <v>0</v>
      </c>
      <c r="Y22" s="77">
        <f t="shared" si="5"/>
        <v>0</v>
      </c>
      <c r="DA22" s="184"/>
    </row>
    <row r="23" spans="1:105" ht="11.45" customHeight="1" x14ac:dyDescent="0.25">
      <c r="A23" s="57" t="s">
        <v>167</v>
      </c>
      <c r="B23" s="78">
        <f t="shared" si="3"/>
        <v>0</v>
      </c>
      <c r="C23" s="78">
        <f t="shared" si="3"/>
        <v>0</v>
      </c>
      <c r="D23" s="78">
        <f t="shared" si="3"/>
        <v>0</v>
      </c>
      <c r="E23" s="78">
        <f t="shared" si="3"/>
        <v>0</v>
      </c>
      <c r="F23" s="78">
        <f t="shared" si="3"/>
        <v>0</v>
      </c>
      <c r="G23" s="78">
        <f t="shared" si="3"/>
        <v>0</v>
      </c>
      <c r="H23" s="78">
        <f t="shared" si="3"/>
        <v>0</v>
      </c>
      <c r="I23" s="78">
        <f t="shared" si="3"/>
        <v>0</v>
      </c>
      <c r="J23" s="78">
        <f t="shared" si="3"/>
        <v>0</v>
      </c>
      <c r="K23" s="78">
        <f t="shared" si="3"/>
        <v>0</v>
      </c>
      <c r="L23" s="78">
        <f t="shared" si="3"/>
        <v>0</v>
      </c>
      <c r="M23" s="78">
        <f t="shared" si="3"/>
        <v>0</v>
      </c>
      <c r="N23" s="78">
        <f t="shared" si="3"/>
        <v>0</v>
      </c>
      <c r="O23" s="78">
        <f t="shared" si="3"/>
        <v>0</v>
      </c>
      <c r="P23" s="78">
        <f t="shared" si="3"/>
        <v>0</v>
      </c>
      <c r="Q23" s="78">
        <f t="shared" si="3"/>
        <v>0</v>
      </c>
      <c r="R23" s="78">
        <f t="shared" si="3"/>
        <v>0</v>
      </c>
      <c r="S23" s="78">
        <f t="shared" si="3"/>
        <v>0</v>
      </c>
      <c r="T23" s="78">
        <f t="shared" si="3"/>
        <v>0</v>
      </c>
      <c r="U23" s="78">
        <f t="shared" si="3"/>
        <v>0</v>
      </c>
      <c r="V23" s="78">
        <f t="shared" si="3"/>
        <v>0</v>
      </c>
      <c r="W23" s="78">
        <f t="shared" si="3"/>
        <v>0</v>
      </c>
      <c r="X23" s="78">
        <f t="shared" ref="X23:Y23" si="6">IF(X5=0,0,X5/X$3)</f>
        <v>0</v>
      </c>
      <c r="Y23" s="78">
        <f t="shared" si="6"/>
        <v>0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2025-11-06T10:27:28Z</dcterms:created>
  <dcterms:modified xsi:type="dcterms:W3CDTF">2025-11-06T10:27:28Z</dcterms:modified>
</cp:coreProperties>
</file>