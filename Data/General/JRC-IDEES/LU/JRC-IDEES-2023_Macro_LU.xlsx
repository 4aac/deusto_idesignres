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LU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121" i="59" l="1"/>
  <c r="AA88" i="59"/>
  <c r="AA117" i="59"/>
  <c r="AA84" i="59"/>
  <c r="AA82" i="59"/>
  <c r="AA81" i="59"/>
  <c r="AA79" i="59"/>
  <c r="AA78" i="59"/>
  <c r="AA109" i="59"/>
  <c r="AA74" i="59"/>
  <c r="AA70" i="59"/>
  <c r="AA101" i="59"/>
  <c r="AA66" i="59"/>
  <c r="AA89" i="59"/>
  <c r="AA97" i="59"/>
  <c r="AA93" i="59"/>
  <c r="AA5" i="59"/>
  <c r="Z111" i="59"/>
  <c r="Z103" i="59"/>
  <c r="Z99" i="59"/>
  <c r="D75" i="57"/>
  <c r="J75" i="57"/>
  <c r="V75" i="57"/>
  <c r="X54" i="57"/>
  <c r="H54" i="57"/>
  <c r="V54" i="57"/>
  <c r="R54" i="57"/>
  <c r="N54" i="57"/>
  <c r="F54" i="57"/>
  <c r="T54" i="57"/>
  <c r="L54" i="57"/>
  <c r="I54" i="57"/>
  <c r="D54" i="57"/>
  <c r="V39" i="57"/>
  <c r="N39" i="57"/>
  <c r="F39" i="57"/>
  <c r="T39" i="57"/>
  <c r="M39" i="57"/>
  <c r="L39" i="57"/>
  <c r="D39" i="57"/>
  <c r="S39" i="57"/>
  <c r="R39" i="57"/>
  <c r="O39" i="57"/>
  <c r="K39" i="57"/>
  <c r="J39" i="57"/>
  <c r="U16" i="57"/>
  <c r="K16" i="57"/>
  <c r="J16" i="57"/>
  <c r="Y16" i="57"/>
  <c r="X16" i="57"/>
  <c r="Q16" i="57"/>
  <c r="P16" i="57"/>
  <c r="M16" i="57"/>
  <c r="I16" i="57"/>
  <c r="H16" i="57"/>
  <c r="W16" i="57"/>
  <c r="V16" i="57"/>
  <c r="S16" i="57"/>
  <c r="O16" i="57"/>
  <c r="N16" i="57"/>
  <c r="G16" i="57"/>
  <c r="F16" i="57"/>
  <c r="K75" i="57"/>
  <c r="Y75" i="57"/>
  <c r="T75" i="57"/>
  <c r="Q75" i="57"/>
  <c r="U75" i="57"/>
  <c r="O75" i="57"/>
  <c r="F75" i="57"/>
  <c r="S54" i="57"/>
  <c r="P54" i="57"/>
  <c r="Q54" i="57"/>
  <c r="I39" i="57"/>
  <c r="U39" i="57"/>
  <c r="E39" i="57"/>
  <c r="AA80" i="59" l="1"/>
  <c r="AA98" i="59"/>
  <c r="AA102" i="59"/>
  <c r="AA106" i="59"/>
  <c r="AA113" i="59"/>
  <c r="AA114" i="59"/>
  <c r="Z54" i="55"/>
  <c r="Z107" i="59"/>
  <c r="Z115" i="59"/>
  <c r="H39" i="57"/>
  <c r="J54" i="57"/>
  <c r="E16" i="57"/>
  <c r="Q39" i="57"/>
  <c r="K54" i="57"/>
  <c r="E75" i="57"/>
  <c r="AA94" i="59"/>
  <c r="G39" i="57"/>
  <c r="W39" i="57"/>
  <c r="Y39" i="57"/>
  <c r="E54" i="57"/>
  <c r="M54" i="57"/>
  <c r="U54" i="57"/>
  <c r="G54" i="57"/>
  <c r="O54" i="57"/>
  <c r="W54" i="57"/>
  <c r="Y54" i="57"/>
  <c r="G75" i="57"/>
  <c r="W75" i="57"/>
  <c r="I75" i="57"/>
  <c r="S75" i="57"/>
  <c r="M75" i="57"/>
  <c r="AA54" i="57"/>
  <c r="Z5" i="59"/>
  <c r="AA105" i="59"/>
  <c r="AA110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Z10" i="59" s="1"/>
  <c r="AA12" i="59"/>
  <c r="AA13" i="59" s="1"/>
  <c r="Z12" i="59"/>
  <c r="Z13" i="59" s="1"/>
  <c r="AA96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T1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7" i="4"/>
  <c r="B4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<sst xmlns="http://schemas.openxmlformats.org/spreadsheetml/2006/main" count="722" uniqueCount="281">
  <si>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</si>
  <si>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</si>
  <si>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</si>
  <si>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</si>
  <si>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</si>
  <si>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</si>
  <si>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</si>
  <si>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</si>
  <si>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</si>
  <si>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</si>
  <si>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</si>
  <si>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</si>
  <si>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</si>
  <si>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</si>
  <si>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</si>
  <si>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</si>
  <si>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</si>
  <si>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</si>
  <si>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</si>
  <si>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</si>
  <si>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</si>
  <si>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</si>
  <si>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</si>
  <si>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</si>
  <si>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</si>
  <si>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</si>
  <si>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</si>
  <si>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</si>
  <si>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</si>
  <si>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</si>
  <si>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</si>
  <si>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</si>
  <si>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</si>
  <si>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</si>
  <si>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</si>
  <si>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</si>
  <si>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</si>
  <si>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</si>
  <si>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</si>
  <si>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</si>
  <si>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</si>
  <si>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</si>
  <si>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</si>
  <si>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</si>
  <si>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</si>
  <si>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</si>
  <si>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</si>
  <si>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</si>
  <si>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</si>
  <si>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</si>
  <si>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</si>
  <si>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</si>
  <si>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</si>
  <si>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</si>
  <si>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</si>
  <si>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</si>
  <si>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</si>
  <si>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</si>
  <si>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</si>
  <si>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</si>
  <si>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</si>
  <si>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</si>
  <si>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</si>
  <si>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</si>
  <si>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</si>
  <si>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</si>
  <si>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</si>
  <si>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</si>
  <si>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</si>
  <si>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</si>
  <si>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</si>
  <si>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</si>
  <si>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</si>
  <si>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</si>
  <si>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</si>
  <si>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</si>
  <si>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</si>
  <si>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</si>
  <si>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</si>
  <si>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</si>
  <si>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</si>
  <si>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</si>
  <si>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</si>
  <si>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</si>
  <si>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</si>
  <si>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</si>
  <si>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</si>
  <si>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</si>
  <si>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</si>
  <si>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</si>
  <si>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</si>
  <si>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</si>
  <si>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</si>
  <si>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</si>
  <si>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</si>
  <si>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</si>
  <si>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</si>
  <si>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</si>
  <si>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</si>
  <si>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</si>
  <si>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</si>
  <si>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</si>
  <si>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</si>
  <si>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</si>
  <si>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</si>
  <si>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</si>
  <si>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</si>
  <si>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</si>
  <si>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</si>
  <si>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</si>
  <si>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</si>
  <si>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</si>
  <si>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</si>
  <si>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</si>
  <si>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</si>
  <si>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</si>
  <si>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</si>
  <si>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</si>
  <si>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</si>
  <si>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</si>
  <si>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</si>
  <si>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</si>
  <si>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</si>
  <si>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</si>
  <si>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</si>
  <si>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</si>
  <si>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</si>
  <si>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</si>
  <si>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</si>
  <si>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</si>
  <si>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</si>
  <si>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</si>
  <si>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</si>
  <si>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</si>
  <si>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</si>
  <si>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</si>
  <si>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</si>
  <si>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</si>
  <si>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</si>
  <si>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</si>
  <si>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</si>
  <si>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</si>
  <si>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</si>
  <si>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</si>
  <si>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</si>
  <si>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</si>
  <si>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</si>
  <si>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</si>
  <si>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</si>
  <si>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</si>
  <si>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</si>
  <si>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</si>
  <si>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</si>
  <si>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</si>
  <si>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</si>
  <si>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</si>
  <si>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</si>
  <si>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</si>
  <si>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</si>
  <si>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</si>
  <si>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</si>
  <si>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</si>
  <si>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</si>
  <si>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</si>
  <si>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</si>
  <si>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</si>
  <si>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</si>
  <si>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</si>
  <si>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</si>
  <si>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</si>
  <si>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</si>
  <si>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</si>
  <si>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</si>
  <si>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</si>
  <si>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</si>
  <si>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</si>
  <si>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</si>
  <si>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</si>
  <si>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</si>
  <si>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</si>
  <si>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</si>
  <si>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</si>
  <si>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</si>
  <si>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</si>
  <si>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</si>
  <si>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</si>
  <si>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</si>
  <si>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</si>
  <si>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</si>
  <si>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</si>
  <si>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</si>
  <si>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</si>
  <si>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</si>
  <si>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</si>
  <si>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</si>
  <si>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</si>
  <si>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</si>
  <si>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</si>
  <si>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</si>
  <si>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</si>
  <si>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</si>
  <si>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</si>
  <si>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</si>
  <si>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</si>
  <si>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</si>
  <si>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</si>
  <si>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</si>
  <si>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</si>
  <si>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</si>
  <si>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</si>
  <si>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</si>
  <si>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</si>
  <si>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</si>
  <si>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</si>
  <si>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</si>
  <si>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</si>
  <si>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</si>
  <si>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</si>
  <si>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</si>
  <si>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</si>
  <si>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</si>
  <si>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</si>
  <si>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</si>
  <si>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</si>
  <si>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</si>
  <si>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</si>
  <si>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</si>
  <si>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</si>
  <si>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</si>
  <si>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</si>
  <si>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</si>
  <si>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</si>
  <si>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</si>
  <si>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</si>
  <si>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</si>
  <si>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</si>
  <si>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</si>
  <si>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</si>
  <si>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</si>
  <si>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</si>
  <si>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</si>
  <si>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</si>
  <si>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</si>
  <si>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</si>
  <si>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</si>
  <si>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</si>
  <si>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</si>
  <si>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</si>
  <si>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</si>
  <si>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</si>
  <si>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</si>
  <si>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</si>
  <si>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</si>
  <si>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</si>
  <si>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</si>
  <si>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</si>
  <si>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</si>
  <si>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</si>
  <si>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</si>
  <si>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</si>
  <si>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</si>
  <si>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</si>
  <si>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</si>
  <si>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</si>
  <si>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</si>
  <si>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</si>
  <si>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</si>
  <si>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</si>
  <si>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</si>
  <si>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</si>
  <si>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</si>
  <si>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</si>
  <si>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</si>
  <si>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</si>
  <si>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</si>
  <si>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</si>
  <si>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</si>
  <si>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</si>
  <si>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</si>
  <si>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LU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</si>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</sst>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45967.477222222224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22986</v>
      </c>
      <c r="E2" s="19">
        <v>23879.9</v>
      </c>
      <c r="F2" s="19">
        <v>25011.1</v>
      </c>
      <c r="G2" s="19">
        <v>26227.3</v>
      </c>
      <c r="H2" s="19">
        <v>28189.4</v>
      </c>
      <c r="I2" s="19">
        <v>30281</v>
      </c>
      <c r="J2" s="19">
        <v>34175</v>
      </c>
      <c r="K2" s="19">
        <v>37641.9</v>
      </c>
      <c r="L2" s="19">
        <v>40009.599999999999</v>
      </c>
      <c r="M2" s="19">
        <v>39050.699999999997</v>
      </c>
      <c r="N2" s="19">
        <v>42402.7</v>
      </c>
      <c r="O2" s="19">
        <v>44323.5</v>
      </c>
      <c r="P2" s="19">
        <v>46526.2</v>
      </c>
      <c r="Q2" s="19">
        <v>49094.5</v>
      </c>
      <c r="R2" s="19">
        <v>51791.3</v>
      </c>
      <c r="S2" s="19">
        <v>54142.3</v>
      </c>
      <c r="T2" s="19">
        <v>56208.1</v>
      </c>
      <c r="U2" s="19">
        <v>58168.800000000003</v>
      </c>
      <c r="V2" s="19">
        <v>60193.4</v>
      </c>
      <c r="W2" s="19">
        <v>62415</v>
      </c>
      <c r="X2" s="19">
        <v>64499.199999999997</v>
      </c>
      <c r="Y2" s="19">
        <v>73039.5</v>
      </c>
      <c r="Z2" s="19">
        <v>76731.199999999997</v>
      </c>
      <c r="AA2" s="19">
        <v>82115.5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9210</v>
      </c>
      <c r="E3" s="23">
        <v>9747.5</v>
      </c>
      <c r="F3" s="23">
        <v>10400.1</v>
      </c>
      <c r="G3" s="23">
        <v>10911.3</v>
      </c>
      <c r="H3" s="23">
        <v>11297.5</v>
      </c>
      <c r="I3" s="23">
        <v>11608.5</v>
      </c>
      <c r="J3" s="23">
        <v>12379.5</v>
      </c>
      <c r="K3" s="23">
        <v>12944.8</v>
      </c>
      <c r="L3" s="23">
        <v>13665.3</v>
      </c>
      <c r="M3" s="23">
        <v>13831.2</v>
      </c>
      <c r="N3" s="23">
        <v>14579.4</v>
      </c>
      <c r="O3" s="23">
        <v>15257.3</v>
      </c>
      <c r="P3" s="23">
        <v>15961.7</v>
      </c>
      <c r="Q3" s="23">
        <v>16334.3</v>
      </c>
      <c r="R3" s="23">
        <v>16945.400000000001</v>
      </c>
      <c r="S3" s="23">
        <v>17614.900000000001</v>
      </c>
      <c r="T3" s="23">
        <v>18342.900000000001</v>
      </c>
      <c r="U3" s="23">
        <v>19306.2</v>
      </c>
      <c r="V3" s="23">
        <v>20259.8</v>
      </c>
      <c r="W3" s="23">
        <v>20993.599999999999</v>
      </c>
      <c r="X3" s="23">
        <v>19574.8</v>
      </c>
      <c r="Y3" s="23">
        <v>22151.4</v>
      </c>
      <c r="Z3" s="23">
        <v>24909.3</v>
      </c>
      <c r="AA3" s="23">
        <v>27081.7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20502.099999999999</v>
      </c>
      <c r="E4" s="27">
        <v>21424.2</v>
      </c>
      <c r="F4" s="27">
        <v>22423.9</v>
      </c>
      <c r="G4" s="27">
        <v>23474.6</v>
      </c>
      <c r="H4" s="27">
        <v>25053.3</v>
      </c>
      <c r="I4" s="27">
        <v>26894</v>
      </c>
      <c r="J4" s="27">
        <v>30683.9</v>
      </c>
      <c r="K4" s="27">
        <v>33658.400000000001</v>
      </c>
      <c r="L4" s="27">
        <v>35998.300000000003</v>
      </c>
      <c r="M4" s="27">
        <v>35116.9</v>
      </c>
      <c r="N4" s="27">
        <v>38235.9</v>
      </c>
      <c r="O4" s="27">
        <v>39801.1</v>
      </c>
      <c r="P4" s="27">
        <v>41682.699999999997</v>
      </c>
      <c r="Q4" s="27">
        <v>44019.4</v>
      </c>
      <c r="R4" s="27">
        <v>46255</v>
      </c>
      <c r="S4" s="27">
        <v>49537.3</v>
      </c>
      <c r="T4" s="27">
        <v>51386.2</v>
      </c>
      <c r="U4" s="27">
        <v>53011.5</v>
      </c>
      <c r="V4" s="27">
        <v>54533.1</v>
      </c>
      <c r="W4" s="27">
        <v>56495.199999999997</v>
      </c>
      <c r="X4" s="27">
        <v>58593.3</v>
      </c>
      <c r="Y4" s="27">
        <v>66274.100000000006</v>
      </c>
      <c r="Z4" s="27">
        <v>69430.3</v>
      </c>
      <c r="AA4" s="27">
        <v>74961.7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137.19999999999999</v>
      </c>
      <c r="E6" s="19">
        <v>133.80000000000001</v>
      </c>
      <c r="F6" s="19">
        <v>172.7</v>
      </c>
      <c r="G6" s="19">
        <v>121.8</v>
      </c>
      <c r="H6" s="19">
        <v>150.9</v>
      </c>
      <c r="I6" s="19">
        <v>108</v>
      </c>
      <c r="J6" s="19">
        <v>106.5</v>
      </c>
      <c r="K6" s="19">
        <v>136.69999999999999</v>
      </c>
      <c r="L6" s="19">
        <v>123.1</v>
      </c>
      <c r="M6" s="19">
        <v>91.1</v>
      </c>
      <c r="N6" s="19">
        <v>113.8</v>
      </c>
      <c r="O6" s="19">
        <v>111.3</v>
      </c>
      <c r="P6" s="19">
        <v>134</v>
      </c>
      <c r="Q6" s="19">
        <v>128.6</v>
      </c>
      <c r="R6" s="19">
        <v>150</v>
      </c>
      <c r="S6" s="19">
        <v>121.1</v>
      </c>
      <c r="T6" s="19">
        <v>120.4</v>
      </c>
      <c r="U6" s="19">
        <v>136.4</v>
      </c>
      <c r="V6" s="19">
        <v>140.69999999999999</v>
      </c>
      <c r="W6" s="19">
        <v>134.1</v>
      </c>
      <c r="X6" s="19">
        <v>129.30000000000001</v>
      </c>
      <c r="Y6" s="19">
        <v>142.30000000000001</v>
      </c>
      <c r="Z6" s="19">
        <v>185.8</v>
      </c>
      <c r="AA6" s="19">
        <v>153.80000000000001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2571.1999999999998</v>
      </c>
      <c r="E7" s="23">
        <v>2557.5</v>
      </c>
      <c r="F7" s="23">
        <v>2582.8000000000002</v>
      </c>
      <c r="G7" s="23">
        <v>2769.7</v>
      </c>
      <c r="H7" s="23">
        <v>2804.2</v>
      </c>
      <c r="I7" s="23">
        <v>2856.5</v>
      </c>
      <c r="J7" s="23">
        <v>2946.1</v>
      </c>
      <c r="K7" s="23">
        <v>3528.3</v>
      </c>
      <c r="L7" s="23">
        <v>3169</v>
      </c>
      <c r="M7" s="23">
        <v>2381.1</v>
      </c>
      <c r="N7" s="23">
        <v>2656.6</v>
      </c>
      <c r="O7" s="23">
        <v>2700.7</v>
      </c>
      <c r="P7" s="23">
        <v>2652.4</v>
      </c>
      <c r="Q7" s="23">
        <v>2837.1</v>
      </c>
      <c r="R7" s="23">
        <v>3121.6</v>
      </c>
      <c r="S7" s="23">
        <v>3663.3</v>
      </c>
      <c r="T7" s="23">
        <v>4001.3</v>
      </c>
      <c r="U7" s="23">
        <v>3486.6</v>
      </c>
      <c r="V7" s="23">
        <v>3705.6</v>
      </c>
      <c r="W7" s="23">
        <v>3912.3</v>
      </c>
      <c r="X7" s="23">
        <v>3988.9</v>
      </c>
      <c r="Y7" s="23">
        <v>4233.3999999999996</v>
      </c>
      <c r="Z7" s="23">
        <v>3830</v>
      </c>
      <c r="AA7" s="23">
        <v>4253.6000000000004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1257</v>
      </c>
      <c r="E8" s="23">
        <v>1338.2</v>
      </c>
      <c r="F8" s="23">
        <v>1446</v>
      </c>
      <c r="G8" s="23">
        <v>1487.4</v>
      </c>
      <c r="H8" s="23">
        <v>1548</v>
      </c>
      <c r="I8" s="23">
        <v>1524</v>
      </c>
      <c r="J8" s="23">
        <v>1674.5</v>
      </c>
      <c r="K8" s="23">
        <v>1920.7</v>
      </c>
      <c r="L8" s="23">
        <v>1954.2</v>
      </c>
      <c r="M8" s="23">
        <v>1917.1</v>
      </c>
      <c r="N8" s="23">
        <v>2006.9</v>
      </c>
      <c r="O8" s="23">
        <v>2045.7</v>
      </c>
      <c r="P8" s="23">
        <v>2198.8000000000002</v>
      </c>
      <c r="Q8" s="23">
        <v>2289.8000000000002</v>
      </c>
      <c r="R8" s="23">
        <v>2477.5</v>
      </c>
      <c r="S8" s="23">
        <v>2584.5</v>
      </c>
      <c r="T8" s="23">
        <v>2797.6</v>
      </c>
      <c r="U8" s="23">
        <v>2806.3</v>
      </c>
      <c r="V8" s="23">
        <v>2898.9</v>
      </c>
      <c r="W8" s="23">
        <v>3328.1</v>
      </c>
      <c r="X8" s="23">
        <v>3327.1</v>
      </c>
      <c r="Y8" s="23">
        <v>3503</v>
      </c>
      <c r="Z8" s="23">
        <v>3163.2</v>
      </c>
      <c r="AA8" s="23">
        <v>3371.9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3524.2</v>
      </c>
      <c r="E9" s="23">
        <v>3855.1</v>
      </c>
      <c r="F9" s="23">
        <v>4029.3</v>
      </c>
      <c r="G9" s="23">
        <v>4118.1000000000004</v>
      </c>
      <c r="H9" s="23">
        <v>4150.7</v>
      </c>
      <c r="I9" s="23">
        <v>4235.7</v>
      </c>
      <c r="J9" s="23">
        <v>4707.1000000000004</v>
      </c>
      <c r="K9" s="23">
        <v>4757.3</v>
      </c>
      <c r="L9" s="23">
        <v>5742.9</v>
      </c>
      <c r="M9" s="23">
        <v>5446.1</v>
      </c>
      <c r="N9" s="23">
        <v>6112.4</v>
      </c>
      <c r="O9" s="23">
        <v>7191.2</v>
      </c>
      <c r="P9" s="23">
        <v>6930.2</v>
      </c>
      <c r="Q9" s="23">
        <v>7302.7</v>
      </c>
      <c r="R9" s="23">
        <v>7559</v>
      </c>
      <c r="S9" s="23">
        <v>7612.6</v>
      </c>
      <c r="T9" s="23">
        <v>7903.3</v>
      </c>
      <c r="U9" s="23">
        <v>8418.2000000000007</v>
      </c>
      <c r="V9" s="23">
        <v>8433.2999999999993</v>
      </c>
      <c r="W9" s="23">
        <v>8542.6</v>
      </c>
      <c r="X9" s="23">
        <v>8676.4</v>
      </c>
      <c r="Y9" s="23">
        <v>10112.1</v>
      </c>
      <c r="Z9" s="23">
        <v>10763.6</v>
      </c>
      <c r="AA9" s="23">
        <v>10971.5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1283.2</v>
      </c>
      <c r="E10" s="23">
        <v>1388</v>
      </c>
      <c r="F10" s="23">
        <v>1341</v>
      </c>
      <c r="G10" s="23">
        <v>1385.1</v>
      </c>
      <c r="H10" s="23">
        <v>1449.2</v>
      </c>
      <c r="I10" s="23">
        <v>1608.3</v>
      </c>
      <c r="J10" s="23">
        <v>1746.7</v>
      </c>
      <c r="K10" s="23">
        <v>2000.1</v>
      </c>
      <c r="L10" s="23">
        <v>2134.6</v>
      </c>
      <c r="M10" s="23">
        <v>2399.6</v>
      </c>
      <c r="N10" s="23">
        <v>2504.5</v>
      </c>
      <c r="O10" s="23">
        <v>2632.9</v>
      </c>
      <c r="P10" s="23">
        <v>2825.2</v>
      </c>
      <c r="Q10" s="23">
        <v>2650.6</v>
      </c>
      <c r="R10" s="23">
        <v>2795.4</v>
      </c>
      <c r="S10" s="23">
        <v>3049.6</v>
      </c>
      <c r="T10" s="23">
        <v>2885.2</v>
      </c>
      <c r="U10" s="23">
        <v>2988.1</v>
      </c>
      <c r="V10" s="23">
        <v>3134.6</v>
      </c>
      <c r="W10" s="23">
        <v>3271.6</v>
      </c>
      <c r="X10" s="23">
        <v>3347.1</v>
      </c>
      <c r="Y10" s="23">
        <v>3563.3</v>
      </c>
      <c r="Z10" s="23">
        <v>3751.4</v>
      </c>
      <c r="AA10" s="23">
        <v>5073.6000000000004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5202.7</v>
      </c>
      <c r="E11" s="23">
        <v>4932.1000000000004</v>
      </c>
      <c r="F11" s="23">
        <v>5022.1000000000004</v>
      </c>
      <c r="G11" s="23">
        <v>5293.3</v>
      </c>
      <c r="H11" s="23">
        <v>6010.7</v>
      </c>
      <c r="I11" s="23">
        <v>6968.5</v>
      </c>
      <c r="J11" s="23">
        <v>9148.7999999999993</v>
      </c>
      <c r="K11" s="23">
        <v>10018.1</v>
      </c>
      <c r="L11" s="23">
        <v>10629.6</v>
      </c>
      <c r="M11" s="23">
        <v>10022.5</v>
      </c>
      <c r="N11" s="23">
        <v>11358</v>
      </c>
      <c r="O11" s="23">
        <v>10799.2</v>
      </c>
      <c r="P11" s="23">
        <v>11972.8</v>
      </c>
      <c r="Q11" s="23">
        <v>12579.9</v>
      </c>
      <c r="R11" s="23">
        <v>13448</v>
      </c>
      <c r="S11" s="23">
        <v>14405.7</v>
      </c>
      <c r="T11" s="23">
        <v>13937.2</v>
      </c>
      <c r="U11" s="23">
        <v>14339.5</v>
      </c>
      <c r="V11" s="23">
        <v>14197.3</v>
      </c>
      <c r="W11" s="23">
        <v>14217.1</v>
      </c>
      <c r="X11" s="23">
        <v>14477.9</v>
      </c>
      <c r="Y11" s="23">
        <v>17451.7</v>
      </c>
      <c r="Z11" s="23">
        <v>18134</v>
      </c>
      <c r="AA11" s="23">
        <v>18984.599999999999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1908</v>
      </c>
      <c r="E12" s="23">
        <v>2139.3000000000002</v>
      </c>
      <c r="F12" s="23">
        <v>2234.3000000000002</v>
      </c>
      <c r="G12" s="23">
        <v>2363.8000000000002</v>
      </c>
      <c r="H12" s="23">
        <v>2358.5</v>
      </c>
      <c r="I12" s="23">
        <v>2618.4</v>
      </c>
      <c r="J12" s="23">
        <v>2740.3</v>
      </c>
      <c r="K12" s="23">
        <v>2926.5</v>
      </c>
      <c r="L12" s="23">
        <v>3031.8</v>
      </c>
      <c r="M12" s="23">
        <v>3058.4</v>
      </c>
      <c r="N12" s="23">
        <v>3229.5</v>
      </c>
      <c r="O12" s="23">
        <v>3352.4</v>
      </c>
      <c r="P12" s="23">
        <v>3431</v>
      </c>
      <c r="Q12" s="23">
        <v>3856.1</v>
      </c>
      <c r="R12" s="23">
        <v>4024.4</v>
      </c>
      <c r="S12" s="23">
        <v>4189.5</v>
      </c>
      <c r="T12" s="23">
        <v>4391.1000000000004</v>
      </c>
      <c r="U12" s="23">
        <v>4613.1000000000004</v>
      </c>
      <c r="V12" s="23">
        <v>4763.5</v>
      </c>
      <c r="W12" s="23">
        <v>4844.7</v>
      </c>
      <c r="X12" s="23">
        <v>4750.8</v>
      </c>
      <c r="Y12" s="23">
        <v>4960.3999999999996</v>
      </c>
      <c r="Z12" s="23">
        <v>4940.1000000000004</v>
      </c>
      <c r="AA12" s="23">
        <v>5708.6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1482</v>
      </c>
      <c r="E13" s="23">
        <v>1682.6</v>
      </c>
      <c r="F13" s="23">
        <v>1874.8</v>
      </c>
      <c r="G13" s="23">
        <v>1919.9</v>
      </c>
      <c r="H13" s="23">
        <v>2179.6</v>
      </c>
      <c r="I13" s="23">
        <v>2292.3000000000002</v>
      </c>
      <c r="J13" s="23">
        <v>2647.7</v>
      </c>
      <c r="K13" s="23">
        <v>3137.5</v>
      </c>
      <c r="L13" s="23">
        <v>3646</v>
      </c>
      <c r="M13" s="23">
        <v>3764.5</v>
      </c>
      <c r="N13" s="23">
        <v>3857.4</v>
      </c>
      <c r="O13" s="23">
        <v>4180</v>
      </c>
      <c r="P13" s="23">
        <v>4324</v>
      </c>
      <c r="Q13" s="23">
        <v>4705.6000000000004</v>
      </c>
      <c r="R13" s="23">
        <v>4678.2</v>
      </c>
      <c r="S13" s="23">
        <v>5576.4</v>
      </c>
      <c r="T13" s="23">
        <v>6785.3</v>
      </c>
      <c r="U13" s="23">
        <v>7054.5</v>
      </c>
      <c r="V13" s="23">
        <v>7418.1</v>
      </c>
      <c r="W13" s="23">
        <v>7671.9</v>
      </c>
      <c r="X13" s="23">
        <v>8548.7999999999993</v>
      </c>
      <c r="Y13" s="23">
        <v>9891.7000000000007</v>
      </c>
      <c r="Z13" s="23">
        <v>11165.9</v>
      </c>
      <c r="AA13" s="23">
        <v>11492.5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2767.3999999999978</v>
      </c>
      <c r="E14" s="23">
        <v>3013.6000000000022</v>
      </c>
      <c r="F14" s="23">
        <v>3312.3000000000029</v>
      </c>
      <c r="G14" s="23">
        <v>3582.3999999999978</v>
      </c>
      <c r="H14" s="23">
        <v>3931.2999999999993</v>
      </c>
      <c r="I14" s="23">
        <v>4158.0999999999985</v>
      </c>
      <c r="J14" s="23">
        <v>4400</v>
      </c>
      <c r="K14" s="23">
        <v>4648.9000000000015</v>
      </c>
      <c r="L14" s="23">
        <v>4949.2000000000007</v>
      </c>
      <c r="M14" s="23">
        <v>5357.0999999999985</v>
      </c>
      <c r="N14" s="23">
        <v>5692.5999999999985</v>
      </c>
      <c r="O14" s="23">
        <v>6054.3999999999942</v>
      </c>
      <c r="P14" s="23">
        <v>6448.9999999999927</v>
      </c>
      <c r="Q14" s="23">
        <v>6862.5</v>
      </c>
      <c r="R14" s="23">
        <v>7186.0999999999985</v>
      </c>
      <c r="S14" s="23">
        <v>7483.4000000000015</v>
      </c>
      <c r="T14" s="23">
        <v>7697.9999999999927</v>
      </c>
      <c r="U14" s="23">
        <v>8256.8000000000029</v>
      </c>
      <c r="V14" s="23">
        <v>8919.5000000000073</v>
      </c>
      <c r="W14" s="23">
        <v>9582.0999999999985</v>
      </c>
      <c r="X14" s="23">
        <v>10377.800000000003</v>
      </c>
      <c r="Y14" s="23">
        <v>11280.899999999994</v>
      </c>
      <c r="Z14" s="23">
        <v>12262.5</v>
      </c>
      <c r="AA14" s="23">
        <v>13570.599999999999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369.2</v>
      </c>
      <c r="E15" s="23">
        <v>384</v>
      </c>
      <c r="F15" s="23">
        <v>408.6</v>
      </c>
      <c r="G15" s="23">
        <v>433.1</v>
      </c>
      <c r="H15" s="23">
        <v>470.2</v>
      </c>
      <c r="I15" s="23">
        <v>524.20000000000005</v>
      </c>
      <c r="J15" s="23">
        <v>566.20000000000005</v>
      </c>
      <c r="K15" s="23">
        <v>584.29999999999995</v>
      </c>
      <c r="L15" s="23">
        <v>617.9</v>
      </c>
      <c r="M15" s="23">
        <v>679.4</v>
      </c>
      <c r="N15" s="23">
        <v>704.2</v>
      </c>
      <c r="O15" s="23">
        <v>733.3</v>
      </c>
      <c r="P15" s="23">
        <v>765.3</v>
      </c>
      <c r="Q15" s="23">
        <v>806.5</v>
      </c>
      <c r="R15" s="23">
        <v>814.8</v>
      </c>
      <c r="S15" s="23">
        <v>851.2</v>
      </c>
      <c r="T15" s="23">
        <v>866.8</v>
      </c>
      <c r="U15" s="23">
        <v>912</v>
      </c>
      <c r="V15" s="23">
        <v>921.6</v>
      </c>
      <c r="W15" s="23">
        <v>990.7</v>
      </c>
      <c r="X15" s="23">
        <v>969.2</v>
      </c>
      <c r="Y15" s="23">
        <v>1135.3</v>
      </c>
      <c r="Z15" s="23">
        <v>1233.8</v>
      </c>
      <c r="AA15" s="23">
        <v>1381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20502.099999999999</v>
      </c>
      <c r="E16" s="30">
        <f t="shared" ref="E16:Y16" si="0">SUM(E6:E15)</f>
        <v>21424.2</v>
      </c>
      <c r="F16" s="30">
        <f t="shared" si="0"/>
        <v>22423.9</v>
      </c>
      <c r="G16" s="30">
        <f t="shared" si="0"/>
        <v>23474.6</v>
      </c>
      <c r="H16" s="30">
        <f t="shared" si="0"/>
        <v>25053.3</v>
      </c>
      <c r="I16" s="30">
        <f t="shared" si="0"/>
        <v>26894</v>
      </c>
      <c r="J16" s="30">
        <f t="shared" si="0"/>
        <v>30683.9</v>
      </c>
      <c r="K16" s="30">
        <f t="shared" si="0"/>
        <v>33658.400000000009</v>
      </c>
      <c r="L16" s="30">
        <f t="shared" si="0"/>
        <v>35998.300000000003</v>
      </c>
      <c r="M16" s="30">
        <f t="shared" si="0"/>
        <v>35116.9</v>
      </c>
      <c r="N16" s="30">
        <f t="shared" si="0"/>
        <v>38235.899999999994</v>
      </c>
      <c r="O16" s="30">
        <f t="shared" si="0"/>
        <v>39801.1</v>
      </c>
      <c r="P16" s="30">
        <f t="shared" si="0"/>
        <v>41682.699999999997</v>
      </c>
      <c r="Q16" s="30">
        <f t="shared" si="0"/>
        <v>44019.4</v>
      </c>
      <c r="R16" s="30">
        <f t="shared" si="0"/>
        <v>46255</v>
      </c>
      <c r="S16" s="30">
        <f t="shared" si="0"/>
        <v>49537.3</v>
      </c>
      <c r="T16" s="30">
        <f t="shared" si="0"/>
        <v>51386.2</v>
      </c>
      <c r="U16" s="30">
        <f t="shared" si="0"/>
        <v>53011.5</v>
      </c>
      <c r="V16" s="30">
        <f t="shared" si="0"/>
        <v>54533.1</v>
      </c>
      <c r="W16" s="30">
        <f t="shared" si="0"/>
        <v>56495.199999999997</v>
      </c>
      <c r="X16" s="30">
        <f t="shared" si="0"/>
        <v>58593.3</v>
      </c>
      <c r="Y16" s="30">
        <f t="shared" si="0"/>
        <v>66274.100000000006</v>
      </c>
      <c r="Z16" s="30">
        <f t="shared" ref="Z16:AA16" si="1">SUM(Z6:Z15)</f>
        <v>69430.3</v>
      </c>
      <c r="AA16" s="30">
        <f t="shared" si="1"/>
        <v>74961.7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137.19999999999999</v>
      </c>
      <c r="E18" s="19">
        <v>133.80000000000001</v>
      </c>
      <c r="F18" s="19">
        <v>172.7</v>
      </c>
      <c r="G18" s="19">
        <v>121.8</v>
      </c>
      <c r="H18" s="19">
        <v>150.9</v>
      </c>
      <c r="I18" s="19">
        <v>108</v>
      </c>
      <c r="J18" s="19">
        <v>106.5</v>
      </c>
      <c r="K18" s="19">
        <v>136.69999999999999</v>
      </c>
      <c r="L18" s="19">
        <v>123.1</v>
      </c>
      <c r="M18" s="19">
        <v>91.1</v>
      </c>
      <c r="N18" s="19">
        <v>113.8</v>
      </c>
      <c r="O18" s="19">
        <v>111.3</v>
      </c>
      <c r="P18" s="19">
        <v>134</v>
      </c>
      <c r="Q18" s="19">
        <v>128.6</v>
      </c>
      <c r="R18" s="19">
        <v>150</v>
      </c>
      <c r="S18" s="19">
        <v>121.1</v>
      </c>
      <c r="T18" s="19">
        <v>120.4</v>
      </c>
      <c r="U18" s="19">
        <v>136.4</v>
      </c>
      <c r="V18" s="19">
        <v>140.69999999999999</v>
      </c>
      <c r="W18" s="19">
        <v>134.1</v>
      </c>
      <c r="X18" s="19">
        <v>129.30000000000001</v>
      </c>
      <c r="Y18" s="19">
        <v>142.30000000000001</v>
      </c>
      <c r="Z18" s="19">
        <v>185.8</v>
      </c>
      <c r="AA18" s="19">
        <v>153.80000000000001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27.999999999999979</v>
      </c>
      <c r="E19" s="23">
        <v>23.4</v>
      </c>
      <c r="F19" s="23">
        <v>28.106986573843869</v>
      </c>
      <c r="G19" s="23">
        <v>29.606561737973831</v>
      </c>
      <c r="H19" s="23">
        <v>29.699999999999982</v>
      </c>
      <c r="I19" s="23">
        <v>27.900000000000006</v>
      </c>
      <c r="J19" s="23">
        <v>31.500000000000007</v>
      </c>
      <c r="K19" s="23">
        <v>35.400000000000013</v>
      </c>
      <c r="L19" s="23">
        <v>31.199999999999989</v>
      </c>
      <c r="M19" s="23">
        <v>30.9</v>
      </c>
      <c r="N19" s="23">
        <v>31.799999999999986</v>
      </c>
      <c r="O19" s="23">
        <v>34.906435552277316</v>
      </c>
      <c r="P19" s="23">
        <v>31.305880142776633</v>
      </c>
      <c r="Q19" s="23">
        <v>30.894860279441108</v>
      </c>
      <c r="R19" s="23">
        <v>31.895259325308356</v>
      </c>
      <c r="S19" s="23">
        <v>29.504236071223435</v>
      </c>
      <c r="T19" s="23">
        <v>29.503965053763455</v>
      </c>
      <c r="U19" s="23">
        <v>34.799999999999997</v>
      </c>
      <c r="V19" s="23">
        <v>34.704816768461967</v>
      </c>
      <c r="W19" s="23">
        <v>38.100000000000009</v>
      </c>
      <c r="X19" s="23">
        <v>39.495133670075148</v>
      </c>
      <c r="Y19" s="23">
        <v>37.699999999999974</v>
      </c>
      <c r="Z19" s="23">
        <v>35</v>
      </c>
      <c r="AA19" s="23">
        <v>37.600000000000016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2216.4</v>
      </c>
      <c r="E20" s="23">
        <v>2180.5</v>
      </c>
      <c r="F20" s="23">
        <v>2180.5</v>
      </c>
      <c r="G20" s="23">
        <v>2318.5</v>
      </c>
      <c r="H20" s="23">
        <v>2338.3000000000002</v>
      </c>
      <c r="I20" s="23">
        <v>2371.6</v>
      </c>
      <c r="J20" s="23">
        <v>2420.1999999999998</v>
      </c>
      <c r="K20" s="23">
        <v>2998.5</v>
      </c>
      <c r="L20" s="23">
        <v>2674.3</v>
      </c>
      <c r="M20" s="23">
        <v>1816.8</v>
      </c>
      <c r="N20" s="23">
        <v>2105.8000000000002</v>
      </c>
      <c r="O20" s="23">
        <v>2158.3000000000002</v>
      </c>
      <c r="P20" s="23">
        <v>2120</v>
      </c>
      <c r="Q20" s="23">
        <v>2236</v>
      </c>
      <c r="R20" s="23">
        <v>2448.8000000000002</v>
      </c>
      <c r="S20" s="23">
        <v>2966.8</v>
      </c>
      <c r="T20" s="23">
        <v>3257.2</v>
      </c>
      <c r="U20" s="23">
        <v>2778.1</v>
      </c>
      <c r="V20" s="23">
        <v>2985.1</v>
      </c>
      <c r="W20" s="23">
        <v>3147.5</v>
      </c>
      <c r="X20" s="23">
        <v>3177.3</v>
      </c>
      <c r="Y20" s="23">
        <v>3392.8</v>
      </c>
      <c r="Z20" s="23">
        <v>3002</v>
      </c>
      <c r="AA20" s="23">
        <v>3326.8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203.49999999999986</v>
      </c>
      <c r="E21" s="23">
        <v>227.7</v>
      </c>
      <c r="F21" s="23">
        <v>240.55979612133274</v>
      </c>
      <c r="G21" s="23">
        <v>285.56328973620026</v>
      </c>
      <c r="H21" s="23">
        <v>295.19999999999976</v>
      </c>
      <c r="I21" s="23">
        <v>302.20000000000005</v>
      </c>
      <c r="J21" s="23">
        <v>329.70000000000005</v>
      </c>
      <c r="K21" s="23">
        <v>347.60000000000019</v>
      </c>
      <c r="L21" s="23">
        <v>310.19999999999987</v>
      </c>
      <c r="M21" s="23">
        <v>368.1</v>
      </c>
      <c r="N21" s="23">
        <v>333.89999999999981</v>
      </c>
      <c r="O21" s="23">
        <v>311.85749585100484</v>
      </c>
      <c r="P21" s="23">
        <v>300.65647191433408</v>
      </c>
      <c r="Q21" s="23">
        <v>345.44253160345966</v>
      </c>
      <c r="R21" s="23">
        <v>400.84042205379683</v>
      </c>
      <c r="S21" s="23">
        <v>421.06045376220561</v>
      </c>
      <c r="T21" s="23">
        <v>459.36173387096795</v>
      </c>
      <c r="U21" s="23">
        <v>422.9</v>
      </c>
      <c r="V21" s="23">
        <v>411.85716268739594</v>
      </c>
      <c r="W21" s="23">
        <v>445.10000000000014</v>
      </c>
      <c r="X21" s="23">
        <v>483.24045829740049</v>
      </c>
      <c r="Y21" s="23">
        <v>511.89999999999958</v>
      </c>
      <c r="Z21" s="23">
        <v>486.99999999999994</v>
      </c>
      <c r="AA21" s="23">
        <v>602.00000000000011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123.2999999999999</v>
      </c>
      <c r="E22" s="23">
        <v>125.89999999999999</v>
      </c>
      <c r="F22" s="23">
        <v>133.63321730482352</v>
      </c>
      <c r="G22" s="23">
        <v>136.03014852582569</v>
      </c>
      <c r="H22" s="23">
        <v>140.99999999999991</v>
      </c>
      <c r="I22" s="23">
        <v>154.80000000000004</v>
      </c>
      <c r="J22" s="23">
        <v>164.70000000000002</v>
      </c>
      <c r="K22" s="23">
        <v>146.80000000000007</v>
      </c>
      <c r="L22" s="23">
        <v>153.29999999999995</v>
      </c>
      <c r="M22" s="23">
        <v>165.3</v>
      </c>
      <c r="N22" s="23">
        <v>185.09999999999991</v>
      </c>
      <c r="O22" s="23">
        <v>195.63606859671756</v>
      </c>
      <c r="P22" s="23">
        <v>200.43764794288936</v>
      </c>
      <c r="Q22" s="23">
        <v>224.76260811709909</v>
      </c>
      <c r="R22" s="23">
        <v>240.06431862089454</v>
      </c>
      <c r="S22" s="23">
        <v>245.93531016657096</v>
      </c>
      <c r="T22" s="23">
        <v>255.23430107526895</v>
      </c>
      <c r="U22" s="23">
        <v>250.8</v>
      </c>
      <c r="V22" s="23">
        <v>273.93802054414215</v>
      </c>
      <c r="W22" s="23">
        <v>281.60000000000008</v>
      </c>
      <c r="X22" s="23">
        <v>288.8644080325243</v>
      </c>
      <c r="Y22" s="23">
        <v>290.99999999999977</v>
      </c>
      <c r="Z22" s="23">
        <v>306</v>
      </c>
      <c r="AA22" s="23">
        <v>287.20000000000005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1257</v>
      </c>
      <c r="E23" s="23">
        <v>1338.2</v>
      </c>
      <c r="F23" s="23">
        <v>1446</v>
      </c>
      <c r="G23" s="23">
        <v>1487.4</v>
      </c>
      <c r="H23" s="23">
        <v>1548</v>
      </c>
      <c r="I23" s="23">
        <v>1524</v>
      </c>
      <c r="J23" s="23">
        <v>1674.5</v>
      </c>
      <c r="K23" s="23">
        <v>1920.7</v>
      </c>
      <c r="L23" s="23">
        <v>1954.2</v>
      </c>
      <c r="M23" s="23">
        <v>1917.1</v>
      </c>
      <c r="N23" s="23">
        <v>2006.9</v>
      </c>
      <c r="O23" s="23">
        <v>2045.7</v>
      </c>
      <c r="P23" s="23">
        <v>2198.8000000000002</v>
      </c>
      <c r="Q23" s="23">
        <v>2289.8000000000002</v>
      </c>
      <c r="R23" s="23">
        <v>2477.5</v>
      </c>
      <c r="S23" s="23">
        <v>2584.5</v>
      </c>
      <c r="T23" s="23">
        <v>2797.6</v>
      </c>
      <c r="U23" s="23">
        <v>2806.3</v>
      </c>
      <c r="V23" s="23">
        <v>2898.9</v>
      </c>
      <c r="W23" s="23">
        <v>3328.1</v>
      </c>
      <c r="X23" s="23">
        <v>3327.1</v>
      </c>
      <c r="Y23" s="23">
        <v>3503</v>
      </c>
      <c r="Z23" s="23">
        <v>3163.2</v>
      </c>
      <c r="AA23" s="23">
        <v>3371.9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1794.6</v>
      </c>
      <c r="E24" s="23">
        <v>1985.5</v>
      </c>
      <c r="F24" s="23">
        <v>2070.8000000000002</v>
      </c>
      <c r="G24" s="23">
        <v>2119.3000000000002</v>
      </c>
      <c r="H24" s="23">
        <v>2192.5</v>
      </c>
      <c r="I24" s="23">
        <v>2180.7999999999997</v>
      </c>
      <c r="J24" s="23">
        <v>2582.7000000000003</v>
      </c>
      <c r="K24" s="23">
        <v>2549.6000000000004</v>
      </c>
      <c r="L24" s="23">
        <v>3467.4999999999995</v>
      </c>
      <c r="M24" s="23">
        <v>3249</v>
      </c>
      <c r="N24" s="23">
        <v>3695.5999999999995</v>
      </c>
      <c r="O24" s="23">
        <v>4725.7</v>
      </c>
      <c r="P24" s="23">
        <v>4434.7999999999993</v>
      </c>
      <c r="Q24" s="23">
        <v>4696.1000000000004</v>
      </c>
      <c r="R24" s="23">
        <v>4725.1000000000004</v>
      </c>
      <c r="S24" s="23">
        <v>4595.9000000000005</v>
      </c>
      <c r="T24" s="23">
        <v>4860.7</v>
      </c>
      <c r="U24" s="23">
        <v>5029.7000000000007</v>
      </c>
      <c r="V24" s="23">
        <v>4812.6999999999989</v>
      </c>
      <c r="W24" s="23">
        <v>4950.8</v>
      </c>
      <c r="X24" s="23">
        <v>4825.3999999999996</v>
      </c>
      <c r="Y24" s="23">
        <v>5327.2</v>
      </c>
      <c r="Z24" s="23">
        <v>5097.3</v>
      </c>
      <c r="AA24" s="23">
        <v>6454.8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1141.5</v>
      </c>
      <c r="E25" s="23">
        <v>1252.5999999999999</v>
      </c>
      <c r="F25" s="23">
        <v>1318.1</v>
      </c>
      <c r="G25" s="23">
        <v>1349.4</v>
      </c>
      <c r="H25" s="23">
        <v>1425.3</v>
      </c>
      <c r="I25" s="23">
        <v>1518.9</v>
      </c>
      <c r="J25" s="23">
        <v>1562.2</v>
      </c>
      <c r="K25" s="23">
        <v>1624.2</v>
      </c>
      <c r="L25" s="23">
        <v>1663</v>
      </c>
      <c r="M25" s="23">
        <v>1564.4</v>
      </c>
      <c r="N25" s="23">
        <v>1752.6</v>
      </c>
      <c r="O25" s="23">
        <v>1757.5</v>
      </c>
      <c r="P25" s="23">
        <v>1750.3</v>
      </c>
      <c r="Q25" s="23">
        <v>1835.3</v>
      </c>
      <c r="R25" s="23">
        <v>1995.6</v>
      </c>
      <c r="S25" s="23">
        <v>2131.6</v>
      </c>
      <c r="T25" s="23">
        <v>2122.3000000000002</v>
      </c>
      <c r="U25" s="23">
        <v>2429.9</v>
      </c>
      <c r="V25" s="23">
        <v>2650.6</v>
      </c>
      <c r="W25" s="23">
        <v>2555</v>
      </c>
      <c r="X25" s="23">
        <v>3216.5</v>
      </c>
      <c r="Y25" s="23">
        <v>4100.3</v>
      </c>
      <c r="Z25" s="23">
        <v>4604.6000000000004</v>
      </c>
      <c r="AA25" s="23">
        <v>3243.7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588.1</v>
      </c>
      <c r="E26" s="23">
        <v>617</v>
      </c>
      <c r="F26" s="23">
        <v>640.4</v>
      </c>
      <c r="G26" s="23">
        <v>649.4</v>
      </c>
      <c r="H26" s="23">
        <v>532.9</v>
      </c>
      <c r="I26" s="23">
        <v>536</v>
      </c>
      <c r="J26" s="23">
        <v>562.20000000000005</v>
      </c>
      <c r="K26" s="23">
        <v>583.5</v>
      </c>
      <c r="L26" s="23">
        <v>612.4</v>
      </c>
      <c r="M26" s="23">
        <v>632.70000000000005</v>
      </c>
      <c r="N26" s="23">
        <v>664.2</v>
      </c>
      <c r="O26" s="23">
        <v>708</v>
      </c>
      <c r="P26" s="23">
        <v>745.1</v>
      </c>
      <c r="Q26" s="23">
        <v>771.3</v>
      </c>
      <c r="R26" s="23">
        <v>838.3</v>
      </c>
      <c r="S26" s="23">
        <v>885.1</v>
      </c>
      <c r="T26" s="23">
        <v>920.3</v>
      </c>
      <c r="U26" s="23">
        <v>958.6</v>
      </c>
      <c r="V26" s="23">
        <v>970</v>
      </c>
      <c r="W26" s="23">
        <v>1036.8</v>
      </c>
      <c r="X26" s="23">
        <v>634.5</v>
      </c>
      <c r="Y26" s="23">
        <v>684.6</v>
      </c>
      <c r="Z26" s="23">
        <v>1061.7</v>
      </c>
      <c r="AA26" s="23">
        <v>1273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1283.2</v>
      </c>
      <c r="E27" s="23">
        <v>1388</v>
      </c>
      <c r="F27" s="23">
        <v>1341</v>
      </c>
      <c r="G27" s="23">
        <v>1385.1</v>
      </c>
      <c r="H27" s="23">
        <v>1449.2</v>
      </c>
      <c r="I27" s="23">
        <v>1608.3</v>
      </c>
      <c r="J27" s="23">
        <v>1746.7</v>
      </c>
      <c r="K27" s="23">
        <v>2000.1</v>
      </c>
      <c r="L27" s="23">
        <v>2134.6</v>
      </c>
      <c r="M27" s="23">
        <v>2399.6</v>
      </c>
      <c r="N27" s="23">
        <v>2504.5</v>
      </c>
      <c r="O27" s="23">
        <v>2632.9</v>
      </c>
      <c r="P27" s="23">
        <v>2825.2</v>
      </c>
      <c r="Q27" s="23">
        <v>2650.6</v>
      </c>
      <c r="R27" s="23">
        <v>2795.4</v>
      </c>
      <c r="S27" s="23">
        <v>3049.6</v>
      </c>
      <c r="T27" s="23">
        <v>2885.2</v>
      </c>
      <c r="U27" s="23">
        <v>2988.1</v>
      </c>
      <c r="V27" s="23">
        <v>3134.6</v>
      </c>
      <c r="W27" s="23">
        <v>3271.6</v>
      </c>
      <c r="X27" s="23">
        <v>3347.1</v>
      </c>
      <c r="Y27" s="23">
        <v>3563.3</v>
      </c>
      <c r="Z27" s="23">
        <v>3751.4</v>
      </c>
      <c r="AA27" s="23">
        <v>5073.6000000000004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5202.7</v>
      </c>
      <c r="E28" s="23">
        <v>4932.1000000000004</v>
      </c>
      <c r="F28" s="23">
        <v>5022.1000000000004</v>
      </c>
      <c r="G28" s="23">
        <v>5293.3</v>
      </c>
      <c r="H28" s="23">
        <v>6010.7</v>
      </c>
      <c r="I28" s="23">
        <v>6968.5</v>
      </c>
      <c r="J28" s="23">
        <v>9148.7999999999993</v>
      </c>
      <c r="K28" s="23">
        <v>10018.1</v>
      </c>
      <c r="L28" s="23">
        <v>10629.6</v>
      </c>
      <c r="M28" s="23">
        <v>10022.5</v>
      </c>
      <c r="N28" s="23">
        <v>11358</v>
      </c>
      <c r="O28" s="23">
        <v>10799.2</v>
      </c>
      <c r="P28" s="23">
        <v>11972.8</v>
      </c>
      <c r="Q28" s="23">
        <v>12579.9</v>
      </c>
      <c r="R28" s="23">
        <v>13448</v>
      </c>
      <c r="S28" s="23">
        <v>14405.7</v>
      </c>
      <c r="T28" s="23">
        <v>13937.2</v>
      </c>
      <c r="U28" s="23">
        <v>14339.5</v>
      </c>
      <c r="V28" s="23">
        <v>14197.3</v>
      </c>
      <c r="W28" s="23">
        <v>14217.1</v>
      </c>
      <c r="X28" s="23">
        <v>14477.9</v>
      </c>
      <c r="Y28" s="23">
        <v>17451.7</v>
      </c>
      <c r="Z28" s="23">
        <v>18134</v>
      </c>
      <c r="AA28" s="23">
        <v>18984.599999999999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1908</v>
      </c>
      <c r="E29" s="23">
        <v>2139.3000000000002</v>
      </c>
      <c r="F29" s="23">
        <v>2234.3000000000002</v>
      </c>
      <c r="G29" s="23">
        <v>2363.8000000000002</v>
      </c>
      <c r="H29" s="23">
        <v>2358.5</v>
      </c>
      <c r="I29" s="23">
        <v>2618.4</v>
      </c>
      <c r="J29" s="23">
        <v>2740.3</v>
      </c>
      <c r="K29" s="23">
        <v>2926.5</v>
      </c>
      <c r="L29" s="23">
        <v>3031.8</v>
      </c>
      <c r="M29" s="23">
        <v>3058.4</v>
      </c>
      <c r="N29" s="23">
        <v>3229.5</v>
      </c>
      <c r="O29" s="23">
        <v>3352.4</v>
      </c>
      <c r="P29" s="23">
        <v>3431</v>
      </c>
      <c r="Q29" s="23">
        <v>3856.1</v>
      </c>
      <c r="R29" s="23">
        <v>4024.4</v>
      </c>
      <c r="S29" s="23">
        <v>4189.5</v>
      </c>
      <c r="T29" s="23">
        <v>4391.1000000000004</v>
      </c>
      <c r="U29" s="23">
        <v>4613.1000000000004</v>
      </c>
      <c r="V29" s="23">
        <v>4763.5</v>
      </c>
      <c r="W29" s="23">
        <v>4844.7</v>
      </c>
      <c r="X29" s="23">
        <v>4750.8</v>
      </c>
      <c r="Y29" s="23">
        <v>4960.3999999999996</v>
      </c>
      <c r="Z29" s="23">
        <v>4940.1000000000004</v>
      </c>
      <c r="AA29" s="23">
        <v>5708.6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991.2</v>
      </c>
      <c r="E30" s="23">
        <v>1117.5</v>
      </c>
      <c r="F30" s="23">
        <v>1292.9000000000001</v>
      </c>
      <c r="G30" s="23">
        <v>1280.9000000000001</v>
      </c>
      <c r="H30" s="23">
        <v>1448.5</v>
      </c>
      <c r="I30" s="23">
        <v>1425.9</v>
      </c>
      <c r="J30" s="23">
        <v>1724.8999999999999</v>
      </c>
      <c r="K30" s="23">
        <v>2048.8000000000002</v>
      </c>
      <c r="L30" s="23">
        <v>2423.9</v>
      </c>
      <c r="M30" s="23">
        <v>2588.1999999999998</v>
      </c>
      <c r="N30" s="23">
        <v>2701.4</v>
      </c>
      <c r="O30" s="23">
        <v>3039.7</v>
      </c>
      <c r="P30" s="23">
        <v>3116</v>
      </c>
      <c r="Q30" s="23">
        <v>3415.4000000000005</v>
      </c>
      <c r="R30" s="23">
        <v>3201.7999999999997</v>
      </c>
      <c r="S30" s="23">
        <v>3850.8999999999996</v>
      </c>
      <c r="T30" s="23">
        <v>4923.8999999999996</v>
      </c>
      <c r="U30" s="23">
        <v>5008.1000000000004</v>
      </c>
      <c r="V30" s="23">
        <v>5177.1000000000004</v>
      </c>
      <c r="W30" s="23">
        <v>5360</v>
      </c>
      <c r="X30" s="23">
        <v>6048.9</v>
      </c>
      <c r="Y30" s="23">
        <v>7301.8000000000011</v>
      </c>
      <c r="Z30" s="23">
        <v>8477.2999999999993</v>
      </c>
      <c r="AA30" s="23">
        <v>8364.6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490.8</v>
      </c>
      <c r="E31" s="23">
        <v>565.1</v>
      </c>
      <c r="F31" s="23">
        <v>581.9</v>
      </c>
      <c r="G31" s="23">
        <v>639</v>
      </c>
      <c r="H31" s="23">
        <v>731.1</v>
      </c>
      <c r="I31" s="23">
        <v>866.4</v>
      </c>
      <c r="J31" s="23">
        <v>922.8</v>
      </c>
      <c r="K31" s="23">
        <v>1088.7</v>
      </c>
      <c r="L31" s="23">
        <v>1222.0999999999999</v>
      </c>
      <c r="M31" s="23">
        <v>1176.3</v>
      </c>
      <c r="N31" s="23">
        <v>1156</v>
      </c>
      <c r="O31" s="23">
        <v>1140.3</v>
      </c>
      <c r="P31" s="23">
        <v>1208</v>
      </c>
      <c r="Q31" s="23">
        <v>1290.2</v>
      </c>
      <c r="R31" s="23">
        <v>1476.4</v>
      </c>
      <c r="S31" s="23">
        <v>1725.5</v>
      </c>
      <c r="T31" s="23">
        <v>1861.4</v>
      </c>
      <c r="U31" s="23">
        <v>2046.4</v>
      </c>
      <c r="V31" s="23">
        <v>2241</v>
      </c>
      <c r="W31" s="23">
        <v>2311.9</v>
      </c>
      <c r="X31" s="23">
        <v>2499.9</v>
      </c>
      <c r="Y31" s="23">
        <v>2589.9</v>
      </c>
      <c r="Z31" s="23">
        <v>2688.6</v>
      </c>
      <c r="AA31" s="23">
        <v>3127.9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1093.5999999999976</v>
      </c>
      <c r="E32" s="23">
        <v>1179.6000000000022</v>
      </c>
      <c r="F32" s="23">
        <v>1295.8000000000029</v>
      </c>
      <c r="G32" s="23">
        <v>1391.0999999999976</v>
      </c>
      <c r="H32" s="23">
        <v>1519.1999999999994</v>
      </c>
      <c r="I32" s="23">
        <v>1632.4999999999986</v>
      </c>
      <c r="J32" s="23">
        <v>1691.1000000000004</v>
      </c>
      <c r="K32" s="23">
        <v>1783.7000000000016</v>
      </c>
      <c r="L32" s="23">
        <v>1871.5000000000009</v>
      </c>
      <c r="M32" s="23">
        <v>2000.7999999999984</v>
      </c>
      <c r="N32" s="23">
        <v>2091.5999999999985</v>
      </c>
      <c r="O32" s="23">
        <v>2249.599999999994</v>
      </c>
      <c r="P32" s="23">
        <v>2367.1999999999925</v>
      </c>
      <c r="Q32" s="23">
        <v>2486.1999999999998</v>
      </c>
      <c r="R32" s="23">
        <v>2623.7999999999984</v>
      </c>
      <c r="S32" s="23">
        <v>2767.2000000000016</v>
      </c>
      <c r="T32" s="23">
        <v>2842.8999999999924</v>
      </c>
      <c r="U32" s="23">
        <v>3041.5000000000027</v>
      </c>
      <c r="V32" s="23">
        <v>3264.5000000000073</v>
      </c>
      <c r="W32" s="23">
        <v>3484.9999999999982</v>
      </c>
      <c r="X32" s="23">
        <v>3795.4000000000033</v>
      </c>
      <c r="Y32" s="23">
        <v>4078.099999999994</v>
      </c>
      <c r="Z32" s="23">
        <v>4540.2</v>
      </c>
      <c r="AA32" s="23">
        <v>5131.5999999999985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773.1</v>
      </c>
      <c r="E33" s="23">
        <v>827.8</v>
      </c>
      <c r="F33" s="23">
        <v>878.3</v>
      </c>
      <c r="G33" s="23">
        <v>944.5</v>
      </c>
      <c r="H33" s="23">
        <v>989.1</v>
      </c>
      <c r="I33" s="23">
        <v>1052</v>
      </c>
      <c r="J33" s="23">
        <v>1140.8</v>
      </c>
      <c r="K33" s="23">
        <v>1210.5</v>
      </c>
      <c r="L33" s="23">
        <v>1293.3</v>
      </c>
      <c r="M33" s="23">
        <v>1388.1</v>
      </c>
      <c r="N33" s="23">
        <v>1518.5</v>
      </c>
      <c r="O33" s="23">
        <v>1601.7</v>
      </c>
      <c r="P33" s="23">
        <v>1715</v>
      </c>
      <c r="Q33" s="23">
        <v>1779.8</v>
      </c>
      <c r="R33" s="23">
        <v>1872.5</v>
      </c>
      <c r="S33" s="23">
        <v>1951.2</v>
      </c>
      <c r="T33" s="23">
        <v>2003.8</v>
      </c>
      <c r="U33" s="23">
        <v>2115.5</v>
      </c>
      <c r="V33" s="23">
        <v>2279.5</v>
      </c>
      <c r="W33" s="23">
        <v>2424.3000000000002</v>
      </c>
      <c r="X33" s="23">
        <v>2640.9</v>
      </c>
      <c r="Y33" s="23">
        <v>2798.7</v>
      </c>
      <c r="Z33" s="23">
        <v>3018</v>
      </c>
      <c r="AA33" s="23">
        <v>3305.6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900.7</v>
      </c>
      <c r="E34" s="23">
        <v>1006.2</v>
      </c>
      <c r="F34" s="23">
        <v>1138.2</v>
      </c>
      <c r="G34" s="23">
        <v>1246.8</v>
      </c>
      <c r="H34" s="23">
        <v>1423</v>
      </c>
      <c r="I34" s="23">
        <v>1473.6</v>
      </c>
      <c r="J34" s="23">
        <v>1568.1</v>
      </c>
      <c r="K34" s="23">
        <v>1654.7</v>
      </c>
      <c r="L34" s="23">
        <v>1784.4</v>
      </c>
      <c r="M34" s="23">
        <v>1968.2</v>
      </c>
      <c r="N34" s="23">
        <v>2082.5</v>
      </c>
      <c r="O34" s="23">
        <v>2203.1</v>
      </c>
      <c r="P34" s="23">
        <v>2366.8000000000002</v>
      </c>
      <c r="Q34" s="23">
        <v>2596.5</v>
      </c>
      <c r="R34" s="23">
        <v>2689.8</v>
      </c>
      <c r="S34" s="23">
        <v>2765</v>
      </c>
      <c r="T34" s="23">
        <v>2851.3</v>
      </c>
      <c r="U34" s="23">
        <v>3099.8</v>
      </c>
      <c r="V34" s="23">
        <v>3375.5</v>
      </c>
      <c r="W34" s="23">
        <v>3672.8</v>
      </c>
      <c r="X34" s="23">
        <v>3941.5</v>
      </c>
      <c r="Y34" s="23">
        <v>4404.1000000000004</v>
      </c>
      <c r="Z34" s="23">
        <v>4704.3</v>
      </c>
      <c r="AA34" s="23">
        <v>5133.3999999999996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115.80000000000001</v>
      </c>
      <c r="E35" s="23">
        <v>122.80000000000001</v>
      </c>
      <c r="F35" s="23">
        <v>134.40000000000003</v>
      </c>
      <c r="G35" s="23">
        <v>144.10000000000002</v>
      </c>
      <c r="H35" s="23">
        <v>154.69999999999999</v>
      </c>
      <c r="I35" s="23">
        <v>179.90000000000003</v>
      </c>
      <c r="J35" s="23">
        <v>200.30000000000007</v>
      </c>
      <c r="K35" s="23">
        <v>211.79999999999995</v>
      </c>
      <c r="L35" s="23">
        <v>223.89999999999998</v>
      </c>
      <c r="M35" s="23">
        <v>250</v>
      </c>
      <c r="N35" s="23">
        <v>261.8</v>
      </c>
      <c r="O35" s="23">
        <v>268.09999999999997</v>
      </c>
      <c r="P35" s="23">
        <v>288.79999999999995</v>
      </c>
      <c r="Q35" s="23">
        <v>310.2</v>
      </c>
      <c r="R35" s="23">
        <v>310.59999999999991</v>
      </c>
      <c r="S35" s="23">
        <v>329.5</v>
      </c>
      <c r="T35" s="23">
        <v>321.09999999999991</v>
      </c>
      <c r="U35" s="23">
        <v>344.5</v>
      </c>
      <c r="V35" s="23">
        <v>346.1</v>
      </c>
      <c r="W35" s="23">
        <v>388.70000000000005</v>
      </c>
      <c r="X35" s="23">
        <v>381.40000000000009</v>
      </c>
      <c r="Y35" s="23">
        <v>422.29999999999995</v>
      </c>
      <c r="Z35" s="23">
        <v>479.79999999999995</v>
      </c>
      <c r="AA35" s="23">
        <v>527.29999999999995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175.2</v>
      </c>
      <c r="E36" s="23">
        <v>179</v>
      </c>
      <c r="F36" s="23">
        <v>188</v>
      </c>
      <c r="G36" s="23">
        <v>198.3</v>
      </c>
      <c r="H36" s="23">
        <v>220.6</v>
      </c>
      <c r="I36" s="23">
        <v>244.8</v>
      </c>
      <c r="J36" s="23">
        <v>254.6</v>
      </c>
      <c r="K36" s="23">
        <v>264.8</v>
      </c>
      <c r="L36" s="23">
        <v>283.39999999999998</v>
      </c>
      <c r="M36" s="23">
        <v>314.5</v>
      </c>
      <c r="N36" s="23">
        <v>328.6</v>
      </c>
      <c r="O36" s="23">
        <v>342.9</v>
      </c>
      <c r="P36" s="23">
        <v>356.4</v>
      </c>
      <c r="Q36" s="23">
        <v>367.8</v>
      </c>
      <c r="R36" s="23">
        <v>375.3</v>
      </c>
      <c r="S36" s="23">
        <v>389.8</v>
      </c>
      <c r="T36" s="23">
        <v>409.4</v>
      </c>
      <c r="U36" s="23">
        <v>423.5</v>
      </c>
      <c r="V36" s="23">
        <v>427.3</v>
      </c>
      <c r="W36" s="23">
        <v>447.3</v>
      </c>
      <c r="X36" s="23">
        <v>433.8</v>
      </c>
      <c r="Y36" s="23">
        <v>552.9</v>
      </c>
      <c r="Z36" s="23">
        <v>588</v>
      </c>
      <c r="AA36" s="23">
        <v>681.2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78.2</v>
      </c>
      <c r="E37" s="23">
        <v>82.2</v>
      </c>
      <c r="F37" s="23">
        <v>86.2</v>
      </c>
      <c r="G37" s="23">
        <v>90.7</v>
      </c>
      <c r="H37" s="23">
        <v>94.9</v>
      </c>
      <c r="I37" s="23">
        <v>99.5</v>
      </c>
      <c r="J37" s="23">
        <v>111.3</v>
      </c>
      <c r="K37" s="23">
        <v>107.7</v>
      </c>
      <c r="L37" s="23">
        <v>110.6</v>
      </c>
      <c r="M37" s="23">
        <v>114.9</v>
      </c>
      <c r="N37" s="23">
        <v>113.8</v>
      </c>
      <c r="O37" s="23">
        <v>122.3</v>
      </c>
      <c r="P37" s="23">
        <v>120.1</v>
      </c>
      <c r="Q37" s="23">
        <v>128.5</v>
      </c>
      <c r="R37" s="23">
        <v>128.9</v>
      </c>
      <c r="S37" s="23">
        <v>131.9</v>
      </c>
      <c r="T37" s="23">
        <v>136.30000000000001</v>
      </c>
      <c r="U37" s="23">
        <v>144</v>
      </c>
      <c r="V37" s="23">
        <v>148.19999999999999</v>
      </c>
      <c r="W37" s="23">
        <v>154.69999999999999</v>
      </c>
      <c r="X37" s="23">
        <v>154</v>
      </c>
      <c r="Y37" s="23">
        <v>160.1</v>
      </c>
      <c r="Z37" s="23">
        <v>166</v>
      </c>
      <c r="AA37" s="23">
        <v>172.5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20502.099999999999</v>
      </c>
      <c r="E39" s="30">
        <f t="shared" ref="E39:Y39" si="2">SUM(E18:E38)</f>
        <v>21424.2</v>
      </c>
      <c r="F39" s="30">
        <f t="shared" si="2"/>
        <v>22423.900000000009</v>
      </c>
      <c r="G39" s="30">
        <f t="shared" si="2"/>
        <v>23474.6</v>
      </c>
      <c r="H39" s="30">
        <f t="shared" si="2"/>
        <v>25053.3</v>
      </c>
      <c r="I39" s="30">
        <f t="shared" si="2"/>
        <v>26894.000000000004</v>
      </c>
      <c r="J39" s="30">
        <f t="shared" si="2"/>
        <v>30683.899999999998</v>
      </c>
      <c r="K39" s="30">
        <f t="shared" si="2"/>
        <v>33658.400000000009</v>
      </c>
      <c r="L39" s="30">
        <f t="shared" si="2"/>
        <v>35998.300000000003</v>
      </c>
      <c r="M39" s="30">
        <f t="shared" si="2"/>
        <v>35116.9</v>
      </c>
      <c r="N39" s="30">
        <f t="shared" si="2"/>
        <v>38235.9</v>
      </c>
      <c r="O39" s="30">
        <f t="shared" si="2"/>
        <v>39801.099999999991</v>
      </c>
      <c r="P39" s="30">
        <f t="shared" si="2"/>
        <v>41682.69999999999</v>
      </c>
      <c r="Q39" s="30">
        <f t="shared" si="2"/>
        <v>44019.399999999994</v>
      </c>
      <c r="R39" s="30">
        <f t="shared" si="2"/>
        <v>46255.000000000007</v>
      </c>
      <c r="S39" s="30">
        <f t="shared" si="2"/>
        <v>49537.30000000001</v>
      </c>
      <c r="T39" s="30">
        <f t="shared" si="2"/>
        <v>51386.200000000004</v>
      </c>
      <c r="U39" s="30">
        <f t="shared" si="2"/>
        <v>53011.5</v>
      </c>
      <c r="V39" s="30">
        <f t="shared" si="2"/>
        <v>54533.1</v>
      </c>
      <c r="W39" s="30">
        <f t="shared" si="2"/>
        <v>56495.199999999997</v>
      </c>
      <c r="X39" s="30">
        <f t="shared" si="2"/>
        <v>58593.30000000001</v>
      </c>
      <c r="Y39" s="30">
        <f t="shared" si="2"/>
        <v>66274.099999999991</v>
      </c>
      <c r="Z39" s="30">
        <f t="shared" ref="Z39:AA39" si="3">SUM(Z18:Z38)</f>
        <v>69430.299999999988</v>
      </c>
      <c r="AA39" s="30">
        <f t="shared" si="3"/>
        <v>74961.7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195</v>
      </c>
      <c r="E41" s="19">
        <v>196</v>
      </c>
      <c r="F41" s="19">
        <v>205.1</v>
      </c>
      <c r="G41" s="19">
        <v>222.3</v>
      </c>
      <c r="H41" s="19">
        <v>235.8</v>
      </c>
      <c r="I41" s="19">
        <v>256.60000000000002</v>
      </c>
      <c r="J41" s="19">
        <v>243.3</v>
      </c>
      <c r="K41" s="19">
        <v>254.3</v>
      </c>
      <c r="L41" s="19">
        <v>228.6</v>
      </c>
      <c r="M41" s="19">
        <v>272.8</v>
      </c>
      <c r="N41" s="19">
        <v>284.10000000000002</v>
      </c>
      <c r="O41" s="19">
        <v>249.6</v>
      </c>
      <c r="P41" s="19">
        <v>258.39999999999998</v>
      </c>
      <c r="Q41" s="19">
        <v>263.2</v>
      </c>
      <c r="R41" s="19">
        <v>272.10000000000002</v>
      </c>
      <c r="S41" s="19">
        <v>285.60000000000002</v>
      </c>
      <c r="T41" s="19">
        <v>288.39999999999998</v>
      </c>
      <c r="U41" s="19">
        <v>277.39999999999998</v>
      </c>
      <c r="V41" s="19">
        <v>281.89999999999998</v>
      </c>
      <c r="W41" s="19">
        <v>297.23635724096346</v>
      </c>
      <c r="X41" s="19">
        <v>300.05054102040134</v>
      </c>
      <c r="Y41" s="19">
        <v>320.40143378781283</v>
      </c>
      <c r="Z41" s="19">
        <v>283.49596328431204</v>
      </c>
      <c r="AA41" s="19">
        <v>314.168677766239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159.30000000000001</v>
      </c>
      <c r="E42" s="23">
        <v>158.6</v>
      </c>
      <c r="F42" s="23">
        <v>164.6</v>
      </c>
      <c r="G42" s="23">
        <v>176.4</v>
      </c>
      <c r="H42" s="23">
        <v>207.1</v>
      </c>
      <c r="I42" s="23">
        <v>194.8</v>
      </c>
      <c r="J42" s="23">
        <v>189.5</v>
      </c>
      <c r="K42" s="23">
        <v>197.6</v>
      </c>
      <c r="L42" s="23">
        <v>129.9</v>
      </c>
      <c r="M42" s="23">
        <v>112.2</v>
      </c>
      <c r="N42" s="23">
        <v>173.6</v>
      </c>
      <c r="O42" s="23">
        <v>168.9</v>
      </c>
      <c r="P42" s="23">
        <v>141.30000000000001</v>
      </c>
      <c r="Q42" s="23">
        <v>145.19999999999999</v>
      </c>
      <c r="R42" s="23">
        <v>138.5</v>
      </c>
      <c r="S42" s="23">
        <v>185</v>
      </c>
      <c r="T42" s="23">
        <v>224.1</v>
      </c>
      <c r="U42" s="23">
        <v>235.8</v>
      </c>
      <c r="V42" s="23">
        <v>234.2</v>
      </c>
      <c r="W42" s="23">
        <v>263.8</v>
      </c>
      <c r="X42" s="23">
        <v>290.2</v>
      </c>
      <c r="Y42" s="23">
        <v>289.10000000000002</v>
      </c>
      <c r="Z42" s="23">
        <v>299.3</v>
      </c>
      <c r="AA42" s="23">
        <v>290.7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137.69999999999999</v>
      </c>
      <c r="E43" s="23">
        <v>135.19999999999999</v>
      </c>
      <c r="F43" s="23">
        <v>156.1</v>
      </c>
      <c r="G43" s="23">
        <v>167.5</v>
      </c>
      <c r="H43" s="23">
        <v>169.7</v>
      </c>
      <c r="I43" s="23">
        <v>159.5</v>
      </c>
      <c r="J43" s="23">
        <v>148.19999999999999</v>
      </c>
      <c r="K43" s="23">
        <v>138.69999999999999</v>
      </c>
      <c r="L43" s="23">
        <v>127.6</v>
      </c>
      <c r="M43" s="23">
        <v>122</v>
      </c>
      <c r="N43" s="23">
        <v>129.5</v>
      </c>
      <c r="O43" s="23">
        <v>120.5</v>
      </c>
      <c r="P43" s="23">
        <v>115.9</v>
      </c>
      <c r="Q43" s="23">
        <v>105.6</v>
      </c>
      <c r="R43" s="23">
        <v>113.9</v>
      </c>
      <c r="S43" s="23">
        <v>108.3</v>
      </c>
      <c r="T43" s="23">
        <v>107.1</v>
      </c>
      <c r="U43" s="23">
        <v>113.4</v>
      </c>
      <c r="V43" s="23">
        <v>110.3</v>
      </c>
      <c r="W43" s="23">
        <v>116.30071019396335</v>
      </c>
      <c r="X43" s="23">
        <v>117.40182573448128</v>
      </c>
      <c r="Y43" s="23">
        <v>125.36459080097821</v>
      </c>
      <c r="Z43" s="23">
        <v>110.92445814210578</v>
      </c>
      <c r="AA43" s="23">
        <v>122.92587853003251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74.900000000000006</v>
      </c>
      <c r="E45" s="23">
        <v>74.099999999999994</v>
      </c>
      <c r="F45" s="23">
        <v>90.1</v>
      </c>
      <c r="G45" s="23">
        <v>102.5</v>
      </c>
      <c r="H45" s="23">
        <v>103.6</v>
      </c>
      <c r="I45" s="23">
        <v>82.7</v>
      </c>
      <c r="J45" s="23">
        <v>78.599999999999994</v>
      </c>
      <c r="K45" s="23">
        <v>65.2</v>
      </c>
      <c r="L45" s="23">
        <v>98.9</v>
      </c>
      <c r="M45" s="23">
        <v>76.400000000000006</v>
      </c>
      <c r="N45" s="23">
        <v>80.400000000000006</v>
      </c>
      <c r="O45" s="23">
        <v>88.4</v>
      </c>
      <c r="P45" s="23">
        <v>73.099999999999994</v>
      </c>
      <c r="Q45" s="23">
        <v>86.6</v>
      </c>
      <c r="R45" s="23">
        <v>101.2</v>
      </c>
      <c r="S45" s="23">
        <v>104.4</v>
      </c>
      <c r="T45" s="23">
        <v>103.5</v>
      </c>
      <c r="U45" s="23">
        <v>109.9</v>
      </c>
      <c r="V45" s="23">
        <v>103.7</v>
      </c>
      <c r="W45" s="23">
        <v>99.5</v>
      </c>
      <c r="X45" s="23">
        <v>137.6</v>
      </c>
      <c r="Y45" s="23">
        <v>164.1</v>
      </c>
      <c r="Z45" s="23">
        <v>122.3</v>
      </c>
      <c r="AA45" s="23">
        <v>120.9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76.688935883014651</v>
      </c>
      <c r="E46" s="23">
        <v>76.508771929824562</v>
      </c>
      <c r="F46" s="23">
        <v>94.795531687357609</v>
      </c>
      <c r="G46" s="23">
        <v>106.64395747450639</v>
      </c>
      <c r="H46" s="23">
        <v>105.50732957674872</v>
      </c>
      <c r="I46" s="23">
        <v>84.095050836064203</v>
      </c>
      <c r="J46" s="23">
        <v>79.176660593009785</v>
      </c>
      <c r="K46" s="23">
        <v>80.541300963799543</v>
      </c>
      <c r="L46" s="23">
        <v>99.264850999622823</v>
      </c>
      <c r="M46" s="23">
        <v>77.087576374745424</v>
      </c>
      <c r="N46" s="23">
        <v>78.592535612535613</v>
      </c>
      <c r="O46" s="23">
        <v>86.712441985842204</v>
      </c>
      <c r="P46" s="23">
        <v>72.394178635974498</v>
      </c>
      <c r="Q46" s="23">
        <v>83.762644715411369</v>
      </c>
      <c r="R46" s="23">
        <v>125.45515105356694</v>
      </c>
      <c r="S46" s="23">
        <v>130.20477414007462</v>
      </c>
      <c r="T46" s="23">
        <v>117.24580047994516</v>
      </c>
      <c r="U46" s="23">
        <v>107.01900108959262</v>
      </c>
      <c r="V46" s="23">
        <v>119.4503885003885</v>
      </c>
      <c r="W46" s="23">
        <v>125.94891219891221</v>
      </c>
      <c r="X46" s="23">
        <v>127.14137529137531</v>
      </c>
      <c r="Y46" s="23">
        <v>135.76472416472419</v>
      </c>
      <c r="Z46" s="23">
        <v>120.12665112665111</v>
      </c>
      <c r="AA46" s="23">
        <v>133.12369852369855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592.5</v>
      </c>
      <c r="E47" s="23">
        <v>550</v>
      </c>
      <c r="F47" s="23">
        <v>564.70000000000005</v>
      </c>
      <c r="G47" s="23">
        <v>557.9</v>
      </c>
      <c r="H47" s="23">
        <v>511</v>
      </c>
      <c r="I47" s="23">
        <v>510.1</v>
      </c>
      <c r="J47" s="23">
        <v>547.6</v>
      </c>
      <c r="K47" s="23">
        <v>601.79999999999995</v>
      </c>
      <c r="L47" s="23">
        <v>520.5</v>
      </c>
      <c r="M47" s="23">
        <v>432.7</v>
      </c>
      <c r="N47" s="23">
        <v>489.2</v>
      </c>
      <c r="O47" s="23">
        <v>456.1</v>
      </c>
      <c r="P47" s="23">
        <v>407.9</v>
      </c>
      <c r="Q47" s="23">
        <v>564.9</v>
      </c>
      <c r="R47" s="23">
        <v>619.70000000000005</v>
      </c>
      <c r="S47" s="23">
        <v>698.6</v>
      </c>
      <c r="T47" s="23">
        <v>741.2</v>
      </c>
      <c r="U47" s="23">
        <v>569.70000000000005</v>
      </c>
      <c r="V47" s="23">
        <v>660.2</v>
      </c>
      <c r="W47" s="23">
        <v>696.11721550366838</v>
      </c>
      <c r="X47" s="23">
        <v>702.70793608254348</v>
      </c>
      <c r="Y47" s="23">
        <v>750.36901946333478</v>
      </c>
      <c r="Z47" s="23">
        <v>663.93769052963046</v>
      </c>
      <c r="AA47" s="23">
        <v>735.77212153696712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660.9</v>
      </c>
      <c r="E48" s="23">
        <v>641.5</v>
      </c>
      <c r="F48" s="23">
        <v>562.29999999999995</v>
      </c>
      <c r="G48" s="23">
        <v>658.9</v>
      </c>
      <c r="H48" s="23">
        <v>689.4</v>
      </c>
      <c r="I48" s="23">
        <v>717.8</v>
      </c>
      <c r="J48" s="23">
        <v>675.1</v>
      </c>
      <c r="K48" s="23">
        <v>1162.4000000000001</v>
      </c>
      <c r="L48" s="23">
        <v>1037.0999999999999</v>
      </c>
      <c r="M48" s="23">
        <v>311</v>
      </c>
      <c r="N48" s="23">
        <v>430.8</v>
      </c>
      <c r="O48" s="23">
        <v>510.9</v>
      </c>
      <c r="P48" s="23">
        <v>546.1</v>
      </c>
      <c r="Q48" s="23">
        <v>519.6</v>
      </c>
      <c r="R48" s="23">
        <v>140.30000000000001</v>
      </c>
      <c r="S48" s="23">
        <v>416.3</v>
      </c>
      <c r="T48" s="23">
        <v>840.3</v>
      </c>
      <c r="U48" s="23">
        <v>880.8</v>
      </c>
      <c r="V48" s="23">
        <v>1017.3</v>
      </c>
      <c r="W48" s="23">
        <v>1072.6447187698905</v>
      </c>
      <c r="X48" s="23">
        <v>1082.8003383471241</v>
      </c>
      <c r="Y48" s="23">
        <v>1156.2411443502731</v>
      </c>
      <c r="Z48" s="23">
        <v>1023.0593949951424</v>
      </c>
      <c r="AA48" s="23">
        <v>1133.7488325349236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273.71106411698531</v>
      </c>
      <c r="E49" s="23">
        <v>296.29122807017529</v>
      </c>
      <c r="F49" s="23">
        <v>294.80446831264248</v>
      </c>
      <c r="G49" s="23">
        <v>273.75604252549346</v>
      </c>
      <c r="H49" s="23">
        <v>255.79267042325139</v>
      </c>
      <c r="I49" s="23">
        <v>280.00494916393575</v>
      </c>
      <c r="J49" s="23">
        <v>364.72333940699025</v>
      </c>
      <c r="K49" s="23">
        <v>354.05869903620021</v>
      </c>
      <c r="L49" s="23">
        <v>305.53514900037794</v>
      </c>
      <c r="M49" s="23">
        <v>321.8124236252545</v>
      </c>
      <c r="N49" s="23">
        <v>334.50746438746444</v>
      </c>
      <c r="O49" s="23">
        <v>372.58755801415782</v>
      </c>
      <c r="P49" s="23">
        <v>398.30582136402563</v>
      </c>
      <c r="Q49" s="23">
        <v>358.93735528458853</v>
      </c>
      <c r="R49" s="23">
        <v>814.84484894643322</v>
      </c>
      <c r="S49" s="23">
        <v>923.69522585992547</v>
      </c>
      <c r="T49" s="23">
        <v>704.35419952005429</v>
      </c>
      <c r="U49" s="23">
        <v>344.38099891040667</v>
      </c>
      <c r="V49" s="23">
        <v>321.04961149961179</v>
      </c>
      <c r="W49" s="23">
        <v>331.49880144552162</v>
      </c>
      <c r="X49" s="23">
        <v>273.57703950209907</v>
      </c>
      <c r="Y49" s="23">
        <v>295.74785497835262</v>
      </c>
      <c r="Z49" s="23">
        <v>241.08022301491917</v>
      </c>
      <c r="AA49" s="23">
        <v>322.77860290673959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10.199999999999999</v>
      </c>
      <c r="E52" s="23">
        <v>10.4</v>
      </c>
      <c r="F52" s="23">
        <v>10.5</v>
      </c>
      <c r="G52" s="23">
        <v>16.7</v>
      </c>
      <c r="H52" s="23">
        <v>20.5</v>
      </c>
      <c r="I52" s="23">
        <v>24.4</v>
      </c>
      <c r="J52" s="23">
        <v>27.2</v>
      </c>
      <c r="K52" s="23">
        <v>50.8</v>
      </c>
      <c r="L52" s="23">
        <v>48.2</v>
      </c>
      <c r="M52" s="23">
        <v>24.7</v>
      </c>
      <c r="N52" s="23">
        <v>32.200000000000003</v>
      </c>
      <c r="O52" s="23">
        <v>36.4</v>
      </c>
      <c r="P52" s="23">
        <v>38.5</v>
      </c>
      <c r="Q52" s="23">
        <v>40</v>
      </c>
      <c r="R52" s="23">
        <v>40.200000000000003</v>
      </c>
      <c r="S52" s="23">
        <v>39.4</v>
      </c>
      <c r="T52" s="23">
        <v>43.7</v>
      </c>
      <c r="U52" s="23">
        <v>44.4</v>
      </c>
      <c r="V52" s="23">
        <v>40.9</v>
      </c>
      <c r="W52" s="23">
        <v>43.125104686610165</v>
      </c>
      <c r="X52" s="23">
        <v>43.533405916049716</v>
      </c>
      <c r="Y52" s="23">
        <v>46.486054068540426</v>
      </c>
      <c r="Z52" s="23">
        <v>41.131553381796252</v>
      </c>
      <c r="AA52" s="23">
        <v>45.581762755016591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35.500000000000455</v>
      </c>
      <c r="E53" s="23">
        <v>41.900000000000091</v>
      </c>
      <c r="F53" s="23">
        <v>37.5</v>
      </c>
      <c r="G53" s="23">
        <v>35.900000000000546</v>
      </c>
      <c r="H53" s="23">
        <v>39.900000000000091</v>
      </c>
      <c r="I53" s="23">
        <v>61.599999999999909</v>
      </c>
      <c r="J53" s="23">
        <v>66.799999999999727</v>
      </c>
      <c r="K53" s="23">
        <v>93.099999999999909</v>
      </c>
      <c r="L53" s="23">
        <v>78.699999999999818</v>
      </c>
      <c r="M53" s="23">
        <v>66.099999999999909</v>
      </c>
      <c r="N53" s="23">
        <v>72.900000000000318</v>
      </c>
      <c r="O53" s="23">
        <v>68.199999999999818</v>
      </c>
      <c r="P53" s="23">
        <v>68.099999999999909</v>
      </c>
      <c r="Q53" s="23">
        <v>68.199999999999818</v>
      </c>
      <c r="R53" s="23">
        <v>82.599999999999909</v>
      </c>
      <c r="S53" s="23">
        <v>75.300000000000182</v>
      </c>
      <c r="T53" s="23">
        <v>87.300000000000637</v>
      </c>
      <c r="U53" s="23">
        <v>95.300000000000637</v>
      </c>
      <c r="V53" s="23">
        <v>96.099999999999909</v>
      </c>
      <c r="W53" s="23">
        <v>101.32817996047061</v>
      </c>
      <c r="X53" s="23">
        <v>102.28753810592616</v>
      </c>
      <c r="Y53" s="23">
        <v>109.22517838598378</v>
      </c>
      <c r="Z53" s="23">
        <v>96.644065525442784</v>
      </c>
      <c r="AA53" s="23">
        <v>107.10042544638327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2216.4</v>
      </c>
      <c r="E54" s="30">
        <f t="shared" ref="E54:Y54" si="4">SUM(E41:E53)</f>
        <v>2180.5</v>
      </c>
      <c r="F54" s="30">
        <f t="shared" si="4"/>
        <v>2180.5</v>
      </c>
      <c r="G54" s="30">
        <f t="shared" si="4"/>
        <v>2318.5</v>
      </c>
      <c r="H54" s="30">
        <f t="shared" si="4"/>
        <v>2338.3000000000002</v>
      </c>
      <c r="I54" s="30">
        <f t="shared" si="4"/>
        <v>2371.6</v>
      </c>
      <c r="J54" s="30">
        <f t="shared" si="4"/>
        <v>2420.1999999999998</v>
      </c>
      <c r="K54" s="30">
        <f t="shared" si="4"/>
        <v>2998.5</v>
      </c>
      <c r="L54" s="30">
        <f t="shared" si="4"/>
        <v>2674.3</v>
      </c>
      <c r="M54" s="30">
        <f t="shared" si="4"/>
        <v>1816.8</v>
      </c>
      <c r="N54" s="30">
        <f t="shared" si="4"/>
        <v>2105.8000000000002</v>
      </c>
      <c r="O54" s="30">
        <f t="shared" si="4"/>
        <v>2158.3000000000002</v>
      </c>
      <c r="P54" s="30">
        <f t="shared" si="4"/>
        <v>2120</v>
      </c>
      <c r="Q54" s="30">
        <f t="shared" si="4"/>
        <v>2236</v>
      </c>
      <c r="R54" s="30">
        <f t="shared" si="4"/>
        <v>2448.8000000000002</v>
      </c>
      <c r="S54" s="30">
        <f t="shared" si="4"/>
        <v>2966.8</v>
      </c>
      <c r="T54" s="30">
        <f t="shared" si="4"/>
        <v>3257.2</v>
      </c>
      <c r="U54" s="30">
        <f t="shared" si="4"/>
        <v>2778.1</v>
      </c>
      <c r="V54" s="30">
        <f t="shared" si="4"/>
        <v>2985.1</v>
      </c>
      <c r="W54" s="30">
        <f t="shared" si="4"/>
        <v>3147.5</v>
      </c>
      <c r="X54" s="30">
        <f t="shared" si="4"/>
        <v>3177.3</v>
      </c>
      <c r="Y54" s="30">
        <f t="shared" si="4"/>
        <v>3392.8</v>
      </c>
      <c r="Z54" s="30">
        <f t="shared" ref="Z54:AA54" si="5">SUM(Z41:Z53)</f>
        <v>3002</v>
      </c>
      <c r="AA54" s="30">
        <f t="shared" si="5"/>
        <v>3326.8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195</v>
      </c>
      <c r="E56" s="19">
        <v>196</v>
      </c>
      <c r="F56" s="19">
        <v>205.1</v>
      </c>
      <c r="G56" s="19">
        <v>222.3</v>
      </c>
      <c r="H56" s="19">
        <v>235.8</v>
      </c>
      <c r="I56" s="19">
        <v>256.60000000000002</v>
      </c>
      <c r="J56" s="19">
        <v>243.3</v>
      </c>
      <c r="K56" s="19">
        <v>254.3</v>
      </c>
      <c r="L56" s="19">
        <v>228.6</v>
      </c>
      <c r="M56" s="19">
        <v>272.8</v>
      </c>
      <c r="N56" s="19">
        <v>284.10000000000002</v>
      </c>
      <c r="O56" s="19">
        <v>249.6</v>
      </c>
      <c r="P56" s="19">
        <v>258.39999999999998</v>
      </c>
      <c r="Q56" s="19">
        <v>263.2</v>
      </c>
      <c r="R56" s="19">
        <v>272.10000000000002</v>
      </c>
      <c r="S56" s="19">
        <v>285.60000000000002</v>
      </c>
      <c r="T56" s="19">
        <v>288.39999999999998</v>
      </c>
      <c r="U56" s="19">
        <v>277.39999999999998</v>
      </c>
      <c r="V56" s="19">
        <v>281.89999999999998</v>
      </c>
      <c r="W56" s="19">
        <v>297.23635724096346</v>
      </c>
      <c r="X56" s="19">
        <v>300.05054102040134</v>
      </c>
      <c r="Y56" s="19">
        <v>320.40143378781283</v>
      </c>
      <c r="Z56" s="19">
        <v>283.49596328431204</v>
      </c>
      <c r="AA56" s="19">
        <v>314.168677766239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159.30000000000001</v>
      </c>
      <c r="E57" s="23">
        <v>158.6</v>
      </c>
      <c r="F57" s="23">
        <v>164.6</v>
      </c>
      <c r="G57" s="23">
        <v>176.4</v>
      </c>
      <c r="H57" s="23">
        <v>207.1</v>
      </c>
      <c r="I57" s="23">
        <v>194.8</v>
      </c>
      <c r="J57" s="23">
        <v>189.5</v>
      </c>
      <c r="K57" s="23">
        <v>197.6</v>
      </c>
      <c r="L57" s="23">
        <v>129.9</v>
      </c>
      <c r="M57" s="23">
        <v>112.2</v>
      </c>
      <c r="N57" s="23">
        <v>173.6</v>
      </c>
      <c r="O57" s="23">
        <v>168.9</v>
      </c>
      <c r="P57" s="23">
        <v>141.30000000000001</v>
      </c>
      <c r="Q57" s="23">
        <v>145.19999999999999</v>
      </c>
      <c r="R57" s="23">
        <v>138.5</v>
      </c>
      <c r="S57" s="23">
        <v>185</v>
      </c>
      <c r="T57" s="23">
        <v>224.1</v>
      </c>
      <c r="U57" s="23">
        <v>235.8</v>
      </c>
      <c r="V57" s="23">
        <v>234.2</v>
      </c>
      <c r="W57" s="23">
        <v>263.8</v>
      </c>
      <c r="X57" s="23">
        <v>290.2</v>
      </c>
      <c r="Y57" s="23">
        <v>289.10000000000002</v>
      </c>
      <c r="Z57" s="23">
        <v>299.3</v>
      </c>
      <c r="AA57" s="23">
        <v>290.7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37.6</v>
      </c>
      <c r="E58" s="23">
        <v>33.700000000000003</v>
      </c>
      <c r="F58" s="23">
        <v>39.4</v>
      </c>
      <c r="G58" s="23">
        <v>38.6</v>
      </c>
      <c r="H58" s="23">
        <v>48.3</v>
      </c>
      <c r="I58" s="23">
        <v>44.8</v>
      </c>
      <c r="J58" s="23">
        <v>41.6</v>
      </c>
      <c r="K58" s="23">
        <v>41.7</v>
      </c>
      <c r="L58" s="23">
        <v>37.9</v>
      </c>
      <c r="M58" s="23">
        <v>33.4</v>
      </c>
      <c r="N58" s="23">
        <v>48.3</v>
      </c>
      <c r="O58" s="23">
        <v>45.1</v>
      </c>
      <c r="P58" s="23">
        <v>43.4</v>
      </c>
      <c r="Q58" s="23">
        <v>39.9</v>
      </c>
      <c r="R58" s="23">
        <v>37.799999999999997</v>
      </c>
      <c r="S58" s="23">
        <v>32.4</v>
      </c>
      <c r="T58" s="23">
        <v>32.040997229916897</v>
      </c>
      <c r="U58" s="23">
        <v>33.925761772853186</v>
      </c>
      <c r="V58" s="23">
        <v>32.998337950138506</v>
      </c>
      <c r="W58" s="23">
        <v>34.793564268554135</v>
      </c>
      <c r="X58" s="23">
        <v>35.122983876243701</v>
      </c>
      <c r="Y58" s="23">
        <v>37.505196139904832</v>
      </c>
      <c r="Z58" s="23">
        <v>33.185156452485934</v>
      </c>
      <c r="AA58" s="23">
        <v>36.7756090893172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100.1</v>
      </c>
      <c r="E60" s="23">
        <v>101.49999999999999</v>
      </c>
      <c r="F60" s="23">
        <v>116.69999999999999</v>
      </c>
      <c r="G60" s="23">
        <v>128.9</v>
      </c>
      <c r="H60" s="23">
        <v>121.39999999999999</v>
      </c>
      <c r="I60" s="23">
        <v>114.7</v>
      </c>
      <c r="J60" s="23">
        <v>106.6</v>
      </c>
      <c r="K60" s="23">
        <v>96.999999999999986</v>
      </c>
      <c r="L60" s="23">
        <v>89.699999999999989</v>
      </c>
      <c r="M60" s="23">
        <v>88.6</v>
      </c>
      <c r="N60" s="23">
        <v>81.2</v>
      </c>
      <c r="O60" s="23">
        <v>75.400000000000006</v>
      </c>
      <c r="P60" s="23">
        <v>72.5</v>
      </c>
      <c r="Q60" s="23">
        <v>65.699999999999989</v>
      </c>
      <c r="R60" s="23">
        <v>76.100000000000009</v>
      </c>
      <c r="S60" s="23">
        <v>75.900000000000006</v>
      </c>
      <c r="T60" s="23">
        <v>75.059002770083097</v>
      </c>
      <c r="U60" s="23">
        <v>79.474238227146827</v>
      </c>
      <c r="V60" s="23">
        <v>77.301662049861491</v>
      </c>
      <c r="W60" s="23">
        <v>81.507145925409219</v>
      </c>
      <c r="X60" s="23">
        <v>82.27884185823757</v>
      </c>
      <c r="Y60" s="23">
        <v>87.859394661073367</v>
      </c>
      <c r="Z60" s="23">
        <v>77.73930168961985</v>
      </c>
      <c r="AA60" s="23">
        <v>86.150269440715306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74.900000000000006</v>
      </c>
      <c r="E62" s="23">
        <v>74.099999999999994</v>
      </c>
      <c r="F62" s="23">
        <v>90.1</v>
      </c>
      <c r="G62" s="23">
        <v>102.5</v>
      </c>
      <c r="H62" s="23">
        <v>103.6</v>
      </c>
      <c r="I62" s="23">
        <v>82.7</v>
      </c>
      <c r="J62" s="23">
        <v>78.599999999999994</v>
      </c>
      <c r="K62" s="23">
        <v>65.2</v>
      </c>
      <c r="L62" s="23">
        <v>98.9</v>
      </c>
      <c r="M62" s="23">
        <v>76.400000000000006</v>
      </c>
      <c r="N62" s="23">
        <v>80.400000000000006</v>
      </c>
      <c r="O62" s="23">
        <v>88.4</v>
      </c>
      <c r="P62" s="23">
        <v>73.099999999999994</v>
      </c>
      <c r="Q62" s="23">
        <v>86.6</v>
      </c>
      <c r="R62" s="23">
        <v>101.2</v>
      </c>
      <c r="S62" s="23">
        <v>104.4</v>
      </c>
      <c r="T62" s="23">
        <v>103.5</v>
      </c>
      <c r="U62" s="23">
        <v>109.9</v>
      </c>
      <c r="V62" s="23">
        <v>103.7</v>
      </c>
      <c r="W62" s="23">
        <v>99.5</v>
      </c>
      <c r="X62" s="23">
        <v>137.6</v>
      </c>
      <c r="Y62" s="23">
        <v>164.1</v>
      </c>
      <c r="Z62" s="23">
        <v>122.3</v>
      </c>
      <c r="AA62" s="23">
        <v>120.9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76.688935883014651</v>
      </c>
      <c r="E63" s="23">
        <v>76.508771929824562</v>
      </c>
      <c r="F63" s="23">
        <v>94.795531687357609</v>
      </c>
      <c r="G63" s="23">
        <v>106.64395747450639</v>
      </c>
      <c r="H63" s="23">
        <v>105.50732957674872</v>
      </c>
      <c r="I63" s="23">
        <v>84.095050836064203</v>
      </c>
      <c r="J63" s="23">
        <v>79.176660593009785</v>
      </c>
      <c r="K63" s="23">
        <v>80.541300963799543</v>
      </c>
      <c r="L63" s="23">
        <v>99.264850999622823</v>
      </c>
      <c r="M63" s="23">
        <v>77.087576374745424</v>
      </c>
      <c r="N63" s="23">
        <v>78.592535612535613</v>
      </c>
      <c r="O63" s="23">
        <v>86.712441985842204</v>
      </c>
      <c r="P63" s="23">
        <v>72.394178635974498</v>
      </c>
      <c r="Q63" s="23">
        <v>83.762644715411369</v>
      </c>
      <c r="R63" s="23">
        <v>125.45515105356694</v>
      </c>
      <c r="S63" s="23">
        <v>130.20477414007462</v>
      </c>
      <c r="T63" s="23">
        <v>117.24580047994516</v>
      </c>
      <c r="U63" s="23">
        <v>107.01900108959262</v>
      </c>
      <c r="V63" s="23">
        <v>119.4503885003885</v>
      </c>
      <c r="W63" s="23">
        <v>125.94891219891221</v>
      </c>
      <c r="X63" s="23">
        <v>127.14137529137531</v>
      </c>
      <c r="Y63" s="23">
        <v>135.76472416472419</v>
      </c>
      <c r="Z63" s="23">
        <v>120.12665112665111</v>
      </c>
      <c r="AA63" s="23">
        <v>133.12369852369855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592.5</v>
      </c>
      <c r="E65" s="23">
        <v>550</v>
      </c>
      <c r="F65" s="23">
        <v>564.70000000000005</v>
      </c>
      <c r="G65" s="23">
        <v>557.9</v>
      </c>
      <c r="H65" s="23">
        <v>511</v>
      </c>
      <c r="I65" s="23">
        <v>510.1</v>
      </c>
      <c r="J65" s="23">
        <v>547.6</v>
      </c>
      <c r="K65" s="23">
        <v>601.79999999999995</v>
      </c>
      <c r="L65" s="23">
        <v>520.5</v>
      </c>
      <c r="M65" s="23">
        <v>432.7</v>
      </c>
      <c r="N65" s="23">
        <v>489.2</v>
      </c>
      <c r="O65" s="23">
        <v>456.1</v>
      </c>
      <c r="P65" s="23">
        <v>407.9</v>
      </c>
      <c r="Q65" s="23">
        <v>564.9</v>
      </c>
      <c r="R65" s="23">
        <v>619.70000000000005</v>
      </c>
      <c r="S65" s="23">
        <v>698.6</v>
      </c>
      <c r="T65" s="23">
        <v>741.2</v>
      </c>
      <c r="U65" s="23">
        <v>569.70000000000005</v>
      </c>
      <c r="V65" s="23">
        <v>660.2</v>
      </c>
      <c r="W65" s="23">
        <v>696.11721550366838</v>
      </c>
      <c r="X65" s="23">
        <v>702.70793608254348</v>
      </c>
      <c r="Y65" s="23">
        <v>750.36901946333478</v>
      </c>
      <c r="Z65" s="23">
        <v>663.93769052963046</v>
      </c>
      <c r="AA65" s="23">
        <v>735.77212153696712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660.9</v>
      </c>
      <c r="E66" s="23">
        <v>641.5</v>
      </c>
      <c r="F66" s="23">
        <v>562.29999999999995</v>
      </c>
      <c r="G66" s="23">
        <v>658.9</v>
      </c>
      <c r="H66" s="23">
        <v>689.4</v>
      </c>
      <c r="I66" s="23">
        <v>717.8</v>
      </c>
      <c r="J66" s="23">
        <v>675.1</v>
      </c>
      <c r="K66" s="23">
        <v>1162.4000000000001</v>
      </c>
      <c r="L66" s="23">
        <v>1037.0999999999999</v>
      </c>
      <c r="M66" s="23">
        <v>311</v>
      </c>
      <c r="N66" s="23">
        <v>430.8</v>
      </c>
      <c r="O66" s="23">
        <v>510.9</v>
      </c>
      <c r="P66" s="23">
        <v>546.1</v>
      </c>
      <c r="Q66" s="23">
        <v>519.6</v>
      </c>
      <c r="R66" s="23">
        <v>140.30000000000001</v>
      </c>
      <c r="S66" s="23">
        <v>416.3</v>
      </c>
      <c r="T66" s="23">
        <v>840.3</v>
      </c>
      <c r="U66" s="23">
        <v>880.8</v>
      </c>
      <c r="V66" s="23">
        <v>1017.3</v>
      </c>
      <c r="W66" s="23">
        <v>1072.6447187698905</v>
      </c>
      <c r="X66" s="23">
        <v>1082.8003383471241</v>
      </c>
      <c r="Y66" s="23">
        <v>1156.2411443502731</v>
      </c>
      <c r="Z66" s="23">
        <v>1023.0593949951424</v>
      </c>
      <c r="AA66" s="23">
        <v>1133.7488325349236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273.71106411698531</v>
      </c>
      <c r="E68" s="23">
        <v>296.29122807017529</v>
      </c>
      <c r="F68" s="23">
        <v>294.80446831264248</v>
      </c>
      <c r="G68" s="23">
        <v>273.75604252549346</v>
      </c>
      <c r="H68" s="23">
        <v>255.79267042325139</v>
      </c>
      <c r="I68" s="23">
        <v>280.00494916393575</v>
      </c>
      <c r="J68" s="23">
        <v>364.72333940699025</v>
      </c>
      <c r="K68" s="23">
        <v>354.05869903620021</v>
      </c>
      <c r="L68" s="23">
        <v>305.53514900037794</v>
      </c>
      <c r="M68" s="23">
        <v>321.8124236252545</v>
      </c>
      <c r="N68" s="23">
        <v>334.50746438746444</v>
      </c>
      <c r="O68" s="23">
        <v>372.58755801415782</v>
      </c>
      <c r="P68" s="23">
        <v>398.30582136402563</v>
      </c>
      <c r="Q68" s="23">
        <v>358.93735528458853</v>
      </c>
      <c r="R68" s="23">
        <v>814.84484894643322</v>
      </c>
      <c r="S68" s="23">
        <v>923.69522585992547</v>
      </c>
      <c r="T68" s="23">
        <v>704.35419952005429</v>
      </c>
      <c r="U68" s="23">
        <v>344.38099891040667</v>
      </c>
      <c r="V68" s="23">
        <v>321.04961149961179</v>
      </c>
      <c r="W68" s="23">
        <v>331.49880144552162</v>
      </c>
      <c r="X68" s="23">
        <v>273.57703950209907</v>
      </c>
      <c r="Y68" s="23">
        <v>295.74785497835262</v>
      </c>
      <c r="Z68" s="23">
        <v>241.08022301491917</v>
      </c>
      <c r="AA68" s="23">
        <v>322.77860290673959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10.199999999999999</v>
      </c>
      <c r="E72" s="23">
        <v>10.4</v>
      </c>
      <c r="F72" s="23">
        <v>10.5</v>
      </c>
      <c r="G72" s="23">
        <v>16.7</v>
      </c>
      <c r="H72" s="23">
        <v>20.5</v>
      </c>
      <c r="I72" s="23">
        <v>24.4</v>
      </c>
      <c r="J72" s="23">
        <v>27.2</v>
      </c>
      <c r="K72" s="23">
        <v>50.8</v>
      </c>
      <c r="L72" s="23">
        <v>48.2</v>
      </c>
      <c r="M72" s="23">
        <v>24.7</v>
      </c>
      <c r="N72" s="23">
        <v>32.200000000000003</v>
      </c>
      <c r="O72" s="23">
        <v>36.4</v>
      </c>
      <c r="P72" s="23">
        <v>38.5</v>
      </c>
      <c r="Q72" s="23">
        <v>40</v>
      </c>
      <c r="R72" s="23">
        <v>40.200000000000003</v>
      </c>
      <c r="S72" s="23">
        <v>39.4</v>
      </c>
      <c r="T72" s="23">
        <v>43.7</v>
      </c>
      <c r="U72" s="23">
        <v>44.4</v>
      </c>
      <c r="V72" s="23">
        <v>40.9</v>
      </c>
      <c r="W72" s="23">
        <v>43.125104686610165</v>
      </c>
      <c r="X72" s="23">
        <v>43.533405916049716</v>
      </c>
      <c r="Y72" s="23">
        <v>46.486054068540426</v>
      </c>
      <c r="Z72" s="23">
        <v>41.131553381796252</v>
      </c>
      <c r="AA72" s="23">
        <v>45.581762755016591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31.711462450592887</v>
      </c>
      <c r="E73" s="23">
        <v>35.742652329749106</v>
      </c>
      <c r="F73" s="23">
        <v>30.535714285714285</v>
      </c>
      <c r="G73" s="23">
        <v>26.161943319838056</v>
      </c>
      <c r="H73" s="23">
        <v>31.141463414634142</v>
      </c>
      <c r="I73" s="23">
        <v>48.178770949720672</v>
      </c>
      <c r="J73" s="23">
        <v>51.451697127937337</v>
      </c>
      <c r="K73" s="23">
        <v>65.294966442953012</v>
      </c>
      <c r="L73" s="23">
        <v>52.003180212014144</v>
      </c>
      <c r="M73" s="23">
        <v>24.446319569120288</v>
      </c>
      <c r="N73" s="23">
        <v>23.494297082228119</v>
      </c>
      <c r="O73" s="23">
        <v>26.145187601957588</v>
      </c>
      <c r="P73" s="23">
        <v>26.106851549755302</v>
      </c>
      <c r="Q73" s="23">
        <v>26.145187601957591</v>
      </c>
      <c r="R73" s="23">
        <v>31.665579119086463</v>
      </c>
      <c r="S73" s="23">
        <v>28.867047308319744</v>
      </c>
      <c r="T73" s="23">
        <v>33.467373572593807</v>
      </c>
      <c r="U73" s="23">
        <v>36.534257748776511</v>
      </c>
      <c r="V73" s="23">
        <v>36.840946166394779</v>
      </c>
      <c r="W73" s="23">
        <v>38.845223965270037</v>
      </c>
      <c r="X73" s="23">
        <v>39.213004004718826</v>
      </c>
      <c r="Y73" s="23">
        <v>41.872621404088385</v>
      </c>
      <c r="Z73" s="23">
        <v>37.049519410243256</v>
      </c>
      <c r="AA73" s="23">
        <v>41.058075007993764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3.7885375494075682</v>
      </c>
      <c r="E74" s="23">
        <v>6.1573476702509851</v>
      </c>
      <c r="F74" s="23">
        <v>6.9642857142857153</v>
      </c>
      <c r="G74" s="23">
        <v>9.7380566801624902</v>
      </c>
      <c r="H74" s="23">
        <v>8.7585365853659489</v>
      </c>
      <c r="I74" s="23">
        <v>13.421229050279237</v>
      </c>
      <c r="J74" s="23">
        <v>15.348302872062391</v>
      </c>
      <c r="K74" s="23">
        <v>27.805033557046897</v>
      </c>
      <c r="L74" s="23">
        <v>26.696819787985675</v>
      </c>
      <c r="M74" s="23">
        <v>41.653680430879618</v>
      </c>
      <c r="N74" s="23">
        <v>49.405702917772203</v>
      </c>
      <c r="O74" s="23">
        <v>42.05481239804223</v>
      </c>
      <c r="P74" s="23">
        <v>41.993148450244604</v>
      </c>
      <c r="Q74" s="23">
        <v>42.05481239804223</v>
      </c>
      <c r="R74" s="23">
        <v>50.93442088091345</v>
      </c>
      <c r="S74" s="23">
        <v>46.432952691680441</v>
      </c>
      <c r="T74" s="23">
        <v>53.832626427406829</v>
      </c>
      <c r="U74" s="23">
        <v>58.765742251224125</v>
      </c>
      <c r="V74" s="23">
        <v>59.25905383360513</v>
      </c>
      <c r="W74" s="23">
        <v>62.48295599520057</v>
      </c>
      <c r="X74" s="23">
        <v>63.074534101207334</v>
      </c>
      <c r="Y74" s="23">
        <v>67.35255698189539</v>
      </c>
      <c r="Z74" s="23">
        <v>59.594546115199527</v>
      </c>
      <c r="AA74" s="23">
        <v>66.042350438389505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2216.4</v>
      </c>
      <c r="E75" s="30">
        <f t="shared" ref="E75:Y75" si="6">SUM(E56:E74)</f>
        <v>2180.5</v>
      </c>
      <c r="F75" s="30">
        <f t="shared" si="6"/>
        <v>2180.5</v>
      </c>
      <c r="G75" s="30">
        <f t="shared" si="6"/>
        <v>2318.5</v>
      </c>
      <c r="H75" s="30">
        <f t="shared" si="6"/>
        <v>2338.3000000000002</v>
      </c>
      <c r="I75" s="30">
        <f t="shared" si="6"/>
        <v>2371.6</v>
      </c>
      <c r="J75" s="30">
        <f t="shared" si="6"/>
        <v>2420.1999999999998</v>
      </c>
      <c r="K75" s="30">
        <f t="shared" si="6"/>
        <v>2998.5</v>
      </c>
      <c r="L75" s="30">
        <f t="shared" si="6"/>
        <v>2674.3</v>
      </c>
      <c r="M75" s="30">
        <f t="shared" si="6"/>
        <v>1816.8</v>
      </c>
      <c r="N75" s="30">
        <f t="shared" si="6"/>
        <v>2105.8000000000002</v>
      </c>
      <c r="O75" s="30">
        <f t="shared" si="6"/>
        <v>2158.3000000000002</v>
      </c>
      <c r="P75" s="30">
        <f t="shared" si="6"/>
        <v>2120</v>
      </c>
      <c r="Q75" s="30">
        <f t="shared" si="6"/>
        <v>2236</v>
      </c>
      <c r="R75" s="30">
        <f t="shared" si="6"/>
        <v>2448.8000000000002</v>
      </c>
      <c r="S75" s="30">
        <f t="shared" si="6"/>
        <v>2966.8</v>
      </c>
      <c r="T75" s="30">
        <f t="shared" si="6"/>
        <v>3257.2</v>
      </c>
      <c r="U75" s="30">
        <f t="shared" si="6"/>
        <v>2778.1000000000004</v>
      </c>
      <c r="V75" s="30">
        <f t="shared" si="6"/>
        <v>2985.1</v>
      </c>
      <c r="W75" s="30">
        <f t="shared" si="6"/>
        <v>3147.5</v>
      </c>
      <c r="X75" s="30">
        <f t="shared" si="6"/>
        <v>3177.3</v>
      </c>
      <c r="Y75" s="30">
        <f t="shared" si="6"/>
        <v>3392.8</v>
      </c>
      <c r="Z75" s="30">
        <f t="shared" ref="Z75:AA75" si="7">SUM(Z56:Z74)</f>
        <v>3002</v>
      </c>
      <c r="AA75" s="30">
        <f t="shared" si="7"/>
        <v>3326.8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47183.991737107033</v>
      </c>
      <c r="E2" s="19">
        <v>48634.76751684388</v>
      </c>
      <c r="F2" s="19">
        <v>50202.991005479373</v>
      </c>
      <c r="G2" s="19">
        <v>51518.222858917266</v>
      </c>
      <c r="H2" s="19">
        <v>53698.413576003295</v>
      </c>
      <c r="I2" s="19">
        <v>55032.020166771777</v>
      </c>
      <c r="J2" s="19">
        <v>58342.831518805702</v>
      </c>
      <c r="K2" s="19">
        <v>63067.532527552037</v>
      </c>
      <c r="L2" s="19">
        <v>62878.324164091377</v>
      </c>
      <c r="M2" s="19">
        <v>60841.922378143274</v>
      </c>
      <c r="N2" s="19">
        <v>63129.890625932814</v>
      </c>
      <c r="O2" s="19">
        <v>63788.908259069773</v>
      </c>
      <c r="P2" s="19">
        <v>64841.172378291238</v>
      </c>
      <c r="Q2" s="19">
        <v>66898.459187533503</v>
      </c>
      <c r="R2" s="19">
        <v>68652.894261415335</v>
      </c>
      <c r="S2" s="19">
        <v>70211.193217000007</v>
      </c>
      <c r="T2" s="19">
        <v>73706.773044331188</v>
      </c>
      <c r="U2" s="19">
        <v>74676.98704312359</v>
      </c>
      <c r="V2" s="19">
        <v>75880.430821425107</v>
      </c>
      <c r="W2" s="19">
        <v>77967.0441278465</v>
      </c>
      <c r="X2" s="19">
        <v>77569.037613258028</v>
      </c>
      <c r="Y2" s="19">
        <v>82944.570337060955</v>
      </c>
      <c r="Z2" s="19">
        <v>82034.240904893799</v>
      </c>
      <c r="AA2" s="19">
        <v>82115.5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14739.792640807651</v>
      </c>
      <c r="E3" s="23">
        <v>15228.604342808236</v>
      </c>
      <c r="F3" s="23">
        <v>16014.744988496934</v>
      </c>
      <c r="G3" s="23">
        <v>16403.984535426385</v>
      </c>
      <c r="H3" s="23">
        <v>16598.718338800747</v>
      </c>
      <c r="I3" s="23">
        <v>16516.066030940008</v>
      </c>
      <c r="J3" s="23">
        <v>17196.89815978508</v>
      </c>
      <c r="K3" s="23">
        <v>17605.226098932111</v>
      </c>
      <c r="L3" s="23">
        <v>18024.169106554415</v>
      </c>
      <c r="M3" s="23">
        <v>18442.059218433547</v>
      </c>
      <c r="N3" s="23">
        <v>19053.994452519903</v>
      </c>
      <c r="O3" s="23">
        <v>19368.676536536535</v>
      </c>
      <c r="P3" s="23">
        <v>19839.776065986447</v>
      </c>
      <c r="Q3" s="23">
        <v>19991.87429218688</v>
      </c>
      <c r="R3" s="23">
        <v>20594.823429839609</v>
      </c>
      <c r="S3" s="23">
        <v>21222.255371000003</v>
      </c>
      <c r="T3" s="23">
        <v>21934.831256575682</v>
      </c>
      <c r="U3" s="23">
        <v>22587.706551041021</v>
      </c>
      <c r="V3" s="23">
        <v>23278.405090791181</v>
      </c>
      <c r="W3" s="23">
        <v>23791.403847203015</v>
      </c>
      <c r="X3" s="23">
        <v>21965.746092301961</v>
      </c>
      <c r="Y3" s="23">
        <v>24474.327066138445</v>
      </c>
      <c r="Z3" s="23">
        <v>26089.713414994607</v>
      </c>
      <c r="AA3" s="23">
        <v>27081.7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43368.44010035981</v>
      </c>
      <c r="E4" s="27">
        <v>44945.497730909556</v>
      </c>
      <c r="F4" s="27">
        <v>46335.398825773096</v>
      </c>
      <c r="G4" s="27">
        <v>47501.019225485805</v>
      </c>
      <c r="H4" s="27">
        <v>49247.498775002241</v>
      </c>
      <c r="I4" s="27">
        <v>50310.787431686185</v>
      </c>
      <c r="J4" s="27">
        <v>53742.635020240217</v>
      </c>
      <c r="K4" s="27">
        <v>58115.474962135675</v>
      </c>
      <c r="L4" s="27">
        <v>57851.542429331435</v>
      </c>
      <c r="M4" s="27">
        <v>55939.984287970845</v>
      </c>
      <c r="N4" s="27">
        <v>57983.212949382323</v>
      </c>
      <c r="O4" s="27">
        <v>58199.18144818586</v>
      </c>
      <c r="P4" s="27">
        <v>59000.05023374829</v>
      </c>
      <c r="Q4" s="27">
        <v>60830.477067566142</v>
      </c>
      <c r="R4" s="27">
        <v>62075.963833838345</v>
      </c>
      <c r="S4" s="27">
        <v>64943.895673000006</v>
      </c>
      <c r="T4" s="27">
        <v>68241.31084076174</v>
      </c>
      <c r="U4" s="27">
        <v>68860.954179299675</v>
      </c>
      <c r="V4" s="27">
        <v>69715.009537693433</v>
      </c>
      <c r="W4" s="27">
        <v>71686.497306400561</v>
      </c>
      <c r="X4" s="27">
        <v>71051.299769687554</v>
      </c>
      <c r="Y4" s="27">
        <v>76203.764178463054</v>
      </c>
      <c r="Z4" s="27">
        <v>75071.808924609693</v>
      </c>
      <c r="AA4" s="27">
        <v>74961.7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290.22148861674492</v>
      </c>
      <c r="E6" s="19">
        <v>280.69695000960127</v>
      </c>
      <c r="F6" s="19">
        <v>356.85689720392139</v>
      </c>
      <c r="G6" s="19">
        <v>246.46316195650496</v>
      </c>
      <c r="H6" s="19">
        <v>296.62549704621102</v>
      </c>
      <c r="I6" s="19">
        <v>202.03632939027696</v>
      </c>
      <c r="J6" s="19">
        <v>186.53400088175175</v>
      </c>
      <c r="K6" s="19">
        <v>236.02980020808911</v>
      </c>
      <c r="L6" s="19">
        <v>197.82947731005905</v>
      </c>
      <c r="M6" s="19">
        <v>145.11908991494533</v>
      </c>
      <c r="N6" s="19">
        <v>172.57314810530698</v>
      </c>
      <c r="O6" s="19">
        <v>162.74848924233467</v>
      </c>
      <c r="P6" s="19">
        <v>189.6711760831777</v>
      </c>
      <c r="Q6" s="19">
        <v>177.71253926425635</v>
      </c>
      <c r="R6" s="19">
        <v>201.30568749488168</v>
      </c>
      <c r="S6" s="19">
        <v>158.76331099999999</v>
      </c>
      <c r="T6" s="19">
        <v>159.8922244732577</v>
      </c>
      <c r="U6" s="19">
        <v>177.18106731664784</v>
      </c>
      <c r="V6" s="19">
        <v>179.87060779514582</v>
      </c>
      <c r="W6" s="19">
        <v>170.15886816558424</v>
      </c>
      <c r="X6" s="19">
        <v>156.79152838670291</v>
      </c>
      <c r="Y6" s="19">
        <v>163.6204134434914</v>
      </c>
      <c r="Z6" s="19">
        <v>200.89704492408188</v>
      </c>
      <c r="AA6" s="19">
        <v>153.80000000000001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5438.9029994998136</v>
      </c>
      <c r="E7" s="23">
        <v>5365.3396834794858</v>
      </c>
      <c r="F7" s="23">
        <v>5336.9426409860353</v>
      </c>
      <c r="G7" s="23">
        <v>5604.5075506644644</v>
      </c>
      <c r="H7" s="23">
        <v>5512.241344048939</v>
      </c>
      <c r="I7" s="23">
        <v>5343.673841697464</v>
      </c>
      <c r="J7" s="23">
        <v>5160.0734272087211</v>
      </c>
      <c r="K7" s="23">
        <v>6092.0551870826694</v>
      </c>
      <c r="L7" s="23">
        <v>5092.7832136115121</v>
      </c>
      <c r="M7" s="23">
        <v>3793.0083973268534</v>
      </c>
      <c r="N7" s="23">
        <v>4028.6276384583352</v>
      </c>
      <c r="O7" s="23">
        <v>3949.1001338434253</v>
      </c>
      <c r="P7" s="23">
        <v>3754.3569212165712</v>
      </c>
      <c r="Q7" s="23">
        <v>3920.592886054601</v>
      </c>
      <c r="R7" s="23">
        <v>4189.3055605601503</v>
      </c>
      <c r="S7" s="23">
        <v>4802.6229330000006</v>
      </c>
      <c r="T7" s="23">
        <v>5313.7604467179908</v>
      </c>
      <c r="U7" s="23">
        <v>4529.0286606028176</v>
      </c>
      <c r="V7" s="23">
        <v>4737.2318709715164</v>
      </c>
      <c r="W7" s="23">
        <v>4964.2993282939251</v>
      </c>
      <c r="X7" s="23">
        <v>4837.0125876389729</v>
      </c>
      <c r="Y7" s="23">
        <v>4867.6785542633615</v>
      </c>
      <c r="Z7" s="23">
        <v>4141.2038862176187</v>
      </c>
      <c r="AA7" s="23">
        <v>4253.6000000000004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2658.9534343385449</v>
      </c>
      <c r="E8" s="23">
        <v>2807.3890770018561</v>
      </c>
      <c r="F8" s="23">
        <v>2987.9274658764934</v>
      </c>
      <c r="G8" s="23">
        <v>3009.7644260599795</v>
      </c>
      <c r="H8" s="23">
        <v>3042.9176237742522</v>
      </c>
      <c r="I8" s="23">
        <v>2850.9570925072412</v>
      </c>
      <c r="J8" s="23">
        <v>2932.8749716102657</v>
      </c>
      <c r="K8" s="23">
        <v>3316.3309236260188</v>
      </c>
      <c r="L8" s="23">
        <v>3140.5228640074529</v>
      </c>
      <c r="M8" s="23">
        <v>3053.8727472660999</v>
      </c>
      <c r="N8" s="23">
        <v>3043.3835758571231</v>
      </c>
      <c r="O8" s="23">
        <v>2991.3260057775747</v>
      </c>
      <c r="P8" s="23">
        <v>3112.3058356096353</v>
      </c>
      <c r="Q8" s="23">
        <v>3164.2781680193953</v>
      </c>
      <c r="R8" s="23">
        <v>3324.8989384571287</v>
      </c>
      <c r="S8" s="23">
        <v>3388.3053450000002</v>
      </c>
      <c r="T8" s="23">
        <v>3715.2366045380872</v>
      </c>
      <c r="U8" s="23">
        <v>3645.331592453877</v>
      </c>
      <c r="V8" s="23">
        <v>3705.9481516513738</v>
      </c>
      <c r="W8" s="23">
        <v>4223.0106572847199</v>
      </c>
      <c r="X8" s="23">
        <v>4034.5018878221131</v>
      </c>
      <c r="Y8" s="23">
        <v>4027.8447525829256</v>
      </c>
      <c r="Z8" s="23">
        <v>3420.2235333899662</v>
      </c>
      <c r="AA8" s="23">
        <v>3371.9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7454.8000742210816</v>
      </c>
      <c r="E9" s="23">
        <v>8087.5546485950199</v>
      </c>
      <c r="F9" s="23">
        <v>8325.9032768023208</v>
      </c>
      <c r="G9" s="23">
        <v>8333.0044930466611</v>
      </c>
      <c r="H9" s="23">
        <v>8159.0685923771243</v>
      </c>
      <c r="I9" s="23">
        <v>7923.7525962814443</v>
      </c>
      <c r="J9" s="23">
        <v>8244.4525403802236</v>
      </c>
      <c r="K9" s="23">
        <v>8214.0787749081373</v>
      </c>
      <c r="L9" s="23">
        <v>9229.2031295202123</v>
      </c>
      <c r="M9" s="23">
        <v>8675.445396111787</v>
      </c>
      <c r="N9" s="23">
        <v>9269.2101096562255</v>
      </c>
      <c r="O9" s="23">
        <v>10515.336350759004</v>
      </c>
      <c r="P9" s="23">
        <v>9809.396899191328</v>
      </c>
      <c r="Q9" s="23">
        <v>10091.61244545167</v>
      </c>
      <c r="R9" s="23">
        <v>10144.464611825404</v>
      </c>
      <c r="S9" s="23">
        <v>9980.1947259999997</v>
      </c>
      <c r="T9" s="23">
        <v>10495.64964850081</v>
      </c>
      <c r="U9" s="23">
        <v>10935.085490359274</v>
      </c>
      <c r="V9" s="23">
        <v>10781.11440454018</v>
      </c>
      <c r="W9" s="23">
        <v>10839.665527153767</v>
      </c>
      <c r="X9" s="23">
        <v>10521.160223467819</v>
      </c>
      <c r="Y9" s="23">
        <v>11627.167834026206</v>
      </c>
      <c r="Z9" s="23">
        <v>11638.188550833411</v>
      </c>
      <c r="AA9" s="23">
        <v>10971.5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2714.3747390160866</v>
      </c>
      <c r="E10" s="23">
        <v>2911.8637265569992</v>
      </c>
      <c r="F10" s="23">
        <v>2770.9617785203163</v>
      </c>
      <c r="G10" s="23">
        <v>2802.759652101437</v>
      </c>
      <c r="H10" s="23">
        <v>2848.7055687168258</v>
      </c>
      <c r="I10" s="23">
        <v>3008.6576718368742</v>
      </c>
      <c r="J10" s="23">
        <v>3059.3327637573316</v>
      </c>
      <c r="K10" s="23">
        <v>3453.4250431323994</v>
      </c>
      <c r="L10" s="23">
        <v>3430.4370614626487</v>
      </c>
      <c r="M10" s="23">
        <v>3822.4782454434994</v>
      </c>
      <c r="N10" s="23">
        <v>3797.9740723175869</v>
      </c>
      <c r="O10" s="23">
        <v>3849.9595447092811</v>
      </c>
      <c r="P10" s="23">
        <v>3998.9478109715942</v>
      </c>
      <c r="Q10" s="23">
        <v>3662.8682470749445</v>
      </c>
      <c r="R10" s="23">
        <v>3751.532792154615</v>
      </c>
      <c r="S10" s="23">
        <v>3998.0560959999998</v>
      </c>
      <c r="T10" s="23">
        <v>3831.5701499189627</v>
      </c>
      <c r="U10" s="23">
        <v>3881.4864167806109</v>
      </c>
      <c r="V10" s="23">
        <v>4007.26657565504</v>
      </c>
      <c r="W10" s="23">
        <v>4151.3180692805772</v>
      </c>
      <c r="X10" s="23">
        <v>4058.7542510683161</v>
      </c>
      <c r="Y10" s="23">
        <v>4097.1793339648129</v>
      </c>
      <c r="Z10" s="23">
        <v>4056.2172999364948</v>
      </c>
      <c r="AA10" s="23">
        <v>5073.6000000000004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11005.359612436871</v>
      </c>
      <c r="E11" s="23">
        <v>10346.976286564681</v>
      </c>
      <c r="F11" s="23">
        <v>10377.365509251962</v>
      </c>
      <c r="G11" s="23">
        <v>10711.030009723874</v>
      </c>
      <c r="H11" s="23">
        <v>11815.287442648512</v>
      </c>
      <c r="I11" s="23">
        <v>13036.020012556897</v>
      </c>
      <c r="J11" s="23">
        <v>16024.058847577186</v>
      </c>
      <c r="K11" s="23">
        <v>17297.513836610517</v>
      </c>
      <c r="L11" s="23">
        <v>17082.438765353403</v>
      </c>
      <c r="M11" s="23">
        <v>15965.48933778858</v>
      </c>
      <c r="N11" s="23">
        <v>17223.952690510341</v>
      </c>
      <c r="O11" s="23">
        <v>15791.136433295784</v>
      </c>
      <c r="P11" s="23">
        <v>16946.978037378132</v>
      </c>
      <c r="Q11" s="23">
        <v>17384.183302413829</v>
      </c>
      <c r="R11" s="23">
        <v>18047.725902874459</v>
      </c>
      <c r="S11" s="23">
        <v>18886.016757000001</v>
      </c>
      <c r="T11" s="23">
        <v>18508.720190437602</v>
      </c>
      <c r="U11" s="23">
        <v>18626.744243306974</v>
      </c>
      <c r="V11" s="23">
        <v>18149.800853233999</v>
      </c>
      <c r="W11" s="23">
        <v>18040.012263959194</v>
      </c>
      <c r="X11" s="23">
        <v>17556.164492110176</v>
      </c>
      <c r="Y11" s="23">
        <v>20066.439699871949</v>
      </c>
      <c r="Z11" s="23">
        <v>19607.465084248121</v>
      </c>
      <c r="AA11" s="23">
        <v>18984.599999999999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4036.0247833873855</v>
      </c>
      <c r="E12" s="23">
        <v>4488.0043733597904</v>
      </c>
      <c r="F12" s="23">
        <v>4616.8231929514868</v>
      </c>
      <c r="G12" s="23">
        <v>4783.1660281837976</v>
      </c>
      <c r="H12" s="23">
        <v>4636.1248163253067</v>
      </c>
      <c r="I12" s="23">
        <v>4898.2585636620479</v>
      </c>
      <c r="J12" s="23">
        <v>4799.6161748006043</v>
      </c>
      <c r="K12" s="23">
        <v>5052.9715457861948</v>
      </c>
      <c r="L12" s="23">
        <v>4872.2941454803986</v>
      </c>
      <c r="M12" s="23">
        <v>4871.923431348725</v>
      </c>
      <c r="N12" s="23">
        <v>4897.4075729884789</v>
      </c>
      <c r="O12" s="23">
        <v>4902.0488350045171</v>
      </c>
      <c r="P12" s="23">
        <v>4856.4313816521098</v>
      </c>
      <c r="Q12" s="23">
        <v>5328.7505649836612</v>
      </c>
      <c r="R12" s="23">
        <v>5400.8973916960122</v>
      </c>
      <c r="S12" s="23">
        <v>5492.4763949999997</v>
      </c>
      <c r="T12" s="23">
        <v>5831.4181634927072</v>
      </c>
      <c r="U12" s="23">
        <v>5992.3312436834904</v>
      </c>
      <c r="V12" s="23">
        <v>6089.6491843082958</v>
      </c>
      <c r="W12" s="23">
        <v>6147.4173646667114</v>
      </c>
      <c r="X12" s="23">
        <v>5760.9063655030795</v>
      </c>
      <c r="Y12" s="23">
        <v>5703.6029433949025</v>
      </c>
      <c r="Z12" s="23">
        <v>5341.5042606536972</v>
      </c>
      <c r="AA12" s="23">
        <v>5708.6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3134.899753134227</v>
      </c>
      <c r="E13" s="23">
        <v>3529.9005088651347</v>
      </c>
      <c r="F13" s="23">
        <v>3873.9740062415281</v>
      </c>
      <c r="G13" s="23">
        <v>3884.9312367840225</v>
      </c>
      <c r="H13" s="23">
        <v>4284.4594656190957</v>
      </c>
      <c r="I13" s="23">
        <v>4288.2210913086283</v>
      </c>
      <c r="J13" s="23">
        <v>4637.4279261466108</v>
      </c>
      <c r="K13" s="23">
        <v>5417.2896719303553</v>
      </c>
      <c r="L13" s="23">
        <v>5859.3523498982568</v>
      </c>
      <c r="M13" s="23">
        <v>5996.7158505467805</v>
      </c>
      <c r="N13" s="23">
        <v>5849.5928075695183</v>
      </c>
      <c r="O13" s="23">
        <v>6112.2074126950492</v>
      </c>
      <c r="P13" s="23">
        <v>6120.434070027316</v>
      </c>
      <c r="Q13" s="23">
        <v>6502.6759312743761</v>
      </c>
      <c r="R13" s="23">
        <v>6278.321781590369</v>
      </c>
      <c r="S13" s="23">
        <v>7310.7161639999995</v>
      </c>
      <c r="T13" s="23">
        <v>9010.9361355348465</v>
      </c>
      <c r="U13" s="23">
        <v>9163.6645116223754</v>
      </c>
      <c r="V13" s="23">
        <v>9483.2846885939689</v>
      </c>
      <c r="W13" s="23">
        <v>9734.8383346722276</v>
      </c>
      <c r="X13" s="23">
        <v>10366.430145957043</v>
      </c>
      <c r="Y13" s="23">
        <v>11373.745914680139</v>
      </c>
      <c r="Z13" s="23">
        <v>12073.177147028018</v>
      </c>
      <c r="AA13" s="23">
        <v>11492.5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5853.9281894896449</v>
      </c>
      <c r="E14" s="23">
        <v>6322.1848172566133</v>
      </c>
      <c r="F14" s="23">
        <v>6844.3375831415751</v>
      </c>
      <c r="G14" s="23">
        <v>7249.0117519949335</v>
      </c>
      <c r="H14" s="23">
        <v>7727.7920247698421</v>
      </c>
      <c r="I14" s="23">
        <v>7778.585752201021</v>
      </c>
      <c r="J14" s="23">
        <v>7706.5690505136872</v>
      </c>
      <c r="K14" s="23">
        <v>8026.9124958843149</v>
      </c>
      <c r="L14" s="23">
        <v>7953.6770845080782</v>
      </c>
      <c r="M14" s="23">
        <v>8533.6715321992688</v>
      </c>
      <c r="N14" s="23">
        <v>8632.6002012677527</v>
      </c>
      <c r="O14" s="23">
        <v>8853.0498945982945</v>
      </c>
      <c r="P14" s="23">
        <v>9128.2792131374008</v>
      </c>
      <c r="Q14" s="23">
        <v>9483.2993833667115</v>
      </c>
      <c r="R14" s="23">
        <v>9644.0186727131259</v>
      </c>
      <c r="S14" s="23">
        <v>9810.8122340000027</v>
      </c>
      <c r="T14" s="23">
        <v>10223.009501620736</v>
      </c>
      <c r="U14" s="23">
        <v>10725.429887244121</v>
      </c>
      <c r="V14" s="23">
        <v>11402.671543914745</v>
      </c>
      <c r="W14" s="23">
        <v>12158.682256893695</v>
      </c>
      <c r="X14" s="23">
        <v>12584.308764822319</v>
      </c>
      <c r="Y14" s="23">
        <v>12971.08588907014</v>
      </c>
      <c r="Z14" s="23">
        <v>13258.880588705888</v>
      </c>
      <c r="AA14" s="23">
        <v>13570.599999999999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780.97502621940396</v>
      </c>
      <c r="E15" s="23">
        <v>805.58765922038015</v>
      </c>
      <c r="F15" s="23">
        <v>844.30647479746551</v>
      </c>
      <c r="G15" s="23">
        <v>876.38091497013397</v>
      </c>
      <c r="H15" s="23">
        <v>924.27639967613266</v>
      </c>
      <c r="I15" s="23">
        <v>980.62448024428875</v>
      </c>
      <c r="J15" s="23">
        <v>991.69531736382953</v>
      </c>
      <c r="K15" s="23">
        <v>1008.8676829669822</v>
      </c>
      <c r="L15" s="23">
        <v>993.00433817941098</v>
      </c>
      <c r="M15" s="23">
        <v>1082.2602600243015</v>
      </c>
      <c r="N15" s="23">
        <v>1067.891132651645</v>
      </c>
      <c r="O15" s="23">
        <v>1072.268348260593</v>
      </c>
      <c r="P15" s="23">
        <v>1083.2488884810141</v>
      </c>
      <c r="Q15" s="23">
        <v>1114.5035996626964</v>
      </c>
      <c r="R15" s="23">
        <v>1093.4924944721972</v>
      </c>
      <c r="S15" s="23">
        <v>1115.9317120000001</v>
      </c>
      <c r="T15" s="23">
        <v>1151.1177755267422</v>
      </c>
      <c r="U15" s="23">
        <v>1184.6710659294927</v>
      </c>
      <c r="V15" s="23">
        <v>1178.1716570291856</v>
      </c>
      <c r="W15" s="23">
        <v>1257.0946360301591</v>
      </c>
      <c r="X15" s="23">
        <v>1175.2695229110013</v>
      </c>
      <c r="Y15" s="23">
        <v>1305.3988431651142</v>
      </c>
      <c r="Z15" s="23">
        <v>1334.0515286724014</v>
      </c>
      <c r="AA15" s="23">
        <v>1381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43368.44010035981</v>
      </c>
      <c r="E16" s="30">
        <f t="shared" ref="E16:S16" si="0">SUM(E6:E15)</f>
        <v>44945.497730909563</v>
      </c>
      <c r="F16" s="30">
        <f t="shared" si="0"/>
        <v>46335.398825773103</v>
      </c>
      <c r="G16" s="30">
        <f t="shared" si="0"/>
        <v>47501.019225485812</v>
      </c>
      <c r="H16" s="30">
        <f t="shared" si="0"/>
        <v>49247.498775002241</v>
      </c>
      <c r="I16" s="30">
        <f t="shared" si="0"/>
        <v>50310.787431686185</v>
      </c>
      <c r="J16" s="30">
        <f t="shared" si="0"/>
        <v>53742.63502024021</v>
      </c>
      <c r="K16" s="30">
        <f t="shared" si="0"/>
        <v>58115.474962135682</v>
      </c>
      <c r="L16" s="30">
        <f t="shared" si="0"/>
        <v>57851.542429331428</v>
      </c>
      <c r="M16" s="30">
        <f t="shared" si="0"/>
        <v>55939.984287970845</v>
      </c>
      <c r="N16" s="30">
        <f t="shared" si="0"/>
        <v>57983.212949382323</v>
      </c>
      <c r="O16" s="30">
        <f t="shared" si="0"/>
        <v>58199.18144818586</v>
      </c>
      <c r="P16" s="30">
        <f t="shared" si="0"/>
        <v>59000.050233748283</v>
      </c>
      <c r="Q16" s="30">
        <f t="shared" si="0"/>
        <v>60830.477067566142</v>
      </c>
      <c r="R16" s="30">
        <f t="shared" si="0"/>
        <v>62075.963833838352</v>
      </c>
      <c r="S16" s="30">
        <f t="shared" si="0"/>
        <v>64943.895672999999</v>
      </c>
      <c r="T16" s="30">
        <f t="shared" ref="T16:Y16" si="1">SUM(T6:T15)</f>
        <v>68241.31084076174</v>
      </c>
      <c r="U16" s="30">
        <f t="shared" si="1"/>
        <v>68860.954179299675</v>
      </c>
      <c r="V16" s="30">
        <f t="shared" si="1"/>
        <v>69715.009537693462</v>
      </c>
      <c r="W16" s="30">
        <f t="shared" si="1"/>
        <v>71686.497306400561</v>
      </c>
      <c r="X16" s="30">
        <f t="shared" si="1"/>
        <v>71051.299769687525</v>
      </c>
      <c r="Y16" s="30">
        <f t="shared" si="1"/>
        <v>76203.76417846304</v>
      </c>
      <c r="Z16" s="30">
        <f t="shared" ref="Z16:AA16" si="2">SUM(Z6:Z15)</f>
        <v>75071.808924609679</v>
      </c>
      <c r="AA16" s="30">
        <f t="shared" si="2"/>
        <v>74961.7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290.22148861674492</v>
      </c>
      <c r="E18" s="19">
        <v>280.69695000960127</v>
      </c>
      <c r="F18" s="19">
        <v>356.85689720392139</v>
      </c>
      <c r="G18" s="19">
        <v>246.46316195650496</v>
      </c>
      <c r="H18" s="19">
        <v>296.62549704621102</v>
      </c>
      <c r="I18" s="19">
        <v>202.03632939027696</v>
      </c>
      <c r="J18" s="19">
        <v>186.53400088175175</v>
      </c>
      <c r="K18" s="19">
        <v>236.02980020808911</v>
      </c>
      <c r="L18" s="19">
        <v>197.82947731005905</v>
      </c>
      <c r="M18" s="19">
        <v>145.11908991494533</v>
      </c>
      <c r="N18" s="19">
        <v>172.57314810530698</v>
      </c>
      <c r="O18" s="19">
        <v>162.74848924233467</v>
      </c>
      <c r="P18" s="19">
        <v>189.6711760831777</v>
      </c>
      <c r="Q18" s="19">
        <v>177.71253926425635</v>
      </c>
      <c r="R18" s="19">
        <v>201.30568749488168</v>
      </c>
      <c r="S18" s="19">
        <v>158.76331099999999</v>
      </c>
      <c r="T18" s="19">
        <v>159.8922244732577</v>
      </c>
      <c r="U18" s="19">
        <v>177.18106731664784</v>
      </c>
      <c r="V18" s="19">
        <v>179.87060779514582</v>
      </c>
      <c r="W18" s="19">
        <v>170.15886816558424</v>
      </c>
      <c r="X18" s="19">
        <v>156.79152838670291</v>
      </c>
      <c r="Y18" s="19">
        <v>163.6204134434914</v>
      </c>
      <c r="Z18" s="19">
        <v>200.89704492408188</v>
      </c>
      <c r="AA18" s="19">
        <v>153.80000000000001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59.228875227907082</v>
      </c>
      <c r="E19" s="23">
        <v>49.090497983741919</v>
      </c>
      <c r="F19" s="23">
        <v>58.07858725242734</v>
      </c>
      <c r="G19" s="23">
        <v>59.909087197056714</v>
      </c>
      <c r="H19" s="23">
        <v>58.381559060785037</v>
      </c>
      <c r="I19" s="23">
        <v>52.192718425821553</v>
      </c>
      <c r="J19" s="23">
        <v>55.172028429813913</v>
      </c>
      <c r="K19" s="23">
        <v>61.122567135086747</v>
      </c>
      <c r="L19" s="23">
        <v>50.140371178503983</v>
      </c>
      <c r="M19" s="23">
        <v>49.222611178614827</v>
      </c>
      <c r="N19" s="23">
        <v>48.223428029426714</v>
      </c>
      <c r="O19" s="23">
        <v>51.041955534304165</v>
      </c>
      <c r="P19" s="23">
        <v>44.312112723876439</v>
      </c>
      <c r="Q19" s="23">
        <v>42.693655291398848</v>
      </c>
      <c r="R19" s="23">
        <v>42.804647375391561</v>
      </c>
      <c r="S19" s="23">
        <v>38.680348531734637</v>
      </c>
      <c r="T19" s="23">
        <v>39.181516638102131</v>
      </c>
      <c r="U19" s="23">
        <v>45.204553831520116</v>
      </c>
      <c r="V19" s="23">
        <v>44.366570615226884</v>
      </c>
      <c r="W19" s="23">
        <v>48.344913326687262</v>
      </c>
      <c r="X19" s="23">
        <v>47.892516411200411</v>
      </c>
      <c r="Y19" s="23">
        <v>43.34848620393268</v>
      </c>
      <c r="Z19" s="23">
        <v>37.843899743503044</v>
      </c>
      <c r="AA19" s="23">
        <v>37.600000000000016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4688.3885376833341</v>
      </c>
      <c r="E20" s="23">
        <v>4574.4372159636432</v>
      </c>
      <c r="F20" s="23">
        <v>4505.6541074299403</v>
      </c>
      <c r="G20" s="23">
        <v>4691.5011576039142</v>
      </c>
      <c r="H20" s="23">
        <v>4596.4174933277354</v>
      </c>
      <c r="I20" s="23">
        <v>4436.5681368701926</v>
      </c>
      <c r="J20" s="23">
        <v>4238.9632763757327</v>
      </c>
      <c r="K20" s="23">
        <v>5177.2886314846764</v>
      </c>
      <c r="L20" s="23">
        <v>4297.7690590600405</v>
      </c>
      <c r="M20" s="23">
        <v>2894.0983815309842</v>
      </c>
      <c r="N20" s="23">
        <v>3193.3614699486425</v>
      </c>
      <c r="O20" s="23">
        <v>3155.975420770269</v>
      </c>
      <c r="P20" s="23">
        <v>3000.7678604204234</v>
      </c>
      <c r="Q20" s="23">
        <v>3089.9318646568991</v>
      </c>
      <c r="R20" s="23">
        <v>3286.382450249775</v>
      </c>
      <c r="S20" s="23">
        <v>3889.5044680000001</v>
      </c>
      <c r="T20" s="23">
        <v>4325.5893152350081</v>
      </c>
      <c r="U20" s="23">
        <v>3608.700316073162</v>
      </c>
      <c r="V20" s="23">
        <v>3816.1460648847888</v>
      </c>
      <c r="W20" s="23">
        <v>3993.8481547440451</v>
      </c>
      <c r="X20" s="23">
        <v>3852.8516871080524</v>
      </c>
      <c r="Y20" s="23">
        <v>3901.1337929098918</v>
      </c>
      <c r="Z20" s="23">
        <v>3245.9253437141751</v>
      </c>
      <c r="AA20" s="23">
        <v>3326.8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430.46700388853901</v>
      </c>
      <c r="E21" s="23">
        <v>477.6883073033348</v>
      </c>
      <c r="F21" s="23">
        <v>497.07830014977844</v>
      </c>
      <c r="G21" s="23">
        <v>577.83933766080031</v>
      </c>
      <c r="H21" s="23">
        <v>580.27731430113602</v>
      </c>
      <c r="I21" s="23">
        <v>565.3275809420528</v>
      </c>
      <c r="J21" s="23">
        <v>577.46723089871887</v>
      </c>
      <c r="K21" s="23">
        <v>600.17526373322471</v>
      </c>
      <c r="L21" s="23">
        <v>498.51099806320309</v>
      </c>
      <c r="M21" s="23">
        <v>586.37032928311066</v>
      </c>
      <c r="N21" s="23">
        <v>506.34599430898044</v>
      </c>
      <c r="O21" s="23">
        <v>456.01380331220747</v>
      </c>
      <c r="P21" s="23">
        <v>425.5661688433629</v>
      </c>
      <c r="Q21" s="23">
        <v>477.3675696821457</v>
      </c>
      <c r="R21" s="23">
        <v>537.94304491518733</v>
      </c>
      <c r="S21" s="23">
        <v>552.01446548678916</v>
      </c>
      <c r="T21" s="23">
        <v>610.03629125018006</v>
      </c>
      <c r="U21" s="23">
        <v>549.33924756752458</v>
      </c>
      <c r="V21" s="23">
        <v>526.51739998128051</v>
      </c>
      <c r="W21" s="23">
        <v>564.78532602909456</v>
      </c>
      <c r="X21" s="23">
        <v>585.9861564945104</v>
      </c>
      <c r="Y21" s="23">
        <v>588.59655405286833</v>
      </c>
      <c r="Z21" s="23">
        <v>526.57083357388512</v>
      </c>
      <c r="AA21" s="23">
        <v>602.00000000000011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260.81858270003369</v>
      </c>
      <c r="E22" s="23">
        <v>264.12366222876528</v>
      </c>
      <c r="F22" s="23">
        <v>276.13164615388939</v>
      </c>
      <c r="G22" s="23">
        <v>275.25796820269301</v>
      </c>
      <c r="H22" s="23">
        <v>277.16497735928249</v>
      </c>
      <c r="I22" s="23">
        <v>289.58540545939701</v>
      </c>
      <c r="J22" s="23">
        <v>288.47089150445555</v>
      </c>
      <c r="K22" s="23">
        <v>253.46872472968178</v>
      </c>
      <c r="L22" s="23">
        <v>246.3627853097648</v>
      </c>
      <c r="M22" s="23">
        <v>263.3170753341434</v>
      </c>
      <c r="N22" s="23">
        <v>280.69674617128567</v>
      </c>
      <c r="O22" s="23">
        <v>286.06895422664456</v>
      </c>
      <c r="P22" s="23">
        <v>283.71077922890856</v>
      </c>
      <c r="Q22" s="23">
        <v>310.59979642415732</v>
      </c>
      <c r="R22" s="23">
        <v>322.17541801979667</v>
      </c>
      <c r="S22" s="23">
        <v>322.42365098147621</v>
      </c>
      <c r="T22" s="23">
        <v>338.95332359470052</v>
      </c>
      <c r="U22" s="23">
        <v>325.78454313061053</v>
      </c>
      <c r="V22" s="23">
        <v>350.20183549022028</v>
      </c>
      <c r="W22" s="23">
        <v>357.32093419409796</v>
      </c>
      <c r="X22" s="23">
        <v>350.28222762521011</v>
      </c>
      <c r="Y22" s="23">
        <v>334.5997210966687</v>
      </c>
      <c r="Z22" s="23">
        <v>330.86380918605516</v>
      </c>
      <c r="AA22" s="23">
        <v>287.20000000000005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2658.9534343385449</v>
      </c>
      <c r="E23" s="23">
        <v>2807.3890770018561</v>
      </c>
      <c r="F23" s="23">
        <v>2987.9274658764934</v>
      </c>
      <c r="G23" s="23">
        <v>3009.7644260599795</v>
      </c>
      <c r="H23" s="23">
        <v>3042.9176237742522</v>
      </c>
      <c r="I23" s="23">
        <v>2850.9570925072412</v>
      </c>
      <c r="J23" s="23">
        <v>2932.8749716102657</v>
      </c>
      <c r="K23" s="23">
        <v>3316.3309236260188</v>
      </c>
      <c r="L23" s="23">
        <v>3140.5228640074529</v>
      </c>
      <c r="M23" s="23">
        <v>3053.8727472660999</v>
      </c>
      <c r="N23" s="23">
        <v>3043.3835758571231</v>
      </c>
      <c r="O23" s="23">
        <v>2991.3260057775747</v>
      </c>
      <c r="P23" s="23">
        <v>3112.3058356096353</v>
      </c>
      <c r="Q23" s="23">
        <v>3164.2781680193953</v>
      </c>
      <c r="R23" s="23">
        <v>3324.8989384571287</v>
      </c>
      <c r="S23" s="23">
        <v>3388.3053450000002</v>
      </c>
      <c r="T23" s="23">
        <v>3715.2366045380872</v>
      </c>
      <c r="U23" s="23">
        <v>3645.331592453877</v>
      </c>
      <c r="V23" s="23">
        <v>3705.9481516513738</v>
      </c>
      <c r="W23" s="23">
        <v>4223.0106572847199</v>
      </c>
      <c r="X23" s="23">
        <v>4034.5018878221131</v>
      </c>
      <c r="Y23" s="23">
        <v>4027.8447525829256</v>
      </c>
      <c r="Z23" s="23">
        <v>3420.2235333899662</v>
      </c>
      <c r="AA23" s="23">
        <v>3371.9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3796.1478387143616</v>
      </c>
      <c r="E24" s="23">
        <v>4165.3497327657942</v>
      </c>
      <c r="F24" s="23">
        <v>4278.9766226397251</v>
      </c>
      <c r="G24" s="23">
        <v>4288.4185479016505</v>
      </c>
      <c r="H24" s="23">
        <v>4309.8171124838809</v>
      </c>
      <c r="I24" s="23">
        <v>4079.6372882807027</v>
      </c>
      <c r="J24" s="23">
        <v>4523.5808833549327</v>
      </c>
      <c r="K24" s="23">
        <v>4402.2061346784503</v>
      </c>
      <c r="L24" s="23">
        <v>5572.4915724827761</v>
      </c>
      <c r="M24" s="23">
        <v>5175.5425151883355</v>
      </c>
      <c r="N24" s="23">
        <v>5604.2295794197926</v>
      </c>
      <c r="O24" s="23">
        <v>6910.1575526729648</v>
      </c>
      <c r="P24" s="23">
        <v>6277.2666544304202</v>
      </c>
      <c r="Q24" s="23">
        <v>6489.5478665542323</v>
      </c>
      <c r="R24" s="23">
        <v>6341.2633598804359</v>
      </c>
      <c r="S24" s="23">
        <v>6025.2708590000011</v>
      </c>
      <c r="T24" s="23">
        <v>6455.0509592787685</v>
      </c>
      <c r="U24" s="23">
        <v>6533.4869082297928</v>
      </c>
      <c r="V24" s="23">
        <v>6152.5463691236546</v>
      </c>
      <c r="W24" s="23">
        <v>6282.0471626709514</v>
      </c>
      <c r="X24" s="23">
        <v>5851.3676804114166</v>
      </c>
      <c r="Y24" s="23">
        <v>6125.3595677875419</v>
      </c>
      <c r="Z24" s="23">
        <v>5511.477433215945</v>
      </c>
      <c r="AA24" s="23">
        <v>6454.8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2414.6343240234282</v>
      </c>
      <c r="E25" s="23">
        <v>2627.8101613006461</v>
      </c>
      <c r="F25" s="23">
        <v>2723.6425952778736</v>
      </c>
      <c r="G25" s="23">
        <v>2730.5204494590134</v>
      </c>
      <c r="H25" s="23">
        <v>2801.7251221998977</v>
      </c>
      <c r="I25" s="23">
        <v>2841.4164880638118</v>
      </c>
      <c r="J25" s="23">
        <v>2736.1823115255643</v>
      </c>
      <c r="K25" s="23">
        <v>2804.3862582149113</v>
      </c>
      <c r="L25" s="23">
        <v>2672.5460663414156</v>
      </c>
      <c r="M25" s="23">
        <v>2492.0340753341438</v>
      </c>
      <c r="N25" s="23">
        <v>2657.7477976218015</v>
      </c>
      <c r="O25" s="23">
        <v>2569.9053894286003</v>
      </c>
      <c r="P25" s="23">
        <v>2477.4735783461638</v>
      </c>
      <c r="Q25" s="23">
        <v>2536.203913776747</v>
      </c>
      <c r="R25" s="23">
        <v>2678.1708664319058</v>
      </c>
      <c r="S25" s="23">
        <v>2794.5489159999997</v>
      </c>
      <c r="T25" s="23">
        <v>2818.4324584683959</v>
      </c>
      <c r="U25" s="23">
        <v>3156.3949814715729</v>
      </c>
      <c r="V25" s="23">
        <v>3388.5219120242609</v>
      </c>
      <c r="W25" s="23">
        <v>3242.0276522227277</v>
      </c>
      <c r="X25" s="23">
        <v>3900.3863190706102</v>
      </c>
      <c r="Y25" s="23">
        <v>4714.6365512462944</v>
      </c>
      <c r="Z25" s="23">
        <v>4978.7434502552605</v>
      </c>
      <c r="AA25" s="23">
        <v>3243.7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1244.0179114832922</v>
      </c>
      <c r="E26" s="23">
        <v>1294.3947545285796</v>
      </c>
      <c r="F26" s="23">
        <v>1323.2840588847207</v>
      </c>
      <c r="G26" s="23">
        <v>1314.0654956859962</v>
      </c>
      <c r="H26" s="23">
        <v>1047.5263576933455</v>
      </c>
      <c r="I26" s="23">
        <v>1002.69881993693</v>
      </c>
      <c r="J26" s="23">
        <v>984.68934549972619</v>
      </c>
      <c r="K26" s="23">
        <v>1007.486382014777</v>
      </c>
      <c r="L26" s="23">
        <v>984.16549069602081</v>
      </c>
      <c r="M26" s="23">
        <v>1007.8688055893076</v>
      </c>
      <c r="N26" s="23">
        <v>1007.2327326146302</v>
      </c>
      <c r="O26" s="23">
        <v>1035.2734086574389</v>
      </c>
      <c r="P26" s="23">
        <v>1054.656666414744</v>
      </c>
      <c r="Q26" s="23">
        <v>1065.8606651206915</v>
      </c>
      <c r="R26" s="23">
        <v>1125.0303855130619</v>
      </c>
      <c r="S26" s="23">
        <v>1160.374951</v>
      </c>
      <c r="T26" s="23">
        <v>1222.1662307536467</v>
      </c>
      <c r="U26" s="23">
        <v>1245.2036006579076</v>
      </c>
      <c r="V26" s="23">
        <v>1240.0461233922633</v>
      </c>
      <c r="W26" s="23">
        <v>1315.5907122600877</v>
      </c>
      <c r="X26" s="23">
        <v>769.40622398579274</v>
      </c>
      <c r="Y26" s="23">
        <v>787.17171499236963</v>
      </c>
      <c r="Z26" s="23">
        <v>1147.9676673622052</v>
      </c>
      <c r="AA26" s="23">
        <v>1273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2714.3747390160866</v>
      </c>
      <c r="E27" s="23">
        <v>2911.8637265569992</v>
      </c>
      <c r="F27" s="23">
        <v>2770.9617785203163</v>
      </c>
      <c r="G27" s="23">
        <v>2802.759652101437</v>
      </c>
      <c r="H27" s="23">
        <v>2848.7055687168258</v>
      </c>
      <c r="I27" s="23">
        <v>3008.6576718368742</v>
      </c>
      <c r="J27" s="23">
        <v>3059.3327637573316</v>
      </c>
      <c r="K27" s="23">
        <v>3453.4250431323994</v>
      </c>
      <c r="L27" s="23">
        <v>3430.4370614626487</v>
      </c>
      <c r="M27" s="23">
        <v>3822.4782454434994</v>
      </c>
      <c r="N27" s="23">
        <v>3797.9740723175869</v>
      </c>
      <c r="O27" s="23">
        <v>3849.9595447092811</v>
      </c>
      <c r="P27" s="23">
        <v>3998.9478109715942</v>
      </c>
      <c r="Q27" s="23">
        <v>3662.8682470749445</v>
      </c>
      <c r="R27" s="23">
        <v>3751.532792154615</v>
      </c>
      <c r="S27" s="23">
        <v>3998.0560959999998</v>
      </c>
      <c r="T27" s="23">
        <v>3831.5701499189627</v>
      </c>
      <c r="U27" s="23">
        <v>3881.4864167806109</v>
      </c>
      <c r="V27" s="23">
        <v>4007.26657565504</v>
      </c>
      <c r="W27" s="23">
        <v>4151.3180692805772</v>
      </c>
      <c r="X27" s="23">
        <v>4058.7542510683161</v>
      </c>
      <c r="Y27" s="23">
        <v>4097.1793339648129</v>
      </c>
      <c r="Z27" s="23">
        <v>4056.2172999364948</v>
      </c>
      <c r="AA27" s="23">
        <v>5073.6000000000004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11005.359612436871</v>
      </c>
      <c r="E28" s="23">
        <v>10346.976286564681</v>
      </c>
      <c r="F28" s="23">
        <v>10377.365509251962</v>
      </c>
      <c r="G28" s="23">
        <v>10711.030009723874</v>
      </c>
      <c r="H28" s="23">
        <v>11815.287442648512</v>
      </c>
      <c r="I28" s="23">
        <v>13036.020012556897</v>
      </c>
      <c r="J28" s="23">
        <v>16024.058847577186</v>
      </c>
      <c r="K28" s="23">
        <v>17297.513836610517</v>
      </c>
      <c r="L28" s="23">
        <v>17082.438765353403</v>
      </c>
      <c r="M28" s="23">
        <v>15965.48933778858</v>
      </c>
      <c r="N28" s="23">
        <v>17223.952690510341</v>
      </c>
      <c r="O28" s="23">
        <v>15791.136433295784</v>
      </c>
      <c r="P28" s="23">
        <v>16946.978037378132</v>
      </c>
      <c r="Q28" s="23">
        <v>17384.183302413829</v>
      </c>
      <c r="R28" s="23">
        <v>18047.725902874459</v>
      </c>
      <c r="S28" s="23">
        <v>18886.016757000001</v>
      </c>
      <c r="T28" s="23">
        <v>18508.720190437602</v>
      </c>
      <c r="U28" s="23">
        <v>18626.744243306974</v>
      </c>
      <c r="V28" s="23">
        <v>18149.800853233999</v>
      </c>
      <c r="W28" s="23">
        <v>18040.012263959194</v>
      </c>
      <c r="X28" s="23">
        <v>17556.164492110176</v>
      </c>
      <c r="Y28" s="23">
        <v>20066.439699871949</v>
      </c>
      <c r="Z28" s="23">
        <v>19607.465084248121</v>
      </c>
      <c r="AA28" s="23">
        <v>18984.599999999999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4036.0247833873855</v>
      </c>
      <c r="E29" s="23">
        <v>4488.0043733597904</v>
      </c>
      <c r="F29" s="23">
        <v>4616.8231929514868</v>
      </c>
      <c r="G29" s="23">
        <v>4783.1660281837976</v>
      </c>
      <c r="H29" s="23">
        <v>4636.1248163253067</v>
      </c>
      <c r="I29" s="23">
        <v>4898.2585636620479</v>
      </c>
      <c r="J29" s="23">
        <v>4799.6161748006043</v>
      </c>
      <c r="K29" s="23">
        <v>5052.9715457861948</v>
      </c>
      <c r="L29" s="23">
        <v>4872.2941454803986</v>
      </c>
      <c r="M29" s="23">
        <v>4871.923431348725</v>
      </c>
      <c r="N29" s="23">
        <v>4897.4075729884789</v>
      </c>
      <c r="O29" s="23">
        <v>4902.0488350045171</v>
      </c>
      <c r="P29" s="23">
        <v>4856.4313816521098</v>
      </c>
      <c r="Q29" s="23">
        <v>5328.7505649836612</v>
      </c>
      <c r="R29" s="23">
        <v>5400.8973916960122</v>
      </c>
      <c r="S29" s="23">
        <v>5492.4763949999997</v>
      </c>
      <c r="T29" s="23">
        <v>5831.4181634927072</v>
      </c>
      <c r="U29" s="23">
        <v>5992.3312436834904</v>
      </c>
      <c r="V29" s="23">
        <v>6089.6491843082958</v>
      </c>
      <c r="W29" s="23">
        <v>6147.4173646667114</v>
      </c>
      <c r="X29" s="23">
        <v>5760.9063655030795</v>
      </c>
      <c r="Y29" s="23">
        <v>5703.6029433949025</v>
      </c>
      <c r="Z29" s="23">
        <v>5341.5042606536972</v>
      </c>
      <c r="AA29" s="23">
        <v>5708.6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2096.7021830679123</v>
      </c>
      <c r="E30" s="23">
        <v>2344.3859614030594</v>
      </c>
      <c r="F30" s="23">
        <v>2671.5708303123915</v>
      </c>
      <c r="G30" s="23">
        <v>2591.9102146969394</v>
      </c>
      <c r="H30" s="23">
        <v>2847.3295723753258</v>
      </c>
      <c r="I30" s="23">
        <v>2667.4407599777401</v>
      </c>
      <c r="J30" s="23">
        <v>3021.1502170979679</v>
      </c>
      <c r="K30" s="23">
        <v>3537.5117385979006</v>
      </c>
      <c r="L30" s="23">
        <v>3895.36043908897</v>
      </c>
      <c r="M30" s="23">
        <v>4122.9113997569866</v>
      </c>
      <c r="N30" s="23">
        <v>4096.5650464997916</v>
      </c>
      <c r="O30" s="23">
        <v>4444.8030795141485</v>
      </c>
      <c r="P30" s="23">
        <v>4410.562572202849</v>
      </c>
      <c r="Q30" s="23">
        <v>4719.7465521239601</v>
      </c>
      <c r="R30" s="23">
        <v>4296.9370014740807</v>
      </c>
      <c r="S30" s="23">
        <v>5048.5684089999995</v>
      </c>
      <c r="T30" s="23">
        <v>6538.9810970421386</v>
      </c>
      <c r="U30" s="23">
        <v>6505.4289092998824</v>
      </c>
      <c r="V30" s="23">
        <v>6618.3946241382346</v>
      </c>
      <c r="W30" s="23">
        <v>6801.2791451717494</v>
      </c>
      <c r="X30" s="23">
        <v>7335.0060019978901</v>
      </c>
      <c r="Y30" s="23">
        <v>8395.8083969197851</v>
      </c>
      <c r="Z30" s="23">
        <v>9166.1168941599517</v>
      </c>
      <c r="AA30" s="23">
        <v>8364.6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1038.1975700663149</v>
      </c>
      <c r="E31" s="23">
        <v>1185.5145474620751</v>
      </c>
      <c r="F31" s="23">
        <v>1202.4031759291365</v>
      </c>
      <c r="G31" s="23">
        <v>1293.0210220870827</v>
      </c>
      <c r="H31" s="23">
        <v>1437.1298932437701</v>
      </c>
      <c r="I31" s="23">
        <v>1620.7803313308884</v>
      </c>
      <c r="J31" s="23">
        <v>1616.2777090486434</v>
      </c>
      <c r="K31" s="23">
        <v>1879.7779333324552</v>
      </c>
      <c r="L31" s="23">
        <v>1963.9919108092865</v>
      </c>
      <c r="M31" s="23">
        <v>1873.8044507897935</v>
      </c>
      <c r="N31" s="23">
        <v>1753.0277610697267</v>
      </c>
      <c r="O31" s="23">
        <v>1667.4043331809005</v>
      </c>
      <c r="P31" s="23">
        <v>1709.8714978244675</v>
      </c>
      <c r="Q31" s="23">
        <v>1782.9293791504165</v>
      </c>
      <c r="R31" s="23">
        <v>1981.3847801162888</v>
      </c>
      <c r="S31" s="23">
        <v>2262.147755</v>
      </c>
      <c r="T31" s="23">
        <v>2471.955038492707</v>
      </c>
      <c r="U31" s="23">
        <v>2658.2356023224934</v>
      </c>
      <c r="V31" s="23">
        <v>2864.8900644557343</v>
      </c>
      <c r="W31" s="23">
        <v>2933.5591895004791</v>
      </c>
      <c r="X31" s="23">
        <v>3031.4241439591542</v>
      </c>
      <c r="Y31" s="23">
        <v>2977.9375177603538</v>
      </c>
      <c r="Z31" s="23">
        <v>2907.0602528680652</v>
      </c>
      <c r="AA31" s="23">
        <v>3127.9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2313.3106410442533</v>
      </c>
      <c r="E32" s="23">
        <v>2474.6645906676099</v>
      </c>
      <c r="F32" s="23">
        <v>2677.5632159631873</v>
      </c>
      <c r="G32" s="23">
        <v>2814.9006945623441</v>
      </c>
      <c r="H32" s="23">
        <v>2986.305202866823</v>
      </c>
      <c r="I32" s="23">
        <v>3053.9287752743226</v>
      </c>
      <c r="J32" s="23">
        <v>2961.9497548462955</v>
      </c>
      <c r="K32" s="23">
        <v>3079.7831355608555</v>
      </c>
      <c r="L32" s="23">
        <v>3007.6187391208427</v>
      </c>
      <c r="M32" s="23">
        <v>3187.2038979343843</v>
      </c>
      <c r="N32" s="23">
        <v>3171.8277379354995</v>
      </c>
      <c r="O32" s="23">
        <v>3289.4788984685993</v>
      </c>
      <c r="P32" s="23">
        <v>3350.6687165977378</v>
      </c>
      <c r="Q32" s="23">
        <v>3435.6836323389898</v>
      </c>
      <c r="R32" s="23">
        <v>3521.2390856604679</v>
      </c>
      <c r="S32" s="23">
        <v>3627.8268720000024</v>
      </c>
      <c r="T32" s="23">
        <v>3775.3953899918861</v>
      </c>
      <c r="U32" s="23">
        <v>3950.8520252462231</v>
      </c>
      <c r="V32" s="23">
        <v>4173.3304843443839</v>
      </c>
      <c r="W32" s="23">
        <v>4422.1003397245404</v>
      </c>
      <c r="X32" s="23">
        <v>4602.3709732319621</v>
      </c>
      <c r="Y32" s="23">
        <v>4689.1103869564386</v>
      </c>
      <c r="Z32" s="23">
        <v>4909.1106747272142</v>
      </c>
      <c r="AA32" s="23">
        <v>5131.5999999999985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1635.3515513819643</v>
      </c>
      <c r="E33" s="23">
        <v>1736.6288132881007</v>
      </c>
      <c r="F33" s="23">
        <v>1814.8663162374301</v>
      </c>
      <c r="G33" s="23">
        <v>1911.2024340551638</v>
      </c>
      <c r="H33" s="23">
        <v>1944.2828305394787</v>
      </c>
      <c r="I33" s="23">
        <v>1967.9835048015866</v>
      </c>
      <c r="J33" s="23">
        <v>1998.103175642276</v>
      </c>
      <c r="K33" s="23">
        <v>2090.0810033057196</v>
      </c>
      <c r="L33" s="23">
        <v>2078.4148091397187</v>
      </c>
      <c r="M33" s="23">
        <v>2211.1943876063183</v>
      </c>
      <c r="N33" s="23">
        <v>2302.7445114051729</v>
      </c>
      <c r="O33" s="23">
        <v>2342.0867495008756</v>
      </c>
      <c r="P33" s="23">
        <v>2427.5079625570879</v>
      </c>
      <c r="Q33" s="23">
        <v>2459.5083777801201</v>
      </c>
      <c r="R33" s="23">
        <v>2512.9659988944395</v>
      </c>
      <c r="S33" s="23">
        <v>2558.0427119999999</v>
      </c>
      <c r="T33" s="23">
        <v>2661.0634501620743</v>
      </c>
      <c r="U33" s="23">
        <v>2747.9952192695637</v>
      </c>
      <c r="V33" s="23">
        <v>2914.1083899718187</v>
      </c>
      <c r="W33" s="23">
        <v>3076.1830282910209</v>
      </c>
      <c r="X33" s="23">
        <v>3202.4033048448855</v>
      </c>
      <c r="Y33" s="23">
        <v>3218.0214413513654</v>
      </c>
      <c r="Z33" s="23">
        <v>3263.2254121683482</v>
      </c>
      <c r="AA33" s="23">
        <v>3305.6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1905.2659970634268</v>
      </c>
      <c r="E34" s="23">
        <v>2110.8914133009025</v>
      </c>
      <c r="F34" s="23">
        <v>2351.9080509409578</v>
      </c>
      <c r="G34" s="23">
        <v>2522.9086233774251</v>
      </c>
      <c r="H34" s="23">
        <v>2797.2039913635408</v>
      </c>
      <c r="I34" s="23">
        <v>2756.6734721251119</v>
      </c>
      <c r="J34" s="23">
        <v>2746.5161200251164</v>
      </c>
      <c r="K34" s="23">
        <v>2857.0483570177403</v>
      </c>
      <c r="L34" s="23">
        <v>2867.6435362475177</v>
      </c>
      <c r="M34" s="23">
        <v>3135.2732466585667</v>
      </c>
      <c r="N34" s="23">
        <v>3158.0279519270812</v>
      </c>
      <c r="O34" s="23">
        <v>3221.4842466288187</v>
      </c>
      <c r="P34" s="23">
        <v>3350.1025339825746</v>
      </c>
      <c r="Q34" s="23">
        <v>3588.107373247602</v>
      </c>
      <c r="R34" s="23">
        <v>3609.8135881582184</v>
      </c>
      <c r="S34" s="23">
        <v>3624.94265</v>
      </c>
      <c r="T34" s="23">
        <v>3786.5506614667752</v>
      </c>
      <c r="U34" s="23">
        <v>4026.5826427283355</v>
      </c>
      <c r="V34" s="23">
        <v>4315.2326695985412</v>
      </c>
      <c r="W34" s="23">
        <v>4660.398888878135</v>
      </c>
      <c r="X34" s="23">
        <v>4779.5344867454714</v>
      </c>
      <c r="Y34" s="23">
        <v>5063.9540607623358</v>
      </c>
      <c r="Z34" s="23">
        <v>5086.5445018103246</v>
      </c>
      <c r="AA34" s="23">
        <v>5133.3999999999996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244.95370540684451</v>
      </c>
      <c r="E35" s="23">
        <v>257.62022018818413</v>
      </c>
      <c r="F35" s="23">
        <v>277.71607981590648</v>
      </c>
      <c r="G35" s="23">
        <v>291.5873697695597</v>
      </c>
      <c r="H35" s="23">
        <v>304.09519147149666</v>
      </c>
      <c r="I35" s="23">
        <v>336.5401449751003</v>
      </c>
      <c r="J35" s="23">
        <v>350.82404109497548</v>
      </c>
      <c r="K35" s="23">
        <v>365.69942709636626</v>
      </c>
      <c r="L35" s="23">
        <v>359.82144573291811</v>
      </c>
      <c r="M35" s="23">
        <v>398.24119076549215</v>
      </c>
      <c r="N35" s="23">
        <v>397.00922824226166</v>
      </c>
      <c r="O35" s="23">
        <v>392.02937974725893</v>
      </c>
      <c r="P35" s="23">
        <v>408.7838481553859</v>
      </c>
      <c r="Q35" s="23">
        <v>428.66586065141769</v>
      </c>
      <c r="R35" s="23">
        <v>416.83697690606817</v>
      </c>
      <c r="S35" s="23">
        <v>431.97779500000001</v>
      </c>
      <c r="T35" s="23">
        <v>426.42353221231753</v>
      </c>
      <c r="U35" s="23">
        <v>447.49910330341038</v>
      </c>
      <c r="V35" s="23">
        <v>442.45357041862098</v>
      </c>
      <c r="W35" s="23">
        <v>493.21962756124242</v>
      </c>
      <c r="X35" s="23">
        <v>462.4925671050928</v>
      </c>
      <c r="Y35" s="23">
        <v>485.57203511726215</v>
      </c>
      <c r="Z35" s="23">
        <v>518.78580276950743</v>
      </c>
      <c r="AA35" s="23">
        <v>527.29999999999995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370.6035335689046</v>
      </c>
      <c r="E36" s="23">
        <v>375.52133073033349</v>
      </c>
      <c r="F36" s="23">
        <v>388.47189736153575</v>
      </c>
      <c r="G36" s="23">
        <v>401.26145333312758</v>
      </c>
      <c r="H36" s="23">
        <v>433.63541847842379</v>
      </c>
      <c r="I36" s="23">
        <v>457.94901328462777</v>
      </c>
      <c r="J36" s="23">
        <v>445.93010915017834</v>
      </c>
      <c r="K36" s="23">
        <v>457.21061517997077</v>
      </c>
      <c r="L36" s="23">
        <v>455.44170487141133</v>
      </c>
      <c r="M36" s="23">
        <v>500.98741798298909</v>
      </c>
      <c r="N36" s="23">
        <v>498.30875630407633</v>
      </c>
      <c r="O36" s="23">
        <v>501.40572292180195</v>
      </c>
      <c r="P36" s="23">
        <v>504.46871011973531</v>
      </c>
      <c r="Q36" s="23">
        <v>508.2633899019711</v>
      </c>
      <c r="R36" s="23">
        <v>503.66683011219396</v>
      </c>
      <c r="S36" s="23">
        <v>511.03169800000001</v>
      </c>
      <c r="T36" s="23">
        <v>543.6866835494327</v>
      </c>
      <c r="U36" s="23">
        <v>550.11863642668879</v>
      </c>
      <c r="V36" s="23">
        <v>546.25949332527227</v>
      </c>
      <c r="W36" s="23">
        <v>567.57689582748571</v>
      </c>
      <c r="X36" s="23">
        <v>526.03375881014483</v>
      </c>
      <c r="Y36" s="23">
        <v>635.73947008367099</v>
      </c>
      <c r="Z36" s="23">
        <v>635.77751569085115</v>
      </c>
      <c r="AA36" s="23">
        <v>681.2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165.41778724365491</v>
      </c>
      <c r="E37" s="23">
        <v>172.44610830186264</v>
      </c>
      <c r="F37" s="23">
        <v>178.11849762002333</v>
      </c>
      <c r="G37" s="23">
        <v>183.53209186744664</v>
      </c>
      <c r="H37" s="23">
        <v>186.54578972621226</v>
      </c>
      <c r="I37" s="23">
        <v>186.1353219845607</v>
      </c>
      <c r="J37" s="23">
        <v>194.94116711867576</v>
      </c>
      <c r="K37" s="23">
        <v>185.95764069064521</v>
      </c>
      <c r="L37" s="23">
        <v>177.74118757508148</v>
      </c>
      <c r="M37" s="23">
        <v>183.0316512758202</v>
      </c>
      <c r="N37" s="23">
        <v>172.57314810530698</v>
      </c>
      <c r="O37" s="23">
        <v>178.83324559153218</v>
      </c>
      <c r="P37" s="23">
        <v>169.99633020589283</v>
      </c>
      <c r="Q37" s="23">
        <v>177.57434910930746</v>
      </c>
      <c r="R37" s="23">
        <v>172.988687453935</v>
      </c>
      <c r="S37" s="23">
        <v>172.92221900000001</v>
      </c>
      <c r="T37" s="23">
        <v>181.00755976499192</v>
      </c>
      <c r="U37" s="23">
        <v>187.05332619939361</v>
      </c>
      <c r="V37" s="23">
        <v>189.45859328529218</v>
      </c>
      <c r="W37" s="23">
        <v>196.29811264143089</v>
      </c>
      <c r="X37" s="23">
        <v>186.7431969957637</v>
      </c>
      <c r="Y37" s="23">
        <v>184.08733796418107</v>
      </c>
      <c r="Z37" s="23">
        <v>179.48821021204301</v>
      </c>
      <c r="AA37" s="23">
        <v>172.5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43368.44010035981</v>
      </c>
      <c r="E39" s="30">
        <f t="shared" ref="E39:S39" si="3">SUM(E18:E38)</f>
        <v>44945.497730909563</v>
      </c>
      <c r="F39" s="30">
        <f t="shared" si="3"/>
        <v>46335.398825773111</v>
      </c>
      <c r="G39" s="30">
        <f t="shared" si="3"/>
        <v>47501.019225485805</v>
      </c>
      <c r="H39" s="30">
        <f t="shared" si="3"/>
        <v>49247.498775002234</v>
      </c>
      <c r="I39" s="30">
        <f t="shared" si="3"/>
        <v>50310.787431686193</v>
      </c>
      <c r="J39" s="30">
        <f t="shared" si="3"/>
        <v>53742.635020240203</v>
      </c>
      <c r="K39" s="30">
        <f t="shared" si="3"/>
        <v>58115.47496213569</v>
      </c>
      <c r="L39" s="30">
        <f t="shared" si="3"/>
        <v>57851.542429331435</v>
      </c>
      <c r="M39" s="30">
        <f t="shared" si="3"/>
        <v>55939.984287970838</v>
      </c>
      <c r="N39" s="30">
        <f t="shared" si="3"/>
        <v>57983.212949382316</v>
      </c>
      <c r="O39" s="30">
        <f t="shared" si="3"/>
        <v>58199.18144818586</v>
      </c>
      <c r="P39" s="30">
        <f t="shared" si="3"/>
        <v>59000.050233748269</v>
      </c>
      <c r="Q39" s="30">
        <f t="shared" si="3"/>
        <v>60830.477067566135</v>
      </c>
      <c r="R39" s="30">
        <f t="shared" si="3"/>
        <v>62075.963833838352</v>
      </c>
      <c r="S39" s="30">
        <f t="shared" si="3"/>
        <v>64943.895672999999</v>
      </c>
      <c r="T39" s="30">
        <f t="shared" ref="T39:Y39" si="4">SUM(T18:T38)</f>
        <v>68241.310840761726</v>
      </c>
      <c r="U39" s="30">
        <f t="shared" si="4"/>
        <v>68860.954179299704</v>
      </c>
      <c r="V39" s="30">
        <f t="shared" si="4"/>
        <v>69715.009537693462</v>
      </c>
      <c r="W39" s="30">
        <f t="shared" si="4"/>
        <v>71686.497306400561</v>
      </c>
      <c r="X39" s="30">
        <f t="shared" si="4"/>
        <v>71051.299769687539</v>
      </c>
      <c r="Y39" s="30">
        <f t="shared" si="4"/>
        <v>76203.76417846304</v>
      </c>
      <c r="Z39" s="30">
        <f t="shared" ref="Z39:AA39" si="5">SUM(Z18:Z38)</f>
        <v>75071.808924609693</v>
      </c>
      <c r="AA39" s="30">
        <f t="shared" si="5"/>
        <v>74961.7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412.48680962292462</v>
      </c>
      <c r="E41" s="19">
        <v>411.18536772706904</v>
      </c>
      <c r="F41" s="19">
        <v>423.80630930239886</v>
      </c>
      <c r="G41" s="19">
        <v>449.82562317677389</v>
      </c>
      <c r="H41" s="19">
        <v>463.51419617956634</v>
      </c>
      <c r="I41" s="19">
        <v>480.02335297726916</v>
      </c>
      <c r="J41" s="19">
        <v>426.13823863408641</v>
      </c>
      <c r="K41" s="19">
        <v>439.08104018227556</v>
      </c>
      <c r="L41" s="19">
        <v>367.3746426732697</v>
      </c>
      <c r="M41" s="19">
        <v>434.56078736330505</v>
      </c>
      <c r="N41" s="19">
        <v>430.82628626289738</v>
      </c>
      <c r="O41" s="19">
        <v>364.97774406906319</v>
      </c>
      <c r="P41" s="19">
        <v>365.75396940218741</v>
      </c>
      <c r="Q41" s="19">
        <v>363.71648782544531</v>
      </c>
      <c r="R41" s="19">
        <v>365.16851711571536</v>
      </c>
      <c r="S41" s="19">
        <v>374.42445600000002</v>
      </c>
      <c r="T41" s="19">
        <v>382.99765397082655</v>
      </c>
      <c r="U41" s="19">
        <v>360.33744922022066</v>
      </c>
      <c r="V41" s="19">
        <v>360.38041462296803</v>
      </c>
      <c r="W41" s="19">
        <v>377.1618353898852</v>
      </c>
      <c r="X41" s="19">
        <v>363.84673565232652</v>
      </c>
      <c r="Y41" s="19">
        <v>368.40628998067018</v>
      </c>
      <c r="Z41" s="19">
        <v>306.53122320626642</v>
      </c>
      <c r="AA41" s="19">
        <v>314.168677766239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336.96999370734306</v>
      </c>
      <c r="E42" s="23">
        <v>332.7244863342508</v>
      </c>
      <c r="F42" s="23">
        <v>340.11954417930207</v>
      </c>
      <c r="G42" s="23">
        <v>356.94664835080033</v>
      </c>
      <c r="H42" s="23">
        <v>407.09834617806695</v>
      </c>
      <c r="I42" s="23">
        <v>364.413675603944</v>
      </c>
      <c r="J42" s="23">
        <v>331.90791706189628</v>
      </c>
      <c r="K42" s="23">
        <v>341.18133519472133</v>
      </c>
      <c r="L42" s="23">
        <v>208.75750692588687</v>
      </c>
      <c r="M42" s="23">
        <v>178.73064641555288</v>
      </c>
      <c r="N42" s="23">
        <v>263.25745616064404</v>
      </c>
      <c r="O42" s="23">
        <v>246.97412248904158</v>
      </c>
      <c r="P42" s="23">
        <v>200.0040088100971</v>
      </c>
      <c r="Q42" s="23">
        <v>200.65210498576999</v>
      </c>
      <c r="R42" s="23">
        <v>185.87225145360742</v>
      </c>
      <c r="S42" s="23">
        <v>242.53685000000002</v>
      </c>
      <c r="T42" s="23">
        <v>297.60670684764989</v>
      </c>
      <c r="U42" s="23">
        <v>306.29982165150705</v>
      </c>
      <c r="V42" s="23">
        <v>299.40082690563719</v>
      </c>
      <c r="W42" s="23">
        <v>334.73459673438572</v>
      </c>
      <c r="X42" s="23">
        <v>351.90179070240669</v>
      </c>
      <c r="Y42" s="23">
        <v>332.41504937816836</v>
      </c>
      <c r="Z42" s="23">
        <v>323.61940552087032</v>
      </c>
      <c r="AA42" s="23">
        <v>290.7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291.2791471029575</v>
      </c>
      <c r="E43" s="23">
        <v>283.63398835050884</v>
      </c>
      <c r="F43" s="23">
        <v>322.55565520284966</v>
      </c>
      <c r="G43" s="23">
        <v>338.9374353671148</v>
      </c>
      <c r="H43" s="23">
        <v>333.58082736078205</v>
      </c>
      <c r="I43" s="23">
        <v>298.37772720138122</v>
      </c>
      <c r="J43" s="23">
        <v>259.57125756502916</v>
      </c>
      <c r="K43" s="23">
        <v>239.48305258860248</v>
      </c>
      <c r="L43" s="23">
        <v>205.06126161465099</v>
      </c>
      <c r="M43" s="23">
        <v>194.34170109356018</v>
      </c>
      <c r="N43" s="23">
        <v>196.38157011983529</v>
      </c>
      <c r="O43" s="23">
        <v>176.20119455257259</v>
      </c>
      <c r="P43" s="23">
        <v>164.05141274656938</v>
      </c>
      <c r="Q43" s="23">
        <v>145.92880362601454</v>
      </c>
      <c r="R43" s="23">
        <v>152.85811870444681</v>
      </c>
      <c r="S43" s="23">
        <v>141.982383</v>
      </c>
      <c r="T43" s="23">
        <v>142.22971130470015</v>
      </c>
      <c r="U43" s="23">
        <v>147.30449438202245</v>
      </c>
      <c r="V43" s="23">
        <v>141.00730660841921</v>
      </c>
      <c r="W43" s="23">
        <v>147.57343186769896</v>
      </c>
      <c r="X43" s="23">
        <v>142.36358617400361</v>
      </c>
      <c r="Y43" s="23">
        <v>144.1476189601558</v>
      </c>
      <c r="Z43" s="23">
        <v>119.93754494377859</v>
      </c>
      <c r="AA43" s="23">
        <v>122.92587853003251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158.43724123465157</v>
      </c>
      <c r="E45" s="23">
        <v>155.45324361518274</v>
      </c>
      <c r="F45" s="23">
        <v>186.17722315039558</v>
      </c>
      <c r="G45" s="23">
        <v>207.40947537390608</v>
      </c>
      <c r="H45" s="23">
        <v>203.64745854199776</v>
      </c>
      <c r="I45" s="23">
        <v>154.70744852385096</v>
      </c>
      <c r="J45" s="23">
        <v>137.66734712963085</v>
      </c>
      <c r="K45" s="23">
        <v>112.576027604736</v>
      </c>
      <c r="L45" s="23">
        <v>158.93854838314252</v>
      </c>
      <c r="M45" s="23">
        <v>121.70250789793441</v>
      </c>
      <c r="N45" s="23">
        <v>121.92338407439968</v>
      </c>
      <c r="O45" s="23">
        <v>129.26295102445991</v>
      </c>
      <c r="P45" s="23">
        <v>103.46987292298724</v>
      </c>
      <c r="Q45" s="23">
        <v>119.67267418572783</v>
      </c>
      <c r="R45" s="23">
        <v>135.81423716321351</v>
      </c>
      <c r="S45" s="23">
        <v>136.86944400000002</v>
      </c>
      <c r="T45" s="23">
        <v>137.44888067260939</v>
      </c>
      <c r="U45" s="23">
        <v>142.75805937023165</v>
      </c>
      <c r="V45" s="23">
        <v>132.56987937709042</v>
      </c>
      <c r="W45" s="23">
        <v>126.25508860906513</v>
      </c>
      <c r="X45" s="23">
        <v>166.85625913387719</v>
      </c>
      <c r="Y45" s="23">
        <v>188.68664684523495</v>
      </c>
      <c r="Z45" s="23">
        <v>132.2373982465835</v>
      </c>
      <c r="AA45" s="23">
        <v>120.9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162.221407670573</v>
      </c>
      <c r="E46" s="23">
        <v>160.50656898118046</v>
      </c>
      <c r="F46" s="23">
        <v>195.87978753182659</v>
      </c>
      <c r="G46" s="23">
        <v>215.79480264960509</v>
      </c>
      <c r="H46" s="23">
        <v>207.39671357005628</v>
      </c>
      <c r="I46" s="23">
        <v>157.31717954451068</v>
      </c>
      <c r="J46" s="23">
        <v>138.67736410207181</v>
      </c>
      <c r="K46" s="23">
        <v>139.06471964144245</v>
      </c>
      <c r="L46" s="23">
        <v>159.52488699038406</v>
      </c>
      <c r="M46" s="23">
        <v>122.79779283481776</v>
      </c>
      <c r="N46" s="23">
        <v>119.18243662771286</v>
      </c>
      <c r="O46" s="23">
        <v>126.79531834419954</v>
      </c>
      <c r="P46" s="23">
        <v>102.47081345866373</v>
      </c>
      <c r="Q46" s="23">
        <v>115.75172852150465</v>
      </c>
      <c r="R46" s="23">
        <v>168.36556955075014</v>
      </c>
      <c r="S46" s="23">
        <v>170.69976094537924</v>
      </c>
      <c r="T46" s="23">
        <v>155.7034206718121</v>
      </c>
      <c r="U46" s="23">
        <v>139.01569528017242</v>
      </c>
      <c r="V46" s="23">
        <v>152.70514556454285</v>
      </c>
      <c r="W46" s="23">
        <v>159.81599065215099</v>
      </c>
      <c r="X46" s="23">
        <v>154.17394085941314</v>
      </c>
      <c r="Y46" s="23">
        <v>156.10597539616117</v>
      </c>
      <c r="Z46" s="23">
        <v>129.88745547885006</v>
      </c>
      <c r="AA46" s="23">
        <v>133.12369852369855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1253.3253061619632</v>
      </c>
      <c r="E47" s="23">
        <v>1153.8364910708572</v>
      </c>
      <c r="F47" s="23">
        <v>1166.8621300003153</v>
      </c>
      <c r="G47" s="23">
        <v>1128.9145981570946</v>
      </c>
      <c r="H47" s="23">
        <v>1004.477329294989</v>
      </c>
      <c r="I47" s="23">
        <v>954.24751501833589</v>
      </c>
      <c r="J47" s="23">
        <v>959.1175481957489</v>
      </c>
      <c r="K47" s="23">
        <v>1039.0836412964743</v>
      </c>
      <c r="L47" s="23">
        <v>836.47638456446589</v>
      </c>
      <c r="M47" s="23">
        <v>689.27585297691382</v>
      </c>
      <c r="N47" s="23">
        <v>741.85223245269049</v>
      </c>
      <c r="O47" s="23">
        <v>666.93248826081629</v>
      </c>
      <c r="P47" s="23">
        <v>577.36472182334467</v>
      </c>
      <c r="Q47" s="23">
        <v>780.6361853062084</v>
      </c>
      <c r="R47" s="23">
        <v>831.66089693718789</v>
      </c>
      <c r="S47" s="23">
        <v>915.87158599999998</v>
      </c>
      <c r="T47" s="23">
        <v>984.31990680713136</v>
      </c>
      <c r="U47" s="23">
        <v>740.02972177635093</v>
      </c>
      <c r="V47" s="23">
        <v>843.9984027459509</v>
      </c>
      <c r="W47" s="23">
        <v>883.29990679106868</v>
      </c>
      <c r="X47" s="23">
        <v>852.11640609317499</v>
      </c>
      <c r="Y47" s="23">
        <v>862.79472382134975</v>
      </c>
      <c r="Z47" s="23">
        <v>717.88546846675104</v>
      </c>
      <c r="AA47" s="23">
        <v>735.77212153696712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1398.0129870758506</v>
      </c>
      <c r="E48" s="23">
        <v>1345.7929254944634</v>
      </c>
      <c r="F48" s="23">
        <v>1161.9029142893166</v>
      </c>
      <c r="G48" s="23">
        <v>1333.2888129157727</v>
      </c>
      <c r="H48" s="23">
        <v>1355.1598254715566</v>
      </c>
      <c r="I48" s="23">
        <v>1342.7933077438961</v>
      </c>
      <c r="J48" s="23">
        <v>1182.4329013640433</v>
      </c>
      <c r="K48" s="23">
        <v>2007.0302835543732</v>
      </c>
      <c r="L48" s="23">
        <v>1666.6852227316185</v>
      </c>
      <c r="M48" s="23">
        <v>495.41204131227221</v>
      </c>
      <c r="N48" s="23">
        <v>653.29096839864894</v>
      </c>
      <c r="O48" s="23">
        <v>747.06381989136378</v>
      </c>
      <c r="P48" s="23">
        <v>772.98081536584584</v>
      </c>
      <c r="Q48" s="23">
        <v>718.03604511436708</v>
      </c>
      <c r="R48" s="23">
        <v>188.28791970354601</v>
      </c>
      <c r="S48" s="23">
        <v>545.77346299999999</v>
      </c>
      <c r="T48" s="23">
        <v>1115.9255500405186</v>
      </c>
      <c r="U48" s="23">
        <v>1144.1428452529574</v>
      </c>
      <c r="V48" s="23">
        <v>1300.5143518834532</v>
      </c>
      <c r="W48" s="23">
        <v>1361.0739096918419</v>
      </c>
      <c r="X48" s="23">
        <v>1313.0233564353025</v>
      </c>
      <c r="Y48" s="23">
        <v>1329.4775409625247</v>
      </c>
      <c r="Z48" s="23">
        <v>1106.187347881287</v>
      </c>
      <c r="AA48" s="23">
        <v>1133.7488325349236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578.98565946723613</v>
      </c>
      <c r="E49" s="23">
        <v>621.58478351193833</v>
      </c>
      <c r="F49" s="23">
        <v>609.166229553569</v>
      </c>
      <c r="G49" s="23">
        <v>553.94728937218849</v>
      </c>
      <c r="H49" s="23">
        <v>502.81396954986474</v>
      </c>
      <c r="I49" s="23">
        <v>523.80714944622844</v>
      </c>
      <c r="J49" s="23">
        <v>638.81036351679779</v>
      </c>
      <c r="K49" s="23">
        <v>611.3270226441133</v>
      </c>
      <c r="L49" s="23">
        <v>491.01428778713068</v>
      </c>
      <c r="M49" s="23">
        <v>512.63585115060141</v>
      </c>
      <c r="N49" s="23">
        <v>507.26718975455719</v>
      </c>
      <c r="O49" s="23">
        <v>544.81637176365598</v>
      </c>
      <c r="P49" s="23">
        <v>563.78457894694645</v>
      </c>
      <c r="Q49" s="23">
        <v>496.01608743717549</v>
      </c>
      <c r="R49" s="23">
        <v>1093.5526834588316</v>
      </c>
      <c r="S49" s="23">
        <v>1210.9736780546209</v>
      </c>
      <c r="T49" s="23">
        <v>935.38837025201212</v>
      </c>
      <c r="U49" s="23">
        <v>447.34452309764799</v>
      </c>
      <c r="V49" s="23">
        <v>410.42920222338745</v>
      </c>
      <c r="W49" s="23">
        <v>420.6372919628464</v>
      </c>
      <c r="X49" s="23">
        <v>331.74448689128775</v>
      </c>
      <c r="Y49" s="23">
        <v>340.0589339886422</v>
      </c>
      <c r="Z49" s="23">
        <v>260.66902256908446</v>
      </c>
      <c r="AA49" s="23">
        <v>322.77860290673959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21.576233118737594</v>
      </c>
      <c r="E52" s="23">
        <v>21.817999103885299</v>
      </c>
      <c r="F52" s="23">
        <v>21.696568735617689</v>
      </c>
      <c r="G52" s="23">
        <v>33.792568182870546</v>
      </c>
      <c r="H52" s="23">
        <v>40.297035715356699</v>
      </c>
      <c r="I52" s="23">
        <v>45.645244788173677</v>
      </c>
      <c r="J52" s="23">
        <v>47.64060867590279</v>
      </c>
      <c r="K52" s="23">
        <v>87.712610465039702</v>
      </c>
      <c r="L52" s="23">
        <v>77.460445218073502</v>
      </c>
      <c r="M52" s="23">
        <v>39.346229647630622</v>
      </c>
      <c r="N52" s="23">
        <v>48.83001202979689</v>
      </c>
      <c r="O52" s="23">
        <v>53.225921010071716</v>
      </c>
      <c r="P52" s="23">
        <v>54.495076710465234</v>
      </c>
      <c r="Q52" s="23">
        <v>55.27606197955096</v>
      </c>
      <c r="R52" s="23">
        <v>53.949924248628292</v>
      </c>
      <c r="S52" s="23">
        <v>51.653793999999998</v>
      </c>
      <c r="T52" s="23">
        <v>58.033971839546197</v>
      </c>
      <c r="U52" s="23">
        <v>57.67477557814636</v>
      </c>
      <c r="V52" s="23">
        <v>52.286480872931513</v>
      </c>
      <c r="W52" s="23">
        <v>54.721245361639959</v>
      </c>
      <c r="X52" s="23">
        <v>52.789398681022192</v>
      </c>
      <c r="Y52" s="23">
        <v>53.450930330647076</v>
      </c>
      <c r="Z52" s="23">
        <v>44.473668070721168</v>
      </c>
      <c r="AA52" s="23">
        <v>45.581762755016591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75.0937525210975</v>
      </c>
      <c r="E53" s="23">
        <v>87.901361774307304</v>
      </c>
      <c r="F53" s="23">
        <v>77.487745484348892</v>
      </c>
      <c r="G53" s="23">
        <v>72.643904057788703</v>
      </c>
      <c r="H53" s="23">
        <v>78.431791465499316</v>
      </c>
      <c r="I53" s="23">
        <v>115.23553602260223</v>
      </c>
      <c r="J53" s="23">
        <v>116.99973013052551</v>
      </c>
      <c r="K53" s="23">
        <v>160.74889831289741</v>
      </c>
      <c r="L53" s="23">
        <v>126.47587217141846</v>
      </c>
      <c r="M53" s="23">
        <v>105.29497083839598</v>
      </c>
      <c r="N53" s="23">
        <v>110.54993406745989</v>
      </c>
      <c r="O53" s="23">
        <v>99.725489365024217</v>
      </c>
      <c r="P53" s="23">
        <v>96.392590233316298</v>
      </c>
      <c r="Q53" s="23">
        <v>94.245685675134141</v>
      </c>
      <c r="R53" s="23">
        <v>110.85233191384805</v>
      </c>
      <c r="S53" s="23">
        <v>98.719053000000244</v>
      </c>
      <c r="T53" s="23">
        <v>115.93514282820182</v>
      </c>
      <c r="U53" s="23">
        <v>123.79293046390507</v>
      </c>
      <c r="V53" s="23">
        <v>122.85405408040866</v>
      </c>
      <c r="W53" s="23">
        <v>128.57485768346245</v>
      </c>
      <c r="X53" s="23">
        <v>124.03572648523803</v>
      </c>
      <c r="Y53" s="23">
        <v>125.59008324633707</v>
      </c>
      <c r="Z53" s="23">
        <v>104.49680932998272</v>
      </c>
      <c r="AA53" s="23">
        <v>107.10042544638327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4688.388537683335</v>
      </c>
      <c r="E54" s="30">
        <f t="shared" ref="E54:S54" si="6">SUM(E41:E53)</f>
        <v>4574.4372159636432</v>
      </c>
      <c r="F54" s="30">
        <f t="shared" si="6"/>
        <v>4505.6541074299403</v>
      </c>
      <c r="G54" s="30">
        <f t="shared" si="6"/>
        <v>4691.5011576039151</v>
      </c>
      <c r="H54" s="30">
        <f t="shared" si="6"/>
        <v>4596.4174933277354</v>
      </c>
      <c r="I54" s="30">
        <f t="shared" si="6"/>
        <v>4436.5681368701926</v>
      </c>
      <c r="J54" s="30">
        <f t="shared" si="6"/>
        <v>4238.9632763757327</v>
      </c>
      <c r="K54" s="30">
        <f t="shared" si="6"/>
        <v>5177.2886314846764</v>
      </c>
      <c r="L54" s="30">
        <f t="shared" si="6"/>
        <v>4297.7690590600414</v>
      </c>
      <c r="M54" s="30">
        <f t="shared" si="6"/>
        <v>2894.0983815309842</v>
      </c>
      <c r="N54" s="30">
        <f t="shared" si="6"/>
        <v>3193.3614699486425</v>
      </c>
      <c r="O54" s="30">
        <f t="shared" si="6"/>
        <v>3155.975420770269</v>
      </c>
      <c r="P54" s="30">
        <f t="shared" si="6"/>
        <v>3000.7678604204234</v>
      </c>
      <c r="Q54" s="30">
        <f t="shared" si="6"/>
        <v>3089.9318646568981</v>
      </c>
      <c r="R54" s="30">
        <f t="shared" si="6"/>
        <v>3286.382450249775</v>
      </c>
      <c r="S54" s="30">
        <f t="shared" si="6"/>
        <v>3889.5044680000005</v>
      </c>
      <c r="T54" s="30">
        <f t="shared" ref="T54:Y54" si="7">SUM(T41:T53)</f>
        <v>4325.5893152350081</v>
      </c>
      <c r="U54" s="30">
        <f t="shared" si="7"/>
        <v>3608.700316073162</v>
      </c>
      <c r="V54" s="30">
        <f t="shared" si="7"/>
        <v>3816.1460648847897</v>
      </c>
      <c r="W54" s="30">
        <f t="shared" si="7"/>
        <v>3993.8481547440451</v>
      </c>
      <c r="X54" s="30">
        <f t="shared" si="7"/>
        <v>3852.8516871080528</v>
      </c>
      <c r="Y54" s="30">
        <f t="shared" si="7"/>
        <v>3901.1337929098913</v>
      </c>
      <c r="Z54" s="30">
        <f t="shared" ref="Z54:AA54" si="8">SUM(Z41:Z53)</f>
        <v>3245.9253437141747</v>
      </c>
      <c r="AA54" s="30">
        <f t="shared" si="8"/>
        <v>3326.8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412.48680962292462</v>
      </c>
      <c r="E56" s="19">
        <v>411.18536772706904</v>
      </c>
      <c r="F56" s="19">
        <v>423.80630930239886</v>
      </c>
      <c r="G56" s="19">
        <v>449.82562317677389</v>
      </c>
      <c r="H56" s="19">
        <v>463.51419617956634</v>
      </c>
      <c r="I56" s="19">
        <v>480.02335297726916</v>
      </c>
      <c r="J56" s="19">
        <v>426.13823863408641</v>
      </c>
      <c r="K56" s="19">
        <v>439.08104018227556</v>
      </c>
      <c r="L56" s="19">
        <v>367.3746426732697</v>
      </c>
      <c r="M56" s="19">
        <v>434.56078736330505</v>
      </c>
      <c r="N56" s="19">
        <v>430.82628626289738</v>
      </c>
      <c r="O56" s="19">
        <v>364.97774406906319</v>
      </c>
      <c r="P56" s="19">
        <v>365.75396940218741</v>
      </c>
      <c r="Q56" s="19">
        <v>363.71648782544531</v>
      </c>
      <c r="R56" s="19">
        <v>365.16851711571536</v>
      </c>
      <c r="S56" s="19">
        <v>374.42445600000002</v>
      </c>
      <c r="T56" s="19">
        <v>382.99765397082655</v>
      </c>
      <c r="U56" s="19">
        <v>360.33744922022066</v>
      </c>
      <c r="V56" s="19">
        <v>360.38041462296803</v>
      </c>
      <c r="W56" s="19">
        <v>377.1618353898852</v>
      </c>
      <c r="X56" s="19">
        <v>363.84673565232652</v>
      </c>
      <c r="Y56" s="19">
        <v>368.40628998067018</v>
      </c>
      <c r="Z56" s="19">
        <v>306.53122320626642</v>
      </c>
      <c r="AA56" s="19">
        <v>314.168677766239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336.96999370734306</v>
      </c>
      <c r="E57" s="23">
        <v>332.7244863342508</v>
      </c>
      <c r="F57" s="23">
        <v>340.11954417930207</v>
      </c>
      <c r="G57" s="23">
        <v>356.94664835080033</v>
      </c>
      <c r="H57" s="23">
        <v>407.09834617806695</v>
      </c>
      <c r="I57" s="23">
        <v>364.413675603944</v>
      </c>
      <c r="J57" s="23">
        <v>331.90791706189628</v>
      </c>
      <c r="K57" s="23">
        <v>341.18133519472133</v>
      </c>
      <c r="L57" s="23">
        <v>208.75750692588687</v>
      </c>
      <c r="M57" s="23">
        <v>178.73064641555288</v>
      </c>
      <c r="N57" s="23">
        <v>263.25745616064404</v>
      </c>
      <c r="O57" s="23">
        <v>246.97412248904158</v>
      </c>
      <c r="P57" s="23">
        <v>200.0040088100971</v>
      </c>
      <c r="Q57" s="23">
        <v>200.65210498576999</v>
      </c>
      <c r="R57" s="23">
        <v>185.87225145360742</v>
      </c>
      <c r="S57" s="23">
        <v>242.53685000000002</v>
      </c>
      <c r="T57" s="23">
        <v>297.60670684764989</v>
      </c>
      <c r="U57" s="23">
        <v>306.29982165150705</v>
      </c>
      <c r="V57" s="23">
        <v>299.40082690563719</v>
      </c>
      <c r="W57" s="23">
        <v>334.73459673438572</v>
      </c>
      <c r="X57" s="23">
        <v>351.90179070240669</v>
      </c>
      <c r="Y57" s="23">
        <v>332.41504937816836</v>
      </c>
      <c r="Z57" s="23">
        <v>323.61940552087032</v>
      </c>
      <c r="AA57" s="23">
        <v>290.7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79.535918163189578</v>
      </c>
      <c r="E58" s="23">
        <v>70.698708634705241</v>
      </c>
      <c r="F58" s="23">
        <v>81.413791255555893</v>
      </c>
      <c r="G58" s="23">
        <v>78.107373165197799</v>
      </c>
      <c r="H58" s="23">
        <v>94.94374756349896</v>
      </c>
      <c r="I58" s="23">
        <v>83.807662561892656</v>
      </c>
      <c r="J58" s="23">
        <v>72.862107386674865</v>
      </c>
      <c r="K58" s="23">
        <v>72.000312133703858</v>
      </c>
      <c r="L58" s="23">
        <v>60.907694476451979</v>
      </c>
      <c r="M58" s="23">
        <v>53.205023086269748</v>
      </c>
      <c r="N58" s="23">
        <v>73.245018044695314</v>
      </c>
      <c r="O58" s="23">
        <v>65.947501031709734</v>
      </c>
      <c r="P58" s="23">
        <v>61.430813746342629</v>
      </c>
      <c r="Q58" s="23">
        <v>55.137871824602087</v>
      </c>
      <c r="R58" s="23">
        <v>50.729033248710174</v>
      </c>
      <c r="S58" s="23">
        <v>42.476723999999997</v>
      </c>
      <c r="T58" s="23">
        <v>42.550716955422764</v>
      </c>
      <c r="U58" s="23">
        <v>44.068934607364056</v>
      </c>
      <c r="V58" s="23">
        <v>42.185011395316558</v>
      </c>
      <c r="W58" s="23">
        <v>44.149392359311605</v>
      </c>
      <c r="X58" s="23">
        <v>42.590768162859803</v>
      </c>
      <c r="Y58" s="23">
        <v>43.124495422982889</v>
      </c>
      <c r="Z58" s="23">
        <v>35.881592393152594</v>
      </c>
      <c r="AA58" s="23">
        <v>36.7756090893172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211.74322893976796</v>
      </c>
      <c r="E60" s="23">
        <v>212.9352797158036</v>
      </c>
      <c r="F60" s="23">
        <v>241.14186394729373</v>
      </c>
      <c r="G60" s="23">
        <v>260.83006220191703</v>
      </c>
      <c r="H60" s="23">
        <v>238.63707979728309</v>
      </c>
      <c r="I60" s="23">
        <v>214.57006463948858</v>
      </c>
      <c r="J60" s="23">
        <v>186.70915017835432</v>
      </c>
      <c r="K60" s="23">
        <v>167.48274045489862</v>
      </c>
      <c r="L60" s="23">
        <v>144.15356713819898</v>
      </c>
      <c r="M60" s="23">
        <v>141.13667800729041</v>
      </c>
      <c r="N60" s="23">
        <v>123.13655207513997</v>
      </c>
      <c r="O60" s="23">
        <v>110.25369352086285</v>
      </c>
      <c r="P60" s="23">
        <v>102.62059900022675</v>
      </c>
      <c r="Q60" s="23">
        <v>90.790931801412441</v>
      </c>
      <c r="R60" s="23">
        <v>102.12908545573664</v>
      </c>
      <c r="S60" s="23">
        <v>99.505659000000009</v>
      </c>
      <c r="T60" s="23">
        <v>99.678994349277389</v>
      </c>
      <c r="U60" s="23">
        <v>103.23555977465841</v>
      </c>
      <c r="V60" s="23">
        <v>98.822295213102663</v>
      </c>
      <c r="W60" s="23">
        <v>103.42403950838737</v>
      </c>
      <c r="X60" s="23">
        <v>99.772818011143812</v>
      </c>
      <c r="Y60" s="23">
        <v>101.02312353717289</v>
      </c>
      <c r="Z60" s="23">
        <v>84.055952550626017</v>
      </c>
      <c r="AA60" s="23">
        <v>86.150269440715306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158.43724123465157</v>
      </c>
      <c r="E62" s="23">
        <v>155.45324361518274</v>
      </c>
      <c r="F62" s="23">
        <v>186.17722315039558</v>
      </c>
      <c r="G62" s="23">
        <v>207.40947537390608</v>
      </c>
      <c r="H62" s="23">
        <v>203.64745854199776</v>
      </c>
      <c r="I62" s="23">
        <v>154.70744852385096</v>
      </c>
      <c r="J62" s="23">
        <v>137.66734712963085</v>
      </c>
      <c r="K62" s="23">
        <v>112.576027604736</v>
      </c>
      <c r="L62" s="23">
        <v>158.93854838314252</v>
      </c>
      <c r="M62" s="23">
        <v>121.70250789793441</v>
      </c>
      <c r="N62" s="23">
        <v>121.92338407439968</v>
      </c>
      <c r="O62" s="23">
        <v>129.26295102445991</v>
      </c>
      <c r="P62" s="23">
        <v>103.46987292298724</v>
      </c>
      <c r="Q62" s="23">
        <v>119.67267418572783</v>
      </c>
      <c r="R62" s="23">
        <v>135.81423716321351</v>
      </c>
      <c r="S62" s="23">
        <v>136.86944400000002</v>
      </c>
      <c r="T62" s="23">
        <v>137.44888067260939</v>
      </c>
      <c r="U62" s="23">
        <v>142.75805937023165</v>
      </c>
      <c r="V62" s="23">
        <v>132.56987937709042</v>
      </c>
      <c r="W62" s="23">
        <v>126.25508860906513</v>
      </c>
      <c r="X62" s="23">
        <v>166.85625913387719</v>
      </c>
      <c r="Y62" s="23">
        <v>188.68664684523495</v>
      </c>
      <c r="Z62" s="23">
        <v>132.2373982465835</v>
      </c>
      <c r="AA62" s="23">
        <v>120.9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162.221407670573</v>
      </c>
      <c r="E63" s="23">
        <v>160.50656898118046</v>
      </c>
      <c r="F63" s="23">
        <v>195.87978753182659</v>
      </c>
      <c r="G63" s="23">
        <v>215.79480264960509</v>
      </c>
      <c r="H63" s="23">
        <v>207.39671357005628</v>
      </c>
      <c r="I63" s="23">
        <v>157.31717954451068</v>
      </c>
      <c r="J63" s="23">
        <v>138.67736410207181</v>
      </c>
      <c r="K63" s="23">
        <v>139.06471964144245</v>
      </c>
      <c r="L63" s="23">
        <v>159.52488699038406</v>
      </c>
      <c r="M63" s="23">
        <v>122.79779283481776</v>
      </c>
      <c r="N63" s="23">
        <v>119.18243662771286</v>
      </c>
      <c r="O63" s="23">
        <v>126.79531834419954</v>
      </c>
      <c r="P63" s="23">
        <v>102.47081345866373</v>
      </c>
      <c r="Q63" s="23">
        <v>115.75172852150465</v>
      </c>
      <c r="R63" s="23">
        <v>168.36556955075014</v>
      </c>
      <c r="S63" s="23">
        <v>170.69976094537924</v>
      </c>
      <c r="T63" s="23">
        <v>155.7034206718121</v>
      </c>
      <c r="U63" s="23">
        <v>139.01569528017242</v>
      </c>
      <c r="V63" s="23">
        <v>152.70514556454285</v>
      </c>
      <c r="W63" s="23">
        <v>159.81599065215099</v>
      </c>
      <c r="X63" s="23">
        <v>154.17394085941314</v>
      </c>
      <c r="Y63" s="23">
        <v>156.10597539616117</v>
      </c>
      <c r="Z63" s="23">
        <v>129.88745547885006</v>
      </c>
      <c r="AA63" s="23">
        <v>133.12369852369855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1253.3253061619632</v>
      </c>
      <c r="E65" s="23">
        <v>1153.8364910708572</v>
      </c>
      <c r="F65" s="23">
        <v>1166.8621300003153</v>
      </c>
      <c r="G65" s="23">
        <v>1128.9145981570946</v>
      </c>
      <c r="H65" s="23">
        <v>1004.477329294989</v>
      </c>
      <c r="I65" s="23">
        <v>954.24751501833589</v>
      </c>
      <c r="J65" s="23">
        <v>959.1175481957489</v>
      </c>
      <c r="K65" s="23">
        <v>1039.0836412964743</v>
      </c>
      <c r="L65" s="23">
        <v>836.47638456446589</v>
      </c>
      <c r="M65" s="23">
        <v>689.27585297691382</v>
      </c>
      <c r="N65" s="23">
        <v>741.85223245269049</v>
      </c>
      <c r="O65" s="23">
        <v>666.93248826081629</v>
      </c>
      <c r="P65" s="23">
        <v>577.36472182334467</v>
      </c>
      <c r="Q65" s="23">
        <v>780.6361853062084</v>
      </c>
      <c r="R65" s="23">
        <v>831.66089693718789</v>
      </c>
      <c r="S65" s="23">
        <v>915.87158599999998</v>
      </c>
      <c r="T65" s="23">
        <v>984.31990680713136</v>
      </c>
      <c r="U65" s="23">
        <v>740.02972177635093</v>
      </c>
      <c r="V65" s="23">
        <v>843.9984027459509</v>
      </c>
      <c r="W65" s="23">
        <v>883.29990679106868</v>
      </c>
      <c r="X65" s="23">
        <v>852.11640609317499</v>
      </c>
      <c r="Y65" s="23">
        <v>862.79472382134975</v>
      </c>
      <c r="Z65" s="23">
        <v>717.88546846675104</v>
      </c>
      <c r="AA65" s="23">
        <v>735.77212153696712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1398.0129870758506</v>
      </c>
      <c r="E66" s="23">
        <v>1345.7929254944634</v>
      </c>
      <c r="F66" s="23">
        <v>1161.9029142893166</v>
      </c>
      <c r="G66" s="23">
        <v>1333.2888129157727</v>
      </c>
      <c r="H66" s="23">
        <v>1355.1598254715566</v>
      </c>
      <c r="I66" s="23">
        <v>1342.7933077438961</v>
      </c>
      <c r="J66" s="23">
        <v>1182.4329013640433</v>
      </c>
      <c r="K66" s="23">
        <v>2007.0302835543732</v>
      </c>
      <c r="L66" s="23">
        <v>1666.6852227316185</v>
      </c>
      <c r="M66" s="23">
        <v>495.41204131227221</v>
      </c>
      <c r="N66" s="23">
        <v>653.29096839864894</v>
      </c>
      <c r="O66" s="23">
        <v>747.06381989136378</v>
      </c>
      <c r="P66" s="23">
        <v>772.98081536584584</v>
      </c>
      <c r="Q66" s="23">
        <v>718.03604511436708</v>
      </c>
      <c r="R66" s="23">
        <v>188.28791970354601</v>
      </c>
      <c r="S66" s="23">
        <v>545.77346299999999</v>
      </c>
      <c r="T66" s="23">
        <v>1115.9255500405186</v>
      </c>
      <c r="U66" s="23">
        <v>1144.1428452529574</v>
      </c>
      <c r="V66" s="23">
        <v>1300.5143518834532</v>
      </c>
      <c r="W66" s="23">
        <v>1361.0739096918419</v>
      </c>
      <c r="X66" s="23">
        <v>1313.0233564353025</v>
      </c>
      <c r="Y66" s="23">
        <v>1329.4775409625247</v>
      </c>
      <c r="Z66" s="23">
        <v>1106.187347881287</v>
      </c>
      <c r="AA66" s="23">
        <v>1133.7488325349236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578.98565946723613</v>
      </c>
      <c r="E68" s="23">
        <v>621.58478351193833</v>
      </c>
      <c r="F68" s="23">
        <v>609.166229553569</v>
      </c>
      <c r="G68" s="23">
        <v>553.94728937218849</v>
      </c>
      <c r="H68" s="23">
        <v>502.81396954986474</v>
      </c>
      <c r="I68" s="23">
        <v>523.80714944622844</v>
      </c>
      <c r="J68" s="23">
        <v>638.81036351679779</v>
      </c>
      <c r="K68" s="23">
        <v>611.3270226441133</v>
      </c>
      <c r="L68" s="23">
        <v>491.01428778713068</v>
      </c>
      <c r="M68" s="23">
        <v>512.63585115060141</v>
      </c>
      <c r="N68" s="23">
        <v>507.26718975455719</v>
      </c>
      <c r="O68" s="23">
        <v>544.81637176365598</v>
      </c>
      <c r="P68" s="23">
        <v>563.78457894694645</v>
      </c>
      <c r="Q68" s="23">
        <v>496.01608743717549</v>
      </c>
      <c r="R68" s="23">
        <v>1093.5526834588316</v>
      </c>
      <c r="S68" s="23">
        <v>1210.9736780546209</v>
      </c>
      <c r="T68" s="23">
        <v>935.38837025201212</v>
      </c>
      <c r="U68" s="23">
        <v>447.34452309764799</v>
      </c>
      <c r="V68" s="23">
        <v>410.42920222338745</v>
      </c>
      <c r="W68" s="23">
        <v>420.6372919628464</v>
      </c>
      <c r="X68" s="23">
        <v>331.74448689128775</v>
      </c>
      <c r="Y68" s="23">
        <v>340.0589339886422</v>
      </c>
      <c r="Z68" s="23">
        <v>260.66902256908446</v>
      </c>
      <c r="AA68" s="23">
        <v>322.77860290673959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21.576233118737594</v>
      </c>
      <c r="E72" s="23">
        <v>21.817999103885299</v>
      </c>
      <c r="F72" s="23">
        <v>21.696568735617689</v>
      </c>
      <c r="G72" s="23">
        <v>33.792568182870546</v>
      </c>
      <c r="H72" s="23">
        <v>40.297035715356699</v>
      </c>
      <c r="I72" s="23">
        <v>45.645244788173677</v>
      </c>
      <c r="J72" s="23">
        <v>47.64060867590279</v>
      </c>
      <c r="K72" s="23">
        <v>87.712610465039702</v>
      </c>
      <c r="L72" s="23">
        <v>77.460445218073502</v>
      </c>
      <c r="M72" s="23">
        <v>39.346229647630622</v>
      </c>
      <c r="N72" s="23">
        <v>48.83001202979689</v>
      </c>
      <c r="O72" s="23">
        <v>53.225921010071716</v>
      </c>
      <c r="P72" s="23">
        <v>54.495076710465234</v>
      </c>
      <c r="Q72" s="23">
        <v>55.27606197955096</v>
      </c>
      <c r="R72" s="23">
        <v>53.949924248628292</v>
      </c>
      <c r="S72" s="23">
        <v>51.653793999999998</v>
      </c>
      <c r="T72" s="23">
        <v>58.033971839546197</v>
      </c>
      <c r="U72" s="23">
        <v>57.67477557814636</v>
      </c>
      <c r="V72" s="23">
        <v>52.286480872931513</v>
      </c>
      <c r="W72" s="23">
        <v>54.721245361639959</v>
      </c>
      <c r="X72" s="23">
        <v>52.789398681022192</v>
      </c>
      <c r="Y72" s="23">
        <v>53.450930330647076</v>
      </c>
      <c r="Z72" s="23">
        <v>44.473668070721168</v>
      </c>
      <c r="AA72" s="23">
        <v>45.581762755016591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67.079794742165291</v>
      </c>
      <c r="E73" s="23">
        <v>74.983957355860554</v>
      </c>
      <c r="F73" s="23">
        <v>63.097164180112664</v>
      </c>
      <c r="G73" s="23">
        <v>52.938877451019295</v>
      </c>
      <c r="H73" s="23">
        <v>61.215056753560297</v>
      </c>
      <c r="I73" s="23">
        <v>90.128352196448816</v>
      </c>
      <c r="J73" s="23">
        <v>90.117285609674056</v>
      </c>
      <c r="K73" s="23">
        <v>112.73999915233418</v>
      </c>
      <c r="L73" s="23">
        <v>83.572396099135375</v>
      </c>
      <c r="M73" s="23">
        <v>38.942125660160862</v>
      </c>
      <c r="N73" s="23">
        <v>35.628161775056547</v>
      </c>
      <c r="O73" s="23">
        <v>38.230815661958815</v>
      </c>
      <c r="P73" s="23">
        <v>36.953113710977746</v>
      </c>
      <c r="Q73" s="23">
        <v>36.130075258819879</v>
      </c>
      <c r="R73" s="23">
        <v>42.496407829941802</v>
      </c>
      <c r="S73" s="23">
        <v>37.844987691680267</v>
      </c>
      <c r="T73" s="23">
        <v>44.444956875411478</v>
      </c>
      <c r="U73" s="23">
        <v>47.457322445379276</v>
      </c>
      <c r="V73" s="23">
        <v>47.097394304887537</v>
      </c>
      <c r="W73" s="23">
        <v>49.290524560544206</v>
      </c>
      <c r="X73" s="23">
        <v>47.550400854862851</v>
      </c>
      <c r="Y73" s="23">
        <v>48.146279874207508</v>
      </c>
      <c r="Z73" s="23">
        <v>40.05995137446331</v>
      </c>
      <c r="AA73" s="23">
        <v>41.058075007993764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8.0139577789322107</v>
      </c>
      <c r="E74" s="23">
        <v>12.917404418446752</v>
      </c>
      <c r="F74" s="23">
        <v>14.390581304236225</v>
      </c>
      <c r="G74" s="23">
        <v>19.705026606769401</v>
      </c>
      <c r="H74" s="23">
        <v>17.216734711939022</v>
      </c>
      <c r="I74" s="23">
        <v>25.107183826153424</v>
      </c>
      <c r="J74" s="23">
        <v>26.882444520851447</v>
      </c>
      <c r="K74" s="23">
        <v>48.008899160563224</v>
      </c>
      <c r="L74" s="23">
        <v>42.903476072283084</v>
      </c>
      <c r="M74" s="23">
        <v>66.3528451782351</v>
      </c>
      <c r="N74" s="23">
        <v>74.921772292403347</v>
      </c>
      <c r="O74" s="23">
        <v>61.494673703065402</v>
      </c>
      <c r="P74" s="23">
        <v>59.439476522338545</v>
      </c>
      <c r="Q74" s="23">
        <v>58.115610416314269</v>
      </c>
      <c r="R74" s="23">
        <v>68.35592408390626</v>
      </c>
      <c r="S74" s="23">
        <v>60.874065308319977</v>
      </c>
      <c r="T74" s="23">
        <v>71.490185952790341</v>
      </c>
      <c r="U74" s="23">
        <v>76.335608018525789</v>
      </c>
      <c r="V74" s="23">
        <v>75.756659775521115</v>
      </c>
      <c r="W74" s="23">
        <v>79.284333122918241</v>
      </c>
      <c r="X74" s="23">
        <v>76.485325630375172</v>
      </c>
      <c r="Y74" s="23">
        <v>77.443803372129551</v>
      </c>
      <c r="Z74" s="23">
        <v>64.436857955519415</v>
      </c>
      <c r="AA74" s="23">
        <v>66.042350438389505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4688.388537683335</v>
      </c>
      <c r="E75" s="30">
        <f t="shared" ref="E75:S75" si="9">SUM(E56:E74)</f>
        <v>4574.4372159636423</v>
      </c>
      <c r="F75" s="30">
        <f t="shared" si="9"/>
        <v>4505.6541074299403</v>
      </c>
      <c r="G75" s="30">
        <f t="shared" si="9"/>
        <v>4691.5011576039142</v>
      </c>
      <c r="H75" s="30">
        <f t="shared" si="9"/>
        <v>4596.4174933277354</v>
      </c>
      <c r="I75" s="30">
        <f t="shared" si="9"/>
        <v>4436.5681368701926</v>
      </c>
      <c r="J75" s="30">
        <f t="shared" si="9"/>
        <v>4238.9632763757327</v>
      </c>
      <c r="K75" s="30">
        <f t="shared" si="9"/>
        <v>5177.2886314846764</v>
      </c>
      <c r="L75" s="30">
        <f t="shared" si="9"/>
        <v>4297.7690590600414</v>
      </c>
      <c r="M75" s="30">
        <f t="shared" si="9"/>
        <v>2894.0983815309842</v>
      </c>
      <c r="N75" s="30">
        <f t="shared" si="9"/>
        <v>3193.361469948642</v>
      </c>
      <c r="O75" s="30">
        <f t="shared" si="9"/>
        <v>3155.975420770269</v>
      </c>
      <c r="P75" s="30">
        <f t="shared" si="9"/>
        <v>3000.7678604204239</v>
      </c>
      <c r="Q75" s="30">
        <f t="shared" si="9"/>
        <v>3089.9318646568981</v>
      </c>
      <c r="R75" s="30">
        <f t="shared" si="9"/>
        <v>3286.382450249775</v>
      </c>
      <c r="S75" s="30">
        <f t="shared" si="9"/>
        <v>3889.5044680000005</v>
      </c>
      <c r="T75" s="30">
        <f t="shared" ref="T75:Y75" si="10">SUM(T56:T74)</f>
        <v>4325.5893152350081</v>
      </c>
      <c r="U75" s="30">
        <f t="shared" si="10"/>
        <v>3608.700316073162</v>
      </c>
      <c r="V75" s="30">
        <f t="shared" si="10"/>
        <v>3816.1460648847897</v>
      </c>
      <c r="W75" s="30">
        <f t="shared" si="10"/>
        <v>3993.8481547440456</v>
      </c>
      <c r="X75" s="30">
        <f t="shared" si="10"/>
        <v>3852.8516871080524</v>
      </c>
      <c r="Y75" s="30">
        <f t="shared" si="10"/>
        <v>3901.1337929098913</v>
      </c>
      <c r="Z75" s="30">
        <f t="shared" ref="Z75:AA75" si="11">SUM(Z56:Z74)</f>
        <v>3245.9253437141747</v>
      </c>
      <c r="AA75" s="30">
        <f t="shared" si="11"/>
        <v>3326.8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433600</v>
      </c>
      <c r="E3" s="42">
        <v>439000</v>
      </c>
      <c r="F3" s="42">
        <v>444050</v>
      </c>
      <c r="G3" s="42">
        <v>448300</v>
      </c>
      <c r="H3" s="42">
        <v>454960</v>
      </c>
      <c r="I3" s="42">
        <v>461230</v>
      </c>
      <c r="J3" s="42">
        <v>469086</v>
      </c>
      <c r="K3" s="42">
        <v>476187</v>
      </c>
      <c r="L3" s="42">
        <v>483799</v>
      </c>
      <c r="M3" s="42">
        <v>493500</v>
      </c>
      <c r="N3" s="42">
        <v>502066</v>
      </c>
      <c r="O3" s="42">
        <v>511840</v>
      </c>
      <c r="P3" s="42">
        <v>524853</v>
      </c>
      <c r="Q3" s="42">
        <v>537039</v>
      </c>
      <c r="R3" s="42">
        <v>549680</v>
      </c>
      <c r="S3" s="42">
        <v>562958</v>
      </c>
      <c r="T3" s="42">
        <v>576249</v>
      </c>
      <c r="U3" s="42">
        <v>590667</v>
      </c>
      <c r="V3" s="42">
        <v>602005</v>
      </c>
      <c r="W3" s="42">
        <v>613894</v>
      </c>
      <c r="X3" s="42">
        <v>626108</v>
      </c>
      <c r="Y3" s="42">
        <v>634730</v>
      </c>
      <c r="Z3" s="42">
        <v>645397</v>
      </c>
      <c r="AA3" s="42">
        <v>660809</v>
      </c>
    </row>
    <row r="4" spans="1:27" x14ac:dyDescent="0.25">
      <c r="A4" s="43" t="s">
        <v>239</v>
      </c>
      <c r="B4" s="44"/>
      <c r="C4" s="44"/>
      <c r="D4" s="45">
        <v>171477</v>
      </c>
      <c r="E4" s="45">
        <v>174270</v>
      </c>
      <c r="F4" s="45">
        <v>176945</v>
      </c>
      <c r="G4" s="45">
        <v>179320</v>
      </c>
      <c r="H4" s="45">
        <v>181839</v>
      </c>
      <c r="I4" s="45">
        <v>184492</v>
      </c>
      <c r="J4" s="45">
        <v>190530</v>
      </c>
      <c r="K4" s="45">
        <v>192944</v>
      </c>
      <c r="L4" s="45">
        <v>196427</v>
      </c>
      <c r="M4" s="45">
        <v>200284</v>
      </c>
      <c r="N4" s="45">
        <v>201390</v>
      </c>
      <c r="O4" s="45">
        <v>205311</v>
      </c>
      <c r="P4" s="45">
        <v>215634</v>
      </c>
      <c r="Q4" s="45">
        <v>219738</v>
      </c>
      <c r="R4" s="45">
        <v>230281</v>
      </c>
      <c r="S4" s="45">
        <v>237035</v>
      </c>
      <c r="T4" s="45">
        <v>247378</v>
      </c>
      <c r="U4" s="45">
        <v>255711</v>
      </c>
      <c r="V4" s="45">
        <v>263806</v>
      </c>
      <c r="W4" s="45">
        <v>269370</v>
      </c>
      <c r="X4" s="45">
        <v>279263</v>
      </c>
      <c r="Y4" s="45">
        <v>282919</v>
      </c>
      <c r="Z4" s="45">
        <v>287482</v>
      </c>
      <c r="AA4" s="45">
        <v>292652</v>
      </c>
    </row>
    <row r="5" spans="1:27" x14ac:dyDescent="0.25">
      <c r="A5" s="46" t="s">
        <v>240</v>
      </c>
      <c r="B5" s="47"/>
      <c r="C5" s="47"/>
      <c r="D5" s="48">
        <f>D3/D4</f>
        <v>2.5286189984662668</v>
      </c>
      <c r="E5" s="48">
        <f t="shared" ref="E5:S5" si="0">E3/E4</f>
        <v>2.5190795891432836</v>
      </c>
      <c r="F5" s="48">
        <f t="shared" si="0"/>
        <v>2.5095368617366978</v>
      </c>
      <c r="G5" s="48">
        <f t="shared" si="0"/>
        <v>2.5</v>
      </c>
      <c r="H5" s="48">
        <f t="shared" si="0"/>
        <v>2.5019935217417606</v>
      </c>
      <c r="I5" s="48">
        <f t="shared" si="0"/>
        <v>2.5</v>
      </c>
      <c r="J5" s="48">
        <f t="shared" si="0"/>
        <v>2.462005983309715</v>
      </c>
      <c r="K5" s="48">
        <f t="shared" si="0"/>
        <v>2.4680062608839872</v>
      </c>
      <c r="L5" s="48">
        <f t="shared" si="0"/>
        <v>2.4629964312441772</v>
      </c>
      <c r="M5" s="48">
        <f t="shared" si="0"/>
        <v>2.4640011184118551</v>
      </c>
      <c r="N5" s="48">
        <f t="shared" si="0"/>
        <v>2.4930036248075873</v>
      </c>
      <c r="O5" s="48">
        <f t="shared" si="0"/>
        <v>2.4929984267769383</v>
      </c>
      <c r="P5" s="48">
        <f t="shared" si="0"/>
        <v>2.4339992765519352</v>
      </c>
      <c r="Q5" s="48">
        <f t="shared" si="0"/>
        <v>2.443996941812522</v>
      </c>
      <c r="R5" s="48">
        <f t="shared" si="0"/>
        <v>2.3869967561370675</v>
      </c>
      <c r="S5" s="48">
        <f t="shared" si="0"/>
        <v>2.3749994726517181</v>
      </c>
      <c r="T5" s="48">
        <f t="shared" ref="T5:Y5" si="1">T3/T4</f>
        <v>2.3294270306979601</v>
      </c>
      <c r="U5" s="48">
        <f t="shared" si="1"/>
        <v>2.3099006300080949</v>
      </c>
      <c r="V5" s="48">
        <f t="shared" si="1"/>
        <v>2.2819988931260093</v>
      </c>
      <c r="W5" s="48">
        <f t="shared" si="1"/>
        <v>2.278999146155845</v>
      </c>
      <c r="X5" s="48">
        <f t="shared" si="1"/>
        <v>2.2420012676222774</v>
      </c>
      <c r="Y5" s="48">
        <f t="shared" si="1"/>
        <v>2.2435043245593262</v>
      </c>
      <c r="Z5" s="48">
        <f t="shared" ref="Z5:AA5" si="2">Z3/Z4</f>
        <v>2.2449996869369211</v>
      </c>
      <c r="AA5" s="48">
        <f t="shared" si="2"/>
        <v>2.2580026789497425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3493.22</v>
      </c>
      <c r="E8" s="42">
        <v>3287.04</v>
      </c>
      <c r="F8" s="42">
        <v>3102.1</v>
      </c>
      <c r="G8" s="42">
        <v>3205.98</v>
      </c>
      <c r="H8" s="42">
        <v>3394.43</v>
      </c>
      <c r="I8" s="42">
        <v>3572.45</v>
      </c>
      <c r="J8" s="42">
        <v>3473.44</v>
      </c>
      <c r="K8" s="42">
        <v>3531.91</v>
      </c>
      <c r="L8" s="42">
        <v>2989.42</v>
      </c>
      <c r="M8" s="42">
        <v>2900.94</v>
      </c>
      <c r="N8" s="42">
        <v>2951.31</v>
      </c>
      <c r="O8" s="42">
        <v>3310.82</v>
      </c>
      <c r="P8" s="42">
        <v>3019.43</v>
      </c>
      <c r="Q8" s="42">
        <v>3133.66</v>
      </c>
      <c r="R8" s="42">
        <v>2837.28</v>
      </c>
      <c r="S8" s="42">
        <v>3065.62</v>
      </c>
      <c r="T8" s="42">
        <v>3552.32</v>
      </c>
      <c r="U8" s="42">
        <v>3021.21</v>
      </c>
      <c r="V8" s="42">
        <v>3021.08</v>
      </c>
      <c r="W8" s="42">
        <v>2863.07</v>
      </c>
      <c r="X8" s="42">
        <v>2730.74</v>
      </c>
      <c r="Y8" s="42">
        <v>2989.14</v>
      </c>
      <c r="Z8" s="42">
        <v>2784.61</v>
      </c>
      <c r="AA8" s="42">
        <v>2893.41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3164.6414285714286</v>
      </c>
      <c r="E9" s="45">
        <f t="shared" si="3"/>
        <v>3164.6414285714286</v>
      </c>
      <c r="F9" s="45">
        <f t="shared" si="3"/>
        <v>3164.6414285714286</v>
      </c>
      <c r="G9" s="45">
        <f t="shared" si="3"/>
        <v>3164.6414285714286</v>
      </c>
      <c r="H9" s="45">
        <f t="shared" si="3"/>
        <v>3164.6414285714286</v>
      </c>
      <c r="I9" s="45">
        <f t="shared" si="3"/>
        <v>3164.6414285714286</v>
      </c>
      <c r="J9" s="45">
        <f t="shared" si="3"/>
        <v>3164.6414285714286</v>
      </c>
      <c r="K9" s="45">
        <f t="shared" si="3"/>
        <v>3164.6414285714286</v>
      </c>
      <c r="L9" s="45">
        <f t="shared" si="3"/>
        <v>3164.6414285714286</v>
      </c>
      <c r="M9" s="45">
        <f t="shared" si="3"/>
        <v>3164.6414285714286</v>
      </c>
      <c r="N9" s="45">
        <f t="shared" si="3"/>
        <v>3164.6414285714286</v>
      </c>
      <c r="O9" s="45">
        <f t="shared" si="3"/>
        <v>3164.6414285714286</v>
      </c>
      <c r="P9" s="45">
        <f t="shared" si="3"/>
        <v>3164.6414285714286</v>
      </c>
      <c r="Q9" s="45">
        <f t="shared" si="3"/>
        <v>3164.6414285714286</v>
      </c>
      <c r="R9" s="45">
        <f t="shared" si="3"/>
        <v>3164.6414285714286</v>
      </c>
      <c r="S9" s="45">
        <f t="shared" si="3"/>
        <v>3164.6414285714286</v>
      </c>
      <c r="T9" s="45">
        <f t="shared" si="3"/>
        <v>3164.6414285714286</v>
      </c>
      <c r="U9" s="45">
        <f t="shared" si="3"/>
        <v>3164.6414285714286</v>
      </c>
      <c r="V9" s="45">
        <f t="shared" si="3"/>
        <v>3164.6414285714286</v>
      </c>
      <c r="W9" s="45">
        <f t="shared" si="3"/>
        <v>3164.6414285714286</v>
      </c>
      <c r="X9" s="45">
        <f>AVERAGE($D8:$X8)</f>
        <v>3164.6414285714286</v>
      </c>
      <c r="Y9" s="45">
        <f t="shared" ref="Y9:AA9" si="4">AVERAGE($D8:$X8)</f>
        <v>3164.6414285714286</v>
      </c>
      <c r="Z9" s="45">
        <f t="shared" si="4"/>
        <v>3164.6414285714286</v>
      </c>
      <c r="AA9" s="45">
        <f t="shared" si="4"/>
        <v>3164.6414285714286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1.1038280572522547</v>
      </c>
      <c r="E10" s="53">
        <f t="shared" si="5"/>
        <v>1.0386769162292817</v>
      </c>
      <c r="F10" s="53">
        <f t="shared" si="5"/>
        <v>0.98023743606249225</v>
      </c>
      <c r="G10" s="53">
        <f t="shared" si="5"/>
        <v>1.0130626399109084</v>
      </c>
      <c r="H10" s="53">
        <f t="shared" si="5"/>
        <v>1.0726112504734231</v>
      </c>
      <c r="I10" s="53">
        <f t="shared" si="5"/>
        <v>1.1288640690053353</v>
      </c>
      <c r="J10" s="53">
        <f t="shared" si="5"/>
        <v>1.0975777440820422</v>
      </c>
      <c r="K10" s="53">
        <f t="shared" si="5"/>
        <v>1.1160537709304912</v>
      </c>
      <c r="L10" s="53">
        <f t="shared" si="5"/>
        <v>0.94463150643561966</v>
      </c>
      <c r="M10" s="53">
        <f t="shared" si="5"/>
        <v>0.91667257269950242</v>
      </c>
      <c r="N10" s="53">
        <f t="shared" si="5"/>
        <v>0.93258906786550855</v>
      </c>
      <c r="O10" s="53">
        <f t="shared" si="5"/>
        <v>1.046191195662429</v>
      </c>
      <c r="P10" s="53">
        <f t="shared" si="5"/>
        <v>0.95411441332328772</v>
      </c>
      <c r="Q10" s="53">
        <f t="shared" si="5"/>
        <v>0.9902101298770476</v>
      </c>
      <c r="R10" s="53">
        <f t="shared" si="5"/>
        <v>0.8965565496248955</v>
      </c>
      <c r="S10" s="53">
        <f t="shared" si="5"/>
        <v>0.96871006374452706</v>
      </c>
      <c r="T10" s="53">
        <f t="shared" ref="T10:Y10" si="6">IF(T8=0,0,T8/T9)</f>
        <v>1.1225031587871162</v>
      </c>
      <c r="U10" s="53">
        <f t="shared" si="6"/>
        <v>0.9546768783102938</v>
      </c>
      <c r="V10" s="53">
        <f t="shared" si="6"/>
        <v>0.95463579940674836</v>
      </c>
      <c r="W10" s="53">
        <f t="shared" si="6"/>
        <v>0.90470597210516746</v>
      </c>
      <c r="X10" s="53">
        <f t="shared" si="6"/>
        <v>0.86289080821162756</v>
      </c>
      <c r="Y10" s="53">
        <f t="shared" si="6"/>
        <v>0.94454302879721419</v>
      </c>
      <c r="Z10" s="53">
        <f t="shared" ref="Z10:AA10" si="7">IF(Z8=0,0,Z8/Z9)</f>
        <v>0.87991327385770179</v>
      </c>
      <c r="AA10" s="53">
        <f t="shared" si="7"/>
        <v>0.91429315620952767</v>
      </c>
    </row>
    <row r="11" spans="1:27" x14ac:dyDescent="0.25">
      <c r="A11" s="43" t="s">
        <v>251</v>
      </c>
      <c r="B11" s="44"/>
      <c r="C11" s="44"/>
      <c r="D11" s="45">
        <v>0</v>
      </c>
      <c r="E11" s="45">
        <v>1.93</v>
      </c>
      <c r="F11" s="45">
        <v>9.1</v>
      </c>
      <c r="G11" s="45">
        <v>28.62</v>
      </c>
      <c r="H11" s="45">
        <v>8.2200000000000006</v>
      </c>
      <c r="I11" s="45">
        <v>1.46</v>
      </c>
      <c r="J11" s="45">
        <v>3.87</v>
      </c>
      <c r="K11" s="45">
        <v>3.73</v>
      </c>
      <c r="L11" s="45">
        <v>1.67</v>
      </c>
      <c r="M11" s="45">
        <v>9</v>
      </c>
      <c r="N11" s="45">
        <v>22.91</v>
      </c>
      <c r="O11" s="45">
        <v>16.97</v>
      </c>
      <c r="P11" s="45">
        <v>16.54</v>
      </c>
      <c r="Q11" s="45">
        <v>0</v>
      </c>
      <c r="R11" s="45">
        <v>59.48</v>
      </c>
      <c r="S11" s="45">
        <v>29.12</v>
      </c>
      <c r="T11" s="45">
        <v>1.42</v>
      </c>
      <c r="U11" s="45">
        <v>7.77</v>
      </c>
      <c r="V11" s="45">
        <v>24.55</v>
      </c>
      <c r="W11" s="45">
        <v>0.72</v>
      </c>
      <c r="X11" s="45">
        <v>3.91</v>
      </c>
      <c r="Y11" s="45">
        <v>16.579999999999998</v>
      </c>
      <c r="Z11" s="45">
        <v>21.9</v>
      </c>
      <c r="AA11" s="45">
        <v>94.84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11.95190476190476</v>
      </c>
      <c r="E12" s="45">
        <f t="shared" ref="E12" si="9">AVERAGE($D11:$X11)</f>
        <v>11.95190476190476</v>
      </c>
      <c r="F12" s="45">
        <f t="shared" ref="F12" si="10">AVERAGE($D11:$X11)</f>
        <v>11.95190476190476</v>
      </c>
      <c r="G12" s="45">
        <f t="shared" ref="G12" si="11">AVERAGE($D11:$X11)</f>
        <v>11.95190476190476</v>
      </c>
      <c r="H12" s="45">
        <f t="shared" ref="H12" si="12">AVERAGE($D11:$X11)</f>
        <v>11.95190476190476</v>
      </c>
      <c r="I12" s="45">
        <f t="shared" ref="I12" si="13">AVERAGE($D11:$X11)</f>
        <v>11.95190476190476</v>
      </c>
      <c r="J12" s="45">
        <f t="shared" ref="J12" si="14">AVERAGE($D11:$X11)</f>
        <v>11.95190476190476</v>
      </c>
      <c r="K12" s="45">
        <f t="shared" ref="K12" si="15">AVERAGE($D11:$X11)</f>
        <v>11.95190476190476</v>
      </c>
      <c r="L12" s="45">
        <f t="shared" ref="L12" si="16">AVERAGE($D11:$X11)</f>
        <v>11.95190476190476</v>
      </c>
      <c r="M12" s="45">
        <f t="shared" ref="M12" si="17">AVERAGE($D11:$X11)</f>
        <v>11.95190476190476</v>
      </c>
      <c r="N12" s="45">
        <f t="shared" ref="N12" si="18">AVERAGE($D11:$X11)</f>
        <v>11.95190476190476</v>
      </c>
      <c r="O12" s="45">
        <f t="shared" ref="O12" si="19">AVERAGE($D11:$X11)</f>
        <v>11.95190476190476</v>
      </c>
      <c r="P12" s="45">
        <f t="shared" ref="P12" si="20">AVERAGE($D11:$X11)</f>
        <v>11.95190476190476</v>
      </c>
      <c r="Q12" s="45">
        <f t="shared" ref="Q12" si="21">AVERAGE($D11:$X11)</f>
        <v>11.95190476190476</v>
      </c>
      <c r="R12" s="45">
        <f t="shared" ref="R12" si="22">AVERAGE($D11:$X11)</f>
        <v>11.95190476190476</v>
      </c>
      <c r="S12" s="45">
        <f t="shared" ref="S12" si="23">AVERAGE($D11:$X11)</f>
        <v>11.95190476190476</v>
      </c>
      <c r="T12" s="45">
        <f t="shared" ref="T12" si="24">AVERAGE($D11:$X11)</f>
        <v>11.95190476190476</v>
      </c>
      <c r="U12" s="45">
        <f t="shared" ref="U12" si="25">AVERAGE($D11:$X11)</f>
        <v>11.95190476190476</v>
      </c>
      <c r="V12" s="45">
        <f t="shared" ref="V12" si="26">AVERAGE($D11:$X11)</f>
        <v>11.95190476190476</v>
      </c>
      <c r="W12" s="45">
        <f t="shared" ref="W12" si="27">AVERAGE($D11:$X11)</f>
        <v>11.95190476190476</v>
      </c>
      <c r="X12" s="45">
        <f>AVERAGE($D11:$X11)</f>
        <v>11.95190476190476</v>
      </c>
      <c r="Y12" s="45">
        <f t="shared" ref="Y12:AA12" si="28">AVERAGE($D11:$X11)</f>
        <v>11.95190476190476</v>
      </c>
      <c r="Z12" s="45">
        <f t="shared" si="28"/>
        <v>11.95190476190476</v>
      </c>
      <c r="AA12" s="45">
        <f t="shared" si="28"/>
        <v>11.95190476190476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</v>
      </c>
      <c r="E13" s="55">
        <f t="shared" si="29"/>
        <v>0.16148053707319018</v>
      </c>
      <c r="F13" s="55">
        <f t="shared" ref="F13" si="30">IF(F11=0,0,F11/F12)</f>
        <v>0.7613849157336946</v>
      </c>
      <c r="G13" s="55">
        <f t="shared" ref="G13" si="31">IF(G11=0,0,G11/G12)</f>
        <v>2.3945973943184993</v>
      </c>
      <c r="H13" s="55">
        <f t="shared" ref="H13" si="32">IF(H11=0,0,H11/H12)</f>
        <v>0.68775648432208469</v>
      </c>
      <c r="I13" s="55">
        <f t="shared" ref="I13" si="33">IF(I11=0,0,I11/I12)</f>
        <v>0.12215626120562573</v>
      </c>
      <c r="J13" s="55">
        <f t="shared" ref="J13" si="34">IF(J11=0,0,J11/J12)</f>
        <v>0.32379776086696688</v>
      </c>
      <c r="K13" s="55">
        <f t="shared" ref="K13" si="35">IF(K11=0,0,K11/K12)</f>
        <v>0.31208414677875618</v>
      </c>
      <c r="L13" s="55">
        <f t="shared" ref="L13" si="36">IF(L11=0,0,L11/L12)</f>
        <v>0.13972668233794175</v>
      </c>
      <c r="M13" s="55">
        <f t="shared" ref="M13" si="37">IF(M11=0,0,M11/M12)</f>
        <v>0.75301804852782983</v>
      </c>
      <c r="N13" s="55">
        <f t="shared" ref="N13" si="38">IF(N11=0,0,N11/N12)</f>
        <v>1.9168492768636203</v>
      </c>
      <c r="O13" s="55">
        <f t="shared" ref="O13" si="39">IF(O11=0,0,O11/O12)</f>
        <v>1.4198573648352524</v>
      </c>
      <c r="P13" s="55">
        <f t="shared" ref="P13" si="40">IF(P11=0,0,P11/P12)</f>
        <v>1.3838798358500339</v>
      </c>
      <c r="Q13" s="55">
        <f t="shared" ref="Q13" si="41">IF(Q11=0,0,Q11/Q12)</f>
        <v>0</v>
      </c>
      <c r="R13" s="55">
        <f t="shared" ref="R13" si="42">IF(R11=0,0,R11/R12)</f>
        <v>4.9766126140483689</v>
      </c>
      <c r="S13" s="55">
        <f t="shared" ref="S13:Y13" si="43">IF(S11=0,0,S11/S12)</f>
        <v>2.4364317303478229</v>
      </c>
      <c r="T13" s="55">
        <f t="shared" si="43"/>
        <v>0.11880951432327982</v>
      </c>
      <c r="U13" s="55">
        <f t="shared" si="43"/>
        <v>0.65010558189569312</v>
      </c>
      <c r="V13" s="55">
        <f t="shared" si="43"/>
        <v>2.0540658990398026</v>
      </c>
      <c r="W13" s="55">
        <f t="shared" si="43"/>
        <v>6.0241443882226388E-2</v>
      </c>
      <c r="X13" s="55">
        <f t="shared" si="43"/>
        <v>0.32714450774931275</v>
      </c>
      <c r="Y13" s="55">
        <f t="shared" si="43"/>
        <v>1.3872265827323798</v>
      </c>
      <c r="Z13" s="55">
        <f t="shared" ref="Z13:AA13" si="44">IF(Z11=0,0,Z11/Z12)</f>
        <v>1.8323439180843859</v>
      </c>
      <c r="AA13" s="55">
        <f t="shared" si="44"/>
        <v>7.9351368580421546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47183.991737107033</v>
      </c>
      <c r="E16" s="42">
        <v>48634.76751684388</v>
      </c>
      <c r="F16" s="42">
        <v>50202.991005479373</v>
      </c>
      <c r="G16" s="42">
        <v>51518.222858917266</v>
      </c>
      <c r="H16" s="42">
        <v>53698.413576003295</v>
      </c>
      <c r="I16" s="42">
        <v>55032.020166771777</v>
      </c>
      <c r="J16" s="42">
        <v>58342.831518805702</v>
      </c>
      <c r="K16" s="42">
        <v>63067.532527552037</v>
      </c>
      <c r="L16" s="42">
        <v>62878.324164091377</v>
      </c>
      <c r="M16" s="42">
        <v>60841.922378143274</v>
      </c>
      <c r="N16" s="42">
        <v>63129.890625932814</v>
      </c>
      <c r="O16" s="42">
        <v>63788.908259069773</v>
      </c>
      <c r="P16" s="42">
        <v>64841.172378291238</v>
      </c>
      <c r="Q16" s="42">
        <v>66898.459187533503</v>
      </c>
      <c r="R16" s="42">
        <v>68652.894261415335</v>
      </c>
      <c r="S16" s="42">
        <v>70211.193217000007</v>
      </c>
      <c r="T16" s="42">
        <v>73706.773044331188</v>
      </c>
      <c r="U16" s="42">
        <v>74676.98704312359</v>
      </c>
      <c r="V16" s="42">
        <v>75880.430821425107</v>
      </c>
      <c r="W16" s="42">
        <v>77967.0441278465</v>
      </c>
      <c r="X16" s="42">
        <v>77569.037613258028</v>
      </c>
      <c r="Y16" s="42">
        <v>82944.570337060955</v>
      </c>
      <c r="Z16" s="42">
        <v>82034.240904893799</v>
      </c>
      <c r="AA16" s="42">
        <v>82115.5</v>
      </c>
    </row>
    <row r="17" spans="1:27" x14ac:dyDescent="0.25">
      <c r="A17" s="46" t="s">
        <v>141</v>
      </c>
      <c r="B17" s="47"/>
      <c r="C17" s="47"/>
      <c r="D17" s="57">
        <v>14739.792640807651</v>
      </c>
      <c r="E17" s="57">
        <v>15228.604342808236</v>
      </c>
      <c r="F17" s="57">
        <v>16014.744988496934</v>
      </c>
      <c r="G17" s="57">
        <v>16403.984535426385</v>
      </c>
      <c r="H17" s="57">
        <v>16598.718338800747</v>
      </c>
      <c r="I17" s="57">
        <v>16516.066030940008</v>
      </c>
      <c r="J17" s="57">
        <v>17196.89815978508</v>
      </c>
      <c r="K17" s="57">
        <v>17605.226098932111</v>
      </c>
      <c r="L17" s="57">
        <v>18024.169106554415</v>
      </c>
      <c r="M17" s="57">
        <v>18442.059218433547</v>
      </c>
      <c r="N17" s="57">
        <v>19053.994452519903</v>
      </c>
      <c r="O17" s="57">
        <v>19368.676536536535</v>
      </c>
      <c r="P17" s="57">
        <v>19839.776065986447</v>
      </c>
      <c r="Q17" s="57">
        <v>19991.87429218688</v>
      </c>
      <c r="R17" s="57">
        <v>20594.823429839609</v>
      </c>
      <c r="S17" s="57">
        <v>21222.255371000003</v>
      </c>
      <c r="T17" s="57">
        <v>21934.831256575682</v>
      </c>
      <c r="U17" s="57">
        <v>22587.706551041021</v>
      </c>
      <c r="V17" s="57">
        <v>23278.405090791181</v>
      </c>
      <c r="W17" s="57">
        <v>23791.403847203015</v>
      </c>
      <c r="X17" s="57">
        <v>21965.746092301961</v>
      </c>
      <c r="Y17" s="57">
        <v>24474.327066138445</v>
      </c>
      <c r="Z17" s="57">
        <v>26089.713414994607</v>
      </c>
      <c r="AA17" s="57">
        <v>27081.7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108819.16913539445</v>
      </c>
      <c r="E20" s="42">
        <f t="shared" ref="E20:S20" si="45">1000000*E16/E$3</f>
        <v>110785.34741877877</v>
      </c>
      <c r="F20" s="42">
        <f t="shared" si="45"/>
        <v>113057.06791009879</v>
      </c>
      <c r="G20" s="42">
        <f t="shared" si="45"/>
        <v>114919.07842720782</v>
      </c>
      <c r="H20" s="42">
        <f t="shared" si="45"/>
        <v>118028.86754001076</v>
      </c>
      <c r="I20" s="42">
        <f t="shared" si="45"/>
        <v>119315.78641192414</v>
      </c>
      <c r="J20" s="42">
        <f t="shared" si="45"/>
        <v>124375.5548424078</v>
      </c>
      <c r="K20" s="42">
        <f t="shared" si="45"/>
        <v>132442.7851401908</v>
      </c>
      <c r="L20" s="42">
        <f t="shared" si="45"/>
        <v>129967.86715989777</v>
      </c>
      <c r="M20" s="42">
        <f t="shared" si="45"/>
        <v>123286.57016847674</v>
      </c>
      <c r="N20" s="42">
        <f t="shared" si="45"/>
        <v>125740.22265186811</v>
      </c>
      <c r="O20" s="42">
        <f t="shared" si="45"/>
        <v>124626.65727389374</v>
      </c>
      <c r="P20" s="42">
        <f t="shared" si="45"/>
        <v>123541.58665053117</v>
      </c>
      <c r="Q20" s="42">
        <f t="shared" si="45"/>
        <v>124569.08937252882</v>
      </c>
      <c r="R20" s="42">
        <f t="shared" si="45"/>
        <v>124896.11093984744</v>
      </c>
      <c r="S20" s="42">
        <f t="shared" si="45"/>
        <v>124718.35059986713</v>
      </c>
      <c r="T20" s="42">
        <f t="shared" ref="T20:Y20" si="46">1000000*T16/T$3</f>
        <v>127907.85414695938</v>
      </c>
      <c r="U20" s="42">
        <f t="shared" si="46"/>
        <v>126428.23628732195</v>
      </c>
      <c r="V20" s="42">
        <f t="shared" si="46"/>
        <v>126046.1803829289</v>
      </c>
      <c r="W20" s="42">
        <f t="shared" si="46"/>
        <v>127004.08234621368</v>
      </c>
      <c r="X20" s="42">
        <f t="shared" si="46"/>
        <v>123890.82652395118</v>
      </c>
      <c r="Y20" s="42">
        <f t="shared" si="46"/>
        <v>130676.93403031361</v>
      </c>
      <c r="Z20" s="42">
        <f t="shared" ref="Z20:AA20" si="47">1000000*Z16/Z$3</f>
        <v>127106.63499349052</v>
      </c>
      <c r="AA20" s="42">
        <f t="shared" si="47"/>
        <v>124265.10534814144</v>
      </c>
    </row>
    <row r="21" spans="1:27" x14ac:dyDescent="0.25">
      <c r="A21" s="46" t="s">
        <v>141</v>
      </c>
      <c r="B21" s="47"/>
      <c r="C21" s="47"/>
      <c r="D21" s="57">
        <f>1000000*D17/D$3</f>
        <v>33993.986717729822</v>
      </c>
      <c r="E21" s="57">
        <f t="shared" ref="E21:S21" si="48">1000000*E17/E$3</f>
        <v>34689.303742159987</v>
      </c>
      <c r="F21" s="57">
        <f t="shared" si="48"/>
        <v>36065.184074984645</v>
      </c>
      <c r="G21" s="57">
        <f t="shared" si="48"/>
        <v>36591.533650293073</v>
      </c>
      <c r="H21" s="57">
        <f t="shared" si="48"/>
        <v>36483.907022157437</v>
      </c>
      <c r="I21" s="57">
        <f t="shared" si="48"/>
        <v>35808.741909546232</v>
      </c>
      <c r="J21" s="57">
        <f t="shared" si="48"/>
        <v>36660.437872341274</v>
      </c>
      <c r="K21" s="57">
        <f t="shared" si="48"/>
        <v>36971.244697843722</v>
      </c>
      <c r="L21" s="57">
        <f t="shared" si="48"/>
        <v>37255.490620184028</v>
      </c>
      <c r="M21" s="57">
        <f t="shared" si="48"/>
        <v>37369.927494292904</v>
      </c>
      <c r="N21" s="57">
        <f t="shared" si="48"/>
        <v>37951.174651380301</v>
      </c>
      <c r="O21" s="57">
        <f t="shared" si="48"/>
        <v>37841.271757847251</v>
      </c>
      <c r="P21" s="57">
        <f t="shared" si="48"/>
        <v>37800.633826969548</v>
      </c>
      <c r="Q21" s="57">
        <f t="shared" si="48"/>
        <v>37226.112614143254</v>
      </c>
      <c r="R21" s="57">
        <f t="shared" si="48"/>
        <v>37466.932451316425</v>
      </c>
      <c r="S21" s="57">
        <f t="shared" si="48"/>
        <v>37697.759639262615</v>
      </c>
      <c r="T21" s="57">
        <f t="shared" ref="T21:Y21" si="49">1000000*T17/T$3</f>
        <v>38064.849147808818</v>
      </c>
      <c r="U21" s="57">
        <f t="shared" si="49"/>
        <v>38241.016598254209</v>
      </c>
      <c r="V21" s="57">
        <f t="shared" si="49"/>
        <v>38668.125830833931</v>
      </c>
      <c r="W21" s="57">
        <f t="shared" si="49"/>
        <v>38754.905321118982</v>
      </c>
      <c r="X21" s="57">
        <f t="shared" si="49"/>
        <v>35082.998607751317</v>
      </c>
      <c r="Y21" s="57">
        <f t="shared" si="49"/>
        <v>38558.642361537102</v>
      </c>
      <c r="Z21" s="57">
        <f t="shared" ref="Z21:AA21" si="50">1000000*Z17/Z$3</f>
        <v>40424.286780066541</v>
      </c>
      <c r="AA21" s="57">
        <f t="shared" si="50"/>
        <v>40982.644001519351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43368.44010035981</v>
      </c>
      <c r="E23" s="60">
        <v>44945.497730909556</v>
      </c>
      <c r="F23" s="60">
        <v>46335.398825773096</v>
      </c>
      <c r="G23" s="60">
        <v>47501.019225485805</v>
      </c>
      <c r="H23" s="60">
        <v>49247.498775002241</v>
      </c>
      <c r="I23" s="60">
        <v>50310.787431686185</v>
      </c>
      <c r="J23" s="60">
        <v>53742.635020240217</v>
      </c>
      <c r="K23" s="60">
        <v>58115.474962135675</v>
      </c>
      <c r="L23" s="60">
        <v>57851.542429331435</v>
      </c>
      <c r="M23" s="60">
        <v>55939.984287970845</v>
      </c>
      <c r="N23" s="60">
        <v>57983.212949382323</v>
      </c>
      <c r="O23" s="60">
        <v>58199.18144818586</v>
      </c>
      <c r="P23" s="60">
        <v>59000.05023374829</v>
      </c>
      <c r="Q23" s="60">
        <v>60830.477067566142</v>
      </c>
      <c r="R23" s="60">
        <v>62075.963833838345</v>
      </c>
      <c r="S23" s="60">
        <v>64943.895673000006</v>
      </c>
      <c r="T23" s="60">
        <v>68241.31084076174</v>
      </c>
      <c r="U23" s="60">
        <v>68860.954179299675</v>
      </c>
      <c r="V23" s="60">
        <v>69715.009537693433</v>
      </c>
      <c r="W23" s="60">
        <v>71686.497306400561</v>
      </c>
      <c r="X23" s="60">
        <v>71051.299769687554</v>
      </c>
      <c r="Y23" s="60">
        <v>76203.764178463054</v>
      </c>
      <c r="Z23" s="60">
        <v>75071.808924609693</v>
      </c>
      <c r="AA23" s="60">
        <v>74961.7</v>
      </c>
    </row>
    <row r="24" spans="1:27" x14ac:dyDescent="0.25">
      <c r="A24" s="61" t="s">
        <v>33</v>
      </c>
      <c r="B24" s="62"/>
      <c r="C24" s="62"/>
      <c r="D24" s="63">
        <v>290.22148861674492</v>
      </c>
      <c r="E24" s="63">
        <v>280.69695000960127</v>
      </c>
      <c r="F24" s="63">
        <v>356.85689720392139</v>
      </c>
      <c r="G24" s="63">
        <v>246.46316195650496</v>
      </c>
      <c r="H24" s="63">
        <v>296.62549704621102</v>
      </c>
      <c r="I24" s="63">
        <v>202.03632939027696</v>
      </c>
      <c r="J24" s="63">
        <v>186.53400088175175</v>
      </c>
      <c r="K24" s="63">
        <v>236.02980020808911</v>
      </c>
      <c r="L24" s="63">
        <v>197.82947731005905</v>
      </c>
      <c r="M24" s="63">
        <v>145.11908991494533</v>
      </c>
      <c r="N24" s="63">
        <v>172.57314810530698</v>
      </c>
      <c r="O24" s="63">
        <v>162.74848924233467</v>
      </c>
      <c r="P24" s="63">
        <v>189.6711760831777</v>
      </c>
      <c r="Q24" s="63">
        <v>177.71253926425635</v>
      </c>
      <c r="R24" s="63">
        <v>201.30568749488168</v>
      </c>
      <c r="S24" s="63">
        <v>158.76331099999999</v>
      </c>
      <c r="T24" s="63">
        <v>159.8922244732577</v>
      </c>
      <c r="U24" s="63">
        <v>177.18106731664784</v>
      </c>
      <c r="V24" s="63">
        <v>179.87060779514582</v>
      </c>
      <c r="W24" s="63">
        <v>170.15886816558424</v>
      </c>
      <c r="X24" s="63">
        <v>156.79152838670291</v>
      </c>
      <c r="Y24" s="63">
        <v>163.6204134434914</v>
      </c>
      <c r="Z24" s="63">
        <v>200.89704492408188</v>
      </c>
      <c r="AA24" s="63">
        <v>153.80000000000001</v>
      </c>
    </row>
    <row r="25" spans="1:27" x14ac:dyDescent="0.25">
      <c r="A25" s="64" t="s">
        <v>56</v>
      </c>
      <c r="B25" s="65"/>
      <c r="C25" s="65"/>
      <c r="D25" s="66">
        <v>59.228875227907082</v>
      </c>
      <c r="E25" s="66">
        <v>49.090497983741919</v>
      </c>
      <c r="F25" s="66">
        <v>58.07858725242734</v>
      </c>
      <c r="G25" s="66">
        <v>59.909087197056714</v>
      </c>
      <c r="H25" s="66">
        <v>58.381559060785037</v>
      </c>
      <c r="I25" s="66">
        <v>52.192718425821553</v>
      </c>
      <c r="J25" s="66">
        <v>55.172028429813913</v>
      </c>
      <c r="K25" s="66">
        <v>61.122567135086747</v>
      </c>
      <c r="L25" s="66">
        <v>50.140371178503983</v>
      </c>
      <c r="M25" s="66">
        <v>49.222611178614827</v>
      </c>
      <c r="N25" s="66">
        <v>48.223428029426714</v>
      </c>
      <c r="O25" s="66">
        <v>51.041955534304165</v>
      </c>
      <c r="P25" s="66">
        <v>44.312112723876439</v>
      </c>
      <c r="Q25" s="66">
        <v>42.693655291398848</v>
      </c>
      <c r="R25" s="66">
        <v>42.804647375391561</v>
      </c>
      <c r="S25" s="66">
        <v>38.680348531734637</v>
      </c>
      <c r="T25" s="66">
        <v>39.181516638102131</v>
      </c>
      <c r="U25" s="66">
        <v>45.204553831520116</v>
      </c>
      <c r="V25" s="66">
        <v>44.366570615226884</v>
      </c>
      <c r="W25" s="66">
        <v>48.344913326687262</v>
      </c>
      <c r="X25" s="66">
        <v>47.892516411200411</v>
      </c>
      <c r="Y25" s="66">
        <v>43.34848620393268</v>
      </c>
      <c r="Z25" s="66">
        <v>37.843899743503044</v>
      </c>
      <c r="AA25" s="66">
        <v>37.600000000000016</v>
      </c>
    </row>
    <row r="26" spans="1:27" x14ac:dyDescent="0.25">
      <c r="A26" s="67" t="s">
        <v>146</v>
      </c>
      <c r="B26" s="44"/>
      <c r="C26" s="44"/>
      <c r="D26" s="45">
        <v>35249.194718383667</v>
      </c>
      <c r="E26" s="45">
        <v>36769.113087065838</v>
      </c>
      <c r="F26" s="45">
        <v>37944.194049164777</v>
      </c>
      <c r="G26" s="45">
        <v>38935.247081614318</v>
      </c>
      <c r="H26" s="45">
        <v>40690.096022204059</v>
      </c>
      <c r="I26" s="45">
        <v>42228.812757376756</v>
      </c>
      <c r="J26" s="45">
        <v>45778.505956564783</v>
      </c>
      <c r="K26" s="45">
        <v>48772.536675109157</v>
      </c>
      <c r="L26" s="45">
        <v>49709.673135784447</v>
      </c>
      <c r="M26" s="45">
        <v>49277.653973975313</v>
      </c>
      <c r="N26" s="45">
        <v>51094.247105425231</v>
      </c>
      <c r="O26" s="45">
        <v>51443.570447252227</v>
      </c>
      <c r="P26" s="45">
        <v>52286.866556590147</v>
      </c>
      <c r="Q26" s="45">
        <v>53936.608881068358</v>
      </c>
      <c r="R26" s="45">
        <v>54750.98498942989</v>
      </c>
      <c r="S26" s="45">
        <v>56977.501800289792</v>
      </c>
      <c r="T26" s="45">
        <v>59462.865074579895</v>
      </c>
      <c r="U26" s="45">
        <v>60911.533010075473</v>
      </c>
      <c r="V26" s="45">
        <v>61517.917402541156</v>
      </c>
      <c r="W26" s="45">
        <v>62765.633719973346</v>
      </c>
      <c r="X26" s="45">
        <v>62449.761319095334</v>
      </c>
      <c r="Y26" s="45">
        <v>67556.663982642058</v>
      </c>
      <c r="Z26" s="45">
        <v>67704.785127219584</v>
      </c>
      <c r="AA26" s="45">
        <v>67535.642350438386</v>
      </c>
    </row>
    <row r="27" spans="1:27" x14ac:dyDescent="0.25">
      <c r="A27" s="68" t="s">
        <v>148</v>
      </c>
      <c r="B27" s="69"/>
      <c r="C27" s="69"/>
      <c r="D27" s="70">
        <v>9757.5341304032081</v>
      </c>
      <c r="E27" s="70">
        <v>10502.009953274024</v>
      </c>
      <c r="F27" s="70">
        <v>11168.980317120075</v>
      </c>
      <c r="G27" s="70">
        <v>11585.185066909504</v>
      </c>
      <c r="H27" s="70">
        <v>11881.138696134585</v>
      </c>
      <c r="I27" s="70">
        <v>11959.241205176864</v>
      </c>
      <c r="J27" s="70">
        <v>11778.264748633954</v>
      </c>
      <c r="K27" s="70">
        <v>12204.48456321037</v>
      </c>
      <c r="L27" s="70">
        <v>11970.210087278434</v>
      </c>
      <c r="M27" s="70">
        <v>12431.815603888213</v>
      </c>
      <c r="N27" s="70">
        <v>12694.589959746447</v>
      </c>
      <c r="O27" s="70">
        <v>12850.258072431592</v>
      </c>
      <c r="P27" s="70">
        <v>13069.193306053696</v>
      </c>
      <c r="Q27" s="70">
        <v>13514.029822915569</v>
      </c>
      <c r="R27" s="70">
        <v>13864.056901564163</v>
      </c>
      <c r="S27" s="70">
        <v>14197.713896000003</v>
      </c>
      <c r="T27" s="70">
        <v>14690.031723055095</v>
      </c>
      <c r="U27" s="70">
        <v>15574.527572677014</v>
      </c>
      <c r="V27" s="70">
        <v>16473.693149749888</v>
      </c>
      <c r="W27" s="70">
        <v>17209.520248937755</v>
      </c>
      <c r="X27" s="70">
        <v>17716.593874983813</v>
      </c>
      <c r="Y27" s="70">
        <v>18958.466190426065</v>
      </c>
      <c r="Z27" s="70">
        <v>19904.377509092858</v>
      </c>
      <c r="AA27" s="70">
        <v>18614.599999999999</v>
      </c>
    </row>
    <row r="28" spans="1:27" x14ac:dyDescent="0.25">
      <c r="A28" s="68" t="s">
        <v>150</v>
      </c>
      <c r="B28" s="71"/>
      <c r="C28" s="71"/>
      <c r="D28" s="70">
        <v>21426.680208787129</v>
      </c>
      <c r="E28" s="70">
        <v>21824.712334378801</v>
      </c>
      <c r="F28" s="70">
        <v>22205.714881946849</v>
      </c>
      <c r="G28" s="70">
        <v>22766.680471993706</v>
      </c>
      <c r="H28" s="70">
        <v>24204.758501514381</v>
      </c>
      <c r="I28" s="70">
        <v>25875.241674633638</v>
      </c>
      <c r="J28" s="70">
        <v>29161.30698855059</v>
      </c>
      <c r="K28" s="70">
        <v>31864.368353330079</v>
      </c>
      <c r="L28" s="70">
        <v>31877.705214641202</v>
      </c>
      <c r="M28" s="70">
        <v>31340.625934386397</v>
      </c>
      <c r="N28" s="70">
        <v>32439.809047795308</v>
      </c>
      <c r="O28" s="70">
        <v>31335.591194217966</v>
      </c>
      <c r="P28" s="70">
        <v>32597.256340354779</v>
      </c>
      <c r="Q28" s="70">
        <v>33564.315784758088</v>
      </c>
      <c r="R28" s="70">
        <v>34155.133385881592</v>
      </c>
      <c r="S28" s="70">
        <v>36371.219329</v>
      </c>
      <c r="T28" s="70">
        <v>37907.338882698539</v>
      </c>
      <c r="U28" s="70">
        <v>38401.398378019534</v>
      </c>
      <c r="V28" s="70">
        <v>38465.719388401871</v>
      </c>
      <c r="W28" s="70">
        <v>38837.461041047623</v>
      </c>
      <c r="X28" s="70">
        <v>38455.032210444529</v>
      </c>
      <c r="Y28" s="70">
        <v>42060.794699959653</v>
      </c>
      <c r="Z28" s="70">
        <v>41893.629517769237</v>
      </c>
      <c r="AA28" s="70">
        <v>42112.999999999993</v>
      </c>
    </row>
    <row r="29" spans="1:27" x14ac:dyDescent="0.25">
      <c r="A29" s="68" t="s">
        <v>152</v>
      </c>
      <c r="B29" s="71"/>
      <c r="C29" s="71"/>
      <c r="D29" s="70">
        <v>4064.9803791933277</v>
      </c>
      <c r="E29" s="70">
        <v>4442.3907994130059</v>
      </c>
      <c r="F29" s="70">
        <v>4569.4988500978507</v>
      </c>
      <c r="G29" s="70">
        <v>4583.3815427111122</v>
      </c>
      <c r="H29" s="70">
        <v>4604.1988245551029</v>
      </c>
      <c r="I29" s="70">
        <v>4394.3298775662533</v>
      </c>
      <c r="J29" s="70">
        <v>4838.9342193802395</v>
      </c>
      <c r="K29" s="70">
        <v>4703.6837585686953</v>
      </c>
      <c r="L29" s="70">
        <v>5861.7578338648245</v>
      </c>
      <c r="M29" s="70">
        <v>5505.2124357007142</v>
      </c>
      <c r="N29" s="70">
        <v>5959.8480978834814</v>
      </c>
      <c r="O29" s="70">
        <v>7257.7211806026744</v>
      </c>
      <c r="P29" s="70">
        <v>6620.4169101816678</v>
      </c>
      <c r="Q29" s="70">
        <v>6858.2632733947039</v>
      </c>
      <c r="R29" s="70">
        <v>6731.7947019841386</v>
      </c>
      <c r="S29" s="70">
        <v>6408.5685752897971</v>
      </c>
      <c r="T29" s="70">
        <v>6865.4944688262585</v>
      </c>
      <c r="U29" s="70">
        <v>6935.6070593789291</v>
      </c>
      <c r="V29" s="70">
        <v>6578.5048643893961</v>
      </c>
      <c r="W29" s="70">
        <v>6718.6524299879675</v>
      </c>
      <c r="X29" s="70">
        <v>6278.1352336670016</v>
      </c>
      <c r="Y29" s="70">
        <v>6537.4030922563406</v>
      </c>
      <c r="Z29" s="70">
        <v>5906.7781003575192</v>
      </c>
      <c r="AA29" s="70">
        <v>6808.0423504383898</v>
      </c>
    </row>
    <row r="30" spans="1:27" x14ac:dyDescent="0.25">
      <c r="A30" s="64" t="s">
        <v>154</v>
      </c>
      <c r="B30" s="65"/>
      <c r="C30" s="65"/>
      <c r="D30" s="66">
        <v>430.46700388853901</v>
      </c>
      <c r="E30" s="66">
        <v>477.6883073033348</v>
      </c>
      <c r="F30" s="66">
        <v>497.07830014977844</v>
      </c>
      <c r="G30" s="66">
        <v>577.83933766080031</v>
      </c>
      <c r="H30" s="66">
        <v>580.27731430113602</v>
      </c>
      <c r="I30" s="66">
        <v>565.3275809420528</v>
      </c>
      <c r="J30" s="66">
        <v>577.46723089871887</v>
      </c>
      <c r="K30" s="66">
        <v>600.17526373322471</v>
      </c>
      <c r="L30" s="66">
        <v>498.51099806320309</v>
      </c>
      <c r="M30" s="66">
        <v>586.37032928311066</v>
      </c>
      <c r="N30" s="66">
        <v>506.34599430898044</v>
      </c>
      <c r="O30" s="66">
        <v>456.01380331220747</v>
      </c>
      <c r="P30" s="66">
        <v>425.5661688433629</v>
      </c>
      <c r="Q30" s="66">
        <v>477.3675696821457</v>
      </c>
      <c r="R30" s="66">
        <v>537.94304491518733</v>
      </c>
      <c r="S30" s="66">
        <v>552.01446548678916</v>
      </c>
      <c r="T30" s="66">
        <v>610.03629125018006</v>
      </c>
      <c r="U30" s="66">
        <v>549.33924756752458</v>
      </c>
      <c r="V30" s="66">
        <v>526.51739998128051</v>
      </c>
      <c r="W30" s="66">
        <v>564.78532602909456</v>
      </c>
      <c r="X30" s="66">
        <v>585.9861564945104</v>
      </c>
      <c r="Y30" s="66">
        <v>588.59655405286833</v>
      </c>
      <c r="Z30" s="66">
        <v>526.57083357388512</v>
      </c>
      <c r="AA30" s="66">
        <v>602.00000000000011</v>
      </c>
    </row>
    <row r="31" spans="1:27" x14ac:dyDescent="0.25">
      <c r="A31" s="64" t="s">
        <v>37</v>
      </c>
      <c r="B31" s="65"/>
      <c r="C31" s="65"/>
      <c r="D31" s="66">
        <v>2658.9534343385449</v>
      </c>
      <c r="E31" s="66">
        <v>2807.3890770018561</v>
      </c>
      <c r="F31" s="66">
        <v>2987.9274658764934</v>
      </c>
      <c r="G31" s="66">
        <v>3009.7644260599795</v>
      </c>
      <c r="H31" s="66">
        <v>3042.9176237742522</v>
      </c>
      <c r="I31" s="66">
        <v>2850.9570925072412</v>
      </c>
      <c r="J31" s="66">
        <v>2932.8749716102657</v>
      </c>
      <c r="K31" s="66">
        <v>3316.3309236260188</v>
      </c>
      <c r="L31" s="66">
        <v>3140.5228640074529</v>
      </c>
      <c r="M31" s="66">
        <v>3053.8727472660999</v>
      </c>
      <c r="N31" s="66">
        <v>3043.3835758571231</v>
      </c>
      <c r="O31" s="66">
        <v>2991.3260057775747</v>
      </c>
      <c r="P31" s="66">
        <v>3112.3058356096353</v>
      </c>
      <c r="Q31" s="66">
        <v>3164.2781680193953</v>
      </c>
      <c r="R31" s="66">
        <v>3324.8989384571287</v>
      </c>
      <c r="S31" s="66">
        <v>3388.3053450000002</v>
      </c>
      <c r="T31" s="66">
        <v>3715.2366045380872</v>
      </c>
      <c r="U31" s="66">
        <v>3645.331592453877</v>
      </c>
      <c r="V31" s="66">
        <v>3705.9481516513738</v>
      </c>
      <c r="W31" s="66">
        <v>4223.0106572847199</v>
      </c>
      <c r="X31" s="66">
        <v>4034.5018878221131</v>
      </c>
      <c r="Y31" s="66">
        <v>4027.8447525829256</v>
      </c>
      <c r="Z31" s="66">
        <v>3420.2235333899662</v>
      </c>
      <c r="AA31" s="66">
        <v>3371.9</v>
      </c>
    </row>
    <row r="32" spans="1:27" x14ac:dyDescent="0.25">
      <c r="A32" s="64" t="s">
        <v>58</v>
      </c>
      <c r="B32" s="65"/>
      <c r="C32" s="65"/>
      <c r="D32" s="66">
        <v>4680.3745799044018</v>
      </c>
      <c r="E32" s="66">
        <v>4561.5198115451967</v>
      </c>
      <c r="F32" s="66">
        <v>4491.2635261257037</v>
      </c>
      <c r="G32" s="66">
        <v>4671.7961309971452</v>
      </c>
      <c r="H32" s="66">
        <v>4579.2007586157961</v>
      </c>
      <c r="I32" s="66">
        <v>4411.4609530440393</v>
      </c>
      <c r="J32" s="66">
        <v>4212.0808318548816</v>
      </c>
      <c r="K32" s="66">
        <v>5129.279732324113</v>
      </c>
      <c r="L32" s="66">
        <v>4254.8655829877571</v>
      </c>
      <c r="M32" s="66">
        <v>2827.7455363527492</v>
      </c>
      <c r="N32" s="66">
        <v>3118.4396976562393</v>
      </c>
      <c r="O32" s="66">
        <v>3094.4807470672035</v>
      </c>
      <c r="P32" s="66">
        <v>2941.3283838980847</v>
      </c>
      <c r="Q32" s="66">
        <v>3031.8162542405848</v>
      </c>
      <c r="R32" s="66">
        <v>3218.0265261658687</v>
      </c>
      <c r="S32" s="66">
        <v>3828.63040269168</v>
      </c>
      <c r="T32" s="66">
        <v>4254.0991292822182</v>
      </c>
      <c r="U32" s="66">
        <v>3532.3647080546361</v>
      </c>
      <c r="V32" s="66">
        <v>3740.3894051092675</v>
      </c>
      <c r="W32" s="66">
        <v>3914.5638216211269</v>
      </c>
      <c r="X32" s="66">
        <v>3776.3663614776774</v>
      </c>
      <c r="Y32" s="66">
        <v>3823.6899895377624</v>
      </c>
      <c r="Z32" s="66">
        <v>3181.4884857586558</v>
      </c>
      <c r="AA32" s="66">
        <v>3260.7576495616108</v>
      </c>
    </row>
    <row r="33" spans="1:27" x14ac:dyDescent="0.25">
      <c r="A33" s="72" t="s">
        <v>158</v>
      </c>
      <c r="B33" s="65"/>
      <c r="C33" s="65"/>
      <c r="D33" s="66">
        <v>1398.0129870758506</v>
      </c>
      <c r="E33" s="66">
        <v>1345.7929254944634</v>
      </c>
      <c r="F33" s="66">
        <v>1161.9029142893166</v>
      </c>
      <c r="G33" s="66">
        <v>1333.2888129157727</v>
      </c>
      <c r="H33" s="66">
        <v>1355.1598254715566</v>
      </c>
      <c r="I33" s="66">
        <v>1342.7933077438961</v>
      </c>
      <c r="J33" s="66">
        <v>1182.4329013640433</v>
      </c>
      <c r="K33" s="66">
        <v>2007.0302835543732</v>
      </c>
      <c r="L33" s="66">
        <v>1666.6852227316185</v>
      </c>
      <c r="M33" s="66">
        <v>495.41204131227221</v>
      </c>
      <c r="N33" s="66">
        <v>653.29096839864894</v>
      </c>
      <c r="O33" s="66">
        <v>747.06381989136378</v>
      </c>
      <c r="P33" s="66">
        <v>772.98081536584584</v>
      </c>
      <c r="Q33" s="66">
        <v>718.03604511436708</v>
      </c>
      <c r="R33" s="66">
        <v>188.28791970354601</v>
      </c>
      <c r="S33" s="66">
        <v>545.77346299999999</v>
      </c>
      <c r="T33" s="66">
        <v>1115.9255500405186</v>
      </c>
      <c r="U33" s="66">
        <v>1144.1428452529574</v>
      </c>
      <c r="V33" s="66">
        <v>1300.5143518834532</v>
      </c>
      <c r="W33" s="66">
        <v>1361.0739096918419</v>
      </c>
      <c r="X33" s="66">
        <v>1313.0233564353025</v>
      </c>
      <c r="Y33" s="66">
        <v>1329.4775409625247</v>
      </c>
      <c r="Z33" s="66">
        <v>1106.187347881287</v>
      </c>
      <c r="AA33" s="66">
        <v>1133.7488325349236</v>
      </c>
    </row>
    <row r="34" spans="1:27" x14ac:dyDescent="0.25">
      <c r="A34" s="73" t="s">
        <v>5</v>
      </c>
      <c r="B34" s="65"/>
      <c r="C34" s="65"/>
      <c r="D34" s="66">
        <v>1398.0129870758506</v>
      </c>
      <c r="E34" s="66">
        <v>1345.7929254944634</v>
      </c>
      <c r="F34" s="66">
        <v>1161.9029142893166</v>
      </c>
      <c r="G34" s="66">
        <v>1333.2888129157727</v>
      </c>
      <c r="H34" s="66">
        <v>1355.1598254715566</v>
      </c>
      <c r="I34" s="66">
        <v>1342.7933077438961</v>
      </c>
      <c r="J34" s="66">
        <v>1182.4329013640433</v>
      </c>
      <c r="K34" s="66">
        <v>2007.0302835543732</v>
      </c>
      <c r="L34" s="66">
        <v>1666.6852227316183</v>
      </c>
      <c r="M34" s="66">
        <v>495.41204131227221</v>
      </c>
      <c r="N34" s="66">
        <v>653.29096839864894</v>
      </c>
      <c r="O34" s="66">
        <v>747.06381989136366</v>
      </c>
      <c r="P34" s="66">
        <v>772.98081536584584</v>
      </c>
      <c r="Q34" s="66">
        <v>718.03604511436708</v>
      </c>
      <c r="R34" s="66">
        <v>188.28791970354601</v>
      </c>
      <c r="S34" s="66">
        <v>545.77346299999999</v>
      </c>
      <c r="T34" s="66">
        <v>1115.9255500405186</v>
      </c>
      <c r="U34" s="66">
        <v>1144.1428452529574</v>
      </c>
      <c r="V34" s="66">
        <v>1300.5143518834532</v>
      </c>
      <c r="W34" s="66">
        <v>1361.0739096918419</v>
      </c>
      <c r="X34" s="66">
        <v>1313.0233564353025</v>
      </c>
      <c r="Y34" s="66">
        <v>1329.4775409625247</v>
      </c>
      <c r="Z34" s="66">
        <v>1106.187347881287</v>
      </c>
      <c r="AA34" s="66">
        <v>1133.7488325349236</v>
      </c>
    </row>
    <row r="35" spans="1:27" x14ac:dyDescent="0.25">
      <c r="A35" s="74" t="s">
        <v>264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</row>
    <row r="36" spans="1:27" x14ac:dyDescent="0.25">
      <c r="A36" s="74" t="s">
        <v>15</v>
      </c>
      <c r="B36" s="44"/>
      <c r="C36" s="44"/>
      <c r="D36" s="45">
        <v>1398.0129870758506</v>
      </c>
      <c r="E36" s="45">
        <v>1345.7929254944634</v>
      </c>
      <c r="F36" s="45">
        <v>1161.9029142893166</v>
      </c>
      <c r="G36" s="45">
        <v>1333.2888129157727</v>
      </c>
      <c r="H36" s="45">
        <v>1355.1598254715566</v>
      </c>
      <c r="I36" s="45">
        <v>1342.7933077438961</v>
      </c>
      <c r="J36" s="45">
        <v>1182.4329013640433</v>
      </c>
      <c r="K36" s="45">
        <v>2007.0302835543732</v>
      </c>
      <c r="L36" s="45">
        <v>1666.6852227316183</v>
      </c>
      <c r="M36" s="45">
        <v>495.41204131227221</v>
      </c>
      <c r="N36" s="45">
        <v>653.29096839864894</v>
      </c>
      <c r="O36" s="45">
        <v>747.06381989136366</v>
      </c>
      <c r="P36" s="45">
        <v>772.98081536584584</v>
      </c>
      <c r="Q36" s="45">
        <v>718.03604511436708</v>
      </c>
      <c r="R36" s="45">
        <v>188.28791970354601</v>
      </c>
      <c r="S36" s="45">
        <v>545.77346299999999</v>
      </c>
      <c r="T36" s="45">
        <v>1115.9255500405186</v>
      </c>
      <c r="U36" s="45">
        <v>1144.1428452529574</v>
      </c>
      <c r="V36" s="45">
        <v>1300.5143518834532</v>
      </c>
      <c r="W36" s="45">
        <v>1361.0739096918419</v>
      </c>
      <c r="X36" s="45">
        <v>1313.0233564353025</v>
      </c>
      <c r="Y36" s="45">
        <v>1329.4775409625247</v>
      </c>
      <c r="Z36" s="45">
        <v>1106.187347881287</v>
      </c>
      <c r="AA36" s="45">
        <v>1133.7488325349236</v>
      </c>
    </row>
    <row r="37" spans="1:27" x14ac:dyDescent="0.25">
      <c r="A37" s="73" t="s">
        <v>263</v>
      </c>
      <c r="B37" s="65"/>
      <c r="C37" s="65"/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</row>
    <row r="38" spans="1:27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  <c r="Z39" s="45">
        <v>0</v>
      </c>
      <c r="AA39" s="45">
        <v>0</v>
      </c>
    </row>
    <row r="40" spans="1:27" x14ac:dyDescent="0.25">
      <c r="A40" s="75" t="s">
        <v>267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</row>
    <row r="42" spans="1:27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  <c r="Z42" s="45">
        <v>0</v>
      </c>
      <c r="AA42" s="45">
        <v>0</v>
      </c>
    </row>
    <row r="43" spans="1:27" x14ac:dyDescent="0.25">
      <c r="A43" s="72" t="s">
        <v>265</v>
      </c>
      <c r="B43" s="65"/>
      <c r="C43" s="65"/>
      <c r="D43" s="66">
        <v>320.6586489052246</v>
      </c>
      <c r="E43" s="66">
        <v>315.95981259636324</v>
      </c>
      <c r="F43" s="66">
        <v>382.0570106822222</v>
      </c>
      <c r="G43" s="66">
        <v>423.20427802351116</v>
      </c>
      <c r="H43" s="66">
        <v>411.04417211205407</v>
      </c>
      <c r="I43" s="66">
        <v>312.02462806836161</v>
      </c>
      <c r="J43" s="66">
        <v>276.34471123170266</v>
      </c>
      <c r="K43" s="66">
        <v>251.64074724617845</v>
      </c>
      <c r="L43" s="66">
        <v>318.46343537352658</v>
      </c>
      <c r="M43" s="66">
        <v>244.50030073275218</v>
      </c>
      <c r="N43" s="66">
        <v>241.10582070211254</v>
      </c>
      <c r="O43" s="66">
        <v>256.05826936865947</v>
      </c>
      <c r="P43" s="66">
        <v>205.94068638165095</v>
      </c>
      <c r="Q43" s="66">
        <v>235.42440270723247</v>
      </c>
      <c r="R43" s="66">
        <v>304.17980671396367</v>
      </c>
      <c r="S43" s="66">
        <v>307.56920494537928</v>
      </c>
      <c r="T43" s="66">
        <v>293.15230134442152</v>
      </c>
      <c r="U43" s="66">
        <v>281.77375465040404</v>
      </c>
      <c r="V43" s="66">
        <v>285.27502494163326</v>
      </c>
      <c r="W43" s="66">
        <v>286.07107926121614</v>
      </c>
      <c r="X43" s="66">
        <v>321.03019999329035</v>
      </c>
      <c r="Y43" s="66">
        <v>344.79262224139609</v>
      </c>
      <c r="Z43" s="66">
        <v>262.12485372543358</v>
      </c>
      <c r="AA43" s="66">
        <v>254.02369852369856</v>
      </c>
    </row>
    <row r="44" spans="1:27" x14ac:dyDescent="0.25">
      <c r="A44" s="73" t="s">
        <v>266</v>
      </c>
      <c r="B44" s="65"/>
      <c r="C44" s="65"/>
      <c r="D44" s="66">
        <v>158.43724123465157</v>
      </c>
      <c r="E44" s="66">
        <v>155.45324361518274</v>
      </c>
      <c r="F44" s="66">
        <v>186.17722315039558</v>
      </c>
      <c r="G44" s="66">
        <v>207.40947537390608</v>
      </c>
      <c r="H44" s="66">
        <v>203.64745854199776</v>
      </c>
      <c r="I44" s="66">
        <v>154.70744852385096</v>
      </c>
      <c r="J44" s="66">
        <v>137.66734712963085</v>
      </c>
      <c r="K44" s="66">
        <v>112.576027604736</v>
      </c>
      <c r="L44" s="66">
        <v>158.93854838314252</v>
      </c>
      <c r="M44" s="66">
        <v>121.70250789793441</v>
      </c>
      <c r="N44" s="66">
        <v>121.92338407439968</v>
      </c>
      <c r="O44" s="66">
        <v>129.26295102445991</v>
      </c>
      <c r="P44" s="66">
        <v>103.46987292298724</v>
      </c>
      <c r="Q44" s="66">
        <v>119.67267418572783</v>
      </c>
      <c r="R44" s="66">
        <v>135.81423716321351</v>
      </c>
      <c r="S44" s="66">
        <v>136.86944400000002</v>
      </c>
      <c r="T44" s="66">
        <v>137.44888067260939</v>
      </c>
      <c r="U44" s="66">
        <v>142.75805937023165</v>
      </c>
      <c r="V44" s="66">
        <v>132.56987937709042</v>
      </c>
      <c r="W44" s="66">
        <v>126.25508860906513</v>
      </c>
      <c r="X44" s="66">
        <v>166.85625913387719</v>
      </c>
      <c r="Y44" s="66">
        <v>188.68664684523495</v>
      </c>
      <c r="Z44" s="66">
        <v>132.2373982465835</v>
      </c>
      <c r="AA44" s="66">
        <v>120.9</v>
      </c>
    </row>
    <row r="45" spans="1:27" x14ac:dyDescent="0.25">
      <c r="A45" s="74" t="s">
        <v>20</v>
      </c>
      <c r="B45" s="44"/>
      <c r="C45" s="44"/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  <c r="Z45" s="45">
        <v>0</v>
      </c>
      <c r="AA45" s="45">
        <v>0</v>
      </c>
    </row>
    <row r="46" spans="1:27" x14ac:dyDescent="0.25">
      <c r="A46" s="74" t="s">
        <v>12</v>
      </c>
      <c r="B46" s="44"/>
      <c r="C46" s="44"/>
      <c r="D46" s="45">
        <v>158.43724123465157</v>
      </c>
      <c r="E46" s="45">
        <v>155.45324361518274</v>
      </c>
      <c r="F46" s="45">
        <v>186.17722315039558</v>
      </c>
      <c r="G46" s="45">
        <v>207.40947537390608</v>
      </c>
      <c r="H46" s="45">
        <v>203.64745854199776</v>
      </c>
      <c r="I46" s="45">
        <v>154.70744852385096</v>
      </c>
      <c r="J46" s="45">
        <v>137.66734712963085</v>
      </c>
      <c r="K46" s="45">
        <v>112.576027604736</v>
      </c>
      <c r="L46" s="45">
        <v>158.93854838314252</v>
      </c>
      <c r="M46" s="45">
        <v>121.70250789793441</v>
      </c>
      <c r="N46" s="45">
        <v>121.92338407439968</v>
      </c>
      <c r="O46" s="45">
        <v>129.26295102445991</v>
      </c>
      <c r="P46" s="45">
        <v>103.46987292298724</v>
      </c>
      <c r="Q46" s="45">
        <v>119.67267418572783</v>
      </c>
      <c r="R46" s="45">
        <v>135.81423716321351</v>
      </c>
      <c r="S46" s="45">
        <v>136.86944400000002</v>
      </c>
      <c r="T46" s="45">
        <v>137.44888067260939</v>
      </c>
      <c r="U46" s="45">
        <v>142.75805937023165</v>
      </c>
      <c r="V46" s="45">
        <v>132.56987937709042</v>
      </c>
      <c r="W46" s="45">
        <v>126.25508860906513</v>
      </c>
      <c r="X46" s="45">
        <v>166.85625913387719</v>
      </c>
      <c r="Y46" s="45">
        <v>188.68664684523495</v>
      </c>
      <c r="Z46" s="45">
        <v>132.2373982465835</v>
      </c>
      <c r="AA46" s="45">
        <v>120.9</v>
      </c>
    </row>
    <row r="47" spans="1:27" x14ac:dyDescent="0.25">
      <c r="A47" s="73" t="s">
        <v>11</v>
      </c>
      <c r="B47" s="65"/>
      <c r="C47" s="65"/>
      <c r="D47" s="66">
        <v>162.221407670573</v>
      </c>
      <c r="E47" s="66">
        <v>160.50656898118046</v>
      </c>
      <c r="F47" s="66">
        <v>195.87978753182659</v>
      </c>
      <c r="G47" s="66">
        <v>215.79480264960509</v>
      </c>
      <c r="H47" s="66">
        <v>207.39671357005628</v>
      </c>
      <c r="I47" s="66">
        <v>157.31717954451068</v>
      </c>
      <c r="J47" s="66">
        <v>138.67736410207181</v>
      </c>
      <c r="K47" s="66">
        <v>139.06471964144245</v>
      </c>
      <c r="L47" s="66">
        <v>159.52488699038406</v>
      </c>
      <c r="M47" s="66">
        <v>122.79779283481776</v>
      </c>
      <c r="N47" s="66">
        <v>119.18243662771286</v>
      </c>
      <c r="O47" s="66">
        <v>126.79531834419954</v>
      </c>
      <c r="P47" s="66">
        <v>102.47081345866373</v>
      </c>
      <c r="Q47" s="66">
        <v>115.75172852150465</v>
      </c>
      <c r="R47" s="66">
        <v>168.36556955075014</v>
      </c>
      <c r="S47" s="66">
        <v>170.69976094537924</v>
      </c>
      <c r="T47" s="66">
        <v>155.7034206718121</v>
      </c>
      <c r="U47" s="66">
        <v>139.01569528017242</v>
      </c>
      <c r="V47" s="66">
        <v>152.70514556454285</v>
      </c>
      <c r="W47" s="66">
        <v>159.81599065215099</v>
      </c>
      <c r="X47" s="66">
        <v>154.17394085941314</v>
      </c>
      <c r="Y47" s="66">
        <v>156.10597539616117</v>
      </c>
      <c r="Z47" s="66">
        <v>129.88745547885006</v>
      </c>
      <c r="AA47" s="66">
        <v>133.12369852369855</v>
      </c>
    </row>
    <row r="48" spans="1:27" x14ac:dyDescent="0.25">
      <c r="A48" s="72" t="s">
        <v>4</v>
      </c>
      <c r="B48" s="65"/>
      <c r="C48" s="65"/>
      <c r="D48" s="66">
        <v>1253.3253061619632</v>
      </c>
      <c r="E48" s="66">
        <v>1153.8364910708572</v>
      </c>
      <c r="F48" s="66">
        <v>1166.8621300003153</v>
      </c>
      <c r="G48" s="66">
        <v>1128.9145981570946</v>
      </c>
      <c r="H48" s="66">
        <v>1004.477329294989</v>
      </c>
      <c r="I48" s="66">
        <v>954.24751501833589</v>
      </c>
      <c r="J48" s="66">
        <v>959.1175481957489</v>
      </c>
      <c r="K48" s="66">
        <v>1039.0836412964743</v>
      </c>
      <c r="L48" s="66">
        <v>836.47638456446589</v>
      </c>
      <c r="M48" s="66">
        <v>689.27585297691382</v>
      </c>
      <c r="N48" s="66">
        <v>741.85223245269049</v>
      </c>
      <c r="O48" s="66">
        <v>666.93248826081629</v>
      </c>
      <c r="P48" s="66">
        <v>577.36472182334467</v>
      </c>
      <c r="Q48" s="66">
        <v>780.6361853062084</v>
      </c>
      <c r="R48" s="66">
        <v>831.66089693718789</v>
      </c>
      <c r="S48" s="66">
        <v>915.87158599999998</v>
      </c>
      <c r="T48" s="66">
        <v>984.31990680713136</v>
      </c>
      <c r="U48" s="66">
        <v>740.02972177635093</v>
      </c>
      <c r="V48" s="66">
        <v>843.9984027459509</v>
      </c>
      <c r="W48" s="66">
        <v>883.29990679106868</v>
      </c>
      <c r="X48" s="66">
        <v>852.11640609317499</v>
      </c>
      <c r="Y48" s="66">
        <v>862.79472382134975</v>
      </c>
      <c r="Z48" s="66">
        <v>717.88546846675104</v>
      </c>
      <c r="AA48" s="66">
        <v>735.77212153696712</v>
      </c>
    </row>
    <row r="49" spans="1:27" x14ac:dyDescent="0.25">
      <c r="A49" s="77" t="s">
        <v>10</v>
      </c>
      <c r="B49" s="44"/>
      <c r="C49" s="44"/>
      <c r="D49" s="45">
        <v>521.75120414289893</v>
      </c>
      <c r="E49" s="45">
        <v>451.82474555595115</v>
      </c>
      <c r="F49" s="45">
        <v>522.06644993948112</v>
      </c>
      <c r="G49" s="45">
        <v>531.62992662410988</v>
      </c>
      <c r="H49" s="45">
        <v>462.32916648115895</v>
      </c>
      <c r="I49" s="45">
        <v>421.20391613620603</v>
      </c>
      <c r="J49" s="45">
        <v>463.0180068976822</v>
      </c>
      <c r="K49" s="45">
        <v>655.47597030748875</v>
      </c>
      <c r="L49" s="45">
        <v>522.09609970062786</v>
      </c>
      <c r="M49" s="45">
        <v>428.41296703354737</v>
      </c>
      <c r="N49" s="45">
        <v>514.34761763215261</v>
      </c>
      <c r="O49" s="45">
        <v>459.87433101920942</v>
      </c>
      <c r="P49" s="45">
        <v>403.06780444689309</v>
      </c>
      <c r="Q49" s="45">
        <v>594.6008305281656</v>
      </c>
      <c r="R49" s="45">
        <v>595.39729405583432</v>
      </c>
      <c r="S49" s="45">
        <v>646.91098435367144</v>
      </c>
      <c r="T49" s="45">
        <v>728.74992748586169</v>
      </c>
      <c r="U49" s="45">
        <v>475.27470687326024</v>
      </c>
      <c r="V49" s="45">
        <v>596.00917854026966</v>
      </c>
      <c r="W49" s="45">
        <v>607.97516730972666</v>
      </c>
      <c r="X49" s="45">
        <v>562.82318329354086</v>
      </c>
      <c r="Y49" s="45">
        <v>591.61265384095373</v>
      </c>
      <c r="Z49" s="45">
        <v>468.59858417211302</v>
      </c>
      <c r="AA49" s="45">
        <v>496.32173411678014</v>
      </c>
    </row>
    <row r="50" spans="1:27" x14ac:dyDescent="0.25">
      <c r="A50" s="77" t="s">
        <v>18</v>
      </c>
      <c r="B50" s="44"/>
      <c r="C50" s="44"/>
      <c r="D50" s="45">
        <v>373.5018612909812</v>
      </c>
      <c r="E50" s="45">
        <v>332.03681018437373</v>
      </c>
      <c r="F50" s="45">
        <v>382.24037843600036</v>
      </c>
      <c r="G50" s="45">
        <v>399.7430979177314</v>
      </c>
      <c r="H50" s="45">
        <v>318.22281133369779</v>
      </c>
      <c r="I50" s="45">
        <v>303.66615598636781</v>
      </c>
      <c r="J50" s="45">
        <v>282.04717014811081</v>
      </c>
      <c r="K50" s="45">
        <v>338.36263763127982</v>
      </c>
      <c r="L50" s="45">
        <v>265.5</v>
      </c>
      <c r="M50" s="45">
        <v>227</v>
      </c>
      <c r="N50" s="45">
        <v>189</v>
      </c>
      <c r="O50" s="45">
        <v>170</v>
      </c>
      <c r="P50" s="45">
        <v>140</v>
      </c>
      <c r="Q50" s="45">
        <v>140</v>
      </c>
      <c r="R50" s="45">
        <v>200</v>
      </c>
      <c r="S50" s="45">
        <v>220</v>
      </c>
      <c r="T50" s="45">
        <v>220</v>
      </c>
      <c r="U50" s="45">
        <v>220</v>
      </c>
      <c r="V50" s="45">
        <v>220.00000000000003</v>
      </c>
      <c r="W50" s="45">
        <v>220</v>
      </c>
      <c r="X50" s="45">
        <v>180</v>
      </c>
      <c r="Y50" s="45">
        <v>140</v>
      </c>
      <c r="Z50" s="45">
        <v>40</v>
      </c>
      <c r="AA50" s="45">
        <v>40</v>
      </c>
    </row>
    <row r="51" spans="1:27" x14ac:dyDescent="0.25">
      <c r="A51" s="77" t="s">
        <v>9</v>
      </c>
      <c r="B51" s="44"/>
      <c r="C51" s="44"/>
      <c r="D51" s="45">
        <v>358.0722407280831</v>
      </c>
      <c r="E51" s="45">
        <v>369.97493533053228</v>
      </c>
      <c r="F51" s="45">
        <v>262.55530162483387</v>
      </c>
      <c r="G51" s="45">
        <v>197.5415736152533</v>
      </c>
      <c r="H51" s="45">
        <v>223.92535148013224</v>
      </c>
      <c r="I51" s="45">
        <v>229.37744289576199</v>
      </c>
      <c r="J51" s="45">
        <v>214.05237114995589</v>
      </c>
      <c r="K51" s="45">
        <v>45.245033357705722</v>
      </c>
      <c r="L51" s="45">
        <v>48.880284863838028</v>
      </c>
      <c r="M51" s="45">
        <v>33.86288594336645</v>
      </c>
      <c r="N51" s="45">
        <v>38.504614820537881</v>
      </c>
      <c r="O51" s="45">
        <v>37.058157241606864</v>
      </c>
      <c r="P51" s="45">
        <v>34.296917376451574</v>
      </c>
      <c r="Q51" s="45">
        <v>46.035354778042802</v>
      </c>
      <c r="R51" s="45">
        <v>36.263602881353563</v>
      </c>
      <c r="S51" s="45">
        <v>48.960601646328541</v>
      </c>
      <c r="T51" s="45">
        <v>35.56997932126967</v>
      </c>
      <c r="U51" s="45">
        <v>44.755014903090682</v>
      </c>
      <c r="V51" s="45">
        <v>27.989224205681211</v>
      </c>
      <c r="W51" s="45">
        <v>55.324739481342021</v>
      </c>
      <c r="X51" s="45">
        <v>109.29322279963412</v>
      </c>
      <c r="Y51" s="45">
        <v>131.18206998039602</v>
      </c>
      <c r="Z51" s="45">
        <v>209.28688429463801</v>
      </c>
      <c r="AA51" s="45">
        <v>199.45038742018698</v>
      </c>
    </row>
    <row r="52" spans="1:27" x14ac:dyDescent="0.25">
      <c r="A52" s="72" t="s">
        <v>3</v>
      </c>
      <c r="B52" s="65"/>
      <c r="C52" s="65"/>
      <c r="D52" s="66">
        <v>211.74322893976796</v>
      </c>
      <c r="E52" s="66">
        <v>212.9352797158036</v>
      </c>
      <c r="F52" s="66">
        <v>241.14186394729373</v>
      </c>
      <c r="G52" s="66">
        <v>260.83006220191703</v>
      </c>
      <c r="H52" s="66">
        <v>238.63707979728309</v>
      </c>
      <c r="I52" s="66">
        <v>214.57006463948858</v>
      </c>
      <c r="J52" s="66">
        <v>186.70915017835432</v>
      </c>
      <c r="K52" s="66">
        <v>167.48274045489862</v>
      </c>
      <c r="L52" s="66">
        <v>144.15356713819898</v>
      </c>
      <c r="M52" s="66">
        <v>141.13667800729041</v>
      </c>
      <c r="N52" s="66">
        <v>123.13655207513997</v>
      </c>
      <c r="O52" s="66">
        <v>110.25369352086285</v>
      </c>
      <c r="P52" s="66">
        <v>102.62059900022675</v>
      </c>
      <c r="Q52" s="66">
        <v>90.790931801412441</v>
      </c>
      <c r="R52" s="66">
        <v>102.12908545573664</v>
      </c>
      <c r="S52" s="66">
        <v>99.505659000000009</v>
      </c>
      <c r="T52" s="66">
        <v>99.678994349277389</v>
      </c>
      <c r="U52" s="66">
        <v>103.23555977465841</v>
      </c>
      <c r="V52" s="66">
        <v>98.822295213102663</v>
      </c>
      <c r="W52" s="66">
        <v>103.42403950838737</v>
      </c>
      <c r="X52" s="66">
        <v>99.772818011143812</v>
      </c>
      <c r="Y52" s="66">
        <v>101.02312353717289</v>
      </c>
      <c r="Z52" s="66">
        <v>84.055952550626017</v>
      </c>
      <c r="AA52" s="66">
        <v>86.150269440715306</v>
      </c>
    </row>
    <row r="53" spans="1:27" x14ac:dyDescent="0.25">
      <c r="A53" s="73" t="s">
        <v>21</v>
      </c>
      <c r="B53" s="65"/>
      <c r="C53" s="65"/>
      <c r="D53" s="66">
        <v>0</v>
      </c>
      <c r="E53" s="66">
        <v>0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v>0</v>
      </c>
      <c r="Q53" s="66">
        <v>0</v>
      </c>
      <c r="R53" s="66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  <c r="Z53" s="66">
        <v>0</v>
      </c>
      <c r="AA53" s="66">
        <v>0</v>
      </c>
    </row>
    <row r="54" spans="1:27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</row>
    <row r="55" spans="1:27" x14ac:dyDescent="0.25">
      <c r="A55" s="74" t="s">
        <v>17</v>
      </c>
      <c r="B55" s="44"/>
      <c r="C55" s="44"/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  <c r="Z55" s="45">
        <v>0</v>
      </c>
      <c r="AA55" s="45">
        <v>0</v>
      </c>
    </row>
    <row r="56" spans="1:27" x14ac:dyDescent="0.25">
      <c r="A56" s="73" t="s">
        <v>16</v>
      </c>
      <c r="B56" s="65"/>
      <c r="C56" s="65"/>
      <c r="D56" s="66">
        <v>211.74322893976796</v>
      </c>
      <c r="E56" s="66">
        <v>212.9352797158036</v>
      </c>
      <c r="F56" s="66">
        <v>241.14186394729373</v>
      </c>
      <c r="G56" s="66">
        <v>260.83006220191703</v>
      </c>
      <c r="H56" s="66">
        <v>238.63707979728309</v>
      </c>
      <c r="I56" s="66">
        <v>214.57006463948858</v>
      </c>
      <c r="J56" s="66">
        <v>186.70915017835432</v>
      </c>
      <c r="K56" s="66">
        <v>167.48274045489862</v>
      </c>
      <c r="L56" s="66">
        <v>144.15356713819898</v>
      </c>
      <c r="M56" s="66">
        <v>141.13667800729041</v>
      </c>
      <c r="N56" s="66">
        <v>123.13655207513997</v>
      </c>
      <c r="O56" s="66">
        <v>110.25369352086285</v>
      </c>
      <c r="P56" s="66">
        <v>102.62059900022675</v>
      </c>
      <c r="Q56" s="66">
        <v>90.790931801412441</v>
      </c>
      <c r="R56" s="66">
        <v>102.12908545573664</v>
      </c>
      <c r="S56" s="66">
        <v>99.505659000000009</v>
      </c>
      <c r="T56" s="66">
        <v>99.678994349277389</v>
      </c>
      <c r="U56" s="66">
        <v>103.23555977465841</v>
      </c>
      <c r="V56" s="66">
        <v>98.822295213102663</v>
      </c>
      <c r="W56" s="66">
        <v>103.42403950838737</v>
      </c>
      <c r="X56" s="66">
        <v>99.772818011143812</v>
      </c>
      <c r="Y56" s="66">
        <v>101.02312353717289</v>
      </c>
      <c r="Z56" s="66">
        <v>84.055952550626017</v>
      </c>
      <c r="AA56" s="66">
        <v>86.150269440715306</v>
      </c>
    </row>
    <row r="57" spans="1:27" x14ac:dyDescent="0.25">
      <c r="A57" s="72" t="s">
        <v>2</v>
      </c>
      <c r="B57" s="65"/>
      <c r="C57" s="65"/>
      <c r="D57" s="66">
        <v>412.48680962292462</v>
      </c>
      <c r="E57" s="66">
        <v>411.18536772706904</v>
      </c>
      <c r="F57" s="66">
        <v>423.80630930239886</v>
      </c>
      <c r="G57" s="66">
        <v>449.82562317677389</v>
      </c>
      <c r="H57" s="66">
        <v>463.51419617956634</v>
      </c>
      <c r="I57" s="66">
        <v>480.02335297726916</v>
      </c>
      <c r="J57" s="66">
        <v>426.13823863408641</v>
      </c>
      <c r="K57" s="66">
        <v>439.08104018227556</v>
      </c>
      <c r="L57" s="66">
        <v>367.3746426732697</v>
      </c>
      <c r="M57" s="66">
        <v>434.56078736330505</v>
      </c>
      <c r="N57" s="66">
        <v>430.82628626289738</v>
      </c>
      <c r="O57" s="66">
        <v>364.97774406906319</v>
      </c>
      <c r="P57" s="66">
        <v>365.75396940218741</v>
      </c>
      <c r="Q57" s="66">
        <v>363.71648782544531</v>
      </c>
      <c r="R57" s="66">
        <v>365.16851711571536</v>
      </c>
      <c r="S57" s="66">
        <v>374.42445600000002</v>
      </c>
      <c r="T57" s="66">
        <v>382.99765397082655</v>
      </c>
      <c r="U57" s="66">
        <v>360.33744922022066</v>
      </c>
      <c r="V57" s="66">
        <v>360.38041462296803</v>
      </c>
      <c r="W57" s="66">
        <v>377.1618353898852</v>
      </c>
      <c r="X57" s="66">
        <v>363.84673565232652</v>
      </c>
      <c r="Y57" s="66">
        <v>368.40628998067018</v>
      </c>
      <c r="Z57" s="66">
        <v>306.53122320626642</v>
      </c>
      <c r="AA57" s="66">
        <v>314.168677766239</v>
      </c>
    </row>
    <row r="58" spans="1:27" x14ac:dyDescent="0.25">
      <c r="A58" s="72" t="s">
        <v>269</v>
      </c>
      <c r="B58" s="65"/>
      <c r="C58" s="65"/>
      <c r="D58" s="66">
        <v>21.576233118737594</v>
      </c>
      <c r="E58" s="66">
        <v>21.817999103885299</v>
      </c>
      <c r="F58" s="66">
        <v>21.696568735617689</v>
      </c>
      <c r="G58" s="66">
        <v>33.792568182870546</v>
      </c>
      <c r="H58" s="66">
        <v>40.297035715356699</v>
      </c>
      <c r="I58" s="66">
        <v>45.645244788173677</v>
      </c>
      <c r="J58" s="66">
        <v>47.64060867590279</v>
      </c>
      <c r="K58" s="66">
        <v>87.712610465039702</v>
      </c>
      <c r="L58" s="66">
        <v>77.460445218073502</v>
      </c>
      <c r="M58" s="66">
        <v>39.346229647630622</v>
      </c>
      <c r="N58" s="66">
        <v>48.83001202979689</v>
      </c>
      <c r="O58" s="66">
        <v>53.225921010071716</v>
      </c>
      <c r="P58" s="66">
        <v>54.495076710465234</v>
      </c>
      <c r="Q58" s="66">
        <v>55.27606197955096</v>
      </c>
      <c r="R58" s="66">
        <v>53.949924248628292</v>
      </c>
      <c r="S58" s="66">
        <v>51.653793999999998</v>
      </c>
      <c r="T58" s="66">
        <v>58.033971839546197</v>
      </c>
      <c r="U58" s="66">
        <v>57.67477557814636</v>
      </c>
      <c r="V58" s="66">
        <v>52.286480872931513</v>
      </c>
      <c r="W58" s="66">
        <v>54.721245361639959</v>
      </c>
      <c r="X58" s="66">
        <v>52.789398681022192</v>
      </c>
      <c r="Y58" s="66">
        <v>53.450930330647076</v>
      </c>
      <c r="Z58" s="66">
        <v>44.473668070721168</v>
      </c>
      <c r="AA58" s="66">
        <v>45.581762755016591</v>
      </c>
    </row>
    <row r="59" spans="1:27" x14ac:dyDescent="0.25">
      <c r="A59" s="72" t="s">
        <v>270</v>
      </c>
      <c r="B59" s="65"/>
      <c r="C59" s="65"/>
      <c r="D59" s="66">
        <v>578.98565946723613</v>
      </c>
      <c r="E59" s="66">
        <v>621.58478351193833</v>
      </c>
      <c r="F59" s="66">
        <v>609.166229553569</v>
      </c>
      <c r="G59" s="66">
        <v>553.94728937218849</v>
      </c>
      <c r="H59" s="66">
        <v>502.81396954986474</v>
      </c>
      <c r="I59" s="66">
        <v>523.80714944622844</v>
      </c>
      <c r="J59" s="66">
        <v>638.81036351679779</v>
      </c>
      <c r="K59" s="66">
        <v>611.3270226441133</v>
      </c>
      <c r="L59" s="66">
        <v>491.01428778713068</v>
      </c>
      <c r="M59" s="66">
        <v>512.63585115060141</v>
      </c>
      <c r="N59" s="66">
        <v>507.26718975455719</v>
      </c>
      <c r="O59" s="66">
        <v>544.81637176365598</v>
      </c>
      <c r="P59" s="66">
        <v>563.78457894694645</v>
      </c>
      <c r="Q59" s="66">
        <v>496.01608743717549</v>
      </c>
      <c r="R59" s="66">
        <v>1093.5526834588316</v>
      </c>
      <c r="S59" s="66">
        <v>1210.9736780546209</v>
      </c>
      <c r="T59" s="66">
        <v>935.38837025201212</v>
      </c>
      <c r="U59" s="66">
        <v>447.34452309764799</v>
      </c>
      <c r="V59" s="66">
        <v>410.42920222338745</v>
      </c>
      <c r="W59" s="66">
        <v>420.6372919628464</v>
      </c>
      <c r="X59" s="66">
        <v>331.74448689128775</v>
      </c>
      <c r="Y59" s="66">
        <v>340.0589339886422</v>
      </c>
      <c r="Z59" s="66">
        <v>260.66902256908446</v>
      </c>
      <c r="AA59" s="66">
        <v>322.77860290673959</v>
      </c>
    </row>
    <row r="60" spans="1:27" x14ac:dyDescent="0.25">
      <c r="A60" s="72" t="s">
        <v>1</v>
      </c>
      <c r="B60" s="65"/>
      <c r="C60" s="65"/>
      <c r="D60" s="66">
        <v>336.96999370734306</v>
      </c>
      <c r="E60" s="66">
        <v>332.7244863342508</v>
      </c>
      <c r="F60" s="66">
        <v>340.11954417930207</v>
      </c>
      <c r="G60" s="66">
        <v>356.94664835080033</v>
      </c>
      <c r="H60" s="66">
        <v>407.09834617806695</v>
      </c>
      <c r="I60" s="66">
        <v>364.413675603944</v>
      </c>
      <c r="J60" s="66">
        <v>331.90791706189628</v>
      </c>
      <c r="K60" s="66">
        <v>341.18133519472133</v>
      </c>
      <c r="L60" s="66">
        <v>208.75750692588687</v>
      </c>
      <c r="M60" s="66">
        <v>178.73064641555288</v>
      </c>
      <c r="N60" s="66">
        <v>263.25745616064404</v>
      </c>
      <c r="O60" s="66">
        <v>246.97412248904158</v>
      </c>
      <c r="P60" s="66">
        <v>200.0040088100971</v>
      </c>
      <c r="Q60" s="66">
        <v>200.65210498576999</v>
      </c>
      <c r="R60" s="66">
        <v>185.87225145360742</v>
      </c>
      <c r="S60" s="66">
        <v>242.53685000000002</v>
      </c>
      <c r="T60" s="66">
        <v>297.60670684764989</v>
      </c>
      <c r="U60" s="66">
        <v>306.29982165150705</v>
      </c>
      <c r="V60" s="66">
        <v>299.40082690563719</v>
      </c>
      <c r="W60" s="66">
        <v>334.73459673438572</v>
      </c>
      <c r="X60" s="66">
        <v>351.90179070240669</v>
      </c>
      <c r="Y60" s="66">
        <v>332.41504937816836</v>
      </c>
      <c r="Z60" s="66">
        <v>323.61940552087032</v>
      </c>
      <c r="AA60" s="66">
        <v>290.7</v>
      </c>
    </row>
    <row r="61" spans="1:27" x14ac:dyDescent="0.25">
      <c r="A61" s="72" t="s">
        <v>0</v>
      </c>
      <c r="B61" s="65"/>
      <c r="C61" s="65"/>
      <c r="D61" s="66">
        <v>79.535918163189578</v>
      </c>
      <c r="E61" s="66">
        <v>70.698708634705241</v>
      </c>
      <c r="F61" s="66">
        <v>81.413791255555893</v>
      </c>
      <c r="G61" s="66">
        <v>78.107373165197799</v>
      </c>
      <c r="H61" s="66">
        <v>94.94374756349896</v>
      </c>
      <c r="I61" s="66">
        <v>83.807662561892656</v>
      </c>
      <c r="J61" s="66">
        <v>72.862107386674865</v>
      </c>
      <c r="K61" s="66">
        <v>72.000312133703858</v>
      </c>
      <c r="L61" s="66">
        <v>60.907694476451979</v>
      </c>
      <c r="M61" s="66">
        <v>53.205023086269748</v>
      </c>
      <c r="N61" s="66">
        <v>73.245018044695314</v>
      </c>
      <c r="O61" s="66">
        <v>65.947501031709734</v>
      </c>
      <c r="P61" s="66">
        <v>61.430813746342629</v>
      </c>
      <c r="Q61" s="66">
        <v>55.137871824602087</v>
      </c>
      <c r="R61" s="66">
        <v>50.729033248710174</v>
      </c>
      <c r="S61" s="66">
        <v>42.476723999999997</v>
      </c>
      <c r="T61" s="66">
        <v>42.550716955422764</v>
      </c>
      <c r="U61" s="66">
        <v>44.068934607364056</v>
      </c>
      <c r="V61" s="66">
        <v>42.185011395316558</v>
      </c>
      <c r="W61" s="66">
        <v>44.149392359311605</v>
      </c>
      <c r="X61" s="66">
        <v>42.590768162859803</v>
      </c>
      <c r="Y61" s="66">
        <v>43.124495422982889</v>
      </c>
      <c r="Z61" s="66">
        <v>35.881592393152594</v>
      </c>
      <c r="AA61" s="66">
        <v>36.7756090893172</v>
      </c>
    </row>
    <row r="62" spans="1:27" x14ac:dyDescent="0.25">
      <c r="A62" s="78" t="s">
        <v>271</v>
      </c>
      <c r="B62" s="79"/>
      <c r="C62" s="79"/>
      <c r="D62" s="80">
        <v>67.079794742165291</v>
      </c>
      <c r="E62" s="80">
        <v>74.983957355860554</v>
      </c>
      <c r="F62" s="80">
        <v>63.097164180112664</v>
      </c>
      <c r="G62" s="80">
        <v>52.938877451019295</v>
      </c>
      <c r="H62" s="80">
        <v>61.215056753560297</v>
      </c>
      <c r="I62" s="80">
        <v>90.128352196448816</v>
      </c>
      <c r="J62" s="80">
        <v>90.117285609674056</v>
      </c>
      <c r="K62" s="80">
        <v>112.73999915233418</v>
      </c>
      <c r="L62" s="80">
        <v>83.572396099135375</v>
      </c>
      <c r="M62" s="80">
        <v>38.942125660160862</v>
      </c>
      <c r="N62" s="80">
        <v>35.628161775056547</v>
      </c>
      <c r="O62" s="80">
        <v>38.230815661958815</v>
      </c>
      <c r="P62" s="80">
        <v>36.953113710977746</v>
      </c>
      <c r="Q62" s="80">
        <v>36.130075258819879</v>
      </c>
      <c r="R62" s="80">
        <v>42.496407829941802</v>
      </c>
      <c r="S62" s="80">
        <v>37.844987691680267</v>
      </c>
      <c r="T62" s="80">
        <v>44.444956875411478</v>
      </c>
      <c r="U62" s="80">
        <v>47.457322445379276</v>
      </c>
      <c r="V62" s="80">
        <v>47.097394304887537</v>
      </c>
      <c r="W62" s="80">
        <v>49.290524560544206</v>
      </c>
      <c r="X62" s="80">
        <v>47.550400854862851</v>
      </c>
      <c r="Y62" s="80">
        <v>48.146279874207508</v>
      </c>
      <c r="Z62" s="80">
        <v>40.05995137446331</v>
      </c>
      <c r="AA62" s="80">
        <v>41.058075007993764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6.6919974051438636E-3</v>
      </c>
      <c r="E66" s="83">
        <f t="shared" ref="E66:S66" si="55">E24/E$23</f>
        <v>6.2452740359033249E-3</v>
      </c>
      <c r="F66" s="83">
        <f t="shared" si="55"/>
        <v>7.701604092062486E-3</v>
      </c>
      <c r="G66" s="83">
        <f t="shared" si="55"/>
        <v>5.1885868129808391E-3</v>
      </c>
      <c r="H66" s="83">
        <f t="shared" si="55"/>
        <v>6.0231586258097736E-3</v>
      </c>
      <c r="I66" s="83">
        <f t="shared" si="55"/>
        <v>4.0157655982747086E-3</v>
      </c>
      <c r="J66" s="83">
        <f t="shared" si="55"/>
        <v>3.4708756057737116E-3</v>
      </c>
      <c r="K66" s="83">
        <f t="shared" si="55"/>
        <v>4.0613932926104627E-3</v>
      </c>
      <c r="L66" s="83">
        <f t="shared" si="55"/>
        <v>3.4196059258353863E-3</v>
      </c>
      <c r="M66" s="83">
        <f t="shared" si="55"/>
        <v>2.5941925397742968E-3</v>
      </c>
      <c r="N66" s="83">
        <f t="shared" si="55"/>
        <v>2.9762605300254468E-3</v>
      </c>
      <c r="O66" s="83">
        <f t="shared" si="55"/>
        <v>2.7964051244814842E-3</v>
      </c>
      <c r="P66" s="83">
        <f t="shared" si="55"/>
        <v>3.2147629592132946E-3</v>
      </c>
      <c r="Q66" s="83">
        <f t="shared" si="55"/>
        <v>2.9214391836326712E-3</v>
      </c>
      <c r="R66" s="83">
        <f t="shared" si="55"/>
        <v>3.2428926602529459E-3</v>
      </c>
      <c r="S66" s="83">
        <f t="shared" si="55"/>
        <v>2.4446225369569997E-3</v>
      </c>
      <c r="T66" s="83">
        <f t="shared" ref="T66:Y66" si="56">T24/T$23</f>
        <v>2.3430415169831591E-3</v>
      </c>
      <c r="U66" s="83">
        <f t="shared" si="56"/>
        <v>2.5730266074342361E-3</v>
      </c>
      <c r="V66" s="83">
        <f t="shared" si="56"/>
        <v>2.5800843891141344E-3</v>
      </c>
      <c r="W66" s="83">
        <f t="shared" si="56"/>
        <v>2.3736529829082825E-3</v>
      </c>
      <c r="X66" s="83">
        <f t="shared" si="56"/>
        <v>2.2067369477397581E-3</v>
      </c>
      <c r="Y66" s="83">
        <f t="shared" si="56"/>
        <v>2.1471434542302348E-3</v>
      </c>
      <c r="Z66" s="83">
        <f t="shared" ref="Z66:AA66" si="57">Z24/Z$23</f>
        <v>2.6760650609316109E-3</v>
      </c>
      <c r="AA66" s="83">
        <f t="shared" si="57"/>
        <v>2.0517144088247736E-3</v>
      </c>
    </row>
    <row r="67" spans="1:27" x14ac:dyDescent="0.25">
      <c r="A67" s="64" t="s">
        <v>56</v>
      </c>
      <c r="B67" s="65"/>
      <c r="C67" s="65"/>
      <c r="D67" s="83">
        <f t="shared" si="51"/>
        <v>1.3657137561518078E-3</v>
      </c>
      <c r="E67" s="83">
        <f t="shared" ref="E67:S67" si="58">E25/E$23</f>
        <v>1.0922228134539447E-3</v>
      </c>
      <c r="F67" s="83">
        <f t="shared" si="58"/>
        <v>1.2534388118857055E-3</v>
      </c>
      <c r="G67" s="83">
        <f t="shared" si="58"/>
        <v>1.261216878582546E-3</v>
      </c>
      <c r="H67" s="83">
        <f t="shared" si="58"/>
        <v>1.1854725724754816E-3</v>
      </c>
      <c r="I67" s="83">
        <f t="shared" si="58"/>
        <v>1.0374061128876331E-3</v>
      </c>
      <c r="J67" s="83">
        <f t="shared" si="58"/>
        <v>1.026597010158422E-3</v>
      </c>
      <c r="K67" s="83">
        <f t="shared" si="58"/>
        <v>1.0517433983790083E-3</v>
      </c>
      <c r="L67" s="83">
        <f t="shared" si="58"/>
        <v>8.667075945252966E-4</v>
      </c>
      <c r="M67" s="83">
        <f t="shared" si="58"/>
        <v>8.799182160156505E-4</v>
      </c>
      <c r="N67" s="83">
        <f t="shared" si="58"/>
        <v>8.3167912877688205E-4</v>
      </c>
      <c r="O67" s="83">
        <f t="shared" si="58"/>
        <v>8.7702188010575885E-4</v>
      </c>
      <c r="P67" s="83">
        <f t="shared" si="58"/>
        <v>7.5105211857141288E-4</v>
      </c>
      <c r="Q67" s="83">
        <f t="shared" si="58"/>
        <v>7.0184646495502229E-4</v>
      </c>
      <c r="R67" s="83">
        <f t="shared" si="58"/>
        <v>6.8955268241937856E-4</v>
      </c>
      <c r="S67" s="83">
        <f t="shared" si="58"/>
        <v>5.9559637023461987E-4</v>
      </c>
      <c r="T67" s="83">
        <f t="shared" ref="T67:Y67" si="59">T25/T$23</f>
        <v>5.7416125445671124E-4</v>
      </c>
      <c r="U67" s="83">
        <f t="shared" si="59"/>
        <v>6.5646133386152057E-4</v>
      </c>
      <c r="V67" s="83">
        <f t="shared" si="59"/>
        <v>6.3639911848880715E-4</v>
      </c>
      <c r="W67" s="83">
        <f t="shared" si="59"/>
        <v>6.7439357679944514E-4</v>
      </c>
      <c r="X67" s="83">
        <f t="shared" si="59"/>
        <v>6.7405545804853357E-4</v>
      </c>
      <c r="Y67" s="83">
        <f t="shared" si="59"/>
        <v>5.688496712893871E-4</v>
      </c>
      <c r="Z67" s="83">
        <f t="shared" ref="Z67:AA67" si="60">Z25/Z$23</f>
        <v>5.0410267563297294E-4</v>
      </c>
      <c r="AA67" s="83">
        <f t="shared" si="60"/>
        <v>5.015894783602829E-4</v>
      </c>
    </row>
    <row r="68" spans="1:27" x14ac:dyDescent="0.25">
      <c r="A68" s="64" t="s">
        <v>146</v>
      </c>
      <c r="B68" s="65"/>
      <c r="C68" s="65"/>
      <c r="D68" s="83">
        <f t="shared" si="51"/>
        <v>0.81278447269057341</v>
      </c>
      <c r="E68" s="83">
        <f t="shared" ref="E68:S68" si="61">E26/E$23</f>
        <v>0.8180822316665386</v>
      </c>
      <c r="F68" s="83">
        <f t="shared" si="61"/>
        <v>0.81890293405781833</v>
      </c>
      <c r="G68" s="83">
        <f t="shared" si="61"/>
        <v>0.81967182423581175</v>
      </c>
      <c r="H68" s="83">
        <f t="shared" si="61"/>
        <v>0.82623680459601589</v>
      </c>
      <c r="I68" s="83">
        <f t="shared" si="61"/>
        <v>0.83935901052466277</v>
      </c>
      <c r="J68" s="83">
        <f t="shared" si="61"/>
        <v>0.85180985151405331</v>
      </c>
      <c r="K68" s="83">
        <f t="shared" si="61"/>
        <v>0.83923493195033205</v>
      </c>
      <c r="L68" s="83">
        <f t="shared" si="61"/>
        <v>0.85926271017764666</v>
      </c>
      <c r="M68" s="83">
        <f t="shared" si="61"/>
        <v>0.88090217759628187</v>
      </c>
      <c r="N68" s="83">
        <f t="shared" si="61"/>
        <v>0.88119033952169978</v>
      </c>
      <c r="O68" s="83">
        <f t="shared" si="61"/>
        <v>0.88392257703919619</v>
      </c>
      <c r="P68" s="83">
        <f t="shared" si="61"/>
        <v>0.88621732268766484</v>
      </c>
      <c r="Q68" s="83">
        <f t="shared" si="61"/>
        <v>0.88667081833271555</v>
      </c>
      <c r="R68" s="83">
        <f t="shared" si="61"/>
        <v>0.88199975655608709</v>
      </c>
      <c r="S68" s="83">
        <f t="shared" si="61"/>
        <v>0.87733421609288842</v>
      </c>
      <c r="T68" s="83">
        <f t="shared" ref="T68:Y68" si="62">T26/T$23</f>
        <v>0.87136170659637557</v>
      </c>
      <c r="U68" s="83">
        <f t="shared" si="62"/>
        <v>0.88455836454828152</v>
      </c>
      <c r="V68" s="83">
        <f t="shared" si="62"/>
        <v>0.88241998115599074</v>
      </c>
      <c r="W68" s="83">
        <f t="shared" si="62"/>
        <v>0.87555726780319743</v>
      </c>
      <c r="X68" s="83">
        <f t="shared" si="62"/>
        <v>0.87893904153092106</v>
      </c>
      <c r="Y68" s="83">
        <f t="shared" si="62"/>
        <v>0.88652660024024288</v>
      </c>
      <c r="Z68" s="83">
        <f t="shared" ref="Z68:AA68" si="63">Z26/Z$23</f>
        <v>0.90186697372926783</v>
      </c>
      <c r="AA68" s="83">
        <f t="shared" si="63"/>
        <v>0.90093530897029273</v>
      </c>
    </row>
    <row r="69" spans="1:27" x14ac:dyDescent="0.25">
      <c r="A69" s="68" t="s">
        <v>148</v>
      </c>
      <c r="B69" s="69"/>
      <c r="C69" s="69"/>
      <c r="D69" s="84">
        <f t="shared" si="51"/>
        <v>0.22499158622775214</v>
      </c>
      <c r="E69" s="84">
        <f t="shared" ref="E69:S69" si="64">E27/E$23</f>
        <v>0.23366100017736963</v>
      </c>
      <c r="F69" s="84">
        <f t="shared" si="64"/>
        <v>0.24104638354612723</v>
      </c>
      <c r="G69" s="84">
        <f t="shared" si="64"/>
        <v>0.24389339967454182</v>
      </c>
      <c r="H69" s="84">
        <f t="shared" si="64"/>
        <v>0.24125364722411824</v>
      </c>
      <c r="I69" s="84">
        <f t="shared" si="64"/>
        <v>0.23770729530750351</v>
      </c>
      <c r="J69" s="84">
        <f t="shared" si="64"/>
        <v>0.21916053695912188</v>
      </c>
      <c r="K69" s="84">
        <f t="shared" si="64"/>
        <v>0.21000404059610683</v>
      </c>
      <c r="L69" s="84">
        <f t="shared" si="64"/>
        <v>0.20691254864813063</v>
      </c>
      <c r="M69" s="84">
        <f t="shared" si="64"/>
        <v>0.22223487836340905</v>
      </c>
      <c r="N69" s="84">
        <f t="shared" si="64"/>
        <v>0.21893560763575587</v>
      </c>
      <c r="O69" s="84">
        <f t="shared" si="64"/>
        <v>0.22079791764549209</v>
      </c>
      <c r="P69" s="84">
        <f t="shared" si="64"/>
        <v>0.22151156235080727</v>
      </c>
      <c r="Q69" s="84">
        <f t="shared" si="64"/>
        <v>0.2221588663180325</v>
      </c>
      <c r="R69" s="84">
        <f t="shared" si="64"/>
        <v>0.22334017944006052</v>
      </c>
      <c r="S69" s="84">
        <f t="shared" si="64"/>
        <v>0.21861506380040902</v>
      </c>
      <c r="T69" s="84">
        <f t="shared" ref="T69:Y69" si="65">T27/T$23</f>
        <v>0.21526596634894182</v>
      </c>
      <c r="U69" s="84">
        <f t="shared" si="65"/>
        <v>0.22617356611301329</v>
      </c>
      <c r="V69" s="84">
        <f t="shared" si="65"/>
        <v>0.23630052206824859</v>
      </c>
      <c r="W69" s="84">
        <f t="shared" si="65"/>
        <v>0.24006641272178875</v>
      </c>
      <c r="X69" s="84">
        <f t="shared" si="65"/>
        <v>0.24934932833617496</v>
      </c>
      <c r="Y69" s="84">
        <f t="shared" si="65"/>
        <v>0.248786479182667</v>
      </c>
      <c r="Z69" s="84">
        <f t="shared" ref="Z69:AA69" si="66">Z27/Z$23</f>
        <v>0.26513784327591838</v>
      </c>
      <c r="AA69" s="84">
        <f t="shared" si="66"/>
        <v>0.24832147616716269</v>
      </c>
    </row>
    <row r="70" spans="1:27" x14ac:dyDescent="0.25">
      <c r="A70" s="68" t="s">
        <v>150</v>
      </c>
      <c r="B70" s="71"/>
      <c r="C70" s="71"/>
      <c r="D70" s="84">
        <f t="shared" si="51"/>
        <v>0.49406158393530414</v>
      </c>
      <c r="E70" s="84">
        <f t="shared" ref="E70:S70" si="67">E28/E$23</f>
        <v>0.48558172533863575</v>
      </c>
      <c r="F70" s="84">
        <f t="shared" si="67"/>
        <v>0.47923866945535787</v>
      </c>
      <c r="G70" s="84">
        <f t="shared" si="67"/>
        <v>0.47928825198299452</v>
      </c>
      <c r="H70" s="84">
        <f t="shared" si="67"/>
        <v>0.49149213876016346</v>
      </c>
      <c r="I70" s="84">
        <f t="shared" si="67"/>
        <v>0.51430802409459364</v>
      </c>
      <c r="J70" s="84">
        <f t="shared" si="67"/>
        <v>0.54261029399782945</v>
      </c>
      <c r="K70" s="84">
        <f t="shared" si="67"/>
        <v>0.54829403655551057</v>
      </c>
      <c r="L70" s="84">
        <f t="shared" si="67"/>
        <v>0.5510260206731985</v>
      </c>
      <c r="M70" s="84">
        <f t="shared" si="67"/>
        <v>0.56025446437470283</v>
      </c>
      <c r="N70" s="84">
        <f t="shared" si="67"/>
        <v>0.55946898072230544</v>
      </c>
      <c r="O70" s="84">
        <f t="shared" si="67"/>
        <v>0.53841979241779758</v>
      </c>
      <c r="P70" s="84">
        <f t="shared" si="67"/>
        <v>0.55249539977016837</v>
      </c>
      <c r="Q70" s="84">
        <f t="shared" si="67"/>
        <v>0.55176808407202271</v>
      </c>
      <c r="R70" s="84">
        <f t="shared" si="67"/>
        <v>0.55021511187979688</v>
      </c>
      <c r="S70" s="84">
        <f t="shared" si="67"/>
        <v>0.56004061585916065</v>
      </c>
      <c r="T70" s="84">
        <f t="shared" ref="T70:Y70" si="68">T28/T$23</f>
        <v>0.55548960615885201</v>
      </c>
      <c r="U70" s="84">
        <f t="shared" si="68"/>
        <v>0.55766578949850509</v>
      </c>
      <c r="V70" s="84">
        <f t="shared" si="68"/>
        <v>0.55175663954552379</v>
      </c>
      <c r="W70" s="84">
        <f t="shared" si="68"/>
        <v>0.54176815021453151</v>
      </c>
      <c r="X70" s="84">
        <f t="shared" si="68"/>
        <v>0.54122911663961581</v>
      </c>
      <c r="Y70" s="84">
        <f t="shared" si="68"/>
        <v>0.55195166739344625</v>
      </c>
      <c r="Z70" s="84">
        <f t="shared" ref="Z70:AA70" si="69">Z28/Z$23</f>
        <v>0.55804742309913702</v>
      </c>
      <c r="AA70" s="84">
        <f t="shared" si="69"/>
        <v>0.56179355590921753</v>
      </c>
    </row>
    <row r="71" spans="1:27" x14ac:dyDescent="0.25">
      <c r="A71" s="68" t="s">
        <v>152</v>
      </c>
      <c r="B71" s="71"/>
      <c r="C71" s="71"/>
      <c r="D71" s="84">
        <f t="shared" si="51"/>
        <v>9.373130252751706E-2</v>
      </c>
      <c r="E71" s="84">
        <f t="shared" ref="E71:S71" si="70">E29/E$23</f>
        <v>9.883950615053308E-2</v>
      </c>
      <c r="F71" s="84">
        <f t="shared" si="70"/>
        <v>9.8617881056333165E-2</v>
      </c>
      <c r="G71" s="84">
        <f t="shared" si="70"/>
        <v>9.6490172578275593E-2</v>
      </c>
      <c r="H71" s="84">
        <f t="shared" si="70"/>
        <v>9.3491018611734422E-2</v>
      </c>
      <c r="I71" s="84">
        <f t="shared" si="70"/>
        <v>8.7343691122565598E-2</v>
      </c>
      <c r="J71" s="84">
        <f t="shared" si="70"/>
        <v>9.0039020557102015E-2</v>
      </c>
      <c r="K71" s="84">
        <f t="shared" si="70"/>
        <v>8.0936854798714361E-2</v>
      </c>
      <c r="L71" s="84">
        <f t="shared" si="70"/>
        <v>0.10132414085631782</v>
      </c>
      <c r="M71" s="84">
        <f t="shared" si="70"/>
        <v>9.8412834858170262E-2</v>
      </c>
      <c r="N71" s="84">
        <f t="shared" si="70"/>
        <v>0.10278575116363864</v>
      </c>
      <c r="O71" s="84">
        <f t="shared" si="70"/>
        <v>0.1247048669759067</v>
      </c>
      <c r="P71" s="84">
        <f t="shared" si="70"/>
        <v>0.11221036056668915</v>
      </c>
      <c r="Q71" s="84">
        <f t="shared" si="70"/>
        <v>0.11274386794266032</v>
      </c>
      <c r="R71" s="84">
        <f t="shared" si="70"/>
        <v>0.10844446523622976</v>
      </c>
      <c r="S71" s="84">
        <f t="shared" si="70"/>
        <v>9.8678536433318961E-2</v>
      </c>
      <c r="T71" s="84">
        <f t="shared" ref="T71:Y71" si="71">T29/T$23</f>
        <v>0.10060613408858168</v>
      </c>
      <c r="U71" s="84">
        <f t="shared" si="71"/>
        <v>0.10071900893676326</v>
      </c>
      <c r="V71" s="84">
        <f t="shared" si="71"/>
        <v>9.436281954221834E-2</v>
      </c>
      <c r="W71" s="84">
        <f t="shared" si="71"/>
        <v>9.3722704866877199E-2</v>
      </c>
      <c r="X71" s="84">
        <f t="shared" si="71"/>
        <v>8.8360596555130538E-2</v>
      </c>
      <c r="Y71" s="84">
        <f t="shared" si="71"/>
        <v>8.5788453664129655E-2</v>
      </c>
      <c r="Z71" s="84">
        <f t="shared" ref="Z71:AA71" si="72">Z29/Z$23</f>
        <v>7.8681707354212788E-2</v>
      </c>
      <c r="AA71" s="84">
        <f t="shared" si="72"/>
        <v>9.0820276893912352E-2</v>
      </c>
    </row>
    <row r="72" spans="1:27" x14ac:dyDescent="0.25">
      <c r="A72" s="64" t="s">
        <v>154</v>
      </c>
      <c r="B72" s="65"/>
      <c r="C72" s="65"/>
      <c r="D72" s="83">
        <f t="shared" si="51"/>
        <v>9.9258124777461751E-3</v>
      </c>
      <c r="E72" s="83">
        <f t="shared" ref="E72:S72" si="73">E30/E$23</f>
        <v>1.0628168146301844E-2</v>
      </c>
      <c r="F72" s="83">
        <f t="shared" si="73"/>
        <v>1.0727830400658795E-2</v>
      </c>
      <c r="G72" s="83">
        <f t="shared" si="73"/>
        <v>1.2164777663355298E-2</v>
      </c>
      <c r="H72" s="83">
        <f t="shared" si="73"/>
        <v>1.1782878902180542E-2</v>
      </c>
      <c r="I72" s="83">
        <f t="shared" si="73"/>
        <v>1.1236707072209418E-2</v>
      </c>
      <c r="J72" s="83">
        <f t="shared" si="73"/>
        <v>1.0745048706324815E-2</v>
      </c>
      <c r="K72" s="83">
        <f t="shared" si="73"/>
        <v>1.0327288284648116E-2</v>
      </c>
      <c r="L72" s="83">
        <f t="shared" si="73"/>
        <v>8.617073584030353E-3</v>
      </c>
      <c r="M72" s="83">
        <f t="shared" si="73"/>
        <v>1.0482132534477702E-2</v>
      </c>
      <c r="N72" s="83">
        <f t="shared" si="73"/>
        <v>8.7326308521572596E-3</v>
      </c>
      <c r="O72" s="83">
        <f t="shared" si="73"/>
        <v>7.8353989173918521E-3</v>
      </c>
      <c r="P72" s="83">
        <f t="shared" si="73"/>
        <v>7.2129797713280106E-3</v>
      </c>
      <c r="Q72" s="83">
        <f t="shared" si="73"/>
        <v>7.8475065903546998E-3</v>
      </c>
      <c r="R72" s="83">
        <f t="shared" si="73"/>
        <v>8.6658830840730047E-3</v>
      </c>
      <c r="S72" s="83">
        <f t="shared" si="73"/>
        <v>8.4998668430093186E-3</v>
      </c>
      <c r="T72" s="83">
        <f t="shared" ref="T72:Y72" si="74">T30/T$23</f>
        <v>8.9393987854904256E-3</v>
      </c>
      <c r="U72" s="83">
        <f t="shared" si="74"/>
        <v>7.9775143129320984E-3</v>
      </c>
      <c r="V72" s="83">
        <f t="shared" si="74"/>
        <v>7.5524252735933951E-3</v>
      </c>
      <c r="W72" s="83">
        <f t="shared" si="74"/>
        <v>7.8785454339483744E-3</v>
      </c>
      <c r="X72" s="83">
        <f t="shared" si="74"/>
        <v>8.2473671613887672E-3</v>
      </c>
      <c r="Y72" s="83">
        <f t="shared" si="74"/>
        <v>7.7239826719638516E-3</v>
      </c>
      <c r="Z72" s="83">
        <f t="shared" ref="Z72:AA72" si="75">Z30/Z$23</f>
        <v>7.01422865809308E-3</v>
      </c>
      <c r="AA72" s="83">
        <f t="shared" si="75"/>
        <v>8.0307677120449519E-3</v>
      </c>
    </row>
    <row r="73" spans="1:27" x14ac:dyDescent="0.25">
      <c r="A73" s="64" t="s">
        <v>37</v>
      </c>
      <c r="B73" s="65"/>
      <c r="C73" s="65"/>
      <c r="D73" s="83">
        <f t="shared" si="51"/>
        <v>6.1310792552957988E-2</v>
      </c>
      <c r="E73" s="83">
        <f t="shared" ref="E73:S73" si="76">E31/E$23</f>
        <v>6.2462075596755068E-2</v>
      </c>
      <c r="F73" s="83">
        <f t="shared" si="76"/>
        <v>6.4484768483626845E-2</v>
      </c>
      <c r="G73" s="83">
        <f t="shared" si="76"/>
        <v>6.3362102016647784E-2</v>
      </c>
      <c r="H73" s="83">
        <f t="shared" si="76"/>
        <v>6.1788267413873624E-2</v>
      </c>
      <c r="I73" s="83">
        <f t="shared" si="76"/>
        <v>5.6666914553431993E-2</v>
      </c>
      <c r="J73" s="83">
        <f t="shared" si="76"/>
        <v>5.4572593444770702E-2</v>
      </c>
      <c r="K73" s="83">
        <f t="shared" si="76"/>
        <v>5.7064506928433914E-2</v>
      </c>
      <c r="L73" s="83">
        <f t="shared" si="76"/>
        <v>5.4285896834017161E-2</v>
      </c>
      <c r="M73" s="83">
        <f t="shared" si="76"/>
        <v>5.4591948605941867E-2</v>
      </c>
      <c r="N73" s="83">
        <f t="shared" si="76"/>
        <v>5.2487322123972495E-2</v>
      </c>
      <c r="O73" s="83">
        <f t="shared" si="76"/>
        <v>5.1398076937572083E-2</v>
      </c>
      <c r="P73" s="83">
        <f t="shared" si="76"/>
        <v>5.2750901453120842E-2</v>
      </c>
      <c r="Q73" s="83">
        <f t="shared" si="76"/>
        <v>5.2017973893328857E-2</v>
      </c>
      <c r="R73" s="83">
        <f t="shared" si="76"/>
        <v>5.3561777105177816E-2</v>
      </c>
      <c r="S73" s="83">
        <f t="shared" si="76"/>
        <v>5.21728071574349E-2</v>
      </c>
      <c r="T73" s="83">
        <f t="shared" ref="T73:Y73" si="77">T31/T$23</f>
        <v>5.4442632457741578E-2</v>
      </c>
      <c r="U73" s="83">
        <f t="shared" si="77"/>
        <v>5.2937570149873145E-2</v>
      </c>
      <c r="V73" s="83">
        <f t="shared" si="77"/>
        <v>5.3158540409402738E-2</v>
      </c>
      <c r="W73" s="83">
        <f t="shared" si="77"/>
        <v>5.89094294736544E-2</v>
      </c>
      <c r="X73" s="83">
        <f t="shared" si="77"/>
        <v>5.6782942759667047E-2</v>
      </c>
      <c r="Y73" s="83">
        <f t="shared" si="77"/>
        <v>5.2856243992751316E-2</v>
      </c>
      <c r="Z73" s="83">
        <f t="shared" ref="Z73:AA73" si="78">Z31/Z$23</f>
        <v>4.555935953034914E-2</v>
      </c>
      <c r="AA73" s="83">
        <f t="shared" si="78"/>
        <v>4.4981637289442475E-2</v>
      </c>
    </row>
    <row r="74" spans="1:27" x14ac:dyDescent="0.25">
      <c r="A74" s="64" t="s">
        <v>58</v>
      </c>
      <c r="B74" s="65"/>
      <c r="C74" s="65"/>
      <c r="D74" s="83">
        <f t="shared" si="51"/>
        <v>0.10792121111742663</v>
      </c>
      <c r="E74" s="83">
        <f t="shared" ref="E74:S74" si="79">E32/E$23</f>
        <v>0.10149002774104747</v>
      </c>
      <c r="F74" s="83">
        <f t="shared" si="79"/>
        <v>9.692942415394798E-2</v>
      </c>
      <c r="G74" s="83">
        <f t="shared" si="79"/>
        <v>9.8351492392621725E-2</v>
      </c>
      <c r="H74" s="83">
        <f t="shared" si="79"/>
        <v>9.2983417889644648E-2</v>
      </c>
      <c r="I74" s="83">
        <f t="shared" si="79"/>
        <v>8.7684196138533538E-2</v>
      </c>
      <c r="J74" s="83">
        <f t="shared" si="79"/>
        <v>7.8375033718918949E-2</v>
      </c>
      <c r="K74" s="83">
        <f t="shared" si="79"/>
        <v>8.8260136145596732E-2</v>
      </c>
      <c r="L74" s="83">
        <f t="shared" si="79"/>
        <v>7.3548005883944917E-2</v>
      </c>
      <c r="M74" s="83">
        <f t="shared" si="79"/>
        <v>5.054963050750836E-2</v>
      </c>
      <c r="N74" s="83">
        <f t="shared" si="79"/>
        <v>5.3781767843367828E-2</v>
      </c>
      <c r="O74" s="83">
        <f t="shared" si="79"/>
        <v>5.3170520101252429E-2</v>
      </c>
      <c r="P74" s="83">
        <f t="shared" si="79"/>
        <v>4.9852981010101445E-2</v>
      </c>
      <c r="Q74" s="83">
        <f t="shared" si="79"/>
        <v>4.9840415535013151E-2</v>
      </c>
      <c r="R74" s="83">
        <f t="shared" si="79"/>
        <v>5.1840137911989763E-2</v>
      </c>
      <c r="S74" s="83">
        <f t="shared" si="79"/>
        <v>5.8952890999475531E-2</v>
      </c>
      <c r="T74" s="83">
        <f t="shared" ref="T74:Y74" si="80">T32/T$23</f>
        <v>6.233905938895256E-2</v>
      </c>
      <c r="U74" s="83">
        <f t="shared" si="80"/>
        <v>5.1297063047617511E-2</v>
      </c>
      <c r="V74" s="83">
        <f t="shared" si="80"/>
        <v>5.3652569653410406E-2</v>
      </c>
      <c r="W74" s="83">
        <f t="shared" si="80"/>
        <v>5.4606710729492053E-2</v>
      </c>
      <c r="X74" s="83">
        <f t="shared" si="80"/>
        <v>5.3149856142234567E-2</v>
      </c>
      <c r="Y74" s="83">
        <f t="shared" si="80"/>
        <v>5.0177179969522104E-2</v>
      </c>
      <c r="Z74" s="83">
        <f t="shared" ref="Z74:AA74" si="81">Z32/Z$23</f>
        <v>4.2379270345725147E-2</v>
      </c>
      <c r="AA74" s="83">
        <f t="shared" si="81"/>
        <v>4.3498982141034835E-2</v>
      </c>
    </row>
    <row r="75" spans="1:27" x14ac:dyDescent="0.25">
      <c r="A75" s="85" t="s">
        <v>158</v>
      </c>
      <c r="B75" s="86"/>
      <c r="C75" s="86"/>
      <c r="D75" s="87">
        <f t="shared" si="51"/>
        <v>3.2235722194311797E-2</v>
      </c>
      <c r="E75" s="87">
        <f t="shared" ref="E75:S75" si="82">E33/E$23</f>
        <v>2.9942774992765191E-2</v>
      </c>
      <c r="F75" s="87">
        <f t="shared" si="82"/>
        <v>2.5075923456668998E-2</v>
      </c>
      <c r="G75" s="87">
        <f t="shared" si="82"/>
        <v>2.8068635887299465E-2</v>
      </c>
      <c r="H75" s="87">
        <f t="shared" si="82"/>
        <v>2.7517333045946047E-2</v>
      </c>
      <c r="I75" s="87">
        <f t="shared" si="82"/>
        <v>2.6689968022607272E-2</v>
      </c>
      <c r="J75" s="87">
        <f t="shared" si="82"/>
        <v>2.2001766398665096E-2</v>
      </c>
      <c r="K75" s="87">
        <f t="shared" si="82"/>
        <v>3.4535212606659857E-2</v>
      </c>
      <c r="L75" s="87">
        <f t="shared" si="82"/>
        <v>2.8809693791095686E-2</v>
      </c>
      <c r="M75" s="87">
        <f t="shared" si="82"/>
        <v>8.8561347954973241E-3</v>
      </c>
      <c r="N75" s="87">
        <f t="shared" si="82"/>
        <v>1.1266898386071728E-2</v>
      </c>
      <c r="O75" s="87">
        <f t="shared" si="82"/>
        <v>1.2836328644183203E-2</v>
      </c>
      <c r="P75" s="87">
        <f t="shared" si="82"/>
        <v>1.3101358597211793E-2</v>
      </c>
      <c r="Q75" s="87">
        <f t="shared" si="82"/>
        <v>1.1803886468239004E-2</v>
      </c>
      <c r="R75" s="87">
        <f t="shared" si="82"/>
        <v>3.0331856015565887E-3</v>
      </c>
      <c r="S75" s="87">
        <f t="shared" si="82"/>
        <v>8.4037684734533363E-3</v>
      </c>
      <c r="T75" s="87">
        <f t="shared" ref="T75:Y75" si="83">T33/T$23</f>
        <v>1.6352639424592596E-2</v>
      </c>
      <c r="U75" s="87">
        <f t="shared" si="83"/>
        <v>1.661526272601228E-2</v>
      </c>
      <c r="V75" s="87">
        <f t="shared" si="83"/>
        <v>1.8654725295279385E-2</v>
      </c>
      <c r="W75" s="87">
        <f t="shared" si="83"/>
        <v>1.8986475289403181E-2</v>
      </c>
      <c r="X75" s="87">
        <f t="shared" si="83"/>
        <v>1.8479934367020188E-2</v>
      </c>
      <c r="Y75" s="87">
        <f t="shared" si="83"/>
        <v>1.744634999721268E-2</v>
      </c>
      <c r="Z75" s="87">
        <f t="shared" ref="Z75:AA75" si="84">Z33/Z$23</f>
        <v>1.4735056524242908E-2</v>
      </c>
      <c r="AA75" s="87">
        <f t="shared" si="84"/>
        <v>1.512437461443542E-2</v>
      </c>
    </row>
    <row r="76" spans="1:27" x14ac:dyDescent="0.25">
      <c r="A76" s="88" t="s">
        <v>5</v>
      </c>
      <c r="B76" s="44"/>
      <c r="C76" s="44"/>
      <c r="D76" s="89">
        <f t="shared" si="51"/>
        <v>3.2235722194311797E-2</v>
      </c>
      <c r="E76" s="89">
        <f t="shared" ref="E76:S76" si="85">E34/E$23</f>
        <v>2.9942774992765191E-2</v>
      </c>
      <c r="F76" s="89">
        <f t="shared" si="85"/>
        <v>2.5075923456668998E-2</v>
      </c>
      <c r="G76" s="89">
        <f t="shared" si="85"/>
        <v>2.8068635887299465E-2</v>
      </c>
      <c r="H76" s="89">
        <f t="shared" si="85"/>
        <v>2.7517333045946047E-2</v>
      </c>
      <c r="I76" s="89">
        <f t="shared" si="85"/>
        <v>2.6689968022607272E-2</v>
      </c>
      <c r="J76" s="89">
        <f t="shared" si="85"/>
        <v>2.2001766398665096E-2</v>
      </c>
      <c r="K76" s="89">
        <f t="shared" si="85"/>
        <v>3.4535212606659857E-2</v>
      </c>
      <c r="L76" s="89">
        <f t="shared" si="85"/>
        <v>2.8809693791095683E-2</v>
      </c>
      <c r="M76" s="89">
        <f t="shared" si="85"/>
        <v>8.8561347954973241E-3</v>
      </c>
      <c r="N76" s="89">
        <f t="shared" si="85"/>
        <v>1.1266898386071728E-2</v>
      </c>
      <c r="O76" s="89">
        <f t="shared" si="85"/>
        <v>1.2836328644183201E-2</v>
      </c>
      <c r="P76" s="89">
        <f t="shared" si="85"/>
        <v>1.3101358597211793E-2</v>
      </c>
      <c r="Q76" s="89">
        <f t="shared" si="85"/>
        <v>1.1803886468239004E-2</v>
      </c>
      <c r="R76" s="89">
        <f t="shared" si="85"/>
        <v>3.0331856015565887E-3</v>
      </c>
      <c r="S76" s="89">
        <f t="shared" si="85"/>
        <v>8.4037684734533363E-3</v>
      </c>
      <c r="T76" s="89">
        <f t="shared" ref="T76:Y76" si="86">T34/T$23</f>
        <v>1.6352639424592596E-2</v>
      </c>
      <c r="U76" s="89">
        <f t="shared" si="86"/>
        <v>1.661526272601228E-2</v>
      </c>
      <c r="V76" s="89">
        <f t="shared" si="86"/>
        <v>1.8654725295279385E-2</v>
      </c>
      <c r="W76" s="89">
        <f t="shared" si="86"/>
        <v>1.8986475289403181E-2</v>
      </c>
      <c r="X76" s="89">
        <f t="shared" si="86"/>
        <v>1.8479934367020188E-2</v>
      </c>
      <c r="Y76" s="89">
        <f t="shared" si="86"/>
        <v>1.744634999721268E-2</v>
      </c>
      <c r="Z76" s="89">
        <f t="shared" ref="Z76:AA76" si="87">Z34/Z$23</f>
        <v>1.4735056524242908E-2</v>
      </c>
      <c r="AA76" s="89">
        <f t="shared" si="87"/>
        <v>1.512437461443542E-2</v>
      </c>
    </row>
    <row r="77" spans="1:27" x14ac:dyDescent="0.25">
      <c r="A77" s="88" t="s">
        <v>263</v>
      </c>
      <c r="B77" s="44"/>
      <c r="C77" s="44"/>
      <c r="D77" s="89">
        <f>D37/D$23</f>
        <v>0</v>
      </c>
      <c r="E77" s="89">
        <f t="shared" ref="E77:S77" si="88">E37/E$23</f>
        <v>0</v>
      </c>
      <c r="F77" s="89">
        <f t="shared" si="88"/>
        <v>0</v>
      </c>
      <c r="G77" s="89">
        <f t="shared" si="88"/>
        <v>0</v>
      </c>
      <c r="H77" s="89">
        <f t="shared" si="88"/>
        <v>0</v>
      </c>
      <c r="I77" s="89">
        <f t="shared" si="88"/>
        <v>0</v>
      </c>
      <c r="J77" s="89">
        <f t="shared" si="88"/>
        <v>0</v>
      </c>
      <c r="K77" s="89">
        <f t="shared" si="88"/>
        <v>0</v>
      </c>
      <c r="L77" s="89">
        <f t="shared" si="88"/>
        <v>0</v>
      </c>
      <c r="M77" s="89">
        <f t="shared" si="88"/>
        <v>0</v>
      </c>
      <c r="N77" s="89">
        <f t="shared" si="88"/>
        <v>0</v>
      </c>
      <c r="O77" s="89">
        <f t="shared" si="88"/>
        <v>0</v>
      </c>
      <c r="P77" s="89">
        <f t="shared" si="88"/>
        <v>0</v>
      </c>
      <c r="Q77" s="89">
        <f t="shared" si="88"/>
        <v>0</v>
      </c>
      <c r="R77" s="89">
        <f t="shared" si="88"/>
        <v>0</v>
      </c>
      <c r="S77" s="89">
        <f t="shared" si="88"/>
        <v>0</v>
      </c>
      <c r="T77" s="89">
        <f t="shared" ref="T77:Y77" si="89">T37/T$23</f>
        <v>0</v>
      </c>
      <c r="U77" s="89">
        <f t="shared" si="89"/>
        <v>0</v>
      </c>
      <c r="V77" s="89">
        <f t="shared" si="89"/>
        <v>0</v>
      </c>
      <c r="W77" s="89">
        <f t="shared" si="89"/>
        <v>0</v>
      </c>
      <c r="X77" s="89">
        <f t="shared" si="89"/>
        <v>0</v>
      </c>
      <c r="Y77" s="89">
        <f t="shared" si="89"/>
        <v>0</v>
      </c>
      <c r="Z77" s="89">
        <f t="shared" ref="Z77:AA77" si="90">Z37/Z$23</f>
        <v>0</v>
      </c>
      <c r="AA77" s="89">
        <f t="shared" si="90"/>
        <v>0</v>
      </c>
    </row>
    <row r="78" spans="1:27" x14ac:dyDescent="0.25">
      <c r="A78" s="68" t="s">
        <v>265</v>
      </c>
      <c r="B78" s="44"/>
      <c r="C78" s="44"/>
      <c r="D78" s="89">
        <f>D43/D$23</f>
        <v>7.3938248219945595E-3</v>
      </c>
      <c r="E78" s="89">
        <f t="shared" ref="E78:S78" si="91">E43/E$23</f>
        <v>7.0298434447878836E-3</v>
      </c>
      <c r="F78" s="89">
        <f t="shared" si="91"/>
        <v>8.2454671884622036E-3</v>
      </c>
      <c r="G78" s="89">
        <f t="shared" si="91"/>
        <v>8.9093725760825068E-3</v>
      </c>
      <c r="H78" s="89">
        <f t="shared" si="91"/>
        <v>8.3464984483780091E-3</v>
      </c>
      <c r="I78" s="89">
        <f t="shared" si="91"/>
        <v>6.2019428436106269E-3</v>
      </c>
      <c r="J78" s="89">
        <f t="shared" si="91"/>
        <v>5.142001525002029E-3</v>
      </c>
      <c r="K78" s="89">
        <f t="shared" si="91"/>
        <v>4.3300127446283705E-3</v>
      </c>
      <c r="L78" s="89">
        <f t="shared" si="91"/>
        <v>5.5048391451713785E-3</v>
      </c>
      <c r="M78" s="89">
        <f t="shared" si="91"/>
        <v>4.3707609833084768E-3</v>
      </c>
      <c r="N78" s="89">
        <f t="shared" si="91"/>
        <v>4.1582004245365118E-3</v>
      </c>
      <c r="O78" s="89">
        <f t="shared" si="91"/>
        <v>4.399688500715866E-3</v>
      </c>
      <c r="P78" s="89">
        <f t="shared" si="91"/>
        <v>3.4905171362693511E-3</v>
      </c>
      <c r="Q78" s="89">
        <f t="shared" si="91"/>
        <v>3.8701718950147289E-3</v>
      </c>
      <c r="R78" s="89">
        <f t="shared" si="91"/>
        <v>4.9001221717342334E-3</v>
      </c>
      <c r="S78" s="89">
        <f t="shared" si="91"/>
        <v>4.735921702233966E-3</v>
      </c>
      <c r="T78" s="89">
        <f t="shared" ref="T78:Y78" si="92">T43/T$23</f>
        <v>4.2958187310979451E-3</v>
      </c>
      <c r="U78" s="89">
        <f t="shared" si="92"/>
        <v>4.0919234711259377E-3</v>
      </c>
      <c r="V78" s="89">
        <f t="shared" si="92"/>
        <v>4.0920172977583985E-3</v>
      </c>
      <c r="W78" s="89">
        <f t="shared" si="92"/>
        <v>3.9905852567813233E-3</v>
      </c>
      <c r="X78" s="89">
        <f t="shared" si="92"/>
        <v>4.5182875054208468E-3</v>
      </c>
      <c r="Y78" s="89">
        <f t="shared" si="92"/>
        <v>4.5246140523179362E-3</v>
      </c>
      <c r="Z78" s="89">
        <f t="shared" ref="Z78:AA78" si="93">Z43/Z$23</f>
        <v>3.4916549565053175E-3</v>
      </c>
      <c r="AA78" s="89">
        <f t="shared" si="93"/>
        <v>3.3887131498311612E-3</v>
      </c>
    </row>
    <row r="79" spans="1:27" x14ac:dyDescent="0.25">
      <c r="A79" s="88" t="s">
        <v>266</v>
      </c>
      <c r="B79" s="44"/>
      <c r="C79" s="44"/>
      <c r="D79" s="89">
        <f>D44/D$23</f>
        <v>3.6532842977060886E-3</v>
      </c>
      <c r="E79" s="89">
        <f t="shared" ref="E79:S79" si="94">E44/E$23</f>
        <v>3.4587055759374911E-3</v>
      </c>
      <c r="F79" s="89">
        <f t="shared" si="94"/>
        <v>4.0180343294431379E-3</v>
      </c>
      <c r="G79" s="89">
        <f t="shared" si="94"/>
        <v>4.3664215790684404E-3</v>
      </c>
      <c r="H79" s="89">
        <f t="shared" si="94"/>
        <v>4.1351837881636357E-3</v>
      </c>
      <c r="I79" s="89">
        <f t="shared" si="94"/>
        <v>3.0750353238640591E-3</v>
      </c>
      <c r="J79" s="89">
        <f t="shared" si="94"/>
        <v>2.5616039682048236E-3</v>
      </c>
      <c r="K79" s="89">
        <f t="shared" si="94"/>
        <v>1.9371093100087943E-3</v>
      </c>
      <c r="L79" s="89">
        <f t="shared" si="94"/>
        <v>2.7473519582869193E-3</v>
      </c>
      <c r="M79" s="89">
        <f t="shared" si="94"/>
        <v>2.1755906700192786E-3</v>
      </c>
      <c r="N79" s="89">
        <f t="shared" si="94"/>
        <v>2.1027359104924953E-3</v>
      </c>
      <c r="O79" s="89">
        <f t="shared" si="94"/>
        <v>2.2210441419960761E-3</v>
      </c>
      <c r="P79" s="89">
        <f t="shared" si="94"/>
        <v>1.7537251665559093E-3</v>
      </c>
      <c r="Q79" s="89">
        <f t="shared" si="94"/>
        <v>1.9673144113731673E-3</v>
      </c>
      <c r="R79" s="89">
        <f t="shared" si="94"/>
        <v>2.1878715814506542E-3</v>
      </c>
      <c r="S79" s="89">
        <f t="shared" si="94"/>
        <v>2.1075028311999242E-3</v>
      </c>
      <c r="T79" s="89">
        <f t="shared" ref="T79:Y79" si="95">T44/T$23</f>
        <v>2.0141594435860214E-3</v>
      </c>
      <c r="U79" s="89">
        <f t="shared" si="95"/>
        <v>2.0731350744649748E-3</v>
      </c>
      <c r="V79" s="89">
        <f t="shared" si="95"/>
        <v>1.9015973784728909E-3</v>
      </c>
      <c r="W79" s="89">
        <f t="shared" si="95"/>
        <v>1.7612115719565556E-3</v>
      </c>
      <c r="X79" s="89">
        <f t="shared" si="95"/>
        <v>2.348391368979047E-3</v>
      </c>
      <c r="Y79" s="89">
        <f t="shared" si="95"/>
        <v>2.4760803994320554E-3</v>
      </c>
      <c r="Z79" s="89">
        <f t="shared" ref="Z79:AA79" si="96">Z44/Z$23</f>
        <v>1.7614787779975027E-3</v>
      </c>
      <c r="AA79" s="89">
        <f t="shared" si="96"/>
        <v>1.612823615259526E-3</v>
      </c>
    </row>
    <row r="80" spans="1:27" x14ac:dyDescent="0.25">
      <c r="A80" s="88" t="s">
        <v>11</v>
      </c>
      <c r="B80" s="44"/>
      <c r="C80" s="44"/>
      <c r="D80" s="89">
        <f>D47/D$23</f>
        <v>3.7405405242884704E-3</v>
      </c>
      <c r="E80" s="89">
        <f t="shared" ref="E80:S80" si="97">E47/E$23</f>
        <v>3.5711378688503916E-3</v>
      </c>
      <c r="F80" s="89">
        <f t="shared" si="97"/>
        <v>4.2274328590190648E-3</v>
      </c>
      <c r="G80" s="89">
        <f t="shared" si="97"/>
        <v>4.5429509970140664E-3</v>
      </c>
      <c r="H80" s="89">
        <f t="shared" si="97"/>
        <v>4.2113146602143726E-3</v>
      </c>
      <c r="I80" s="89">
        <f t="shared" si="97"/>
        <v>3.1269075197465687E-3</v>
      </c>
      <c r="J80" s="89">
        <f t="shared" si="97"/>
        <v>2.5803975567972059E-3</v>
      </c>
      <c r="K80" s="89">
        <f t="shared" si="97"/>
        <v>2.3929034346195765E-3</v>
      </c>
      <c r="L80" s="89">
        <f t="shared" si="97"/>
        <v>2.7574871868844592E-3</v>
      </c>
      <c r="M80" s="89">
        <f t="shared" si="97"/>
        <v>2.1951703132891977E-3</v>
      </c>
      <c r="N80" s="89">
        <f t="shared" si="97"/>
        <v>2.0554645140440165E-3</v>
      </c>
      <c r="O80" s="89">
        <f t="shared" si="97"/>
        <v>2.1786443587197895E-3</v>
      </c>
      <c r="P80" s="89">
        <f t="shared" si="97"/>
        <v>1.7367919697134423E-3</v>
      </c>
      <c r="Q80" s="89">
        <f t="shared" si="97"/>
        <v>1.9028574836415619E-3</v>
      </c>
      <c r="R80" s="89">
        <f t="shared" si="97"/>
        <v>2.7122505902835788E-3</v>
      </c>
      <c r="S80" s="89">
        <f t="shared" si="97"/>
        <v>2.6284188710340413E-3</v>
      </c>
      <c r="T80" s="89">
        <f t="shared" ref="T80:Y80" si="98">T47/T$23</f>
        <v>2.2816592875119228E-3</v>
      </c>
      <c r="U80" s="89">
        <f t="shared" si="98"/>
        <v>2.0187883966609628E-3</v>
      </c>
      <c r="V80" s="89">
        <f t="shared" si="98"/>
        <v>2.1904199192855078E-3</v>
      </c>
      <c r="W80" s="89">
        <f t="shared" si="98"/>
        <v>2.2293736848247674E-3</v>
      </c>
      <c r="X80" s="89">
        <f t="shared" si="98"/>
        <v>2.1698961364417994E-3</v>
      </c>
      <c r="Y80" s="89">
        <f t="shared" si="98"/>
        <v>2.0485336528858812E-3</v>
      </c>
      <c r="Z80" s="89">
        <f t="shared" ref="Z80:AA80" si="99">Z47/Z$23</f>
        <v>1.7301761785078148E-3</v>
      </c>
      <c r="AA80" s="89">
        <f t="shared" si="99"/>
        <v>1.7758895345716353E-3</v>
      </c>
    </row>
    <row r="81" spans="1:27" x14ac:dyDescent="0.25">
      <c r="A81" s="68" t="s">
        <v>4</v>
      </c>
      <c r="B81" s="44"/>
      <c r="C81" s="44"/>
      <c r="D81" s="89">
        <f>D48/D$23</f>
        <v>2.8899478589998095E-2</v>
      </c>
      <c r="E81" s="89">
        <f t="shared" ref="E81:S81" si="100">E48/E$23</f>
        <v>2.5671903735028614E-2</v>
      </c>
      <c r="F81" s="89">
        <f t="shared" si="100"/>
        <v>2.5182952118052618E-2</v>
      </c>
      <c r="G81" s="89">
        <f t="shared" si="100"/>
        <v>2.3766113160607637E-2</v>
      </c>
      <c r="H81" s="89">
        <f t="shared" si="100"/>
        <v>2.0396514630807119E-2</v>
      </c>
      <c r="I81" s="89">
        <f t="shared" si="100"/>
        <v>1.8967055848888231E-2</v>
      </c>
      <c r="J81" s="89">
        <f t="shared" si="100"/>
        <v>1.7846492786119102E-2</v>
      </c>
      <c r="K81" s="89">
        <f t="shared" si="100"/>
        <v>1.7879637772443134E-2</v>
      </c>
      <c r="L81" s="89">
        <f t="shared" si="100"/>
        <v>1.4459016120205677E-2</v>
      </c>
      <c r="M81" s="89">
        <f t="shared" si="100"/>
        <v>1.2321702655986149E-2</v>
      </c>
      <c r="N81" s="89">
        <f t="shared" si="100"/>
        <v>1.2794258798668265E-2</v>
      </c>
      <c r="O81" s="89">
        <f t="shared" si="100"/>
        <v>1.1459482275615499E-2</v>
      </c>
      <c r="P81" s="89">
        <f t="shared" si="100"/>
        <v>9.7858344109186795E-3</v>
      </c>
      <c r="Q81" s="89">
        <f t="shared" si="100"/>
        <v>1.2832978186890324E-2</v>
      </c>
      <c r="R81" s="89">
        <f t="shared" si="100"/>
        <v>1.3397470543725004E-2</v>
      </c>
      <c r="S81" s="89">
        <f t="shared" si="100"/>
        <v>1.4102504577358878E-2</v>
      </c>
      <c r="T81" s="89">
        <f t="shared" ref="T81:Y81" si="101">T48/T$23</f>
        <v>1.4424106082956127E-2</v>
      </c>
      <c r="U81" s="89">
        <f t="shared" si="101"/>
        <v>1.074672476726748E-2</v>
      </c>
      <c r="V81" s="89">
        <f t="shared" si="101"/>
        <v>1.2106408768252679E-2</v>
      </c>
      <c r="W81" s="89">
        <f t="shared" si="101"/>
        <v>1.2321705481238555E-2</v>
      </c>
      <c r="X81" s="89">
        <f t="shared" si="101"/>
        <v>1.1992974215184046E-2</v>
      </c>
      <c r="Y81" s="89">
        <f t="shared" si="101"/>
        <v>1.1322206102585095E-2</v>
      </c>
      <c r="Z81" s="89">
        <f t="shared" ref="Z81:AA81" si="102">Z48/Z$23</f>
        <v>9.562650464273242E-3</v>
      </c>
      <c r="AA81" s="89">
        <f t="shared" si="102"/>
        <v>9.8153073040895163E-3</v>
      </c>
    </row>
    <row r="82" spans="1:27" x14ac:dyDescent="0.25">
      <c r="A82" s="68" t="s">
        <v>3</v>
      </c>
      <c r="B82" s="44"/>
      <c r="C82" s="44"/>
      <c r="D82" s="89">
        <f>D52/D$23</f>
        <v>4.8824266782427159E-3</v>
      </c>
      <c r="E82" s="89">
        <f t="shared" ref="E82:S82" si="103">E52/E$23</f>
        <v>4.7376331438280074E-3</v>
      </c>
      <c r="F82" s="89">
        <f t="shared" si="103"/>
        <v>5.2042686597781824E-3</v>
      </c>
      <c r="G82" s="89">
        <f t="shared" si="103"/>
        <v>5.4910413808968005E-3</v>
      </c>
      <c r="H82" s="89">
        <f t="shared" si="103"/>
        <v>4.8456690336203222E-3</v>
      </c>
      <c r="I82" s="89">
        <f t="shared" si="103"/>
        <v>4.2648917974269359E-3</v>
      </c>
      <c r="J82" s="89">
        <f t="shared" si="103"/>
        <v>3.4741346439011982E-3</v>
      </c>
      <c r="K82" s="89">
        <f t="shared" si="103"/>
        <v>2.8818957526204449E-3</v>
      </c>
      <c r="L82" s="89">
        <f t="shared" si="103"/>
        <v>2.4917843342602284E-3</v>
      </c>
      <c r="M82" s="89">
        <f t="shared" si="103"/>
        <v>2.5230017455982732E-3</v>
      </c>
      <c r="N82" s="89">
        <f t="shared" si="103"/>
        <v>2.1236586558705298E-3</v>
      </c>
      <c r="O82" s="89">
        <f t="shared" si="103"/>
        <v>1.8944200034672412E-3</v>
      </c>
      <c r="P82" s="89">
        <f t="shared" si="103"/>
        <v>1.7393307055445066E-3</v>
      </c>
      <c r="Q82" s="89">
        <f t="shared" si="103"/>
        <v>1.492523750891652E-3</v>
      </c>
      <c r="R82" s="89">
        <f t="shared" si="103"/>
        <v>1.6452275429683278E-3</v>
      </c>
      <c r="S82" s="89">
        <f t="shared" si="103"/>
        <v>1.5321787824528184E-3</v>
      </c>
      <c r="T82" s="89">
        <f t="shared" ref="T82:Y82" si="104">T52/T$23</f>
        <v>1.4606840507778958E-3</v>
      </c>
      <c r="U82" s="89">
        <f t="shared" si="104"/>
        <v>1.4991886331672717E-3</v>
      </c>
      <c r="V82" s="89">
        <f t="shared" si="104"/>
        <v>1.4175182054543295E-3</v>
      </c>
      <c r="W82" s="89">
        <f t="shared" si="104"/>
        <v>1.4427269206128879E-3</v>
      </c>
      <c r="X82" s="89">
        <f t="shared" si="104"/>
        <v>1.4042363522491063E-3</v>
      </c>
      <c r="Y82" s="89">
        <f t="shared" si="104"/>
        <v>1.325697288398837E-3</v>
      </c>
      <c r="Z82" s="89">
        <f t="shared" ref="Z82:AA82" si="105">Z52/Z$23</f>
        <v>1.1196739995307503E-3</v>
      </c>
      <c r="AA82" s="89">
        <f t="shared" si="105"/>
        <v>1.1492571465256966E-3</v>
      </c>
    </row>
    <row r="83" spans="1:27" x14ac:dyDescent="0.25">
      <c r="A83" s="88" t="s">
        <v>21</v>
      </c>
      <c r="B83" s="44"/>
      <c r="C83" s="44"/>
      <c r="D83" s="89">
        <f>D53/D$23</f>
        <v>0</v>
      </c>
      <c r="E83" s="89">
        <f t="shared" ref="E83:S83" si="106">E53/E$23</f>
        <v>0</v>
      </c>
      <c r="F83" s="89">
        <f t="shared" si="106"/>
        <v>0</v>
      </c>
      <c r="G83" s="89">
        <f t="shared" si="106"/>
        <v>0</v>
      </c>
      <c r="H83" s="89">
        <f t="shared" si="106"/>
        <v>0</v>
      </c>
      <c r="I83" s="89">
        <f t="shared" si="106"/>
        <v>0</v>
      </c>
      <c r="J83" s="89">
        <f t="shared" si="106"/>
        <v>0</v>
      </c>
      <c r="K83" s="89">
        <f t="shared" si="106"/>
        <v>0</v>
      </c>
      <c r="L83" s="89">
        <f t="shared" si="106"/>
        <v>0</v>
      </c>
      <c r="M83" s="89">
        <f t="shared" si="106"/>
        <v>0</v>
      </c>
      <c r="N83" s="89">
        <f t="shared" si="106"/>
        <v>0</v>
      </c>
      <c r="O83" s="89">
        <f t="shared" si="106"/>
        <v>0</v>
      </c>
      <c r="P83" s="89">
        <f t="shared" si="106"/>
        <v>0</v>
      </c>
      <c r="Q83" s="89">
        <f t="shared" si="106"/>
        <v>0</v>
      </c>
      <c r="R83" s="89">
        <f t="shared" si="106"/>
        <v>0</v>
      </c>
      <c r="S83" s="89">
        <f t="shared" si="106"/>
        <v>0</v>
      </c>
      <c r="T83" s="89">
        <f t="shared" ref="T83:Y83" si="107">T53/T$23</f>
        <v>0</v>
      </c>
      <c r="U83" s="89">
        <f t="shared" si="107"/>
        <v>0</v>
      </c>
      <c r="V83" s="89">
        <f t="shared" si="107"/>
        <v>0</v>
      </c>
      <c r="W83" s="89">
        <f t="shared" si="107"/>
        <v>0</v>
      </c>
      <c r="X83" s="89">
        <f t="shared" si="107"/>
        <v>0</v>
      </c>
      <c r="Y83" s="89">
        <f t="shared" si="107"/>
        <v>0</v>
      </c>
      <c r="Z83" s="89">
        <f t="shared" ref="Z83:AA83" si="108">Z53/Z$23</f>
        <v>0</v>
      </c>
      <c r="AA83" s="89">
        <f t="shared" si="108"/>
        <v>0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4.8824266782427159E-3</v>
      </c>
      <c r="E84" s="89">
        <f t="shared" ref="E84:S84" si="110">E56/E$23</f>
        <v>4.7376331438280074E-3</v>
      </c>
      <c r="F84" s="89">
        <f t="shared" si="110"/>
        <v>5.2042686597781824E-3</v>
      </c>
      <c r="G84" s="89">
        <f t="shared" si="110"/>
        <v>5.4910413808968005E-3</v>
      </c>
      <c r="H84" s="89">
        <f t="shared" si="110"/>
        <v>4.8456690336203222E-3</v>
      </c>
      <c r="I84" s="89">
        <f t="shared" si="110"/>
        <v>4.2648917974269359E-3</v>
      </c>
      <c r="J84" s="89">
        <f t="shared" si="110"/>
        <v>3.4741346439011982E-3</v>
      </c>
      <c r="K84" s="89">
        <f t="shared" si="110"/>
        <v>2.8818957526204449E-3</v>
      </c>
      <c r="L84" s="89">
        <f t="shared" si="110"/>
        <v>2.4917843342602284E-3</v>
      </c>
      <c r="M84" s="89">
        <f t="shared" si="110"/>
        <v>2.5230017455982732E-3</v>
      </c>
      <c r="N84" s="89">
        <f t="shared" si="110"/>
        <v>2.1236586558705298E-3</v>
      </c>
      <c r="O84" s="89">
        <f t="shared" si="110"/>
        <v>1.8944200034672412E-3</v>
      </c>
      <c r="P84" s="89">
        <f t="shared" si="110"/>
        <v>1.7393307055445066E-3</v>
      </c>
      <c r="Q84" s="89">
        <f t="shared" si="110"/>
        <v>1.492523750891652E-3</v>
      </c>
      <c r="R84" s="89">
        <f t="shared" si="110"/>
        <v>1.6452275429683278E-3</v>
      </c>
      <c r="S84" s="89">
        <f t="shared" si="110"/>
        <v>1.5321787824528184E-3</v>
      </c>
      <c r="T84" s="89">
        <f t="shared" ref="T84:Y84" si="111">T56/T$23</f>
        <v>1.4606840507778958E-3</v>
      </c>
      <c r="U84" s="89">
        <f t="shared" si="111"/>
        <v>1.4991886331672717E-3</v>
      </c>
      <c r="V84" s="89">
        <f t="shared" si="111"/>
        <v>1.4175182054543295E-3</v>
      </c>
      <c r="W84" s="89">
        <f t="shared" si="111"/>
        <v>1.4427269206128879E-3</v>
      </c>
      <c r="X84" s="89">
        <f t="shared" si="111"/>
        <v>1.4042363522491063E-3</v>
      </c>
      <c r="Y84" s="89">
        <f t="shared" si="111"/>
        <v>1.325697288398837E-3</v>
      </c>
      <c r="Z84" s="89">
        <f t="shared" ref="Z84:AA84" si="112">Z56/Z$23</f>
        <v>1.1196739995307503E-3</v>
      </c>
      <c r="AA84" s="89">
        <f t="shared" si="112"/>
        <v>1.1492571465256966E-3</v>
      </c>
    </row>
    <row r="85" spans="1:27" x14ac:dyDescent="0.25">
      <c r="A85" s="68" t="s">
        <v>2</v>
      </c>
      <c r="B85" s="44"/>
      <c r="C85" s="44"/>
      <c r="D85" s="89">
        <f t="shared" si="109"/>
        <v>9.511220801771525E-3</v>
      </c>
      <c r="E85" s="89">
        <f t="shared" ref="E85:S85" si="113">E57/E$23</f>
        <v>9.1485329673920146E-3</v>
      </c>
      <c r="F85" s="89">
        <f t="shared" si="113"/>
        <v>9.1464910207412625E-3</v>
      </c>
      <c r="G85" s="89">
        <f t="shared" si="113"/>
        <v>9.4698099222137993E-3</v>
      </c>
      <c r="H85" s="89">
        <f t="shared" si="113"/>
        <v>9.4119337572295871E-3</v>
      </c>
      <c r="I85" s="89">
        <f t="shared" si="113"/>
        <v>9.5411615973823166E-3</v>
      </c>
      <c r="J85" s="89">
        <f t="shared" si="113"/>
        <v>7.9292397641759996E-3</v>
      </c>
      <c r="K85" s="89">
        <f t="shared" si="113"/>
        <v>7.5553205143441167E-3</v>
      </c>
      <c r="L85" s="89">
        <f t="shared" si="113"/>
        <v>6.3502998752718873E-3</v>
      </c>
      <c r="M85" s="89">
        <f t="shared" si="113"/>
        <v>7.7683394604876862E-3</v>
      </c>
      <c r="N85" s="89">
        <f t="shared" si="113"/>
        <v>7.4301899523746013E-3</v>
      </c>
      <c r="O85" s="89">
        <f t="shared" si="113"/>
        <v>6.2711834597536254E-3</v>
      </c>
      <c r="P85" s="89">
        <f t="shared" si="113"/>
        <v>6.1992145422441443E-3</v>
      </c>
      <c r="Q85" s="89">
        <f t="shared" si="113"/>
        <v>5.9791819061595563E-3</v>
      </c>
      <c r="R85" s="89">
        <f t="shared" si="113"/>
        <v>5.8826072856988437E-3</v>
      </c>
      <c r="S85" s="89">
        <f t="shared" si="113"/>
        <v>5.7653525727078382E-3</v>
      </c>
      <c r="T85" s="89">
        <f t="shared" ref="T85:Y85" si="114">T57/T$23</f>
        <v>5.6124017732387295E-3</v>
      </c>
      <c r="U85" s="89">
        <f t="shared" si="114"/>
        <v>5.2328268394593617E-3</v>
      </c>
      <c r="V85" s="89">
        <f t="shared" si="114"/>
        <v>5.1693375216153121E-3</v>
      </c>
      <c r="W85" s="89">
        <f t="shared" si="114"/>
        <v>5.2612674570753524E-3</v>
      </c>
      <c r="X85" s="89">
        <f t="shared" si="114"/>
        <v>5.1209018952747378E-3</v>
      </c>
      <c r="Y85" s="89">
        <f t="shared" si="114"/>
        <v>4.834489397635167E-3</v>
      </c>
      <c r="Z85" s="89">
        <f t="shared" ref="Z85:AA85" si="115">Z57/Z$23</f>
        <v>4.0831735320791072E-3</v>
      </c>
      <c r="AA85" s="89">
        <f t="shared" si="115"/>
        <v>4.1910559361145626E-3</v>
      </c>
    </row>
    <row r="86" spans="1:27" x14ac:dyDescent="0.25">
      <c r="A86" s="68" t="s">
        <v>269</v>
      </c>
      <c r="B86" s="44"/>
      <c r="C86" s="44"/>
      <c r="D86" s="89">
        <f t="shared" si="109"/>
        <v>4.9751001116958744E-4</v>
      </c>
      <c r="E86" s="89">
        <f t="shared" ref="E86:S86" si="116">E58/E$23</f>
        <v>4.8543236153508653E-4</v>
      </c>
      <c r="F86" s="89">
        <f t="shared" si="116"/>
        <v>4.6825039355330694E-4</v>
      </c>
      <c r="G86" s="89">
        <f t="shared" si="116"/>
        <v>7.1140722312627261E-4</v>
      </c>
      <c r="H86" s="89">
        <f t="shared" si="116"/>
        <v>8.1825547931809383E-4</v>
      </c>
      <c r="I86" s="89">
        <f t="shared" si="116"/>
        <v>9.0726556109169327E-4</v>
      </c>
      <c r="J86" s="89">
        <f t="shared" si="116"/>
        <v>8.8645837067647835E-4</v>
      </c>
      <c r="K86" s="89">
        <f t="shared" si="116"/>
        <v>1.5092814869393672E-3</v>
      </c>
      <c r="L86" s="89">
        <f t="shared" si="116"/>
        <v>1.3389521171833115E-3</v>
      </c>
      <c r="M86" s="89">
        <f t="shared" si="116"/>
        <v>7.0336504645911223E-4</v>
      </c>
      <c r="N86" s="89">
        <f t="shared" si="116"/>
        <v>8.4214050146589985E-4</v>
      </c>
      <c r="O86" s="89">
        <f t="shared" si="116"/>
        <v>9.1454758788073697E-4</v>
      </c>
      <c r="P86" s="89">
        <f t="shared" si="116"/>
        <v>9.2364458156501375E-4</v>
      </c>
      <c r="Q86" s="89">
        <f t="shared" si="116"/>
        <v>9.0869025929476543E-4</v>
      </c>
      <c r="R86" s="89">
        <f t="shared" si="116"/>
        <v>8.6909523294778949E-4</v>
      </c>
      <c r="S86" s="89">
        <f t="shared" si="116"/>
        <v>7.9536026388196354E-4</v>
      </c>
      <c r="T86" s="89">
        <f t="shared" ref="T86:Y86" si="117">T58/T$23</f>
        <v>8.5042287618076475E-4</v>
      </c>
      <c r="U86" s="89">
        <f t="shared" si="117"/>
        <v>8.3755411561642291E-4</v>
      </c>
      <c r="V86" s="89">
        <f t="shared" si="117"/>
        <v>7.5000320906018546E-4</v>
      </c>
      <c r="W86" s="89">
        <f t="shared" si="117"/>
        <v>7.6334103935573575E-4</v>
      </c>
      <c r="X86" s="89">
        <f t="shared" si="117"/>
        <v>7.4297583368831781E-4</v>
      </c>
      <c r="Y86" s="89">
        <f t="shared" si="117"/>
        <v>7.0142112934827366E-4</v>
      </c>
      <c r="Z86" s="89">
        <f t="shared" ref="Z86:AA86" si="118">Z58/Z$23</f>
        <v>5.924150317915413E-4</v>
      </c>
      <c r="AA86" s="89">
        <f t="shared" si="118"/>
        <v>6.0806735646358869E-4</v>
      </c>
    </row>
    <row r="87" spans="1:27" x14ac:dyDescent="0.25">
      <c r="A87" s="68" t="s">
        <v>270</v>
      </c>
      <c r="B87" s="44"/>
      <c r="C87" s="44"/>
      <c r="D87" s="89">
        <f t="shared" si="109"/>
        <v>1.3350391624125593E-2</v>
      </c>
      <c r="E87" s="89">
        <f t="shared" ref="E87:S87" si="119">E59/E$23</f>
        <v>1.3829745244638087E-2</v>
      </c>
      <c r="F87" s="89">
        <f t="shared" si="119"/>
        <v>1.3146886505587452E-2</v>
      </c>
      <c r="G87" s="89">
        <f t="shared" si="119"/>
        <v>1.1661797965694559E-2</v>
      </c>
      <c r="H87" s="89">
        <f t="shared" si="119"/>
        <v>1.0209939226499161E-2</v>
      </c>
      <c r="I87" s="89">
        <f t="shared" si="119"/>
        <v>1.0411428168511034E-2</v>
      </c>
      <c r="J87" s="89">
        <f t="shared" si="119"/>
        <v>1.1886472691117825E-2</v>
      </c>
      <c r="K87" s="89">
        <f t="shared" si="119"/>
        <v>1.0519177947739648E-2</v>
      </c>
      <c r="L87" s="89">
        <f t="shared" si="119"/>
        <v>8.487488270289929E-3</v>
      </c>
      <c r="M87" s="89">
        <f t="shared" si="119"/>
        <v>9.1640328054371119E-3</v>
      </c>
      <c r="N87" s="89">
        <f t="shared" si="119"/>
        <v>8.748518130538693E-3</v>
      </c>
      <c r="O87" s="89">
        <f t="shared" si="119"/>
        <v>9.3612377048412701E-3</v>
      </c>
      <c r="P87" s="89">
        <f t="shared" si="119"/>
        <v>9.5556626937320661E-3</v>
      </c>
      <c r="Q87" s="89">
        <f t="shared" si="119"/>
        <v>8.1540719611032531E-3</v>
      </c>
      <c r="R87" s="89">
        <f t="shared" si="119"/>
        <v>1.7616362532622054E-2</v>
      </c>
      <c r="S87" s="89">
        <f t="shared" si="119"/>
        <v>1.864645884737209E-2</v>
      </c>
      <c r="T87" s="89">
        <f t="shared" ref="T87:Y87" si="120">T59/T$23</f>
        <v>1.3707069203795073E-2</v>
      </c>
      <c r="U87" s="89">
        <f t="shared" si="120"/>
        <v>6.49634511210599E-3</v>
      </c>
      <c r="V87" s="89">
        <f t="shared" si="120"/>
        <v>5.8872430047001148E-3</v>
      </c>
      <c r="W87" s="89">
        <f t="shared" si="120"/>
        <v>5.8677339215636309E-3</v>
      </c>
      <c r="X87" s="89">
        <f t="shared" si="120"/>
        <v>4.6690839994009388E-3</v>
      </c>
      <c r="Y87" s="89">
        <f t="shared" si="120"/>
        <v>4.4624952278243327E-3</v>
      </c>
      <c r="Z87" s="89">
        <f t="shared" ref="Z87:AA87" si="121">Z59/Z$23</f>
        <v>3.4722624418289877E-3</v>
      </c>
      <c r="AA87" s="89">
        <f t="shared" si="121"/>
        <v>4.305913591964158E-3</v>
      </c>
    </row>
    <row r="88" spans="1:27" x14ac:dyDescent="0.25">
      <c r="A88" s="68" t="s">
        <v>1</v>
      </c>
      <c r="B88" s="44"/>
      <c r="C88" s="44"/>
      <c r="D88" s="89">
        <f t="shared" si="109"/>
        <v>7.7699357626779698E-3</v>
      </c>
      <c r="E88" s="89">
        <f t="shared" ref="E88:S88" si="122">E60/E$23</f>
        <v>7.4028435134100698E-3</v>
      </c>
      <c r="F88" s="89">
        <f t="shared" si="122"/>
        <v>7.340382359892793E-3</v>
      </c>
      <c r="G88" s="89">
        <f t="shared" si="122"/>
        <v>7.5145050394894919E-3</v>
      </c>
      <c r="H88" s="89">
        <f t="shared" si="122"/>
        <v>8.2663760861842548E-3</v>
      </c>
      <c r="I88" s="89">
        <f t="shared" si="122"/>
        <v>7.243251282814011E-3</v>
      </c>
      <c r="J88" s="89">
        <f t="shared" si="122"/>
        <v>6.1758772515879655E-3</v>
      </c>
      <c r="K88" s="89">
        <f t="shared" si="122"/>
        <v>5.8707484610082466E-3</v>
      </c>
      <c r="L88" s="89">
        <f t="shared" si="122"/>
        <v>3.6085037348985924E-3</v>
      </c>
      <c r="M88" s="89">
        <f t="shared" si="122"/>
        <v>3.1950428426199351E-3</v>
      </c>
      <c r="N88" s="89">
        <f t="shared" si="122"/>
        <v>4.5402357470335462E-3</v>
      </c>
      <c r="O88" s="89">
        <f t="shared" si="122"/>
        <v>4.2436013075015516E-3</v>
      </c>
      <c r="P88" s="89">
        <f t="shared" si="122"/>
        <v>3.3898955681853629E-3</v>
      </c>
      <c r="Q88" s="89">
        <f t="shared" si="122"/>
        <v>3.2985456412399985E-3</v>
      </c>
      <c r="R88" s="89">
        <f t="shared" si="122"/>
        <v>2.9942708896335533E-3</v>
      </c>
      <c r="S88" s="89">
        <f t="shared" si="122"/>
        <v>3.7345596146741949E-3</v>
      </c>
      <c r="T88" s="89">
        <f t="shared" ref="T88:Y88" si="123">T60/T$23</f>
        <v>4.3610930561123412E-3</v>
      </c>
      <c r="U88" s="89">
        <f t="shared" si="123"/>
        <v>4.4480914518547866E-3</v>
      </c>
      <c r="V88" s="89">
        <f t="shared" si="123"/>
        <v>4.2946394024913313E-3</v>
      </c>
      <c r="W88" s="89">
        <f t="shared" si="123"/>
        <v>4.6694232430365768E-3</v>
      </c>
      <c r="X88" s="89">
        <f t="shared" si="123"/>
        <v>4.9527847040531934E-3</v>
      </c>
      <c r="Y88" s="89">
        <f t="shared" si="123"/>
        <v>4.3621867365984598E-3</v>
      </c>
      <c r="Z88" s="89">
        <f t="shared" ref="Z88:AA88" si="124">Z60/Z$23</f>
        <v>4.3107980233413942E-3</v>
      </c>
      <c r="AA88" s="89">
        <f t="shared" si="124"/>
        <v>3.8779803553014407E-3</v>
      </c>
    </row>
    <row r="89" spans="1:27" x14ac:dyDescent="0.25">
      <c r="A89" s="68" t="s">
        <v>0</v>
      </c>
      <c r="B89" s="44"/>
      <c r="C89" s="44"/>
      <c r="D89" s="89">
        <f t="shared" si="109"/>
        <v>1.833958472546715E-3</v>
      </c>
      <c r="E89" s="89">
        <f t="shared" ref="E89:S89" si="125">E61/E$23</f>
        <v>1.5729875561281167E-3</v>
      </c>
      <c r="F89" s="89">
        <f t="shared" si="125"/>
        <v>1.7570538577143136E-3</v>
      </c>
      <c r="G89" s="89">
        <f t="shared" si="125"/>
        <v>1.6443304678247981E-3</v>
      </c>
      <c r="H89" s="89">
        <f t="shared" si="125"/>
        <v>1.9278897390762897E-3</v>
      </c>
      <c r="I89" s="89">
        <f t="shared" si="125"/>
        <v>1.665799062988027E-3</v>
      </c>
      <c r="J89" s="89">
        <f t="shared" si="125"/>
        <v>1.3557598610346141E-3</v>
      </c>
      <c r="K89" s="89">
        <f t="shared" si="125"/>
        <v>1.2389180709718823E-3</v>
      </c>
      <c r="L89" s="89">
        <f t="shared" si="125"/>
        <v>1.052827494631691E-3</v>
      </c>
      <c r="M89" s="89">
        <f t="shared" si="125"/>
        <v>9.5110901019167401E-4</v>
      </c>
      <c r="N89" s="89">
        <f t="shared" si="125"/>
        <v>1.2632107521988495E-3</v>
      </c>
      <c r="O89" s="89">
        <f t="shared" si="125"/>
        <v>1.1331345113577264E-3</v>
      </c>
      <c r="P89" s="89">
        <f t="shared" si="125"/>
        <v>1.0411993464914701E-3</v>
      </c>
      <c r="Q89" s="89">
        <f t="shared" si="125"/>
        <v>9.0641853364652864E-4</v>
      </c>
      <c r="R89" s="89">
        <f t="shared" si="125"/>
        <v>8.1720895038374212E-4</v>
      </c>
      <c r="S89" s="89">
        <f t="shared" si="125"/>
        <v>6.5405260278618318E-4</v>
      </c>
      <c r="T89" s="89">
        <f t="shared" ref="T89:Y89" si="126">T61/T$23</f>
        <v>6.2353311258503072E-4</v>
      </c>
      <c r="U89" s="89">
        <f t="shared" si="126"/>
        <v>6.3996985131251115E-4</v>
      </c>
      <c r="V89" s="89">
        <f t="shared" si="126"/>
        <v>6.0510658572753993E-4</v>
      </c>
      <c r="W89" s="89">
        <f t="shared" si="126"/>
        <v>6.1586761828534347E-4</v>
      </c>
      <c r="X89" s="89">
        <f t="shared" si="126"/>
        <v>5.9943686182965794E-4</v>
      </c>
      <c r="Y89" s="89">
        <f t="shared" si="126"/>
        <v>5.6591030492914767E-4</v>
      </c>
      <c r="Z89" s="89">
        <f t="shared" ref="Z89:AA89" si="127">Z61/Z$23</f>
        <v>4.7796360454277075E-4</v>
      </c>
      <c r="AA89" s="89">
        <f t="shared" si="127"/>
        <v>4.9059198349713526E-4</v>
      </c>
    </row>
    <row r="90" spans="1:27" x14ac:dyDescent="0.25">
      <c r="A90" s="90" t="s">
        <v>272</v>
      </c>
      <c r="B90" s="47"/>
      <c r="C90" s="47"/>
      <c r="D90" s="91">
        <f t="shared" si="109"/>
        <v>1.5467421605880806E-3</v>
      </c>
      <c r="E90" s="91">
        <f t="shared" ref="E90:S90" si="128">E62/E$23</f>
        <v>1.6683307815343914E-3</v>
      </c>
      <c r="F90" s="91">
        <f t="shared" si="128"/>
        <v>1.361748593496862E-3</v>
      </c>
      <c r="G90" s="91">
        <f t="shared" si="128"/>
        <v>1.114478769386403E-3</v>
      </c>
      <c r="H90" s="91">
        <f t="shared" si="128"/>
        <v>1.243008442585773E-3</v>
      </c>
      <c r="I90" s="91">
        <f t="shared" si="128"/>
        <v>1.7914319532133813E-3</v>
      </c>
      <c r="J90" s="91">
        <f t="shared" si="128"/>
        <v>1.6768304266386387E-3</v>
      </c>
      <c r="K90" s="91">
        <f t="shared" si="128"/>
        <v>1.9399307882416576E-3</v>
      </c>
      <c r="L90" s="91">
        <f t="shared" si="128"/>
        <v>1.4446010009365481E-3</v>
      </c>
      <c r="M90" s="91">
        <f t="shared" si="128"/>
        <v>6.9614116192261524E-4</v>
      </c>
      <c r="N90" s="91">
        <f t="shared" si="128"/>
        <v>6.1445649460920536E-4</v>
      </c>
      <c r="O90" s="91">
        <f t="shared" si="128"/>
        <v>6.56896105935705E-4</v>
      </c>
      <c r="P90" s="91">
        <f t="shared" si="128"/>
        <v>6.2632342793905629E-4</v>
      </c>
      <c r="Q90" s="91">
        <f t="shared" si="128"/>
        <v>5.9394693253332826E-4</v>
      </c>
      <c r="R90" s="91">
        <f t="shared" si="128"/>
        <v>6.8458716071962951E-4</v>
      </c>
      <c r="S90" s="91">
        <f t="shared" si="128"/>
        <v>5.8273356255427204E-4</v>
      </c>
      <c r="T90" s="91">
        <f t="shared" ref="T90:Y90" si="129">T62/T$23</f>
        <v>6.5129107761604892E-4</v>
      </c>
      <c r="U90" s="91">
        <f t="shared" si="129"/>
        <v>6.8917607969547201E-4</v>
      </c>
      <c r="V90" s="91">
        <f t="shared" si="129"/>
        <v>6.755703630711399E-4</v>
      </c>
      <c r="W90" s="91">
        <f t="shared" si="129"/>
        <v>6.8758450213947441E-4</v>
      </c>
      <c r="X90" s="91">
        <f t="shared" si="129"/>
        <v>6.6924040811353557E-4</v>
      </c>
      <c r="Y90" s="91">
        <f t="shared" si="129"/>
        <v>6.3180973267216577E-4</v>
      </c>
      <c r="Z90" s="91">
        <f t="shared" ref="Z90:AA90" si="130">Z62/Z$23</f>
        <v>5.3362176758912547E-4</v>
      </c>
      <c r="AA90" s="91">
        <f t="shared" si="130"/>
        <v>5.4772070281215301E-4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3.0747203157801328E-2</v>
      </c>
      <c r="F93" s="92">
        <f t="shared" ref="F93:F94" si="132">IF(E16=0,"",F16/E16-1)</f>
        <v>3.2244905624199127E-2</v>
      </c>
      <c r="G93" s="92">
        <f t="shared" ref="G93:G94" si="133">IF(F16=0,"",G16/F16-1)</f>
        <v>2.6198276777858576E-2</v>
      </c>
      <c r="H93" s="92">
        <f t="shared" ref="H93:H94" si="134">IF(G16=0,"",H16/G16-1)</f>
        <v>4.2318826157037304E-2</v>
      </c>
      <c r="I93" s="92">
        <f t="shared" ref="I93:I94" si="135">IF(H16=0,"",I16/H16-1)</f>
        <v>2.4835120852889414E-2</v>
      </c>
      <c r="J93" s="92">
        <f t="shared" ref="J93:J94" si="136">IF(I16=0,"",J16/I16-1)</f>
        <v>6.0161544896965014E-2</v>
      </c>
      <c r="K93" s="92">
        <f t="shared" ref="K93:K94" si="137">IF(J16=0,"",K16/J16-1)</f>
        <v>8.0981688508268812E-2</v>
      </c>
      <c r="L93" s="92">
        <f t="shared" ref="L93:L94" si="138">IF(K16=0,"",L16/K16-1)</f>
        <v>-3.000091423871698E-3</v>
      </c>
      <c r="M93" s="92">
        <f t="shared" ref="M93:M94" si="139">IF(L16=0,"",M16/L16-1)</f>
        <v>-3.2386387726138777E-2</v>
      </c>
      <c r="N93" s="92">
        <f t="shared" ref="N93:N94" si="140">IF(M16=0,"",N16/M16-1)</f>
        <v>3.7605127490374368E-2</v>
      </c>
      <c r="O93" s="92">
        <f t="shared" ref="O93:O94" si="141">IF(N16=0,"",O16/N16-1)</f>
        <v>1.0439074527182068E-2</v>
      </c>
      <c r="P93" s="92">
        <f t="shared" ref="P93:P94" si="142">IF(O16=0,"",P16/O16-1)</f>
        <v>1.6496035877394899E-2</v>
      </c>
      <c r="Q93" s="92">
        <f t="shared" ref="Q93:Q94" si="143">IF(P16=0,"",Q16/P16-1)</f>
        <v>3.1728093953018011E-2</v>
      </c>
      <c r="R93" s="92">
        <f t="shared" ref="R93:R94" si="144">IF(Q16=0,"",R16/Q16-1)</f>
        <v>2.6225343530912992E-2</v>
      </c>
      <c r="S93" s="92">
        <f t="shared" ref="S93:S94" si="145">IF(R16=0,"",S16/R16-1)</f>
        <v>2.2698226671274968E-2</v>
      </c>
      <c r="T93" s="92">
        <f t="shared" ref="T93:T94" si="146">IF(S16=0,"",T16/S16-1)</f>
        <v>4.9786646076893648E-2</v>
      </c>
      <c r="U93" s="92">
        <f t="shared" ref="U93:U94" si="147">IF(T16=0,"",U16/T16-1)</f>
        <v>1.3163159350482845E-2</v>
      </c>
      <c r="V93" s="92">
        <f t="shared" ref="V93:V94" si="148">IF(U16=0,"",V16/U16-1)</f>
        <v>1.6115323153123029E-2</v>
      </c>
      <c r="W93" s="92">
        <f t="shared" ref="W93:W94" si="149">IF(V16=0,"",W16/V16-1)</f>
        <v>2.7498701362568267E-2</v>
      </c>
      <c r="X93" s="92">
        <f t="shared" ref="X93:X94" si="150">IF(W16=0,"",X16/W16-1)</f>
        <v>-5.1048044598925868E-3</v>
      </c>
      <c r="Y93" s="92">
        <f t="shared" ref="Y93:Y94" si="151">IF(X16=0,"",Y16/X16-1)</f>
        <v>6.9299979595004668E-2</v>
      </c>
      <c r="Z93" s="92">
        <f t="shared" ref="Z93:Z94" si="152">IF(Y16=0,"",Z16/Y16-1)</f>
        <v>-1.0975153991007014E-2</v>
      </c>
      <c r="AA93" s="92">
        <f t="shared" ref="AA93:AA94" si="153">IF(Z16=0,"",AA16/Z16-1)</f>
        <v>9.9055094811451028E-4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3.3162725820666594E-2</v>
      </c>
      <c r="F94" s="93">
        <f t="shared" si="132"/>
        <v>5.1622632513921518E-2</v>
      </c>
      <c r="G94" s="93">
        <f t="shared" si="133"/>
        <v>2.4305073056675841E-2</v>
      </c>
      <c r="H94" s="93">
        <f t="shared" si="134"/>
        <v>1.1871128197774805E-2</v>
      </c>
      <c r="I94" s="93">
        <f t="shared" si="135"/>
        <v>-4.9794391454629494E-3</v>
      </c>
      <c r="J94" s="93">
        <f t="shared" si="136"/>
        <v>4.122241504542612E-2</v>
      </c>
      <c r="K94" s="93">
        <f t="shared" si="137"/>
        <v>2.3744278494473248E-2</v>
      </c>
      <c r="L94" s="93">
        <f t="shared" si="138"/>
        <v>2.3796513902636818E-2</v>
      </c>
      <c r="M94" s="93">
        <f t="shared" si="139"/>
        <v>2.3184986193186985E-2</v>
      </c>
      <c r="N94" s="93">
        <f t="shared" si="140"/>
        <v>3.3181502501342219E-2</v>
      </c>
      <c r="O94" s="93">
        <f t="shared" si="141"/>
        <v>1.651528160149196E-2</v>
      </c>
      <c r="P94" s="93">
        <f t="shared" si="142"/>
        <v>2.4322752696150474E-2</v>
      </c>
      <c r="Q94" s="93">
        <f t="shared" si="143"/>
        <v>7.6663277697570642E-3</v>
      </c>
      <c r="R94" s="93">
        <f t="shared" si="144"/>
        <v>3.0159710332331002E-2</v>
      </c>
      <c r="S94" s="93">
        <f t="shared" si="145"/>
        <v>3.0465516895440636E-2</v>
      </c>
      <c r="T94" s="93">
        <f t="shared" si="146"/>
        <v>3.3576821742961727E-2</v>
      </c>
      <c r="U94" s="93">
        <f t="shared" si="147"/>
        <v>2.9764318076056284E-2</v>
      </c>
      <c r="V94" s="93">
        <f t="shared" si="148"/>
        <v>3.0578515715590671E-2</v>
      </c>
      <c r="W94" s="93">
        <f t="shared" si="149"/>
        <v>2.2037538843877824E-2</v>
      </c>
      <c r="X94" s="93">
        <f t="shared" si="150"/>
        <v>-7.6736024768697453E-2</v>
      </c>
      <c r="Y94" s="93">
        <f t="shared" si="151"/>
        <v>0.11420422339834069</v>
      </c>
      <c r="Z94" s="93">
        <f t="shared" si="152"/>
        <v>6.6003299886072675E-2</v>
      </c>
      <c r="AA94" s="93">
        <f t="shared" si="153"/>
        <v>3.8022134211534331E-2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1.8068308175905656E-2</v>
      </c>
      <c r="F95" s="92">
        <f t="shared" ref="F95:F96" si="155">IF(E20=0,"",F20/E20-1)</f>
        <v>2.0505604254078102E-2</v>
      </c>
      <c r="G95" s="92">
        <f t="shared" ref="G95:G96" si="156">IF(F20=0,"",G20/F20-1)</f>
        <v>1.6469651579763767E-2</v>
      </c>
      <c r="H95" s="92">
        <f t="shared" ref="H95:H96" si="157">IF(G20=0,"",H20/G20-1)</f>
        <v>2.7060686139880108E-2</v>
      </c>
      <c r="I95" s="92">
        <f t="shared" ref="I95:I96" si="158">IF(H20=0,"",I20/H20-1)</f>
        <v>1.0903424719186816E-2</v>
      </c>
      <c r="J95" s="92">
        <f t="shared" ref="J95:J96" si="159">IF(I20=0,"",J20/I20-1)</f>
        <v>4.2406529618933986E-2</v>
      </c>
      <c r="K95" s="92">
        <f t="shared" ref="K95:K96" si="160">IF(J20=0,"",K20/J20-1)</f>
        <v>6.4861863796344288E-2</v>
      </c>
      <c r="L95" s="92">
        <f t="shared" ref="L95:L96" si="161">IF(K20=0,"",L20/K20-1)</f>
        <v>-1.8686695373200779E-2</v>
      </c>
      <c r="M95" s="92">
        <f t="shared" ref="M95:M96" si="162">IF(L20=0,"",M20/L20-1)</f>
        <v>-5.140729887643003E-2</v>
      </c>
      <c r="N95" s="92">
        <f t="shared" ref="N95:N96" si="163">IF(M20=0,"",N20/M20-1)</f>
        <v>1.9902025662960288E-2</v>
      </c>
      <c r="O95" s="92">
        <f t="shared" ref="O95:O96" si="164">IF(N20=0,"",O20/N20-1)</f>
        <v>-8.8560792599950977E-3</v>
      </c>
      <c r="P95" s="92">
        <f t="shared" ref="P95:P96" si="165">IF(O20=0,"",P20/O20-1)</f>
        <v>-8.706569261324959E-3</v>
      </c>
      <c r="Q95" s="92">
        <f t="shared" ref="Q95:Q96" si="166">IF(P20=0,"",Q20/P20-1)</f>
        <v>8.3170594603434456E-3</v>
      </c>
      <c r="R95" s="92">
        <f t="shared" ref="R95:R96" si="167">IF(Q20=0,"",R20/Q20-1)</f>
        <v>2.6252224285001624E-3</v>
      </c>
      <c r="S95" s="92">
        <f t="shared" ref="S95:S96" si="168">IF(R20=0,"",S20/R20-1)</f>
        <v>-1.4232656136580202E-3</v>
      </c>
      <c r="T95" s="92">
        <f t="shared" ref="T95:T96" si="169">IF(S20=0,"",T20/S20-1)</f>
        <v>2.5573650804003201E-2</v>
      </c>
      <c r="U95" s="92">
        <f t="shared" ref="U95:U96" si="170">IF(T20=0,"",U20/T20-1)</f>
        <v>-1.1567842096212644E-2</v>
      </c>
      <c r="V95" s="92">
        <f t="shared" ref="V95:V96" si="171">IF(U20=0,"",V20/U20-1)</f>
        <v>-3.0219191188018968E-3</v>
      </c>
      <c r="W95" s="92">
        <f t="shared" ref="W95:W96" si="172">IF(V20=0,"",W20/V20-1)</f>
        <v>7.5996111930933807E-3</v>
      </c>
      <c r="X95" s="92">
        <f t="shared" ref="X95:X96" si="173">IF(W20=0,"",X20/W20-1)</f>
        <v>-2.4513037413834815E-2</v>
      </c>
      <c r="Y95" s="92">
        <f t="shared" ref="Y95:Y96" si="174">IF(X20=0,"",Y20/X20-1)</f>
        <v>5.4774898971640118E-2</v>
      </c>
      <c r="Z95" s="92">
        <f t="shared" ref="Z95:Z96" si="175">IF(Y20=0,"",Z20/Y20-1)</f>
        <v>-2.7321570278002416E-2</v>
      </c>
      <c r="AA95" s="92">
        <f t="shared" ref="AA95:AA96" si="176">IF(Z20=0,"",AA20/Z20-1)</f>
        <v>-2.2355478496418391E-2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2.0454118259318976E-2</v>
      </c>
      <c r="F96" s="93">
        <f t="shared" si="155"/>
        <v>3.9662956139199457E-2</v>
      </c>
      <c r="G96" s="93">
        <f t="shared" si="156"/>
        <v>1.4594395919734549E-2</v>
      </c>
      <c r="H96" s="93">
        <f t="shared" si="157"/>
        <v>-2.9412986393035911E-3</v>
      </c>
      <c r="I96" s="93">
        <f t="shared" si="158"/>
        <v>-1.8505833604968935E-2</v>
      </c>
      <c r="J96" s="93">
        <f t="shared" si="159"/>
        <v>2.3784582126522347E-2</v>
      </c>
      <c r="K96" s="93">
        <f t="shared" si="160"/>
        <v>8.47798999522964E-3</v>
      </c>
      <c r="L96" s="93">
        <f t="shared" si="161"/>
        <v>7.688297341984951E-3</v>
      </c>
      <c r="M96" s="93">
        <f t="shared" si="162"/>
        <v>3.0716780856692161E-3</v>
      </c>
      <c r="N96" s="93">
        <f t="shared" si="163"/>
        <v>1.5553874359969466E-2</v>
      </c>
      <c r="O96" s="93">
        <f t="shared" si="164"/>
        <v>-2.8959022887332653E-3</v>
      </c>
      <c r="P96" s="93">
        <f t="shared" si="165"/>
        <v>-1.0739049981658422E-3</v>
      </c>
      <c r="Q96" s="93">
        <f t="shared" si="166"/>
        <v>-1.5198719033552077E-2</v>
      </c>
      <c r="R96" s="93">
        <f t="shared" si="167"/>
        <v>6.4691105318817055E-3</v>
      </c>
      <c r="S96" s="93">
        <f t="shared" si="168"/>
        <v>6.1608243014321662E-3</v>
      </c>
      <c r="T96" s="93">
        <f t="shared" si="169"/>
        <v>9.737700915358305E-3</v>
      </c>
      <c r="U96" s="93">
        <f t="shared" si="170"/>
        <v>4.6280874452258036E-3</v>
      </c>
      <c r="V96" s="93">
        <f t="shared" si="171"/>
        <v>1.1168877571084757E-2</v>
      </c>
      <c r="W96" s="93">
        <f t="shared" si="172"/>
        <v>2.2442124726886892E-3</v>
      </c>
      <c r="X96" s="93">
        <f t="shared" si="173"/>
        <v>-9.4746889018116343E-2</v>
      </c>
      <c r="Y96" s="93">
        <f t="shared" si="174"/>
        <v>9.9069175718003555E-2</v>
      </c>
      <c r="Z96" s="93">
        <f t="shared" si="175"/>
        <v>4.8384598218905506E-2</v>
      </c>
      <c r="AA96" s="93">
        <f t="shared" si="176"/>
        <v>1.3812419857661906E-2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3.6364176966020567E-2</v>
      </c>
      <c r="F97" s="89">
        <f t="shared" ref="F97:F106" si="178">IF(E23=0,"",F23/E23-1)</f>
        <v>3.0924145132064984E-2</v>
      </c>
      <c r="G97" s="89">
        <f t="shared" ref="G97:G106" si="179">IF(F23=0,"",G23/F23-1)</f>
        <v>2.5156153378448121E-2</v>
      </c>
      <c r="H97" s="89">
        <f t="shared" ref="H97:H106" si="180">IF(G23=0,"",H23/G23-1)</f>
        <v>3.6767201588369103E-2</v>
      </c>
      <c r="I97" s="89">
        <f t="shared" ref="I97:I106" si="181">IF(H23=0,"",I23/H23-1)</f>
        <v>2.1590713906949999E-2</v>
      </c>
      <c r="J97" s="89">
        <f t="shared" ref="J97:J106" si="182">IF(I23=0,"",J23/I23-1)</f>
        <v>6.8212957175713518E-2</v>
      </c>
      <c r="K97" s="89">
        <f t="shared" ref="K97:K106" si="183">IF(J23=0,"",K23/J23-1)</f>
        <v>8.1366310755856874E-2</v>
      </c>
      <c r="L97" s="89">
        <f t="shared" ref="L97:L106" si="184">IF(K23=0,"",L23/K23-1)</f>
        <v>-4.5415189839917991E-3</v>
      </c>
      <c r="M97" s="89">
        <f t="shared" ref="M97:M106" si="185">IF(L23=0,"",M23/L23-1)</f>
        <v>-3.3042474946898048E-2</v>
      </c>
      <c r="N97" s="89">
        <f t="shared" ref="N97:N106" si="186">IF(M23=0,"",N23/M23-1)</f>
        <v>3.6525370670346113E-2</v>
      </c>
      <c r="O97" s="89">
        <f t="shared" ref="O97:O106" si="187">IF(N23=0,"",O23/N23-1)</f>
        <v>3.7246728461231005E-3</v>
      </c>
      <c r="P97" s="89">
        <f t="shared" ref="P97:P106" si="188">IF(O23=0,"",P23/O23-1)</f>
        <v>1.3760825592975756E-2</v>
      </c>
      <c r="Q97" s="89">
        <f t="shared" ref="Q97:Q106" si="189">IF(P23=0,"",Q23/P23-1)</f>
        <v>3.1024157209460057E-2</v>
      </c>
      <c r="R97" s="89">
        <f t="shared" ref="R97:R106" si="190">IF(Q23=0,"",R23/Q23-1)</f>
        <v>2.047471639732179E-2</v>
      </c>
      <c r="S97" s="89">
        <f t="shared" ref="S97:S106" si="191">IF(R23=0,"",S23/R23-1)</f>
        <v>4.6200359398983926E-2</v>
      </c>
      <c r="T97" s="89">
        <f t="shared" ref="T97:T106" si="192">IF(S23=0,"",T23/S23-1)</f>
        <v>5.0773288753181545E-2</v>
      </c>
      <c r="U97" s="89">
        <f t="shared" ref="U97:U106" si="193">IF(T23=0,"",U23/T23-1)</f>
        <v>9.0801793064005931E-3</v>
      </c>
      <c r="V97" s="89">
        <f t="shared" ref="V97:V106" si="194">IF(U23=0,"",V23/U23-1)</f>
        <v>1.2402607088045414E-2</v>
      </c>
      <c r="W97" s="89">
        <f t="shared" ref="W97:W106" si="195">IF(V23=0,"",W23/V23-1)</f>
        <v>2.8279244050611219E-2</v>
      </c>
      <c r="X97" s="89">
        <f t="shared" ref="X97:X106" si="196">IF(W23=0,"",X23/W23-1)</f>
        <v>-8.8607696090668986E-3</v>
      </c>
      <c r="Y97" s="89">
        <f t="shared" ref="Y97:Y106" si="197">IF(X23=0,"",Y23/X23-1)</f>
        <v>7.2517525020333151E-2</v>
      </c>
      <c r="Z97" s="89">
        <f t="shared" ref="Z97:Z108" si="198">IF(Y23=0,"",Z23/Y23-1)</f>
        <v>-1.4854322041131907E-2</v>
      </c>
      <c r="AA97" s="89">
        <f t="shared" ref="AA97:AA108" si="199">IF(Z23=0,"",AA23/Z23-1)</f>
        <v>-1.4667146854057123E-3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-3.2818171571442067E-2</v>
      </c>
      <c r="F98" s="83">
        <f t="shared" si="178"/>
        <v>0.27132445575812292</v>
      </c>
      <c r="G98" s="83">
        <f t="shared" si="179"/>
        <v>-0.30935015159405288</v>
      </c>
      <c r="H98" s="83">
        <f t="shared" si="180"/>
        <v>0.20352873302241625</v>
      </c>
      <c r="I98" s="83">
        <f t="shared" si="181"/>
        <v>-0.31888414380372065</v>
      </c>
      <c r="J98" s="83">
        <f t="shared" si="182"/>
        <v>-7.6730400692338385E-2</v>
      </c>
      <c r="K98" s="83">
        <f t="shared" si="183"/>
        <v>0.26534465080022551</v>
      </c>
      <c r="L98" s="83">
        <f t="shared" si="184"/>
        <v>-0.16184533844604287</v>
      </c>
      <c r="M98" s="83">
        <f t="shared" si="185"/>
        <v>-0.26644354578413243</v>
      </c>
      <c r="N98" s="83">
        <f t="shared" si="186"/>
        <v>0.18918295454066403</v>
      </c>
      <c r="O98" s="83">
        <f t="shared" si="187"/>
        <v>-5.6930402967309557E-2</v>
      </c>
      <c r="P98" s="83">
        <f t="shared" si="188"/>
        <v>0.16542511064882937</v>
      </c>
      <c r="Q98" s="83">
        <f t="shared" si="189"/>
        <v>-6.30493102108306E-2</v>
      </c>
      <c r="R98" s="83">
        <f t="shared" si="190"/>
        <v>0.13276017735328516</v>
      </c>
      <c r="S98" s="83">
        <f t="shared" si="191"/>
        <v>-0.21133221333333352</v>
      </c>
      <c r="T98" s="83">
        <f t="shared" si="192"/>
        <v>7.1106697520166851E-3</v>
      </c>
      <c r="U98" s="83">
        <f t="shared" si="193"/>
        <v>0.1081281025412324</v>
      </c>
      <c r="V98" s="83">
        <f t="shared" si="194"/>
        <v>1.5179615515530154E-2</v>
      </c>
      <c r="W98" s="83">
        <f t="shared" si="195"/>
        <v>-5.3992921626318524E-2</v>
      </c>
      <c r="X98" s="83">
        <f t="shared" si="196"/>
        <v>-7.8557996553393683E-2</v>
      </c>
      <c r="Y98" s="83">
        <f t="shared" si="197"/>
        <v>4.355391599950531E-2</v>
      </c>
      <c r="Z98" s="83">
        <f t="shared" si="198"/>
        <v>0.22782384359066832</v>
      </c>
      <c r="AA98" s="83">
        <f t="shared" si="199"/>
        <v>-0.23443373665291911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-0.17117288155741017</v>
      </c>
      <c r="F99" s="83">
        <f t="shared" si="178"/>
        <v>0.18309224061369567</v>
      </c>
      <c r="G99" s="83">
        <f t="shared" si="179"/>
        <v>3.1517638965174122E-2</v>
      </c>
      <c r="H99" s="83">
        <f t="shared" si="180"/>
        <v>-2.549743632793533E-2</v>
      </c>
      <c r="I99" s="83">
        <f t="shared" si="181"/>
        <v>-0.10600677225011856</v>
      </c>
      <c r="J99" s="83">
        <f t="shared" si="182"/>
        <v>5.7082866994687675E-2</v>
      </c>
      <c r="K99" s="83">
        <f t="shared" si="183"/>
        <v>0.10785426736380921</v>
      </c>
      <c r="L99" s="83">
        <f t="shared" si="184"/>
        <v>-0.1796749788390114</v>
      </c>
      <c r="M99" s="83">
        <f t="shared" si="185"/>
        <v>-1.830381344050791E-2</v>
      </c>
      <c r="N99" s="83">
        <f t="shared" si="186"/>
        <v>-2.0299271518984696E-2</v>
      </c>
      <c r="O99" s="83">
        <f t="shared" si="187"/>
        <v>5.8447265573022822E-2</v>
      </c>
      <c r="P99" s="83">
        <f t="shared" si="188"/>
        <v>-0.13184923539821569</v>
      </c>
      <c r="Q99" s="83">
        <f t="shared" si="189"/>
        <v>-3.6524041238176541E-2</v>
      </c>
      <c r="R99" s="83">
        <f t="shared" si="190"/>
        <v>2.5997325184539122E-3</v>
      </c>
      <c r="S99" s="83">
        <f t="shared" si="191"/>
        <v>-9.6351660311258303E-2</v>
      </c>
      <c r="T99" s="83">
        <f t="shared" si="192"/>
        <v>1.2956659528450709E-2</v>
      </c>
      <c r="U99" s="83">
        <f t="shared" si="193"/>
        <v>0.15372138983412587</v>
      </c>
      <c r="V99" s="83">
        <f t="shared" si="194"/>
        <v>-1.8537584054395095E-2</v>
      </c>
      <c r="W99" s="83">
        <f t="shared" si="195"/>
        <v>8.96698269957108E-2</v>
      </c>
      <c r="X99" s="83">
        <f t="shared" si="196"/>
        <v>-9.3576942093124282E-3</v>
      </c>
      <c r="Y99" s="83">
        <f t="shared" si="197"/>
        <v>-9.4879754662568483E-2</v>
      </c>
      <c r="Z99" s="83">
        <f t="shared" si="198"/>
        <v>-0.12698451416580836</v>
      </c>
      <c r="AA99" s="83">
        <f t="shared" si="199"/>
        <v>-6.4448892729376261E-3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4.311923664711359E-2</v>
      </c>
      <c r="F100" s="83">
        <f t="shared" si="178"/>
        <v>3.1958371128410379E-2</v>
      </c>
      <c r="G100" s="83">
        <f t="shared" si="179"/>
        <v>2.6118700298797259E-2</v>
      </c>
      <c r="H100" s="83">
        <f t="shared" si="180"/>
        <v>4.5070959403732624E-2</v>
      </c>
      <c r="I100" s="83">
        <f t="shared" si="181"/>
        <v>3.7815510052692902E-2</v>
      </c>
      <c r="J100" s="83">
        <f t="shared" si="182"/>
        <v>8.4058560196389687E-2</v>
      </c>
      <c r="K100" s="83">
        <f t="shared" si="183"/>
        <v>6.5402543311158912E-2</v>
      </c>
      <c r="L100" s="83">
        <f t="shared" si="184"/>
        <v>1.9214429360479679E-2</v>
      </c>
      <c r="M100" s="83">
        <f t="shared" si="185"/>
        <v>-8.6908469631061802E-3</v>
      </c>
      <c r="N100" s="83">
        <f t="shared" si="186"/>
        <v>3.6864440267576626E-2</v>
      </c>
      <c r="O100" s="83">
        <f t="shared" si="187"/>
        <v>6.8368429249230367E-3</v>
      </c>
      <c r="P100" s="83">
        <f t="shared" si="188"/>
        <v>1.6392643473349011E-2</v>
      </c>
      <c r="Q100" s="83">
        <f t="shared" si="189"/>
        <v>3.1551753492297996E-2</v>
      </c>
      <c r="R100" s="83">
        <f t="shared" si="190"/>
        <v>1.5098763627451106E-2</v>
      </c>
      <c r="S100" s="83">
        <f t="shared" si="191"/>
        <v>4.0666242101210504E-2</v>
      </c>
      <c r="T100" s="83">
        <f t="shared" si="192"/>
        <v>4.3620081536769995E-2</v>
      </c>
      <c r="U100" s="83">
        <f t="shared" si="193"/>
        <v>2.4362565336847108E-2</v>
      </c>
      <c r="V100" s="83">
        <f t="shared" si="194"/>
        <v>9.9551655080718504E-3</v>
      </c>
      <c r="W100" s="83">
        <f t="shared" si="195"/>
        <v>2.0282161199765447E-2</v>
      </c>
      <c r="X100" s="83">
        <f t="shared" si="196"/>
        <v>-5.0325692924134691E-3</v>
      </c>
      <c r="Y100" s="83">
        <f t="shared" si="197"/>
        <v>8.1776175852015243E-2</v>
      </c>
      <c r="Z100" s="83">
        <f t="shared" si="198"/>
        <v>2.1925467577201818E-3</v>
      </c>
      <c r="AA100" s="83">
        <f t="shared" si="199"/>
        <v>-2.4982396216659541E-3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7.6297537156557516E-2</v>
      </c>
      <c r="F101" s="84">
        <f t="shared" si="178"/>
        <v>6.3508829910994491E-2</v>
      </c>
      <c r="G101" s="84">
        <f t="shared" si="179"/>
        <v>3.726434624935826E-2</v>
      </c>
      <c r="H101" s="84">
        <f t="shared" si="180"/>
        <v>2.5545869791101294E-2</v>
      </c>
      <c r="I101" s="84">
        <f t="shared" si="181"/>
        <v>6.5736551891013573E-3</v>
      </c>
      <c r="J101" s="84">
        <f t="shared" si="182"/>
        <v>-1.5132770837046894E-2</v>
      </c>
      <c r="K101" s="84">
        <f t="shared" si="183"/>
        <v>3.6186978614642706E-2</v>
      </c>
      <c r="L101" s="84">
        <f t="shared" si="184"/>
        <v>-1.9195769777786476E-2</v>
      </c>
      <c r="M101" s="84">
        <f t="shared" si="185"/>
        <v>3.8562858399650013E-2</v>
      </c>
      <c r="N101" s="84">
        <f t="shared" si="186"/>
        <v>2.1137246901896445E-2</v>
      </c>
      <c r="O101" s="84">
        <f t="shared" si="187"/>
        <v>1.2262555401848951E-2</v>
      </c>
      <c r="P101" s="84">
        <f t="shared" si="188"/>
        <v>1.7037419201081816E-2</v>
      </c>
      <c r="Q101" s="84">
        <f t="shared" si="189"/>
        <v>3.4037029405313168E-2</v>
      </c>
      <c r="R101" s="84">
        <f t="shared" si="190"/>
        <v>2.590101422264568E-2</v>
      </c>
      <c r="S101" s="84">
        <f t="shared" si="191"/>
        <v>2.4066331868429991E-2</v>
      </c>
      <c r="T101" s="84">
        <f t="shared" si="192"/>
        <v>3.467585208868007E-2</v>
      </c>
      <c r="U101" s="84">
        <f t="shared" si="193"/>
        <v>6.0210615354475916E-2</v>
      </c>
      <c r="V101" s="84">
        <f t="shared" si="194"/>
        <v>5.7733088395587329E-2</v>
      </c>
      <c r="W101" s="84">
        <f t="shared" si="195"/>
        <v>4.4666796479637005E-2</v>
      </c>
      <c r="X101" s="84">
        <f t="shared" si="196"/>
        <v>2.9464715965998867E-2</v>
      </c>
      <c r="Y101" s="84">
        <f t="shared" si="197"/>
        <v>7.0096561687052139E-2</v>
      </c>
      <c r="Z101" s="84">
        <f t="shared" si="198"/>
        <v>4.9893873753588336E-2</v>
      </c>
      <c r="AA101" s="84">
        <f t="shared" si="199"/>
        <v>-6.4798686042989995E-2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1.8576472029877777E-2</v>
      </c>
      <c r="F102" s="84">
        <f t="shared" si="178"/>
        <v>1.7457391498713282E-2</v>
      </c>
      <c r="G102" s="84">
        <f t="shared" si="179"/>
        <v>2.5262217092723249E-2</v>
      </c>
      <c r="H102" s="84">
        <f t="shared" si="180"/>
        <v>6.3165907357013218E-2</v>
      </c>
      <c r="I102" s="84">
        <f t="shared" si="181"/>
        <v>6.901465978331256E-2</v>
      </c>
      <c r="J102" s="84">
        <f t="shared" si="182"/>
        <v>0.12699650713362765</v>
      </c>
      <c r="K102" s="84">
        <f t="shared" si="183"/>
        <v>9.2693423029385213E-2</v>
      </c>
      <c r="L102" s="84">
        <f t="shared" si="184"/>
        <v>4.185509395082665E-4</v>
      </c>
      <c r="M102" s="84">
        <f t="shared" si="185"/>
        <v>-1.6848116156370274E-2</v>
      </c>
      <c r="N102" s="84">
        <f t="shared" si="186"/>
        <v>3.5072149347307846E-2</v>
      </c>
      <c r="O102" s="84">
        <f t="shared" si="187"/>
        <v>-3.4038975135471272E-2</v>
      </c>
      <c r="P102" s="84">
        <f t="shared" si="188"/>
        <v>4.0263007591496036E-2</v>
      </c>
      <c r="Q102" s="84">
        <f t="shared" si="189"/>
        <v>2.9666896940835796E-2</v>
      </c>
      <c r="R102" s="84">
        <f t="shared" si="190"/>
        <v>1.7602551617983631E-2</v>
      </c>
      <c r="S102" s="84">
        <f t="shared" si="191"/>
        <v>6.4882953847120728E-2</v>
      </c>
      <c r="T102" s="84">
        <f t="shared" si="192"/>
        <v>4.2234480505132233E-2</v>
      </c>
      <c r="U102" s="84">
        <f t="shared" si="193"/>
        <v>1.3033346836870408E-2</v>
      </c>
      <c r="V102" s="84">
        <f t="shared" si="194"/>
        <v>1.674965316345256E-3</v>
      </c>
      <c r="W102" s="84">
        <f t="shared" si="195"/>
        <v>9.6642324271163371E-3</v>
      </c>
      <c r="X102" s="84">
        <f t="shared" si="196"/>
        <v>-9.8469060631667382E-3</v>
      </c>
      <c r="Y102" s="84">
        <f t="shared" si="197"/>
        <v>9.3765686367980328E-2</v>
      </c>
      <c r="Z102" s="84">
        <f t="shared" si="198"/>
        <v>-3.9743705125613316E-3</v>
      </c>
      <c r="AA102" s="84">
        <f t="shared" si="199"/>
        <v>5.2363685065222043E-3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9.2844339950928223E-2</v>
      </c>
      <c r="F103" s="84">
        <f t="shared" si="178"/>
        <v>2.8612532400715374E-2</v>
      </c>
      <c r="G103" s="84">
        <f t="shared" si="179"/>
        <v>3.0381214808630208E-3</v>
      </c>
      <c r="H103" s="84">
        <f t="shared" si="180"/>
        <v>4.5419046287116238E-3</v>
      </c>
      <c r="I103" s="84">
        <f t="shared" si="181"/>
        <v>-4.558207735721076E-2</v>
      </c>
      <c r="J103" s="84">
        <f t="shared" si="182"/>
        <v>0.10117682427160535</v>
      </c>
      <c r="K103" s="84">
        <f t="shared" si="183"/>
        <v>-2.7950464850267531E-2</v>
      </c>
      <c r="L103" s="84">
        <f t="shared" si="184"/>
        <v>0.24620576865663368</v>
      </c>
      <c r="M103" s="84">
        <f t="shared" si="185"/>
        <v>-6.0825678622248636E-2</v>
      </c>
      <c r="N103" s="84">
        <f t="shared" si="186"/>
        <v>8.2582764515044538E-2</v>
      </c>
      <c r="O103" s="84">
        <f t="shared" si="187"/>
        <v>0.2177694903298133</v>
      </c>
      <c r="P103" s="84">
        <f t="shared" si="188"/>
        <v>-8.7810519936243336E-2</v>
      </c>
      <c r="Q103" s="84">
        <f t="shared" si="189"/>
        <v>3.5926191120569495E-2</v>
      </c>
      <c r="R103" s="84">
        <f t="shared" si="190"/>
        <v>-1.8440320292336332E-2</v>
      </c>
      <c r="S103" s="84">
        <f t="shared" si="191"/>
        <v>-4.8014852057070789E-2</v>
      </c>
      <c r="T103" s="84">
        <f t="shared" si="192"/>
        <v>7.1299212635139719E-2</v>
      </c>
      <c r="U103" s="84">
        <f t="shared" si="193"/>
        <v>1.0212314767862107E-2</v>
      </c>
      <c r="V103" s="84">
        <f t="shared" si="194"/>
        <v>-5.1488239159487637E-2</v>
      </c>
      <c r="W103" s="84">
        <f t="shared" si="195"/>
        <v>2.1303862881855595E-2</v>
      </c>
      <c r="X103" s="84">
        <f t="shared" si="196"/>
        <v>-6.5566302307106361E-2</v>
      </c>
      <c r="Y103" s="84">
        <f t="shared" si="197"/>
        <v>4.1296953464620367E-2</v>
      </c>
      <c r="Z103" s="84">
        <f t="shared" si="198"/>
        <v>-9.6464143789115164E-2</v>
      </c>
      <c r="AA103" s="84">
        <f t="shared" si="199"/>
        <v>0.15258136242265818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0.10969784672978755</v>
      </c>
      <c r="F104" s="83">
        <f t="shared" si="178"/>
        <v>4.0591307239452368E-2</v>
      </c>
      <c r="G104" s="83">
        <f t="shared" si="179"/>
        <v>0.16247146070686891</v>
      </c>
      <c r="H104" s="83">
        <f t="shared" si="180"/>
        <v>4.2191254236949582E-3</v>
      </c>
      <c r="I104" s="83">
        <f t="shared" si="181"/>
        <v>-2.5763084288566551E-2</v>
      </c>
      <c r="J104" s="83">
        <f t="shared" si="182"/>
        <v>2.1473655922530366E-2</v>
      </c>
      <c r="K104" s="83">
        <f t="shared" si="183"/>
        <v>3.9323500312156368E-2</v>
      </c>
      <c r="L104" s="83">
        <f t="shared" si="184"/>
        <v>-0.16939096262922781</v>
      </c>
      <c r="M104" s="83">
        <f t="shared" si="185"/>
        <v>0.1762435163140943</v>
      </c>
      <c r="N104" s="83">
        <f t="shared" si="186"/>
        <v>-0.13647405228018106</v>
      </c>
      <c r="O104" s="83">
        <f t="shared" si="187"/>
        <v>-9.9402763253735649E-2</v>
      </c>
      <c r="P104" s="83">
        <f t="shared" si="188"/>
        <v>-6.6769107092135016E-2</v>
      </c>
      <c r="Q104" s="83">
        <f t="shared" si="189"/>
        <v>0.12172349362162116</v>
      </c>
      <c r="R104" s="83">
        <f t="shared" si="190"/>
        <v>0.12689482713158684</v>
      </c>
      <c r="S104" s="83">
        <f t="shared" si="191"/>
        <v>2.6157826008923246E-2</v>
      </c>
      <c r="T104" s="83">
        <f t="shared" si="192"/>
        <v>0.10510924874445982</v>
      </c>
      <c r="U104" s="83">
        <f t="shared" si="193"/>
        <v>-9.9497430813936916E-2</v>
      </c>
      <c r="V104" s="83">
        <f t="shared" si="194"/>
        <v>-4.1544178187339131E-2</v>
      </c>
      <c r="W104" s="83">
        <f t="shared" si="195"/>
        <v>7.2681218225978172E-2</v>
      </c>
      <c r="X104" s="83">
        <f t="shared" si="196"/>
        <v>3.7537856400192027E-2</v>
      </c>
      <c r="Y104" s="83">
        <f t="shared" si="197"/>
        <v>4.4547085787383089E-3</v>
      </c>
      <c r="Z104" s="83">
        <f t="shared" si="198"/>
        <v>-0.10537900715166604</v>
      </c>
      <c r="AA104" s="83">
        <f t="shared" si="199"/>
        <v>0.14324600151924516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5.5824837225942892E-2</v>
      </c>
      <c r="F105" s="83">
        <f t="shared" si="178"/>
        <v>6.4308289276185038E-2</v>
      </c>
      <c r="G105" s="83">
        <f t="shared" si="179"/>
        <v>7.3083970186271774E-3</v>
      </c>
      <c r="H105" s="83">
        <f t="shared" si="180"/>
        <v>1.1015213492197695E-2</v>
      </c>
      <c r="I105" s="83">
        <f t="shared" si="181"/>
        <v>-6.3084366716741669E-2</v>
      </c>
      <c r="J105" s="83">
        <f t="shared" si="182"/>
        <v>2.8733466146620534E-2</v>
      </c>
      <c r="K105" s="83">
        <f t="shared" si="183"/>
        <v>0.13074405002856992</v>
      </c>
      <c r="L105" s="83">
        <f t="shared" si="184"/>
        <v>-5.301282159934162E-2</v>
      </c>
      <c r="M105" s="83">
        <f t="shared" si="185"/>
        <v>-2.7590984206618208E-2</v>
      </c>
      <c r="N105" s="83">
        <f t="shared" si="186"/>
        <v>-3.4347113573631738E-3</v>
      </c>
      <c r="O105" s="83">
        <f t="shared" si="187"/>
        <v>-1.7105162324104084E-2</v>
      </c>
      <c r="P105" s="83">
        <f t="shared" si="188"/>
        <v>4.0443545637752321E-2</v>
      </c>
      <c r="Q105" s="83">
        <f t="shared" si="189"/>
        <v>1.669897984160662E-2</v>
      </c>
      <c r="R105" s="83">
        <f t="shared" si="190"/>
        <v>5.0760635414765165E-2</v>
      </c>
      <c r="S105" s="83">
        <f t="shared" si="191"/>
        <v>1.907017558022206E-2</v>
      </c>
      <c r="T105" s="83">
        <f t="shared" si="192"/>
        <v>9.6488133816076349E-2</v>
      </c>
      <c r="U105" s="83">
        <f t="shared" si="193"/>
        <v>-1.8815763173420152E-2</v>
      </c>
      <c r="V105" s="83">
        <f t="shared" si="194"/>
        <v>1.6628544663255918E-2</v>
      </c>
      <c r="W105" s="83">
        <f t="shared" si="195"/>
        <v>0.13952232585956237</v>
      </c>
      <c r="X105" s="83">
        <f t="shared" si="196"/>
        <v>-4.4638478270810911E-2</v>
      </c>
      <c r="Y105" s="83">
        <f t="shared" si="197"/>
        <v>-1.6500513382535775E-3</v>
      </c>
      <c r="Z105" s="83">
        <f t="shared" si="198"/>
        <v>-0.15085517355238476</v>
      </c>
      <c r="AA105" s="83">
        <f t="shared" si="199"/>
        <v>-1.4128764660615634E-2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-2.5394285506446068E-2</v>
      </c>
      <c r="F106" s="83">
        <f t="shared" si="178"/>
        <v>-1.5401946790119081E-2</v>
      </c>
      <c r="G106" s="83">
        <f t="shared" si="179"/>
        <v>4.019639547340792E-2</v>
      </c>
      <c r="H106" s="83">
        <f t="shared" si="180"/>
        <v>-1.9820079854722894E-2</v>
      </c>
      <c r="I106" s="83">
        <f t="shared" si="181"/>
        <v>-3.6630804023202734E-2</v>
      </c>
      <c r="J106" s="83">
        <f t="shared" si="182"/>
        <v>-4.5195939239035865E-2</v>
      </c>
      <c r="K106" s="83">
        <f t="shared" si="183"/>
        <v>0.21775434448757314</v>
      </c>
      <c r="L106" s="83">
        <f t="shared" si="184"/>
        <v>-0.17047503645120021</v>
      </c>
      <c r="M106" s="83">
        <f t="shared" si="185"/>
        <v>-0.3354089615289062</v>
      </c>
      <c r="N106" s="83">
        <f t="shared" si="186"/>
        <v>0.1028006790449858</v>
      </c>
      <c r="O106" s="83">
        <f t="shared" si="187"/>
        <v>-7.682993070875388E-3</v>
      </c>
      <c r="P106" s="83">
        <f t="shared" si="188"/>
        <v>-4.9492104067627274E-2</v>
      </c>
      <c r="Q106" s="83">
        <f t="shared" si="189"/>
        <v>3.0764286924868323E-2</v>
      </c>
      <c r="R106" s="83">
        <f t="shared" si="190"/>
        <v>6.1418719444106262E-2</v>
      </c>
      <c r="S106" s="83">
        <f t="shared" si="191"/>
        <v>0.18974482390402114</v>
      </c>
      <c r="T106" s="83">
        <f t="shared" si="192"/>
        <v>0.11112817948982912</v>
      </c>
      <c r="U106" s="83">
        <f t="shared" si="193"/>
        <v>-0.16965623021327159</v>
      </c>
      <c r="V106" s="83">
        <f t="shared" si="194"/>
        <v>5.889105861019539E-2</v>
      </c>
      <c r="W106" s="83">
        <f t="shared" si="195"/>
        <v>4.6565851211625819E-2</v>
      </c>
      <c r="X106" s="83">
        <f t="shared" si="196"/>
        <v>-3.5303412191199923E-2</v>
      </c>
      <c r="Y106" s="83">
        <f t="shared" si="197"/>
        <v>1.2531524627172885E-2</v>
      </c>
      <c r="Z106" s="83">
        <f t="shared" si="198"/>
        <v>-0.16795333971537296</v>
      </c>
      <c r="AA106" s="83">
        <f t="shared" si="199"/>
        <v>2.491574750554304E-2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-3.7353058994547106E-2</v>
      </c>
      <c r="F107" s="87">
        <f t="shared" ref="F107:F108" si="201">IF(E33=0,"",F33/E33-1)</f>
        <v>-0.13664064338693338</v>
      </c>
      <c r="G107" s="87">
        <f t="shared" ref="G107:G108" si="202">IF(F33=0,"",G33/F33-1)</f>
        <v>0.14750449157043821</v>
      </c>
      <c r="H107" s="87">
        <f t="shared" ref="H107:H108" si="203">IF(G33=0,"",H33/G33-1)</f>
        <v>1.6403807145095595E-2</v>
      </c>
      <c r="I107" s="87">
        <f t="shared" ref="I107:I108" si="204">IF(H33=0,"",I33/H33-1)</f>
        <v>-9.1255049738190319E-3</v>
      </c>
      <c r="J107" s="87">
        <f t="shared" ref="J107:J108" si="205">IF(I33=0,"",J33/I33-1)</f>
        <v>-0.11942300088558189</v>
      </c>
      <c r="K107" s="87">
        <f t="shared" ref="K107:K108" si="206">IF(J33=0,"",K33/J33-1)</f>
        <v>0.69737350951507038</v>
      </c>
      <c r="L107" s="87">
        <f t="shared" ref="L107:L108" si="207">IF(K33=0,"",L33/K33-1)</f>
        <v>-0.16957644516455261</v>
      </c>
      <c r="M107" s="87">
        <f t="shared" ref="M107:M108" si="208">IF(L33=0,"",M33/L33-1)</f>
        <v>-0.7027560846190769</v>
      </c>
      <c r="N107" s="87">
        <f t="shared" ref="N107:N108" si="209">IF(M33=0,"",N33/M33-1)</f>
        <v>0.31868205437271802</v>
      </c>
      <c r="O107" s="87">
        <f t="shared" ref="O107:O108" si="210">IF(N33=0,"",O33/N33-1)</f>
        <v>0.14353918242980068</v>
      </c>
      <c r="P107" s="87">
        <f t="shared" ref="P107:P108" si="211">IF(O33=0,"",P33/O33-1)</f>
        <v>3.46918091659838E-2</v>
      </c>
      <c r="Q107" s="87">
        <f t="shared" ref="Q107:Q108" si="212">IF(P33=0,"",Q33/P33-1)</f>
        <v>-7.1081673903476972E-2</v>
      </c>
      <c r="R107" s="87">
        <f t="shared" ref="R107:R108" si="213">IF(Q33=0,"",R33/Q33-1)</f>
        <v>-0.73777372182819045</v>
      </c>
      <c r="S107" s="87">
        <f t="shared" ref="S107:S108" si="214">IF(R33=0,"",S33/R33-1)</f>
        <v>1.8986111475409833</v>
      </c>
      <c r="T107" s="87">
        <f t="shared" ref="T107:T108" si="215">IF(S33=0,"",T33/S33-1)</f>
        <v>1.0446680274751992</v>
      </c>
      <c r="U107" s="87">
        <f t="shared" ref="U107:U108" si="216">IF(T33=0,"",U33/T33-1)</f>
        <v>2.528600157189187E-2</v>
      </c>
      <c r="V107" s="87">
        <f t="shared" ref="V107:V108" si="217">IF(U33=0,"",V33/U33-1)</f>
        <v>0.13667131449475933</v>
      </c>
      <c r="W107" s="87">
        <f t="shared" ref="W107:W108" si="218">IF(V33=0,"",W33/V33-1)</f>
        <v>4.6565851211625597E-2</v>
      </c>
      <c r="X107" s="87">
        <f t="shared" ref="X107:X108" si="219">IF(W33=0,"",X33/W33-1)</f>
        <v>-3.5303412191200145E-2</v>
      </c>
      <c r="Y107" s="87">
        <f t="shared" ref="Y107:Y108" si="220">IF(X33=0,"",Y33/X33-1)</f>
        <v>1.2531524627172885E-2</v>
      </c>
      <c r="Z107" s="87">
        <f t="shared" si="198"/>
        <v>-0.16795333971537307</v>
      </c>
      <c r="AA107" s="87">
        <f t="shared" si="199"/>
        <v>2.4915747505543262E-2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-3.7353058994547106E-2</v>
      </c>
      <c r="F108" s="89">
        <f t="shared" si="201"/>
        <v>-0.13664064338693338</v>
      </c>
      <c r="G108" s="89">
        <f t="shared" si="202"/>
        <v>0.14750449157043821</v>
      </c>
      <c r="H108" s="89">
        <f t="shared" si="203"/>
        <v>1.6403807145095595E-2</v>
      </c>
      <c r="I108" s="89">
        <f t="shared" si="204"/>
        <v>-9.1255049738190319E-3</v>
      </c>
      <c r="J108" s="89">
        <f t="shared" si="205"/>
        <v>-0.11942300088558189</v>
      </c>
      <c r="K108" s="89">
        <f t="shared" si="206"/>
        <v>0.69737350951507038</v>
      </c>
      <c r="L108" s="89">
        <f t="shared" si="207"/>
        <v>-0.16957644516455272</v>
      </c>
      <c r="M108" s="89">
        <f t="shared" si="208"/>
        <v>-0.70275608461907679</v>
      </c>
      <c r="N108" s="89">
        <f t="shared" si="209"/>
        <v>0.31868205437271802</v>
      </c>
      <c r="O108" s="89">
        <f t="shared" si="210"/>
        <v>0.14353918242980046</v>
      </c>
      <c r="P108" s="89">
        <f t="shared" si="211"/>
        <v>3.4691809165984022E-2</v>
      </c>
      <c r="Q108" s="89">
        <f t="shared" si="212"/>
        <v>-7.1081673903476972E-2</v>
      </c>
      <c r="R108" s="89">
        <f t="shared" si="213"/>
        <v>-0.73777372182819045</v>
      </c>
      <c r="S108" s="89">
        <f t="shared" si="214"/>
        <v>1.8986111475409833</v>
      </c>
      <c r="T108" s="89">
        <f t="shared" si="215"/>
        <v>1.0446680274751992</v>
      </c>
      <c r="U108" s="89">
        <f t="shared" si="216"/>
        <v>2.528600157189187E-2</v>
      </c>
      <c r="V108" s="89">
        <f t="shared" si="217"/>
        <v>0.13667131449475933</v>
      </c>
      <c r="W108" s="89">
        <f t="shared" si="218"/>
        <v>4.6565851211625597E-2</v>
      </c>
      <c r="X108" s="89">
        <f t="shared" si="219"/>
        <v>-3.5303412191200145E-2</v>
      </c>
      <c r="Y108" s="89">
        <f t="shared" si="220"/>
        <v>1.2531524627172885E-2</v>
      </c>
      <c r="Z108" s="89">
        <f t="shared" si="198"/>
        <v>-0.16795333971537307</v>
      </c>
      <c r="AA108" s="89">
        <f t="shared" si="199"/>
        <v>2.4915747505543262E-2</v>
      </c>
    </row>
    <row r="109" spans="1:27" x14ac:dyDescent="0.25">
      <c r="A109" s="88" t="s">
        <v>263</v>
      </c>
      <c r="B109" s="44"/>
      <c r="C109" s="44"/>
      <c r="D109" s="89"/>
      <c r="E109" s="89" t="str">
        <f t="shared" ref="E109" si="221">IF(D37=0,"",E37/D37-1)</f>
        <v/>
      </c>
      <c r="F109" s="89" t="str">
        <f t="shared" ref="F109" si="222">IF(E37=0,"",F37/E37-1)</f>
        <v/>
      </c>
      <c r="G109" s="89" t="str">
        <f t="shared" ref="G109" si="223">IF(F37=0,"",G37/F37-1)</f>
        <v/>
      </c>
      <c r="H109" s="89" t="str">
        <f t="shared" ref="H109" si="224">IF(G37=0,"",H37/G37-1)</f>
        <v/>
      </c>
      <c r="I109" s="89" t="str">
        <f t="shared" ref="I109" si="225">IF(H37=0,"",I37/H37-1)</f>
        <v/>
      </c>
      <c r="J109" s="89" t="str">
        <f t="shared" ref="J109" si="226">IF(I37=0,"",J37/I37-1)</f>
        <v/>
      </c>
      <c r="K109" s="89" t="str">
        <f t="shared" ref="K109" si="227">IF(J37=0,"",K37/J37-1)</f>
        <v/>
      </c>
      <c r="L109" s="89" t="str">
        <f t="shared" ref="L109" si="228">IF(K37=0,"",L37/K37-1)</f>
        <v/>
      </c>
      <c r="M109" s="89" t="str">
        <f t="shared" ref="M109" si="229">IF(L37=0,"",M37/L37-1)</f>
        <v/>
      </c>
      <c r="N109" s="89" t="str">
        <f t="shared" ref="N109" si="230">IF(M37=0,"",N37/M37-1)</f>
        <v/>
      </c>
      <c r="O109" s="89" t="str">
        <f t="shared" ref="O109" si="231">IF(N37=0,"",O37/N37-1)</f>
        <v/>
      </c>
      <c r="P109" s="89" t="str">
        <f t="shared" ref="P109" si="232">IF(O37=0,"",P37/O37-1)</f>
        <v/>
      </c>
      <c r="Q109" s="89" t="str">
        <f t="shared" ref="Q109" si="233">IF(P37=0,"",Q37/P37-1)</f>
        <v/>
      </c>
      <c r="R109" s="89" t="str">
        <f t="shared" ref="R109" si="234">IF(Q37=0,"",R37/Q37-1)</f>
        <v/>
      </c>
      <c r="S109" s="89" t="str">
        <f t="shared" ref="S109" si="235">IF(R37=0,"",S37/R37-1)</f>
        <v/>
      </c>
      <c r="T109" s="89" t="str">
        <f t="shared" ref="T109" si="236">IF(S37=0,"",T37/S37-1)</f>
        <v/>
      </c>
      <c r="U109" s="89" t="str">
        <f t="shared" ref="U109" si="237">IF(T37=0,"",U37/T37-1)</f>
        <v/>
      </c>
      <c r="V109" s="89" t="str">
        <f t="shared" ref="V109" si="238">IF(U37=0,"",V37/U37-1)</f>
        <v/>
      </c>
      <c r="W109" s="89" t="str">
        <f t="shared" ref="W109" si="239">IF(V37=0,"",W37/V37-1)</f>
        <v/>
      </c>
      <c r="X109" s="89" t="str">
        <f t="shared" ref="X109" si="240">IF(W37=0,"",X37/W37-1)</f>
        <v/>
      </c>
      <c r="Y109" s="89" t="str">
        <f t="shared" ref="Y109" si="241">IF(X37=0,"",Y37/X37-1)</f>
        <v/>
      </c>
      <c r="Z109" s="89" t="str">
        <f t="shared" ref="Z109" si="242">IF(Y37=0,"",Z37/Y37-1)</f>
        <v/>
      </c>
      <c r="AA109" s="89" t="str">
        <f t="shared" ref="AA109" si="243">IF(Z37=0,"",AA37/Z37-1)</f>
        <v/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-1.4653702075100306E-2</v>
      </c>
      <c r="F110" s="89">
        <f t="shared" ref="F110:F111" si="245">IF(E43=0,"",F43/E43-1)</f>
        <v>0.20919495280970346</v>
      </c>
      <c r="G110" s="89">
        <f t="shared" ref="G110:G111" si="246">IF(F43=0,"",G43/F43-1)</f>
        <v>0.10769928620813451</v>
      </c>
      <c r="H110" s="89">
        <f t="shared" ref="H110:H111" si="247">IF(G43=0,"",H43/G43-1)</f>
        <v>-2.8733419161659612E-2</v>
      </c>
      <c r="I110" s="89">
        <f t="shared" ref="I110:I111" si="248">IF(H43=0,"",I43/H43-1)</f>
        <v>-0.24089757442589144</v>
      </c>
      <c r="J110" s="89">
        <f t="shared" ref="J110:J111" si="249">IF(I43=0,"",J43/I43-1)</f>
        <v>-0.11434968149001945</v>
      </c>
      <c r="K110" s="89">
        <f t="shared" ref="K110:K111" si="250">IF(J43=0,"",K43/J43-1)</f>
        <v>-8.9395465089292192E-2</v>
      </c>
      <c r="L110" s="89">
        <f t="shared" ref="L110:L111" si="251">IF(K43=0,"",L43/K43-1)</f>
        <v>0.26554796414579052</v>
      </c>
      <c r="M110" s="89">
        <f t="shared" ref="M110:M111" si="252">IF(L43=0,"",M43/L43-1)</f>
        <v>-0.23225000557449504</v>
      </c>
      <c r="N110" s="89">
        <f t="shared" ref="N110:N111" si="253">IF(M43=0,"",N43/M43-1)</f>
        <v>-1.3883336832169912E-2</v>
      </c>
      <c r="O110" s="89">
        <f t="shared" ref="O110:O111" si="254">IF(N43=0,"",O43/N43-1)</f>
        <v>6.2016124799495254E-2</v>
      </c>
      <c r="P110" s="89">
        <f t="shared" ref="P110:P111" si="255">IF(O43=0,"",P43/O43-1)</f>
        <v>-0.1957272581376851</v>
      </c>
      <c r="Q110" s="89">
        <f t="shared" ref="Q110:Q111" si="256">IF(P43=0,"",Q43/P43-1)</f>
        <v>0.14316605836178509</v>
      </c>
      <c r="R110" s="89">
        <f t="shared" ref="R110:R111" si="257">IF(Q43=0,"",R43/Q43-1)</f>
        <v>0.29204875627202331</v>
      </c>
      <c r="S110" s="89">
        <f t="shared" ref="S110:S111" si="258">IF(R43=0,"",S43/R43-1)</f>
        <v>1.1142745693841771E-2</v>
      </c>
      <c r="T110" s="89">
        <f t="shared" ref="T110:T111" si="259">IF(S43=0,"",T43/S43-1)</f>
        <v>-4.6873690113150457E-2</v>
      </c>
      <c r="U110" s="89">
        <f t="shared" ref="U110:U111" si="260">IF(T43=0,"",U43/T43-1)</f>
        <v>-3.8814454608865345E-2</v>
      </c>
      <c r="V110" s="89">
        <f t="shared" ref="V110:V111" si="261">IF(U43=0,"",V43/U43-1)</f>
        <v>1.2425821189674835E-2</v>
      </c>
      <c r="W110" s="89">
        <f t="shared" ref="W110:W111" si="262">IF(V43=0,"",W43/V43-1)</f>
        <v>2.7904802383094118E-3</v>
      </c>
      <c r="X110" s="89">
        <f t="shared" ref="X110:X111" si="263">IF(W43=0,"",X43/W43-1)</f>
        <v>0.12220431657180031</v>
      </c>
      <c r="Y110" s="89">
        <f t="shared" ref="Y110:Y111" si="264">IF(X43=0,"",Y43/X43-1)</f>
        <v>7.4019273727525814E-2</v>
      </c>
      <c r="Z110" s="89">
        <f t="shared" ref="Z110:Z111" si="265">IF(Y43=0,"",Z43/Y43-1)</f>
        <v>-0.23976083936646764</v>
      </c>
      <c r="AA110" s="89">
        <f t="shared" ref="AA110:AA111" si="266">IF(Z43=0,"",AA43/Z43-1)</f>
        <v>-3.0905711864395391E-2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-1.8833940784473868E-2</v>
      </c>
      <c r="F111" s="89">
        <f t="shared" si="245"/>
        <v>0.19764128956529592</v>
      </c>
      <c r="G111" s="89">
        <f t="shared" si="246"/>
        <v>0.11404323184237697</v>
      </c>
      <c r="H111" s="89">
        <f t="shared" si="247"/>
        <v>-1.8138114592529342E-2</v>
      </c>
      <c r="I111" s="89">
        <f t="shared" si="248"/>
        <v>-0.24031731291188207</v>
      </c>
      <c r="J111" s="89">
        <f t="shared" si="249"/>
        <v>-0.11014402704465176</v>
      </c>
      <c r="K111" s="89">
        <f t="shared" si="250"/>
        <v>-0.18226050002451399</v>
      </c>
      <c r="L111" s="89">
        <f t="shared" si="251"/>
        <v>0.41183297869764313</v>
      </c>
      <c r="M111" s="89">
        <f t="shared" si="252"/>
        <v>-0.23427948011356992</v>
      </c>
      <c r="N111" s="89">
        <f t="shared" si="253"/>
        <v>1.8148859894531189E-3</v>
      </c>
      <c r="O111" s="89">
        <f t="shared" si="254"/>
        <v>6.0198189262705482E-2</v>
      </c>
      <c r="P111" s="89">
        <f t="shared" si="255"/>
        <v>-0.19953960432631579</v>
      </c>
      <c r="Q111" s="89">
        <f t="shared" si="256"/>
        <v>0.15659438641429824</v>
      </c>
      <c r="R111" s="89">
        <f t="shared" si="257"/>
        <v>0.13488094159602837</v>
      </c>
      <c r="S111" s="89">
        <f t="shared" si="258"/>
        <v>7.7694861660080328E-3</v>
      </c>
      <c r="T111" s="89">
        <f t="shared" si="259"/>
        <v>4.2334991337391603E-3</v>
      </c>
      <c r="U111" s="89">
        <f t="shared" si="260"/>
        <v>3.8626569177149017E-2</v>
      </c>
      <c r="V111" s="89">
        <f t="shared" si="261"/>
        <v>-7.1366758823184884E-2</v>
      </c>
      <c r="W111" s="89">
        <f t="shared" si="262"/>
        <v>-4.7633676651866685E-2</v>
      </c>
      <c r="X111" s="89">
        <f t="shared" si="263"/>
        <v>0.32158046833683729</v>
      </c>
      <c r="Y111" s="89">
        <f t="shared" si="264"/>
        <v>0.13083349599634819</v>
      </c>
      <c r="Z111" s="89">
        <f t="shared" si="265"/>
        <v>-0.29916928167657986</v>
      </c>
      <c r="AA111" s="89">
        <f t="shared" si="266"/>
        <v>-8.5735188357552228E-2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-1.0570976506842467E-2</v>
      </c>
      <c r="F112" s="89">
        <f t="shared" ref="F112:F113" si="268">IF(E47=0,"",F47/E47-1)</f>
        <v>0.22038486508794342</v>
      </c>
      <c r="G112" s="89">
        <f t="shared" ref="G112:G113" si="269">IF(F47=0,"",G47/F47-1)</f>
        <v>0.10166957688037459</v>
      </c>
      <c r="H112" s="89">
        <f t="shared" ref="H112:H113" si="270">IF(G47=0,"",H47/G47-1)</f>
        <v>-3.891701271964898E-2</v>
      </c>
      <c r="I112" s="89">
        <f t="shared" ref="I112:I113" si="271">IF(H47=0,"",I47/H47-1)</f>
        <v>-0.24146734614784193</v>
      </c>
      <c r="J112" s="89">
        <f t="shared" ref="J112:J113" si="272">IF(I47=0,"",J47/I47-1)</f>
        <v>-0.11848556843192704</v>
      </c>
      <c r="K112" s="89">
        <f t="shared" ref="K112:K113" si="273">IF(J47=0,"",K47/J47-1)</f>
        <v>2.7932138880686352E-3</v>
      </c>
      <c r="L112" s="89">
        <f t="shared" ref="L112:L113" si="274">IF(K47=0,"",L47/K47-1)</f>
        <v>0.1471269449339494</v>
      </c>
      <c r="M112" s="89">
        <f t="shared" ref="M112:M113" si="275">IF(L47=0,"",M47/L47-1)</f>
        <v>-0.23022799043123698</v>
      </c>
      <c r="N112" s="89">
        <f t="shared" ref="N112:N113" si="276">IF(M47=0,"",N47/M47-1)</f>
        <v>-2.944154063068638E-2</v>
      </c>
      <c r="O112" s="89">
        <f t="shared" ref="O112:O113" si="277">IF(N47=0,"",O47/N47-1)</f>
        <v>6.3875869061704504E-2</v>
      </c>
      <c r="P112" s="89">
        <f t="shared" ref="P112:P113" si="278">IF(O47=0,"",P47/O47-1)</f>
        <v>-0.19184071780556067</v>
      </c>
      <c r="Q112" s="89">
        <f t="shared" ref="Q112:Q113" si="279">IF(P47=0,"",Q47/P47-1)</f>
        <v>0.1296068081688293</v>
      </c>
      <c r="R112" s="89">
        <f t="shared" ref="R112:R113" si="280">IF(Q47=0,"",R47/Q47-1)</f>
        <v>0.45454043495748553</v>
      </c>
      <c r="S112" s="89">
        <f t="shared" ref="S112:S113" si="281">IF(R47=0,"",S47/R47-1)</f>
        <v>1.3863828577644677E-2</v>
      </c>
      <c r="T112" s="89">
        <f t="shared" ref="T112:T113" si="282">IF(S47=0,"",T47/S47-1)</f>
        <v>-8.7852145723658626E-2</v>
      </c>
      <c r="U112" s="89">
        <f t="shared" ref="U112:U113" si="283">IF(T47=0,"",U47/T47-1)</f>
        <v>-0.1071763569460279</v>
      </c>
      <c r="V112" s="89">
        <f t="shared" ref="V112:V113" si="284">IF(U47=0,"",V47/U47-1)</f>
        <v>9.8474134570061933E-2</v>
      </c>
      <c r="W112" s="89">
        <f t="shared" ref="W112:W113" si="285">IF(V47=0,"",W47/V47-1)</f>
        <v>4.6565851211625597E-2</v>
      </c>
      <c r="X112" s="89">
        <f t="shared" ref="X112:X113" si="286">IF(W47=0,"",X47/W47-1)</f>
        <v>-3.5303412191200034E-2</v>
      </c>
      <c r="Y112" s="89">
        <f t="shared" ref="Y112:Y113" si="287">IF(X47=0,"",Y47/X47-1)</f>
        <v>1.2531524627172885E-2</v>
      </c>
      <c r="Z112" s="89">
        <f t="shared" ref="Z112:Z113" si="288">IF(Y47=0,"",Z47/Y47-1)</f>
        <v>-0.16795333971537296</v>
      </c>
      <c r="AA112" s="89">
        <f t="shared" ref="AA112:AA113" si="289">IF(Z47=0,"",AA47/Z47-1)</f>
        <v>2.491574750554304E-2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-7.937988214390157E-2</v>
      </c>
      <c r="F113" s="89">
        <f t="shared" si="268"/>
        <v>1.1288981610704019E-2</v>
      </c>
      <c r="G113" s="89">
        <f t="shared" si="269"/>
        <v>-3.2521007296046678E-2</v>
      </c>
      <c r="H113" s="89">
        <f t="shared" si="270"/>
        <v>-0.11022735383637006</v>
      </c>
      <c r="I113" s="89">
        <f t="shared" si="271"/>
        <v>-5.0005921300292355E-2</v>
      </c>
      <c r="J113" s="89">
        <f t="shared" si="272"/>
        <v>5.1035324701049767E-3</v>
      </c>
      <c r="K113" s="89">
        <f t="shared" si="273"/>
        <v>8.3374653347917826E-2</v>
      </c>
      <c r="L113" s="89">
        <f t="shared" si="274"/>
        <v>-0.19498647527470792</v>
      </c>
      <c r="M113" s="89">
        <f t="shared" si="275"/>
        <v>-0.17597691256304382</v>
      </c>
      <c r="N113" s="89">
        <f t="shared" si="276"/>
        <v>7.6277703982671863E-2</v>
      </c>
      <c r="O113" s="89">
        <f t="shared" si="277"/>
        <v>-0.1009901175927943</v>
      </c>
      <c r="P113" s="89">
        <f t="shared" si="278"/>
        <v>-0.13429810065339698</v>
      </c>
      <c r="Q113" s="89">
        <f t="shared" si="279"/>
        <v>0.3520676892777983</v>
      </c>
      <c r="R113" s="89">
        <f t="shared" si="280"/>
        <v>6.5362985461614009E-2</v>
      </c>
      <c r="S113" s="89">
        <f t="shared" si="281"/>
        <v>0.10125604001936406</v>
      </c>
      <c r="T113" s="89">
        <f t="shared" si="282"/>
        <v>7.4735718252898486E-2</v>
      </c>
      <c r="U113" s="89">
        <f t="shared" si="283"/>
        <v>-0.24818169717118899</v>
      </c>
      <c r="V113" s="89">
        <f t="shared" si="284"/>
        <v>0.14049257470366983</v>
      </c>
      <c r="W113" s="89">
        <f t="shared" si="285"/>
        <v>4.6565851211625819E-2</v>
      </c>
      <c r="X113" s="89">
        <f t="shared" si="286"/>
        <v>-3.5303412191200034E-2</v>
      </c>
      <c r="Y113" s="89">
        <f t="shared" si="287"/>
        <v>1.2531524627172885E-2</v>
      </c>
      <c r="Z113" s="89">
        <f t="shared" si="288"/>
        <v>-0.16795333971537318</v>
      </c>
      <c r="AA113" s="89">
        <f t="shared" si="289"/>
        <v>2.491574750554304E-2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5.6296996225306817E-3</v>
      </c>
      <c r="F114" s="89">
        <f t="shared" ref="F114:F115" si="291">IF(E52=0,"",F52/E52-1)</f>
        <v>0.13246552787840682</v>
      </c>
      <c r="G114" s="89">
        <f t="shared" ref="G114:G115" si="292">IF(F52=0,"",G52/F52-1)</f>
        <v>8.164570818332284E-2</v>
      </c>
      <c r="H114" s="89">
        <f t="shared" ref="H114:H115" si="293">IF(G52=0,"",H52/G52-1)</f>
        <v>-8.5085983637321783E-2</v>
      </c>
      <c r="I114" s="89">
        <f t="shared" ref="I114:I115" si="294">IF(H52=0,"",I52/H52-1)</f>
        <v>-0.1008519513322863</v>
      </c>
      <c r="J114" s="89">
        <f t="shared" ref="J114:J115" si="295">IF(I52=0,"",J52/I52-1)</f>
        <v>-0.12984530021904483</v>
      </c>
      <c r="K114" s="89">
        <f t="shared" ref="K114:K115" si="296">IF(J52=0,"",K52/J52-1)</f>
        <v>-0.10297518737078304</v>
      </c>
      <c r="L114" s="89">
        <f t="shared" ref="L114:L115" si="297">IF(K52=0,"",L52/K52-1)</f>
        <v>-0.13929299970453934</v>
      </c>
      <c r="M114" s="89">
        <f t="shared" ref="M114:M115" si="298">IF(L52=0,"",M52/L52-1)</f>
        <v>-2.0928300220391383E-2</v>
      </c>
      <c r="N114" s="89">
        <f t="shared" ref="N114:N115" si="299">IF(M52=0,"",N52/M52-1)</f>
        <v>-0.12753684007796073</v>
      </c>
      <c r="O114" s="89">
        <f t="shared" ref="O114:O115" si="300">IF(N52=0,"",O52/N52-1)</f>
        <v>-0.10462253763948004</v>
      </c>
      <c r="P114" s="89">
        <f t="shared" ref="P114:P115" si="301">IF(O52=0,"",P52/O52-1)</f>
        <v>-6.923209805385544E-2</v>
      </c>
      <c r="Q114" s="89">
        <f t="shared" ref="Q114:Q115" si="302">IF(P52=0,"",Q52/P52-1)</f>
        <v>-0.1152757566615662</v>
      </c>
      <c r="R114" s="89">
        <f t="shared" ref="R114:R115" si="303">IF(Q52=0,"",R52/Q52-1)</f>
        <v>0.12488200560739049</v>
      </c>
      <c r="S114" s="89">
        <f t="shared" ref="S114:S115" si="304">IF(R52=0,"",S52/R52-1)</f>
        <v>-2.5687358738502031E-2</v>
      </c>
      <c r="T114" s="89">
        <f t="shared" ref="T114:T115" si="305">IF(S52=0,"",T52/S52-1)</f>
        <v>1.7419647386827108E-3</v>
      </c>
      <c r="U114" s="89">
        <f t="shared" ref="U114:U115" si="306">IF(T52=0,"",U52/T52-1)</f>
        <v>3.568018967886788E-2</v>
      </c>
      <c r="V114" s="89">
        <f t="shared" ref="V114:V115" si="307">IF(U52=0,"",V52/U52-1)</f>
        <v>-4.2749461243673958E-2</v>
      </c>
      <c r="W114" s="89">
        <f t="shared" ref="W114:W115" si="308">IF(V52=0,"",W52/V52-1)</f>
        <v>4.6565851211625819E-2</v>
      </c>
      <c r="X114" s="89">
        <f t="shared" ref="X114:X115" si="309">IF(W52=0,"",X52/W52-1)</f>
        <v>-3.5303412191200034E-2</v>
      </c>
      <c r="Y114" s="89">
        <f t="shared" ref="Y114:Y115" si="310">IF(X52=0,"",Y52/X52-1)</f>
        <v>1.2531524627172885E-2</v>
      </c>
      <c r="Z114" s="89">
        <f t="shared" ref="Z114:Z115" si="311">IF(Y52=0,"",Z52/Y52-1)</f>
        <v>-0.16795333971537285</v>
      </c>
      <c r="AA114" s="89">
        <f t="shared" ref="AA114:AA115" si="312">IF(Z52=0,"",AA52/Z52-1)</f>
        <v>2.4915747505542818E-2</v>
      </c>
    </row>
    <row r="115" spans="1:27" x14ac:dyDescent="0.25">
      <c r="A115" s="88" t="s">
        <v>21</v>
      </c>
      <c r="B115" s="44"/>
      <c r="C115" s="44"/>
      <c r="D115" s="89"/>
      <c r="E115" s="89" t="str">
        <f t="shared" si="290"/>
        <v/>
      </c>
      <c r="F115" s="89" t="str">
        <f t="shared" si="291"/>
        <v/>
      </c>
      <c r="G115" s="89" t="str">
        <f t="shared" si="292"/>
        <v/>
      </c>
      <c r="H115" s="89" t="str">
        <f t="shared" si="293"/>
        <v/>
      </c>
      <c r="I115" s="89" t="str">
        <f t="shared" si="294"/>
        <v/>
      </c>
      <c r="J115" s="89" t="str">
        <f t="shared" si="295"/>
        <v/>
      </c>
      <c r="K115" s="89" t="str">
        <f t="shared" si="296"/>
        <v/>
      </c>
      <c r="L115" s="89" t="str">
        <f t="shared" si="297"/>
        <v/>
      </c>
      <c r="M115" s="89" t="str">
        <f t="shared" si="298"/>
        <v/>
      </c>
      <c r="N115" s="89" t="str">
        <f t="shared" si="299"/>
        <v/>
      </c>
      <c r="O115" s="89" t="str">
        <f t="shared" si="300"/>
        <v/>
      </c>
      <c r="P115" s="89" t="str">
        <f t="shared" si="301"/>
        <v/>
      </c>
      <c r="Q115" s="89" t="str">
        <f t="shared" si="302"/>
        <v/>
      </c>
      <c r="R115" s="89" t="str">
        <f t="shared" si="303"/>
        <v/>
      </c>
      <c r="S115" s="89" t="str">
        <f t="shared" si="304"/>
        <v/>
      </c>
      <c r="T115" s="89" t="str">
        <f t="shared" si="305"/>
        <v/>
      </c>
      <c r="U115" s="89" t="str">
        <f t="shared" si="306"/>
        <v/>
      </c>
      <c r="V115" s="89" t="str">
        <f t="shared" si="307"/>
        <v/>
      </c>
      <c r="W115" s="89" t="str">
        <f t="shared" si="308"/>
        <v/>
      </c>
      <c r="X115" s="89" t="str">
        <f t="shared" si="309"/>
        <v/>
      </c>
      <c r="Y115" s="89" t="str">
        <f t="shared" si="310"/>
        <v/>
      </c>
      <c r="Z115" s="89" t="str">
        <f t="shared" si="311"/>
        <v/>
      </c>
      <c r="AA115" s="89" t="str">
        <f t="shared" si="312"/>
        <v/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5.6296996225306817E-3</v>
      </c>
      <c r="F116" s="89">
        <f t="shared" ref="F116:F122" si="314">IF(E56=0,"",F56/E56-1)</f>
        <v>0.13246552787840682</v>
      </c>
      <c r="G116" s="89">
        <f t="shared" ref="G116:G122" si="315">IF(F56=0,"",G56/F56-1)</f>
        <v>8.164570818332284E-2</v>
      </c>
      <c r="H116" s="89">
        <f t="shared" ref="H116:H122" si="316">IF(G56=0,"",H56/G56-1)</f>
        <v>-8.5085983637321783E-2</v>
      </c>
      <c r="I116" s="89">
        <f t="shared" ref="I116:I122" si="317">IF(H56=0,"",I56/H56-1)</f>
        <v>-0.1008519513322863</v>
      </c>
      <c r="J116" s="89">
        <f t="shared" ref="J116:J122" si="318">IF(I56=0,"",J56/I56-1)</f>
        <v>-0.12984530021904483</v>
      </c>
      <c r="K116" s="89">
        <f t="shared" ref="K116:K122" si="319">IF(J56=0,"",K56/J56-1)</f>
        <v>-0.10297518737078304</v>
      </c>
      <c r="L116" s="89">
        <f t="shared" ref="L116:L122" si="320">IF(K56=0,"",L56/K56-1)</f>
        <v>-0.13929299970453934</v>
      </c>
      <c r="M116" s="89">
        <f t="shared" ref="M116:M122" si="321">IF(L56=0,"",M56/L56-1)</f>
        <v>-2.0928300220391383E-2</v>
      </c>
      <c r="N116" s="89">
        <f t="shared" ref="N116:N122" si="322">IF(M56=0,"",N56/M56-1)</f>
        <v>-0.12753684007796073</v>
      </c>
      <c r="O116" s="89">
        <f t="shared" ref="O116:O122" si="323">IF(N56=0,"",O56/N56-1)</f>
        <v>-0.10462253763948004</v>
      </c>
      <c r="P116" s="89">
        <f t="shared" ref="P116:P122" si="324">IF(O56=0,"",P56/O56-1)</f>
        <v>-6.923209805385544E-2</v>
      </c>
      <c r="Q116" s="89">
        <f t="shared" ref="Q116:Q122" si="325">IF(P56=0,"",Q56/P56-1)</f>
        <v>-0.1152757566615662</v>
      </c>
      <c r="R116" s="89">
        <f t="shared" ref="R116:R122" si="326">IF(Q56=0,"",R56/Q56-1)</f>
        <v>0.12488200560739049</v>
      </c>
      <c r="S116" s="89">
        <f t="shared" ref="S116:S122" si="327">IF(R56=0,"",S56/R56-1)</f>
        <v>-2.5687358738502031E-2</v>
      </c>
      <c r="T116" s="89">
        <f t="shared" ref="T116:T122" si="328">IF(S56=0,"",T56/S56-1)</f>
        <v>1.7419647386827108E-3</v>
      </c>
      <c r="U116" s="89">
        <f t="shared" ref="U116:U122" si="329">IF(T56=0,"",U56/T56-1)</f>
        <v>3.568018967886788E-2</v>
      </c>
      <c r="V116" s="89">
        <f t="shared" ref="V116:V122" si="330">IF(U56=0,"",V56/U56-1)</f>
        <v>-4.2749461243673958E-2</v>
      </c>
      <c r="W116" s="89">
        <f t="shared" ref="W116:W122" si="331">IF(V56=0,"",W56/V56-1)</f>
        <v>4.6565851211625819E-2</v>
      </c>
      <c r="X116" s="89">
        <f t="shared" ref="X116:X122" si="332">IF(W56=0,"",X56/W56-1)</f>
        <v>-3.5303412191200034E-2</v>
      </c>
      <c r="Y116" s="89">
        <f t="shared" ref="Y116:Y122" si="333">IF(X56=0,"",Y56/X56-1)</f>
        <v>1.2531524627172885E-2</v>
      </c>
      <c r="Z116" s="89">
        <f t="shared" ref="Z116:Z122" si="334">IF(Y56=0,"",Z56/Y56-1)</f>
        <v>-0.16795333971537285</v>
      </c>
      <c r="AA116" s="89">
        <f t="shared" ref="AA116:AA122" si="335">IF(Z56=0,"",AA56/Z56-1)</f>
        <v>2.4915747505542818E-2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-3.1551115465856538E-3</v>
      </c>
      <c r="F117" s="89">
        <f t="shared" si="314"/>
        <v>3.0694043528580073E-2</v>
      </c>
      <c r="G117" s="89">
        <f t="shared" si="315"/>
        <v>6.139435233327184E-2</v>
      </c>
      <c r="H117" s="89">
        <f t="shared" si="316"/>
        <v>3.0430843192347679E-2</v>
      </c>
      <c r="I117" s="89">
        <f t="shared" si="317"/>
        <v>3.5617370371342716E-2</v>
      </c>
      <c r="J117" s="89">
        <f t="shared" si="318"/>
        <v>-0.1122551934379209</v>
      </c>
      <c r="K117" s="89">
        <f t="shared" si="319"/>
        <v>3.0372307328427217E-2</v>
      </c>
      <c r="L117" s="89">
        <f t="shared" si="320"/>
        <v>-0.16331016588472691</v>
      </c>
      <c r="M117" s="89">
        <f t="shared" si="321"/>
        <v>0.18288182385464302</v>
      </c>
      <c r="N117" s="89">
        <f t="shared" si="322"/>
        <v>-8.5937369615577408E-3</v>
      </c>
      <c r="O117" s="89">
        <f t="shared" si="323"/>
        <v>-0.15284244321538987</v>
      </c>
      <c r="P117" s="89">
        <f t="shared" si="324"/>
        <v>2.1267744286821433E-3</v>
      </c>
      <c r="Q117" s="89">
        <f t="shared" si="325"/>
        <v>-5.5706342164167921E-3</v>
      </c>
      <c r="R117" s="89">
        <f t="shared" si="326"/>
        <v>3.9922009006281289E-3</v>
      </c>
      <c r="S117" s="89">
        <f t="shared" si="327"/>
        <v>2.5347034178610839E-2</v>
      </c>
      <c r="T117" s="89">
        <f t="shared" si="328"/>
        <v>2.2897003209711553E-2</v>
      </c>
      <c r="U117" s="89">
        <f t="shared" si="329"/>
        <v>-5.916538787031822E-2</v>
      </c>
      <c r="V117" s="89">
        <f t="shared" si="330"/>
        <v>1.192365734961065E-4</v>
      </c>
      <c r="W117" s="89">
        <f t="shared" si="331"/>
        <v>4.6565851211625819E-2</v>
      </c>
      <c r="X117" s="89">
        <f t="shared" si="332"/>
        <v>-3.5303412191200145E-2</v>
      </c>
      <c r="Y117" s="89">
        <f t="shared" si="333"/>
        <v>1.2531524627173107E-2</v>
      </c>
      <c r="Z117" s="89">
        <f t="shared" si="334"/>
        <v>-0.16795333971537318</v>
      </c>
      <c r="AA117" s="89">
        <f t="shared" si="335"/>
        <v>2.491574750554304E-2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1.120519897135086E-2</v>
      </c>
      <c r="F118" s="89">
        <f t="shared" si="314"/>
        <v>-5.5656051542318785E-3</v>
      </c>
      <c r="G118" s="89">
        <f t="shared" si="315"/>
        <v>0.55750748400117889</v>
      </c>
      <c r="H118" s="89">
        <f t="shared" si="316"/>
        <v>0.1924821900864957</v>
      </c>
      <c r="I118" s="89">
        <f t="shared" si="317"/>
        <v>0.13271966480598585</v>
      </c>
      <c r="J118" s="89">
        <f t="shared" si="318"/>
        <v>4.3714605913256044E-2</v>
      </c>
      <c r="K118" s="89">
        <f t="shared" si="319"/>
        <v>0.84113118834700851</v>
      </c>
      <c r="L118" s="89">
        <f t="shared" si="320"/>
        <v>-0.11688359510235402</v>
      </c>
      <c r="M118" s="89">
        <f t="shared" si="321"/>
        <v>-0.4920474632328844</v>
      </c>
      <c r="N118" s="89">
        <f t="shared" si="322"/>
        <v>0.24103408298836504</v>
      </c>
      <c r="O118" s="89">
        <f t="shared" si="323"/>
        <v>9.0024736786719739E-2</v>
      </c>
      <c r="P118" s="89">
        <f t="shared" si="324"/>
        <v>2.3844692140759127E-2</v>
      </c>
      <c r="Q118" s="89">
        <f t="shared" si="325"/>
        <v>1.433129956372281E-2</v>
      </c>
      <c r="R118" s="89">
        <f t="shared" si="326"/>
        <v>-2.3991175988862357E-2</v>
      </c>
      <c r="S118" s="89">
        <f t="shared" si="327"/>
        <v>-4.2560398009950373E-2</v>
      </c>
      <c r="T118" s="89">
        <f t="shared" si="328"/>
        <v>0.1235180873557169</v>
      </c>
      <c r="U118" s="89">
        <f t="shared" si="329"/>
        <v>-6.1894137177609387E-3</v>
      </c>
      <c r="V118" s="89">
        <f t="shared" si="330"/>
        <v>-9.342549929672439E-2</v>
      </c>
      <c r="W118" s="89">
        <f t="shared" si="331"/>
        <v>4.6565851211625819E-2</v>
      </c>
      <c r="X118" s="89">
        <f t="shared" si="332"/>
        <v>-3.5303412191200034E-2</v>
      </c>
      <c r="Y118" s="89">
        <f t="shared" si="333"/>
        <v>1.2531524627173107E-2</v>
      </c>
      <c r="Z118" s="89">
        <f t="shared" si="334"/>
        <v>-0.16795333971537307</v>
      </c>
      <c r="AA118" s="89">
        <f t="shared" si="335"/>
        <v>2.491574750554304E-2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7.3575438956295702E-2</v>
      </c>
      <c r="F119" s="89">
        <f t="shared" si="314"/>
        <v>-1.9978857732335098E-2</v>
      </c>
      <c r="G119" s="89">
        <f t="shared" si="315"/>
        <v>-9.0646752072661707E-2</v>
      </c>
      <c r="H119" s="89">
        <f t="shared" si="316"/>
        <v>-9.2307193849211266E-2</v>
      </c>
      <c r="I119" s="89">
        <f t="shared" si="317"/>
        <v>4.1751385537592611E-2</v>
      </c>
      <c r="J119" s="89">
        <f t="shared" si="318"/>
        <v>0.2195525857028704</v>
      </c>
      <c r="K119" s="89">
        <f t="shared" si="319"/>
        <v>-4.3022690992961299E-2</v>
      </c>
      <c r="L119" s="89">
        <f t="shared" si="320"/>
        <v>-0.19680585087929803</v>
      </c>
      <c r="M119" s="89">
        <f t="shared" si="321"/>
        <v>4.4034489222122941E-2</v>
      </c>
      <c r="N119" s="89">
        <f t="shared" si="322"/>
        <v>-1.0472660825407321E-2</v>
      </c>
      <c r="O119" s="89">
        <f t="shared" si="323"/>
        <v>7.4022493012542601E-2</v>
      </c>
      <c r="P119" s="89">
        <f t="shared" si="324"/>
        <v>3.4815780447065903E-2</v>
      </c>
      <c r="Q119" s="89">
        <f t="shared" si="325"/>
        <v>-0.12020281157095669</v>
      </c>
      <c r="R119" s="89">
        <f t="shared" si="326"/>
        <v>1.2046718063299489</v>
      </c>
      <c r="S119" s="89">
        <f t="shared" si="327"/>
        <v>0.10737570889076409</v>
      </c>
      <c r="T119" s="89">
        <f t="shared" si="328"/>
        <v>-0.227573326156292</v>
      </c>
      <c r="U119" s="89">
        <f t="shared" si="329"/>
        <v>-0.52175530792934222</v>
      </c>
      <c r="V119" s="89">
        <f t="shared" si="330"/>
        <v>-8.252100778755378E-2</v>
      </c>
      <c r="W119" s="89">
        <f t="shared" si="331"/>
        <v>2.4871743248675804E-2</v>
      </c>
      <c r="X119" s="89">
        <f t="shared" si="332"/>
        <v>-0.21132887352130036</v>
      </c>
      <c r="Y119" s="89">
        <f t="shared" si="333"/>
        <v>2.5062804133589411E-2</v>
      </c>
      <c r="Z119" s="89">
        <f t="shared" si="334"/>
        <v>-0.23345927274538036</v>
      </c>
      <c r="AA119" s="89">
        <f t="shared" si="335"/>
        <v>0.23826989385052211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-1.2599066541157611E-2</v>
      </c>
      <c r="F120" s="89">
        <f t="shared" si="314"/>
        <v>2.2225769814916196E-2</v>
      </c>
      <c r="G120" s="89">
        <f t="shared" si="315"/>
        <v>4.9474087742007233E-2</v>
      </c>
      <c r="H120" s="89">
        <f t="shared" si="316"/>
        <v>0.14050194352288314</v>
      </c>
      <c r="I120" s="89">
        <f t="shared" si="317"/>
        <v>-0.10485100461560815</v>
      </c>
      <c r="J120" s="89">
        <f t="shared" si="318"/>
        <v>-8.920016102078443E-2</v>
      </c>
      <c r="K120" s="89">
        <f t="shared" si="319"/>
        <v>2.7939731642784738E-2</v>
      </c>
      <c r="L120" s="89">
        <f t="shared" si="320"/>
        <v>-0.38813327286282129</v>
      </c>
      <c r="M120" s="89">
        <f t="shared" si="321"/>
        <v>-0.14383607541832799</v>
      </c>
      <c r="N120" s="89">
        <f t="shared" si="322"/>
        <v>0.47292846213158302</v>
      </c>
      <c r="O120" s="89">
        <f t="shared" si="323"/>
        <v>-6.1853266794715589E-2</v>
      </c>
      <c r="P120" s="89">
        <f t="shared" si="324"/>
        <v>-0.19018232843818916</v>
      </c>
      <c r="Q120" s="89">
        <f t="shared" si="325"/>
        <v>3.2404159273040634E-3</v>
      </c>
      <c r="R120" s="89">
        <f t="shared" si="326"/>
        <v>-7.3659100327956972E-2</v>
      </c>
      <c r="S120" s="89">
        <f t="shared" si="327"/>
        <v>0.30485776173285206</v>
      </c>
      <c r="T120" s="89">
        <f t="shared" si="328"/>
        <v>0.22705768978054208</v>
      </c>
      <c r="U120" s="89">
        <f t="shared" si="329"/>
        <v>2.9210076936563523E-2</v>
      </c>
      <c r="V120" s="89">
        <f t="shared" si="330"/>
        <v>-2.252366556621499E-2</v>
      </c>
      <c r="W120" s="89">
        <f t="shared" si="331"/>
        <v>0.11801493734646473</v>
      </c>
      <c r="X120" s="89">
        <f t="shared" si="332"/>
        <v>5.1285986376972126E-2</v>
      </c>
      <c r="Y120" s="89">
        <f t="shared" si="333"/>
        <v>-5.5375510551799678E-2</v>
      </c>
      <c r="Z120" s="89">
        <f t="shared" si="334"/>
        <v>-2.6459824468692328E-2</v>
      </c>
      <c r="AA120" s="89">
        <f t="shared" si="335"/>
        <v>-0.10172259437868392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-0.11110966884612306</v>
      </c>
      <c r="F121" s="89">
        <f t="shared" si="314"/>
        <v>0.1515598067881927</v>
      </c>
      <c r="G121" s="89">
        <f t="shared" si="315"/>
        <v>-4.0612506055384801E-2</v>
      </c>
      <c r="H121" s="89">
        <f t="shared" si="316"/>
        <v>0.21555422639412125</v>
      </c>
      <c r="I121" s="89">
        <f t="shared" si="317"/>
        <v>-0.11729139924836463</v>
      </c>
      <c r="J121" s="89">
        <f t="shared" si="318"/>
        <v>-0.13060327469620581</v>
      </c>
      <c r="K121" s="89">
        <f t="shared" si="319"/>
        <v>-1.1827756345249685E-2</v>
      </c>
      <c r="L121" s="89">
        <f t="shared" si="320"/>
        <v>-0.1540634662340491</v>
      </c>
      <c r="M121" s="89">
        <f t="shared" si="321"/>
        <v>-0.12646466848552651</v>
      </c>
      <c r="N121" s="89">
        <f t="shared" si="322"/>
        <v>0.37665607109936872</v>
      </c>
      <c r="O121" s="89">
        <f t="shared" si="323"/>
        <v>-9.9631581884962017E-2</v>
      </c>
      <c r="P121" s="89">
        <f t="shared" si="324"/>
        <v>-6.8489134761836268E-2</v>
      </c>
      <c r="Q121" s="89">
        <f t="shared" si="325"/>
        <v>-0.10243950125298806</v>
      </c>
      <c r="R121" s="89">
        <f t="shared" si="326"/>
        <v>-7.9960260162321384E-2</v>
      </c>
      <c r="S121" s="89">
        <f t="shared" si="327"/>
        <v>-0.16267428571428566</v>
      </c>
      <c r="T121" s="89">
        <f t="shared" si="328"/>
        <v>1.7419647386829329E-3</v>
      </c>
      <c r="U121" s="89">
        <f t="shared" si="329"/>
        <v>3.5680189678867658E-2</v>
      </c>
      <c r="V121" s="89">
        <f t="shared" si="330"/>
        <v>-4.2749461243673625E-2</v>
      </c>
      <c r="W121" s="89">
        <f t="shared" si="331"/>
        <v>4.6565851211625819E-2</v>
      </c>
      <c r="X121" s="89">
        <f t="shared" si="332"/>
        <v>-3.5303412191200256E-2</v>
      </c>
      <c r="Y121" s="89">
        <f t="shared" si="333"/>
        <v>1.2531524627172885E-2</v>
      </c>
      <c r="Z121" s="89">
        <f t="shared" si="334"/>
        <v>-0.16795333971537307</v>
      </c>
      <c r="AA121" s="89">
        <f t="shared" si="335"/>
        <v>2.491574750554304E-2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0.1178322420943072</v>
      </c>
      <c r="F122" s="91">
        <f t="shared" si="314"/>
        <v>-0.15852448436850675</v>
      </c>
      <c r="G122" s="91">
        <f t="shared" si="315"/>
        <v>-0.16099434675219715</v>
      </c>
      <c r="H122" s="91">
        <f t="shared" si="316"/>
        <v>0.15633462024574252</v>
      </c>
      <c r="I122" s="91">
        <f t="shared" si="317"/>
        <v>0.47232326450807238</v>
      </c>
      <c r="J122" s="91">
        <f t="shared" si="318"/>
        <v>-1.2278696442424852E-4</v>
      </c>
      <c r="K122" s="91">
        <f t="shared" si="319"/>
        <v>0.25103633991647412</v>
      </c>
      <c r="L122" s="91">
        <f t="shared" si="320"/>
        <v>-0.25871565790760354</v>
      </c>
      <c r="M122" s="91">
        <f t="shared" si="321"/>
        <v>-0.53403124144045266</v>
      </c>
      <c r="N122" s="91">
        <f t="shared" si="322"/>
        <v>-8.5099717309335632E-2</v>
      </c>
      <c r="O122" s="91">
        <f t="shared" si="323"/>
        <v>7.3050467866809798E-2</v>
      </c>
      <c r="P122" s="91">
        <f t="shared" si="324"/>
        <v>-3.3420734788361606E-2</v>
      </c>
      <c r="Q122" s="91">
        <f t="shared" si="325"/>
        <v>-2.2272506143734327E-2</v>
      </c>
      <c r="R122" s="91">
        <f t="shared" si="326"/>
        <v>0.17620590395996505</v>
      </c>
      <c r="S122" s="91">
        <f t="shared" si="327"/>
        <v>-0.10945443099273611</v>
      </c>
      <c r="T122" s="91">
        <f t="shared" si="328"/>
        <v>0.17439480328281709</v>
      </c>
      <c r="U122" s="91">
        <f t="shared" si="329"/>
        <v>6.7777443870900678E-2</v>
      </c>
      <c r="V122" s="91">
        <f t="shared" si="330"/>
        <v>-7.5842487933447389E-3</v>
      </c>
      <c r="W122" s="91">
        <f t="shared" si="331"/>
        <v>4.6565851211625819E-2</v>
      </c>
      <c r="X122" s="91">
        <f t="shared" si="332"/>
        <v>-3.5303412191199923E-2</v>
      </c>
      <c r="Y122" s="91">
        <f t="shared" si="333"/>
        <v>1.2531524627172885E-2</v>
      </c>
      <c r="Z122" s="91">
        <f t="shared" si="334"/>
        <v>-0.16795333971537296</v>
      </c>
      <c r="AA122" s="91">
        <f t="shared" si="335"/>
        <v>2.4915747505542818E-2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2025-11-06T10:27:12Z</dcterms:created>
  <dcterms:modified xsi:type="dcterms:W3CDTF">2025-11-06T10:27:12Z</dcterms:modified>
</cp:coreProperties>
</file>